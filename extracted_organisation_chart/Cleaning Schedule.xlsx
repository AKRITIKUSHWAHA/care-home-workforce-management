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urshaKrishan\Desktop\Tracker\"/>
    </mc:Choice>
  </mc:AlternateContent>
  <xr:revisionPtr revIDLastSave="0" documentId="8_{07B0C1D5-F3CB-4161-B8A9-42BAA6502CF2}" xr6:coauthVersionLast="47" xr6:coauthVersionMax="47" xr10:uidLastSave="{00000000-0000-0000-0000-000000000000}"/>
  <bookViews>
    <workbookView xWindow="-110" yWindow="-110" windowWidth="19420" windowHeight="11500" firstSheet="1" activeTab="5" xr2:uid="{00000000-000D-0000-FFFF-FFFF00000000}"/>
  </bookViews>
  <sheets>
    <sheet name="Dashboard" sheetId="1" r:id="rId1"/>
    <sheet name="Settings" sheetId="2" r:id="rId2"/>
    <sheet name="Task Library" sheetId="3" r:id="rId3"/>
    <sheet name="Daily Schedule" sheetId="4" r:id="rId4"/>
    <sheet name="Weekly Schedule" sheetId="5" r:id="rId5"/>
    <sheet name="Monthly Schedule" sheetId="6" r:id="rId6"/>
    <sheet name="Quarterly Schedule" sheetId="7" r:id="rId7"/>
    <sheet name="6-Monthly Schedule" sheetId="8" r:id="rId8"/>
    <sheet name="Annual Schedule" sheetId="9" r:id="rId9"/>
    <sheet name="Domestic Audit" sheetId="10" r:id="rId10"/>
    <sheet name="IPC Audit" sheetId="11" r:id="rId11"/>
    <sheet name="Corrective Action Plan" sheetId="12" r:id="rId12"/>
    <sheet name="Instruction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1" l="1"/>
  <c r="J12" i="11"/>
  <c r="J11" i="11"/>
  <c r="J10" i="11"/>
  <c r="J9" i="11"/>
  <c r="J8" i="11"/>
  <c r="J7" i="11"/>
  <c r="J6" i="11"/>
  <c r="J5" i="11"/>
  <c r="J4" i="11"/>
  <c r="J3" i="11"/>
  <c r="J2" i="11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C19" i="1"/>
  <c r="B19" i="1"/>
  <c r="D16" i="1"/>
  <c r="C16" i="1"/>
  <c r="B16" i="1"/>
  <c r="D15" i="1"/>
  <c r="C15" i="1"/>
  <c r="B15" i="1"/>
  <c r="D9" i="1"/>
  <c r="E9" i="1" s="1"/>
  <c r="C9" i="1"/>
  <c r="B9" i="1"/>
  <c r="D8" i="1"/>
  <c r="E8" i="1" s="1"/>
  <c r="C8" i="1"/>
  <c r="B8" i="1"/>
  <c r="D7" i="1"/>
  <c r="E7" i="1" s="1"/>
  <c r="C7" i="1"/>
  <c r="B7" i="1"/>
  <c r="D6" i="1"/>
  <c r="E6" i="1" s="1"/>
  <c r="C6" i="1"/>
  <c r="B6" i="1"/>
  <c r="D5" i="1"/>
  <c r="E5" i="1" s="1"/>
  <c r="F5" i="1" s="1"/>
  <c r="C5" i="1"/>
  <c r="B5" i="1"/>
  <c r="D4" i="1"/>
  <c r="E4" i="1" s="1"/>
  <c r="C4" i="1"/>
  <c r="B4" i="1"/>
  <c r="E16" i="1" l="1"/>
  <c r="F16" i="1" s="1"/>
  <c r="E15" i="1"/>
  <c r="F15" i="1" s="1"/>
  <c r="B11" i="1"/>
  <c r="B12" i="1" s="1"/>
  <c r="F4" i="1"/>
  <c r="F6" i="1"/>
  <c r="F7" i="1"/>
  <c r="F9" i="1"/>
  <c r="F8" i="1"/>
</calcChain>
</file>

<file path=xl/sharedStrings.xml><?xml version="1.0" encoding="utf-8"?>
<sst xmlns="http://schemas.openxmlformats.org/spreadsheetml/2006/main" count="1590" uniqueCount="367">
  <si>
    <t>Swan Care Home - Cleaning Dashboard</t>
  </si>
  <si>
    <t>Frequency</t>
  </si>
  <si>
    <t>Completed</t>
  </si>
  <si>
    <t>Not Completed</t>
  </si>
  <si>
    <t>N/A</t>
  </si>
  <si>
    <t>Total Required</t>
  </si>
  <si>
    <t>Compliance %</t>
  </si>
  <si>
    <t>Daily</t>
  </si>
  <si>
    <t>Weekly</t>
  </si>
  <si>
    <t>Monthly</t>
  </si>
  <si>
    <t>Quarterly</t>
  </si>
  <si>
    <t>6-Monthly</t>
  </si>
  <si>
    <t>Annual</t>
  </si>
  <si>
    <t>Overall Compliance</t>
  </si>
  <si>
    <t>Dashboard RAG</t>
  </si>
  <si>
    <t>Audit</t>
  </si>
  <si>
    <t>Compliant</t>
  </si>
  <si>
    <t>Partially Compliant</t>
  </si>
  <si>
    <t>Non-Compliant</t>
  </si>
  <si>
    <t>Total Answered</t>
  </si>
  <si>
    <t>Score %</t>
  </si>
  <si>
    <t>Domestic Audit</t>
  </si>
  <si>
    <t>IPC Audit</t>
  </si>
  <si>
    <t>Action Plan</t>
  </si>
  <si>
    <t>Open/In Progress</t>
  </si>
  <si>
    <t>Completed/Closed</t>
  </si>
  <si>
    <t>Corrective Actions</t>
  </si>
  <si>
    <t>Setting</t>
  </si>
  <si>
    <t>Value</t>
  </si>
  <si>
    <t>Status List</t>
  </si>
  <si>
    <t>Service Name</t>
  </si>
  <si>
    <t>Swan Care Home</t>
  </si>
  <si>
    <t>Year</t>
  </si>
  <si>
    <t>Status 1</t>
  </si>
  <si>
    <t>Status 2</t>
  </si>
  <si>
    <t>Status 3</t>
  </si>
  <si>
    <t>RAG Green Threshold</t>
  </si>
  <si>
    <t>RAG Amber Threshold</t>
  </si>
  <si>
    <t>Area</t>
  </si>
  <si>
    <t>Task</t>
  </si>
  <si>
    <t>Location/Room Detail</t>
  </si>
  <si>
    <t>Evidence/Notes</t>
  </si>
  <si>
    <t>Bedrooms (Rooms 1-31)</t>
  </si>
  <si>
    <t>Clean/check bed frames and rails</t>
  </si>
  <si>
    <t>Water plants/remove plant debris</t>
  </si>
  <si>
    <t>Polish wooden surfaces</t>
  </si>
  <si>
    <t>Dust/clean TVs and picture frames</t>
  </si>
  <si>
    <t>Clean/sanitise chair</t>
  </si>
  <si>
    <t>Mop non-carpeted floors</t>
  </si>
  <si>
    <t>Check for cobwebs</t>
  </si>
  <si>
    <t>Dust all surfaces incl. high/low/light fittings</t>
  </si>
  <si>
    <t>Hoover incl. behind/under furniture</t>
  </si>
  <si>
    <t>Disinfect touch points light switches/handles/doors</t>
  </si>
  <si>
    <t>Clean sink and tap</t>
  </si>
  <si>
    <t>Empty/disinfect bins</t>
  </si>
  <si>
    <t>Clean bedside tables</t>
  </si>
  <si>
    <t>Clean skirting boards</t>
  </si>
  <si>
    <t>Bedroom Ensuites (Rooms 1-31)</t>
  </si>
  <si>
    <t>Clean toilet brush</t>
  </si>
  <si>
    <t>Hoover and mop floor</t>
  </si>
  <si>
    <t>Clean mirrors and tiles/walls</t>
  </si>
  <si>
    <t>Refill paper towels and toilet roll</t>
  </si>
  <si>
    <t>Refill soap dispensers and hand sanitiser</t>
  </si>
  <si>
    <t>Disinfect touch points incl. light switches/handles/rails</t>
  </si>
  <si>
    <t>Disinfect sinks, taps and fixtures</t>
  </si>
  <si>
    <t>Clean toilets incl. seat/cistern/flush/raisers/commodes</t>
  </si>
  <si>
    <t>Clean bath/shower incl. plug/taps/hose/showerhead</t>
  </si>
  <si>
    <t>Communal Bathrooms &amp; Toilets</t>
  </si>
  <si>
    <t>Replenish paper towels</t>
  </si>
  <si>
    <t>Mop floors</t>
  </si>
  <si>
    <t>Clean toilet raisers and commodes</t>
  </si>
  <si>
    <t>Clean toilets incl. seat/cistern/flush</t>
  </si>
  <si>
    <t>Clean sink and taps</t>
  </si>
  <si>
    <t>Clean/fill soap dispensers</t>
  </si>
  <si>
    <t>Replenish toilet rolls</t>
  </si>
  <si>
    <t>Disinfect touch points</t>
  </si>
  <si>
    <t>Clean tiles</t>
  </si>
  <si>
    <t>Clean mirrors</t>
  </si>
  <si>
    <t>Conservatory</t>
  </si>
  <si>
    <t>Disinfect/polish wooden surfaces</t>
  </si>
  <si>
    <t>Clean windows/ledges/UPVC</t>
  </si>
  <si>
    <t>Hoover soft furnishings</t>
  </si>
  <si>
    <t>Clean/sanitise chairs and tables</t>
  </si>
  <si>
    <t>Lounges</t>
  </si>
  <si>
    <t>Dining Areas</t>
  </si>
  <si>
    <t>Dust/clean picture frames</t>
  </si>
  <si>
    <t>Check satellite fridge opening/expiry dates</t>
  </si>
  <si>
    <t>Corridors</t>
  </si>
  <si>
    <t>Clean/sanitise chairs and sensory equipment</t>
  </si>
  <si>
    <t>Ensure corridors clear and hazard free</t>
  </si>
  <si>
    <t>Hoover incl. behind/under furniture/soft furnishings</t>
  </si>
  <si>
    <t>Refill sanitiser dispensers</t>
  </si>
  <si>
    <t>Laundry</t>
  </si>
  <si>
    <t>Clean machines incl. filters/dust traps</t>
  </si>
  <si>
    <t>Sweep/mop incl. behind/under furniture</t>
  </si>
  <si>
    <t>Clean baskets</t>
  </si>
  <si>
    <t>Store pegs after use</t>
  </si>
  <si>
    <t>Clean shelves</t>
  </si>
  <si>
    <t>Clean linen cupboards</t>
  </si>
  <si>
    <t>Clean windows and UPVC</t>
  </si>
  <si>
    <t>Clean ironing board frame</t>
  </si>
  <si>
    <t>Antibac and descale iron</t>
  </si>
  <si>
    <t>Medication Room</t>
  </si>
  <si>
    <t>Clean worktops and sink</t>
  </si>
  <si>
    <t>Disinfect door handles/light switches</t>
  </si>
  <si>
    <t>Clean medicine trolley</t>
  </si>
  <si>
    <t>Record room temperature</t>
  </si>
  <si>
    <t>Record medication fridge temperature if applicable</t>
  </si>
  <si>
    <t>Check hand wash/sanitiser stock</t>
  </si>
  <si>
    <t>Check sharps bin safe/not overfilled</t>
  </si>
  <si>
    <t>Check expired medicines box secure</t>
  </si>
  <si>
    <t>Clean floor</t>
  </si>
  <si>
    <t>Sluice Room 1</t>
  </si>
  <si>
    <t>Clean/disinfect slop hopper or macerator exterior</t>
  </si>
  <si>
    <t>Check PPE stock</t>
  </si>
  <si>
    <t>Check clinical waste bin clean/closed</t>
  </si>
  <si>
    <t>Check dirty/clean workflow maintained</t>
  </si>
  <si>
    <t>Odour check</t>
  </si>
  <si>
    <t>Check laundry bags replenished</t>
  </si>
  <si>
    <t>Sluice Room 2</t>
  </si>
  <si>
    <t>Kitchen</t>
  </si>
  <si>
    <t>Clean food prep surfaces</t>
  </si>
  <si>
    <t>Clean sink/taps</t>
  </si>
  <si>
    <t>Clean cupboard handles/touch points</t>
  </si>
  <si>
    <t>Clean fridge/freezer external surfaces</t>
  </si>
  <si>
    <t>Check fly machine area clean</t>
  </si>
  <si>
    <t>Empty bins and clean lids</t>
  </si>
  <si>
    <t>Equipment</t>
  </si>
  <si>
    <t>Clean wheelchair 1</t>
  </si>
  <si>
    <t>Clean wheelchair 2</t>
  </si>
  <si>
    <t>Clean wheelchair 3</t>
  </si>
  <si>
    <t>Clean wheelchair 4</t>
  </si>
  <si>
    <t>Clean rotunda</t>
  </si>
  <si>
    <t>Clean hoist 1</t>
  </si>
  <si>
    <t>Clean hoist 2</t>
  </si>
  <si>
    <t>Clean bathroom hoist</t>
  </si>
  <si>
    <t>Clean shower chairs/commodes after use</t>
  </si>
  <si>
    <t>External Areas</t>
  </si>
  <si>
    <t>Check front entrance clean/hazard free</t>
  </si>
  <si>
    <t>Check garden paths clear</t>
  </si>
  <si>
    <t>Check external bins closed and area clean</t>
  </si>
  <si>
    <t>Bedrooms &amp; Ensuites</t>
  </si>
  <si>
    <t>Wash/clean inside windows</t>
  </si>
  <si>
    <t>Wash/clean UPVC windows</t>
  </si>
  <si>
    <t>Clean blinds with damp cloth</t>
  </si>
  <si>
    <t>Wash/clean ceiling light covers</t>
  </si>
  <si>
    <t>Wash/clean under furniture</t>
  </si>
  <si>
    <t>Dust/damp-dust extraction fans</t>
  </si>
  <si>
    <t>Remove limescale from taps/surrounds</t>
  </si>
  <si>
    <t>Wash filters/vents</t>
  </si>
  <si>
    <t>Clean cupboards externally</t>
  </si>
  <si>
    <t>Clean shelving externally</t>
  </si>
  <si>
    <t>Review medication room cleaning record</t>
  </si>
  <si>
    <t>Sluice Rooms</t>
  </si>
  <si>
    <t>Deep clean walls/splashbacks</t>
  </si>
  <si>
    <t>Check drains and ventilation</t>
  </si>
  <si>
    <t>Deep clean PPE shelving</t>
  </si>
  <si>
    <t>Clean inside cupboards on rotation</t>
  </si>
  <si>
    <t>Clean extractor fan exterior</t>
  </si>
  <si>
    <t>Clean fridge/freezer seals</t>
  </si>
  <si>
    <t>Manager check of wheelchairs, hoists and rotunda cleanliness</t>
  </si>
  <si>
    <t>Sweep front entrance</t>
  </si>
  <si>
    <t>Clean garden furniture</t>
  </si>
  <si>
    <t>Check bin store cleanliness</t>
  </si>
  <si>
    <t>Deep clean bedroom furniture and fixtures</t>
  </si>
  <si>
    <t>Deep clean ensuite fixtures/drains</t>
  </si>
  <si>
    <t>Review mattress cleanliness/condition</t>
  </si>
  <si>
    <t>Review curtains/blinds cleanliness</t>
  </si>
  <si>
    <t>Communal Areas</t>
  </si>
  <si>
    <t>Deep clean lounge/dining chairs</t>
  </si>
  <si>
    <t>Deep clean conservatory chairs/tables</t>
  </si>
  <si>
    <t>Clean TV stands/window ledges/display units</t>
  </si>
  <si>
    <t>Clean light shades/high-level fittings</t>
  </si>
  <si>
    <t>Remove items from cupboards and clean inside</t>
  </si>
  <si>
    <t>Deep clean fridge/freezer</t>
  </si>
  <si>
    <t>Deep clean extractor fan and filters</t>
  </si>
  <si>
    <t>Clean kitchen shelving</t>
  </si>
  <si>
    <t>Deep clean cupboards and shelving</t>
  </si>
  <si>
    <t>Review sharps/waste arrangements</t>
  </si>
  <si>
    <t>Check cleaning standards against medicines governance</t>
  </si>
  <si>
    <t>Deep clean sluice rooms incl. walls/floors/splashbacks</t>
  </si>
  <si>
    <t>Inspect drains, ventilation and odour control</t>
  </si>
  <si>
    <t>Deep clean washing machines/dryers/lint areas</t>
  </si>
  <si>
    <t>Deep clean clean/dirty laundry storage areas</t>
  </si>
  <si>
    <t>External</t>
  </si>
  <si>
    <t>Clean garden furniture/external ledges</t>
  </si>
  <si>
    <t>Check signage/front entrance cleanliness</t>
  </si>
  <si>
    <t>Deep clean bin store</t>
  </si>
  <si>
    <t>Whole Home</t>
  </si>
  <si>
    <t>Quarterly domestic cleaning audit/trend review</t>
  </si>
  <si>
    <t>Quarterly IPC environmental walkaround</t>
  </si>
  <si>
    <t>Quarterly cleaning equipment colour-coding audit</t>
  </si>
  <si>
    <t>Quarterly COSHH storage/labelling review</t>
  </si>
  <si>
    <t>Quarterly deep clean of high-level dusting areas</t>
  </si>
  <si>
    <t>Bedrooms/Communal</t>
  </si>
  <si>
    <t>Quarterly carpet/upholstery review</t>
  </si>
  <si>
    <t>Quarterly curtains/blinds review</t>
  </si>
  <si>
    <t>Quarterly radiator/skirting board deep clean</t>
  </si>
  <si>
    <t>Six-monthly full-home deep clean review</t>
  </si>
  <si>
    <t>Six-monthly cleaning policy and schedule review</t>
  </si>
  <si>
    <t>Six-monthly domestic staff competency review</t>
  </si>
  <si>
    <t>Six-monthly IPC cleaning training refresh check</t>
  </si>
  <si>
    <t>Six-monthly cleaning equipment replacement review</t>
  </si>
  <si>
    <t>External/Plant</t>
  </si>
  <si>
    <t>Six-monthly boiler room/cellar cleanliness check</t>
  </si>
  <si>
    <t>Six-monthly external drainage and bin-store cleanliness review</t>
  </si>
  <si>
    <t>Annual review of cleaning schedule effectiveness</t>
  </si>
  <si>
    <t>Annual review of domestic audit trends/actions</t>
  </si>
  <si>
    <t>Annual full soft furnishings/curtains cleaning review</t>
  </si>
  <si>
    <t>Annual carpet cleaning programme review</t>
  </si>
  <si>
    <t>Annual mattress cleaning/replacement review</t>
  </si>
  <si>
    <t>Annual COSHH and cleaning product review</t>
  </si>
  <si>
    <t>Annual IPC environmental standards review</t>
  </si>
  <si>
    <t>Responsible Person</t>
  </si>
  <si>
    <t>Manager Check</t>
  </si>
  <si>
    <t>Comments/Actions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</si>
  <si>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</si>
  <si>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</si>
  <si>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</si>
  <si>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</si>
  <si>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</si>
  <si>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</si>
  <si>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</si>
  <si>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</si>
  <si>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</si>
  <si>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</si>
  <si>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</si>
  <si>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</si>
  <si>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</si>
  <si>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</si>
  <si>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</si>
  <si>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</si>
  <si>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</si>
  <si>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</si>
  <si>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</si>
  <si>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</si>
  <si>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</si>
  <si>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</si>
  <si>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</si>
  <si>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</si>
  <si>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</si>
  <si>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</si>
  <si>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</si>
  <si>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</si>
  <si>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</si>
  <si>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</si>
  <si>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</si>
  <si>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</si>
  <si>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</si>
  <si>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</si>
  <si>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</si>
  <si>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</si>
  <si>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</si>
  <si>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</si>
  <si>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</si>
  <si>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</si>
  <si>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</si>
  <si>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</si>
  <si>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</si>
  <si>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</si>
  <si>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</si>
  <si>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</si>
  <si>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</si>
  <si>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</si>
  <si>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</si>
  <si>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</si>
  <si>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</si>
  <si>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</si>
  <si>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</si>
  <si>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</si>
  <si>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</si>
  <si>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</si>
  <si>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</si>
  <si>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</si>
  <si>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</si>
  <si>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</si>
  <si>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</si>
  <si>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</si>
  <si>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</si>
  <si>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</si>
  <si>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Q1</t>
  </si>
  <si>
    <t>Q2</t>
  </si>
  <si>
    <t>Q3</t>
  </si>
  <si>
    <t>Q4</t>
  </si>
  <si>
    <t>Jan-Jun</t>
  </si>
  <si>
    <t>Jul-Dec</t>
  </si>
  <si>
    <t>Audit Date</t>
  </si>
  <si>
    <t>Section</t>
  </si>
  <si>
    <t>Question</t>
  </si>
  <si>
    <t>Result</t>
  </si>
  <si>
    <t>Evidence/Comment</t>
  </si>
  <si>
    <t>Action Required</t>
  </si>
  <si>
    <t>Owner</t>
  </si>
  <si>
    <t>Target Date</t>
  </si>
  <si>
    <t>Completed Date</t>
  </si>
  <si>
    <t>RAG</t>
  </si>
  <si>
    <t>Bedrooms</t>
  </si>
  <si>
    <t>Bedrooms visibly clean and odour free</t>
  </si>
  <si>
    <t>Beds, rails and furniture clean</t>
  </si>
  <si>
    <t>Floors/carpet areas clean</t>
  </si>
  <si>
    <t>Skirting boards free from dust</t>
  </si>
  <si>
    <t>Ensuites/Bathrooms</t>
  </si>
  <si>
    <t>Toilets, sinks and showers clean</t>
  </si>
  <si>
    <t>Soap/paper products stocked</t>
  </si>
  <si>
    <t>Touch points disinfected</t>
  </si>
  <si>
    <t>Bins clean and lidded</t>
  </si>
  <si>
    <t>Medication room clean/uncluttered</t>
  </si>
  <si>
    <t>Temperature logs completed</t>
  </si>
  <si>
    <t>Medicine trolley clean</t>
  </si>
  <si>
    <t>Sharps/waste arrangements safe</t>
  </si>
  <si>
    <t>Sluice rooms clean/odour controlled</t>
  </si>
  <si>
    <t>Dirty/clean workflow maintained</t>
  </si>
  <si>
    <t>PPE stocked</t>
  </si>
  <si>
    <t>Clinical waste managed correctly</t>
  </si>
  <si>
    <t>Lounges/dining areas clean</t>
  </si>
  <si>
    <t>Chairs/tables cleaned</t>
  </si>
  <si>
    <t>TV stands/window ledges/light fittings clean</t>
  </si>
  <si>
    <t>Corridors clear and clean</t>
  </si>
  <si>
    <t>Kitchen/Laundry</t>
  </si>
  <si>
    <t>Kitchen surfaces/equipment clean</t>
  </si>
  <si>
    <t>Laundry clean/dirty segregation maintained</t>
  </si>
  <si>
    <t>Machines and filters clean</t>
  </si>
  <si>
    <t>Cupboards and storage clean</t>
  </si>
  <si>
    <t>Equipment/External</t>
  </si>
  <si>
    <t>Wheelchairs/hoists/rotunda clean</t>
  </si>
  <si>
    <t>Garden/front entrance clean</t>
  </si>
  <si>
    <t>Bin store clean</t>
  </si>
  <si>
    <t>Cleaning equipment colour-coded/stored correctly</t>
  </si>
  <si>
    <t>Hand Hygiene</t>
  </si>
  <si>
    <t>Hand hygiene stations stocked and accessible</t>
  </si>
  <si>
    <t>PPE</t>
  </si>
  <si>
    <t>PPE available and stored correctly</t>
  </si>
  <si>
    <t>Cleaning Equipment</t>
  </si>
  <si>
    <t>Colour-coded cleaning equipment in use</t>
  </si>
  <si>
    <t>Mop heads/cloths clean and replaced appropriately</t>
  </si>
  <si>
    <t>Waste</t>
  </si>
  <si>
    <t>Clinical waste bins clean and correctly used</t>
  </si>
  <si>
    <t>Sharps bins assembled, labelled and not overfilled</t>
  </si>
  <si>
    <t>Soiled laundry segregated and handled safely</t>
  </si>
  <si>
    <t>Sluice</t>
  </si>
  <si>
    <t>Sluice rooms support safe decontamination practice</t>
  </si>
  <si>
    <t>Medication room cleaning supports medicines governance</t>
  </si>
  <si>
    <t>COSHH</t>
  </si>
  <si>
    <t>COSHH products stored securely and labelled</t>
  </si>
  <si>
    <t>Records</t>
  </si>
  <si>
    <t>Cleaning records complete and contemporaneous</t>
  </si>
  <si>
    <t>Learning</t>
  </si>
  <si>
    <t>Missed cleaning tasks result in corrective action</t>
  </si>
  <si>
    <t>Date Raised</t>
  </si>
  <si>
    <t>Source</t>
  </si>
  <si>
    <t>Area/Section</t>
  </si>
  <si>
    <t>Issue</t>
  </si>
  <si>
    <t>Completion Date</t>
  </si>
  <si>
    <t>Status</t>
  </si>
  <si>
    <t>Verification/Manager Sign Off</t>
  </si>
  <si>
    <t>How to use this workbook</t>
  </si>
  <si>
    <t>Daily Schedule: full 2026 calendar across one tab. Enter Completed, Not Completed, or N/A.</t>
  </si>
  <si>
    <t>Weekly Schedule: 52 weeks in one tab.</t>
  </si>
  <si>
    <t>Monthly Schedule: January to December in one tab.</t>
  </si>
  <si>
    <t>Quarterly, 6-Monthly and Annual Schedules: use for planned deep cleaning and governance tasks.</t>
  </si>
  <si>
    <t>Use Location/Room Detail to record the room number or area where the task was completed, especially Bedrooms and Ensuites.</t>
  </si>
  <si>
    <t>Dashboard updates from all frequency tabs.</t>
  </si>
  <si>
    <t>Domestic Audit and IPC Audit scores feed into dashboard.</t>
  </si>
  <si>
    <t>Add missed cleaning/audit failures to Corrective Action Plan.</t>
  </si>
  <si>
    <t>Folder Contents Word document was ignored as requested. Uploaded Excel cleaning schedules were used as the source for daily and weekly tasks.</t>
  </si>
  <si>
    <t>Bedrooms (Rooms 1-20 inc. 12A)</t>
  </si>
  <si>
    <t>Bedroom Ensuites (Rooms 1-20 inc. 12A)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</si>
</sst>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6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164" fontId="1" fillId="2" borderId="0" xfId="0" applyNumberFormat="1" applyFont="1" applyFill="1" applyAlignment="1">
      <alignment horizontal="center" wrapText="1"/>
    </xf>
    <xf numFmtId="0" fontId="2" fillId="2" borderId="0" xfId="0" applyFont="1" applyFill="1" applyAlignment="1">
      <alignment wrapText="1"/>
    </xf>
    <xf numFmtId="9" fontId="0" fillId="0" borderId="0" xfId="0" applyNumberFormat="1"/>
    <xf numFmtId="9" fontId="1" fillId="2" borderId="0" xfId="0" applyNumberFormat="1" applyFont="1" applyFill="1"/>
    <xf numFmtId="0" fontId="3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sqref="A1:H1"/>
    </sheetView>
  </sheetViews>
  <sheetFormatPr defaultRowHeight="14"/>
  <cols>
    <col min="1" max="1" width="20" customWidth="1"/>
    <col min="2" max="3" width="18" customWidth="1"/>
    <col min="4" max="4" width="12" customWidth="1"/>
    <col min="5" max="5" width="18" customWidth="1"/>
    <col min="6" max="6" width="16" customWidth="1"/>
  </cols>
  <sheetData>
    <row r="1" spans="1:8" ht="20">
      <c r="A1" s="8" t="s">
        <v>0</v>
      </c>
      <c r="B1" s="9"/>
      <c r="C1" s="9"/>
      <c r="D1" s="9"/>
      <c r="E1" s="9"/>
      <c r="F1" s="9"/>
      <c r="G1" s="9"/>
      <c r="H1" s="9"/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8">
      <c r="A4" t="s">
        <v>7</v>
      </c>
      <c r="B4">
        <f>COUNTIF('Daily Schedule'!E2:NE154,"Completed")</f>
        <v>0</v>
      </c>
      <c r="C4">
        <f>COUNTIF('Daily Schedule'!E2:NE154,"Not Completed")</f>
        <v>0</v>
      </c>
      <c r="D4">
        <f>COUNTIF('Daily Schedule'!E2:NE154,"N/A")</f>
        <v>0</v>
      </c>
      <c r="E4">
        <f>COUNTA('Daily Schedule'!E2:NE154)-D4</f>
        <v>0</v>
      </c>
      <c r="F4" s="6">
        <f t="shared" ref="F4:F9" si="0">IFERROR(B4/E4,0)</f>
        <v>0</v>
      </c>
    </row>
    <row r="5" spans="1:8">
      <c r="A5" t="s">
        <v>8</v>
      </c>
      <c r="B5">
        <f>COUNTIF('Weekly Schedule'!E2:BD22,"Completed")</f>
        <v>0</v>
      </c>
      <c r="C5">
        <f>COUNTIF('Weekly Schedule'!E2:BD22,"Not Completed")</f>
        <v>0</v>
      </c>
      <c r="D5">
        <f>COUNTIF('Weekly Schedule'!E2:BD22,"N/A")</f>
        <v>0</v>
      </c>
      <c r="E5">
        <f>COUNTA('Weekly Schedule'!E2:BD22)-D5</f>
        <v>0</v>
      </c>
      <c r="F5" s="6">
        <f t="shared" si="0"/>
        <v>0</v>
      </c>
    </row>
    <row r="6" spans="1:8">
      <c r="A6" t="s">
        <v>9</v>
      </c>
      <c r="B6">
        <f>COUNTIF('Monthly Schedule'!E2:P23,"Completed")</f>
        <v>0</v>
      </c>
      <c r="C6">
        <f>COUNTIF('Monthly Schedule'!E2:P23,"Not Completed")</f>
        <v>0</v>
      </c>
      <c r="D6">
        <f>COUNTIF('Monthly Schedule'!E2:P23,"N/A")</f>
        <v>0</v>
      </c>
      <c r="E6">
        <f>COUNTA('Monthly Schedule'!E2:P23)-D6</f>
        <v>0</v>
      </c>
      <c r="F6" s="6">
        <f t="shared" si="0"/>
        <v>0</v>
      </c>
    </row>
    <row r="7" spans="1:8">
      <c r="A7" t="s">
        <v>10</v>
      </c>
      <c r="B7">
        <f>COUNTIF('Quarterly Schedule'!E2:H9,"Completed")</f>
        <v>0</v>
      </c>
      <c r="C7">
        <f>COUNTIF('Quarterly Schedule'!E2:H9,"Not Completed")</f>
        <v>0</v>
      </c>
      <c r="D7">
        <f>COUNTIF('Quarterly Schedule'!E2:H9,"N/A")</f>
        <v>0</v>
      </c>
      <c r="E7">
        <f>COUNTA('Quarterly Schedule'!E2:H9)-D7</f>
        <v>0</v>
      </c>
      <c r="F7" s="6">
        <f t="shared" si="0"/>
        <v>0</v>
      </c>
    </row>
    <row r="8" spans="1:8">
      <c r="A8" t="s">
        <v>11</v>
      </c>
      <c r="B8">
        <f>COUNTIF('6-Monthly Schedule'!E2:F8,"Completed")</f>
        <v>0</v>
      </c>
      <c r="C8">
        <f>COUNTIF('6-Monthly Schedule'!E2:F8,"Not Completed")</f>
        <v>0</v>
      </c>
      <c r="D8">
        <f>COUNTIF('6-Monthly Schedule'!E2:F8,"N/A")</f>
        <v>0</v>
      </c>
      <c r="E8">
        <f>COUNTA('6-Monthly Schedule'!E2:F8)-D8</f>
        <v>0</v>
      </c>
      <c r="F8" s="6">
        <f t="shared" si="0"/>
        <v>0</v>
      </c>
    </row>
    <row r="9" spans="1:8">
      <c r="A9" t="s">
        <v>12</v>
      </c>
      <c r="B9">
        <f>COUNTIF('Annual Schedule'!E2:E8,"Completed")</f>
        <v>0</v>
      </c>
      <c r="C9">
        <f>COUNTIF('Annual Schedule'!E2:E8,"Not Completed")</f>
        <v>0</v>
      </c>
      <c r="D9">
        <f>COUNTIF('Annual Schedule'!E2:E8,"N/A")</f>
        <v>0</v>
      </c>
      <c r="E9">
        <f>COUNTA('Annual Schedule'!E2:E8)-D9</f>
        <v>0</v>
      </c>
      <c r="F9" s="6">
        <f t="shared" si="0"/>
        <v>0</v>
      </c>
    </row>
    <row r="10" spans="1:8">
      <c r="F10" s="6"/>
    </row>
    <row r="11" spans="1:8">
      <c r="A11" t="s">
        <v>13</v>
      </c>
      <c r="B11" s="6">
        <f>IFERROR(SUM(B4:B9)/SUM(E4:E9),0)</f>
        <v>0</v>
      </c>
      <c r="F11" s="6"/>
    </row>
    <row r="12" spans="1:8">
      <c r="A12" t="s">
        <v>14</v>
      </c>
      <c r="B12" t="str">
        <f>IF(B11&gt;=Settings!$B$6,"Green",IF(B11&gt;=Settings!$B$7,"Amber","Red"))</f>
        <v>Red</v>
      </c>
      <c r="F12" s="6"/>
    </row>
    <row r="13" spans="1:8">
      <c r="F13" s="6"/>
    </row>
    <row r="14" spans="1:8">
      <c r="A14" s="1" t="s">
        <v>15</v>
      </c>
      <c r="B14" s="1" t="s">
        <v>16</v>
      </c>
      <c r="C14" s="1" t="s">
        <v>17</v>
      </c>
      <c r="D14" s="1" t="s">
        <v>18</v>
      </c>
      <c r="E14" s="1" t="s">
        <v>19</v>
      </c>
      <c r="F14" s="7" t="s">
        <v>20</v>
      </c>
    </row>
    <row r="15" spans="1:8">
      <c r="A15" t="s">
        <v>21</v>
      </c>
      <c r="B15">
        <f>COUNTIF('Domestic Audit'!D:D,"Compliant")</f>
        <v>0</v>
      </c>
      <c r="C15">
        <f>COUNTIF('Domestic Audit'!D:D,"Partially Compliant")</f>
        <v>0</v>
      </c>
      <c r="D15">
        <f>COUNTIF('Domestic Audit'!D:D,"Non-Compliant")</f>
        <v>0</v>
      </c>
      <c r="E15">
        <f>B15+C15+D15</f>
        <v>0</v>
      </c>
      <c r="F15" s="6">
        <f>IFERROR((B15+(C15*0.5))/E15,0)</f>
        <v>0</v>
      </c>
    </row>
    <row r="16" spans="1:8">
      <c r="A16" t="s">
        <v>22</v>
      </c>
      <c r="B16">
        <f>COUNTIF('IPC Audit'!D:D,"Compliant")</f>
        <v>0</v>
      </c>
      <c r="C16">
        <f>COUNTIF('IPC Audit'!D:D,"Partially Compliant")</f>
        <v>0</v>
      </c>
      <c r="D16">
        <f>COUNTIF('IPC Audit'!D:D,"Non-Compliant")</f>
        <v>0</v>
      </c>
      <c r="E16">
        <f>B16+C16+D16</f>
        <v>0</v>
      </c>
      <c r="F16" s="6">
        <f>IFERROR((B16+(C16*0.5))/E16,0)</f>
        <v>0</v>
      </c>
    </row>
    <row r="18" spans="1:3">
      <c r="A18" s="1" t="s">
        <v>23</v>
      </c>
      <c r="B18" s="1" t="s">
        <v>24</v>
      </c>
      <c r="C18" s="1" t="s">
        <v>25</v>
      </c>
    </row>
    <row r="19" spans="1:3">
      <c r="A19" t="s">
        <v>26</v>
      </c>
      <c r="B19">
        <f>COUNTIF('Corrective Action Plan'!I:I,"Open")+COUNTIF('Corrective Action Plan'!I:I,"In Progress")</f>
        <v>0</v>
      </c>
      <c r="C19">
        <f>COUNTIF('Corrective Action Plan'!I:I,"Completed")+COUNTIF('Corrective Action Plan'!I:I,"Closed")</f>
        <v>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4"/>
  <cols>
    <col min="1" max="2" width="24" customWidth="1"/>
    <col min="4" max="4" width="18" customWidth="1"/>
  </cols>
  <sheetData>
    <row r="1" spans="1:4">
      <c r="A1" s="1" t="s">
        <v>27</v>
      </c>
      <c r="B1" s="1" t="s">
        <v>28</v>
      </c>
      <c r="D1" s="1" t="s">
        <v>29</v>
      </c>
    </row>
    <row r="2" spans="1:4">
      <c r="A2" t="s">
        <v>30</v>
      </c>
      <c r="B2" t="s">
        <v>31</v>
      </c>
      <c r="D2" t="s">
        <v>2</v>
      </c>
    </row>
    <row r="3" spans="1:4">
      <c r="A3" t="s">
        <v>32</v>
      </c>
      <c r="B3">
        <v>2026</v>
      </c>
      <c r="D3" t="s">
        <v>3</v>
      </c>
    </row>
    <row r="4" spans="1:4">
      <c r="A4" t="s">
        <v>33</v>
      </c>
      <c r="B4" t="s">
        <v>2</v>
      </c>
      <c r="D4" t="s">
        <v>4</v>
      </c>
    </row>
    <row r="5" spans="1:4">
      <c r="A5" t="s">
        <v>34</v>
      </c>
      <c r="B5" t="s">
        <v>3</v>
      </c>
    </row>
    <row r="6" spans="1:4">
      <c r="A6" t="s">
        <v>35</v>
      </c>
      <c r="B6" t="s">
        <v>4</v>
      </c>
    </row>
    <row r="7" spans="1:4">
      <c r="A7" t="s">
        <v>36</v>
      </c>
      <c r="B7">
        <v>0.95</v>
      </c>
    </row>
    <row r="8" spans="1:4">
      <c r="A8" t="s">
        <v>37</v>
      </c>
      <c r="B8">
        <v>0.85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9"/>
  <sheetViews>
    <sheetView workbookViewId="0"/>
  </sheetViews>
  <sheetFormatPr defaultRowHeight="14"/>
  <cols>
    <col min="1" max="1" width="14" customWidth="1"/>
    <col min="2" max="2" width="28" customWidth="1"/>
    <col min="3" max="3" width="60" customWidth="1"/>
    <col min="4" max="4" width="28" customWidth="1"/>
    <col min="5" max="5" width="30" customWidth="1"/>
  </cols>
  <sheetData>
    <row r="1" spans="1:5">
      <c r="A1" s="2" t="s">
        <v>1</v>
      </c>
      <c r="B1" s="2" t="s">
        <v>38</v>
      </c>
      <c r="C1" s="2" t="s">
        <v>39</v>
      </c>
      <c r="D1" s="2" t="s">
        <v>40</v>
      </c>
      <c r="E1" s="2" t="s">
        <v>41</v>
      </c>
    </row>
    <row r="2" spans="1:5">
      <c r="A2" t="s">
        <v>7</v>
      </c>
      <c r="B2" t="s">
        <v>42</v>
      </c>
      <c r="C2" t="s">
        <v>43</v>
      </c>
    </row>
    <row r="3" spans="1:5">
      <c r="A3" t="s">
        <v>7</v>
      </c>
      <c r="B3" t="s">
        <v>42</v>
      </c>
      <c r="C3" t="s">
        <v>44</v>
      </c>
    </row>
    <row r="4" spans="1:5">
      <c r="A4" t="s">
        <v>7</v>
      </c>
      <c r="B4" t="s">
        <v>42</v>
      </c>
      <c r="C4" t="s">
        <v>45</v>
      </c>
    </row>
    <row r="5" spans="1:5">
      <c r="A5" t="s">
        <v>7</v>
      </c>
      <c r="B5" t="s">
        <v>42</v>
      </c>
      <c r="C5" t="s">
        <v>46</v>
      </c>
    </row>
    <row r="6" spans="1:5">
      <c r="A6" t="s">
        <v>7</v>
      </c>
      <c r="B6" t="s">
        <v>42</v>
      </c>
      <c r="C6" t="s">
        <v>47</v>
      </c>
    </row>
    <row r="7" spans="1:5">
      <c r="A7" t="s">
        <v>7</v>
      </c>
      <c r="B7" t="s">
        <v>42</v>
      </c>
      <c r="C7" t="s">
        <v>48</v>
      </c>
    </row>
    <row r="8" spans="1:5">
      <c r="A8" t="s">
        <v>7</v>
      </c>
      <c r="B8" t="s">
        <v>42</v>
      </c>
      <c r="C8" t="s">
        <v>49</v>
      </c>
    </row>
    <row r="9" spans="1:5">
      <c r="A9" t="s">
        <v>7</v>
      </c>
      <c r="B9" t="s">
        <v>42</v>
      </c>
      <c r="C9" t="s">
        <v>50</v>
      </c>
    </row>
    <row r="10" spans="1:5">
      <c r="A10" t="s">
        <v>7</v>
      </c>
      <c r="B10" t="s">
        <v>42</v>
      </c>
      <c r="C10" t="s">
        <v>51</v>
      </c>
    </row>
    <row r="11" spans="1:5">
      <c r="A11" t="s">
        <v>7</v>
      </c>
      <c r="B11" t="s">
        <v>42</v>
      </c>
      <c r="C11" t="s">
        <v>52</v>
      </c>
    </row>
    <row r="12" spans="1:5">
      <c r="A12" t="s">
        <v>7</v>
      </c>
      <c r="B12" t="s">
        <v>42</v>
      </c>
      <c r="C12" t="s">
        <v>53</v>
      </c>
    </row>
    <row r="13" spans="1:5">
      <c r="A13" t="s">
        <v>7</v>
      </c>
      <c r="B13" t="s">
        <v>42</v>
      </c>
      <c r="C13" t="s">
        <v>54</v>
      </c>
    </row>
    <row r="14" spans="1:5">
      <c r="A14" t="s">
        <v>7</v>
      </c>
      <c r="B14" t="s">
        <v>42</v>
      </c>
      <c r="C14" t="s">
        <v>55</v>
      </c>
    </row>
    <row r="15" spans="1:5">
      <c r="A15" t="s">
        <v>7</v>
      </c>
      <c r="B15" t="s">
        <v>42</v>
      </c>
      <c r="C15" t="s">
        <v>56</v>
      </c>
    </row>
    <row r="16" spans="1:5">
      <c r="A16" t="s">
        <v>7</v>
      </c>
      <c r="B16" t="s">
        <v>57</v>
      </c>
      <c r="C16" t="s">
        <v>58</v>
      </c>
    </row>
    <row r="17" spans="1:3">
      <c r="A17" t="s">
        <v>7</v>
      </c>
      <c r="B17" t="s">
        <v>57</v>
      </c>
      <c r="C17" t="s">
        <v>59</v>
      </c>
    </row>
    <row r="18" spans="1:3">
      <c r="A18" t="s">
        <v>7</v>
      </c>
      <c r="B18" t="s">
        <v>57</v>
      </c>
      <c r="C18" t="s">
        <v>60</v>
      </c>
    </row>
    <row r="19" spans="1:3">
      <c r="A19" t="s">
        <v>7</v>
      </c>
      <c r="B19" t="s">
        <v>57</v>
      </c>
      <c r="C19" t="s">
        <v>61</v>
      </c>
    </row>
    <row r="20" spans="1:3">
      <c r="A20" t="s">
        <v>7</v>
      </c>
      <c r="B20" t="s">
        <v>57</v>
      </c>
      <c r="C20" t="s">
        <v>62</v>
      </c>
    </row>
    <row r="21" spans="1:3">
      <c r="A21" t="s">
        <v>7</v>
      </c>
      <c r="B21" t="s">
        <v>57</v>
      </c>
      <c r="C21" t="s">
        <v>56</v>
      </c>
    </row>
    <row r="22" spans="1:3">
      <c r="A22" t="s">
        <v>7</v>
      </c>
      <c r="B22" t="s">
        <v>57</v>
      </c>
      <c r="C22" t="s">
        <v>54</v>
      </c>
    </row>
    <row r="23" spans="1:3">
      <c r="A23" t="s">
        <v>7</v>
      </c>
      <c r="B23" t="s">
        <v>57</v>
      </c>
      <c r="C23" t="s">
        <v>49</v>
      </c>
    </row>
    <row r="24" spans="1:3">
      <c r="A24" t="s">
        <v>7</v>
      </c>
      <c r="B24" t="s">
        <v>57</v>
      </c>
      <c r="C24" t="s">
        <v>63</v>
      </c>
    </row>
    <row r="25" spans="1:3">
      <c r="A25" t="s">
        <v>7</v>
      </c>
      <c r="B25" t="s">
        <v>57</v>
      </c>
      <c r="C25" t="s">
        <v>64</v>
      </c>
    </row>
    <row r="26" spans="1:3">
      <c r="A26" t="s">
        <v>7</v>
      </c>
      <c r="B26" t="s">
        <v>57</v>
      </c>
      <c r="C26" t="s">
        <v>65</v>
      </c>
    </row>
    <row r="27" spans="1:3">
      <c r="A27" t="s">
        <v>7</v>
      </c>
      <c r="B27" t="s">
        <v>57</v>
      </c>
      <c r="C27" t="s">
        <v>66</v>
      </c>
    </row>
    <row r="28" spans="1:3">
      <c r="A28" t="s">
        <v>7</v>
      </c>
      <c r="B28" t="s">
        <v>57</v>
      </c>
      <c r="C28" t="s">
        <v>50</v>
      </c>
    </row>
    <row r="29" spans="1:3">
      <c r="A29" t="s">
        <v>7</v>
      </c>
      <c r="B29" t="s">
        <v>67</v>
      </c>
      <c r="C29" t="s">
        <v>68</v>
      </c>
    </row>
    <row r="30" spans="1:3">
      <c r="A30" t="s">
        <v>7</v>
      </c>
      <c r="B30" t="s">
        <v>67</v>
      </c>
      <c r="C30" t="s">
        <v>69</v>
      </c>
    </row>
    <row r="31" spans="1:3">
      <c r="A31" t="s">
        <v>7</v>
      </c>
      <c r="B31" t="s">
        <v>67</v>
      </c>
      <c r="C31" t="s">
        <v>70</v>
      </c>
    </row>
    <row r="32" spans="1:3">
      <c r="A32" t="s">
        <v>7</v>
      </c>
      <c r="B32" t="s">
        <v>67</v>
      </c>
      <c r="C32" t="s">
        <v>71</v>
      </c>
    </row>
    <row r="33" spans="1:3">
      <c r="A33" t="s">
        <v>7</v>
      </c>
      <c r="B33" t="s">
        <v>67</v>
      </c>
      <c r="C33" t="s">
        <v>72</v>
      </c>
    </row>
    <row r="34" spans="1:3">
      <c r="A34" t="s">
        <v>7</v>
      </c>
      <c r="B34" t="s">
        <v>67</v>
      </c>
      <c r="C34" t="s">
        <v>73</v>
      </c>
    </row>
    <row r="35" spans="1:3">
      <c r="A35" t="s">
        <v>7</v>
      </c>
      <c r="B35" t="s">
        <v>67</v>
      </c>
      <c r="C35" t="s">
        <v>74</v>
      </c>
    </row>
    <row r="36" spans="1:3">
      <c r="A36" t="s">
        <v>7</v>
      </c>
      <c r="B36" t="s">
        <v>67</v>
      </c>
      <c r="C36" t="s">
        <v>58</v>
      </c>
    </row>
    <row r="37" spans="1:3">
      <c r="A37" t="s">
        <v>7</v>
      </c>
      <c r="B37" t="s">
        <v>67</v>
      </c>
      <c r="C37" t="s">
        <v>54</v>
      </c>
    </row>
    <row r="38" spans="1:3">
      <c r="A38" t="s">
        <v>7</v>
      </c>
      <c r="B38" t="s">
        <v>67</v>
      </c>
      <c r="C38" t="s">
        <v>75</v>
      </c>
    </row>
    <row r="39" spans="1:3">
      <c r="A39" t="s">
        <v>7</v>
      </c>
      <c r="B39" t="s">
        <v>67</v>
      </c>
      <c r="C39" t="s">
        <v>76</v>
      </c>
    </row>
    <row r="40" spans="1:3">
      <c r="A40" t="s">
        <v>7</v>
      </c>
      <c r="B40" t="s">
        <v>67</v>
      </c>
      <c r="C40" t="s">
        <v>77</v>
      </c>
    </row>
    <row r="41" spans="1:3">
      <c r="A41" t="s">
        <v>7</v>
      </c>
      <c r="B41" t="s">
        <v>67</v>
      </c>
      <c r="C41" t="s">
        <v>66</v>
      </c>
    </row>
    <row r="42" spans="1:3">
      <c r="A42" t="s">
        <v>7</v>
      </c>
      <c r="B42" t="s">
        <v>67</v>
      </c>
      <c r="C42" t="s">
        <v>56</v>
      </c>
    </row>
    <row r="43" spans="1:3">
      <c r="A43" t="s">
        <v>7</v>
      </c>
      <c r="B43" t="s">
        <v>78</v>
      </c>
      <c r="C43" t="s">
        <v>44</v>
      </c>
    </row>
    <row r="44" spans="1:3">
      <c r="A44" t="s">
        <v>7</v>
      </c>
      <c r="B44" t="s">
        <v>78</v>
      </c>
      <c r="C44" t="s">
        <v>46</v>
      </c>
    </row>
    <row r="45" spans="1:3">
      <c r="A45" t="s">
        <v>7</v>
      </c>
      <c r="B45" t="s">
        <v>78</v>
      </c>
      <c r="C45" t="s">
        <v>48</v>
      </c>
    </row>
    <row r="46" spans="1:3">
      <c r="A46" t="s">
        <v>7</v>
      </c>
      <c r="B46" t="s">
        <v>78</v>
      </c>
      <c r="C46" t="s">
        <v>49</v>
      </c>
    </row>
    <row r="47" spans="1:3">
      <c r="A47" t="s">
        <v>7</v>
      </c>
      <c r="B47" t="s">
        <v>78</v>
      </c>
      <c r="C47" t="s">
        <v>50</v>
      </c>
    </row>
    <row r="48" spans="1:3">
      <c r="A48" t="s">
        <v>7</v>
      </c>
      <c r="B48" t="s">
        <v>78</v>
      </c>
      <c r="C48" t="s">
        <v>51</v>
      </c>
    </row>
    <row r="49" spans="1:3">
      <c r="A49" t="s">
        <v>7</v>
      </c>
      <c r="B49" t="s">
        <v>78</v>
      </c>
      <c r="C49" t="s">
        <v>75</v>
      </c>
    </row>
    <row r="50" spans="1:3">
      <c r="A50" t="s">
        <v>7</v>
      </c>
      <c r="B50" t="s">
        <v>78</v>
      </c>
      <c r="C50" t="s">
        <v>54</v>
      </c>
    </row>
    <row r="51" spans="1:3">
      <c r="A51" t="s">
        <v>7</v>
      </c>
      <c r="B51" t="s">
        <v>78</v>
      </c>
      <c r="C51" t="s">
        <v>56</v>
      </c>
    </row>
    <row r="52" spans="1:3">
      <c r="A52" t="s">
        <v>7</v>
      </c>
      <c r="B52" t="s">
        <v>78</v>
      </c>
      <c r="C52" t="s">
        <v>79</v>
      </c>
    </row>
    <row r="53" spans="1:3">
      <c r="A53" t="s">
        <v>7</v>
      </c>
      <c r="B53" t="s">
        <v>78</v>
      </c>
      <c r="C53" t="s">
        <v>80</v>
      </c>
    </row>
    <row r="54" spans="1:3">
      <c r="A54" t="s">
        <v>7</v>
      </c>
      <c r="B54" t="s">
        <v>78</v>
      </c>
      <c r="C54" t="s">
        <v>81</v>
      </c>
    </row>
    <row r="55" spans="1:3">
      <c r="A55" t="s">
        <v>7</v>
      </c>
      <c r="B55" t="s">
        <v>78</v>
      </c>
      <c r="C55" t="s">
        <v>82</v>
      </c>
    </row>
    <row r="56" spans="1:3">
      <c r="A56" t="s">
        <v>7</v>
      </c>
      <c r="B56" t="s">
        <v>83</v>
      </c>
      <c r="C56" t="s">
        <v>44</v>
      </c>
    </row>
    <row r="57" spans="1:3">
      <c r="A57" t="s">
        <v>7</v>
      </c>
      <c r="B57" t="s">
        <v>83</v>
      </c>
      <c r="C57" t="s">
        <v>46</v>
      </c>
    </row>
    <row r="58" spans="1:3">
      <c r="A58" t="s">
        <v>7</v>
      </c>
      <c r="B58" t="s">
        <v>83</v>
      </c>
      <c r="C58" t="s">
        <v>48</v>
      </c>
    </row>
    <row r="59" spans="1:3">
      <c r="A59" t="s">
        <v>7</v>
      </c>
      <c r="B59" t="s">
        <v>83</v>
      </c>
      <c r="C59" t="s">
        <v>49</v>
      </c>
    </row>
    <row r="60" spans="1:3">
      <c r="A60" t="s">
        <v>7</v>
      </c>
      <c r="B60" t="s">
        <v>83</v>
      </c>
      <c r="C60" t="s">
        <v>50</v>
      </c>
    </row>
    <row r="61" spans="1:3">
      <c r="A61" t="s">
        <v>7</v>
      </c>
      <c r="B61" t="s">
        <v>83</v>
      </c>
      <c r="C61" t="s">
        <v>51</v>
      </c>
    </row>
    <row r="62" spans="1:3">
      <c r="A62" t="s">
        <v>7</v>
      </c>
      <c r="B62" t="s">
        <v>83</v>
      </c>
      <c r="C62" t="s">
        <v>75</v>
      </c>
    </row>
    <row r="63" spans="1:3">
      <c r="A63" t="s">
        <v>7</v>
      </c>
      <c r="B63" t="s">
        <v>83</v>
      </c>
      <c r="C63" t="s">
        <v>54</v>
      </c>
    </row>
    <row r="64" spans="1:3">
      <c r="A64" t="s">
        <v>7</v>
      </c>
      <c r="B64" t="s">
        <v>83</v>
      </c>
      <c r="C64" t="s">
        <v>56</v>
      </c>
    </row>
    <row r="65" spans="1:3">
      <c r="A65" t="s">
        <v>7</v>
      </c>
      <c r="B65" t="s">
        <v>83</v>
      </c>
      <c r="C65" t="s">
        <v>79</v>
      </c>
    </row>
    <row r="66" spans="1:3">
      <c r="A66" t="s">
        <v>7</v>
      </c>
      <c r="B66" t="s">
        <v>83</v>
      </c>
      <c r="C66" t="s">
        <v>80</v>
      </c>
    </row>
    <row r="67" spans="1:3">
      <c r="A67" t="s">
        <v>7</v>
      </c>
      <c r="B67" t="s">
        <v>83</v>
      </c>
      <c r="C67" t="s">
        <v>81</v>
      </c>
    </row>
    <row r="68" spans="1:3">
      <c r="A68" t="s">
        <v>7</v>
      </c>
      <c r="B68" t="s">
        <v>83</v>
      </c>
      <c r="C68" t="s">
        <v>82</v>
      </c>
    </row>
    <row r="69" spans="1:3">
      <c r="A69" t="s">
        <v>7</v>
      </c>
      <c r="B69" t="s">
        <v>84</v>
      </c>
      <c r="C69" t="s">
        <v>44</v>
      </c>
    </row>
    <row r="70" spans="1:3">
      <c r="A70" t="s">
        <v>7</v>
      </c>
      <c r="B70" t="s">
        <v>84</v>
      </c>
      <c r="C70" t="s">
        <v>48</v>
      </c>
    </row>
    <row r="71" spans="1:3">
      <c r="A71" t="s">
        <v>7</v>
      </c>
      <c r="B71" t="s">
        <v>84</v>
      </c>
      <c r="C71" t="s">
        <v>49</v>
      </c>
    </row>
    <row r="72" spans="1:3">
      <c r="A72" t="s">
        <v>7</v>
      </c>
      <c r="B72" t="s">
        <v>84</v>
      </c>
      <c r="C72" t="s">
        <v>50</v>
      </c>
    </row>
    <row r="73" spans="1:3">
      <c r="A73" t="s">
        <v>7</v>
      </c>
      <c r="B73" t="s">
        <v>84</v>
      </c>
      <c r="C73" t="s">
        <v>51</v>
      </c>
    </row>
    <row r="74" spans="1:3">
      <c r="A74" t="s">
        <v>7</v>
      </c>
      <c r="B74" t="s">
        <v>84</v>
      </c>
      <c r="C74" t="s">
        <v>75</v>
      </c>
    </row>
    <row r="75" spans="1:3">
      <c r="A75" t="s">
        <v>7</v>
      </c>
      <c r="B75" t="s">
        <v>84</v>
      </c>
      <c r="C75" t="s">
        <v>54</v>
      </c>
    </row>
    <row r="76" spans="1:3">
      <c r="A76" t="s">
        <v>7</v>
      </c>
      <c r="B76" t="s">
        <v>84</v>
      </c>
      <c r="C76" t="s">
        <v>56</v>
      </c>
    </row>
    <row r="77" spans="1:3">
      <c r="A77" t="s">
        <v>7</v>
      </c>
      <c r="B77" t="s">
        <v>84</v>
      </c>
      <c r="C77" t="s">
        <v>79</v>
      </c>
    </row>
    <row r="78" spans="1:3">
      <c r="A78" t="s">
        <v>7</v>
      </c>
      <c r="B78" t="s">
        <v>84</v>
      </c>
      <c r="C78" t="s">
        <v>80</v>
      </c>
    </row>
    <row r="79" spans="1:3">
      <c r="A79" t="s">
        <v>7</v>
      </c>
      <c r="B79" t="s">
        <v>84</v>
      </c>
      <c r="C79" t="s">
        <v>81</v>
      </c>
    </row>
    <row r="80" spans="1:3">
      <c r="A80" t="s">
        <v>7</v>
      </c>
      <c r="B80" t="s">
        <v>84</v>
      </c>
      <c r="C80" t="s">
        <v>82</v>
      </c>
    </row>
    <row r="81" spans="1:3">
      <c r="A81" t="s">
        <v>7</v>
      </c>
      <c r="B81" t="s">
        <v>84</v>
      </c>
      <c r="C81" t="s">
        <v>85</v>
      </c>
    </row>
    <row r="82" spans="1:3">
      <c r="A82" t="s">
        <v>7</v>
      </c>
      <c r="B82" t="s">
        <v>84</v>
      </c>
      <c r="C82" t="s">
        <v>86</v>
      </c>
    </row>
    <row r="83" spans="1:3">
      <c r="A83" t="s">
        <v>7</v>
      </c>
      <c r="B83" t="s">
        <v>87</v>
      </c>
      <c r="C83" t="s">
        <v>44</v>
      </c>
    </row>
    <row r="84" spans="1:3">
      <c r="A84" t="s">
        <v>7</v>
      </c>
      <c r="B84" t="s">
        <v>87</v>
      </c>
      <c r="C84" t="s">
        <v>48</v>
      </c>
    </row>
    <row r="85" spans="1:3">
      <c r="A85" t="s">
        <v>7</v>
      </c>
      <c r="B85" t="s">
        <v>87</v>
      </c>
      <c r="C85" t="s">
        <v>49</v>
      </c>
    </row>
    <row r="86" spans="1:3">
      <c r="A86" t="s">
        <v>7</v>
      </c>
      <c r="B86" t="s">
        <v>87</v>
      </c>
      <c r="C86" t="s">
        <v>50</v>
      </c>
    </row>
    <row r="87" spans="1:3">
      <c r="A87" t="s">
        <v>7</v>
      </c>
      <c r="B87" t="s">
        <v>87</v>
      </c>
      <c r="C87" t="s">
        <v>75</v>
      </c>
    </row>
    <row r="88" spans="1:3">
      <c r="A88" t="s">
        <v>7</v>
      </c>
      <c r="B88" t="s">
        <v>87</v>
      </c>
      <c r="C88" t="s">
        <v>54</v>
      </c>
    </row>
    <row r="89" spans="1:3">
      <c r="A89" t="s">
        <v>7</v>
      </c>
      <c r="B89" t="s">
        <v>87</v>
      </c>
      <c r="C89" t="s">
        <v>56</v>
      </c>
    </row>
    <row r="90" spans="1:3">
      <c r="A90" t="s">
        <v>7</v>
      </c>
      <c r="B90" t="s">
        <v>87</v>
      </c>
      <c r="C90" t="s">
        <v>79</v>
      </c>
    </row>
    <row r="91" spans="1:3">
      <c r="A91" t="s">
        <v>7</v>
      </c>
      <c r="B91" t="s">
        <v>87</v>
      </c>
      <c r="C91" t="s">
        <v>80</v>
      </c>
    </row>
    <row r="92" spans="1:3">
      <c r="A92" t="s">
        <v>7</v>
      </c>
      <c r="B92" t="s">
        <v>87</v>
      </c>
      <c r="C92" t="s">
        <v>88</v>
      </c>
    </row>
    <row r="93" spans="1:3">
      <c r="A93" t="s">
        <v>7</v>
      </c>
      <c r="B93" t="s">
        <v>87</v>
      </c>
      <c r="C93" t="s">
        <v>85</v>
      </c>
    </row>
    <row r="94" spans="1:3">
      <c r="A94" t="s">
        <v>7</v>
      </c>
      <c r="B94" t="s">
        <v>87</v>
      </c>
      <c r="C94" t="s">
        <v>89</v>
      </c>
    </row>
    <row r="95" spans="1:3">
      <c r="A95" t="s">
        <v>7</v>
      </c>
      <c r="B95" t="s">
        <v>87</v>
      </c>
      <c r="C95" t="s">
        <v>90</v>
      </c>
    </row>
    <row r="96" spans="1:3">
      <c r="A96" t="s">
        <v>7</v>
      </c>
      <c r="B96" t="s">
        <v>87</v>
      </c>
      <c r="C96" t="s">
        <v>91</v>
      </c>
    </row>
    <row r="97" spans="1:3">
      <c r="A97" t="s">
        <v>7</v>
      </c>
      <c r="B97" t="s">
        <v>92</v>
      </c>
      <c r="C97" t="s">
        <v>49</v>
      </c>
    </row>
    <row r="98" spans="1:3">
      <c r="A98" t="s">
        <v>7</v>
      </c>
      <c r="B98" t="s">
        <v>92</v>
      </c>
      <c r="C98" t="s">
        <v>50</v>
      </c>
    </row>
    <row r="99" spans="1:3">
      <c r="A99" t="s">
        <v>7</v>
      </c>
      <c r="B99" t="s">
        <v>92</v>
      </c>
      <c r="C99" t="s">
        <v>75</v>
      </c>
    </row>
    <row r="100" spans="1:3">
      <c r="A100" t="s">
        <v>7</v>
      </c>
      <c r="B100" t="s">
        <v>92</v>
      </c>
      <c r="C100" t="s">
        <v>53</v>
      </c>
    </row>
    <row r="101" spans="1:3">
      <c r="A101" t="s">
        <v>7</v>
      </c>
      <c r="B101" t="s">
        <v>92</v>
      </c>
      <c r="C101" t="s">
        <v>54</v>
      </c>
    </row>
    <row r="102" spans="1:3">
      <c r="A102" t="s">
        <v>7</v>
      </c>
      <c r="B102" t="s">
        <v>92</v>
      </c>
      <c r="C102" t="s">
        <v>93</v>
      </c>
    </row>
    <row r="103" spans="1:3">
      <c r="A103" t="s">
        <v>7</v>
      </c>
      <c r="B103" t="s">
        <v>92</v>
      </c>
      <c r="C103" t="s">
        <v>94</v>
      </c>
    </row>
    <row r="104" spans="1:3">
      <c r="A104" t="s">
        <v>7</v>
      </c>
      <c r="B104" t="s">
        <v>92</v>
      </c>
      <c r="C104" t="s">
        <v>95</v>
      </c>
    </row>
    <row r="105" spans="1:3">
      <c r="A105" t="s">
        <v>7</v>
      </c>
      <c r="B105" t="s">
        <v>92</v>
      </c>
      <c r="C105" t="s">
        <v>96</v>
      </c>
    </row>
    <row r="106" spans="1:3">
      <c r="A106" t="s">
        <v>7</v>
      </c>
      <c r="B106" t="s">
        <v>92</v>
      </c>
      <c r="C106" t="s">
        <v>97</v>
      </c>
    </row>
    <row r="107" spans="1:3">
      <c r="A107" t="s">
        <v>7</v>
      </c>
      <c r="B107" t="s">
        <v>92</v>
      </c>
      <c r="C107" t="s">
        <v>98</v>
      </c>
    </row>
    <row r="108" spans="1:3">
      <c r="A108" t="s">
        <v>7</v>
      </c>
      <c r="B108" t="s">
        <v>92</v>
      </c>
      <c r="C108" t="s">
        <v>99</v>
      </c>
    </row>
    <row r="109" spans="1:3">
      <c r="A109" t="s">
        <v>7</v>
      </c>
      <c r="B109" t="s">
        <v>92</v>
      </c>
      <c r="C109" t="s">
        <v>100</v>
      </c>
    </row>
    <row r="110" spans="1:3">
      <c r="A110" t="s">
        <v>7</v>
      </c>
      <c r="B110" t="s">
        <v>92</v>
      </c>
      <c r="C110" t="s">
        <v>101</v>
      </c>
    </row>
    <row r="111" spans="1:3">
      <c r="A111" t="s">
        <v>7</v>
      </c>
      <c r="B111" t="s">
        <v>102</v>
      </c>
      <c r="C111" t="s">
        <v>103</v>
      </c>
    </row>
    <row r="112" spans="1:3">
      <c r="A112" t="s">
        <v>7</v>
      </c>
      <c r="B112" t="s">
        <v>102</v>
      </c>
      <c r="C112" t="s">
        <v>104</v>
      </c>
    </row>
    <row r="113" spans="1:3">
      <c r="A113" t="s">
        <v>7</v>
      </c>
      <c r="B113" t="s">
        <v>102</v>
      </c>
      <c r="C113" t="s">
        <v>105</v>
      </c>
    </row>
    <row r="114" spans="1:3">
      <c r="A114" t="s">
        <v>7</v>
      </c>
      <c r="B114" t="s">
        <v>102</v>
      </c>
      <c r="C114" t="s">
        <v>106</v>
      </c>
    </row>
    <row r="115" spans="1:3">
      <c r="A115" t="s">
        <v>7</v>
      </c>
      <c r="B115" t="s">
        <v>102</v>
      </c>
      <c r="C115" t="s">
        <v>107</v>
      </c>
    </row>
    <row r="116" spans="1:3">
      <c r="A116" t="s">
        <v>7</v>
      </c>
      <c r="B116" t="s">
        <v>102</v>
      </c>
      <c r="C116" t="s">
        <v>108</v>
      </c>
    </row>
    <row r="117" spans="1:3">
      <c r="A117" t="s">
        <v>7</v>
      </c>
      <c r="B117" t="s">
        <v>102</v>
      </c>
      <c r="C117" t="s">
        <v>109</v>
      </c>
    </row>
    <row r="118" spans="1:3">
      <c r="A118" t="s">
        <v>7</v>
      </c>
      <c r="B118" t="s">
        <v>102</v>
      </c>
      <c r="C118" t="s">
        <v>110</v>
      </c>
    </row>
    <row r="119" spans="1:3">
      <c r="A119" t="s">
        <v>7</v>
      </c>
      <c r="B119" t="s">
        <v>102</v>
      </c>
      <c r="C119" t="s">
        <v>111</v>
      </c>
    </row>
    <row r="120" spans="1:3">
      <c r="A120" t="s">
        <v>7</v>
      </c>
      <c r="B120" t="s">
        <v>112</v>
      </c>
      <c r="C120" t="s">
        <v>113</v>
      </c>
    </row>
    <row r="121" spans="1:3">
      <c r="A121" t="s">
        <v>7</v>
      </c>
      <c r="B121" t="s">
        <v>112</v>
      </c>
      <c r="C121" t="s">
        <v>111</v>
      </c>
    </row>
    <row r="122" spans="1:3">
      <c r="A122" t="s">
        <v>7</v>
      </c>
      <c r="B122" t="s">
        <v>112</v>
      </c>
      <c r="C122" t="s">
        <v>75</v>
      </c>
    </row>
    <row r="123" spans="1:3">
      <c r="A123" t="s">
        <v>7</v>
      </c>
      <c r="B123" t="s">
        <v>112</v>
      </c>
      <c r="C123" t="s">
        <v>114</v>
      </c>
    </row>
    <row r="124" spans="1:3">
      <c r="A124" t="s">
        <v>7</v>
      </c>
      <c r="B124" t="s">
        <v>112</v>
      </c>
      <c r="C124" t="s">
        <v>115</v>
      </c>
    </row>
    <row r="125" spans="1:3">
      <c r="A125" t="s">
        <v>7</v>
      </c>
      <c r="B125" t="s">
        <v>112</v>
      </c>
      <c r="C125" t="s">
        <v>116</v>
      </c>
    </row>
    <row r="126" spans="1:3">
      <c r="A126" t="s">
        <v>7</v>
      </c>
      <c r="B126" t="s">
        <v>112</v>
      </c>
      <c r="C126" t="s">
        <v>117</v>
      </c>
    </row>
    <row r="127" spans="1:3">
      <c r="A127" t="s">
        <v>7</v>
      </c>
      <c r="B127" t="s">
        <v>112</v>
      </c>
      <c r="C127" t="s">
        <v>118</v>
      </c>
    </row>
    <row r="128" spans="1:3">
      <c r="A128" t="s">
        <v>7</v>
      </c>
      <c r="B128" t="s">
        <v>119</v>
      </c>
      <c r="C128" t="s">
        <v>113</v>
      </c>
    </row>
    <row r="129" spans="1:3">
      <c r="A129" t="s">
        <v>7</v>
      </c>
      <c r="B129" t="s">
        <v>119</v>
      </c>
      <c r="C129" t="s">
        <v>111</v>
      </c>
    </row>
    <row r="130" spans="1:3">
      <c r="A130" t="s">
        <v>7</v>
      </c>
      <c r="B130" t="s">
        <v>119</v>
      </c>
      <c r="C130" t="s">
        <v>75</v>
      </c>
    </row>
    <row r="131" spans="1:3">
      <c r="A131" t="s">
        <v>7</v>
      </c>
      <c r="B131" t="s">
        <v>119</v>
      </c>
      <c r="C131" t="s">
        <v>114</v>
      </c>
    </row>
    <row r="132" spans="1:3">
      <c r="A132" t="s">
        <v>7</v>
      </c>
      <c r="B132" t="s">
        <v>119</v>
      </c>
      <c r="C132" t="s">
        <v>115</v>
      </c>
    </row>
    <row r="133" spans="1:3">
      <c r="A133" t="s">
        <v>7</v>
      </c>
      <c r="B133" t="s">
        <v>119</v>
      </c>
      <c r="C133" t="s">
        <v>116</v>
      </c>
    </row>
    <row r="134" spans="1:3">
      <c r="A134" t="s">
        <v>7</v>
      </c>
      <c r="B134" t="s">
        <v>119</v>
      </c>
      <c r="C134" t="s">
        <v>117</v>
      </c>
    </row>
    <row r="135" spans="1:3">
      <c r="A135" t="s">
        <v>7</v>
      </c>
      <c r="B135" t="s">
        <v>119</v>
      </c>
      <c r="C135" t="s">
        <v>118</v>
      </c>
    </row>
    <row r="136" spans="1:3">
      <c r="A136" t="s">
        <v>7</v>
      </c>
      <c r="B136" t="s">
        <v>120</v>
      </c>
      <c r="C136" t="s">
        <v>121</v>
      </c>
    </row>
    <row r="137" spans="1:3">
      <c r="A137" t="s">
        <v>7</v>
      </c>
      <c r="B137" t="s">
        <v>120</v>
      </c>
      <c r="C137" t="s">
        <v>122</v>
      </c>
    </row>
    <row r="138" spans="1:3">
      <c r="A138" t="s">
        <v>7</v>
      </c>
      <c r="B138" t="s">
        <v>120</v>
      </c>
      <c r="C138" t="s">
        <v>123</v>
      </c>
    </row>
    <row r="139" spans="1:3">
      <c r="A139" t="s">
        <v>7</v>
      </c>
      <c r="B139" t="s">
        <v>120</v>
      </c>
      <c r="C139" t="s">
        <v>124</v>
      </c>
    </row>
    <row r="140" spans="1:3">
      <c r="A140" t="s">
        <v>7</v>
      </c>
      <c r="B140" t="s">
        <v>120</v>
      </c>
      <c r="C140" t="s">
        <v>125</v>
      </c>
    </row>
    <row r="141" spans="1:3">
      <c r="A141" t="s">
        <v>7</v>
      </c>
      <c r="B141" t="s">
        <v>120</v>
      </c>
      <c r="C141" t="s">
        <v>111</v>
      </c>
    </row>
    <row r="142" spans="1:3">
      <c r="A142" t="s">
        <v>7</v>
      </c>
      <c r="B142" t="s">
        <v>120</v>
      </c>
      <c r="C142" t="s">
        <v>126</v>
      </c>
    </row>
    <row r="143" spans="1:3">
      <c r="A143" t="s">
        <v>7</v>
      </c>
      <c r="B143" t="s">
        <v>127</v>
      </c>
      <c r="C143" t="s">
        <v>128</v>
      </c>
    </row>
    <row r="144" spans="1:3">
      <c r="A144" t="s">
        <v>7</v>
      </c>
      <c r="B144" t="s">
        <v>127</v>
      </c>
      <c r="C144" t="s">
        <v>129</v>
      </c>
    </row>
    <row r="145" spans="1:3">
      <c r="A145" t="s">
        <v>7</v>
      </c>
      <c r="B145" t="s">
        <v>127</v>
      </c>
      <c r="C145" t="s">
        <v>130</v>
      </c>
    </row>
    <row r="146" spans="1:3">
      <c r="A146" t="s">
        <v>7</v>
      </c>
      <c r="B146" t="s">
        <v>127</v>
      </c>
      <c r="C146" t="s">
        <v>131</v>
      </c>
    </row>
    <row r="147" spans="1:3">
      <c r="A147" t="s">
        <v>7</v>
      </c>
      <c r="B147" t="s">
        <v>127</v>
      </c>
      <c r="C147" t="s">
        <v>132</v>
      </c>
    </row>
    <row r="148" spans="1:3">
      <c r="A148" t="s">
        <v>7</v>
      </c>
      <c r="B148" t="s">
        <v>127</v>
      </c>
      <c r="C148" t="s">
        <v>133</v>
      </c>
    </row>
    <row r="149" spans="1:3">
      <c r="A149" t="s">
        <v>7</v>
      </c>
      <c r="B149" t="s">
        <v>127</v>
      </c>
      <c r="C149" t="s">
        <v>134</v>
      </c>
    </row>
    <row r="150" spans="1:3">
      <c r="A150" t="s">
        <v>7</v>
      </c>
      <c r="B150" t="s">
        <v>127</v>
      </c>
      <c r="C150" t="s">
        <v>135</v>
      </c>
    </row>
    <row r="151" spans="1:3">
      <c r="A151" t="s">
        <v>7</v>
      </c>
      <c r="B151" t="s">
        <v>127</v>
      </c>
      <c r="C151" t="s">
        <v>136</v>
      </c>
    </row>
    <row r="152" spans="1:3">
      <c r="A152" t="s">
        <v>7</v>
      </c>
      <c r="B152" t="s">
        <v>137</v>
      </c>
      <c r="C152" t="s">
        <v>138</v>
      </c>
    </row>
    <row r="153" spans="1:3">
      <c r="A153" t="s">
        <v>7</v>
      </c>
      <c r="B153" t="s">
        <v>137</v>
      </c>
      <c r="C153" t="s">
        <v>139</v>
      </c>
    </row>
    <row r="154" spans="1:3">
      <c r="A154" t="s">
        <v>7</v>
      </c>
      <c r="B154" t="s">
        <v>137</v>
      </c>
      <c r="C154" t="s">
        <v>140</v>
      </c>
    </row>
    <row r="155" spans="1:3">
      <c r="A155" t="s">
        <v>8</v>
      </c>
      <c r="B155" t="s">
        <v>141</v>
      </c>
      <c r="C155" t="s">
        <v>142</v>
      </c>
    </row>
    <row r="156" spans="1:3">
      <c r="A156" t="s">
        <v>8</v>
      </c>
      <c r="B156" t="s">
        <v>141</v>
      </c>
      <c r="C156" t="s">
        <v>143</v>
      </c>
    </row>
    <row r="157" spans="1:3">
      <c r="A157" t="s">
        <v>8</v>
      </c>
      <c r="B157" t="s">
        <v>141</v>
      </c>
      <c r="C157" t="s">
        <v>144</v>
      </c>
    </row>
    <row r="158" spans="1:3">
      <c r="A158" t="s">
        <v>8</v>
      </c>
      <c r="B158" t="s">
        <v>141</v>
      </c>
      <c r="C158" t="s">
        <v>145</v>
      </c>
    </row>
    <row r="159" spans="1:3">
      <c r="A159" t="s">
        <v>8</v>
      </c>
      <c r="B159" t="s">
        <v>141</v>
      </c>
      <c r="C159" t="s">
        <v>146</v>
      </c>
    </row>
    <row r="160" spans="1:3">
      <c r="A160" t="s">
        <v>8</v>
      </c>
      <c r="B160" t="s">
        <v>141</v>
      </c>
      <c r="C160" t="s">
        <v>147</v>
      </c>
    </row>
    <row r="161" spans="1:3">
      <c r="A161" t="s">
        <v>8</v>
      </c>
      <c r="B161" t="s">
        <v>141</v>
      </c>
      <c r="C161" t="s">
        <v>148</v>
      </c>
    </row>
    <row r="162" spans="1:3">
      <c r="A162" t="s">
        <v>8</v>
      </c>
      <c r="B162" t="s">
        <v>92</v>
      </c>
      <c r="C162" t="s">
        <v>149</v>
      </c>
    </row>
    <row r="163" spans="1:3">
      <c r="A163" t="s">
        <v>8</v>
      </c>
      <c r="B163" t="s">
        <v>102</v>
      </c>
      <c r="C163" t="s">
        <v>150</v>
      </c>
    </row>
    <row r="164" spans="1:3">
      <c r="A164" t="s">
        <v>8</v>
      </c>
      <c r="B164" t="s">
        <v>102</v>
      </c>
      <c r="C164" t="s">
        <v>151</v>
      </c>
    </row>
    <row r="165" spans="1:3">
      <c r="A165" t="s">
        <v>8</v>
      </c>
      <c r="B165" t="s">
        <v>102</v>
      </c>
      <c r="C165" t="s">
        <v>152</v>
      </c>
    </row>
    <row r="166" spans="1:3">
      <c r="A166" t="s">
        <v>8</v>
      </c>
      <c r="B166" t="s">
        <v>153</v>
      </c>
      <c r="C166" t="s">
        <v>154</v>
      </c>
    </row>
    <row r="167" spans="1:3">
      <c r="A167" t="s">
        <v>8</v>
      </c>
      <c r="B167" t="s">
        <v>153</v>
      </c>
      <c r="C167" t="s">
        <v>155</v>
      </c>
    </row>
    <row r="168" spans="1:3">
      <c r="A168" t="s">
        <v>8</v>
      </c>
      <c r="B168" t="s">
        <v>153</v>
      </c>
      <c r="C168" t="s">
        <v>156</v>
      </c>
    </row>
    <row r="169" spans="1:3">
      <c r="A169" t="s">
        <v>8</v>
      </c>
      <c r="B169" t="s">
        <v>120</v>
      </c>
      <c r="C169" t="s">
        <v>157</v>
      </c>
    </row>
    <row r="170" spans="1:3">
      <c r="A170" t="s">
        <v>8</v>
      </c>
      <c r="B170" t="s">
        <v>120</v>
      </c>
      <c r="C170" t="s">
        <v>158</v>
      </c>
    </row>
    <row r="171" spans="1:3">
      <c r="A171" t="s">
        <v>8</v>
      </c>
      <c r="B171" t="s">
        <v>120</v>
      </c>
      <c r="C171" t="s">
        <v>159</v>
      </c>
    </row>
    <row r="172" spans="1:3">
      <c r="A172" t="s">
        <v>8</v>
      </c>
      <c r="B172" t="s">
        <v>127</v>
      </c>
      <c r="C172" t="s">
        <v>160</v>
      </c>
    </row>
    <row r="173" spans="1:3">
      <c r="A173" t="s">
        <v>8</v>
      </c>
      <c r="B173" t="s">
        <v>137</v>
      </c>
      <c r="C173" t="s">
        <v>161</v>
      </c>
    </row>
    <row r="174" spans="1:3">
      <c r="A174" t="s">
        <v>8</v>
      </c>
      <c r="B174" t="s">
        <v>137</v>
      </c>
      <c r="C174" t="s">
        <v>162</v>
      </c>
    </row>
    <row r="175" spans="1:3">
      <c r="A175" t="s">
        <v>8</v>
      </c>
      <c r="B175" t="s">
        <v>137</v>
      </c>
      <c r="C175" t="s">
        <v>163</v>
      </c>
    </row>
    <row r="176" spans="1:3">
      <c r="A176" t="s">
        <v>9</v>
      </c>
      <c r="B176" t="s">
        <v>141</v>
      </c>
      <c r="C176" t="s">
        <v>164</v>
      </c>
    </row>
    <row r="177" spans="1:3">
      <c r="A177" t="s">
        <v>9</v>
      </c>
      <c r="B177" t="s">
        <v>141</v>
      </c>
      <c r="C177" t="s">
        <v>165</v>
      </c>
    </row>
    <row r="178" spans="1:3">
      <c r="A178" t="s">
        <v>9</v>
      </c>
      <c r="B178" t="s">
        <v>141</v>
      </c>
      <c r="C178" t="s">
        <v>166</v>
      </c>
    </row>
    <row r="179" spans="1:3">
      <c r="A179" t="s">
        <v>9</v>
      </c>
      <c r="B179" t="s">
        <v>141</v>
      </c>
      <c r="C179" t="s">
        <v>167</v>
      </c>
    </row>
    <row r="180" spans="1:3">
      <c r="A180" t="s">
        <v>9</v>
      </c>
      <c r="B180" t="s">
        <v>168</v>
      </c>
      <c r="C180" t="s">
        <v>169</v>
      </c>
    </row>
    <row r="181" spans="1:3">
      <c r="A181" t="s">
        <v>9</v>
      </c>
      <c r="B181" t="s">
        <v>168</v>
      </c>
      <c r="C181" t="s">
        <v>170</v>
      </c>
    </row>
    <row r="182" spans="1:3">
      <c r="A182" t="s">
        <v>9</v>
      </c>
      <c r="B182" t="s">
        <v>168</v>
      </c>
      <c r="C182" t="s">
        <v>171</v>
      </c>
    </row>
    <row r="183" spans="1:3">
      <c r="A183" t="s">
        <v>9</v>
      </c>
      <c r="B183" t="s">
        <v>168</v>
      </c>
      <c r="C183" t="s">
        <v>172</v>
      </c>
    </row>
    <row r="184" spans="1:3">
      <c r="A184" t="s">
        <v>9</v>
      </c>
      <c r="B184" t="s">
        <v>120</v>
      </c>
      <c r="C184" t="s">
        <v>173</v>
      </c>
    </row>
    <row r="185" spans="1:3">
      <c r="A185" t="s">
        <v>9</v>
      </c>
      <c r="B185" t="s">
        <v>120</v>
      </c>
      <c r="C185" t="s">
        <v>174</v>
      </c>
    </row>
    <row r="186" spans="1:3">
      <c r="A186" t="s">
        <v>9</v>
      </c>
      <c r="B186" t="s">
        <v>120</v>
      </c>
      <c r="C186" t="s">
        <v>175</v>
      </c>
    </row>
    <row r="187" spans="1:3">
      <c r="A187" t="s">
        <v>9</v>
      </c>
      <c r="B187" t="s">
        <v>120</v>
      </c>
      <c r="C187" t="s">
        <v>176</v>
      </c>
    </row>
    <row r="188" spans="1:3">
      <c r="A188" t="s">
        <v>9</v>
      </c>
      <c r="B188" t="s">
        <v>102</v>
      </c>
      <c r="C188" t="s">
        <v>177</v>
      </c>
    </row>
    <row r="189" spans="1:3">
      <c r="A189" t="s">
        <v>9</v>
      </c>
      <c r="B189" t="s">
        <v>102</v>
      </c>
      <c r="C189" t="s">
        <v>178</v>
      </c>
    </row>
    <row r="190" spans="1:3">
      <c r="A190" t="s">
        <v>9</v>
      </c>
      <c r="B190" t="s">
        <v>102</v>
      </c>
      <c r="C190" t="s">
        <v>179</v>
      </c>
    </row>
    <row r="191" spans="1:3">
      <c r="A191" t="s">
        <v>9</v>
      </c>
      <c r="B191" t="s">
        <v>153</v>
      </c>
      <c r="C191" t="s">
        <v>180</v>
      </c>
    </row>
    <row r="192" spans="1:3">
      <c r="A192" t="s">
        <v>9</v>
      </c>
      <c r="B192" t="s">
        <v>153</v>
      </c>
      <c r="C192" t="s">
        <v>181</v>
      </c>
    </row>
    <row r="193" spans="1:3">
      <c r="A193" t="s">
        <v>9</v>
      </c>
      <c r="B193" t="s">
        <v>92</v>
      </c>
      <c r="C193" t="s">
        <v>182</v>
      </c>
    </row>
    <row r="194" spans="1:3">
      <c r="A194" t="s">
        <v>9</v>
      </c>
      <c r="B194" t="s">
        <v>92</v>
      </c>
      <c r="C194" t="s">
        <v>183</v>
      </c>
    </row>
    <row r="195" spans="1:3">
      <c r="A195" t="s">
        <v>9</v>
      </c>
      <c r="B195" t="s">
        <v>184</v>
      </c>
      <c r="C195" t="s">
        <v>185</v>
      </c>
    </row>
    <row r="196" spans="1:3">
      <c r="A196" t="s">
        <v>9</v>
      </c>
      <c r="B196" t="s">
        <v>184</v>
      </c>
      <c r="C196" t="s">
        <v>186</v>
      </c>
    </row>
    <row r="197" spans="1:3">
      <c r="A197" t="s">
        <v>9</v>
      </c>
      <c r="B197" t="s">
        <v>184</v>
      </c>
      <c r="C197" t="s">
        <v>187</v>
      </c>
    </row>
    <row r="198" spans="1:3">
      <c r="A198" t="s">
        <v>10</v>
      </c>
      <c r="B198" t="s">
        <v>188</v>
      </c>
      <c r="C198" t="s">
        <v>189</v>
      </c>
    </row>
    <row r="199" spans="1:3">
      <c r="A199" t="s">
        <v>10</v>
      </c>
      <c r="B199" t="s">
        <v>188</v>
      </c>
      <c r="C199" t="s">
        <v>190</v>
      </c>
    </row>
    <row r="200" spans="1:3">
      <c r="A200" t="s">
        <v>10</v>
      </c>
      <c r="B200" t="s">
        <v>188</v>
      </c>
      <c r="C200" t="s">
        <v>191</v>
      </c>
    </row>
    <row r="201" spans="1:3">
      <c r="A201" t="s">
        <v>10</v>
      </c>
      <c r="B201" t="s">
        <v>188</v>
      </c>
      <c r="C201" t="s">
        <v>192</v>
      </c>
    </row>
    <row r="202" spans="1:3">
      <c r="A202" t="s">
        <v>10</v>
      </c>
      <c r="B202" t="s">
        <v>188</v>
      </c>
      <c r="C202" t="s">
        <v>193</v>
      </c>
    </row>
    <row r="203" spans="1:3">
      <c r="A203" t="s">
        <v>10</v>
      </c>
      <c r="B203" t="s">
        <v>194</v>
      </c>
      <c r="C203" t="s">
        <v>195</v>
      </c>
    </row>
    <row r="204" spans="1:3">
      <c r="A204" t="s">
        <v>10</v>
      </c>
      <c r="B204" t="s">
        <v>194</v>
      </c>
      <c r="C204" t="s">
        <v>196</v>
      </c>
    </row>
    <row r="205" spans="1:3">
      <c r="A205" t="s">
        <v>10</v>
      </c>
      <c r="B205" t="s">
        <v>194</v>
      </c>
      <c r="C205" t="s">
        <v>197</v>
      </c>
    </row>
    <row r="206" spans="1:3">
      <c r="A206" t="s">
        <v>11</v>
      </c>
      <c r="B206" t="s">
        <v>188</v>
      </c>
      <c r="C206" t="s">
        <v>198</v>
      </c>
    </row>
    <row r="207" spans="1:3">
      <c r="A207" t="s">
        <v>11</v>
      </c>
      <c r="B207" t="s">
        <v>188</v>
      </c>
      <c r="C207" t="s">
        <v>199</v>
      </c>
    </row>
    <row r="208" spans="1:3">
      <c r="A208" t="s">
        <v>11</v>
      </c>
      <c r="B208" t="s">
        <v>188</v>
      </c>
      <c r="C208" t="s">
        <v>200</v>
      </c>
    </row>
    <row r="209" spans="1:3">
      <c r="A209" t="s">
        <v>11</v>
      </c>
      <c r="B209" t="s">
        <v>188</v>
      </c>
      <c r="C209" t="s">
        <v>201</v>
      </c>
    </row>
    <row r="210" spans="1:3">
      <c r="A210" t="s">
        <v>11</v>
      </c>
      <c r="B210" t="s">
        <v>188</v>
      </c>
      <c r="C210" t="s">
        <v>202</v>
      </c>
    </row>
    <row r="211" spans="1:3">
      <c r="A211" t="s">
        <v>11</v>
      </c>
      <c r="B211" t="s">
        <v>203</v>
      </c>
      <c r="C211" t="s">
        <v>204</v>
      </c>
    </row>
    <row r="212" spans="1:3">
      <c r="A212" t="s">
        <v>11</v>
      </c>
      <c r="B212" t="s">
        <v>203</v>
      </c>
      <c r="C212" t="s">
        <v>205</v>
      </c>
    </row>
    <row r="213" spans="1:3">
      <c r="A213" t="s">
        <v>12</v>
      </c>
      <c r="B213" t="s">
        <v>188</v>
      </c>
      <c r="C213" t="s">
        <v>206</v>
      </c>
    </row>
    <row r="214" spans="1:3">
      <c r="A214" t="s">
        <v>12</v>
      </c>
      <c r="B214" t="s">
        <v>188</v>
      </c>
      <c r="C214" t="s">
        <v>207</v>
      </c>
    </row>
    <row r="215" spans="1:3">
      <c r="A215" t="s">
        <v>12</v>
      </c>
      <c r="B215" t="s">
        <v>188</v>
      </c>
      <c r="C215" t="s">
        <v>208</v>
      </c>
    </row>
    <row r="216" spans="1:3">
      <c r="A216" t="s">
        <v>12</v>
      </c>
      <c r="B216" t="s">
        <v>188</v>
      </c>
      <c r="C216" t="s">
        <v>209</v>
      </c>
    </row>
    <row r="217" spans="1:3">
      <c r="A217" t="s">
        <v>12</v>
      </c>
      <c r="B217" t="s">
        <v>188</v>
      </c>
      <c r="C217" t="s">
        <v>210</v>
      </c>
    </row>
    <row r="218" spans="1:3">
      <c r="A218" t="s">
        <v>12</v>
      </c>
      <c r="B218" t="s">
        <v>188</v>
      </c>
      <c r="C218" t="s">
        <v>211</v>
      </c>
    </row>
    <row r="219" spans="1:3">
      <c r="A219" t="s">
        <v>12</v>
      </c>
      <c r="B219" t="s">
        <v>188</v>
      </c>
      <c r="C219" t="s">
        <v>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H154"/>
  <sheetViews>
    <sheetView workbookViewId="0">
      <selection activeCell="A8" sqref="A8"/>
    </sheetView>
  </sheetViews>
  <sheetFormatPr defaultRowHeight="14"/>
  <cols>
    <col min="1" max="1" width="14" customWidth="1"/>
    <col min="2" max="2" width="28" customWidth="1"/>
    <col min="3" max="3" width="60" customWidth="1"/>
    <col min="4" max="4" width="28" customWidth="1"/>
    <col min="5" max="211" width="11" hidden="1" customWidth="1"/>
    <col min="212" max="369" width="11" customWidth="1"/>
    <col min="370" max="372" width="20" customWidth="1"/>
  </cols>
  <sheetData>
    <row r="1" spans="1:372">
      <c r="A1" s="3" t="s">
        <v>1</v>
      </c>
      <c r="B1" s="3" t="s">
        <v>38</v>
      </c>
      <c r="C1" s="3" t="s">
        <v>39</v>
      </c>
      <c r="D1" s="3" t="s">
        <v>40</v>
      </c>
      <c r="E1" s="4">
        <v>46023</v>
      </c>
      <c r="F1" s="4">
        <v>46024</v>
      </c>
      <c r="G1" s="4">
        <v>46025</v>
      </c>
      <c r="H1" s="4">
        <v>46026</v>
      </c>
      <c r="I1" s="4">
        <v>46027</v>
      </c>
      <c r="J1" s="4">
        <v>46028</v>
      </c>
      <c r="K1" s="4">
        <v>46029</v>
      </c>
      <c r="L1" s="4">
        <v>46030</v>
      </c>
      <c r="M1" s="4">
        <v>46031</v>
      </c>
      <c r="N1" s="4">
        <v>46032</v>
      </c>
      <c r="O1" s="4">
        <v>46033</v>
      </c>
      <c r="P1" s="4">
        <v>46034</v>
      </c>
      <c r="Q1" s="4">
        <v>46035</v>
      </c>
      <c r="R1" s="4">
        <v>46036</v>
      </c>
      <c r="S1" s="4">
        <v>46037</v>
      </c>
      <c r="T1" s="4">
        <v>46038</v>
      </c>
      <c r="U1" s="4">
        <v>46039</v>
      </c>
      <c r="V1" s="4">
        <v>46040</v>
      </c>
      <c r="W1" s="4">
        <v>46041</v>
      </c>
      <c r="X1" s="4">
        <v>46042</v>
      </c>
      <c r="Y1" s="4">
        <v>46043</v>
      </c>
      <c r="Z1" s="4">
        <v>46044</v>
      </c>
      <c r="AA1" s="4">
        <v>46045</v>
      </c>
      <c r="AB1" s="4">
        <v>46046</v>
      </c>
      <c r="AC1" s="4">
        <v>46047</v>
      </c>
      <c r="AD1" s="4">
        <v>46048</v>
      </c>
      <c r="AE1" s="4">
        <v>46049</v>
      </c>
      <c r="AF1" s="4">
        <v>46050</v>
      </c>
      <c r="AG1" s="4">
        <v>46051</v>
      </c>
      <c r="AH1" s="4">
        <v>46052</v>
      </c>
      <c r="AI1" s="4">
        <v>46053</v>
      </c>
      <c r="AJ1" s="4">
        <v>46054</v>
      </c>
      <c r="AK1" s="4">
        <v>46055</v>
      </c>
      <c r="AL1" s="4">
        <v>46056</v>
      </c>
      <c r="AM1" s="4">
        <v>46057</v>
      </c>
      <c r="AN1" s="4">
        <v>46058</v>
      </c>
      <c r="AO1" s="4">
        <v>46059</v>
      </c>
      <c r="AP1" s="4">
        <v>46060</v>
      </c>
      <c r="AQ1" s="4">
        <v>46061</v>
      </c>
      <c r="AR1" s="4">
        <v>46062</v>
      </c>
      <c r="AS1" s="4">
        <v>46063</v>
      </c>
      <c r="AT1" s="4">
        <v>46064</v>
      </c>
      <c r="AU1" s="4">
        <v>46065</v>
      </c>
      <c r="AV1" s="4">
        <v>46066</v>
      </c>
      <c r="AW1" s="4">
        <v>46067</v>
      </c>
      <c r="AX1" s="4">
        <v>46068</v>
      </c>
      <c r="AY1" s="4">
        <v>46069</v>
      </c>
      <c r="AZ1" s="4">
        <v>46070</v>
      </c>
      <c r="BA1" s="4">
        <v>46071</v>
      </c>
      <c r="BB1" s="4">
        <v>46072</v>
      </c>
      <c r="BC1" s="4">
        <v>46073</v>
      </c>
      <c r="BD1" s="4">
        <v>46074</v>
      </c>
      <c r="BE1" s="4">
        <v>46075</v>
      </c>
      <c r="BF1" s="4">
        <v>46076</v>
      </c>
      <c r="BG1" s="4">
        <v>46077</v>
      </c>
      <c r="BH1" s="4">
        <v>46078</v>
      </c>
      <c r="BI1" s="4">
        <v>46079</v>
      </c>
      <c r="BJ1" s="4">
        <v>46080</v>
      </c>
      <c r="BK1" s="4">
        <v>46081</v>
      </c>
      <c r="BL1" s="4">
        <v>46082</v>
      </c>
      <c r="BM1" s="4">
        <v>46083</v>
      </c>
      <c r="BN1" s="4">
        <v>46084</v>
      </c>
      <c r="BO1" s="4">
        <v>46085</v>
      </c>
      <c r="BP1" s="4">
        <v>46086</v>
      </c>
      <c r="BQ1" s="4">
        <v>46087</v>
      </c>
      <c r="BR1" s="4">
        <v>46088</v>
      </c>
      <c r="BS1" s="4">
        <v>46089</v>
      </c>
      <c r="BT1" s="4">
        <v>46090</v>
      </c>
      <c r="BU1" s="4">
        <v>46091</v>
      </c>
      <c r="BV1" s="4">
        <v>46092</v>
      </c>
      <c r="BW1" s="4">
        <v>46093</v>
      </c>
      <c r="BX1" s="4">
        <v>46094</v>
      </c>
      <c r="BY1" s="4">
        <v>46095</v>
      </c>
      <c r="BZ1" s="4">
        <v>46096</v>
      </c>
      <c r="CA1" s="4">
        <v>46097</v>
      </c>
      <c r="CB1" s="4">
        <v>46098</v>
      </c>
      <c r="CC1" s="4">
        <v>46099</v>
      </c>
      <c r="CD1" s="4">
        <v>46100</v>
      </c>
      <c r="CE1" s="4">
        <v>46101</v>
      </c>
      <c r="CF1" s="4">
        <v>46102</v>
      </c>
      <c r="CG1" s="4">
        <v>46103</v>
      </c>
      <c r="CH1" s="4">
        <v>46104</v>
      </c>
      <c r="CI1" s="4">
        <v>46105</v>
      </c>
      <c r="CJ1" s="4">
        <v>46106</v>
      </c>
      <c r="CK1" s="4">
        <v>46107</v>
      </c>
      <c r="CL1" s="4">
        <v>46108</v>
      </c>
      <c r="CM1" s="4">
        <v>46109</v>
      </c>
      <c r="CN1" s="4">
        <v>46110</v>
      </c>
      <c r="CO1" s="4">
        <v>46111</v>
      </c>
      <c r="CP1" s="4">
        <v>46112</v>
      </c>
      <c r="CQ1" s="4">
        <v>46113</v>
      </c>
      <c r="CR1" s="4">
        <v>46114</v>
      </c>
      <c r="CS1" s="4">
        <v>46115</v>
      </c>
      <c r="CT1" s="4">
        <v>46116</v>
      </c>
      <c r="CU1" s="4">
        <v>46117</v>
      </c>
      <c r="CV1" s="4">
        <v>46118</v>
      </c>
      <c r="CW1" s="4">
        <v>46119</v>
      </c>
      <c r="CX1" s="4">
        <v>46120</v>
      </c>
      <c r="CY1" s="4">
        <v>46121</v>
      </c>
      <c r="CZ1" s="4">
        <v>46122</v>
      </c>
      <c r="DA1" s="4">
        <v>46123</v>
      </c>
      <c r="DB1" s="4">
        <v>46124</v>
      </c>
      <c r="DC1" s="4">
        <v>46125</v>
      </c>
      <c r="DD1" s="4">
        <v>46126</v>
      </c>
      <c r="DE1" s="4">
        <v>46127</v>
      </c>
      <c r="DF1" s="4">
        <v>46128</v>
      </c>
      <c r="DG1" s="4">
        <v>46129</v>
      </c>
      <c r="DH1" s="4">
        <v>46130</v>
      </c>
      <c r="DI1" s="4">
        <v>46131</v>
      </c>
      <c r="DJ1" s="4">
        <v>46132</v>
      </c>
      <c r="DK1" s="4">
        <v>46133</v>
      </c>
      <c r="DL1" s="4">
        <v>46134</v>
      </c>
      <c r="DM1" s="4">
        <v>46135</v>
      </c>
      <c r="DN1" s="4">
        <v>46136</v>
      </c>
      <c r="DO1" s="4">
        <v>46137</v>
      </c>
      <c r="DP1" s="4">
        <v>46138</v>
      </c>
      <c r="DQ1" s="4">
        <v>46139</v>
      </c>
      <c r="DR1" s="4">
        <v>46140</v>
      </c>
      <c r="DS1" s="4">
        <v>46141</v>
      </c>
      <c r="DT1" s="4">
        <v>46142</v>
      </c>
      <c r="DU1" s="4">
        <v>46143</v>
      </c>
      <c r="DV1" s="4">
        <v>46144</v>
      </c>
      <c r="DW1" s="4">
        <v>46145</v>
      </c>
      <c r="DX1" s="4">
        <v>46146</v>
      </c>
      <c r="DY1" s="4">
        <v>46147</v>
      </c>
      <c r="DZ1" s="4">
        <v>46148</v>
      </c>
      <c r="EA1" s="4">
        <v>46149</v>
      </c>
      <c r="EB1" s="4">
        <v>46150</v>
      </c>
      <c r="EC1" s="4">
        <v>46151</v>
      </c>
      <c r="ED1" s="4">
        <v>46152</v>
      </c>
      <c r="EE1" s="4">
        <v>46153</v>
      </c>
      <c r="EF1" s="4">
        <v>46154</v>
      </c>
      <c r="EG1" s="4">
        <v>46155</v>
      </c>
      <c r="EH1" s="4">
        <v>46156</v>
      </c>
      <c r="EI1" s="4">
        <v>46157</v>
      </c>
      <c r="EJ1" s="4">
        <v>46158</v>
      </c>
      <c r="EK1" s="4">
        <v>46159</v>
      </c>
      <c r="EL1" s="4">
        <v>46160</v>
      </c>
      <c r="EM1" s="4">
        <v>46161</v>
      </c>
      <c r="EN1" s="4">
        <v>46162</v>
      </c>
      <c r="EO1" s="4">
        <v>46163</v>
      </c>
      <c r="EP1" s="4">
        <v>46164</v>
      </c>
      <c r="EQ1" s="4">
        <v>46165</v>
      </c>
      <c r="ER1" s="4">
        <v>46166</v>
      </c>
      <c r="ES1" s="4">
        <v>46167</v>
      </c>
      <c r="ET1" s="4">
        <v>46168</v>
      </c>
      <c r="EU1" s="4">
        <v>46169</v>
      </c>
      <c r="EV1" s="4">
        <v>46170</v>
      </c>
      <c r="EW1" s="4">
        <v>46171</v>
      </c>
      <c r="EX1" s="4">
        <v>46172</v>
      </c>
      <c r="EY1" s="4">
        <v>46173</v>
      </c>
      <c r="EZ1" s="4">
        <v>46174</v>
      </c>
      <c r="FA1" s="4">
        <v>46175</v>
      </c>
      <c r="FB1" s="4">
        <v>46176</v>
      </c>
      <c r="FC1" s="4">
        <v>46177</v>
      </c>
      <c r="FD1" s="4">
        <v>46178</v>
      </c>
      <c r="FE1" s="4">
        <v>46179</v>
      </c>
      <c r="FF1" s="4">
        <v>46180</v>
      </c>
      <c r="FG1" s="4">
        <v>46181</v>
      </c>
      <c r="FH1" s="4">
        <v>46182</v>
      </c>
      <c r="FI1" s="4">
        <v>46183</v>
      </c>
      <c r="FJ1" s="4">
        <v>46184</v>
      </c>
      <c r="FK1" s="4">
        <v>46185</v>
      </c>
      <c r="FL1" s="4">
        <v>46186</v>
      </c>
      <c r="FM1" s="4">
        <v>46187</v>
      </c>
      <c r="FN1" s="4">
        <v>46188</v>
      </c>
      <c r="FO1" s="4">
        <v>46189</v>
      </c>
      <c r="FP1" s="4">
        <v>46190</v>
      </c>
      <c r="FQ1" s="4">
        <v>46191</v>
      </c>
      <c r="FR1" s="4">
        <v>46192</v>
      </c>
      <c r="FS1" s="4">
        <v>46193</v>
      </c>
      <c r="FT1" s="4">
        <v>46194</v>
      </c>
      <c r="FU1" s="4">
        <v>46195</v>
      </c>
      <c r="FV1" s="4">
        <v>46196</v>
      </c>
      <c r="FW1" s="4">
        <v>46197</v>
      </c>
      <c r="FX1" s="4">
        <v>46198</v>
      </c>
      <c r="FY1" s="4">
        <v>46199</v>
      </c>
      <c r="FZ1" s="4">
        <v>46200</v>
      </c>
      <c r="GA1" s="4">
        <v>46201</v>
      </c>
      <c r="GB1" s="4">
        <v>46202</v>
      </c>
      <c r="GC1" s="4">
        <v>46203</v>
      </c>
      <c r="GD1" s="4">
        <v>46204</v>
      </c>
      <c r="GE1" s="4">
        <v>46205</v>
      </c>
      <c r="GF1" s="4">
        <v>46206</v>
      </c>
      <c r="GG1" s="4">
        <v>46207</v>
      </c>
      <c r="GH1" s="4">
        <v>46208</v>
      </c>
      <c r="GI1" s="4">
        <v>46209</v>
      </c>
      <c r="GJ1" s="4">
        <v>46210</v>
      </c>
      <c r="GK1" s="4">
        <v>46211</v>
      </c>
      <c r="GL1" s="4">
        <v>46212</v>
      </c>
      <c r="GM1" s="4">
        <v>46213</v>
      </c>
      <c r="GN1" s="4">
        <v>46214</v>
      </c>
      <c r="GO1" s="4">
        <v>46215</v>
      </c>
      <c r="GP1" s="4">
        <v>46216</v>
      </c>
      <c r="GQ1" s="4">
        <v>46217</v>
      </c>
      <c r="GR1" s="4">
        <v>46218</v>
      </c>
      <c r="GS1" s="4">
        <v>46219</v>
      </c>
      <c r="GT1" s="4">
        <v>46220</v>
      </c>
      <c r="GU1" s="4">
        <v>46221</v>
      </c>
      <c r="GV1" s="4">
        <v>46222</v>
      </c>
      <c r="GW1" s="4">
        <v>46223</v>
      </c>
      <c r="GX1" s="4">
        <v>46224</v>
      </c>
      <c r="GY1" s="4">
        <v>46225</v>
      </c>
      <c r="GZ1" s="4">
        <v>46226</v>
      </c>
      <c r="HA1" s="4">
        <v>46227</v>
      </c>
      <c r="HB1" s="4">
        <v>46228</v>
      </c>
      <c r="HC1" s="4">
        <v>46229</v>
      </c>
      <c r="HD1" s="4">
        <v>46230</v>
      </c>
      <c r="HE1" s="4">
        <v>46231</v>
      </c>
      <c r="HF1" s="4">
        <v>46232</v>
      </c>
      <c r="HG1" s="4">
        <v>46233</v>
      </c>
      <c r="HH1" s="4">
        <v>46234</v>
      </c>
      <c r="HI1" s="4">
        <v>46235</v>
      </c>
      <c r="HJ1" s="4">
        <v>46236</v>
      </c>
      <c r="HK1" s="4">
        <v>46237</v>
      </c>
      <c r="HL1" s="4">
        <v>46238</v>
      </c>
      <c r="HM1" s="4">
        <v>46239</v>
      </c>
      <c r="HN1" s="4">
        <v>46240</v>
      </c>
      <c r="HO1" s="4">
        <v>46241</v>
      </c>
      <c r="HP1" s="4">
        <v>46242</v>
      </c>
      <c r="HQ1" s="4">
        <v>46243</v>
      </c>
      <c r="HR1" s="4">
        <v>46244</v>
      </c>
      <c r="HS1" s="4">
        <v>46245</v>
      </c>
      <c r="HT1" s="4">
        <v>46246</v>
      </c>
      <c r="HU1" s="4">
        <v>46247</v>
      </c>
      <c r="HV1" s="4">
        <v>46248</v>
      </c>
      <c r="HW1" s="4">
        <v>46249</v>
      </c>
      <c r="HX1" s="4">
        <v>46250</v>
      </c>
      <c r="HY1" s="4">
        <v>46251</v>
      </c>
      <c r="HZ1" s="4">
        <v>46252</v>
      </c>
      <c r="IA1" s="4">
        <v>46253</v>
      </c>
      <c r="IB1" s="4">
        <v>46254</v>
      </c>
      <c r="IC1" s="4">
        <v>46255</v>
      </c>
      <c r="ID1" s="4">
        <v>46256</v>
      </c>
      <c r="IE1" s="4">
        <v>46257</v>
      </c>
      <c r="IF1" s="4">
        <v>46258</v>
      </c>
      <c r="IG1" s="4">
        <v>46259</v>
      </c>
      <c r="IH1" s="4">
        <v>46260</v>
      </c>
      <c r="II1" s="4">
        <v>46261</v>
      </c>
      <c r="IJ1" s="4">
        <v>46262</v>
      </c>
      <c r="IK1" s="4">
        <v>46263</v>
      </c>
      <c r="IL1" s="4">
        <v>46264</v>
      </c>
      <c r="IM1" s="4">
        <v>46265</v>
      </c>
      <c r="IN1" s="4">
        <v>46266</v>
      </c>
      <c r="IO1" s="4">
        <v>46267</v>
      </c>
      <c r="IP1" s="4">
        <v>46268</v>
      </c>
      <c r="IQ1" s="4">
        <v>46269</v>
      </c>
      <c r="IR1" s="4">
        <v>46270</v>
      </c>
      <c r="IS1" s="4">
        <v>46271</v>
      </c>
      <c r="IT1" s="4">
        <v>46272</v>
      </c>
      <c r="IU1" s="4">
        <v>46273</v>
      </c>
      <c r="IV1" s="4">
        <v>46274</v>
      </c>
      <c r="IW1" s="4">
        <v>46275</v>
      </c>
      <c r="IX1" s="4">
        <v>46276</v>
      </c>
      <c r="IY1" s="4">
        <v>46277</v>
      </c>
      <c r="IZ1" s="4">
        <v>46278</v>
      </c>
      <c r="JA1" s="4">
        <v>46279</v>
      </c>
      <c r="JB1" s="4">
        <v>46280</v>
      </c>
      <c r="JC1" s="4">
        <v>46281</v>
      </c>
      <c r="JD1" s="4">
        <v>46282</v>
      </c>
      <c r="JE1" s="4">
        <v>46283</v>
      </c>
      <c r="JF1" s="4">
        <v>46284</v>
      </c>
      <c r="JG1" s="4">
        <v>46285</v>
      </c>
      <c r="JH1" s="4">
        <v>46286</v>
      </c>
      <c r="JI1" s="4">
        <v>46287</v>
      </c>
      <c r="JJ1" s="4">
        <v>46288</v>
      </c>
      <c r="JK1" s="4">
        <v>46289</v>
      </c>
      <c r="JL1" s="4">
        <v>46290</v>
      </c>
      <c r="JM1" s="4">
        <v>46291</v>
      </c>
      <c r="JN1" s="4">
        <v>46292</v>
      </c>
      <c r="JO1" s="4">
        <v>46293</v>
      </c>
      <c r="JP1" s="4">
        <v>46294</v>
      </c>
      <c r="JQ1" s="4">
        <v>46295</v>
      </c>
      <c r="JR1" s="4">
        <v>46296</v>
      </c>
      <c r="JS1" s="4">
        <v>46297</v>
      </c>
      <c r="JT1" s="4">
        <v>46298</v>
      </c>
      <c r="JU1" s="4">
        <v>46299</v>
      </c>
      <c r="JV1" s="4">
        <v>46300</v>
      </c>
      <c r="JW1" s="4">
        <v>46301</v>
      </c>
      <c r="JX1" s="4">
        <v>46302</v>
      </c>
      <c r="JY1" s="4">
        <v>46303</v>
      </c>
      <c r="JZ1" s="4">
        <v>46304</v>
      </c>
      <c r="KA1" s="4">
        <v>46305</v>
      </c>
      <c r="KB1" s="4">
        <v>46306</v>
      </c>
      <c r="KC1" s="4">
        <v>46307</v>
      </c>
      <c r="KD1" s="4">
        <v>46308</v>
      </c>
      <c r="KE1" s="4">
        <v>46309</v>
      </c>
      <c r="KF1" s="4">
        <v>46310</v>
      </c>
      <c r="KG1" s="4">
        <v>46311</v>
      </c>
      <c r="KH1" s="4">
        <v>46312</v>
      </c>
      <c r="KI1" s="4">
        <v>46313</v>
      </c>
      <c r="KJ1" s="4">
        <v>46314</v>
      </c>
      <c r="KK1" s="4">
        <v>46315</v>
      </c>
      <c r="KL1" s="4">
        <v>46316</v>
      </c>
      <c r="KM1" s="4">
        <v>46317</v>
      </c>
      <c r="KN1" s="4">
        <v>46318</v>
      </c>
      <c r="KO1" s="4">
        <v>46319</v>
      </c>
      <c r="KP1" s="4">
        <v>46320</v>
      </c>
      <c r="KQ1" s="4">
        <v>46321</v>
      </c>
      <c r="KR1" s="4">
        <v>46322</v>
      </c>
      <c r="KS1" s="4">
        <v>46323</v>
      </c>
      <c r="KT1" s="4">
        <v>46324</v>
      </c>
      <c r="KU1" s="4">
        <v>46325</v>
      </c>
      <c r="KV1" s="4">
        <v>46326</v>
      </c>
      <c r="KW1" s="4">
        <v>46327</v>
      </c>
      <c r="KX1" s="4">
        <v>46328</v>
      </c>
      <c r="KY1" s="4">
        <v>46329</v>
      </c>
      <c r="KZ1" s="4">
        <v>46330</v>
      </c>
      <c r="LA1" s="4">
        <v>46331</v>
      </c>
      <c r="LB1" s="4">
        <v>46332</v>
      </c>
      <c r="LC1" s="4">
        <v>46333</v>
      </c>
      <c r="LD1" s="4">
        <v>46334</v>
      </c>
      <c r="LE1" s="4">
        <v>46335</v>
      </c>
      <c r="LF1" s="4">
        <v>46336</v>
      </c>
      <c r="LG1" s="4">
        <v>46337</v>
      </c>
      <c r="LH1" s="4">
        <v>46338</v>
      </c>
      <c r="LI1" s="4">
        <v>46339</v>
      </c>
      <c r="LJ1" s="4">
        <v>46340</v>
      </c>
      <c r="LK1" s="4">
        <v>46341</v>
      </c>
      <c r="LL1" s="4">
        <v>46342</v>
      </c>
      <c r="LM1" s="4">
        <v>46343</v>
      </c>
      <c r="LN1" s="4">
        <v>46344</v>
      </c>
      <c r="LO1" s="4">
        <v>46345</v>
      </c>
      <c r="LP1" s="4">
        <v>46346</v>
      </c>
      <c r="LQ1" s="4">
        <v>46347</v>
      </c>
      <c r="LR1" s="4">
        <v>46348</v>
      </c>
      <c r="LS1" s="4">
        <v>46349</v>
      </c>
      <c r="LT1" s="4">
        <v>46350</v>
      </c>
      <c r="LU1" s="4">
        <v>46351</v>
      </c>
      <c r="LV1" s="4">
        <v>46352</v>
      </c>
      <c r="LW1" s="4">
        <v>46353</v>
      </c>
      <c r="LX1" s="4">
        <v>46354</v>
      </c>
      <c r="LY1" s="4">
        <v>46355</v>
      </c>
      <c r="LZ1" s="4">
        <v>46356</v>
      </c>
      <c r="MA1" s="4">
        <v>46357</v>
      </c>
      <c r="MB1" s="4">
        <v>46358</v>
      </c>
      <c r="MC1" s="4">
        <v>46359</v>
      </c>
      <c r="MD1" s="4">
        <v>46360</v>
      </c>
      <c r="ME1" s="4">
        <v>46361</v>
      </c>
      <c r="MF1" s="4">
        <v>46362</v>
      </c>
      <c r="MG1" s="4">
        <v>46363</v>
      </c>
      <c r="MH1" s="4">
        <v>46364</v>
      </c>
      <c r="MI1" s="4">
        <v>46365</v>
      </c>
      <c r="MJ1" s="4">
        <v>46366</v>
      </c>
      <c r="MK1" s="4">
        <v>46367</v>
      </c>
      <c r="ML1" s="4">
        <v>46368</v>
      </c>
      <c r="MM1" s="4">
        <v>46369</v>
      </c>
      <c r="MN1" s="4">
        <v>46370</v>
      </c>
      <c r="MO1" s="4">
        <v>46371</v>
      </c>
      <c r="MP1" s="4">
        <v>46372</v>
      </c>
      <c r="MQ1" s="4">
        <v>46373</v>
      </c>
      <c r="MR1" s="4">
        <v>46374</v>
      </c>
      <c r="MS1" s="4">
        <v>46375</v>
      </c>
      <c r="MT1" s="4">
        <v>46376</v>
      </c>
      <c r="MU1" s="4">
        <v>46377</v>
      </c>
      <c r="MV1" s="4">
        <v>46378</v>
      </c>
      <c r="MW1" s="4">
        <v>46379</v>
      </c>
      <c r="MX1" s="4">
        <v>46380</v>
      </c>
      <c r="MY1" s="4">
        <v>46381</v>
      </c>
      <c r="MZ1" s="4">
        <v>46382</v>
      </c>
      <c r="NA1" s="4">
        <v>46383</v>
      </c>
      <c r="NB1" s="4">
        <v>46384</v>
      </c>
      <c r="NC1" s="4">
        <v>46385</v>
      </c>
      <c r="ND1" s="4">
        <v>46386</v>
      </c>
      <c r="NE1" s="4">
        <v>46387</v>
      </c>
      <c r="NF1" s="3" t="s">
        <v>213</v>
      </c>
      <c r="NG1" s="3" t="s">
        <v>214</v>
      </c>
      <c r="NH1" s="3" t="s">
        <v>215</v>
      </c>
    </row>
    <row r="2" spans="1:372">
      <c r="A2" t="s">
        <v>7</v>
      </c>
      <c r="B2" t="s">
        <v>365</v>
      </c>
      <c r="C2" t="s">
        <v>43</v>
      </c>
    </row>
    <row r="3" spans="1:372">
      <c r="A3" t="s">
        <v>7</v>
      </c>
      <c r="B3" t="s">
        <v>365</v>
      </c>
      <c r="C3" t="s">
        <v>44</v>
      </c>
    </row>
    <row r="4" spans="1:372">
      <c r="A4" t="s">
        <v>7</v>
      </c>
      <c r="B4" t="s">
        <v>365</v>
      </c>
      <c r="C4" t="s">
        <v>45</v>
      </c>
    </row>
    <row r="5" spans="1:372">
      <c r="A5" t="s">
        <v>7</v>
      </c>
      <c r="B5" t="s">
        <v>365</v>
      </c>
      <c r="C5" t="s">
        <v>46</v>
      </c>
    </row>
    <row r="6" spans="1:372">
      <c r="A6" t="s">
        <v>7</v>
      </c>
      <c r="B6" t="s">
        <v>365</v>
      </c>
      <c r="C6" t="s">
        <v>47</v>
      </c>
    </row>
    <row r="7" spans="1:372">
      <c r="A7" t="s">
        <v>7</v>
      </c>
      <c r="B7" t="s">
        <v>365</v>
      </c>
      <c r="C7" t="s">
        <v>48</v>
      </c>
    </row>
    <row r="8" spans="1:372">
      <c r="A8" t="s">
        <v>7</v>
      </c>
      <c r="B8" t="s">
        <v>365</v>
      </c>
      <c r="C8" t="s">
        <v>49</v>
      </c>
    </row>
    <row r="9" spans="1:372">
      <c r="A9" t="s">
        <v>7</v>
      </c>
      <c r="B9" t="s">
        <v>365</v>
      </c>
      <c r="C9" t="s">
        <v>50</v>
      </c>
    </row>
    <row r="10" spans="1:372">
      <c r="A10" t="s">
        <v>7</v>
      </c>
      <c r="B10" t="s">
        <v>365</v>
      </c>
      <c r="C10" t="s">
        <v>51</v>
      </c>
    </row>
    <row r="11" spans="1:372">
      <c r="A11" t="s">
        <v>7</v>
      </c>
      <c r="B11" t="s">
        <v>365</v>
      </c>
      <c r="C11" t="s">
        <v>52</v>
      </c>
    </row>
    <row r="12" spans="1:372">
      <c r="A12" t="s">
        <v>7</v>
      </c>
      <c r="B12" t="s">
        <v>365</v>
      </c>
      <c r="C12" t="s">
        <v>53</v>
      </c>
    </row>
    <row r="13" spans="1:372">
      <c r="A13" t="s">
        <v>7</v>
      </c>
      <c r="B13" t="s">
        <v>365</v>
      </c>
      <c r="C13" t="s">
        <v>54</v>
      </c>
    </row>
    <row r="14" spans="1:372">
      <c r="A14" t="s">
        <v>7</v>
      </c>
      <c r="B14" t="s">
        <v>365</v>
      </c>
      <c r="C14" t="s">
        <v>55</v>
      </c>
    </row>
    <row r="15" spans="1:372">
      <c r="A15" t="s">
        <v>7</v>
      </c>
      <c r="B15" t="s">
        <v>365</v>
      </c>
      <c r="C15" t="s">
        <v>56</v>
      </c>
    </row>
    <row r="16" spans="1:372">
      <c r="A16" t="s">
        <v>7</v>
      </c>
      <c r="B16" t="s">
        <v>366</v>
      </c>
      <c r="C16" t="s">
        <v>58</v>
      </c>
    </row>
    <row r="17" spans="1:3">
      <c r="A17" t="s">
        <v>7</v>
      </c>
      <c r="B17" t="s">
        <v>366</v>
      </c>
      <c r="C17" t="s">
        <v>59</v>
      </c>
    </row>
    <row r="18" spans="1:3">
      <c r="A18" t="s">
        <v>7</v>
      </c>
      <c r="B18" t="s">
        <v>366</v>
      </c>
      <c r="C18" t="s">
        <v>60</v>
      </c>
    </row>
    <row r="19" spans="1:3">
      <c r="A19" t="s">
        <v>7</v>
      </c>
      <c r="B19" t="s">
        <v>366</v>
      </c>
      <c r="C19" t="s">
        <v>61</v>
      </c>
    </row>
    <row r="20" spans="1:3">
      <c r="A20" t="s">
        <v>7</v>
      </c>
      <c r="B20" t="s">
        <v>366</v>
      </c>
      <c r="C20" t="s">
        <v>62</v>
      </c>
    </row>
    <row r="21" spans="1:3">
      <c r="A21" t="s">
        <v>7</v>
      </c>
      <c r="B21" t="s">
        <v>366</v>
      </c>
      <c r="C21" t="s">
        <v>56</v>
      </c>
    </row>
    <row r="22" spans="1:3">
      <c r="A22" t="s">
        <v>7</v>
      </c>
      <c r="B22" t="s">
        <v>366</v>
      </c>
      <c r="C22" t="s">
        <v>54</v>
      </c>
    </row>
    <row r="23" spans="1:3">
      <c r="A23" t="s">
        <v>7</v>
      </c>
      <c r="B23" t="s">
        <v>366</v>
      </c>
      <c r="C23" t="s">
        <v>49</v>
      </c>
    </row>
    <row r="24" spans="1:3">
      <c r="A24" t="s">
        <v>7</v>
      </c>
      <c r="B24" t="s">
        <v>366</v>
      </c>
      <c r="C24" t="s">
        <v>63</v>
      </c>
    </row>
    <row r="25" spans="1:3">
      <c r="A25" t="s">
        <v>7</v>
      </c>
      <c r="B25" t="s">
        <v>366</v>
      </c>
      <c r="C25" t="s">
        <v>64</v>
      </c>
    </row>
    <row r="26" spans="1:3">
      <c r="A26" t="s">
        <v>7</v>
      </c>
      <c r="B26" t="s">
        <v>366</v>
      </c>
      <c r="C26" t="s">
        <v>65</v>
      </c>
    </row>
    <row r="27" spans="1:3">
      <c r="A27" t="s">
        <v>7</v>
      </c>
      <c r="B27" t="s">
        <v>366</v>
      </c>
      <c r="C27" t="s">
        <v>66</v>
      </c>
    </row>
    <row r="28" spans="1:3">
      <c r="A28" t="s">
        <v>7</v>
      </c>
      <c r="B28" t="s">
        <v>366</v>
      </c>
      <c r="C28" t="s">
        <v>50</v>
      </c>
    </row>
    <row r="29" spans="1:3">
      <c r="A29" t="s">
        <v>7</v>
      </c>
      <c r="B29" t="s">
        <v>67</v>
      </c>
      <c r="C29" t="s">
        <v>68</v>
      </c>
    </row>
    <row r="30" spans="1:3">
      <c r="A30" t="s">
        <v>7</v>
      </c>
      <c r="B30" t="s">
        <v>67</v>
      </c>
      <c r="C30" t="s">
        <v>69</v>
      </c>
    </row>
    <row r="31" spans="1:3">
      <c r="A31" t="s">
        <v>7</v>
      </c>
      <c r="B31" t="s">
        <v>67</v>
      </c>
      <c r="C31" t="s">
        <v>70</v>
      </c>
    </row>
    <row r="32" spans="1:3">
      <c r="A32" t="s">
        <v>7</v>
      </c>
      <c r="B32" t="s">
        <v>67</v>
      </c>
      <c r="C32" t="s">
        <v>71</v>
      </c>
    </row>
    <row r="33" spans="1:3">
      <c r="A33" t="s">
        <v>7</v>
      </c>
      <c r="B33" t="s">
        <v>67</v>
      </c>
      <c r="C33" t="s">
        <v>72</v>
      </c>
    </row>
    <row r="34" spans="1:3">
      <c r="A34" t="s">
        <v>7</v>
      </c>
      <c r="B34" t="s">
        <v>67</v>
      </c>
      <c r="C34" t="s">
        <v>73</v>
      </c>
    </row>
    <row r="35" spans="1:3">
      <c r="A35" t="s">
        <v>7</v>
      </c>
      <c r="B35" t="s">
        <v>67</v>
      </c>
      <c r="C35" t="s">
        <v>74</v>
      </c>
    </row>
    <row r="36" spans="1:3">
      <c r="A36" t="s">
        <v>7</v>
      </c>
      <c r="B36" t="s">
        <v>67</v>
      </c>
      <c r="C36" t="s">
        <v>58</v>
      </c>
    </row>
    <row r="37" spans="1:3">
      <c r="A37" t="s">
        <v>7</v>
      </c>
      <c r="B37" t="s">
        <v>67</v>
      </c>
      <c r="C37" t="s">
        <v>54</v>
      </c>
    </row>
    <row r="38" spans="1:3">
      <c r="A38" t="s">
        <v>7</v>
      </c>
      <c r="B38" t="s">
        <v>67</v>
      </c>
      <c r="C38" t="s">
        <v>75</v>
      </c>
    </row>
    <row r="39" spans="1:3">
      <c r="A39" t="s">
        <v>7</v>
      </c>
      <c r="B39" t="s">
        <v>67</v>
      </c>
      <c r="C39" t="s">
        <v>76</v>
      </c>
    </row>
    <row r="40" spans="1:3">
      <c r="A40" t="s">
        <v>7</v>
      </c>
      <c r="B40" t="s">
        <v>67</v>
      </c>
      <c r="C40" t="s">
        <v>77</v>
      </c>
    </row>
    <row r="41" spans="1:3">
      <c r="A41" t="s">
        <v>7</v>
      </c>
      <c r="B41" t="s">
        <v>67</v>
      </c>
      <c r="C41" t="s">
        <v>66</v>
      </c>
    </row>
    <row r="42" spans="1:3">
      <c r="A42" t="s">
        <v>7</v>
      </c>
      <c r="B42" t="s">
        <v>67</v>
      </c>
      <c r="C42" t="s">
        <v>56</v>
      </c>
    </row>
    <row r="43" spans="1:3">
      <c r="A43" t="s">
        <v>7</v>
      </c>
      <c r="B43" t="s">
        <v>78</v>
      </c>
      <c r="C43" t="s">
        <v>44</v>
      </c>
    </row>
    <row r="44" spans="1:3">
      <c r="A44" t="s">
        <v>7</v>
      </c>
      <c r="B44" t="s">
        <v>78</v>
      </c>
      <c r="C44" t="s">
        <v>46</v>
      </c>
    </row>
    <row r="45" spans="1:3">
      <c r="A45" t="s">
        <v>7</v>
      </c>
      <c r="B45" t="s">
        <v>78</v>
      </c>
      <c r="C45" t="s">
        <v>48</v>
      </c>
    </row>
    <row r="46" spans="1:3">
      <c r="A46" t="s">
        <v>7</v>
      </c>
      <c r="B46" t="s">
        <v>78</v>
      </c>
      <c r="C46" t="s">
        <v>49</v>
      </c>
    </row>
    <row r="47" spans="1:3">
      <c r="A47" t="s">
        <v>7</v>
      </c>
      <c r="B47" t="s">
        <v>78</v>
      </c>
      <c r="C47" t="s">
        <v>50</v>
      </c>
    </row>
    <row r="48" spans="1:3">
      <c r="A48" t="s">
        <v>7</v>
      </c>
      <c r="B48" t="s">
        <v>78</v>
      </c>
      <c r="C48" t="s">
        <v>51</v>
      </c>
    </row>
    <row r="49" spans="1:3">
      <c r="A49" t="s">
        <v>7</v>
      </c>
      <c r="B49" t="s">
        <v>78</v>
      </c>
      <c r="C49" t="s">
        <v>75</v>
      </c>
    </row>
    <row r="50" spans="1:3">
      <c r="A50" t="s">
        <v>7</v>
      </c>
      <c r="B50" t="s">
        <v>78</v>
      </c>
      <c r="C50" t="s">
        <v>54</v>
      </c>
    </row>
    <row r="51" spans="1:3">
      <c r="A51" t="s">
        <v>7</v>
      </c>
      <c r="B51" t="s">
        <v>78</v>
      </c>
      <c r="C51" t="s">
        <v>56</v>
      </c>
    </row>
    <row r="52" spans="1:3">
      <c r="A52" t="s">
        <v>7</v>
      </c>
      <c r="B52" t="s">
        <v>78</v>
      </c>
      <c r="C52" t="s">
        <v>79</v>
      </c>
    </row>
    <row r="53" spans="1:3">
      <c r="A53" t="s">
        <v>7</v>
      </c>
      <c r="B53" t="s">
        <v>78</v>
      </c>
      <c r="C53" t="s">
        <v>80</v>
      </c>
    </row>
    <row r="54" spans="1:3">
      <c r="A54" t="s">
        <v>7</v>
      </c>
      <c r="B54" t="s">
        <v>78</v>
      </c>
      <c r="C54" t="s">
        <v>81</v>
      </c>
    </row>
    <row r="55" spans="1:3">
      <c r="A55" t="s">
        <v>7</v>
      </c>
      <c r="B55" t="s">
        <v>78</v>
      </c>
      <c r="C55" t="s">
        <v>82</v>
      </c>
    </row>
    <row r="56" spans="1:3">
      <c r="A56" t="s">
        <v>7</v>
      </c>
      <c r="B56" t="s">
        <v>83</v>
      </c>
      <c r="C56" t="s">
        <v>44</v>
      </c>
    </row>
    <row r="57" spans="1:3">
      <c r="A57" t="s">
        <v>7</v>
      </c>
      <c r="B57" t="s">
        <v>83</v>
      </c>
      <c r="C57" t="s">
        <v>46</v>
      </c>
    </row>
    <row r="58" spans="1:3">
      <c r="A58" t="s">
        <v>7</v>
      </c>
      <c r="B58" t="s">
        <v>83</v>
      </c>
      <c r="C58" t="s">
        <v>48</v>
      </c>
    </row>
    <row r="59" spans="1:3">
      <c r="A59" t="s">
        <v>7</v>
      </c>
      <c r="B59" t="s">
        <v>83</v>
      </c>
      <c r="C59" t="s">
        <v>49</v>
      </c>
    </row>
    <row r="60" spans="1:3">
      <c r="A60" t="s">
        <v>7</v>
      </c>
      <c r="B60" t="s">
        <v>83</v>
      </c>
      <c r="C60" t="s">
        <v>50</v>
      </c>
    </row>
    <row r="61" spans="1:3">
      <c r="A61" t="s">
        <v>7</v>
      </c>
      <c r="B61" t="s">
        <v>83</v>
      </c>
      <c r="C61" t="s">
        <v>51</v>
      </c>
    </row>
    <row r="62" spans="1:3">
      <c r="A62" t="s">
        <v>7</v>
      </c>
      <c r="B62" t="s">
        <v>83</v>
      </c>
      <c r="C62" t="s">
        <v>75</v>
      </c>
    </row>
    <row r="63" spans="1:3">
      <c r="A63" t="s">
        <v>7</v>
      </c>
      <c r="B63" t="s">
        <v>83</v>
      </c>
      <c r="C63" t="s">
        <v>54</v>
      </c>
    </row>
    <row r="64" spans="1:3">
      <c r="A64" t="s">
        <v>7</v>
      </c>
      <c r="B64" t="s">
        <v>83</v>
      </c>
      <c r="C64" t="s">
        <v>56</v>
      </c>
    </row>
    <row r="65" spans="1:3">
      <c r="A65" t="s">
        <v>7</v>
      </c>
      <c r="B65" t="s">
        <v>83</v>
      </c>
      <c r="C65" t="s">
        <v>79</v>
      </c>
    </row>
    <row r="66" spans="1:3">
      <c r="A66" t="s">
        <v>7</v>
      </c>
      <c r="B66" t="s">
        <v>83</v>
      </c>
      <c r="C66" t="s">
        <v>80</v>
      </c>
    </row>
    <row r="67" spans="1:3">
      <c r="A67" t="s">
        <v>7</v>
      </c>
      <c r="B67" t="s">
        <v>83</v>
      </c>
      <c r="C67" t="s">
        <v>81</v>
      </c>
    </row>
    <row r="68" spans="1:3">
      <c r="A68" t="s">
        <v>7</v>
      </c>
      <c r="B68" t="s">
        <v>83</v>
      </c>
      <c r="C68" t="s">
        <v>82</v>
      </c>
    </row>
    <row r="69" spans="1:3">
      <c r="A69" t="s">
        <v>7</v>
      </c>
      <c r="B69" t="s">
        <v>84</v>
      </c>
      <c r="C69" t="s">
        <v>44</v>
      </c>
    </row>
    <row r="70" spans="1:3">
      <c r="A70" t="s">
        <v>7</v>
      </c>
      <c r="B70" t="s">
        <v>84</v>
      </c>
      <c r="C70" t="s">
        <v>48</v>
      </c>
    </row>
    <row r="71" spans="1:3">
      <c r="A71" t="s">
        <v>7</v>
      </c>
      <c r="B71" t="s">
        <v>84</v>
      </c>
      <c r="C71" t="s">
        <v>49</v>
      </c>
    </row>
    <row r="72" spans="1:3">
      <c r="A72" t="s">
        <v>7</v>
      </c>
      <c r="B72" t="s">
        <v>84</v>
      </c>
      <c r="C72" t="s">
        <v>50</v>
      </c>
    </row>
    <row r="73" spans="1:3">
      <c r="A73" t="s">
        <v>7</v>
      </c>
      <c r="B73" t="s">
        <v>84</v>
      </c>
      <c r="C73" t="s">
        <v>51</v>
      </c>
    </row>
    <row r="74" spans="1:3">
      <c r="A74" t="s">
        <v>7</v>
      </c>
      <c r="B74" t="s">
        <v>84</v>
      </c>
      <c r="C74" t="s">
        <v>75</v>
      </c>
    </row>
    <row r="75" spans="1:3">
      <c r="A75" t="s">
        <v>7</v>
      </c>
      <c r="B75" t="s">
        <v>84</v>
      </c>
      <c r="C75" t="s">
        <v>54</v>
      </c>
    </row>
    <row r="76" spans="1:3">
      <c r="A76" t="s">
        <v>7</v>
      </c>
      <c r="B76" t="s">
        <v>84</v>
      </c>
      <c r="C76" t="s">
        <v>56</v>
      </c>
    </row>
    <row r="77" spans="1:3">
      <c r="A77" t="s">
        <v>7</v>
      </c>
      <c r="B77" t="s">
        <v>84</v>
      </c>
      <c r="C77" t="s">
        <v>79</v>
      </c>
    </row>
    <row r="78" spans="1:3">
      <c r="A78" t="s">
        <v>7</v>
      </c>
      <c r="B78" t="s">
        <v>84</v>
      </c>
      <c r="C78" t="s">
        <v>80</v>
      </c>
    </row>
    <row r="79" spans="1:3">
      <c r="A79" t="s">
        <v>7</v>
      </c>
      <c r="B79" t="s">
        <v>84</v>
      </c>
      <c r="C79" t="s">
        <v>81</v>
      </c>
    </row>
    <row r="80" spans="1:3">
      <c r="A80" t="s">
        <v>7</v>
      </c>
      <c r="B80" t="s">
        <v>84</v>
      </c>
      <c r="C80" t="s">
        <v>82</v>
      </c>
    </row>
    <row r="81" spans="1:3">
      <c r="A81" t="s">
        <v>7</v>
      </c>
      <c r="B81" t="s">
        <v>84</v>
      </c>
      <c r="C81" t="s">
        <v>85</v>
      </c>
    </row>
    <row r="82" spans="1:3">
      <c r="A82" t="s">
        <v>7</v>
      </c>
      <c r="B82" t="s">
        <v>84</v>
      </c>
      <c r="C82" t="s">
        <v>86</v>
      </c>
    </row>
    <row r="83" spans="1:3">
      <c r="A83" t="s">
        <v>7</v>
      </c>
      <c r="B83" t="s">
        <v>87</v>
      </c>
      <c r="C83" t="s">
        <v>44</v>
      </c>
    </row>
    <row r="84" spans="1:3">
      <c r="A84" t="s">
        <v>7</v>
      </c>
      <c r="B84" t="s">
        <v>87</v>
      </c>
      <c r="C84" t="s">
        <v>48</v>
      </c>
    </row>
    <row r="85" spans="1:3">
      <c r="A85" t="s">
        <v>7</v>
      </c>
      <c r="B85" t="s">
        <v>87</v>
      </c>
      <c r="C85" t="s">
        <v>49</v>
      </c>
    </row>
    <row r="86" spans="1:3">
      <c r="A86" t="s">
        <v>7</v>
      </c>
      <c r="B86" t="s">
        <v>87</v>
      </c>
      <c r="C86" t="s">
        <v>50</v>
      </c>
    </row>
    <row r="87" spans="1:3">
      <c r="A87" t="s">
        <v>7</v>
      </c>
      <c r="B87" t="s">
        <v>87</v>
      </c>
      <c r="C87" t="s">
        <v>75</v>
      </c>
    </row>
    <row r="88" spans="1:3">
      <c r="A88" t="s">
        <v>7</v>
      </c>
      <c r="B88" t="s">
        <v>87</v>
      </c>
      <c r="C88" t="s">
        <v>54</v>
      </c>
    </row>
    <row r="89" spans="1:3">
      <c r="A89" t="s">
        <v>7</v>
      </c>
      <c r="B89" t="s">
        <v>87</v>
      </c>
      <c r="C89" t="s">
        <v>56</v>
      </c>
    </row>
    <row r="90" spans="1:3">
      <c r="A90" t="s">
        <v>7</v>
      </c>
      <c r="B90" t="s">
        <v>87</v>
      </c>
      <c r="C90" t="s">
        <v>79</v>
      </c>
    </row>
    <row r="91" spans="1:3">
      <c r="A91" t="s">
        <v>7</v>
      </c>
      <c r="B91" t="s">
        <v>87</v>
      </c>
      <c r="C91" t="s">
        <v>80</v>
      </c>
    </row>
    <row r="92" spans="1:3">
      <c r="A92" t="s">
        <v>7</v>
      </c>
      <c r="B92" t="s">
        <v>87</v>
      </c>
      <c r="C92" t="s">
        <v>88</v>
      </c>
    </row>
    <row r="93" spans="1:3">
      <c r="A93" t="s">
        <v>7</v>
      </c>
      <c r="B93" t="s">
        <v>87</v>
      </c>
      <c r="C93" t="s">
        <v>85</v>
      </c>
    </row>
    <row r="94" spans="1:3">
      <c r="A94" t="s">
        <v>7</v>
      </c>
      <c r="B94" t="s">
        <v>87</v>
      </c>
      <c r="C94" t="s">
        <v>89</v>
      </c>
    </row>
    <row r="95" spans="1:3">
      <c r="A95" t="s">
        <v>7</v>
      </c>
      <c r="B95" t="s">
        <v>87</v>
      </c>
      <c r="C95" t="s">
        <v>90</v>
      </c>
    </row>
    <row r="96" spans="1:3">
      <c r="A96" t="s">
        <v>7</v>
      </c>
      <c r="B96" t="s">
        <v>87</v>
      </c>
      <c r="C96" t="s">
        <v>91</v>
      </c>
    </row>
    <row r="97" spans="1:3">
      <c r="A97" t="s">
        <v>7</v>
      </c>
      <c r="B97" t="s">
        <v>92</v>
      </c>
      <c r="C97" t="s">
        <v>49</v>
      </c>
    </row>
    <row r="98" spans="1:3">
      <c r="A98" t="s">
        <v>7</v>
      </c>
      <c r="B98" t="s">
        <v>92</v>
      </c>
      <c r="C98" t="s">
        <v>50</v>
      </c>
    </row>
    <row r="99" spans="1:3">
      <c r="A99" t="s">
        <v>7</v>
      </c>
      <c r="B99" t="s">
        <v>92</v>
      </c>
      <c r="C99" t="s">
        <v>75</v>
      </c>
    </row>
    <row r="100" spans="1:3">
      <c r="A100" t="s">
        <v>7</v>
      </c>
      <c r="B100" t="s">
        <v>92</v>
      </c>
      <c r="C100" t="s">
        <v>53</v>
      </c>
    </row>
    <row r="101" spans="1:3">
      <c r="A101" t="s">
        <v>7</v>
      </c>
      <c r="B101" t="s">
        <v>92</v>
      </c>
      <c r="C101" t="s">
        <v>54</v>
      </c>
    </row>
    <row r="102" spans="1:3">
      <c r="A102" t="s">
        <v>7</v>
      </c>
      <c r="B102" t="s">
        <v>92</v>
      </c>
      <c r="C102" t="s">
        <v>93</v>
      </c>
    </row>
    <row r="103" spans="1:3">
      <c r="A103" t="s">
        <v>7</v>
      </c>
      <c r="B103" t="s">
        <v>92</v>
      </c>
      <c r="C103" t="s">
        <v>94</v>
      </c>
    </row>
    <row r="104" spans="1:3">
      <c r="A104" t="s">
        <v>7</v>
      </c>
      <c r="B104" t="s">
        <v>92</v>
      </c>
      <c r="C104" t="s">
        <v>95</v>
      </c>
    </row>
    <row r="105" spans="1:3">
      <c r="A105" t="s">
        <v>7</v>
      </c>
      <c r="B105" t="s">
        <v>92</v>
      </c>
      <c r="C105" t="s">
        <v>96</v>
      </c>
    </row>
    <row r="106" spans="1:3">
      <c r="A106" t="s">
        <v>7</v>
      </c>
      <c r="B106" t="s">
        <v>92</v>
      </c>
      <c r="C106" t="s">
        <v>97</v>
      </c>
    </row>
    <row r="107" spans="1:3">
      <c r="A107" t="s">
        <v>7</v>
      </c>
      <c r="B107" t="s">
        <v>92</v>
      </c>
      <c r="C107" t="s">
        <v>98</v>
      </c>
    </row>
    <row r="108" spans="1:3">
      <c r="A108" t="s">
        <v>7</v>
      </c>
      <c r="B108" t="s">
        <v>92</v>
      </c>
      <c r="C108" t="s">
        <v>99</v>
      </c>
    </row>
    <row r="109" spans="1:3">
      <c r="A109" t="s">
        <v>7</v>
      </c>
      <c r="B109" t="s">
        <v>92</v>
      </c>
      <c r="C109" t="s">
        <v>100</v>
      </c>
    </row>
    <row r="110" spans="1:3">
      <c r="A110" t="s">
        <v>7</v>
      </c>
      <c r="B110" t="s">
        <v>92</v>
      </c>
      <c r="C110" t="s">
        <v>101</v>
      </c>
    </row>
    <row r="111" spans="1:3">
      <c r="A111" t="s">
        <v>7</v>
      </c>
      <c r="B111" t="s">
        <v>102</v>
      </c>
      <c r="C111" t="s">
        <v>103</v>
      </c>
    </row>
    <row r="112" spans="1:3">
      <c r="A112" t="s">
        <v>7</v>
      </c>
      <c r="B112" t="s">
        <v>102</v>
      </c>
      <c r="C112" t="s">
        <v>104</v>
      </c>
    </row>
    <row r="113" spans="1:3">
      <c r="A113" t="s">
        <v>7</v>
      </c>
      <c r="B113" t="s">
        <v>102</v>
      </c>
      <c r="C113" t="s">
        <v>105</v>
      </c>
    </row>
    <row r="114" spans="1:3">
      <c r="A114" t="s">
        <v>7</v>
      </c>
      <c r="B114" t="s">
        <v>102</v>
      </c>
      <c r="C114" t="s">
        <v>106</v>
      </c>
    </row>
    <row r="115" spans="1:3">
      <c r="A115" t="s">
        <v>7</v>
      </c>
      <c r="B115" t="s">
        <v>102</v>
      </c>
      <c r="C115" t="s">
        <v>107</v>
      </c>
    </row>
    <row r="116" spans="1:3">
      <c r="A116" t="s">
        <v>7</v>
      </c>
      <c r="B116" t="s">
        <v>102</v>
      </c>
      <c r="C116" t="s">
        <v>108</v>
      </c>
    </row>
    <row r="117" spans="1:3">
      <c r="A117" t="s">
        <v>7</v>
      </c>
      <c r="B117" t="s">
        <v>102</v>
      </c>
      <c r="C117" t="s">
        <v>109</v>
      </c>
    </row>
    <row r="118" spans="1:3">
      <c r="A118" t="s">
        <v>7</v>
      </c>
      <c r="B118" t="s">
        <v>102</v>
      </c>
      <c r="C118" t="s">
        <v>110</v>
      </c>
    </row>
    <row r="119" spans="1:3">
      <c r="A119" t="s">
        <v>7</v>
      </c>
      <c r="B119" t="s">
        <v>102</v>
      </c>
      <c r="C119" t="s">
        <v>111</v>
      </c>
    </row>
    <row r="120" spans="1:3">
      <c r="A120" t="s">
        <v>7</v>
      </c>
      <c r="B120" t="s">
        <v>112</v>
      </c>
      <c r="C120" t="s">
        <v>113</v>
      </c>
    </row>
    <row r="121" spans="1:3">
      <c r="A121" t="s">
        <v>7</v>
      </c>
      <c r="B121" t="s">
        <v>112</v>
      </c>
      <c r="C121" t="s">
        <v>111</v>
      </c>
    </row>
    <row r="122" spans="1:3">
      <c r="A122" t="s">
        <v>7</v>
      </c>
      <c r="B122" t="s">
        <v>112</v>
      </c>
      <c r="C122" t="s">
        <v>75</v>
      </c>
    </row>
    <row r="123" spans="1:3">
      <c r="A123" t="s">
        <v>7</v>
      </c>
      <c r="B123" t="s">
        <v>112</v>
      </c>
      <c r="C123" t="s">
        <v>114</v>
      </c>
    </row>
    <row r="124" spans="1:3">
      <c r="A124" t="s">
        <v>7</v>
      </c>
      <c r="B124" t="s">
        <v>112</v>
      </c>
      <c r="C124" t="s">
        <v>115</v>
      </c>
    </row>
    <row r="125" spans="1:3">
      <c r="A125" t="s">
        <v>7</v>
      </c>
      <c r="B125" t="s">
        <v>112</v>
      </c>
      <c r="C125" t="s">
        <v>116</v>
      </c>
    </row>
    <row r="126" spans="1:3">
      <c r="A126" t="s">
        <v>7</v>
      </c>
      <c r="B126" t="s">
        <v>112</v>
      </c>
      <c r="C126" t="s">
        <v>117</v>
      </c>
    </row>
    <row r="127" spans="1:3">
      <c r="A127" t="s">
        <v>7</v>
      </c>
      <c r="B127" t="s">
        <v>112</v>
      </c>
      <c r="C127" t="s">
        <v>118</v>
      </c>
    </row>
    <row r="128" spans="1:3">
      <c r="A128" t="s">
        <v>7</v>
      </c>
      <c r="B128" t="s">
        <v>119</v>
      </c>
      <c r="C128" t="s">
        <v>113</v>
      </c>
    </row>
    <row r="129" spans="1:3">
      <c r="A129" t="s">
        <v>7</v>
      </c>
      <c r="B129" t="s">
        <v>119</v>
      </c>
      <c r="C129" t="s">
        <v>111</v>
      </c>
    </row>
    <row r="130" spans="1:3">
      <c r="A130" t="s">
        <v>7</v>
      </c>
      <c r="B130" t="s">
        <v>119</v>
      </c>
      <c r="C130" t="s">
        <v>75</v>
      </c>
    </row>
    <row r="131" spans="1:3">
      <c r="A131" t="s">
        <v>7</v>
      </c>
      <c r="B131" t="s">
        <v>119</v>
      </c>
      <c r="C131" t="s">
        <v>114</v>
      </c>
    </row>
    <row r="132" spans="1:3">
      <c r="A132" t="s">
        <v>7</v>
      </c>
      <c r="B132" t="s">
        <v>119</v>
      </c>
      <c r="C132" t="s">
        <v>115</v>
      </c>
    </row>
    <row r="133" spans="1:3">
      <c r="A133" t="s">
        <v>7</v>
      </c>
      <c r="B133" t="s">
        <v>119</v>
      </c>
      <c r="C133" t="s">
        <v>116</v>
      </c>
    </row>
    <row r="134" spans="1:3">
      <c r="A134" t="s">
        <v>7</v>
      </c>
      <c r="B134" t="s">
        <v>119</v>
      </c>
      <c r="C134" t="s">
        <v>117</v>
      </c>
    </row>
    <row r="135" spans="1:3">
      <c r="A135" t="s">
        <v>7</v>
      </c>
      <c r="B135" t="s">
        <v>119</v>
      </c>
      <c r="C135" t="s">
        <v>118</v>
      </c>
    </row>
    <row r="136" spans="1:3">
      <c r="A136" t="s">
        <v>7</v>
      </c>
      <c r="B136" t="s">
        <v>120</v>
      </c>
      <c r="C136" t="s">
        <v>121</v>
      </c>
    </row>
    <row r="137" spans="1:3">
      <c r="A137" t="s">
        <v>7</v>
      </c>
      <c r="B137" t="s">
        <v>120</v>
      </c>
      <c r="C137" t="s">
        <v>122</v>
      </c>
    </row>
    <row r="138" spans="1:3">
      <c r="A138" t="s">
        <v>7</v>
      </c>
      <c r="B138" t="s">
        <v>120</v>
      </c>
      <c r="C138" t="s">
        <v>123</v>
      </c>
    </row>
    <row r="139" spans="1:3">
      <c r="A139" t="s">
        <v>7</v>
      </c>
      <c r="B139" t="s">
        <v>120</v>
      </c>
      <c r="C139" t="s">
        <v>124</v>
      </c>
    </row>
    <row r="140" spans="1:3">
      <c r="A140" t="s">
        <v>7</v>
      </c>
      <c r="B140" t="s">
        <v>120</v>
      </c>
      <c r="C140" t="s">
        <v>125</v>
      </c>
    </row>
    <row r="141" spans="1:3">
      <c r="A141" t="s">
        <v>7</v>
      </c>
      <c r="B141" t="s">
        <v>120</v>
      </c>
      <c r="C141" t="s">
        <v>111</v>
      </c>
    </row>
    <row r="142" spans="1:3">
      <c r="A142" t="s">
        <v>7</v>
      </c>
      <c r="B142" t="s">
        <v>120</v>
      </c>
      <c r="C142" t="s">
        <v>126</v>
      </c>
    </row>
    <row r="143" spans="1:3">
      <c r="A143" t="s">
        <v>7</v>
      </c>
      <c r="B143" t="s">
        <v>127</v>
      </c>
      <c r="C143" t="s">
        <v>128</v>
      </c>
    </row>
    <row r="144" spans="1:3">
      <c r="A144" t="s">
        <v>7</v>
      </c>
      <c r="B144" t="s">
        <v>127</v>
      </c>
      <c r="C144" t="s">
        <v>129</v>
      </c>
    </row>
    <row r="145" spans="1:3">
      <c r="A145" t="s">
        <v>7</v>
      </c>
      <c r="B145" t="s">
        <v>127</v>
      </c>
      <c r="C145" t="s">
        <v>130</v>
      </c>
    </row>
    <row r="146" spans="1:3">
      <c r="A146" t="s">
        <v>7</v>
      </c>
      <c r="B146" t="s">
        <v>127</v>
      </c>
      <c r="C146" t="s">
        <v>131</v>
      </c>
    </row>
    <row r="147" spans="1:3">
      <c r="A147" t="s">
        <v>7</v>
      </c>
      <c r="B147" t="s">
        <v>127</v>
      </c>
      <c r="C147" t="s">
        <v>132</v>
      </c>
    </row>
    <row r="148" spans="1:3">
      <c r="A148" t="s">
        <v>7</v>
      </c>
      <c r="B148" t="s">
        <v>127</v>
      </c>
      <c r="C148" t="s">
        <v>133</v>
      </c>
    </row>
    <row r="149" spans="1:3">
      <c r="A149" t="s">
        <v>7</v>
      </c>
      <c r="B149" t="s">
        <v>127</v>
      </c>
      <c r="C149" t="s">
        <v>134</v>
      </c>
    </row>
    <row r="150" spans="1:3">
      <c r="A150" t="s">
        <v>7</v>
      </c>
      <c r="B150" t="s">
        <v>127</v>
      </c>
      <c r="C150" t="s">
        <v>135</v>
      </c>
    </row>
    <row r="151" spans="1:3">
      <c r="A151" t="s">
        <v>7</v>
      </c>
      <c r="B151" t="s">
        <v>127</v>
      </c>
      <c r="C151" t="s">
        <v>136</v>
      </c>
    </row>
    <row r="152" spans="1:3">
      <c r="A152" t="s">
        <v>7</v>
      </c>
      <c r="B152" t="s">
        <v>137</v>
      </c>
      <c r="C152" t="s">
        <v>138</v>
      </c>
    </row>
    <row r="153" spans="1:3">
      <c r="A153" t="s">
        <v>7</v>
      </c>
      <c r="B153" t="s">
        <v>137</v>
      </c>
      <c r="C153" t="s">
        <v>139</v>
      </c>
    </row>
    <row r="154" spans="1:3">
      <c r="A154" t="s">
        <v>7</v>
      </c>
      <c r="B154" t="s">
        <v>137</v>
      </c>
      <c r="C154" t="s">
        <v>140</v>
      </c>
    </row>
  </sheetData>
  <dataValidations count="1">
    <dataValidation type="list" sqref="NG2:NG154" xr:uid="{00000000-0002-0000-0300-000001000000}">
      <formula1>"Checked,Not Checked,N/A"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Settings!$D$2:$D$4</xm:f>
          </x14:formula1>
          <xm:sqref>E2:NE154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22"/>
  <sheetViews>
    <sheetView workbookViewId="0">
      <selection activeCell="A10" sqref="A10"/>
    </sheetView>
  </sheetViews>
  <sheetFormatPr defaultRowHeight="14"/>
  <cols>
    <col min="1" max="1" width="14" customWidth="1"/>
    <col min="2" max="2" width="28" customWidth="1"/>
    <col min="3" max="3" width="60" customWidth="1"/>
    <col min="4" max="4" width="28" customWidth="1"/>
    <col min="5" max="56" width="11" customWidth="1"/>
    <col min="57" max="59" width="20" customWidth="1"/>
  </cols>
  <sheetData>
    <row r="1" spans="1:59">
      <c r="A1" s="3" t="s">
        <v>1</v>
      </c>
      <c r="B1" s="3" t="s">
        <v>38</v>
      </c>
      <c r="C1" s="3" t="s">
        <v>39</v>
      </c>
      <c r="D1" s="3" t="s">
        <v>40</v>
      </c>
      <c r="E1" s="3" t="s">
        <v>216</v>
      </c>
      <c r="F1" s="3" t="s">
        <v>217</v>
      </c>
      <c r="G1" s="3" t="s">
        <v>218</v>
      </c>
      <c r="H1" s="3" t="s">
        <v>219</v>
      </c>
      <c r="I1" s="3" t="s">
        <v>220</v>
      </c>
      <c r="J1" s="3" t="s">
        <v>221</v>
      </c>
      <c r="K1" s="3" t="s">
        <v>222</v>
      </c>
      <c r="L1" s="3" t="s">
        <v>223</v>
      </c>
      <c r="M1" s="3" t="s">
        <v>224</v>
      </c>
      <c r="N1" s="3" t="s">
        <v>225</v>
      </c>
      <c r="O1" s="3" t="s">
        <v>226</v>
      </c>
      <c r="P1" s="3" t="s">
        <v>227</v>
      </c>
      <c r="Q1" s="3" t="s">
        <v>228</v>
      </c>
      <c r="R1" s="3" t="s">
        <v>229</v>
      </c>
      <c r="S1" s="3" t="s">
        <v>230</v>
      </c>
      <c r="T1" s="3" t="s">
        <v>231</v>
      </c>
      <c r="U1" s="3" t="s">
        <v>232</v>
      </c>
      <c r="V1" s="3" t="s">
        <v>233</v>
      </c>
      <c r="W1" s="3" t="s">
        <v>234</v>
      </c>
      <c r="X1" s="3" t="s">
        <v>235</v>
      </c>
      <c r="Y1" s="3" t="s">
        <v>236</v>
      </c>
      <c r="Z1" s="3" t="s">
        <v>237</v>
      </c>
      <c r="AA1" s="3" t="s">
        <v>238</v>
      </c>
      <c r="AB1" s="3" t="s">
        <v>239</v>
      </c>
      <c r="AC1" s="3" t="s">
        <v>240</v>
      </c>
      <c r="AD1" s="3" t="s">
        <v>241</v>
      </c>
      <c r="AE1" s="3" t="s">
        <v>242</v>
      </c>
      <c r="AF1" s="3" t="s">
        <v>243</v>
      </c>
      <c r="AG1" s="3" t="s">
        <v>244</v>
      </c>
      <c r="AH1" s="3" t="s">
        <v>245</v>
      </c>
      <c r="AI1" s="3" t="s">
        <v>246</v>
      </c>
      <c r="AJ1" s="3" t="s">
        <v>247</v>
      </c>
      <c r="AK1" s="3" t="s">
        <v>248</v>
      </c>
      <c r="AL1" s="3" t="s">
        <v>249</v>
      </c>
      <c r="AM1" s="3" t="s">
        <v>250</v>
      </c>
      <c r="AN1" s="3" t="s">
        <v>251</v>
      </c>
      <c r="AO1" s="3" t="s">
        <v>252</v>
      </c>
      <c r="AP1" s="3" t="s">
        <v>253</v>
      </c>
      <c r="AQ1" s="3" t="s">
        <v>254</v>
      </c>
      <c r="AR1" s="3" t="s">
        <v>255</v>
      </c>
      <c r="AS1" s="3" t="s">
        <v>256</v>
      </c>
      <c r="AT1" s="3" t="s">
        <v>257</v>
      </c>
      <c r="AU1" s="3" t="s">
        <v>258</v>
      </c>
      <c r="AV1" s="3" t="s">
        <v>259</v>
      </c>
      <c r="AW1" s="3" t="s">
        <v>260</v>
      </c>
      <c r="AX1" s="3" t="s">
        <v>261</v>
      </c>
      <c r="AY1" s="3" t="s">
        <v>262</v>
      </c>
      <c r="AZ1" s="3" t="s">
        <v>263</v>
      </c>
      <c r="BA1" s="3" t="s">
        <v>264</v>
      </c>
      <c r="BB1" s="3" t="s">
        <v>265</v>
      </c>
      <c r="BC1" s="3" t="s">
        <v>266</v>
      </c>
      <c r="BD1" s="3" t="s">
        <v>267</v>
      </c>
      <c r="BE1" s="3" t="s">
        <v>213</v>
      </c>
      <c r="BF1" s="3" t="s">
        <v>214</v>
      </c>
      <c r="BG1" s="3" t="s">
        <v>215</v>
      </c>
    </row>
    <row r="2" spans="1:59">
      <c r="A2" t="s">
        <v>8</v>
      </c>
      <c r="B2" t="s">
        <v>141</v>
      </c>
      <c r="C2" t="s">
        <v>142</v>
      </c>
    </row>
    <row r="3" spans="1:59">
      <c r="A3" t="s">
        <v>8</v>
      </c>
      <c r="B3" t="s">
        <v>141</v>
      </c>
      <c r="C3" t="s">
        <v>143</v>
      </c>
    </row>
    <row r="4" spans="1:59">
      <c r="A4" t="s">
        <v>8</v>
      </c>
      <c r="B4" t="s">
        <v>141</v>
      </c>
      <c r="C4" t="s">
        <v>144</v>
      </c>
    </row>
    <row r="5" spans="1:59">
      <c r="A5" t="s">
        <v>8</v>
      </c>
      <c r="B5" t="s">
        <v>141</v>
      </c>
      <c r="C5" t="s">
        <v>145</v>
      </c>
    </row>
    <row r="6" spans="1:59">
      <c r="A6" t="s">
        <v>8</v>
      </c>
      <c r="B6" t="s">
        <v>141</v>
      </c>
      <c r="C6" t="s">
        <v>146</v>
      </c>
    </row>
    <row r="7" spans="1:59">
      <c r="A7" t="s">
        <v>8</v>
      </c>
      <c r="B7" t="s">
        <v>141</v>
      </c>
      <c r="C7" t="s">
        <v>147</v>
      </c>
    </row>
    <row r="8" spans="1:59">
      <c r="A8" t="s">
        <v>8</v>
      </c>
      <c r="B8" t="s">
        <v>141</v>
      </c>
      <c r="C8" t="s">
        <v>148</v>
      </c>
    </row>
    <row r="9" spans="1:59">
      <c r="A9" t="s">
        <v>8</v>
      </c>
      <c r="B9" t="s">
        <v>92</v>
      </c>
      <c r="C9" t="s">
        <v>149</v>
      </c>
    </row>
    <row r="10" spans="1:59">
      <c r="A10" t="s">
        <v>8</v>
      </c>
      <c r="B10" t="s">
        <v>102</v>
      </c>
      <c r="C10" t="s">
        <v>150</v>
      </c>
    </row>
    <row r="11" spans="1:59">
      <c r="A11" t="s">
        <v>8</v>
      </c>
      <c r="B11" t="s">
        <v>102</v>
      </c>
      <c r="C11" t="s">
        <v>151</v>
      </c>
    </row>
    <row r="12" spans="1:59">
      <c r="A12" t="s">
        <v>8</v>
      </c>
      <c r="B12" t="s">
        <v>102</v>
      </c>
      <c r="C12" t="s">
        <v>152</v>
      </c>
    </row>
    <row r="13" spans="1:59">
      <c r="A13" t="s">
        <v>8</v>
      </c>
      <c r="B13" t="s">
        <v>153</v>
      </c>
      <c r="C13" t="s">
        <v>154</v>
      </c>
    </row>
    <row r="14" spans="1:59">
      <c r="A14" t="s">
        <v>8</v>
      </c>
      <c r="B14" t="s">
        <v>153</v>
      </c>
      <c r="C14" t="s">
        <v>155</v>
      </c>
    </row>
    <row r="15" spans="1:59">
      <c r="A15" t="s">
        <v>8</v>
      </c>
      <c r="B15" t="s">
        <v>153</v>
      </c>
      <c r="C15" t="s">
        <v>156</v>
      </c>
    </row>
    <row r="16" spans="1:59">
      <c r="A16" t="s">
        <v>8</v>
      </c>
      <c r="B16" t="s">
        <v>120</v>
      </c>
      <c r="C16" t="s">
        <v>157</v>
      </c>
    </row>
    <row r="17" spans="1:3">
      <c r="A17" t="s">
        <v>8</v>
      </c>
      <c r="B17" t="s">
        <v>120</v>
      </c>
      <c r="C17" t="s">
        <v>158</v>
      </c>
    </row>
    <row r="18" spans="1:3">
      <c r="A18" t="s">
        <v>8</v>
      </c>
      <c r="B18" t="s">
        <v>120</v>
      </c>
      <c r="C18" t="s">
        <v>159</v>
      </c>
    </row>
    <row r="19" spans="1:3">
      <c r="A19" t="s">
        <v>8</v>
      </c>
      <c r="B19" t="s">
        <v>127</v>
      </c>
      <c r="C19" t="s">
        <v>160</v>
      </c>
    </row>
    <row r="20" spans="1:3">
      <c r="A20" t="s">
        <v>8</v>
      </c>
      <c r="B20" t="s">
        <v>137</v>
      </c>
      <c r="C20" t="s">
        <v>161</v>
      </c>
    </row>
    <row r="21" spans="1:3">
      <c r="A21" t="s">
        <v>8</v>
      </c>
      <c r="B21" t="s">
        <v>137</v>
      </c>
      <c r="C21" t="s">
        <v>162</v>
      </c>
    </row>
    <row r="22" spans="1:3">
      <c r="A22" t="s">
        <v>8</v>
      </c>
      <c r="B22" t="s">
        <v>137</v>
      </c>
      <c r="C22" t="s">
        <v>163</v>
      </c>
    </row>
  </sheetData>
  <dataValidations count="1">
    <dataValidation type="list" sqref="BF2:BF22" xr:uid="{00000000-0002-0000-0400-000001000000}">
      <formula1>"Checked,Not Checked,N/A"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Settings!$D$2:$D$4</xm:f>
          </x14:formula1>
          <xm:sqref>E2:BD22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3"/>
  <sheetViews>
    <sheetView tabSelected="1" workbookViewId="0"/>
  </sheetViews>
  <sheetFormatPr defaultRowHeight="14"/>
  <cols>
    <col min="1" max="1" width="14" customWidth="1"/>
    <col min="2" max="2" width="28" customWidth="1"/>
    <col min="3" max="3" width="60" customWidth="1"/>
    <col min="4" max="4" width="28" customWidth="1"/>
    <col min="5" max="16" width="11" customWidth="1"/>
    <col min="17" max="19" width="20" customWidth="1"/>
  </cols>
  <sheetData>
    <row r="1" spans="1:19">
      <c r="A1" s="3" t="s">
        <v>1</v>
      </c>
      <c r="B1" s="3" t="s">
        <v>38</v>
      </c>
      <c r="C1" s="3" t="s">
        <v>39</v>
      </c>
      <c r="D1" s="3" t="s">
        <v>40</v>
      </c>
      <c r="E1" s="3" t="s">
        <v>268</v>
      </c>
      <c r="F1" s="3" t="s">
        <v>269</v>
      </c>
      <c r="G1" s="3" t="s">
        <v>270</v>
      </c>
      <c r="H1" s="3" t="s">
        <v>271</v>
      </c>
      <c r="I1" s="3" t="s">
        <v>272</v>
      </c>
      <c r="J1" s="3" t="s">
        <v>273</v>
      </c>
      <c r="K1" s="3" t="s">
        <v>274</v>
      </c>
      <c r="L1" s="3" t="s">
        <v>275</v>
      </c>
      <c r="M1" s="3" t="s">
        <v>276</v>
      </c>
      <c r="N1" s="3" t="s">
        <v>277</v>
      </c>
      <c r="O1" s="3" t="s">
        <v>278</v>
      </c>
      <c r="P1" s="3" t="s">
        <v>279</v>
      </c>
      <c r="Q1" s="3" t="s">
        <v>213</v>
      </c>
      <c r="R1" s="3" t="s">
        <v>214</v>
      </c>
      <c r="S1" s="3" t="s">
        <v>215</v>
      </c>
    </row>
    <row r="2" spans="1:19">
      <c r="A2" t="s">
        <v>9</v>
      </c>
      <c r="B2" t="s">
        <v>141</v>
      </c>
      <c r="C2" t="s">
        <v>164</v>
      </c>
    </row>
    <row r="3" spans="1:19">
      <c r="A3" t="s">
        <v>9</v>
      </c>
      <c r="B3" t="s">
        <v>141</v>
      </c>
      <c r="C3" t="s">
        <v>165</v>
      </c>
    </row>
    <row r="4" spans="1:19">
      <c r="A4" t="s">
        <v>9</v>
      </c>
      <c r="B4" t="s">
        <v>141</v>
      </c>
      <c r="C4" t="s">
        <v>166</v>
      </c>
    </row>
    <row r="5" spans="1:19">
      <c r="A5" t="s">
        <v>9</v>
      </c>
      <c r="B5" t="s">
        <v>141</v>
      </c>
      <c r="C5" t="s">
        <v>167</v>
      </c>
    </row>
    <row r="6" spans="1:19">
      <c r="A6" t="s">
        <v>9</v>
      </c>
      <c r="B6" t="s">
        <v>168</v>
      </c>
      <c r="C6" t="s">
        <v>169</v>
      </c>
    </row>
    <row r="7" spans="1:19">
      <c r="A7" t="s">
        <v>9</v>
      </c>
      <c r="B7" t="s">
        <v>168</v>
      </c>
      <c r="C7" t="s">
        <v>170</v>
      </c>
    </row>
    <row r="8" spans="1:19">
      <c r="A8" t="s">
        <v>9</v>
      </c>
      <c r="B8" t="s">
        <v>168</v>
      </c>
      <c r="C8" t="s">
        <v>171</v>
      </c>
    </row>
    <row r="9" spans="1:19">
      <c r="A9" t="s">
        <v>9</v>
      </c>
      <c r="B9" t="s">
        <v>168</v>
      </c>
      <c r="C9" t="s">
        <v>172</v>
      </c>
    </row>
    <row r="10" spans="1:19">
      <c r="A10" t="s">
        <v>9</v>
      </c>
      <c r="B10" t="s">
        <v>120</v>
      </c>
      <c r="C10" t="s">
        <v>173</v>
      </c>
    </row>
    <row r="11" spans="1:19">
      <c r="A11" t="s">
        <v>9</v>
      </c>
      <c r="B11" t="s">
        <v>120</v>
      </c>
      <c r="C11" t="s">
        <v>174</v>
      </c>
    </row>
    <row r="12" spans="1:19">
      <c r="A12" t="s">
        <v>9</v>
      </c>
      <c r="B12" t="s">
        <v>120</v>
      </c>
      <c r="C12" t="s">
        <v>175</v>
      </c>
    </row>
    <row r="13" spans="1:19">
      <c r="A13" t="s">
        <v>9</v>
      </c>
      <c r="B13" t="s">
        <v>120</v>
      </c>
      <c r="C13" t="s">
        <v>176</v>
      </c>
    </row>
    <row r="14" spans="1:19">
      <c r="A14" t="s">
        <v>9</v>
      </c>
      <c r="B14" t="s">
        <v>102</v>
      </c>
      <c r="C14" t="s">
        <v>177</v>
      </c>
    </row>
    <row r="15" spans="1:19">
      <c r="A15" t="s">
        <v>9</v>
      </c>
      <c r="B15" t="s">
        <v>102</v>
      </c>
      <c r="C15" t="s">
        <v>178</v>
      </c>
    </row>
    <row r="16" spans="1:19">
      <c r="A16" t="s">
        <v>9</v>
      </c>
      <c r="B16" t="s">
        <v>102</v>
      </c>
      <c r="C16" t="s">
        <v>179</v>
      </c>
    </row>
    <row r="17" spans="1:3">
      <c r="A17" t="s">
        <v>9</v>
      </c>
      <c r="B17" t="s">
        <v>153</v>
      </c>
      <c r="C17" t="s">
        <v>180</v>
      </c>
    </row>
    <row r="18" spans="1:3">
      <c r="A18" t="s">
        <v>9</v>
      </c>
      <c r="B18" t="s">
        <v>153</v>
      </c>
      <c r="C18" t="s">
        <v>181</v>
      </c>
    </row>
    <row r="19" spans="1:3">
      <c r="A19" t="s">
        <v>9</v>
      </c>
      <c r="B19" t="s">
        <v>92</v>
      </c>
      <c r="C19" t="s">
        <v>182</v>
      </c>
    </row>
    <row r="20" spans="1:3">
      <c r="A20" t="s">
        <v>9</v>
      </c>
      <c r="B20" t="s">
        <v>92</v>
      </c>
      <c r="C20" t="s">
        <v>183</v>
      </c>
    </row>
    <row r="21" spans="1:3">
      <c r="A21" t="s">
        <v>9</v>
      </c>
      <c r="B21" t="s">
        <v>184</v>
      </c>
      <c r="C21" t="s">
        <v>185</v>
      </c>
    </row>
    <row r="22" spans="1:3">
      <c r="A22" t="s">
        <v>9</v>
      </c>
      <c r="B22" t="s">
        <v>184</v>
      </c>
      <c r="C22" t="s">
        <v>186</v>
      </c>
    </row>
    <row r="23" spans="1:3">
      <c r="A23" t="s">
        <v>9</v>
      </c>
      <c r="B23" t="s">
        <v>184</v>
      </c>
      <c r="C23" t="s">
        <v>187</v>
      </c>
    </row>
  </sheetData>
  <dataValidations count="1">
    <dataValidation type="list" sqref="R2:R23" xr:uid="{00000000-0002-0000-0500-000001000000}">
      <formula1>"Checked,Not Checked,N/A"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Settings!$D$2:$D$4</xm:f>
          </x14:formula1>
          <xm:sqref>E2:P23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"/>
  <sheetViews>
    <sheetView workbookViewId="0"/>
  </sheetViews>
  <sheetFormatPr defaultRowHeight="14"/>
  <cols>
    <col min="1" max="1" width="14" customWidth="1"/>
    <col min="2" max="2" width="28" customWidth="1"/>
    <col min="3" max="3" width="60" customWidth="1"/>
    <col min="4" max="4" width="28" customWidth="1"/>
    <col min="5" max="8" width="11" customWidth="1"/>
    <col min="9" max="11" width="20" customWidth="1"/>
  </cols>
  <sheetData>
    <row r="1" spans="1:11">
      <c r="A1" s="3" t="s">
        <v>1</v>
      </c>
      <c r="B1" s="3" t="s">
        <v>38</v>
      </c>
      <c r="C1" s="3" t="s">
        <v>39</v>
      </c>
      <c r="D1" s="3" t="s">
        <v>40</v>
      </c>
      <c r="E1" s="3" t="s">
        <v>280</v>
      </c>
      <c r="F1" s="3" t="s">
        <v>281</v>
      </c>
      <c r="G1" s="3" t="s">
        <v>282</v>
      </c>
      <c r="H1" s="3" t="s">
        <v>283</v>
      </c>
      <c r="I1" s="3" t="s">
        <v>213</v>
      </c>
      <c r="J1" s="3" t="s">
        <v>214</v>
      </c>
      <c r="K1" s="3" t="s">
        <v>215</v>
      </c>
    </row>
    <row r="2" spans="1:11">
      <c r="A2" t="s">
        <v>10</v>
      </c>
      <c r="B2" t="s">
        <v>188</v>
      </c>
      <c r="C2" t="s">
        <v>189</v>
      </c>
    </row>
    <row r="3" spans="1:11">
      <c r="A3" t="s">
        <v>10</v>
      </c>
      <c r="B3" t="s">
        <v>188</v>
      </c>
      <c r="C3" t="s">
        <v>190</v>
      </c>
    </row>
    <row r="4" spans="1:11">
      <c r="A4" t="s">
        <v>10</v>
      </c>
      <c r="B4" t="s">
        <v>188</v>
      </c>
      <c r="C4" t="s">
        <v>191</v>
      </c>
    </row>
    <row r="5" spans="1:11">
      <c r="A5" t="s">
        <v>10</v>
      </c>
      <c r="B5" t="s">
        <v>188</v>
      </c>
      <c r="C5" t="s">
        <v>192</v>
      </c>
    </row>
    <row r="6" spans="1:11">
      <c r="A6" t="s">
        <v>10</v>
      </c>
      <c r="B6" t="s">
        <v>188</v>
      </c>
      <c r="C6" t="s">
        <v>193</v>
      </c>
    </row>
    <row r="7" spans="1:11">
      <c r="A7" t="s">
        <v>10</v>
      </c>
      <c r="B7" t="s">
        <v>194</v>
      </c>
      <c r="C7" t="s">
        <v>195</v>
      </c>
    </row>
    <row r="8" spans="1:11">
      <c r="A8" t="s">
        <v>10</v>
      </c>
      <c r="B8" t="s">
        <v>194</v>
      </c>
      <c r="C8" t="s">
        <v>196</v>
      </c>
    </row>
    <row r="9" spans="1:11">
      <c r="A9" t="s">
        <v>10</v>
      </c>
      <c r="B9" t="s">
        <v>194</v>
      </c>
      <c r="C9" t="s">
        <v>197</v>
      </c>
    </row>
  </sheetData>
  <dataValidations count="1">
    <dataValidation type="list" sqref="J2:J9" xr:uid="{00000000-0002-0000-0600-000001000000}">
      <formula1>"Checked,Not Checked,N/A"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Settings!$D$2:$D$4</xm:f>
          </x14:formula1>
          <xm:sqref>E2:H9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"/>
  <sheetViews>
    <sheetView workbookViewId="0"/>
  </sheetViews>
  <sheetFormatPr defaultRowHeight="14"/>
  <cols>
    <col min="1" max="1" width="14" customWidth="1"/>
    <col min="2" max="2" width="28" customWidth="1"/>
    <col min="3" max="3" width="60" customWidth="1"/>
    <col min="4" max="4" width="28" customWidth="1"/>
    <col min="5" max="6" width="11" customWidth="1"/>
    <col min="7" max="9" width="20" customWidth="1"/>
  </cols>
  <sheetData>
    <row r="1" spans="1:9">
      <c r="A1" s="3" t="s">
        <v>1</v>
      </c>
      <c r="B1" s="3" t="s">
        <v>38</v>
      </c>
      <c r="C1" s="3" t="s">
        <v>39</v>
      </c>
      <c r="D1" s="3" t="s">
        <v>40</v>
      </c>
      <c r="E1" s="3" t="s">
        <v>284</v>
      </c>
      <c r="F1" s="3" t="s">
        <v>285</v>
      </c>
      <c r="G1" s="3" t="s">
        <v>213</v>
      </c>
      <c r="H1" s="3" t="s">
        <v>214</v>
      </c>
      <c r="I1" s="3" t="s">
        <v>215</v>
      </c>
    </row>
    <row r="2" spans="1:9">
      <c r="A2" t="s">
        <v>11</v>
      </c>
      <c r="B2" t="s">
        <v>188</v>
      </c>
      <c r="C2" t="s">
        <v>198</v>
      </c>
    </row>
    <row r="3" spans="1:9">
      <c r="A3" t="s">
        <v>11</v>
      </c>
      <c r="B3" t="s">
        <v>188</v>
      </c>
      <c r="C3" t="s">
        <v>199</v>
      </c>
    </row>
    <row r="4" spans="1:9">
      <c r="A4" t="s">
        <v>11</v>
      </c>
      <c r="B4" t="s">
        <v>188</v>
      </c>
      <c r="C4" t="s">
        <v>200</v>
      </c>
    </row>
    <row r="5" spans="1:9">
      <c r="A5" t="s">
        <v>11</v>
      </c>
      <c r="B5" t="s">
        <v>188</v>
      </c>
      <c r="C5" t="s">
        <v>201</v>
      </c>
    </row>
    <row r="6" spans="1:9">
      <c r="A6" t="s">
        <v>11</v>
      </c>
      <c r="B6" t="s">
        <v>188</v>
      </c>
      <c r="C6" t="s">
        <v>202</v>
      </c>
    </row>
    <row r="7" spans="1:9">
      <c r="A7" t="s">
        <v>11</v>
      </c>
      <c r="B7" t="s">
        <v>203</v>
      </c>
      <c r="C7" t="s">
        <v>204</v>
      </c>
    </row>
    <row r="8" spans="1:9">
      <c r="A8" t="s">
        <v>11</v>
      </c>
      <c r="B8" t="s">
        <v>203</v>
      </c>
      <c r="C8" t="s">
        <v>205</v>
      </c>
    </row>
  </sheetData>
  <dataValidations count="1">
    <dataValidation type="list" sqref="H2:H8" xr:uid="{00000000-0002-0000-0700-000001000000}">
      <formula1>"Checked,Not Checked,N/A"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0000000}">
          <x14:formula1>
            <xm:f>Settings!$D$2:$D$4</xm:f>
          </x14:formula1>
          <xm:sqref>E2:F8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"/>
  <sheetViews>
    <sheetView workbookViewId="0"/>
  </sheetViews>
  <sheetFormatPr defaultRowHeight="14"/>
  <cols>
    <col min="1" max="1" width="14" customWidth="1"/>
    <col min="2" max="2" width="28" customWidth="1"/>
    <col min="3" max="3" width="60" customWidth="1"/>
    <col min="4" max="4" width="28" customWidth="1"/>
    <col min="5" max="5" width="11" customWidth="1"/>
    <col min="6" max="8" width="20" customWidth="1"/>
  </cols>
  <sheetData>
    <row r="1" spans="1:8">
      <c r="A1" s="3" t="s">
        <v>1</v>
      </c>
      <c r="B1" s="3" t="s">
        <v>38</v>
      </c>
      <c r="C1" s="3" t="s">
        <v>39</v>
      </c>
      <c r="D1" s="3" t="s">
        <v>40</v>
      </c>
      <c r="E1" s="3" t="s">
        <v>12</v>
      </c>
      <c r="F1" s="3" t="s">
        <v>213</v>
      </c>
      <c r="G1" s="3" t="s">
        <v>214</v>
      </c>
      <c r="H1" s="3" t="s">
        <v>215</v>
      </c>
    </row>
    <row r="2" spans="1:8">
      <c r="A2" t="s">
        <v>12</v>
      </c>
      <c r="B2" t="s">
        <v>188</v>
      </c>
      <c r="C2" t="s">
        <v>206</v>
      </c>
    </row>
    <row r="3" spans="1:8">
      <c r="A3" t="s">
        <v>12</v>
      </c>
      <c r="B3" t="s">
        <v>188</v>
      </c>
      <c r="C3" t="s">
        <v>207</v>
      </c>
    </row>
    <row r="4" spans="1:8">
      <c r="A4" t="s">
        <v>12</v>
      </c>
      <c r="B4" t="s">
        <v>188</v>
      </c>
      <c r="C4" t="s">
        <v>208</v>
      </c>
    </row>
    <row r="5" spans="1:8">
      <c r="A5" t="s">
        <v>12</v>
      </c>
      <c r="B5" t="s">
        <v>188</v>
      </c>
      <c r="C5" t="s">
        <v>209</v>
      </c>
    </row>
    <row r="6" spans="1:8">
      <c r="A6" t="s">
        <v>12</v>
      </c>
      <c r="B6" t="s">
        <v>188</v>
      </c>
      <c r="C6" t="s">
        <v>210</v>
      </c>
    </row>
    <row r="7" spans="1:8">
      <c r="A7" t="s">
        <v>12</v>
      </c>
      <c r="B7" t="s">
        <v>188</v>
      </c>
      <c r="C7" t="s">
        <v>211</v>
      </c>
    </row>
    <row r="8" spans="1:8">
      <c r="A8" t="s">
        <v>12</v>
      </c>
      <c r="B8" t="s">
        <v>188</v>
      </c>
      <c r="C8" t="s">
        <v>212</v>
      </c>
    </row>
  </sheetData>
  <dataValidations count="1">
    <dataValidation type="list" sqref="G2:G8" xr:uid="{00000000-0002-0000-0800-000001000000}">
      <formula1>"Checked,Not Checked,N/A"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800-000000000000}">
          <x14:formula1>
            <xm:f>Settings!$D$2:$D$4</xm:f>
          </x14:formula1>
          <xm:sqref>E2:E8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9"/>
  <sheetViews>
    <sheetView workbookViewId="0"/>
  </sheetViews>
  <sheetFormatPr defaultRowHeight="14"/>
  <cols>
    <col min="1" max="1" width="14" customWidth="1"/>
    <col min="2" max="2" width="24" customWidth="1"/>
    <col min="3" max="3" width="62" customWidth="1"/>
    <col min="4" max="4" width="18" customWidth="1"/>
    <col min="5" max="5" width="35" customWidth="1"/>
    <col min="6" max="7" width="18" customWidth="1"/>
    <col min="8" max="9" width="14" customWidth="1"/>
    <col min="10" max="10" width="12" customWidth="1"/>
  </cols>
  <sheetData>
    <row r="1" spans="1:10" ht="28">
      <c r="A1" s="2" t="s">
        <v>286</v>
      </c>
      <c r="B1" s="2" t="s">
        <v>287</v>
      </c>
      <c r="C1" s="2" t="s">
        <v>288</v>
      </c>
      <c r="D1" s="2" t="s">
        <v>289</v>
      </c>
      <c r="E1" s="2" t="s">
        <v>290</v>
      </c>
      <c r="F1" s="2" t="s">
        <v>291</v>
      </c>
      <c r="G1" s="2" t="s">
        <v>292</v>
      </c>
      <c r="H1" s="2" t="s">
        <v>293</v>
      </c>
      <c r="I1" s="2" t="s">
        <v>294</v>
      </c>
      <c r="J1" s="2" t="s">
        <v>295</v>
      </c>
    </row>
    <row r="2" spans="1:10">
      <c r="B2" t="s">
        <v>296</v>
      </c>
      <c r="C2" t="s">
        <v>297</v>
      </c>
      <c r="J2" t="str">
        <f t="shared" ref="J2:J29" si="0">IF(D2="Compliant","Green",IF(D2="Partially Compliant","Amber",IF(D2="Non-Compliant","Red","")))</f>
        <v/>
      </c>
    </row>
    <row r="3" spans="1:10">
      <c r="B3" t="s">
        <v>296</v>
      </c>
      <c r="C3" t="s">
        <v>298</v>
      </c>
      <c r="J3" t="str">
        <f t="shared" si="0"/>
        <v/>
      </c>
    </row>
    <row r="4" spans="1:10">
      <c r="B4" t="s">
        <v>296</v>
      </c>
      <c r="C4" t="s">
        <v>299</v>
      </c>
      <c r="J4" t="str">
        <f t="shared" si="0"/>
        <v/>
      </c>
    </row>
    <row r="5" spans="1:10">
      <c r="B5" t="s">
        <v>296</v>
      </c>
      <c r="C5" t="s">
        <v>300</v>
      </c>
      <c r="J5" t="str">
        <f t="shared" si="0"/>
        <v/>
      </c>
    </row>
    <row r="6" spans="1:10">
      <c r="B6" t="s">
        <v>301</v>
      </c>
      <c r="C6" t="s">
        <v>302</v>
      </c>
      <c r="J6" t="str">
        <f t="shared" si="0"/>
        <v/>
      </c>
    </row>
    <row r="7" spans="1:10">
      <c r="B7" t="s">
        <v>301</v>
      </c>
      <c r="C7" t="s">
        <v>303</v>
      </c>
      <c r="J7" t="str">
        <f t="shared" si="0"/>
        <v/>
      </c>
    </row>
    <row r="8" spans="1:10">
      <c r="B8" t="s">
        <v>301</v>
      </c>
      <c r="C8" t="s">
        <v>304</v>
      </c>
      <c r="J8" t="str">
        <f t="shared" si="0"/>
        <v/>
      </c>
    </row>
    <row r="9" spans="1:10">
      <c r="B9" t="s">
        <v>301</v>
      </c>
      <c r="C9" t="s">
        <v>305</v>
      </c>
      <c r="J9" t="str">
        <f t="shared" si="0"/>
        <v/>
      </c>
    </row>
    <row r="10" spans="1:10">
      <c r="B10" t="s">
        <v>102</v>
      </c>
      <c r="C10" t="s">
        <v>306</v>
      </c>
      <c r="J10" t="str">
        <f t="shared" si="0"/>
        <v/>
      </c>
    </row>
    <row r="11" spans="1:10">
      <c r="B11" t="s">
        <v>102</v>
      </c>
      <c r="C11" t="s">
        <v>307</v>
      </c>
      <c r="J11" t="str">
        <f t="shared" si="0"/>
        <v/>
      </c>
    </row>
    <row r="12" spans="1:10">
      <c r="B12" t="s">
        <v>102</v>
      </c>
      <c r="C12" t="s">
        <v>308</v>
      </c>
      <c r="J12" t="str">
        <f t="shared" si="0"/>
        <v/>
      </c>
    </row>
    <row r="13" spans="1:10">
      <c r="B13" t="s">
        <v>102</v>
      </c>
      <c r="C13" t="s">
        <v>309</v>
      </c>
      <c r="J13" t="str">
        <f t="shared" si="0"/>
        <v/>
      </c>
    </row>
    <row r="14" spans="1:10">
      <c r="B14" t="s">
        <v>153</v>
      </c>
      <c r="C14" t="s">
        <v>310</v>
      </c>
      <c r="J14" t="str">
        <f t="shared" si="0"/>
        <v/>
      </c>
    </row>
    <row r="15" spans="1:10">
      <c r="B15" t="s">
        <v>153</v>
      </c>
      <c r="C15" t="s">
        <v>311</v>
      </c>
      <c r="J15" t="str">
        <f t="shared" si="0"/>
        <v/>
      </c>
    </row>
    <row r="16" spans="1:10">
      <c r="B16" t="s">
        <v>153</v>
      </c>
      <c r="C16" t="s">
        <v>312</v>
      </c>
      <c r="J16" t="str">
        <f t="shared" si="0"/>
        <v/>
      </c>
    </row>
    <row r="17" spans="2:10">
      <c r="B17" t="s">
        <v>153</v>
      </c>
      <c r="C17" t="s">
        <v>313</v>
      </c>
      <c r="J17" t="str">
        <f t="shared" si="0"/>
        <v/>
      </c>
    </row>
    <row r="18" spans="2:10">
      <c r="B18" t="s">
        <v>168</v>
      </c>
      <c r="C18" t="s">
        <v>314</v>
      </c>
      <c r="J18" t="str">
        <f t="shared" si="0"/>
        <v/>
      </c>
    </row>
    <row r="19" spans="2:10">
      <c r="B19" t="s">
        <v>168</v>
      </c>
      <c r="C19" t="s">
        <v>315</v>
      </c>
      <c r="J19" t="str">
        <f t="shared" si="0"/>
        <v/>
      </c>
    </row>
    <row r="20" spans="2:10">
      <c r="B20" t="s">
        <v>168</v>
      </c>
      <c r="C20" t="s">
        <v>316</v>
      </c>
      <c r="J20" t="str">
        <f t="shared" si="0"/>
        <v/>
      </c>
    </row>
    <row r="21" spans="2:10">
      <c r="B21" t="s">
        <v>168</v>
      </c>
      <c r="C21" t="s">
        <v>317</v>
      </c>
      <c r="J21" t="str">
        <f t="shared" si="0"/>
        <v/>
      </c>
    </row>
    <row r="22" spans="2:10">
      <c r="B22" t="s">
        <v>318</v>
      </c>
      <c r="C22" t="s">
        <v>319</v>
      </c>
      <c r="J22" t="str">
        <f t="shared" si="0"/>
        <v/>
      </c>
    </row>
    <row r="23" spans="2:10">
      <c r="B23" t="s">
        <v>318</v>
      </c>
      <c r="C23" t="s">
        <v>320</v>
      </c>
      <c r="J23" t="str">
        <f t="shared" si="0"/>
        <v/>
      </c>
    </row>
    <row r="24" spans="2:10">
      <c r="B24" t="s">
        <v>318</v>
      </c>
      <c r="C24" t="s">
        <v>321</v>
      </c>
      <c r="J24" t="str">
        <f t="shared" si="0"/>
        <v/>
      </c>
    </row>
    <row r="25" spans="2:10">
      <c r="B25" t="s">
        <v>318</v>
      </c>
      <c r="C25" t="s">
        <v>322</v>
      </c>
      <c r="J25" t="str">
        <f t="shared" si="0"/>
        <v/>
      </c>
    </row>
    <row r="26" spans="2:10">
      <c r="B26" t="s">
        <v>323</v>
      </c>
      <c r="C26" t="s">
        <v>324</v>
      </c>
      <c r="J26" t="str">
        <f t="shared" si="0"/>
        <v/>
      </c>
    </row>
    <row r="27" spans="2:10">
      <c r="B27" t="s">
        <v>323</v>
      </c>
      <c r="C27" t="s">
        <v>325</v>
      </c>
      <c r="J27" t="str">
        <f t="shared" si="0"/>
        <v/>
      </c>
    </row>
    <row r="28" spans="2:10">
      <c r="B28" t="s">
        <v>323</v>
      </c>
      <c r="C28" t="s">
        <v>326</v>
      </c>
      <c r="J28" t="str">
        <f t="shared" si="0"/>
        <v/>
      </c>
    </row>
    <row r="29" spans="2:10">
      <c r="B29" t="s">
        <v>323</v>
      </c>
      <c r="C29" t="s">
        <v>327</v>
      </c>
      <c r="J29" t="str">
        <f t="shared" si="0"/>
        <v/>
      </c>
    </row>
  </sheetData>
  <dataValidations count="2">
    <dataValidation type="list" sqref="D2:D29" xr:uid="{00000000-0002-0000-0900-000000000000}">
      <formula1>"Compliant,Partially Compliant,Non-Compliant,N/A"</formula1>
    </dataValidation>
    <dataValidation type="list" sqref="F2:F29" xr:uid="{00000000-0002-0000-0900-000001000000}">
      <formula1>"Yes,No,N/A"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3"/>
  <sheetViews>
    <sheetView workbookViewId="0"/>
  </sheetViews>
  <sheetFormatPr defaultRowHeight="14"/>
  <cols>
    <col min="1" max="1" width="14" customWidth="1"/>
    <col min="2" max="2" width="24" customWidth="1"/>
    <col min="3" max="3" width="62" customWidth="1"/>
    <col min="4" max="4" width="18" customWidth="1"/>
    <col min="5" max="5" width="35" customWidth="1"/>
    <col min="6" max="7" width="18" customWidth="1"/>
    <col min="8" max="9" width="14" customWidth="1"/>
    <col min="10" max="10" width="12" customWidth="1"/>
  </cols>
  <sheetData>
    <row r="1" spans="1:10" ht="28">
      <c r="A1" s="2" t="s">
        <v>286</v>
      </c>
      <c r="B1" s="2" t="s">
        <v>287</v>
      </c>
      <c r="C1" s="2" t="s">
        <v>288</v>
      </c>
      <c r="D1" s="2" t="s">
        <v>289</v>
      </c>
      <c r="E1" s="2" t="s">
        <v>290</v>
      </c>
      <c r="F1" s="2" t="s">
        <v>291</v>
      </c>
      <c r="G1" s="2" t="s">
        <v>292</v>
      </c>
      <c r="H1" s="2" t="s">
        <v>293</v>
      </c>
      <c r="I1" s="2" t="s">
        <v>294</v>
      </c>
      <c r="J1" s="2" t="s">
        <v>295</v>
      </c>
    </row>
    <row r="2" spans="1:10">
      <c r="B2" t="s">
        <v>328</v>
      </c>
      <c r="C2" t="s">
        <v>329</v>
      </c>
      <c r="J2" t="str">
        <f t="shared" ref="J2:J13" si="0">IF(D2="Compliant","Green",IF(D2="Partially Compliant","Amber",IF(D2="Non-Compliant","Red","")))</f>
        <v/>
      </c>
    </row>
    <row r="3" spans="1:10">
      <c r="B3" t="s">
        <v>330</v>
      </c>
      <c r="C3" t="s">
        <v>331</v>
      </c>
      <c r="J3" t="str">
        <f t="shared" si="0"/>
        <v/>
      </c>
    </row>
    <row r="4" spans="1:10">
      <c r="B4" t="s">
        <v>332</v>
      </c>
      <c r="C4" t="s">
        <v>333</v>
      </c>
      <c r="J4" t="str">
        <f t="shared" si="0"/>
        <v/>
      </c>
    </row>
    <row r="5" spans="1:10">
      <c r="B5" t="s">
        <v>332</v>
      </c>
      <c r="C5" t="s">
        <v>334</v>
      </c>
      <c r="J5" t="str">
        <f t="shared" si="0"/>
        <v/>
      </c>
    </row>
    <row r="6" spans="1:10">
      <c r="B6" t="s">
        <v>335</v>
      </c>
      <c r="C6" t="s">
        <v>336</v>
      </c>
      <c r="J6" t="str">
        <f t="shared" si="0"/>
        <v/>
      </c>
    </row>
    <row r="7" spans="1:10">
      <c r="B7" t="s">
        <v>335</v>
      </c>
      <c r="C7" t="s">
        <v>337</v>
      </c>
      <c r="J7" t="str">
        <f t="shared" si="0"/>
        <v/>
      </c>
    </row>
    <row r="8" spans="1:10">
      <c r="B8" t="s">
        <v>92</v>
      </c>
      <c r="C8" t="s">
        <v>338</v>
      </c>
      <c r="J8" t="str">
        <f t="shared" si="0"/>
        <v/>
      </c>
    </row>
    <row r="9" spans="1:10">
      <c r="B9" t="s">
        <v>339</v>
      </c>
      <c r="C9" t="s">
        <v>340</v>
      </c>
      <c r="J9" t="str">
        <f t="shared" si="0"/>
        <v/>
      </c>
    </row>
    <row r="10" spans="1:10">
      <c r="B10" t="s">
        <v>102</v>
      </c>
      <c r="C10" t="s">
        <v>341</v>
      </c>
      <c r="J10" t="str">
        <f t="shared" si="0"/>
        <v/>
      </c>
    </row>
    <row r="11" spans="1:10">
      <c r="B11" t="s">
        <v>342</v>
      </c>
      <c r="C11" t="s">
        <v>343</v>
      </c>
      <c r="J11" t="str">
        <f t="shared" si="0"/>
        <v/>
      </c>
    </row>
    <row r="12" spans="1:10">
      <c r="B12" t="s">
        <v>344</v>
      </c>
      <c r="C12" t="s">
        <v>345</v>
      </c>
      <c r="J12" t="str">
        <f t="shared" si="0"/>
        <v/>
      </c>
    </row>
    <row r="13" spans="1:10">
      <c r="B13" t="s">
        <v>346</v>
      </c>
      <c r="C13" t="s">
        <v>347</v>
      </c>
      <c r="J13" t="str">
        <f t="shared" si="0"/>
        <v/>
      </c>
    </row>
  </sheetData>
  <dataValidations count="2">
    <dataValidation type="list" sqref="D2:D13" xr:uid="{00000000-0002-0000-0A00-000000000000}">
      <formula1>"Compliant,Partially Compliant,Non-Compliant,N/A"</formula1>
    </dataValidation>
    <dataValidation type="list" sqref="F2:F13" xr:uid="{00000000-0002-0000-0A00-000001000000}">
      <formula1>"Yes,No,N/A"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"/>
  <sheetViews>
    <sheetView workbookViewId="0"/>
  </sheetViews>
  <sheetFormatPr defaultRowHeight="14"/>
  <cols>
    <col min="1" max="1" width="14" customWidth="1"/>
    <col min="2" max="2" width="22" customWidth="1"/>
    <col min="3" max="3" width="26" customWidth="1"/>
    <col min="4" max="5" width="50" customWidth="1"/>
    <col min="6" max="6" width="18" customWidth="1"/>
    <col min="7" max="8" width="14" customWidth="1"/>
    <col min="9" max="9" width="16" customWidth="1"/>
    <col min="10" max="10" width="35" customWidth="1"/>
  </cols>
  <sheetData>
    <row r="1" spans="1:10" ht="28">
      <c r="A1" s="2" t="s">
        <v>348</v>
      </c>
      <c r="B1" s="2" t="s">
        <v>349</v>
      </c>
      <c r="C1" s="2" t="s">
        <v>350</v>
      </c>
      <c r="D1" s="2" t="s">
        <v>351</v>
      </c>
      <c r="E1" s="2" t="s">
        <v>291</v>
      </c>
      <c r="F1" s="2" t="s">
        <v>292</v>
      </c>
      <c r="G1" s="2" t="s">
        <v>293</v>
      </c>
      <c r="H1" s="2" t="s">
        <v>352</v>
      </c>
      <c r="I1" s="2" t="s">
        <v>353</v>
      </c>
      <c r="J1" s="2" t="s">
        <v>354</v>
      </c>
    </row>
  </sheetData>
  <dataValidations count="1">
    <dataValidation type="list" sqref="I2:I201" xr:uid="{00000000-0002-0000-0B00-000000000000}">
      <formula1>"Open,In Progress,Completed,Closed"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0"/>
  <sheetViews>
    <sheetView workbookViewId="0"/>
  </sheetViews>
  <sheetFormatPr defaultRowHeight="14"/>
  <cols>
    <col min="1" max="1" width="120" customWidth="1"/>
  </cols>
  <sheetData>
    <row r="1" spans="1:1" ht="18">
      <c r="A1" s="5" t="s">
        <v>355</v>
      </c>
    </row>
    <row r="2" spans="1:1">
      <c r="A2" t="s">
        <v>356</v>
      </c>
    </row>
    <row r="3" spans="1:1">
      <c r="A3" t="s">
        <v>357</v>
      </c>
    </row>
    <row r="4" spans="1:1">
      <c r="A4" t="s">
        <v>358</v>
      </c>
    </row>
    <row r="5" spans="1:1">
      <c r="A5" t="s">
        <v>359</v>
      </c>
    </row>
    <row r="6" spans="1:1">
      <c r="A6" t="s">
        <v>360</v>
      </c>
    </row>
    <row r="7" spans="1:1">
      <c r="A7" t="s">
        <v>361</v>
      </c>
    </row>
    <row r="8" spans="1:1">
      <c r="A8" t="s">
        <v>362</v>
      </c>
    </row>
    <row r="9" spans="1:1">
      <c r="A9" t="s">
        <v>363</v>
      </c>
    </row>
    <row r="10" spans="1:1">
      <c r="A10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Settings</vt:lpstr>
      <vt:lpstr>Task Library</vt:lpstr>
      <vt:lpstr>Daily Schedule</vt:lpstr>
      <vt:lpstr>Weekly Schedule</vt:lpstr>
      <vt:lpstr>Monthly Schedule</vt:lpstr>
      <vt:lpstr>Quarterly Schedule</vt:lpstr>
      <vt:lpstr>6-Monthly Schedule</vt:lpstr>
      <vt:lpstr>Annual Schedule</vt:lpstr>
      <vt:lpstr>Domestic Audit</vt:lpstr>
      <vt:lpstr>IPC Audit</vt:lpstr>
      <vt:lpstr>Corrective Action Plan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Dursha Krishan</dc:creator>
  <cp:lastModifiedBy>Dursha Krishan</cp:lastModifiedBy>
  <dcterms:created xsi:type="dcterms:W3CDTF">2026-06-30T20:02:53Z</dcterms:created>
  <dcterms:modified xsi:type="dcterms:W3CDTF">2026-06-30T20:02:53Z</dcterms:modified>
</cp:coreProperties>
</file>