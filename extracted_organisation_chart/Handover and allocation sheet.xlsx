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urshaKrishan\Desktop\Tracker\"/>
    </mc:Choice>
  </mc:AlternateContent>
  <xr:revisionPtr revIDLastSave="0" documentId="8_{ED24BFA9-D82A-46CB-B2AC-F2B7B945DEDE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Dashboard" sheetId="1" r:id="rId1"/>
    <sheet name="Daily Records" sheetId="2" r:id="rId2"/>
    <sheet name="Resident Allocation" sheetId="3" r:id="rId3"/>
    <sheet name="GP Professional Visits" sheetId="4" r:id="rId4"/>
    <sheet name="Lists" sheetId="6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666" i="3" l="1"/>
  <c r="Q7665" i="3"/>
  <c r="Q7664" i="3"/>
  <c r="Q7663" i="3"/>
  <c r="Q7662" i="3"/>
  <c r="Q7661" i="3"/>
  <c r="Q7660" i="3"/>
  <c r="Q7659" i="3"/>
  <c r="Q7658" i="3"/>
  <c r="Q7657" i="3"/>
  <c r="Q7656" i="3"/>
  <c r="Q7655" i="3"/>
  <c r="Q7654" i="3"/>
  <c r="Q7653" i="3"/>
  <c r="Q7652" i="3"/>
  <c r="Q7651" i="3"/>
  <c r="Q7650" i="3"/>
  <c r="Q7649" i="3"/>
  <c r="Q7648" i="3"/>
  <c r="Q7647" i="3"/>
  <c r="Q7646" i="3"/>
  <c r="Q7645" i="3"/>
  <c r="Q7644" i="3"/>
  <c r="Q7643" i="3"/>
  <c r="Q7642" i="3"/>
  <c r="Q7641" i="3"/>
  <c r="Q7640" i="3"/>
  <c r="Q7639" i="3"/>
  <c r="Q7638" i="3"/>
  <c r="Q7637" i="3"/>
  <c r="Q7636" i="3"/>
  <c r="Q7635" i="3"/>
  <c r="Q7634" i="3"/>
  <c r="Q7633" i="3"/>
  <c r="Q7632" i="3"/>
  <c r="Q7631" i="3"/>
  <c r="Q7630" i="3"/>
  <c r="Q7629" i="3"/>
  <c r="Q7628" i="3"/>
  <c r="Q7627" i="3"/>
  <c r="Q7626" i="3"/>
  <c r="Q7625" i="3"/>
  <c r="Q7624" i="3"/>
  <c r="Q7623" i="3"/>
  <c r="Q7622" i="3"/>
  <c r="Q7621" i="3"/>
  <c r="Q7620" i="3"/>
  <c r="Q7619" i="3"/>
  <c r="Q7618" i="3"/>
  <c r="Q7617" i="3"/>
  <c r="Q7616" i="3"/>
  <c r="Q7615" i="3"/>
  <c r="Q7614" i="3"/>
  <c r="Q7613" i="3"/>
  <c r="Q7612" i="3"/>
  <c r="Q7611" i="3"/>
  <c r="Q7610" i="3"/>
  <c r="Q7609" i="3"/>
  <c r="Q7608" i="3"/>
  <c r="Q7607" i="3"/>
  <c r="Q7606" i="3"/>
  <c r="Q7605" i="3"/>
  <c r="Q7604" i="3"/>
  <c r="Q7603" i="3"/>
  <c r="Q7602" i="3"/>
  <c r="Q7601" i="3"/>
  <c r="Q7600" i="3"/>
  <c r="Q7599" i="3"/>
  <c r="Q7598" i="3"/>
  <c r="Q7597" i="3"/>
  <c r="Q7596" i="3"/>
  <c r="Q7595" i="3"/>
  <c r="Q7594" i="3"/>
  <c r="Q7593" i="3"/>
  <c r="Q7592" i="3"/>
  <c r="Q7591" i="3"/>
  <c r="Q7590" i="3"/>
  <c r="Q7589" i="3"/>
  <c r="Q7588" i="3"/>
  <c r="Q7587" i="3"/>
  <c r="Q7586" i="3"/>
  <c r="Q7585" i="3"/>
  <c r="Q7584" i="3"/>
  <c r="Q7583" i="3"/>
  <c r="Q7582" i="3"/>
  <c r="Q7581" i="3"/>
  <c r="Q7580" i="3"/>
  <c r="Q7579" i="3"/>
  <c r="Q7578" i="3"/>
  <c r="Q7577" i="3"/>
  <c r="Q7576" i="3"/>
  <c r="Q7575" i="3"/>
  <c r="Q7574" i="3"/>
  <c r="Q7573" i="3"/>
  <c r="Q7572" i="3"/>
  <c r="Q7571" i="3"/>
  <c r="Q7570" i="3"/>
  <c r="Q7569" i="3"/>
  <c r="Q7568" i="3"/>
  <c r="Q7567" i="3"/>
  <c r="Q7566" i="3"/>
  <c r="Q7565" i="3"/>
  <c r="Q7564" i="3"/>
  <c r="Q7563" i="3"/>
  <c r="Q7562" i="3"/>
  <c r="Q7561" i="3"/>
  <c r="Q7560" i="3"/>
  <c r="Q7559" i="3"/>
  <c r="Q7558" i="3"/>
  <c r="Q7557" i="3"/>
  <c r="Q7556" i="3"/>
  <c r="Q7555" i="3"/>
  <c r="Q7554" i="3"/>
  <c r="Q7553" i="3"/>
  <c r="Q7552" i="3"/>
  <c r="Q7551" i="3"/>
  <c r="Q7550" i="3"/>
  <c r="Q7549" i="3"/>
  <c r="Q7548" i="3"/>
  <c r="Q7547" i="3"/>
  <c r="Q7546" i="3"/>
  <c r="Q7545" i="3"/>
  <c r="Q7544" i="3"/>
  <c r="Q7543" i="3"/>
  <c r="Q7542" i="3"/>
  <c r="Q7541" i="3"/>
  <c r="Q7540" i="3"/>
  <c r="Q7539" i="3"/>
  <c r="Q7538" i="3"/>
  <c r="Q7537" i="3"/>
  <c r="Q7536" i="3"/>
  <c r="Q7535" i="3"/>
  <c r="Q7534" i="3"/>
  <c r="Q7533" i="3"/>
  <c r="Q7532" i="3"/>
  <c r="Q7531" i="3"/>
  <c r="Q7530" i="3"/>
  <c r="Q7529" i="3"/>
  <c r="Q7528" i="3"/>
  <c r="Q7527" i="3"/>
  <c r="Q7526" i="3"/>
  <c r="Q7525" i="3"/>
  <c r="Q7524" i="3"/>
  <c r="Q7523" i="3"/>
  <c r="Q7522" i="3"/>
  <c r="Q7521" i="3"/>
  <c r="Q7520" i="3"/>
  <c r="Q7519" i="3"/>
  <c r="Q7518" i="3"/>
  <c r="Q7517" i="3"/>
  <c r="Q7516" i="3"/>
  <c r="Q7515" i="3"/>
  <c r="Q7514" i="3"/>
  <c r="Q7513" i="3"/>
  <c r="Q7512" i="3"/>
  <c r="Q7511" i="3"/>
  <c r="Q7510" i="3"/>
  <c r="Q7509" i="3"/>
  <c r="Q7508" i="3"/>
  <c r="Q7507" i="3"/>
  <c r="Q7506" i="3"/>
  <c r="Q7505" i="3"/>
  <c r="Q7504" i="3"/>
  <c r="Q7503" i="3"/>
  <c r="Q7502" i="3"/>
  <c r="Q7501" i="3"/>
  <c r="Q7500" i="3"/>
  <c r="Q7499" i="3"/>
  <c r="Q7498" i="3"/>
  <c r="Q7497" i="3"/>
  <c r="Q7496" i="3"/>
  <c r="Q7495" i="3"/>
  <c r="Q7494" i="3"/>
  <c r="Q7493" i="3"/>
  <c r="Q7492" i="3"/>
  <c r="Q7491" i="3"/>
  <c r="Q7490" i="3"/>
  <c r="Q7489" i="3"/>
  <c r="Q7488" i="3"/>
  <c r="Q7487" i="3"/>
  <c r="Q7486" i="3"/>
  <c r="Q7485" i="3"/>
  <c r="Q7484" i="3"/>
  <c r="Q7483" i="3"/>
  <c r="Q7482" i="3"/>
  <c r="Q7481" i="3"/>
  <c r="Q7480" i="3"/>
  <c r="Q7479" i="3"/>
  <c r="Q7478" i="3"/>
  <c r="Q7477" i="3"/>
  <c r="Q7476" i="3"/>
  <c r="Q7475" i="3"/>
  <c r="Q7474" i="3"/>
  <c r="Q7473" i="3"/>
  <c r="Q7472" i="3"/>
  <c r="Q7471" i="3"/>
  <c r="Q7470" i="3"/>
  <c r="Q7469" i="3"/>
  <c r="Q7468" i="3"/>
  <c r="Q7467" i="3"/>
  <c r="Q7466" i="3"/>
  <c r="Q7465" i="3"/>
  <c r="Q7464" i="3"/>
  <c r="Q7463" i="3"/>
  <c r="Q7462" i="3"/>
  <c r="Q7461" i="3"/>
  <c r="Q7460" i="3"/>
  <c r="Q7459" i="3"/>
  <c r="Q7458" i="3"/>
  <c r="Q7457" i="3"/>
  <c r="Q7456" i="3"/>
  <c r="Q7455" i="3"/>
  <c r="Q7454" i="3"/>
  <c r="Q7453" i="3"/>
  <c r="Q7452" i="3"/>
  <c r="Q7451" i="3"/>
  <c r="Q7450" i="3"/>
  <c r="Q7449" i="3"/>
  <c r="Q7448" i="3"/>
  <c r="Q7447" i="3"/>
  <c r="Q7446" i="3"/>
  <c r="Q7445" i="3"/>
  <c r="Q7444" i="3"/>
  <c r="Q7443" i="3"/>
  <c r="Q7442" i="3"/>
  <c r="Q7441" i="3"/>
  <c r="Q7440" i="3"/>
  <c r="Q7439" i="3"/>
  <c r="Q7438" i="3"/>
  <c r="Q7437" i="3"/>
  <c r="Q7436" i="3"/>
  <c r="Q7435" i="3"/>
  <c r="Q7434" i="3"/>
  <c r="Q7433" i="3"/>
  <c r="Q7432" i="3"/>
  <c r="Q7431" i="3"/>
  <c r="Q7430" i="3"/>
  <c r="Q7429" i="3"/>
  <c r="Q7428" i="3"/>
  <c r="Q7427" i="3"/>
  <c r="Q7426" i="3"/>
  <c r="Q7425" i="3"/>
  <c r="Q7424" i="3"/>
  <c r="Q7423" i="3"/>
  <c r="Q7422" i="3"/>
  <c r="Q7421" i="3"/>
  <c r="Q7420" i="3"/>
  <c r="Q7419" i="3"/>
  <c r="Q7418" i="3"/>
  <c r="Q7417" i="3"/>
  <c r="Q7416" i="3"/>
  <c r="Q7415" i="3"/>
  <c r="Q7414" i="3"/>
  <c r="Q7413" i="3"/>
  <c r="Q7412" i="3"/>
  <c r="Q7411" i="3"/>
  <c r="Q7410" i="3"/>
  <c r="Q7409" i="3"/>
  <c r="Q7408" i="3"/>
  <c r="Q7407" i="3"/>
  <c r="Q7406" i="3"/>
  <c r="Q7405" i="3"/>
  <c r="Q7404" i="3"/>
  <c r="Q7403" i="3"/>
  <c r="Q7402" i="3"/>
  <c r="Q7401" i="3"/>
  <c r="Q7400" i="3"/>
  <c r="Q7399" i="3"/>
  <c r="Q7398" i="3"/>
  <c r="Q7397" i="3"/>
  <c r="Q7396" i="3"/>
  <c r="Q7395" i="3"/>
  <c r="Q7394" i="3"/>
  <c r="Q7393" i="3"/>
  <c r="Q7392" i="3"/>
  <c r="Q7391" i="3"/>
  <c r="Q7390" i="3"/>
  <c r="Q7389" i="3"/>
  <c r="Q7388" i="3"/>
  <c r="Q7387" i="3"/>
  <c r="Q7386" i="3"/>
  <c r="Q7385" i="3"/>
  <c r="Q7384" i="3"/>
  <c r="Q7383" i="3"/>
  <c r="Q7382" i="3"/>
  <c r="Q7381" i="3"/>
  <c r="Q7380" i="3"/>
  <c r="Q7379" i="3"/>
  <c r="Q7378" i="3"/>
  <c r="Q7377" i="3"/>
  <c r="Q7376" i="3"/>
  <c r="Q7375" i="3"/>
  <c r="Q7374" i="3"/>
  <c r="Q7373" i="3"/>
  <c r="Q7372" i="3"/>
  <c r="Q7371" i="3"/>
  <c r="Q7370" i="3"/>
  <c r="Q7369" i="3"/>
  <c r="Q7368" i="3"/>
  <c r="Q7367" i="3"/>
  <c r="Q7366" i="3"/>
  <c r="Q7365" i="3"/>
  <c r="Q7364" i="3"/>
  <c r="Q7363" i="3"/>
  <c r="Q7362" i="3"/>
  <c r="Q7361" i="3"/>
  <c r="Q7360" i="3"/>
  <c r="Q7359" i="3"/>
  <c r="Q7358" i="3"/>
  <c r="Q7357" i="3"/>
  <c r="Q7356" i="3"/>
  <c r="Q7355" i="3"/>
  <c r="Q7354" i="3"/>
  <c r="Q7353" i="3"/>
  <c r="Q7352" i="3"/>
  <c r="Q7351" i="3"/>
  <c r="Q7350" i="3"/>
  <c r="Q7349" i="3"/>
  <c r="Q7348" i="3"/>
  <c r="Q7347" i="3"/>
  <c r="Q7346" i="3"/>
  <c r="Q7345" i="3"/>
  <c r="Q7344" i="3"/>
  <c r="Q7343" i="3"/>
  <c r="Q7342" i="3"/>
  <c r="Q7341" i="3"/>
  <c r="Q7340" i="3"/>
  <c r="Q7339" i="3"/>
  <c r="Q7338" i="3"/>
  <c r="Q7337" i="3"/>
  <c r="Q7336" i="3"/>
  <c r="Q7335" i="3"/>
  <c r="Q7334" i="3"/>
  <c r="Q7333" i="3"/>
  <c r="Q7332" i="3"/>
  <c r="Q7331" i="3"/>
  <c r="Q7330" i="3"/>
  <c r="Q7329" i="3"/>
  <c r="Q7328" i="3"/>
  <c r="Q7327" i="3"/>
  <c r="Q7326" i="3"/>
  <c r="Q7325" i="3"/>
  <c r="Q7324" i="3"/>
  <c r="Q7323" i="3"/>
  <c r="Q7322" i="3"/>
  <c r="Q7321" i="3"/>
  <c r="Q7320" i="3"/>
  <c r="Q7319" i="3"/>
  <c r="Q7318" i="3"/>
  <c r="Q7317" i="3"/>
  <c r="Q7316" i="3"/>
  <c r="Q7315" i="3"/>
  <c r="Q7314" i="3"/>
  <c r="Q7313" i="3"/>
  <c r="Q7312" i="3"/>
  <c r="Q7311" i="3"/>
  <c r="Q7310" i="3"/>
  <c r="Q7309" i="3"/>
  <c r="Q7308" i="3"/>
  <c r="Q7307" i="3"/>
  <c r="Q7306" i="3"/>
  <c r="Q7305" i="3"/>
  <c r="Q7304" i="3"/>
  <c r="Q7303" i="3"/>
  <c r="Q7302" i="3"/>
  <c r="Q7301" i="3"/>
  <c r="Q7300" i="3"/>
  <c r="Q7299" i="3"/>
  <c r="Q7298" i="3"/>
  <c r="Q7297" i="3"/>
  <c r="Q7296" i="3"/>
  <c r="Q7295" i="3"/>
  <c r="Q7294" i="3"/>
  <c r="Q7293" i="3"/>
  <c r="Q7292" i="3"/>
  <c r="Q7291" i="3"/>
  <c r="Q7290" i="3"/>
  <c r="Q7289" i="3"/>
  <c r="Q7288" i="3"/>
  <c r="Q7287" i="3"/>
  <c r="Q7286" i="3"/>
  <c r="Q7285" i="3"/>
  <c r="Q7284" i="3"/>
  <c r="Q7283" i="3"/>
  <c r="Q7282" i="3"/>
  <c r="Q7281" i="3"/>
  <c r="Q7280" i="3"/>
  <c r="Q7279" i="3"/>
  <c r="Q7278" i="3"/>
  <c r="Q7277" i="3"/>
  <c r="Q7276" i="3"/>
  <c r="Q7275" i="3"/>
  <c r="Q7274" i="3"/>
  <c r="Q7273" i="3"/>
  <c r="Q7272" i="3"/>
  <c r="Q7271" i="3"/>
  <c r="Q7270" i="3"/>
  <c r="Q7269" i="3"/>
  <c r="Q7268" i="3"/>
  <c r="Q7267" i="3"/>
  <c r="Q7266" i="3"/>
  <c r="Q7265" i="3"/>
  <c r="Q7264" i="3"/>
  <c r="Q7263" i="3"/>
  <c r="Q7262" i="3"/>
  <c r="Q7261" i="3"/>
  <c r="Q7260" i="3"/>
  <c r="Q7259" i="3"/>
  <c r="Q7258" i="3"/>
  <c r="Q7257" i="3"/>
  <c r="Q7256" i="3"/>
  <c r="Q7255" i="3"/>
  <c r="Q7254" i="3"/>
  <c r="Q7253" i="3"/>
  <c r="Q7252" i="3"/>
  <c r="Q7251" i="3"/>
  <c r="Q7250" i="3"/>
  <c r="Q7249" i="3"/>
  <c r="Q7248" i="3"/>
  <c r="Q7247" i="3"/>
  <c r="Q7246" i="3"/>
  <c r="Q7245" i="3"/>
  <c r="Q7244" i="3"/>
  <c r="Q7243" i="3"/>
  <c r="Q7242" i="3"/>
  <c r="Q7241" i="3"/>
  <c r="Q7240" i="3"/>
  <c r="Q7239" i="3"/>
  <c r="Q7238" i="3"/>
  <c r="Q7237" i="3"/>
  <c r="Q7236" i="3"/>
  <c r="Q7235" i="3"/>
  <c r="Q7234" i="3"/>
  <c r="Q7233" i="3"/>
  <c r="Q7232" i="3"/>
  <c r="Q7231" i="3"/>
  <c r="Q7230" i="3"/>
  <c r="Q7229" i="3"/>
  <c r="Q7228" i="3"/>
  <c r="Q7227" i="3"/>
  <c r="Q7226" i="3"/>
  <c r="Q7225" i="3"/>
  <c r="Q7224" i="3"/>
  <c r="Q7223" i="3"/>
  <c r="Q7222" i="3"/>
  <c r="Q7221" i="3"/>
  <c r="Q7220" i="3"/>
  <c r="Q7219" i="3"/>
  <c r="Q7218" i="3"/>
  <c r="Q7217" i="3"/>
  <c r="Q7216" i="3"/>
  <c r="Q7215" i="3"/>
  <c r="Q7214" i="3"/>
  <c r="Q7213" i="3"/>
  <c r="Q7212" i="3"/>
  <c r="Q7211" i="3"/>
  <c r="Q7210" i="3"/>
  <c r="Q7209" i="3"/>
  <c r="Q7208" i="3"/>
  <c r="Q7207" i="3"/>
  <c r="Q7206" i="3"/>
  <c r="Q7205" i="3"/>
  <c r="Q7204" i="3"/>
  <c r="Q7203" i="3"/>
  <c r="Q7202" i="3"/>
  <c r="Q7201" i="3"/>
  <c r="Q7200" i="3"/>
  <c r="Q7199" i="3"/>
  <c r="Q7198" i="3"/>
  <c r="Q7197" i="3"/>
  <c r="Q7196" i="3"/>
  <c r="Q7195" i="3"/>
  <c r="Q7194" i="3"/>
  <c r="Q7193" i="3"/>
  <c r="Q7192" i="3"/>
  <c r="Q7191" i="3"/>
  <c r="Q7190" i="3"/>
  <c r="Q7189" i="3"/>
  <c r="Q7188" i="3"/>
  <c r="Q7187" i="3"/>
  <c r="Q7186" i="3"/>
  <c r="Q7185" i="3"/>
  <c r="Q7184" i="3"/>
  <c r="Q7183" i="3"/>
  <c r="Q7182" i="3"/>
  <c r="Q7181" i="3"/>
  <c r="Q7180" i="3"/>
  <c r="Q7179" i="3"/>
  <c r="Q7178" i="3"/>
  <c r="Q7177" i="3"/>
  <c r="Q7176" i="3"/>
  <c r="Q7175" i="3"/>
  <c r="Q7174" i="3"/>
  <c r="Q7173" i="3"/>
  <c r="Q7172" i="3"/>
  <c r="Q7171" i="3"/>
  <c r="Q7170" i="3"/>
  <c r="Q7169" i="3"/>
  <c r="Q7168" i="3"/>
  <c r="Q7167" i="3"/>
  <c r="Q7166" i="3"/>
  <c r="Q7165" i="3"/>
  <c r="Q7164" i="3"/>
  <c r="Q7163" i="3"/>
  <c r="Q7162" i="3"/>
  <c r="Q7161" i="3"/>
  <c r="Q7160" i="3"/>
  <c r="Q7159" i="3"/>
  <c r="Q7158" i="3"/>
  <c r="Q7157" i="3"/>
  <c r="Q7156" i="3"/>
  <c r="Q7155" i="3"/>
  <c r="Q7154" i="3"/>
  <c r="Q7153" i="3"/>
  <c r="Q7152" i="3"/>
  <c r="Q7151" i="3"/>
  <c r="Q7150" i="3"/>
  <c r="Q7149" i="3"/>
  <c r="Q7148" i="3"/>
  <c r="Q7147" i="3"/>
  <c r="Q7146" i="3"/>
  <c r="Q7145" i="3"/>
  <c r="Q7144" i="3"/>
  <c r="Q7143" i="3"/>
  <c r="Q7142" i="3"/>
  <c r="Q7141" i="3"/>
  <c r="Q7140" i="3"/>
  <c r="Q7139" i="3"/>
  <c r="Q7138" i="3"/>
  <c r="Q7137" i="3"/>
  <c r="Q7136" i="3"/>
  <c r="Q7135" i="3"/>
  <c r="Q7134" i="3"/>
  <c r="Q7133" i="3"/>
  <c r="Q7132" i="3"/>
  <c r="Q7131" i="3"/>
  <c r="Q7130" i="3"/>
  <c r="Q7129" i="3"/>
  <c r="Q7128" i="3"/>
  <c r="Q7127" i="3"/>
  <c r="Q7126" i="3"/>
  <c r="Q7125" i="3"/>
  <c r="Q7124" i="3"/>
  <c r="Q7123" i="3"/>
  <c r="Q7122" i="3"/>
  <c r="Q7121" i="3"/>
  <c r="Q7120" i="3"/>
  <c r="Q7119" i="3"/>
  <c r="Q7118" i="3"/>
  <c r="Q7117" i="3"/>
  <c r="Q7116" i="3"/>
  <c r="Q7115" i="3"/>
  <c r="Q7114" i="3"/>
  <c r="Q7113" i="3"/>
  <c r="Q7112" i="3"/>
  <c r="Q7111" i="3"/>
  <c r="Q7110" i="3"/>
  <c r="Q7109" i="3"/>
  <c r="Q7108" i="3"/>
  <c r="Q7107" i="3"/>
  <c r="Q7106" i="3"/>
  <c r="Q7105" i="3"/>
  <c r="Q7104" i="3"/>
  <c r="Q7103" i="3"/>
  <c r="Q7102" i="3"/>
  <c r="Q7101" i="3"/>
  <c r="Q7100" i="3"/>
  <c r="Q7099" i="3"/>
  <c r="Q7098" i="3"/>
  <c r="Q7097" i="3"/>
  <c r="Q7096" i="3"/>
  <c r="Q7095" i="3"/>
  <c r="Q7094" i="3"/>
  <c r="Q7093" i="3"/>
  <c r="Q7092" i="3"/>
  <c r="Q7091" i="3"/>
  <c r="Q7090" i="3"/>
  <c r="Q7089" i="3"/>
  <c r="Q7088" i="3"/>
  <c r="Q7087" i="3"/>
  <c r="Q7086" i="3"/>
  <c r="Q7085" i="3"/>
  <c r="Q7084" i="3"/>
  <c r="Q7083" i="3"/>
  <c r="Q7082" i="3"/>
  <c r="Q7081" i="3"/>
  <c r="Q7080" i="3"/>
  <c r="Q7079" i="3"/>
  <c r="Q7078" i="3"/>
  <c r="Q7077" i="3"/>
  <c r="Q7076" i="3"/>
  <c r="Q7075" i="3"/>
  <c r="Q7074" i="3"/>
  <c r="Q7073" i="3"/>
  <c r="Q7072" i="3"/>
  <c r="Q7071" i="3"/>
  <c r="Q7070" i="3"/>
  <c r="Q7069" i="3"/>
  <c r="Q7068" i="3"/>
  <c r="Q7067" i="3"/>
  <c r="Q7066" i="3"/>
  <c r="Q7065" i="3"/>
  <c r="Q7064" i="3"/>
  <c r="Q7063" i="3"/>
  <c r="Q7062" i="3"/>
  <c r="Q7061" i="3"/>
  <c r="Q7060" i="3"/>
  <c r="Q7059" i="3"/>
  <c r="Q7058" i="3"/>
  <c r="Q7057" i="3"/>
  <c r="Q7056" i="3"/>
  <c r="Q7055" i="3"/>
  <c r="Q7054" i="3"/>
  <c r="Q7053" i="3"/>
  <c r="Q7052" i="3"/>
  <c r="Q7051" i="3"/>
  <c r="Q7050" i="3"/>
  <c r="Q7049" i="3"/>
  <c r="Q7048" i="3"/>
  <c r="Q7047" i="3"/>
  <c r="Q7046" i="3"/>
  <c r="Q7045" i="3"/>
  <c r="Q7044" i="3"/>
  <c r="Q7043" i="3"/>
  <c r="Q7042" i="3"/>
  <c r="Q7041" i="3"/>
  <c r="Q7040" i="3"/>
  <c r="Q7039" i="3"/>
  <c r="Q7038" i="3"/>
  <c r="Q7037" i="3"/>
  <c r="Q7036" i="3"/>
  <c r="Q7035" i="3"/>
  <c r="Q7034" i="3"/>
  <c r="Q7033" i="3"/>
  <c r="Q7032" i="3"/>
  <c r="Q7031" i="3"/>
  <c r="Q7030" i="3"/>
  <c r="Q7029" i="3"/>
  <c r="Q7028" i="3"/>
  <c r="Q7027" i="3"/>
  <c r="Q7026" i="3"/>
  <c r="Q7025" i="3"/>
  <c r="Q7024" i="3"/>
  <c r="Q7023" i="3"/>
  <c r="Q7022" i="3"/>
  <c r="Q7021" i="3"/>
  <c r="Q7020" i="3"/>
  <c r="Q7019" i="3"/>
  <c r="Q7018" i="3"/>
  <c r="Q7017" i="3"/>
  <c r="Q7016" i="3"/>
  <c r="Q7015" i="3"/>
  <c r="Q7014" i="3"/>
  <c r="Q7013" i="3"/>
  <c r="Q7012" i="3"/>
  <c r="Q7011" i="3"/>
  <c r="Q7010" i="3"/>
  <c r="Q7009" i="3"/>
  <c r="Q7008" i="3"/>
  <c r="Q7007" i="3"/>
  <c r="Q7006" i="3"/>
  <c r="Q7005" i="3"/>
  <c r="Q7004" i="3"/>
  <c r="Q7003" i="3"/>
  <c r="Q7002" i="3"/>
  <c r="Q7001" i="3"/>
  <c r="Q7000" i="3"/>
  <c r="Q6999" i="3"/>
  <c r="Q6998" i="3"/>
  <c r="Q6997" i="3"/>
  <c r="Q6996" i="3"/>
  <c r="Q6995" i="3"/>
  <c r="Q6994" i="3"/>
  <c r="Q6993" i="3"/>
  <c r="Q6992" i="3"/>
  <c r="Q6991" i="3"/>
  <c r="Q6990" i="3"/>
  <c r="Q6989" i="3"/>
  <c r="Q6988" i="3"/>
  <c r="Q6987" i="3"/>
  <c r="Q6986" i="3"/>
  <c r="Q6985" i="3"/>
  <c r="Q6984" i="3"/>
  <c r="Q6983" i="3"/>
  <c r="Q6982" i="3"/>
  <c r="Q6981" i="3"/>
  <c r="Q6980" i="3"/>
  <c r="Q6979" i="3"/>
  <c r="Q6978" i="3"/>
  <c r="Q6977" i="3"/>
  <c r="Q6976" i="3"/>
  <c r="Q6975" i="3"/>
  <c r="Q6974" i="3"/>
  <c r="Q6973" i="3"/>
  <c r="Q6972" i="3"/>
  <c r="Q6971" i="3"/>
  <c r="Q6970" i="3"/>
  <c r="Q6969" i="3"/>
  <c r="Q6968" i="3"/>
  <c r="Q6967" i="3"/>
  <c r="Q6966" i="3"/>
  <c r="Q6965" i="3"/>
  <c r="Q6964" i="3"/>
  <c r="Q6963" i="3"/>
  <c r="Q6962" i="3"/>
  <c r="Q6961" i="3"/>
  <c r="Q6960" i="3"/>
  <c r="Q6959" i="3"/>
  <c r="Q6958" i="3"/>
  <c r="Q6957" i="3"/>
  <c r="Q6956" i="3"/>
  <c r="Q6955" i="3"/>
  <c r="Q6954" i="3"/>
  <c r="Q6953" i="3"/>
  <c r="Q6952" i="3"/>
  <c r="Q6951" i="3"/>
  <c r="Q6950" i="3"/>
  <c r="Q6949" i="3"/>
  <c r="Q6948" i="3"/>
  <c r="Q6947" i="3"/>
  <c r="Q6946" i="3"/>
  <c r="Q6945" i="3"/>
  <c r="Q6944" i="3"/>
  <c r="Q6943" i="3"/>
  <c r="Q6942" i="3"/>
  <c r="Q6941" i="3"/>
  <c r="Q6940" i="3"/>
  <c r="Q6939" i="3"/>
  <c r="Q6938" i="3"/>
  <c r="Q6937" i="3"/>
  <c r="Q6936" i="3"/>
  <c r="Q6935" i="3"/>
  <c r="Q6934" i="3"/>
  <c r="Q6933" i="3"/>
  <c r="Q6932" i="3"/>
  <c r="Q6931" i="3"/>
  <c r="Q6930" i="3"/>
  <c r="Q6929" i="3"/>
  <c r="Q6928" i="3"/>
  <c r="Q6927" i="3"/>
  <c r="Q6926" i="3"/>
  <c r="Q6925" i="3"/>
  <c r="Q6924" i="3"/>
  <c r="Q6923" i="3"/>
  <c r="Q6922" i="3"/>
  <c r="Q6921" i="3"/>
  <c r="Q6920" i="3"/>
  <c r="Q6919" i="3"/>
  <c r="Q6918" i="3"/>
  <c r="Q6917" i="3"/>
  <c r="Q6916" i="3"/>
  <c r="Q6915" i="3"/>
  <c r="Q6914" i="3"/>
  <c r="Q6913" i="3"/>
  <c r="Q6912" i="3"/>
  <c r="Q6911" i="3"/>
  <c r="Q6910" i="3"/>
  <c r="Q6909" i="3"/>
  <c r="Q6908" i="3"/>
  <c r="Q6907" i="3"/>
  <c r="Q6906" i="3"/>
  <c r="Q6905" i="3"/>
  <c r="Q6904" i="3"/>
  <c r="Q6903" i="3"/>
  <c r="Q6902" i="3"/>
  <c r="Q6901" i="3"/>
  <c r="Q6900" i="3"/>
  <c r="Q6899" i="3"/>
  <c r="Q6898" i="3"/>
  <c r="Q6897" i="3"/>
  <c r="Q6896" i="3"/>
  <c r="Q6895" i="3"/>
  <c r="Q6894" i="3"/>
  <c r="Q6893" i="3"/>
  <c r="Q6892" i="3"/>
  <c r="Q6891" i="3"/>
  <c r="Q6890" i="3"/>
  <c r="Q6889" i="3"/>
  <c r="Q6888" i="3"/>
  <c r="Q6887" i="3"/>
  <c r="Q6886" i="3"/>
  <c r="Q6885" i="3"/>
  <c r="Q6884" i="3"/>
  <c r="Q6883" i="3"/>
  <c r="Q6882" i="3"/>
  <c r="Q6881" i="3"/>
  <c r="Q6880" i="3"/>
  <c r="Q6879" i="3"/>
  <c r="Q6878" i="3"/>
  <c r="Q6877" i="3"/>
  <c r="Q6876" i="3"/>
  <c r="Q6875" i="3"/>
  <c r="Q6874" i="3"/>
  <c r="Q6873" i="3"/>
  <c r="Q6872" i="3"/>
  <c r="Q6871" i="3"/>
  <c r="Q6870" i="3"/>
  <c r="Q6869" i="3"/>
  <c r="Q6868" i="3"/>
  <c r="Q6867" i="3"/>
  <c r="Q6866" i="3"/>
  <c r="Q6865" i="3"/>
  <c r="Q6864" i="3"/>
  <c r="Q6863" i="3"/>
  <c r="Q6862" i="3"/>
  <c r="Q6861" i="3"/>
  <c r="Q6860" i="3"/>
  <c r="Q6859" i="3"/>
  <c r="Q6858" i="3"/>
  <c r="Q6857" i="3"/>
  <c r="Q6856" i="3"/>
  <c r="Q6855" i="3"/>
  <c r="Q6854" i="3"/>
  <c r="Q6853" i="3"/>
  <c r="Q6852" i="3"/>
  <c r="Q6851" i="3"/>
  <c r="Q6850" i="3"/>
  <c r="Q6849" i="3"/>
  <c r="Q6848" i="3"/>
  <c r="Q6847" i="3"/>
  <c r="Q6846" i="3"/>
  <c r="Q6845" i="3"/>
  <c r="Q6844" i="3"/>
  <c r="Q6843" i="3"/>
  <c r="Q6842" i="3"/>
  <c r="Q6841" i="3"/>
  <c r="Q6840" i="3"/>
  <c r="Q6839" i="3"/>
  <c r="Q6838" i="3"/>
  <c r="Q6837" i="3"/>
  <c r="Q6836" i="3"/>
  <c r="Q6835" i="3"/>
  <c r="Q6834" i="3"/>
  <c r="Q6833" i="3"/>
  <c r="Q6832" i="3"/>
  <c r="Q6831" i="3"/>
  <c r="Q6830" i="3"/>
  <c r="Q6829" i="3"/>
  <c r="Q6828" i="3"/>
  <c r="Q6827" i="3"/>
  <c r="Q6826" i="3"/>
  <c r="Q6825" i="3"/>
  <c r="Q6824" i="3"/>
  <c r="Q6823" i="3"/>
  <c r="Q6822" i="3"/>
  <c r="Q6821" i="3"/>
  <c r="Q6820" i="3"/>
  <c r="Q6819" i="3"/>
  <c r="Q6818" i="3"/>
  <c r="Q6817" i="3"/>
  <c r="Q6816" i="3"/>
  <c r="Q6815" i="3"/>
  <c r="Q6814" i="3"/>
  <c r="Q6813" i="3"/>
  <c r="Q6812" i="3"/>
  <c r="Q6811" i="3"/>
  <c r="Q6810" i="3"/>
  <c r="Q6809" i="3"/>
  <c r="Q6808" i="3"/>
  <c r="Q6807" i="3"/>
  <c r="Q6806" i="3"/>
  <c r="Q6805" i="3"/>
  <c r="Q6804" i="3"/>
  <c r="Q6803" i="3"/>
  <c r="Q6802" i="3"/>
  <c r="Q6801" i="3"/>
  <c r="Q6800" i="3"/>
  <c r="Q6799" i="3"/>
  <c r="Q6798" i="3"/>
  <c r="Q6797" i="3"/>
  <c r="Q6796" i="3"/>
  <c r="Q6795" i="3"/>
  <c r="Q6794" i="3"/>
  <c r="Q6793" i="3"/>
  <c r="Q6792" i="3"/>
  <c r="Q6791" i="3"/>
  <c r="Q6790" i="3"/>
  <c r="Q6789" i="3"/>
  <c r="Q6788" i="3"/>
  <c r="Q6787" i="3"/>
  <c r="Q6786" i="3"/>
  <c r="Q6785" i="3"/>
  <c r="Q6784" i="3"/>
  <c r="Q6783" i="3"/>
  <c r="Q6782" i="3"/>
  <c r="Q6781" i="3"/>
  <c r="Q6780" i="3"/>
  <c r="Q6779" i="3"/>
  <c r="Q6778" i="3"/>
  <c r="Q6777" i="3"/>
  <c r="Q6776" i="3"/>
  <c r="Q6775" i="3"/>
  <c r="Q6774" i="3"/>
  <c r="Q6773" i="3"/>
  <c r="Q6772" i="3"/>
  <c r="Q6771" i="3"/>
  <c r="Q6770" i="3"/>
  <c r="Q6769" i="3"/>
  <c r="Q6768" i="3"/>
  <c r="Q6767" i="3"/>
  <c r="Q6766" i="3"/>
  <c r="Q6765" i="3"/>
  <c r="Q6764" i="3"/>
  <c r="Q6763" i="3"/>
  <c r="Q6762" i="3"/>
  <c r="Q6761" i="3"/>
  <c r="Q6760" i="3"/>
  <c r="Q6759" i="3"/>
  <c r="Q6758" i="3"/>
  <c r="Q6757" i="3"/>
  <c r="Q6756" i="3"/>
  <c r="Q6755" i="3"/>
  <c r="Q6754" i="3"/>
  <c r="Q6753" i="3"/>
  <c r="Q6752" i="3"/>
  <c r="Q6751" i="3"/>
  <c r="Q6750" i="3"/>
  <c r="Q6749" i="3"/>
  <c r="Q6748" i="3"/>
  <c r="Q6747" i="3"/>
  <c r="Q6746" i="3"/>
  <c r="Q6745" i="3"/>
  <c r="Q6744" i="3"/>
  <c r="Q6743" i="3"/>
  <c r="Q6742" i="3"/>
  <c r="Q6741" i="3"/>
  <c r="Q6740" i="3"/>
  <c r="Q6739" i="3"/>
  <c r="Q6738" i="3"/>
  <c r="Q6737" i="3"/>
  <c r="Q6736" i="3"/>
  <c r="Q6735" i="3"/>
  <c r="Q6734" i="3"/>
  <c r="Q6733" i="3"/>
  <c r="Q6732" i="3"/>
  <c r="Q6731" i="3"/>
  <c r="Q6730" i="3"/>
  <c r="Q6729" i="3"/>
  <c r="Q6728" i="3"/>
  <c r="Q6727" i="3"/>
  <c r="Q6726" i="3"/>
  <c r="Q6725" i="3"/>
  <c r="Q6724" i="3"/>
  <c r="Q6723" i="3"/>
  <c r="Q6722" i="3"/>
  <c r="Q6721" i="3"/>
  <c r="Q6720" i="3"/>
  <c r="Q6719" i="3"/>
  <c r="Q6718" i="3"/>
  <c r="Q6717" i="3"/>
  <c r="Q6716" i="3"/>
  <c r="Q6715" i="3"/>
  <c r="Q6714" i="3"/>
  <c r="Q6713" i="3"/>
  <c r="Q6712" i="3"/>
  <c r="Q6711" i="3"/>
  <c r="Q6710" i="3"/>
  <c r="Q6709" i="3"/>
  <c r="Q6708" i="3"/>
  <c r="Q6707" i="3"/>
  <c r="Q6706" i="3"/>
  <c r="Q6705" i="3"/>
  <c r="Q6704" i="3"/>
  <c r="Q6703" i="3"/>
  <c r="Q6702" i="3"/>
  <c r="Q6701" i="3"/>
  <c r="Q6700" i="3"/>
  <c r="Q6699" i="3"/>
  <c r="Q6698" i="3"/>
  <c r="Q6697" i="3"/>
  <c r="Q6696" i="3"/>
  <c r="Q6695" i="3"/>
  <c r="Q6694" i="3"/>
  <c r="Q6693" i="3"/>
  <c r="Q6692" i="3"/>
  <c r="Q6691" i="3"/>
  <c r="Q6690" i="3"/>
  <c r="Q6689" i="3"/>
  <c r="Q6688" i="3"/>
  <c r="Q6687" i="3"/>
  <c r="Q6686" i="3"/>
  <c r="Q6685" i="3"/>
  <c r="Q6684" i="3"/>
  <c r="Q6683" i="3"/>
  <c r="Q6682" i="3"/>
  <c r="Q6681" i="3"/>
  <c r="Q6680" i="3"/>
  <c r="Q6679" i="3"/>
  <c r="Q6678" i="3"/>
  <c r="Q6677" i="3"/>
  <c r="Q6676" i="3"/>
  <c r="Q6675" i="3"/>
  <c r="Q6674" i="3"/>
  <c r="Q6673" i="3"/>
  <c r="Q6672" i="3"/>
  <c r="Q6671" i="3"/>
  <c r="Q6670" i="3"/>
  <c r="Q6669" i="3"/>
  <c r="Q6668" i="3"/>
  <c r="Q6667" i="3"/>
  <c r="Q6666" i="3"/>
  <c r="Q6665" i="3"/>
  <c r="Q6664" i="3"/>
  <c r="Q6663" i="3"/>
  <c r="Q6662" i="3"/>
  <c r="Q6661" i="3"/>
  <c r="Q6660" i="3"/>
  <c r="Q6659" i="3"/>
  <c r="Q6658" i="3"/>
  <c r="Q6657" i="3"/>
  <c r="Q6656" i="3"/>
  <c r="Q6655" i="3"/>
  <c r="Q6654" i="3"/>
  <c r="Q6653" i="3"/>
  <c r="Q6652" i="3"/>
  <c r="Q6651" i="3"/>
  <c r="Q6650" i="3"/>
  <c r="Q6649" i="3"/>
  <c r="Q6648" i="3"/>
  <c r="Q6647" i="3"/>
  <c r="Q6646" i="3"/>
  <c r="Q6645" i="3"/>
  <c r="Q6644" i="3"/>
  <c r="Q6643" i="3"/>
  <c r="Q6642" i="3"/>
  <c r="Q6641" i="3"/>
  <c r="Q6640" i="3"/>
  <c r="Q6639" i="3"/>
  <c r="Q6638" i="3"/>
  <c r="Q6637" i="3"/>
  <c r="Q6636" i="3"/>
  <c r="Q6635" i="3"/>
  <c r="Q6634" i="3"/>
  <c r="Q6633" i="3"/>
  <c r="Q6632" i="3"/>
  <c r="Q6631" i="3"/>
  <c r="Q6630" i="3"/>
  <c r="Q6629" i="3"/>
  <c r="Q6628" i="3"/>
  <c r="Q6627" i="3"/>
  <c r="Q6626" i="3"/>
  <c r="Q6625" i="3"/>
  <c r="Q6624" i="3"/>
  <c r="Q6623" i="3"/>
  <c r="Q6622" i="3"/>
  <c r="Q6621" i="3"/>
  <c r="Q6620" i="3"/>
  <c r="Q6619" i="3"/>
  <c r="Q6618" i="3"/>
  <c r="Q6617" i="3"/>
  <c r="Q6616" i="3"/>
  <c r="Q6615" i="3"/>
  <c r="Q6614" i="3"/>
  <c r="Q6613" i="3"/>
  <c r="Q6612" i="3"/>
  <c r="Q6611" i="3"/>
  <c r="Q6610" i="3"/>
  <c r="Q6609" i="3"/>
  <c r="Q6608" i="3"/>
  <c r="Q6607" i="3"/>
  <c r="Q6606" i="3"/>
  <c r="Q6605" i="3"/>
  <c r="Q6604" i="3"/>
  <c r="Q6603" i="3"/>
  <c r="Q6602" i="3"/>
  <c r="Q6601" i="3"/>
  <c r="Q6600" i="3"/>
  <c r="Q6599" i="3"/>
  <c r="Q6598" i="3"/>
  <c r="Q6597" i="3"/>
  <c r="Q6596" i="3"/>
  <c r="Q6595" i="3"/>
  <c r="Q6594" i="3"/>
  <c r="Q6593" i="3"/>
  <c r="Q6592" i="3"/>
  <c r="Q6591" i="3"/>
  <c r="Q6590" i="3"/>
  <c r="Q6589" i="3"/>
  <c r="Q6588" i="3"/>
  <c r="Q6587" i="3"/>
  <c r="Q6586" i="3"/>
  <c r="Q6585" i="3"/>
  <c r="Q6584" i="3"/>
  <c r="Q6583" i="3"/>
  <c r="Q6582" i="3"/>
  <c r="Q6581" i="3"/>
  <c r="Q6580" i="3"/>
  <c r="Q6579" i="3"/>
  <c r="Q6578" i="3"/>
  <c r="Q6577" i="3"/>
  <c r="Q6576" i="3"/>
  <c r="Q6575" i="3"/>
  <c r="Q6574" i="3"/>
  <c r="Q6573" i="3"/>
  <c r="Q6572" i="3"/>
  <c r="Q6571" i="3"/>
  <c r="Q6570" i="3"/>
  <c r="Q6569" i="3"/>
  <c r="Q6568" i="3"/>
  <c r="Q6567" i="3"/>
  <c r="Q6566" i="3"/>
  <c r="Q6565" i="3"/>
  <c r="Q6564" i="3"/>
  <c r="Q6563" i="3"/>
  <c r="Q6562" i="3"/>
  <c r="Q6561" i="3"/>
  <c r="Q6560" i="3"/>
  <c r="Q6559" i="3"/>
  <c r="Q6558" i="3"/>
  <c r="Q6557" i="3"/>
  <c r="Q6556" i="3"/>
  <c r="Q6555" i="3"/>
  <c r="Q6554" i="3"/>
  <c r="Q6553" i="3"/>
  <c r="Q6552" i="3"/>
  <c r="Q6551" i="3"/>
  <c r="Q6550" i="3"/>
  <c r="Q6549" i="3"/>
  <c r="Q6548" i="3"/>
  <c r="Q6547" i="3"/>
  <c r="Q6546" i="3"/>
  <c r="Q6545" i="3"/>
  <c r="Q6544" i="3"/>
  <c r="Q6543" i="3"/>
  <c r="Q6542" i="3"/>
  <c r="Q6541" i="3"/>
  <c r="Q6540" i="3"/>
  <c r="Q6539" i="3"/>
  <c r="Q6538" i="3"/>
  <c r="Q6537" i="3"/>
  <c r="Q6536" i="3"/>
  <c r="Q6535" i="3"/>
  <c r="Q6534" i="3"/>
  <c r="Q6533" i="3"/>
  <c r="Q6532" i="3"/>
  <c r="Q6531" i="3"/>
  <c r="Q6530" i="3"/>
  <c r="Q6529" i="3"/>
  <c r="Q6528" i="3"/>
  <c r="Q6527" i="3"/>
  <c r="Q6526" i="3"/>
  <c r="Q6525" i="3"/>
  <c r="Q6524" i="3"/>
  <c r="Q6523" i="3"/>
  <c r="Q6522" i="3"/>
  <c r="Q6521" i="3"/>
  <c r="Q6520" i="3"/>
  <c r="Q6519" i="3"/>
  <c r="Q6518" i="3"/>
  <c r="Q6517" i="3"/>
  <c r="Q6516" i="3"/>
  <c r="Q6515" i="3"/>
  <c r="Q6514" i="3"/>
  <c r="Q6513" i="3"/>
  <c r="Q6512" i="3"/>
  <c r="Q6511" i="3"/>
  <c r="Q6510" i="3"/>
  <c r="Q6509" i="3"/>
  <c r="Q6508" i="3"/>
  <c r="Q6507" i="3"/>
  <c r="Q6506" i="3"/>
  <c r="Q6505" i="3"/>
  <c r="Q6504" i="3"/>
  <c r="Q6503" i="3"/>
  <c r="Q6502" i="3"/>
  <c r="Q6501" i="3"/>
  <c r="Q6500" i="3"/>
  <c r="Q6499" i="3"/>
  <c r="Q6498" i="3"/>
  <c r="Q6497" i="3"/>
  <c r="Q6496" i="3"/>
  <c r="Q6495" i="3"/>
  <c r="Q6494" i="3"/>
  <c r="Q6493" i="3"/>
  <c r="Q6492" i="3"/>
  <c r="Q6491" i="3"/>
  <c r="Q6490" i="3"/>
  <c r="Q6489" i="3"/>
  <c r="Q6488" i="3"/>
  <c r="Q6487" i="3"/>
  <c r="Q6486" i="3"/>
  <c r="Q6485" i="3"/>
  <c r="Q6484" i="3"/>
  <c r="Q6483" i="3"/>
  <c r="Q6482" i="3"/>
  <c r="Q6481" i="3"/>
  <c r="Q6480" i="3"/>
  <c r="Q6479" i="3"/>
  <c r="Q6478" i="3"/>
  <c r="Q6477" i="3"/>
  <c r="Q6476" i="3"/>
  <c r="Q6475" i="3"/>
  <c r="Q6474" i="3"/>
  <c r="Q6473" i="3"/>
  <c r="Q6472" i="3"/>
  <c r="Q6471" i="3"/>
  <c r="Q6470" i="3"/>
  <c r="Q6469" i="3"/>
  <c r="Q6468" i="3"/>
  <c r="Q6467" i="3"/>
  <c r="Q6466" i="3"/>
  <c r="Q6465" i="3"/>
  <c r="Q6464" i="3"/>
  <c r="Q6463" i="3"/>
  <c r="Q6462" i="3"/>
  <c r="Q6461" i="3"/>
  <c r="Q6460" i="3"/>
  <c r="Q6459" i="3"/>
  <c r="Q6458" i="3"/>
  <c r="Q6457" i="3"/>
  <c r="Q6456" i="3"/>
  <c r="Q6455" i="3"/>
  <c r="Q6454" i="3"/>
  <c r="Q6453" i="3"/>
  <c r="Q6452" i="3"/>
  <c r="Q6451" i="3"/>
  <c r="Q6450" i="3"/>
  <c r="Q6449" i="3"/>
  <c r="Q6448" i="3"/>
  <c r="Q6447" i="3"/>
  <c r="Q6446" i="3"/>
  <c r="Q6445" i="3"/>
  <c r="Q6444" i="3"/>
  <c r="Q6443" i="3"/>
  <c r="Q6442" i="3"/>
  <c r="Q6441" i="3"/>
  <c r="Q6440" i="3"/>
  <c r="Q6439" i="3"/>
  <c r="Q6438" i="3"/>
  <c r="Q6437" i="3"/>
  <c r="Q6436" i="3"/>
  <c r="Q6435" i="3"/>
  <c r="Q6434" i="3"/>
  <c r="Q6433" i="3"/>
  <c r="Q6432" i="3"/>
  <c r="Q6431" i="3"/>
  <c r="Q6430" i="3"/>
  <c r="Q6429" i="3"/>
  <c r="Q6428" i="3"/>
  <c r="Q6427" i="3"/>
  <c r="Q6426" i="3"/>
  <c r="Q6425" i="3"/>
  <c r="Q6424" i="3"/>
  <c r="Q6423" i="3"/>
  <c r="Q6422" i="3"/>
  <c r="Q6421" i="3"/>
  <c r="Q6420" i="3"/>
  <c r="Q6419" i="3"/>
  <c r="Q6418" i="3"/>
  <c r="Q6417" i="3"/>
  <c r="Q6416" i="3"/>
  <c r="Q6415" i="3"/>
  <c r="Q6414" i="3"/>
  <c r="Q6413" i="3"/>
  <c r="Q6412" i="3"/>
  <c r="Q6411" i="3"/>
  <c r="Q6410" i="3"/>
  <c r="Q6409" i="3"/>
  <c r="Q6408" i="3"/>
  <c r="Q6407" i="3"/>
  <c r="Q6406" i="3"/>
  <c r="Q6405" i="3"/>
  <c r="Q6404" i="3"/>
  <c r="Q6403" i="3"/>
  <c r="Q6402" i="3"/>
  <c r="Q6401" i="3"/>
  <c r="Q6400" i="3"/>
  <c r="Q6399" i="3"/>
  <c r="Q6398" i="3"/>
  <c r="Q6397" i="3"/>
  <c r="Q6396" i="3"/>
  <c r="Q6395" i="3"/>
  <c r="Q6394" i="3"/>
  <c r="Q6393" i="3"/>
  <c r="Q6392" i="3"/>
  <c r="Q6391" i="3"/>
  <c r="Q6390" i="3"/>
  <c r="Q6389" i="3"/>
  <c r="Q6388" i="3"/>
  <c r="Q6387" i="3"/>
  <c r="Q6386" i="3"/>
  <c r="Q6385" i="3"/>
  <c r="Q6384" i="3"/>
  <c r="Q6383" i="3"/>
  <c r="Q6382" i="3"/>
  <c r="Q6381" i="3"/>
  <c r="Q6380" i="3"/>
  <c r="Q6379" i="3"/>
  <c r="Q6378" i="3"/>
  <c r="Q6377" i="3"/>
  <c r="Q6376" i="3"/>
  <c r="Q6375" i="3"/>
  <c r="Q6374" i="3"/>
  <c r="Q6373" i="3"/>
  <c r="Q6372" i="3"/>
  <c r="Q6371" i="3"/>
  <c r="Q6370" i="3"/>
  <c r="Q6369" i="3"/>
  <c r="Q6368" i="3"/>
  <c r="Q6367" i="3"/>
  <c r="Q6366" i="3"/>
  <c r="Q6365" i="3"/>
  <c r="Q6364" i="3"/>
  <c r="Q6363" i="3"/>
  <c r="Q6362" i="3"/>
  <c r="Q6361" i="3"/>
  <c r="Q6360" i="3"/>
  <c r="Q6359" i="3"/>
  <c r="Q6358" i="3"/>
  <c r="Q6357" i="3"/>
  <c r="Q6356" i="3"/>
  <c r="Q6355" i="3"/>
  <c r="Q6354" i="3"/>
  <c r="Q6353" i="3"/>
  <c r="Q6352" i="3"/>
  <c r="Q6351" i="3"/>
  <c r="Q6350" i="3"/>
  <c r="Q6349" i="3"/>
  <c r="Q6348" i="3"/>
  <c r="Q6347" i="3"/>
  <c r="Q6346" i="3"/>
  <c r="Q6345" i="3"/>
  <c r="Q6344" i="3"/>
  <c r="Q6343" i="3"/>
  <c r="Q6342" i="3"/>
  <c r="Q6341" i="3"/>
  <c r="Q6340" i="3"/>
  <c r="Q6339" i="3"/>
  <c r="Q6338" i="3"/>
  <c r="Q6337" i="3"/>
  <c r="Q6336" i="3"/>
  <c r="Q6335" i="3"/>
  <c r="Q6334" i="3"/>
  <c r="Q6333" i="3"/>
  <c r="Q6332" i="3"/>
  <c r="Q6331" i="3"/>
  <c r="Q6330" i="3"/>
  <c r="Q6329" i="3"/>
  <c r="Q6328" i="3"/>
  <c r="Q6327" i="3"/>
  <c r="Q6326" i="3"/>
  <c r="Q6325" i="3"/>
  <c r="Q6324" i="3"/>
  <c r="Q6323" i="3"/>
  <c r="Q6322" i="3"/>
  <c r="Q6321" i="3"/>
  <c r="Q6320" i="3"/>
  <c r="Q6319" i="3"/>
  <c r="Q6318" i="3"/>
  <c r="Q6317" i="3"/>
  <c r="Q6316" i="3"/>
  <c r="Q6315" i="3"/>
  <c r="Q6314" i="3"/>
  <c r="Q6313" i="3"/>
  <c r="Q6312" i="3"/>
  <c r="Q6311" i="3"/>
  <c r="Q6310" i="3"/>
  <c r="Q6309" i="3"/>
  <c r="Q6308" i="3"/>
  <c r="Q6307" i="3"/>
  <c r="Q6306" i="3"/>
  <c r="Q6305" i="3"/>
  <c r="Q6304" i="3"/>
  <c r="Q6303" i="3"/>
  <c r="Q6302" i="3"/>
  <c r="Q6301" i="3"/>
  <c r="Q6300" i="3"/>
  <c r="Q6299" i="3"/>
  <c r="Q6298" i="3"/>
  <c r="Q6297" i="3"/>
  <c r="Q6296" i="3"/>
  <c r="Q6295" i="3"/>
  <c r="Q6294" i="3"/>
  <c r="Q6293" i="3"/>
  <c r="Q6292" i="3"/>
  <c r="Q6291" i="3"/>
  <c r="Q6290" i="3"/>
  <c r="Q6289" i="3"/>
  <c r="Q6288" i="3"/>
  <c r="Q6287" i="3"/>
  <c r="Q6286" i="3"/>
  <c r="Q6285" i="3"/>
  <c r="Q6284" i="3"/>
  <c r="Q6283" i="3"/>
  <c r="Q6282" i="3"/>
  <c r="Q6281" i="3"/>
  <c r="Q6280" i="3"/>
  <c r="Q6279" i="3"/>
  <c r="Q6278" i="3"/>
  <c r="Q6277" i="3"/>
  <c r="Q6276" i="3"/>
  <c r="Q6275" i="3"/>
  <c r="Q6274" i="3"/>
  <c r="Q6273" i="3"/>
  <c r="Q6272" i="3"/>
  <c r="Q6271" i="3"/>
  <c r="Q6270" i="3"/>
  <c r="Q6269" i="3"/>
  <c r="Q6268" i="3"/>
  <c r="Q6267" i="3"/>
  <c r="Q6266" i="3"/>
  <c r="Q6265" i="3"/>
  <c r="Q6264" i="3"/>
  <c r="Q6263" i="3"/>
  <c r="Q6262" i="3"/>
  <c r="Q6261" i="3"/>
  <c r="Q6260" i="3"/>
  <c r="Q6259" i="3"/>
  <c r="Q6258" i="3"/>
  <c r="Q6257" i="3"/>
  <c r="Q6256" i="3"/>
  <c r="Q6255" i="3"/>
  <c r="Q6254" i="3"/>
  <c r="Q6253" i="3"/>
  <c r="Q6252" i="3"/>
  <c r="Q6251" i="3"/>
  <c r="Q6250" i="3"/>
  <c r="Q6249" i="3"/>
  <c r="Q6248" i="3"/>
  <c r="Q6247" i="3"/>
  <c r="Q6246" i="3"/>
  <c r="Q6245" i="3"/>
  <c r="Q6244" i="3"/>
  <c r="Q6243" i="3"/>
  <c r="Q6242" i="3"/>
  <c r="Q6241" i="3"/>
  <c r="Q6240" i="3"/>
  <c r="Q6239" i="3"/>
  <c r="Q6238" i="3"/>
  <c r="Q6237" i="3"/>
  <c r="Q6236" i="3"/>
  <c r="Q6235" i="3"/>
  <c r="Q6234" i="3"/>
  <c r="Q6233" i="3"/>
  <c r="Q6232" i="3"/>
  <c r="Q6231" i="3"/>
  <c r="Q6230" i="3"/>
  <c r="Q6229" i="3"/>
  <c r="Q6228" i="3"/>
  <c r="Q6227" i="3"/>
  <c r="Q6226" i="3"/>
  <c r="Q6225" i="3"/>
  <c r="Q6224" i="3"/>
  <c r="Q6223" i="3"/>
  <c r="Q6222" i="3"/>
  <c r="Q6221" i="3"/>
  <c r="Q6220" i="3"/>
  <c r="Q6219" i="3"/>
  <c r="Q6218" i="3"/>
  <c r="Q6217" i="3"/>
  <c r="Q6216" i="3"/>
  <c r="Q6215" i="3"/>
  <c r="Q6214" i="3"/>
  <c r="Q6213" i="3"/>
  <c r="Q6212" i="3"/>
  <c r="Q6211" i="3"/>
  <c r="Q6210" i="3"/>
  <c r="Q6209" i="3"/>
  <c r="Q6208" i="3"/>
  <c r="Q6207" i="3"/>
  <c r="Q6206" i="3"/>
  <c r="Q6205" i="3"/>
  <c r="Q6204" i="3"/>
  <c r="Q6203" i="3"/>
  <c r="Q6202" i="3"/>
  <c r="Q6201" i="3"/>
  <c r="Q6200" i="3"/>
  <c r="Q6199" i="3"/>
  <c r="Q6198" i="3"/>
  <c r="Q6197" i="3"/>
  <c r="Q6196" i="3"/>
  <c r="Q6195" i="3"/>
  <c r="Q6194" i="3"/>
  <c r="Q6193" i="3"/>
  <c r="Q6192" i="3"/>
  <c r="Q6191" i="3"/>
  <c r="Q6190" i="3"/>
  <c r="Q6189" i="3"/>
  <c r="Q6188" i="3"/>
  <c r="Q6187" i="3"/>
  <c r="Q6186" i="3"/>
  <c r="Q6185" i="3"/>
  <c r="Q6184" i="3"/>
  <c r="Q6183" i="3"/>
  <c r="Q6182" i="3"/>
  <c r="Q6181" i="3"/>
  <c r="Q6180" i="3"/>
  <c r="Q6179" i="3"/>
  <c r="Q6178" i="3"/>
  <c r="Q6177" i="3"/>
  <c r="Q6176" i="3"/>
  <c r="Q6175" i="3"/>
  <c r="Q6174" i="3"/>
  <c r="Q6173" i="3"/>
  <c r="Q6172" i="3"/>
  <c r="Q6171" i="3"/>
  <c r="Q6170" i="3"/>
  <c r="Q6169" i="3"/>
  <c r="Q6168" i="3"/>
  <c r="Q6167" i="3"/>
  <c r="Q6166" i="3"/>
  <c r="Q6165" i="3"/>
  <c r="Q6164" i="3"/>
  <c r="Q6163" i="3"/>
  <c r="Q6162" i="3"/>
  <c r="Q6161" i="3"/>
  <c r="Q6160" i="3"/>
  <c r="Q6159" i="3"/>
  <c r="Q6158" i="3"/>
  <c r="Q6157" i="3"/>
  <c r="Q6156" i="3"/>
  <c r="Q6155" i="3"/>
  <c r="Q6154" i="3"/>
  <c r="Q6153" i="3"/>
  <c r="Q6152" i="3"/>
  <c r="Q6151" i="3"/>
  <c r="Q6150" i="3"/>
  <c r="Q6149" i="3"/>
  <c r="Q6148" i="3"/>
  <c r="Q6147" i="3"/>
  <c r="Q6146" i="3"/>
  <c r="Q6145" i="3"/>
  <c r="Q6144" i="3"/>
  <c r="Q6143" i="3"/>
  <c r="Q6142" i="3"/>
  <c r="Q6141" i="3"/>
  <c r="Q6140" i="3"/>
  <c r="Q6139" i="3"/>
  <c r="Q6138" i="3"/>
  <c r="Q6137" i="3"/>
  <c r="Q6136" i="3"/>
  <c r="Q6135" i="3"/>
  <c r="Q6134" i="3"/>
  <c r="Q6133" i="3"/>
  <c r="Q6132" i="3"/>
  <c r="Q6131" i="3"/>
  <c r="Q6130" i="3"/>
  <c r="Q6129" i="3"/>
  <c r="Q6128" i="3"/>
  <c r="Q6127" i="3"/>
  <c r="Q6126" i="3"/>
  <c r="Q6125" i="3"/>
  <c r="Q6124" i="3"/>
  <c r="Q6123" i="3"/>
  <c r="Q6122" i="3"/>
  <c r="Q6121" i="3"/>
  <c r="Q6120" i="3"/>
  <c r="Q6119" i="3"/>
  <c r="Q6118" i="3"/>
  <c r="Q6117" i="3"/>
  <c r="Q6116" i="3"/>
  <c r="Q6115" i="3"/>
  <c r="Q6114" i="3"/>
  <c r="Q6113" i="3"/>
  <c r="Q6112" i="3"/>
  <c r="Q6111" i="3"/>
  <c r="Q6110" i="3"/>
  <c r="Q6109" i="3"/>
  <c r="Q6108" i="3"/>
  <c r="Q6107" i="3"/>
  <c r="Q6106" i="3"/>
  <c r="Q6105" i="3"/>
  <c r="Q6104" i="3"/>
  <c r="Q6103" i="3"/>
  <c r="Q6102" i="3"/>
  <c r="Q6101" i="3"/>
  <c r="Q6100" i="3"/>
  <c r="Q6099" i="3"/>
  <c r="Q6098" i="3"/>
  <c r="Q6097" i="3"/>
  <c r="Q6096" i="3"/>
  <c r="Q6095" i="3"/>
  <c r="Q6094" i="3"/>
  <c r="Q6093" i="3"/>
  <c r="Q6092" i="3"/>
  <c r="Q6091" i="3"/>
  <c r="Q6090" i="3"/>
  <c r="Q6089" i="3"/>
  <c r="Q6088" i="3"/>
  <c r="Q6087" i="3"/>
  <c r="Q6086" i="3"/>
  <c r="Q6085" i="3"/>
  <c r="Q6084" i="3"/>
  <c r="Q6083" i="3"/>
  <c r="Q6082" i="3"/>
  <c r="Q6081" i="3"/>
  <c r="Q6080" i="3"/>
  <c r="Q6079" i="3"/>
  <c r="Q6078" i="3"/>
  <c r="Q6077" i="3"/>
  <c r="Q6076" i="3"/>
  <c r="Q6075" i="3"/>
  <c r="Q6074" i="3"/>
  <c r="Q6073" i="3"/>
  <c r="Q6072" i="3"/>
  <c r="Q6071" i="3"/>
  <c r="Q6070" i="3"/>
  <c r="Q6069" i="3"/>
  <c r="Q6068" i="3"/>
  <c r="Q6067" i="3"/>
  <c r="Q6066" i="3"/>
  <c r="Q6065" i="3"/>
  <c r="Q6064" i="3"/>
  <c r="Q6063" i="3"/>
  <c r="Q6062" i="3"/>
  <c r="Q6061" i="3"/>
  <c r="Q6060" i="3"/>
  <c r="Q6059" i="3"/>
  <c r="Q6058" i="3"/>
  <c r="Q6057" i="3"/>
  <c r="Q6056" i="3"/>
  <c r="Q6055" i="3"/>
  <c r="Q6054" i="3"/>
  <c r="Q6053" i="3"/>
  <c r="Q6052" i="3"/>
  <c r="Q6051" i="3"/>
  <c r="Q6050" i="3"/>
  <c r="Q6049" i="3"/>
  <c r="Q6048" i="3"/>
  <c r="Q6047" i="3"/>
  <c r="Q6046" i="3"/>
  <c r="Q6045" i="3"/>
  <c r="Q6044" i="3"/>
  <c r="Q6043" i="3"/>
  <c r="Q6042" i="3"/>
  <c r="Q6041" i="3"/>
  <c r="Q6040" i="3"/>
  <c r="Q6039" i="3"/>
  <c r="Q6038" i="3"/>
  <c r="Q6037" i="3"/>
  <c r="Q6036" i="3"/>
  <c r="Q6035" i="3"/>
  <c r="Q6034" i="3"/>
  <c r="Q6033" i="3"/>
  <c r="Q6032" i="3"/>
  <c r="Q6031" i="3"/>
  <c r="Q6030" i="3"/>
  <c r="Q6029" i="3"/>
  <c r="Q6028" i="3"/>
  <c r="Q6027" i="3"/>
  <c r="Q6026" i="3"/>
  <c r="Q6025" i="3"/>
  <c r="Q6024" i="3"/>
  <c r="Q6023" i="3"/>
  <c r="Q6022" i="3"/>
  <c r="Q6021" i="3"/>
  <c r="Q6020" i="3"/>
  <c r="Q6019" i="3"/>
  <c r="Q6018" i="3"/>
  <c r="Q6017" i="3"/>
  <c r="Q6016" i="3"/>
  <c r="Q6015" i="3"/>
  <c r="Q6014" i="3"/>
  <c r="Q6013" i="3"/>
  <c r="Q6012" i="3"/>
  <c r="Q6011" i="3"/>
  <c r="Q6010" i="3"/>
  <c r="Q6009" i="3"/>
  <c r="Q6008" i="3"/>
  <c r="Q6007" i="3"/>
  <c r="Q6006" i="3"/>
  <c r="Q6005" i="3"/>
  <c r="Q6004" i="3"/>
  <c r="Q6003" i="3"/>
  <c r="Q6002" i="3"/>
  <c r="Q6001" i="3"/>
  <c r="Q6000" i="3"/>
  <c r="Q5999" i="3"/>
  <c r="Q5998" i="3"/>
  <c r="Q5997" i="3"/>
  <c r="Q5996" i="3"/>
  <c r="Q5995" i="3"/>
  <c r="Q5994" i="3"/>
  <c r="Q5993" i="3"/>
  <c r="Q5992" i="3"/>
  <c r="Q5991" i="3"/>
  <c r="Q5990" i="3"/>
  <c r="Q5989" i="3"/>
  <c r="Q5988" i="3"/>
  <c r="Q5987" i="3"/>
  <c r="Q5986" i="3"/>
  <c r="Q5985" i="3"/>
  <c r="Q5984" i="3"/>
  <c r="Q5983" i="3"/>
  <c r="Q5982" i="3"/>
  <c r="Q5981" i="3"/>
  <c r="Q5980" i="3"/>
  <c r="Q5979" i="3"/>
  <c r="Q5978" i="3"/>
  <c r="Q5977" i="3"/>
  <c r="Q5976" i="3"/>
  <c r="Q5975" i="3"/>
  <c r="Q5974" i="3"/>
  <c r="Q5973" i="3"/>
  <c r="Q5972" i="3"/>
  <c r="Q5971" i="3"/>
  <c r="Q5970" i="3"/>
  <c r="Q5969" i="3"/>
  <c r="Q5968" i="3"/>
  <c r="Q5967" i="3"/>
  <c r="Q5966" i="3"/>
  <c r="Q5965" i="3"/>
  <c r="Q5964" i="3"/>
  <c r="Q5963" i="3"/>
  <c r="Q5962" i="3"/>
  <c r="Q5961" i="3"/>
  <c r="Q5960" i="3"/>
  <c r="Q5959" i="3"/>
  <c r="Q5958" i="3"/>
  <c r="Q5957" i="3"/>
  <c r="Q5956" i="3"/>
  <c r="Q5955" i="3"/>
  <c r="Q5954" i="3"/>
  <c r="Q5953" i="3"/>
  <c r="Q5952" i="3"/>
  <c r="Q5951" i="3"/>
  <c r="Q5950" i="3"/>
  <c r="Q5949" i="3"/>
  <c r="Q5948" i="3"/>
  <c r="Q5947" i="3"/>
  <c r="Q5946" i="3"/>
  <c r="Q5945" i="3"/>
  <c r="Q5944" i="3"/>
  <c r="Q5943" i="3"/>
  <c r="Q5942" i="3"/>
  <c r="Q5941" i="3"/>
  <c r="Q5940" i="3"/>
  <c r="Q5939" i="3"/>
  <c r="Q5938" i="3"/>
  <c r="Q5937" i="3"/>
  <c r="Q5936" i="3"/>
  <c r="Q5935" i="3"/>
  <c r="Q5934" i="3"/>
  <c r="Q5933" i="3"/>
  <c r="Q5932" i="3"/>
  <c r="Q5931" i="3"/>
  <c r="Q5930" i="3"/>
  <c r="Q5929" i="3"/>
  <c r="Q5928" i="3"/>
  <c r="Q5927" i="3"/>
  <c r="Q5926" i="3"/>
  <c r="Q5925" i="3"/>
  <c r="Q5924" i="3"/>
  <c r="Q5923" i="3"/>
  <c r="Q5922" i="3"/>
  <c r="Q5921" i="3"/>
  <c r="Q5920" i="3"/>
  <c r="Q5919" i="3"/>
  <c r="Q5918" i="3"/>
  <c r="Q5917" i="3"/>
  <c r="Q5916" i="3"/>
  <c r="Q5915" i="3"/>
  <c r="Q5914" i="3"/>
  <c r="Q5913" i="3"/>
  <c r="Q5912" i="3"/>
  <c r="Q5911" i="3"/>
  <c r="Q5910" i="3"/>
  <c r="Q5909" i="3"/>
  <c r="Q5908" i="3"/>
  <c r="Q5907" i="3"/>
  <c r="Q5906" i="3"/>
  <c r="Q5905" i="3"/>
  <c r="Q5904" i="3"/>
  <c r="Q5903" i="3"/>
  <c r="Q5902" i="3"/>
  <c r="Q5901" i="3"/>
  <c r="Q5900" i="3"/>
  <c r="Q5899" i="3"/>
  <c r="Q5898" i="3"/>
  <c r="Q5897" i="3"/>
  <c r="Q5896" i="3"/>
  <c r="Q5895" i="3"/>
  <c r="Q5894" i="3"/>
  <c r="Q5893" i="3"/>
  <c r="Q5892" i="3"/>
  <c r="Q5891" i="3"/>
  <c r="Q5890" i="3"/>
  <c r="Q5889" i="3"/>
  <c r="Q5888" i="3"/>
  <c r="Q5887" i="3"/>
  <c r="Q5886" i="3"/>
  <c r="Q5885" i="3"/>
  <c r="Q5884" i="3"/>
  <c r="Q5883" i="3"/>
  <c r="Q5882" i="3"/>
  <c r="Q5881" i="3"/>
  <c r="Q5880" i="3"/>
  <c r="Q5879" i="3"/>
  <c r="Q5878" i="3"/>
  <c r="Q5877" i="3"/>
  <c r="Q5876" i="3"/>
  <c r="Q5875" i="3"/>
  <c r="Q5874" i="3"/>
  <c r="Q5873" i="3"/>
  <c r="Q5872" i="3"/>
  <c r="Q5871" i="3"/>
  <c r="Q5870" i="3"/>
  <c r="Q5869" i="3"/>
  <c r="Q5868" i="3"/>
  <c r="Q5867" i="3"/>
  <c r="Q5866" i="3"/>
  <c r="Q5865" i="3"/>
  <c r="Q5864" i="3"/>
  <c r="Q5863" i="3"/>
  <c r="Q5862" i="3"/>
  <c r="Q5861" i="3"/>
  <c r="Q5860" i="3"/>
  <c r="Q5859" i="3"/>
  <c r="Q5858" i="3"/>
  <c r="Q5857" i="3"/>
  <c r="Q5856" i="3"/>
  <c r="Q5855" i="3"/>
  <c r="Q5854" i="3"/>
  <c r="Q5853" i="3"/>
  <c r="Q5852" i="3"/>
  <c r="Q5851" i="3"/>
  <c r="Q5850" i="3"/>
  <c r="Q5849" i="3"/>
  <c r="Q5848" i="3"/>
  <c r="Q5847" i="3"/>
  <c r="Q5846" i="3"/>
  <c r="Q5845" i="3"/>
  <c r="Q5844" i="3"/>
  <c r="Q5843" i="3"/>
  <c r="Q5842" i="3"/>
  <c r="Q5841" i="3"/>
  <c r="Q5840" i="3"/>
  <c r="Q5839" i="3"/>
  <c r="Q5838" i="3"/>
  <c r="Q5837" i="3"/>
  <c r="Q5836" i="3"/>
  <c r="Q5835" i="3"/>
  <c r="Q5834" i="3"/>
  <c r="Q5833" i="3"/>
  <c r="Q5832" i="3"/>
  <c r="Q5831" i="3"/>
  <c r="Q5830" i="3"/>
  <c r="Q5829" i="3"/>
  <c r="Q5828" i="3"/>
  <c r="Q5827" i="3"/>
  <c r="Q5826" i="3"/>
  <c r="Q5825" i="3"/>
  <c r="Q5824" i="3"/>
  <c r="Q5823" i="3"/>
  <c r="Q5822" i="3"/>
  <c r="Q5821" i="3"/>
  <c r="Q5820" i="3"/>
  <c r="Q5819" i="3"/>
  <c r="Q5818" i="3"/>
  <c r="Q5817" i="3"/>
  <c r="Q5816" i="3"/>
  <c r="Q5815" i="3"/>
  <c r="Q5814" i="3"/>
  <c r="Q5813" i="3"/>
  <c r="Q5812" i="3"/>
  <c r="Q5811" i="3"/>
  <c r="Q5810" i="3"/>
  <c r="Q5809" i="3"/>
  <c r="Q5808" i="3"/>
  <c r="Q5807" i="3"/>
  <c r="Q5806" i="3"/>
  <c r="Q5805" i="3"/>
  <c r="Q5804" i="3"/>
  <c r="Q5803" i="3"/>
  <c r="Q5802" i="3"/>
  <c r="Q5801" i="3"/>
  <c r="Q5800" i="3"/>
  <c r="Q5799" i="3"/>
  <c r="Q5798" i="3"/>
  <c r="Q5797" i="3"/>
  <c r="Q5796" i="3"/>
  <c r="Q5795" i="3"/>
  <c r="Q5794" i="3"/>
  <c r="Q5793" i="3"/>
  <c r="Q5792" i="3"/>
  <c r="Q5791" i="3"/>
  <c r="Q5790" i="3"/>
  <c r="Q5789" i="3"/>
  <c r="Q5788" i="3"/>
  <c r="Q5787" i="3"/>
  <c r="Q5786" i="3"/>
  <c r="Q5785" i="3"/>
  <c r="Q5784" i="3"/>
  <c r="Q5783" i="3"/>
  <c r="Q5782" i="3"/>
  <c r="Q5781" i="3"/>
  <c r="Q5780" i="3"/>
  <c r="Q5779" i="3"/>
  <c r="Q5778" i="3"/>
  <c r="Q5777" i="3"/>
  <c r="Q5776" i="3"/>
  <c r="Q5775" i="3"/>
  <c r="Q5774" i="3"/>
  <c r="Q5773" i="3"/>
  <c r="Q5772" i="3"/>
  <c r="Q5771" i="3"/>
  <c r="Q5770" i="3"/>
  <c r="Q5769" i="3"/>
  <c r="Q5768" i="3"/>
  <c r="Q5767" i="3"/>
  <c r="Q5766" i="3"/>
  <c r="Q5765" i="3"/>
  <c r="Q5764" i="3"/>
  <c r="Q5763" i="3"/>
  <c r="Q5762" i="3"/>
  <c r="Q5761" i="3"/>
  <c r="Q5760" i="3"/>
  <c r="Q5759" i="3"/>
  <c r="Q5758" i="3"/>
  <c r="Q5757" i="3"/>
  <c r="Q5756" i="3"/>
  <c r="Q5755" i="3"/>
  <c r="Q5754" i="3"/>
  <c r="Q5753" i="3"/>
  <c r="Q5752" i="3"/>
  <c r="Q5751" i="3"/>
  <c r="Q5750" i="3"/>
  <c r="Q5749" i="3"/>
  <c r="Q5748" i="3"/>
  <c r="Q5747" i="3"/>
  <c r="Q5746" i="3"/>
  <c r="Q5745" i="3"/>
  <c r="Q5744" i="3"/>
  <c r="Q5743" i="3"/>
  <c r="Q5742" i="3"/>
  <c r="Q5741" i="3"/>
  <c r="Q5740" i="3"/>
  <c r="Q5739" i="3"/>
  <c r="Q5738" i="3"/>
  <c r="Q5737" i="3"/>
  <c r="Q5736" i="3"/>
  <c r="Q5735" i="3"/>
  <c r="Q5734" i="3"/>
  <c r="Q5733" i="3"/>
  <c r="Q5732" i="3"/>
  <c r="Q5731" i="3"/>
  <c r="Q5730" i="3"/>
  <c r="Q5729" i="3"/>
  <c r="Q5728" i="3"/>
  <c r="Q5727" i="3"/>
  <c r="Q5726" i="3"/>
  <c r="Q5725" i="3"/>
  <c r="Q5724" i="3"/>
  <c r="Q5723" i="3"/>
  <c r="Q5722" i="3"/>
  <c r="Q5721" i="3"/>
  <c r="Q5720" i="3"/>
  <c r="Q5719" i="3"/>
  <c r="Q5718" i="3"/>
  <c r="Q5717" i="3"/>
  <c r="Q5716" i="3"/>
  <c r="Q5715" i="3"/>
  <c r="Q5714" i="3"/>
  <c r="Q5713" i="3"/>
  <c r="Q5712" i="3"/>
  <c r="Q5711" i="3"/>
  <c r="Q5710" i="3"/>
  <c r="Q5709" i="3"/>
  <c r="Q5708" i="3"/>
  <c r="Q5707" i="3"/>
  <c r="Q5706" i="3"/>
  <c r="Q5705" i="3"/>
  <c r="Q5704" i="3"/>
  <c r="Q5703" i="3"/>
  <c r="Q5702" i="3"/>
  <c r="Q5701" i="3"/>
  <c r="Q5700" i="3"/>
  <c r="Q5699" i="3"/>
  <c r="Q5698" i="3"/>
  <c r="Q5697" i="3"/>
  <c r="Q5696" i="3"/>
  <c r="Q5695" i="3"/>
  <c r="Q5694" i="3"/>
  <c r="Q5693" i="3"/>
  <c r="Q5692" i="3"/>
  <c r="Q5691" i="3"/>
  <c r="Q5690" i="3"/>
  <c r="Q5689" i="3"/>
  <c r="Q5688" i="3"/>
  <c r="Q5687" i="3"/>
  <c r="Q5686" i="3"/>
  <c r="Q5685" i="3"/>
  <c r="Q5684" i="3"/>
  <c r="Q5683" i="3"/>
  <c r="Q5682" i="3"/>
  <c r="Q5681" i="3"/>
  <c r="Q5680" i="3"/>
  <c r="Q5679" i="3"/>
  <c r="Q5678" i="3"/>
  <c r="Q5677" i="3"/>
  <c r="Q5676" i="3"/>
  <c r="Q5675" i="3"/>
  <c r="Q5674" i="3"/>
  <c r="Q5673" i="3"/>
  <c r="Q5672" i="3"/>
  <c r="Q5671" i="3"/>
  <c r="Q5670" i="3"/>
  <c r="Q5669" i="3"/>
  <c r="Q5668" i="3"/>
  <c r="Q5667" i="3"/>
  <c r="Q5666" i="3"/>
  <c r="Q5665" i="3"/>
  <c r="Q5664" i="3"/>
  <c r="Q5663" i="3"/>
  <c r="Q5662" i="3"/>
  <c r="Q5661" i="3"/>
  <c r="Q5660" i="3"/>
  <c r="Q5659" i="3"/>
  <c r="Q5658" i="3"/>
  <c r="Q5657" i="3"/>
  <c r="Q5656" i="3"/>
  <c r="Q5655" i="3"/>
  <c r="Q5654" i="3"/>
  <c r="Q5653" i="3"/>
  <c r="Q5652" i="3"/>
  <c r="Q5651" i="3"/>
  <c r="Q5650" i="3"/>
  <c r="Q5649" i="3"/>
  <c r="Q5648" i="3"/>
  <c r="Q5647" i="3"/>
  <c r="Q5646" i="3"/>
  <c r="Q5645" i="3"/>
  <c r="Q5644" i="3"/>
  <c r="Q5643" i="3"/>
  <c r="Q5642" i="3"/>
  <c r="Q5641" i="3"/>
  <c r="Q5640" i="3"/>
  <c r="Q5639" i="3"/>
  <c r="Q5638" i="3"/>
  <c r="Q5637" i="3"/>
  <c r="Q5636" i="3"/>
  <c r="Q5635" i="3"/>
  <c r="Q5634" i="3"/>
  <c r="Q5633" i="3"/>
  <c r="Q5632" i="3"/>
  <c r="Q5631" i="3"/>
  <c r="Q5630" i="3"/>
  <c r="Q5629" i="3"/>
  <c r="Q5628" i="3"/>
  <c r="Q5627" i="3"/>
  <c r="Q5626" i="3"/>
  <c r="Q5625" i="3"/>
  <c r="Q5624" i="3"/>
  <c r="Q5623" i="3"/>
  <c r="Q5622" i="3"/>
  <c r="Q5621" i="3"/>
  <c r="Q5620" i="3"/>
  <c r="Q5619" i="3"/>
  <c r="Q5618" i="3"/>
  <c r="Q5617" i="3"/>
  <c r="Q5616" i="3"/>
  <c r="Q5615" i="3"/>
  <c r="Q5614" i="3"/>
  <c r="Q5613" i="3"/>
  <c r="Q5612" i="3"/>
  <c r="Q5611" i="3"/>
  <c r="Q5610" i="3"/>
  <c r="Q5609" i="3"/>
  <c r="Q5608" i="3"/>
  <c r="Q5607" i="3"/>
  <c r="Q5606" i="3"/>
  <c r="Q5605" i="3"/>
  <c r="Q5604" i="3"/>
  <c r="Q5603" i="3"/>
  <c r="Q5602" i="3"/>
  <c r="Q5601" i="3"/>
  <c r="Q5600" i="3"/>
  <c r="Q5599" i="3"/>
  <c r="Q5598" i="3"/>
  <c r="Q5597" i="3"/>
  <c r="Q5596" i="3"/>
  <c r="Q5595" i="3"/>
  <c r="Q5594" i="3"/>
  <c r="Q5593" i="3"/>
  <c r="Q5592" i="3"/>
  <c r="Q5591" i="3"/>
  <c r="Q5590" i="3"/>
  <c r="Q5589" i="3"/>
  <c r="Q5588" i="3"/>
  <c r="Q5587" i="3"/>
  <c r="Q5586" i="3"/>
  <c r="Q5585" i="3"/>
  <c r="Q5584" i="3"/>
  <c r="Q5583" i="3"/>
  <c r="Q5582" i="3"/>
  <c r="Q5581" i="3"/>
  <c r="Q5580" i="3"/>
  <c r="Q5579" i="3"/>
  <c r="Q5578" i="3"/>
  <c r="Q5577" i="3"/>
  <c r="Q5576" i="3"/>
  <c r="Q5575" i="3"/>
  <c r="Q5574" i="3"/>
  <c r="Q5573" i="3"/>
  <c r="Q5572" i="3"/>
  <c r="Q5571" i="3"/>
  <c r="Q5570" i="3"/>
  <c r="Q5569" i="3"/>
  <c r="Q5568" i="3"/>
  <c r="Q5567" i="3"/>
  <c r="Q5566" i="3"/>
  <c r="Q5565" i="3"/>
  <c r="Q5564" i="3"/>
  <c r="Q5563" i="3"/>
  <c r="Q5562" i="3"/>
  <c r="Q5561" i="3"/>
  <c r="Q5560" i="3"/>
  <c r="Q5559" i="3"/>
  <c r="Q5558" i="3"/>
  <c r="Q5557" i="3"/>
  <c r="Q5556" i="3"/>
  <c r="Q5555" i="3"/>
  <c r="Q5554" i="3"/>
  <c r="Q5553" i="3"/>
  <c r="Q5552" i="3"/>
  <c r="Q5551" i="3"/>
  <c r="Q5550" i="3"/>
  <c r="Q5549" i="3"/>
  <c r="Q5548" i="3"/>
  <c r="Q5547" i="3"/>
  <c r="Q5546" i="3"/>
  <c r="Q5545" i="3"/>
  <c r="Q5544" i="3"/>
  <c r="Q5543" i="3"/>
  <c r="Q5542" i="3"/>
  <c r="Q5541" i="3"/>
  <c r="Q5540" i="3"/>
  <c r="Q5539" i="3"/>
  <c r="Q5538" i="3"/>
  <c r="Q5537" i="3"/>
  <c r="Q5536" i="3"/>
  <c r="Q5535" i="3"/>
  <c r="Q5534" i="3"/>
  <c r="Q5533" i="3"/>
  <c r="Q5532" i="3"/>
  <c r="Q5531" i="3"/>
  <c r="Q5530" i="3"/>
  <c r="Q5529" i="3"/>
  <c r="Q5528" i="3"/>
  <c r="Q5527" i="3"/>
  <c r="Q5526" i="3"/>
  <c r="Q5525" i="3"/>
  <c r="Q5524" i="3"/>
  <c r="Q5523" i="3"/>
  <c r="Q5522" i="3"/>
  <c r="Q5521" i="3"/>
  <c r="Q5520" i="3"/>
  <c r="Q5519" i="3"/>
  <c r="Q5518" i="3"/>
  <c r="Q5517" i="3"/>
  <c r="Q5516" i="3"/>
  <c r="Q5515" i="3"/>
  <c r="Q5514" i="3"/>
  <c r="Q5513" i="3"/>
  <c r="Q5512" i="3"/>
  <c r="Q5511" i="3"/>
  <c r="Q5510" i="3"/>
  <c r="Q5509" i="3"/>
  <c r="Q5508" i="3"/>
  <c r="Q5507" i="3"/>
  <c r="Q5506" i="3"/>
  <c r="Q5505" i="3"/>
  <c r="Q5504" i="3"/>
  <c r="Q5503" i="3"/>
  <c r="Q5502" i="3"/>
  <c r="Q5501" i="3"/>
  <c r="Q5500" i="3"/>
  <c r="Q5499" i="3"/>
  <c r="Q5498" i="3"/>
  <c r="Q5497" i="3"/>
  <c r="Q5496" i="3"/>
  <c r="Q5495" i="3"/>
  <c r="Q5494" i="3"/>
  <c r="Q5493" i="3"/>
  <c r="Q5492" i="3"/>
  <c r="Q5491" i="3"/>
  <c r="Q5490" i="3"/>
  <c r="Q5489" i="3"/>
  <c r="Q5488" i="3"/>
  <c r="Q5487" i="3"/>
  <c r="Q5486" i="3"/>
  <c r="Q5485" i="3"/>
  <c r="Q5484" i="3"/>
  <c r="Q5483" i="3"/>
  <c r="Q5482" i="3"/>
  <c r="Q5481" i="3"/>
  <c r="Q5480" i="3"/>
  <c r="Q5479" i="3"/>
  <c r="Q5478" i="3"/>
  <c r="Q5477" i="3"/>
  <c r="Q5476" i="3"/>
  <c r="Q5475" i="3"/>
  <c r="Q5474" i="3"/>
  <c r="Q5473" i="3"/>
  <c r="Q5472" i="3"/>
  <c r="Q5471" i="3"/>
  <c r="Q5470" i="3"/>
  <c r="Q5469" i="3"/>
  <c r="Q5468" i="3"/>
  <c r="Q5467" i="3"/>
  <c r="Q5466" i="3"/>
  <c r="Q5465" i="3"/>
  <c r="Q5464" i="3"/>
  <c r="Q5463" i="3"/>
  <c r="Q5462" i="3"/>
  <c r="Q5461" i="3"/>
  <c r="Q5460" i="3"/>
  <c r="Q5459" i="3"/>
  <c r="Q5458" i="3"/>
  <c r="Q5457" i="3"/>
  <c r="Q5456" i="3"/>
  <c r="Q5455" i="3"/>
  <c r="Q5454" i="3"/>
  <c r="Q5453" i="3"/>
  <c r="Q5452" i="3"/>
  <c r="Q5451" i="3"/>
  <c r="Q5450" i="3"/>
  <c r="Q5449" i="3"/>
  <c r="Q5448" i="3"/>
  <c r="Q5447" i="3"/>
  <c r="Q5446" i="3"/>
  <c r="Q5445" i="3"/>
  <c r="Q5444" i="3"/>
  <c r="Q5443" i="3"/>
  <c r="Q5442" i="3"/>
  <c r="Q5441" i="3"/>
  <c r="Q5440" i="3"/>
  <c r="Q5439" i="3"/>
  <c r="Q5438" i="3"/>
  <c r="Q5437" i="3"/>
  <c r="Q5436" i="3"/>
  <c r="Q5435" i="3"/>
  <c r="Q5434" i="3"/>
  <c r="Q5433" i="3"/>
  <c r="Q5432" i="3"/>
  <c r="Q5431" i="3"/>
  <c r="Q5430" i="3"/>
  <c r="Q5429" i="3"/>
  <c r="Q5428" i="3"/>
  <c r="Q5427" i="3"/>
  <c r="Q5426" i="3"/>
  <c r="Q5425" i="3"/>
  <c r="Q5424" i="3"/>
  <c r="Q5423" i="3"/>
  <c r="Q5422" i="3"/>
  <c r="Q5421" i="3"/>
  <c r="Q5420" i="3"/>
  <c r="Q5419" i="3"/>
  <c r="Q5418" i="3"/>
  <c r="Q5417" i="3"/>
  <c r="Q5416" i="3"/>
  <c r="Q5415" i="3"/>
  <c r="Q5414" i="3"/>
  <c r="Q5413" i="3"/>
  <c r="Q5412" i="3"/>
  <c r="Q5411" i="3"/>
  <c r="Q5410" i="3"/>
  <c r="Q5409" i="3"/>
  <c r="Q5408" i="3"/>
  <c r="Q5407" i="3"/>
  <c r="Q5406" i="3"/>
  <c r="Q5405" i="3"/>
  <c r="Q5404" i="3"/>
  <c r="Q5403" i="3"/>
  <c r="Q5402" i="3"/>
  <c r="Q5401" i="3"/>
  <c r="Q5400" i="3"/>
  <c r="Q5399" i="3"/>
  <c r="Q5398" i="3"/>
  <c r="Q5397" i="3"/>
  <c r="Q5396" i="3"/>
  <c r="Q5395" i="3"/>
  <c r="Q5394" i="3"/>
  <c r="Q5393" i="3"/>
  <c r="Q5392" i="3"/>
  <c r="Q5391" i="3"/>
  <c r="Q5390" i="3"/>
  <c r="Q5389" i="3"/>
  <c r="Q5388" i="3"/>
  <c r="Q5387" i="3"/>
  <c r="Q5386" i="3"/>
  <c r="Q5385" i="3"/>
  <c r="Q5384" i="3"/>
  <c r="Q5383" i="3"/>
  <c r="Q5382" i="3"/>
  <c r="Q5381" i="3"/>
  <c r="Q5380" i="3"/>
  <c r="Q5379" i="3"/>
  <c r="Q5378" i="3"/>
  <c r="Q5377" i="3"/>
  <c r="Q5376" i="3"/>
  <c r="Q5375" i="3"/>
  <c r="Q5374" i="3"/>
  <c r="Q5373" i="3"/>
  <c r="Q5372" i="3"/>
  <c r="Q5371" i="3"/>
  <c r="Q5370" i="3"/>
  <c r="Q5369" i="3"/>
  <c r="Q5368" i="3"/>
  <c r="Q5367" i="3"/>
  <c r="Q5366" i="3"/>
  <c r="Q5365" i="3"/>
  <c r="Q5364" i="3"/>
  <c r="Q5363" i="3"/>
  <c r="Q5362" i="3"/>
  <c r="Q5361" i="3"/>
  <c r="Q5360" i="3"/>
  <c r="Q5359" i="3"/>
  <c r="Q5358" i="3"/>
  <c r="Q5357" i="3"/>
  <c r="Q5356" i="3"/>
  <c r="Q5355" i="3"/>
  <c r="Q5354" i="3"/>
  <c r="Q5353" i="3"/>
  <c r="Q5352" i="3"/>
  <c r="Q5351" i="3"/>
  <c r="Q5350" i="3"/>
  <c r="Q5349" i="3"/>
  <c r="Q5348" i="3"/>
  <c r="Q5347" i="3"/>
  <c r="Q5346" i="3"/>
  <c r="Q5345" i="3"/>
  <c r="Q5344" i="3"/>
  <c r="Q5343" i="3"/>
  <c r="Q5342" i="3"/>
  <c r="Q5341" i="3"/>
  <c r="Q5340" i="3"/>
  <c r="Q5339" i="3"/>
  <c r="Q5338" i="3"/>
  <c r="Q5337" i="3"/>
  <c r="Q5336" i="3"/>
  <c r="Q5335" i="3"/>
  <c r="Q5334" i="3"/>
  <c r="Q5333" i="3"/>
  <c r="Q5332" i="3"/>
  <c r="Q5331" i="3"/>
  <c r="Q5330" i="3"/>
  <c r="Q5329" i="3"/>
  <c r="Q5328" i="3"/>
  <c r="Q5327" i="3"/>
  <c r="Q5326" i="3"/>
  <c r="Q5325" i="3"/>
  <c r="Q5324" i="3"/>
  <c r="Q5323" i="3"/>
  <c r="Q5322" i="3"/>
  <c r="Q5321" i="3"/>
  <c r="Q5320" i="3"/>
  <c r="Q5319" i="3"/>
  <c r="Q5318" i="3"/>
  <c r="Q5317" i="3"/>
  <c r="Q5316" i="3"/>
  <c r="Q5315" i="3"/>
  <c r="Q5314" i="3"/>
  <c r="Q5313" i="3"/>
  <c r="Q5312" i="3"/>
  <c r="Q5311" i="3"/>
  <c r="Q5310" i="3"/>
  <c r="Q5309" i="3"/>
  <c r="Q5308" i="3"/>
  <c r="Q5307" i="3"/>
  <c r="Q5306" i="3"/>
  <c r="Q5305" i="3"/>
  <c r="Q5304" i="3"/>
  <c r="Q5303" i="3"/>
  <c r="Q5302" i="3"/>
  <c r="Q5301" i="3"/>
  <c r="Q5300" i="3"/>
  <c r="Q5299" i="3"/>
  <c r="Q5298" i="3"/>
  <c r="Q5297" i="3"/>
  <c r="Q5296" i="3"/>
  <c r="Q5295" i="3"/>
  <c r="Q5294" i="3"/>
  <c r="Q5293" i="3"/>
  <c r="Q5292" i="3"/>
  <c r="Q5291" i="3"/>
  <c r="Q5290" i="3"/>
  <c r="Q5289" i="3"/>
  <c r="Q5288" i="3"/>
  <c r="Q5287" i="3"/>
  <c r="Q5286" i="3"/>
  <c r="Q5285" i="3"/>
  <c r="Q5284" i="3"/>
  <c r="Q5283" i="3"/>
  <c r="Q5282" i="3"/>
  <c r="Q5281" i="3"/>
  <c r="Q5280" i="3"/>
  <c r="Q5279" i="3"/>
  <c r="Q5278" i="3"/>
  <c r="Q5277" i="3"/>
  <c r="Q5276" i="3"/>
  <c r="Q5275" i="3"/>
  <c r="Q5274" i="3"/>
  <c r="Q5273" i="3"/>
  <c r="Q5272" i="3"/>
  <c r="Q5271" i="3"/>
  <c r="Q5270" i="3"/>
  <c r="Q5269" i="3"/>
  <c r="Q5268" i="3"/>
  <c r="Q5267" i="3"/>
  <c r="Q5266" i="3"/>
  <c r="Q5265" i="3"/>
  <c r="Q5264" i="3"/>
  <c r="Q5263" i="3"/>
  <c r="Q5262" i="3"/>
  <c r="Q5261" i="3"/>
  <c r="Q5260" i="3"/>
  <c r="Q5259" i="3"/>
  <c r="Q5258" i="3"/>
  <c r="Q5257" i="3"/>
  <c r="Q5256" i="3"/>
  <c r="Q5255" i="3"/>
  <c r="Q5254" i="3"/>
  <c r="Q5253" i="3"/>
  <c r="Q5252" i="3"/>
  <c r="Q5251" i="3"/>
  <c r="Q5250" i="3"/>
  <c r="Q5249" i="3"/>
  <c r="Q5248" i="3"/>
  <c r="Q5247" i="3"/>
  <c r="Q5246" i="3"/>
  <c r="Q5245" i="3"/>
  <c r="Q5244" i="3"/>
  <c r="Q5243" i="3"/>
  <c r="Q5242" i="3"/>
  <c r="Q5241" i="3"/>
  <c r="Q5240" i="3"/>
  <c r="Q5239" i="3"/>
  <c r="Q5238" i="3"/>
  <c r="Q5237" i="3"/>
  <c r="Q5236" i="3"/>
  <c r="Q5235" i="3"/>
  <c r="Q5234" i="3"/>
  <c r="Q5233" i="3"/>
  <c r="Q5232" i="3"/>
  <c r="Q5231" i="3"/>
  <c r="Q5230" i="3"/>
  <c r="Q5229" i="3"/>
  <c r="Q5228" i="3"/>
  <c r="Q5227" i="3"/>
  <c r="Q5226" i="3"/>
  <c r="Q5225" i="3"/>
  <c r="Q5224" i="3"/>
  <c r="Q5223" i="3"/>
  <c r="Q5222" i="3"/>
  <c r="Q5221" i="3"/>
  <c r="Q5220" i="3"/>
  <c r="Q5219" i="3"/>
  <c r="Q5218" i="3"/>
  <c r="Q5217" i="3"/>
  <c r="Q5216" i="3"/>
  <c r="Q5215" i="3"/>
  <c r="Q5214" i="3"/>
  <c r="Q5213" i="3"/>
  <c r="Q5212" i="3"/>
  <c r="Q5211" i="3"/>
  <c r="Q5210" i="3"/>
  <c r="Q5209" i="3"/>
  <c r="Q5208" i="3"/>
  <c r="Q5207" i="3"/>
  <c r="Q5206" i="3"/>
  <c r="Q5205" i="3"/>
  <c r="Q5204" i="3"/>
  <c r="Q5203" i="3"/>
  <c r="Q5202" i="3"/>
  <c r="Q5201" i="3"/>
  <c r="Q5200" i="3"/>
  <c r="Q5199" i="3"/>
  <c r="Q5198" i="3"/>
  <c r="Q5197" i="3"/>
  <c r="Q5196" i="3"/>
  <c r="Q5195" i="3"/>
  <c r="Q5194" i="3"/>
  <c r="Q5193" i="3"/>
  <c r="Q5192" i="3"/>
  <c r="Q5191" i="3"/>
  <c r="Q5190" i="3"/>
  <c r="Q5189" i="3"/>
  <c r="Q5188" i="3"/>
  <c r="Q5187" i="3"/>
  <c r="Q5186" i="3"/>
  <c r="Q5185" i="3"/>
  <c r="Q5184" i="3"/>
  <c r="Q5183" i="3"/>
  <c r="Q5182" i="3"/>
  <c r="Q5181" i="3"/>
  <c r="Q5180" i="3"/>
  <c r="Q5179" i="3"/>
  <c r="Q5178" i="3"/>
  <c r="Q5177" i="3"/>
  <c r="Q5176" i="3"/>
  <c r="Q5175" i="3"/>
  <c r="Q5174" i="3"/>
  <c r="Q5173" i="3"/>
  <c r="Q5172" i="3"/>
  <c r="Q5171" i="3"/>
  <c r="Q5170" i="3"/>
  <c r="Q5169" i="3"/>
  <c r="Q5168" i="3"/>
  <c r="Q5167" i="3"/>
  <c r="Q5166" i="3"/>
  <c r="Q5165" i="3"/>
  <c r="Q5164" i="3"/>
  <c r="Q5163" i="3"/>
  <c r="Q5162" i="3"/>
  <c r="Q5161" i="3"/>
  <c r="Q5160" i="3"/>
  <c r="Q5159" i="3"/>
  <c r="Q5158" i="3"/>
  <c r="Q5157" i="3"/>
  <c r="Q5156" i="3"/>
  <c r="Q5155" i="3"/>
  <c r="Q5154" i="3"/>
  <c r="Q5153" i="3"/>
  <c r="Q5152" i="3"/>
  <c r="Q5151" i="3"/>
  <c r="Q5150" i="3"/>
  <c r="Q5149" i="3"/>
  <c r="Q5148" i="3"/>
  <c r="Q5147" i="3"/>
  <c r="Q5146" i="3"/>
  <c r="Q5145" i="3"/>
  <c r="Q5144" i="3"/>
  <c r="Q5143" i="3"/>
  <c r="Q5142" i="3"/>
  <c r="Q5141" i="3"/>
  <c r="Q5140" i="3"/>
  <c r="Q5139" i="3"/>
  <c r="Q5138" i="3"/>
  <c r="Q5137" i="3"/>
  <c r="Q5136" i="3"/>
  <c r="Q5135" i="3"/>
  <c r="Q5134" i="3"/>
  <c r="Q5133" i="3"/>
  <c r="Q5132" i="3"/>
  <c r="Q5131" i="3"/>
  <c r="Q5130" i="3"/>
  <c r="Q5129" i="3"/>
  <c r="Q5128" i="3"/>
  <c r="Q5127" i="3"/>
  <c r="Q5126" i="3"/>
  <c r="Q5125" i="3"/>
  <c r="Q5124" i="3"/>
  <c r="Q5123" i="3"/>
  <c r="Q5122" i="3"/>
  <c r="Q5121" i="3"/>
  <c r="Q5120" i="3"/>
  <c r="Q5119" i="3"/>
  <c r="Q5118" i="3"/>
  <c r="Q5117" i="3"/>
  <c r="Q5116" i="3"/>
  <c r="Q5115" i="3"/>
  <c r="Q5114" i="3"/>
  <c r="Q5113" i="3"/>
  <c r="Q5112" i="3"/>
  <c r="Q5111" i="3"/>
  <c r="Q5110" i="3"/>
  <c r="Q5109" i="3"/>
  <c r="Q5108" i="3"/>
  <c r="Q5107" i="3"/>
  <c r="Q5106" i="3"/>
  <c r="Q5105" i="3"/>
  <c r="Q5104" i="3"/>
  <c r="Q5103" i="3"/>
  <c r="Q5102" i="3"/>
  <c r="Q5101" i="3"/>
  <c r="Q5100" i="3"/>
  <c r="Q5099" i="3"/>
  <c r="Q5098" i="3"/>
  <c r="Q5097" i="3"/>
  <c r="Q5096" i="3"/>
  <c r="Q5095" i="3"/>
  <c r="Q5094" i="3"/>
  <c r="Q5093" i="3"/>
  <c r="Q5092" i="3"/>
  <c r="Q5091" i="3"/>
  <c r="Q5090" i="3"/>
  <c r="Q5089" i="3"/>
  <c r="Q5088" i="3"/>
  <c r="Q5087" i="3"/>
  <c r="Q5086" i="3"/>
  <c r="Q5085" i="3"/>
  <c r="Q5084" i="3"/>
  <c r="Q5083" i="3"/>
  <c r="Q5082" i="3"/>
  <c r="Q5081" i="3"/>
  <c r="Q5080" i="3"/>
  <c r="Q5079" i="3"/>
  <c r="Q5078" i="3"/>
  <c r="Q5077" i="3"/>
  <c r="Q5076" i="3"/>
  <c r="Q5075" i="3"/>
  <c r="Q5074" i="3"/>
  <c r="Q5073" i="3"/>
  <c r="Q5072" i="3"/>
  <c r="Q5071" i="3"/>
  <c r="Q5070" i="3"/>
  <c r="Q5069" i="3"/>
  <c r="Q5068" i="3"/>
  <c r="Q5067" i="3"/>
  <c r="Q5066" i="3"/>
  <c r="Q5065" i="3"/>
  <c r="Q5064" i="3"/>
  <c r="Q5063" i="3"/>
  <c r="Q5062" i="3"/>
  <c r="Q5061" i="3"/>
  <c r="Q5060" i="3"/>
  <c r="Q5059" i="3"/>
  <c r="Q5058" i="3"/>
  <c r="Q5057" i="3"/>
  <c r="Q5056" i="3"/>
  <c r="Q5055" i="3"/>
  <c r="Q5054" i="3"/>
  <c r="Q5053" i="3"/>
  <c r="Q5052" i="3"/>
  <c r="Q5051" i="3"/>
  <c r="Q5050" i="3"/>
  <c r="Q5049" i="3"/>
  <c r="Q5048" i="3"/>
  <c r="Q5047" i="3"/>
  <c r="Q5046" i="3"/>
  <c r="Q5045" i="3"/>
  <c r="Q5044" i="3"/>
  <c r="Q5043" i="3"/>
  <c r="Q5042" i="3"/>
  <c r="Q5041" i="3"/>
  <c r="Q5040" i="3"/>
  <c r="Q5039" i="3"/>
  <c r="Q5038" i="3"/>
  <c r="Q5037" i="3"/>
  <c r="Q5036" i="3"/>
  <c r="Q5035" i="3"/>
  <c r="Q5034" i="3"/>
  <c r="Q5033" i="3"/>
  <c r="Q5032" i="3"/>
  <c r="Q5031" i="3"/>
  <c r="Q5030" i="3"/>
  <c r="Q5029" i="3"/>
  <c r="Q5028" i="3"/>
  <c r="Q5027" i="3"/>
  <c r="Q5026" i="3"/>
  <c r="Q5025" i="3"/>
  <c r="Q5024" i="3"/>
  <c r="Q5023" i="3"/>
  <c r="Q5022" i="3"/>
  <c r="Q5021" i="3"/>
  <c r="Q5020" i="3"/>
  <c r="Q5019" i="3"/>
  <c r="Q5018" i="3"/>
  <c r="Q5017" i="3"/>
  <c r="Q5016" i="3"/>
  <c r="Q5015" i="3"/>
  <c r="Q5014" i="3"/>
  <c r="Q5013" i="3"/>
  <c r="Q5012" i="3"/>
  <c r="Q5011" i="3"/>
  <c r="Q5010" i="3"/>
  <c r="Q5009" i="3"/>
  <c r="Q5008" i="3"/>
  <c r="Q5007" i="3"/>
  <c r="Q5006" i="3"/>
  <c r="Q5005" i="3"/>
  <c r="Q5004" i="3"/>
  <c r="Q5003" i="3"/>
  <c r="Q5002" i="3"/>
  <c r="Q5001" i="3"/>
  <c r="Q5000" i="3"/>
  <c r="Q4999" i="3"/>
  <c r="Q4998" i="3"/>
  <c r="Q4997" i="3"/>
  <c r="Q4996" i="3"/>
  <c r="Q4995" i="3"/>
  <c r="Q4994" i="3"/>
  <c r="Q4993" i="3"/>
  <c r="Q4992" i="3"/>
  <c r="Q4991" i="3"/>
  <c r="Q4990" i="3"/>
  <c r="Q4989" i="3"/>
  <c r="Q4988" i="3"/>
  <c r="Q4987" i="3"/>
  <c r="Q4986" i="3"/>
  <c r="Q4985" i="3"/>
  <c r="Q4984" i="3"/>
  <c r="Q4983" i="3"/>
  <c r="Q4982" i="3"/>
  <c r="Q4981" i="3"/>
  <c r="Q4980" i="3"/>
  <c r="Q4979" i="3"/>
  <c r="Q4978" i="3"/>
  <c r="Q4977" i="3"/>
  <c r="Q4976" i="3"/>
  <c r="Q4975" i="3"/>
  <c r="Q4974" i="3"/>
  <c r="Q4973" i="3"/>
  <c r="Q4972" i="3"/>
  <c r="Q4971" i="3"/>
  <c r="Q4970" i="3"/>
  <c r="Q4969" i="3"/>
  <c r="Q4968" i="3"/>
  <c r="Q4967" i="3"/>
  <c r="Q4966" i="3"/>
  <c r="Q4965" i="3"/>
  <c r="Q4964" i="3"/>
  <c r="Q4963" i="3"/>
  <c r="Q4962" i="3"/>
  <c r="Q4961" i="3"/>
  <c r="Q4960" i="3"/>
  <c r="Q4959" i="3"/>
  <c r="Q4958" i="3"/>
  <c r="Q4957" i="3"/>
  <c r="Q4956" i="3"/>
  <c r="Q4955" i="3"/>
  <c r="Q4954" i="3"/>
  <c r="Q4953" i="3"/>
  <c r="Q4952" i="3"/>
  <c r="Q4951" i="3"/>
  <c r="Q4950" i="3"/>
  <c r="Q4949" i="3"/>
  <c r="Q4948" i="3"/>
  <c r="Q4947" i="3"/>
  <c r="Q4946" i="3"/>
  <c r="Q4945" i="3"/>
  <c r="Q4944" i="3"/>
  <c r="Q4943" i="3"/>
  <c r="Q4942" i="3"/>
  <c r="Q4941" i="3"/>
  <c r="Q4940" i="3"/>
  <c r="Q4939" i="3"/>
  <c r="Q4938" i="3"/>
  <c r="Q4937" i="3"/>
  <c r="Q4936" i="3"/>
  <c r="Q4935" i="3"/>
  <c r="Q4934" i="3"/>
  <c r="Q4933" i="3"/>
  <c r="Q4932" i="3"/>
  <c r="Q4931" i="3"/>
  <c r="Q4930" i="3"/>
  <c r="Q4929" i="3"/>
  <c r="Q4928" i="3"/>
  <c r="Q4927" i="3"/>
  <c r="Q4926" i="3"/>
  <c r="Q4925" i="3"/>
  <c r="Q4924" i="3"/>
  <c r="Q4923" i="3"/>
  <c r="Q4922" i="3"/>
  <c r="Q4921" i="3"/>
  <c r="Q4920" i="3"/>
  <c r="Q4919" i="3"/>
  <c r="Q4918" i="3"/>
  <c r="Q4917" i="3"/>
  <c r="Q4916" i="3"/>
  <c r="Q4915" i="3"/>
  <c r="Q4914" i="3"/>
  <c r="Q4913" i="3"/>
  <c r="Q4912" i="3"/>
  <c r="Q4911" i="3"/>
  <c r="Q4910" i="3"/>
  <c r="Q4909" i="3"/>
  <c r="Q4908" i="3"/>
  <c r="Q4907" i="3"/>
  <c r="Q4906" i="3"/>
  <c r="Q4905" i="3"/>
  <c r="Q4904" i="3"/>
  <c r="Q4903" i="3"/>
  <c r="Q4902" i="3"/>
  <c r="Q4901" i="3"/>
  <c r="Q4900" i="3"/>
  <c r="Q4899" i="3"/>
  <c r="Q4898" i="3"/>
  <c r="Q4897" i="3"/>
  <c r="Q4896" i="3"/>
  <c r="Q4895" i="3"/>
  <c r="Q4894" i="3"/>
  <c r="Q4893" i="3"/>
  <c r="Q4892" i="3"/>
  <c r="Q4891" i="3"/>
  <c r="Q4890" i="3"/>
  <c r="Q4889" i="3"/>
  <c r="Q4888" i="3"/>
  <c r="Q4887" i="3"/>
  <c r="Q4886" i="3"/>
  <c r="Q4885" i="3"/>
  <c r="Q4884" i="3"/>
  <c r="Q4883" i="3"/>
  <c r="Q4882" i="3"/>
  <c r="Q4881" i="3"/>
  <c r="Q4880" i="3"/>
  <c r="Q4879" i="3"/>
  <c r="Q4878" i="3"/>
  <c r="Q4877" i="3"/>
  <c r="Q4876" i="3"/>
  <c r="Q4875" i="3"/>
  <c r="Q4874" i="3"/>
  <c r="Q4873" i="3"/>
  <c r="Q4872" i="3"/>
  <c r="Q4871" i="3"/>
  <c r="Q4870" i="3"/>
  <c r="Q4869" i="3"/>
  <c r="Q4868" i="3"/>
  <c r="Q4867" i="3"/>
  <c r="Q4866" i="3"/>
  <c r="Q4865" i="3"/>
  <c r="Q4864" i="3"/>
  <c r="Q4863" i="3"/>
  <c r="Q4862" i="3"/>
  <c r="Q4861" i="3"/>
  <c r="Q4860" i="3"/>
  <c r="Q4859" i="3"/>
  <c r="Q4858" i="3"/>
  <c r="Q4857" i="3"/>
  <c r="Q4856" i="3"/>
  <c r="Q4855" i="3"/>
  <c r="Q4854" i="3"/>
  <c r="Q4853" i="3"/>
  <c r="Q4852" i="3"/>
  <c r="Q4851" i="3"/>
  <c r="Q4850" i="3"/>
  <c r="Q4849" i="3"/>
  <c r="Q4848" i="3"/>
  <c r="Q4847" i="3"/>
  <c r="Q4846" i="3"/>
  <c r="Q4845" i="3"/>
  <c r="Q4844" i="3"/>
  <c r="Q4843" i="3"/>
  <c r="Q4842" i="3"/>
  <c r="Q4841" i="3"/>
  <c r="Q4840" i="3"/>
  <c r="Q4839" i="3"/>
  <c r="Q4838" i="3"/>
  <c r="Q4837" i="3"/>
  <c r="Q4836" i="3"/>
  <c r="Q4835" i="3"/>
  <c r="Q4834" i="3"/>
  <c r="Q4833" i="3"/>
  <c r="Q4832" i="3"/>
  <c r="Q4831" i="3"/>
  <c r="Q4830" i="3"/>
  <c r="Q4829" i="3"/>
  <c r="Q4828" i="3"/>
  <c r="Q4827" i="3"/>
  <c r="Q4826" i="3"/>
  <c r="Q4825" i="3"/>
  <c r="Q4824" i="3"/>
  <c r="Q4823" i="3"/>
  <c r="Q4822" i="3"/>
  <c r="Q4821" i="3"/>
  <c r="Q4820" i="3"/>
  <c r="Q4819" i="3"/>
  <c r="Q4818" i="3"/>
  <c r="Q4817" i="3"/>
  <c r="Q4816" i="3"/>
  <c r="Q4815" i="3"/>
  <c r="Q4814" i="3"/>
  <c r="Q4813" i="3"/>
  <c r="Q4812" i="3"/>
  <c r="Q4811" i="3"/>
  <c r="Q4810" i="3"/>
  <c r="Q4809" i="3"/>
  <c r="Q4808" i="3"/>
  <c r="Q4807" i="3"/>
  <c r="Q4806" i="3"/>
  <c r="Q4805" i="3"/>
  <c r="Q4804" i="3"/>
  <c r="Q4803" i="3"/>
  <c r="Q4802" i="3"/>
  <c r="Q4801" i="3"/>
  <c r="Q4800" i="3"/>
  <c r="Q4799" i="3"/>
  <c r="Q4798" i="3"/>
  <c r="Q4797" i="3"/>
  <c r="Q4796" i="3"/>
  <c r="Q4795" i="3"/>
  <c r="Q4794" i="3"/>
  <c r="Q4793" i="3"/>
  <c r="Q4792" i="3"/>
  <c r="Q4791" i="3"/>
  <c r="Q4790" i="3"/>
  <c r="Q4789" i="3"/>
  <c r="Q4788" i="3"/>
  <c r="Q4787" i="3"/>
  <c r="Q4786" i="3"/>
  <c r="Q4785" i="3"/>
  <c r="Q4784" i="3"/>
  <c r="Q4783" i="3"/>
  <c r="Q4782" i="3"/>
  <c r="Q4781" i="3"/>
  <c r="Q4780" i="3"/>
  <c r="Q4779" i="3"/>
  <c r="Q4778" i="3"/>
  <c r="Q4777" i="3"/>
  <c r="Q4776" i="3"/>
  <c r="Q4775" i="3"/>
  <c r="Q4774" i="3"/>
  <c r="Q4773" i="3"/>
  <c r="Q4772" i="3"/>
  <c r="Q4771" i="3"/>
  <c r="Q4770" i="3"/>
  <c r="Q4769" i="3"/>
  <c r="Q4768" i="3"/>
  <c r="Q4767" i="3"/>
  <c r="Q4766" i="3"/>
  <c r="Q4765" i="3"/>
  <c r="Q4764" i="3"/>
  <c r="Q4763" i="3"/>
  <c r="Q4762" i="3"/>
  <c r="Q4761" i="3"/>
  <c r="Q4760" i="3"/>
  <c r="Q4759" i="3"/>
  <c r="Q4758" i="3"/>
  <c r="Q4757" i="3"/>
  <c r="Q4756" i="3"/>
  <c r="Q4755" i="3"/>
  <c r="Q4754" i="3"/>
  <c r="Q4753" i="3"/>
  <c r="Q4752" i="3"/>
  <c r="Q4751" i="3"/>
  <c r="Q4750" i="3"/>
  <c r="Q4749" i="3"/>
  <c r="Q4748" i="3"/>
  <c r="Q4747" i="3"/>
  <c r="Q4746" i="3"/>
  <c r="Q4745" i="3"/>
  <c r="Q4744" i="3"/>
  <c r="Q4743" i="3"/>
  <c r="Q4742" i="3"/>
  <c r="Q4741" i="3"/>
  <c r="Q4740" i="3"/>
  <c r="Q4739" i="3"/>
  <c r="Q4738" i="3"/>
  <c r="Q4737" i="3"/>
  <c r="Q4736" i="3"/>
  <c r="Q4735" i="3"/>
  <c r="Q4734" i="3"/>
  <c r="Q4733" i="3"/>
  <c r="Q4732" i="3"/>
  <c r="Q4731" i="3"/>
  <c r="Q4730" i="3"/>
  <c r="Q4729" i="3"/>
  <c r="Q4728" i="3"/>
  <c r="Q4727" i="3"/>
  <c r="Q4726" i="3"/>
  <c r="Q4725" i="3"/>
  <c r="Q4724" i="3"/>
  <c r="Q4723" i="3"/>
  <c r="Q4722" i="3"/>
  <c r="Q4721" i="3"/>
  <c r="Q4720" i="3"/>
  <c r="Q4719" i="3"/>
  <c r="Q4718" i="3"/>
  <c r="Q4717" i="3"/>
  <c r="Q4716" i="3"/>
  <c r="Q4715" i="3"/>
  <c r="Q4714" i="3"/>
  <c r="Q4713" i="3"/>
  <c r="Q4712" i="3"/>
  <c r="Q4711" i="3"/>
  <c r="Q4710" i="3"/>
  <c r="Q4709" i="3"/>
  <c r="Q4708" i="3"/>
  <c r="Q4707" i="3"/>
  <c r="Q4706" i="3"/>
  <c r="Q4705" i="3"/>
  <c r="Q4704" i="3"/>
  <c r="Q4703" i="3"/>
  <c r="Q4702" i="3"/>
  <c r="Q4701" i="3"/>
  <c r="Q4700" i="3"/>
  <c r="Q4699" i="3"/>
  <c r="Q4698" i="3"/>
  <c r="Q4697" i="3"/>
  <c r="Q4696" i="3"/>
  <c r="Q4695" i="3"/>
  <c r="Q4694" i="3"/>
  <c r="Q4693" i="3"/>
  <c r="Q4692" i="3"/>
  <c r="Q4691" i="3"/>
  <c r="Q4690" i="3"/>
  <c r="Q4689" i="3"/>
  <c r="Q4688" i="3"/>
  <c r="Q4687" i="3"/>
  <c r="Q4686" i="3"/>
  <c r="Q4685" i="3"/>
  <c r="Q4684" i="3"/>
  <c r="Q4683" i="3"/>
  <c r="Q4682" i="3"/>
  <c r="Q4681" i="3"/>
  <c r="Q4680" i="3"/>
  <c r="Q4679" i="3"/>
  <c r="Q4678" i="3"/>
  <c r="Q4677" i="3"/>
  <c r="Q4676" i="3"/>
  <c r="Q4675" i="3"/>
  <c r="Q4674" i="3"/>
  <c r="Q4673" i="3"/>
  <c r="Q4672" i="3"/>
  <c r="Q4671" i="3"/>
  <c r="Q4670" i="3"/>
  <c r="Q4669" i="3"/>
  <c r="Q4668" i="3"/>
  <c r="Q4667" i="3"/>
  <c r="Q4666" i="3"/>
  <c r="Q4665" i="3"/>
  <c r="Q4664" i="3"/>
  <c r="Q4663" i="3"/>
  <c r="Q4662" i="3"/>
  <c r="Q4661" i="3"/>
  <c r="Q4660" i="3"/>
  <c r="Q4659" i="3"/>
  <c r="Q4658" i="3"/>
  <c r="Q4657" i="3"/>
  <c r="Q4656" i="3"/>
  <c r="Q4655" i="3"/>
  <c r="Q4654" i="3"/>
  <c r="Q4653" i="3"/>
  <c r="Q4652" i="3"/>
  <c r="Q4651" i="3"/>
  <c r="Q4650" i="3"/>
  <c r="Q4649" i="3"/>
  <c r="Q4648" i="3"/>
  <c r="Q4647" i="3"/>
  <c r="Q4646" i="3"/>
  <c r="Q4645" i="3"/>
  <c r="Q4644" i="3"/>
  <c r="Q4643" i="3"/>
  <c r="Q4642" i="3"/>
  <c r="Q4641" i="3"/>
  <c r="Q4640" i="3"/>
  <c r="Q4639" i="3"/>
  <c r="Q4638" i="3"/>
  <c r="Q4637" i="3"/>
  <c r="Q4636" i="3"/>
  <c r="Q4635" i="3"/>
  <c r="Q4634" i="3"/>
  <c r="Q4633" i="3"/>
  <c r="Q4632" i="3"/>
  <c r="Q4631" i="3"/>
  <c r="Q4630" i="3"/>
  <c r="Q4629" i="3"/>
  <c r="Q4628" i="3"/>
  <c r="Q4627" i="3"/>
  <c r="Q4626" i="3"/>
  <c r="Q4625" i="3"/>
  <c r="Q4624" i="3"/>
  <c r="Q4623" i="3"/>
  <c r="Q4622" i="3"/>
  <c r="Q4621" i="3"/>
  <c r="Q4620" i="3"/>
  <c r="Q4619" i="3"/>
  <c r="Q4618" i="3"/>
  <c r="Q4617" i="3"/>
  <c r="Q4616" i="3"/>
  <c r="Q4615" i="3"/>
  <c r="Q4614" i="3"/>
  <c r="Q4613" i="3"/>
  <c r="Q4612" i="3"/>
  <c r="Q4611" i="3"/>
  <c r="Q4610" i="3"/>
  <c r="Q4609" i="3"/>
  <c r="Q4608" i="3"/>
  <c r="Q4607" i="3"/>
  <c r="Q4606" i="3"/>
  <c r="Q4605" i="3"/>
  <c r="Q4604" i="3"/>
  <c r="Q4603" i="3"/>
  <c r="Q4602" i="3"/>
  <c r="Q4601" i="3"/>
  <c r="Q4600" i="3"/>
  <c r="Q4599" i="3"/>
  <c r="Q4598" i="3"/>
  <c r="Q4597" i="3"/>
  <c r="Q4596" i="3"/>
  <c r="Q4595" i="3"/>
  <c r="Q4594" i="3"/>
  <c r="Q4593" i="3"/>
  <c r="Q4592" i="3"/>
  <c r="Q4591" i="3"/>
  <c r="Q4590" i="3"/>
  <c r="Q4589" i="3"/>
  <c r="Q4588" i="3"/>
  <c r="Q4587" i="3"/>
  <c r="Q4586" i="3"/>
  <c r="Q4585" i="3"/>
  <c r="Q4584" i="3"/>
  <c r="Q4583" i="3"/>
  <c r="Q4582" i="3"/>
  <c r="Q4581" i="3"/>
  <c r="Q4580" i="3"/>
  <c r="Q4579" i="3"/>
  <c r="Q4578" i="3"/>
  <c r="Q4577" i="3"/>
  <c r="Q4576" i="3"/>
  <c r="Q4575" i="3"/>
  <c r="Q4574" i="3"/>
  <c r="Q4573" i="3"/>
  <c r="Q4572" i="3"/>
  <c r="Q4571" i="3"/>
  <c r="Q4570" i="3"/>
  <c r="Q4569" i="3"/>
  <c r="Q4568" i="3"/>
  <c r="Q4567" i="3"/>
  <c r="Q4566" i="3"/>
  <c r="Q4565" i="3"/>
  <c r="Q4564" i="3"/>
  <c r="Q4563" i="3"/>
  <c r="Q4562" i="3"/>
  <c r="Q4561" i="3"/>
  <c r="Q4560" i="3"/>
  <c r="Q4559" i="3"/>
  <c r="Q4558" i="3"/>
  <c r="Q4557" i="3"/>
  <c r="Q4556" i="3"/>
  <c r="Q4555" i="3"/>
  <c r="Q4554" i="3"/>
  <c r="Q4553" i="3"/>
  <c r="Q4552" i="3"/>
  <c r="Q4551" i="3"/>
  <c r="Q4550" i="3"/>
  <c r="Q4549" i="3"/>
  <c r="Q4548" i="3"/>
  <c r="Q4547" i="3"/>
  <c r="Q4546" i="3"/>
  <c r="Q4545" i="3"/>
  <c r="Q4544" i="3"/>
  <c r="Q4543" i="3"/>
  <c r="Q4542" i="3"/>
  <c r="Q4541" i="3"/>
  <c r="Q4540" i="3"/>
  <c r="Q4539" i="3"/>
  <c r="Q4538" i="3"/>
  <c r="Q4537" i="3"/>
  <c r="Q4536" i="3"/>
  <c r="Q4535" i="3"/>
  <c r="Q4534" i="3"/>
  <c r="Q4533" i="3"/>
  <c r="Q4532" i="3"/>
  <c r="Q4531" i="3"/>
  <c r="Q4530" i="3"/>
  <c r="Q4529" i="3"/>
  <c r="Q4528" i="3"/>
  <c r="Q4527" i="3"/>
  <c r="Q4526" i="3"/>
  <c r="Q4525" i="3"/>
  <c r="Q4524" i="3"/>
  <c r="Q4523" i="3"/>
  <c r="Q4522" i="3"/>
  <c r="Q4521" i="3"/>
  <c r="Q4520" i="3"/>
  <c r="Q4519" i="3"/>
  <c r="Q4518" i="3"/>
  <c r="Q4517" i="3"/>
  <c r="Q4516" i="3"/>
  <c r="Q4515" i="3"/>
  <c r="Q4514" i="3"/>
  <c r="Q4513" i="3"/>
  <c r="Q4512" i="3"/>
  <c r="Q4511" i="3"/>
  <c r="Q4510" i="3"/>
  <c r="Q4509" i="3"/>
  <c r="Q4508" i="3"/>
  <c r="Q4507" i="3"/>
  <c r="Q4506" i="3"/>
  <c r="Q4505" i="3"/>
  <c r="Q4504" i="3"/>
  <c r="Q4503" i="3"/>
  <c r="Q4502" i="3"/>
  <c r="Q4501" i="3"/>
  <c r="Q4500" i="3"/>
  <c r="Q4499" i="3"/>
  <c r="Q4498" i="3"/>
  <c r="Q4497" i="3"/>
  <c r="Q4496" i="3"/>
  <c r="Q4495" i="3"/>
  <c r="Q4494" i="3"/>
  <c r="Q4493" i="3"/>
  <c r="Q4492" i="3"/>
  <c r="Q4491" i="3"/>
  <c r="Q4490" i="3"/>
  <c r="Q4489" i="3"/>
  <c r="Q4488" i="3"/>
  <c r="Q4487" i="3"/>
  <c r="Q4486" i="3"/>
  <c r="Q4485" i="3"/>
  <c r="Q4484" i="3"/>
  <c r="Q4483" i="3"/>
  <c r="Q4482" i="3"/>
  <c r="Q4481" i="3"/>
  <c r="Q4480" i="3"/>
  <c r="Q4479" i="3"/>
  <c r="Q4478" i="3"/>
  <c r="Q4477" i="3"/>
  <c r="Q4476" i="3"/>
  <c r="Q4475" i="3"/>
  <c r="Q4474" i="3"/>
  <c r="Q4473" i="3"/>
  <c r="Q4472" i="3"/>
  <c r="Q4471" i="3"/>
  <c r="Q4470" i="3"/>
  <c r="Q4469" i="3"/>
  <c r="Q4468" i="3"/>
  <c r="Q4467" i="3"/>
  <c r="Q4466" i="3"/>
  <c r="Q4465" i="3"/>
  <c r="Q4464" i="3"/>
  <c r="Q4463" i="3"/>
  <c r="Q4462" i="3"/>
  <c r="Q4461" i="3"/>
  <c r="Q4460" i="3"/>
  <c r="Q4459" i="3"/>
  <c r="Q4458" i="3"/>
  <c r="Q4457" i="3"/>
  <c r="Q4456" i="3"/>
  <c r="Q4455" i="3"/>
  <c r="Q4454" i="3"/>
  <c r="Q4453" i="3"/>
  <c r="Q4452" i="3"/>
  <c r="Q4451" i="3"/>
  <c r="Q4450" i="3"/>
  <c r="Q4449" i="3"/>
  <c r="Q4448" i="3"/>
  <c r="Q4447" i="3"/>
  <c r="Q4446" i="3"/>
  <c r="Q4445" i="3"/>
  <c r="Q4444" i="3"/>
  <c r="Q4443" i="3"/>
  <c r="Q4442" i="3"/>
  <c r="Q4441" i="3"/>
  <c r="Q4440" i="3"/>
  <c r="Q4439" i="3"/>
  <c r="Q4438" i="3"/>
  <c r="Q4437" i="3"/>
  <c r="Q4436" i="3"/>
  <c r="Q4435" i="3"/>
  <c r="Q4434" i="3"/>
  <c r="Q4433" i="3"/>
  <c r="Q4432" i="3"/>
  <c r="Q4431" i="3"/>
  <c r="Q4430" i="3"/>
  <c r="Q4429" i="3"/>
  <c r="Q4428" i="3"/>
  <c r="Q4427" i="3"/>
  <c r="Q4426" i="3"/>
  <c r="Q4425" i="3"/>
  <c r="Q4424" i="3"/>
  <c r="Q4423" i="3"/>
  <c r="Q4422" i="3"/>
  <c r="Q4421" i="3"/>
  <c r="Q4420" i="3"/>
  <c r="Q4419" i="3"/>
  <c r="Q4418" i="3"/>
  <c r="Q4417" i="3"/>
  <c r="Q4416" i="3"/>
  <c r="Q4415" i="3"/>
  <c r="Q4414" i="3"/>
  <c r="Q4413" i="3"/>
  <c r="Q4412" i="3"/>
  <c r="Q4411" i="3"/>
  <c r="Q4410" i="3"/>
  <c r="Q4409" i="3"/>
  <c r="Q4408" i="3"/>
  <c r="Q4407" i="3"/>
  <c r="Q4406" i="3"/>
  <c r="Q4405" i="3"/>
  <c r="Q4404" i="3"/>
  <c r="Q4403" i="3"/>
  <c r="Q4402" i="3"/>
  <c r="Q4401" i="3"/>
  <c r="Q4400" i="3"/>
  <c r="Q4399" i="3"/>
  <c r="Q4398" i="3"/>
  <c r="Q4397" i="3"/>
  <c r="Q4396" i="3"/>
  <c r="Q4395" i="3"/>
  <c r="Q4394" i="3"/>
  <c r="Q4393" i="3"/>
  <c r="Q4392" i="3"/>
  <c r="Q4391" i="3"/>
  <c r="Q4390" i="3"/>
  <c r="Q4389" i="3"/>
  <c r="Q4388" i="3"/>
  <c r="Q4387" i="3"/>
  <c r="Q4386" i="3"/>
  <c r="Q4385" i="3"/>
  <c r="Q4384" i="3"/>
  <c r="Q4383" i="3"/>
  <c r="Q4382" i="3"/>
  <c r="Q4381" i="3"/>
  <c r="Q4380" i="3"/>
  <c r="Q4379" i="3"/>
  <c r="Q4378" i="3"/>
  <c r="Q4377" i="3"/>
  <c r="Q4376" i="3"/>
  <c r="Q4375" i="3"/>
  <c r="Q4374" i="3"/>
  <c r="Q4373" i="3"/>
  <c r="Q4372" i="3"/>
  <c r="Q4371" i="3"/>
  <c r="Q4370" i="3"/>
  <c r="Q4369" i="3"/>
  <c r="Q4368" i="3"/>
  <c r="Q4367" i="3"/>
  <c r="Q4366" i="3"/>
  <c r="Q4365" i="3"/>
  <c r="Q4364" i="3"/>
  <c r="Q4363" i="3"/>
  <c r="Q4362" i="3"/>
  <c r="Q4361" i="3"/>
  <c r="Q4360" i="3"/>
  <c r="Q4359" i="3"/>
  <c r="Q4358" i="3"/>
  <c r="Q4357" i="3"/>
  <c r="Q4356" i="3"/>
  <c r="Q4355" i="3"/>
  <c r="Q4354" i="3"/>
  <c r="Q4353" i="3"/>
  <c r="Q4352" i="3"/>
  <c r="Q4351" i="3"/>
  <c r="Q4350" i="3"/>
  <c r="Q4349" i="3"/>
  <c r="Q4348" i="3"/>
  <c r="Q4347" i="3"/>
  <c r="Q4346" i="3"/>
  <c r="Q4345" i="3"/>
  <c r="Q4344" i="3"/>
  <c r="Q4343" i="3"/>
  <c r="Q4342" i="3"/>
  <c r="Q4341" i="3"/>
  <c r="Q4340" i="3"/>
  <c r="Q4339" i="3"/>
  <c r="Q4338" i="3"/>
  <c r="Q4337" i="3"/>
  <c r="Q4336" i="3"/>
  <c r="Q4335" i="3"/>
  <c r="Q4334" i="3"/>
  <c r="Q4333" i="3"/>
  <c r="Q4332" i="3"/>
  <c r="Q4331" i="3"/>
  <c r="Q4330" i="3"/>
  <c r="Q4329" i="3"/>
  <c r="Q4328" i="3"/>
  <c r="Q4327" i="3"/>
  <c r="Q4326" i="3"/>
  <c r="Q4325" i="3"/>
  <c r="Q4324" i="3"/>
  <c r="Q4323" i="3"/>
  <c r="Q4322" i="3"/>
  <c r="Q4321" i="3"/>
  <c r="Q4320" i="3"/>
  <c r="Q4319" i="3"/>
  <c r="Q4318" i="3"/>
  <c r="Q4317" i="3"/>
  <c r="Q4316" i="3"/>
  <c r="Q4315" i="3"/>
  <c r="Q4314" i="3"/>
  <c r="Q4313" i="3"/>
  <c r="Q4312" i="3"/>
  <c r="Q4311" i="3"/>
  <c r="Q4310" i="3"/>
  <c r="Q4309" i="3"/>
  <c r="Q4308" i="3"/>
  <c r="Q4307" i="3"/>
  <c r="Q4306" i="3"/>
  <c r="Q4305" i="3"/>
  <c r="Q4304" i="3"/>
  <c r="Q4303" i="3"/>
  <c r="Q4302" i="3"/>
  <c r="Q4301" i="3"/>
  <c r="Q4300" i="3"/>
  <c r="Q4299" i="3"/>
  <c r="Q4298" i="3"/>
  <c r="Q4297" i="3"/>
  <c r="Q4296" i="3"/>
  <c r="Q4295" i="3"/>
  <c r="Q4294" i="3"/>
  <c r="Q4293" i="3"/>
  <c r="Q4292" i="3"/>
  <c r="Q4291" i="3"/>
  <c r="Q4290" i="3"/>
  <c r="Q4289" i="3"/>
  <c r="Q4288" i="3"/>
  <c r="Q4287" i="3"/>
  <c r="Q4286" i="3"/>
  <c r="Q4285" i="3"/>
  <c r="Q4284" i="3"/>
  <c r="Q4283" i="3"/>
  <c r="Q4282" i="3"/>
  <c r="Q4281" i="3"/>
  <c r="Q4280" i="3"/>
  <c r="Q4279" i="3"/>
  <c r="Q4278" i="3"/>
  <c r="Q4277" i="3"/>
  <c r="Q4276" i="3"/>
  <c r="Q4275" i="3"/>
  <c r="Q4274" i="3"/>
  <c r="Q4273" i="3"/>
  <c r="Q4272" i="3"/>
  <c r="Q4271" i="3"/>
  <c r="Q4270" i="3"/>
  <c r="Q4269" i="3"/>
  <c r="Q4268" i="3"/>
  <c r="Q4267" i="3"/>
  <c r="Q4266" i="3"/>
  <c r="Q4265" i="3"/>
  <c r="Q4264" i="3"/>
  <c r="Q4263" i="3"/>
  <c r="Q4262" i="3"/>
  <c r="Q4261" i="3"/>
  <c r="Q4260" i="3"/>
  <c r="Q4259" i="3"/>
  <c r="Q4258" i="3"/>
  <c r="Q4257" i="3"/>
  <c r="Q4256" i="3"/>
  <c r="Q4255" i="3"/>
  <c r="Q4254" i="3"/>
  <c r="Q4253" i="3"/>
  <c r="Q4252" i="3"/>
  <c r="Q4251" i="3"/>
  <c r="Q4250" i="3"/>
  <c r="Q4249" i="3"/>
  <c r="Q4248" i="3"/>
  <c r="Q4247" i="3"/>
  <c r="Q4246" i="3"/>
  <c r="Q4245" i="3"/>
  <c r="Q4244" i="3"/>
  <c r="Q4243" i="3"/>
  <c r="Q4242" i="3"/>
  <c r="Q4241" i="3"/>
  <c r="Q4240" i="3"/>
  <c r="Q4239" i="3"/>
  <c r="Q4238" i="3"/>
  <c r="Q4237" i="3"/>
  <c r="Q4236" i="3"/>
  <c r="Q4235" i="3"/>
  <c r="Q4234" i="3"/>
  <c r="Q4233" i="3"/>
  <c r="Q4232" i="3"/>
  <c r="Q4231" i="3"/>
  <c r="Q4230" i="3"/>
  <c r="Q4229" i="3"/>
  <c r="Q4228" i="3"/>
  <c r="Q4227" i="3"/>
  <c r="Q4226" i="3"/>
  <c r="Q4225" i="3"/>
  <c r="Q4224" i="3"/>
  <c r="Q4223" i="3"/>
  <c r="Q4222" i="3"/>
  <c r="Q4221" i="3"/>
  <c r="Q4220" i="3"/>
  <c r="Q4219" i="3"/>
  <c r="Q4218" i="3"/>
  <c r="Q4217" i="3"/>
  <c r="Q4216" i="3"/>
  <c r="Q4215" i="3"/>
  <c r="Q4214" i="3"/>
  <c r="Q4213" i="3"/>
  <c r="Q4212" i="3"/>
  <c r="Q4211" i="3"/>
  <c r="Q4210" i="3"/>
  <c r="Q4209" i="3"/>
  <c r="Q4208" i="3"/>
  <c r="Q4207" i="3"/>
  <c r="Q4206" i="3"/>
  <c r="Q4205" i="3"/>
  <c r="Q4204" i="3"/>
  <c r="Q4203" i="3"/>
  <c r="Q4202" i="3"/>
  <c r="Q4201" i="3"/>
  <c r="Q4200" i="3"/>
  <c r="Q4199" i="3"/>
  <c r="Q4198" i="3"/>
  <c r="Q4197" i="3"/>
  <c r="Q4196" i="3"/>
  <c r="Q4195" i="3"/>
  <c r="Q4194" i="3"/>
  <c r="Q4193" i="3"/>
  <c r="Q4192" i="3"/>
  <c r="Q4191" i="3"/>
  <c r="Q4190" i="3"/>
  <c r="Q4189" i="3"/>
  <c r="Q4188" i="3"/>
  <c r="Q4187" i="3"/>
  <c r="Q4186" i="3"/>
  <c r="Q4185" i="3"/>
  <c r="Q4184" i="3"/>
  <c r="Q4183" i="3"/>
  <c r="Q4182" i="3"/>
  <c r="Q4181" i="3"/>
  <c r="Q4180" i="3"/>
  <c r="Q4179" i="3"/>
  <c r="Q4178" i="3"/>
  <c r="Q4177" i="3"/>
  <c r="Q4176" i="3"/>
  <c r="Q4175" i="3"/>
  <c r="Q4174" i="3"/>
  <c r="Q4173" i="3"/>
  <c r="Q4172" i="3"/>
  <c r="Q4171" i="3"/>
  <c r="Q4170" i="3"/>
  <c r="Q4169" i="3"/>
  <c r="Q4168" i="3"/>
  <c r="Q4167" i="3"/>
  <c r="Q4166" i="3"/>
  <c r="Q4165" i="3"/>
  <c r="Q4164" i="3"/>
  <c r="Q4163" i="3"/>
  <c r="Q4162" i="3"/>
  <c r="Q4161" i="3"/>
  <c r="Q4160" i="3"/>
  <c r="Q4159" i="3"/>
  <c r="Q4158" i="3"/>
  <c r="Q4157" i="3"/>
  <c r="Q4156" i="3"/>
  <c r="Q4155" i="3"/>
  <c r="Q4154" i="3"/>
  <c r="Q4153" i="3"/>
  <c r="Q4152" i="3"/>
  <c r="Q4151" i="3"/>
  <c r="Q4150" i="3"/>
  <c r="Q4149" i="3"/>
  <c r="Q4148" i="3"/>
  <c r="Q4147" i="3"/>
  <c r="Q4146" i="3"/>
  <c r="Q4145" i="3"/>
  <c r="Q4144" i="3"/>
  <c r="Q4143" i="3"/>
  <c r="Q4142" i="3"/>
  <c r="Q4141" i="3"/>
  <c r="Q4140" i="3"/>
  <c r="Q4139" i="3"/>
  <c r="Q4138" i="3"/>
  <c r="Q4137" i="3"/>
  <c r="Q4136" i="3"/>
  <c r="Q4135" i="3"/>
  <c r="Q4134" i="3"/>
  <c r="Q4133" i="3"/>
  <c r="Q4132" i="3"/>
  <c r="Q4131" i="3"/>
  <c r="Q4130" i="3"/>
  <c r="Q4129" i="3"/>
  <c r="Q4128" i="3"/>
  <c r="Q4127" i="3"/>
  <c r="Q4126" i="3"/>
  <c r="Q4125" i="3"/>
  <c r="Q4124" i="3"/>
  <c r="Q4123" i="3"/>
  <c r="Q4122" i="3"/>
  <c r="Q4121" i="3"/>
  <c r="Q4120" i="3"/>
  <c r="Q4119" i="3"/>
  <c r="Q4118" i="3"/>
  <c r="Q4117" i="3"/>
  <c r="Q4116" i="3"/>
  <c r="Q4115" i="3"/>
  <c r="Q4114" i="3"/>
  <c r="Q4113" i="3"/>
  <c r="Q4112" i="3"/>
  <c r="Q4111" i="3"/>
  <c r="Q4110" i="3"/>
  <c r="Q4109" i="3"/>
  <c r="Q4108" i="3"/>
  <c r="Q4107" i="3"/>
  <c r="Q4106" i="3"/>
  <c r="Q4105" i="3"/>
  <c r="Q4104" i="3"/>
  <c r="Q4103" i="3"/>
  <c r="Q4102" i="3"/>
  <c r="Q4101" i="3"/>
  <c r="Q4100" i="3"/>
  <c r="Q4099" i="3"/>
  <c r="Q4098" i="3"/>
  <c r="Q4097" i="3"/>
  <c r="Q4096" i="3"/>
  <c r="Q4095" i="3"/>
  <c r="Q4094" i="3"/>
  <c r="Q4093" i="3"/>
  <c r="Q4092" i="3"/>
  <c r="Q4091" i="3"/>
  <c r="Q4090" i="3"/>
  <c r="Q4089" i="3"/>
  <c r="Q4088" i="3"/>
  <c r="Q4087" i="3"/>
  <c r="Q4086" i="3"/>
  <c r="Q4085" i="3"/>
  <c r="Q4084" i="3"/>
  <c r="Q4083" i="3"/>
  <c r="Q4082" i="3"/>
  <c r="Q4081" i="3"/>
  <c r="Q4080" i="3"/>
  <c r="Q4079" i="3"/>
  <c r="Q4078" i="3"/>
  <c r="Q4077" i="3"/>
  <c r="Q4076" i="3"/>
  <c r="Q4075" i="3"/>
  <c r="Q4074" i="3"/>
  <c r="Q4073" i="3"/>
  <c r="Q4072" i="3"/>
  <c r="Q4071" i="3"/>
  <c r="Q4070" i="3"/>
  <c r="Q4069" i="3"/>
  <c r="Q4068" i="3"/>
  <c r="Q4067" i="3"/>
  <c r="Q4066" i="3"/>
  <c r="Q4065" i="3"/>
  <c r="Q4064" i="3"/>
  <c r="Q4063" i="3"/>
  <c r="Q4062" i="3"/>
  <c r="Q4061" i="3"/>
  <c r="Q4060" i="3"/>
  <c r="Q4059" i="3"/>
  <c r="Q4058" i="3"/>
  <c r="Q4057" i="3"/>
  <c r="Q4056" i="3"/>
  <c r="Q4055" i="3"/>
  <c r="Q4054" i="3"/>
  <c r="Q4053" i="3"/>
  <c r="Q4052" i="3"/>
  <c r="Q4051" i="3"/>
  <c r="Q4050" i="3"/>
  <c r="Q4049" i="3"/>
  <c r="Q4048" i="3"/>
  <c r="Q4047" i="3"/>
  <c r="Q4046" i="3"/>
  <c r="Q4045" i="3"/>
  <c r="Q4044" i="3"/>
  <c r="Q4043" i="3"/>
  <c r="Q4042" i="3"/>
  <c r="Q4041" i="3"/>
  <c r="Q4040" i="3"/>
  <c r="Q4039" i="3"/>
  <c r="Q4038" i="3"/>
  <c r="Q4037" i="3"/>
  <c r="Q4036" i="3"/>
  <c r="Q4035" i="3"/>
  <c r="Q4034" i="3"/>
  <c r="Q4033" i="3"/>
  <c r="Q4032" i="3"/>
  <c r="Q4031" i="3"/>
  <c r="Q4030" i="3"/>
  <c r="Q4029" i="3"/>
  <c r="Q4028" i="3"/>
  <c r="Q4027" i="3"/>
  <c r="Q4026" i="3"/>
  <c r="Q4025" i="3"/>
  <c r="Q4024" i="3"/>
  <c r="Q4023" i="3"/>
  <c r="Q4022" i="3"/>
  <c r="Q4021" i="3"/>
  <c r="Q4020" i="3"/>
  <c r="Q4019" i="3"/>
  <c r="Q4018" i="3"/>
  <c r="Q4017" i="3"/>
  <c r="Q4016" i="3"/>
  <c r="Q4015" i="3"/>
  <c r="Q4014" i="3"/>
  <c r="Q4013" i="3"/>
  <c r="Q4012" i="3"/>
  <c r="Q4011" i="3"/>
  <c r="Q4010" i="3"/>
  <c r="Q4009" i="3"/>
  <c r="Q4008" i="3"/>
  <c r="Q4007" i="3"/>
  <c r="Q4006" i="3"/>
  <c r="Q4005" i="3"/>
  <c r="Q4004" i="3"/>
  <c r="Q4003" i="3"/>
  <c r="Q4002" i="3"/>
  <c r="Q4001" i="3"/>
  <c r="Q4000" i="3"/>
  <c r="Q3999" i="3"/>
  <c r="Q3998" i="3"/>
  <c r="Q3997" i="3"/>
  <c r="Q3996" i="3"/>
  <c r="Q3995" i="3"/>
  <c r="Q3994" i="3"/>
  <c r="Q3993" i="3"/>
  <c r="Q3992" i="3"/>
  <c r="Q3991" i="3"/>
  <c r="Q3990" i="3"/>
  <c r="Q3989" i="3"/>
  <c r="Q3988" i="3"/>
  <c r="Q3987" i="3"/>
  <c r="Q3986" i="3"/>
  <c r="Q3985" i="3"/>
  <c r="Q3984" i="3"/>
  <c r="Q3983" i="3"/>
  <c r="Q3982" i="3"/>
  <c r="Q3981" i="3"/>
  <c r="Q3980" i="3"/>
  <c r="Q3979" i="3"/>
  <c r="Q3978" i="3"/>
  <c r="Q3977" i="3"/>
  <c r="Q3976" i="3"/>
  <c r="Q3975" i="3"/>
  <c r="Q3974" i="3"/>
  <c r="Q3973" i="3"/>
  <c r="Q3972" i="3"/>
  <c r="Q3971" i="3"/>
  <c r="Q3970" i="3"/>
  <c r="Q3969" i="3"/>
  <c r="Q3968" i="3"/>
  <c r="Q3967" i="3"/>
  <c r="Q3966" i="3"/>
  <c r="Q3965" i="3"/>
  <c r="Q3964" i="3"/>
  <c r="Q3963" i="3"/>
  <c r="Q3962" i="3"/>
  <c r="Q3961" i="3"/>
  <c r="Q3960" i="3"/>
  <c r="Q3959" i="3"/>
  <c r="Q3958" i="3"/>
  <c r="Q3957" i="3"/>
  <c r="Q3956" i="3"/>
  <c r="Q3955" i="3"/>
  <c r="Q3954" i="3"/>
  <c r="Q3953" i="3"/>
  <c r="Q3952" i="3"/>
  <c r="Q3951" i="3"/>
  <c r="Q3950" i="3"/>
  <c r="Q3949" i="3"/>
  <c r="Q3948" i="3"/>
  <c r="Q3947" i="3"/>
  <c r="Q3946" i="3"/>
  <c r="Q3945" i="3"/>
  <c r="Q3944" i="3"/>
  <c r="Q3943" i="3"/>
  <c r="Q3942" i="3"/>
  <c r="Q3941" i="3"/>
  <c r="Q3940" i="3"/>
  <c r="Q3939" i="3"/>
  <c r="Q3938" i="3"/>
  <c r="Q3937" i="3"/>
  <c r="Q3936" i="3"/>
  <c r="Q3935" i="3"/>
  <c r="Q3934" i="3"/>
  <c r="Q3933" i="3"/>
  <c r="Q3932" i="3"/>
  <c r="Q3931" i="3"/>
  <c r="Q3930" i="3"/>
  <c r="Q3929" i="3"/>
  <c r="Q3928" i="3"/>
  <c r="Q3927" i="3"/>
  <c r="Q3926" i="3"/>
  <c r="Q3925" i="3"/>
  <c r="Q3924" i="3"/>
  <c r="Q3923" i="3"/>
  <c r="Q3922" i="3"/>
  <c r="Q3921" i="3"/>
  <c r="Q3920" i="3"/>
  <c r="Q3919" i="3"/>
  <c r="Q3918" i="3"/>
  <c r="Q3917" i="3"/>
  <c r="Q3916" i="3"/>
  <c r="Q3915" i="3"/>
  <c r="Q3914" i="3"/>
  <c r="Q3913" i="3"/>
  <c r="Q3912" i="3"/>
  <c r="Q3911" i="3"/>
  <c r="Q3910" i="3"/>
  <c r="Q3909" i="3"/>
  <c r="Q3908" i="3"/>
  <c r="Q3907" i="3"/>
  <c r="Q3906" i="3"/>
  <c r="Q3905" i="3"/>
  <c r="Q3904" i="3"/>
  <c r="Q3903" i="3"/>
  <c r="Q3902" i="3"/>
  <c r="Q3901" i="3"/>
  <c r="Q3900" i="3"/>
  <c r="Q3899" i="3"/>
  <c r="Q3898" i="3"/>
  <c r="Q3897" i="3"/>
  <c r="Q3896" i="3"/>
  <c r="Q3895" i="3"/>
  <c r="Q3894" i="3"/>
  <c r="Q3893" i="3"/>
  <c r="Q3892" i="3"/>
  <c r="Q3891" i="3"/>
  <c r="Q3890" i="3"/>
  <c r="Q3889" i="3"/>
  <c r="Q3888" i="3"/>
  <c r="Q3887" i="3"/>
  <c r="Q3886" i="3"/>
  <c r="Q3885" i="3"/>
  <c r="Q3884" i="3"/>
  <c r="Q3883" i="3"/>
  <c r="Q3882" i="3"/>
  <c r="Q3881" i="3"/>
  <c r="Q3880" i="3"/>
  <c r="Q3879" i="3"/>
  <c r="Q3878" i="3"/>
  <c r="Q3877" i="3"/>
  <c r="Q3876" i="3"/>
  <c r="Q3875" i="3"/>
  <c r="Q3874" i="3"/>
  <c r="Q3873" i="3"/>
  <c r="Q3872" i="3"/>
  <c r="Q3871" i="3"/>
  <c r="Q3870" i="3"/>
  <c r="Q3869" i="3"/>
  <c r="Q3868" i="3"/>
  <c r="Q3867" i="3"/>
  <c r="Q3866" i="3"/>
  <c r="Q3865" i="3"/>
  <c r="Q3864" i="3"/>
  <c r="Q3863" i="3"/>
  <c r="Q3862" i="3"/>
  <c r="Q3861" i="3"/>
  <c r="Q3860" i="3"/>
  <c r="Q3859" i="3"/>
  <c r="Q3858" i="3"/>
  <c r="Q3857" i="3"/>
  <c r="Q3856" i="3"/>
  <c r="Q3855" i="3"/>
  <c r="Q3854" i="3"/>
  <c r="Q3853" i="3"/>
  <c r="Q3852" i="3"/>
  <c r="Q3851" i="3"/>
  <c r="Q3850" i="3"/>
  <c r="Q3849" i="3"/>
  <c r="Q3848" i="3"/>
  <c r="Q3847" i="3"/>
  <c r="Q3846" i="3"/>
  <c r="Q3845" i="3"/>
  <c r="Q3844" i="3"/>
  <c r="Q3843" i="3"/>
  <c r="Q3842" i="3"/>
  <c r="Q3841" i="3"/>
  <c r="Q3840" i="3"/>
  <c r="Q3839" i="3"/>
  <c r="Q3838" i="3"/>
  <c r="Q3837" i="3"/>
  <c r="Q3836" i="3"/>
  <c r="Q3835" i="3"/>
  <c r="Q3834" i="3"/>
  <c r="Q3833" i="3"/>
  <c r="Q3832" i="3"/>
  <c r="Q3831" i="3"/>
  <c r="Q3830" i="3"/>
  <c r="Q3829" i="3"/>
  <c r="Q3828" i="3"/>
  <c r="Q3827" i="3"/>
  <c r="Q3826" i="3"/>
  <c r="Q3825" i="3"/>
  <c r="Q3824" i="3"/>
  <c r="Q3823" i="3"/>
  <c r="Q3822" i="3"/>
  <c r="Q3821" i="3"/>
  <c r="Q3820" i="3"/>
  <c r="Q3819" i="3"/>
  <c r="Q3818" i="3"/>
  <c r="Q3817" i="3"/>
  <c r="Q3816" i="3"/>
  <c r="Q3815" i="3"/>
  <c r="Q3814" i="3"/>
  <c r="Q3813" i="3"/>
  <c r="Q3812" i="3"/>
  <c r="Q3811" i="3"/>
  <c r="Q3810" i="3"/>
  <c r="Q3809" i="3"/>
  <c r="Q3808" i="3"/>
  <c r="Q3807" i="3"/>
  <c r="Q3806" i="3"/>
  <c r="Q3805" i="3"/>
  <c r="Q3804" i="3"/>
  <c r="Q3803" i="3"/>
  <c r="Q3802" i="3"/>
  <c r="Q3801" i="3"/>
  <c r="Q3800" i="3"/>
  <c r="Q3799" i="3"/>
  <c r="Q3798" i="3"/>
  <c r="Q3797" i="3"/>
  <c r="Q3796" i="3"/>
  <c r="Q3795" i="3"/>
  <c r="Q3794" i="3"/>
  <c r="Q3793" i="3"/>
  <c r="Q3792" i="3"/>
  <c r="Q3791" i="3"/>
  <c r="Q3790" i="3"/>
  <c r="Q3789" i="3"/>
  <c r="Q3788" i="3"/>
  <c r="Q3787" i="3"/>
  <c r="Q3786" i="3"/>
  <c r="Q3785" i="3"/>
  <c r="Q3784" i="3"/>
  <c r="Q3783" i="3"/>
  <c r="Q3782" i="3"/>
  <c r="Q3781" i="3"/>
  <c r="Q3780" i="3"/>
  <c r="Q3779" i="3"/>
  <c r="Q3778" i="3"/>
  <c r="Q3777" i="3"/>
  <c r="Q3776" i="3"/>
  <c r="Q3775" i="3"/>
  <c r="Q3774" i="3"/>
  <c r="Q3773" i="3"/>
  <c r="Q3772" i="3"/>
  <c r="Q3771" i="3"/>
  <c r="Q3770" i="3"/>
  <c r="Q3769" i="3"/>
  <c r="Q3768" i="3"/>
  <c r="Q3767" i="3"/>
  <c r="Q3766" i="3"/>
  <c r="Q3765" i="3"/>
  <c r="Q3764" i="3"/>
  <c r="Q3763" i="3"/>
  <c r="Q3762" i="3"/>
  <c r="Q3761" i="3"/>
  <c r="Q3760" i="3"/>
  <c r="Q3759" i="3"/>
  <c r="Q3758" i="3"/>
  <c r="Q3757" i="3"/>
  <c r="Q3756" i="3"/>
  <c r="Q3755" i="3"/>
  <c r="Q3754" i="3"/>
  <c r="Q3753" i="3"/>
  <c r="Q3752" i="3"/>
  <c r="Q3751" i="3"/>
  <c r="Q3750" i="3"/>
  <c r="Q3749" i="3"/>
  <c r="Q3748" i="3"/>
  <c r="Q3747" i="3"/>
  <c r="Q3746" i="3"/>
  <c r="Q3745" i="3"/>
  <c r="Q3744" i="3"/>
  <c r="Q3743" i="3"/>
  <c r="Q3742" i="3"/>
  <c r="Q3741" i="3"/>
  <c r="Q3740" i="3"/>
  <c r="Q3739" i="3"/>
  <c r="Q3738" i="3"/>
  <c r="Q3737" i="3"/>
  <c r="Q3736" i="3"/>
  <c r="Q3735" i="3"/>
  <c r="Q3734" i="3"/>
  <c r="Q3733" i="3"/>
  <c r="Q3732" i="3"/>
  <c r="Q3731" i="3"/>
  <c r="Q3730" i="3"/>
  <c r="Q3729" i="3"/>
  <c r="Q3728" i="3"/>
  <c r="Q3727" i="3"/>
  <c r="Q3726" i="3"/>
  <c r="Q3725" i="3"/>
  <c r="Q3724" i="3"/>
  <c r="Q3723" i="3"/>
  <c r="Q3722" i="3"/>
  <c r="Q3721" i="3"/>
  <c r="Q3720" i="3"/>
  <c r="Q3719" i="3"/>
  <c r="Q3718" i="3"/>
  <c r="Q3717" i="3"/>
  <c r="Q3716" i="3"/>
  <c r="Q3715" i="3"/>
  <c r="Q3714" i="3"/>
  <c r="Q3713" i="3"/>
  <c r="Q3712" i="3"/>
  <c r="Q3711" i="3"/>
  <c r="Q3710" i="3"/>
  <c r="Q3709" i="3"/>
  <c r="Q3708" i="3"/>
  <c r="Q3707" i="3"/>
  <c r="Q3706" i="3"/>
  <c r="Q3705" i="3"/>
  <c r="Q3704" i="3"/>
  <c r="Q3703" i="3"/>
  <c r="Q3702" i="3"/>
  <c r="Q3701" i="3"/>
  <c r="Q3700" i="3"/>
  <c r="Q3699" i="3"/>
  <c r="Q3698" i="3"/>
  <c r="Q3697" i="3"/>
  <c r="Q3696" i="3"/>
  <c r="Q3695" i="3"/>
  <c r="Q3694" i="3"/>
  <c r="Q3693" i="3"/>
  <c r="Q3692" i="3"/>
  <c r="Q3691" i="3"/>
  <c r="Q3690" i="3"/>
  <c r="Q3689" i="3"/>
  <c r="Q3688" i="3"/>
  <c r="Q3687" i="3"/>
  <c r="Q3686" i="3"/>
  <c r="Q3685" i="3"/>
  <c r="Q3684" i="3"/>
  <c r="Q3683" i="3"/>
  <c r="Q3682" i="3"/>
  <c r="Q3681" i="3"/>
  <c r="Q3680" i="3"/>
  <c r="Q3679" i="3"/>
  <c r="Q3678" i="3"/>
  <c r="Q3677" i="3"/>
  <c r="Q3676" i="3"/>
  <c r="Q3675" i="3"/>
  <c r="Q3674" i="3"/>
  <c r="Q3673" i="3"/>
  <c r="Q3672" i="3"/>
  <c r="Q3671" i="3"/>
  <c r="Q3670" i="3"/>
  <c r="Q3669" i="3"/>
  <c r="Q3668" i="3"/>
  <c r="Q3667" i="3"/>
  <c r="Q3666" i="3"/>
  <c r="Q3665" i="3"/>
  <c r="Q3664" i="3"/>
  <c r="Q3663" i="3"/>
  <c r="Q3662" i="3"/>
  <c r="Q3661" i="3"/>
  <c r="Q3660" i="3"/>
  <c r="Q3659" i="3"/>
  <c r="Q3658" i="3"/>
  <c r="Q3657" i="3"/>
  <c r="Q3656" i="3"/>
  <c r="Q3655" i="3"/>
  <c r="Q3654" i="3"/>
  <c r="Q3653" i="3"/>
  <c r="Q3652" i="3"/>
  <c r="Q3651" i="3"/>
  <c r="Q3650" i="3"/>
  <c r="Q3649" i="3"/>
  <c r="Q3648" i="3"/>
  <c r="Q3647" i="3"/>
  <c r="Q3646" i="3"/>
  <c r="Q3645" i="3"/>
  <c r="Q3644" i="3"/>
  <c r="Q3643" i="3"/>
  <c r="Q3642" i="3"/>
  <c r="Q3641" i="3"/>
  <c r="Q3640" i="3"/>
  <c r="Q3639" i="3"/>
  <c r="Q3638" i="3"/>
  <c r="Q3637" i="3"/>
  <c r="Q3636" i="3"/>
  <c r="Q3635" i="3"/>
  <c r="Q3634" i="3"/>
  <c r="Q3633" i="3"/>
  <c r="Q3632" i="3"/>
  <c r="Q3631" i="3"/>
  <c r="Q3630" i="3"/>
  <c r="Q3629" i="3"/>
  <c r="Q3628" i="3"/>
  <c r="Q3627" i="3"/>
  <c r="Q3626" i="3"/>
  <c r="Q3625" i="3"/>
  <c r="Q3624" i="3"/>
  <c r="Q3623" i="3"/>
  <c r="Q3622" i="3"/>
  <c r="Q3621" i="3"/>
  <c r="Q3620" i="3"/>
  <c r="Q3619" i="3"/>
  <c r="Q3618" i="3"/>
  <c r="Q3617" i="3"/>
  <c r="Q3616" i="3"/>
  <c r="Q3615" i="3"/>
  <c r="Q3614" i="3"/>
  <c r="Q3613" i="3"/>
  <c r="Q3612" i="3"/>
  <c r="Q3611" i="3"/>
  <c r="Q3610" i="3"/>
  <c r="Q3609" i="3"/>
  <c r="Q3608" i="3"/>
  <c r="Q3607" i="3"/>
  <c r="Q3606" i="3"/>
  <c r="Q3605" i="3"/>
  <c r="Q3604" i="3"/>
  <c r="Q3603" i="3"/>
  <c r="Q3602" i="3"/>
  <c r="Q3601" i="3"/>
  <c r="Q3600" i="3"/>
  <c r="Q3599" i="3"/>
  <c r="Q3598" i="3"/>
  <c r="Q3597" i="3"/>
  <c r="Q3596" i="3"/>
  <c r="Q3595" i="3"/>
  <c r="Q3594" i="3"/>
  <c r="Q3593" i="3"/>
  <c r="Q3592" i="3"/>
  <c r="Q3591" i="3"/>
  <c r="Q3590" i="3"/>
  <c r="Q3589" i="3"/>
  <c r="Q3588" i="3"/>
  <c r="Q3587" i="3"/>
  <c r="Q3586" i="3"/>
  <c r="Q3585" i="3"/>
  <c r="Q3584" i="3"/>
  <c r="Q3583" i="3"/>
  <c r="Q3582" i="3"/>
  <c r="Q3581" i="3"/>
  <c r="Q3580" i="3"/>
  <c r="Q3579" i="3"/>
  <c r="Q3578" i="3"/>
  <c r="Q3577" i="3"/>
  <c r="Q3576" i="3"/>
  <c r="Q3575" i="3"/>
  <c r="Q3574" i="3"/>
  <c r="Q3573" i="3"/>
  <c r="Q3572" i="3"/>
  <c r="Q3571" i="3"/>
  <c r="Q3570" i="3"/>
  <c r="Q3569" i="3"/>
  <c r="Q3568" i="3"/>
  <c r="Q3567" i="3"/>
  <c r="Q3566" i="3"/>
  <c r="Q3565" i="3"/>
  <c r="Q3564" i="3"/>
  <c r="Q3563" i="3"/>
  <c r="Q3562" i="3"/>
  <c r="Q3561" i="3"/>
  <c r="Q3560" i="3"/>
  <c r="Q3559" i="3"/>
  <c r="Q3558" i="3"/>
  <c r="Q3557" i="3"/>
  <c r="Q3556" i="3"/>
  <c r="Q3555" i="3"/>
  <c r="Q3554" i="3"/>
  <c r="Q3553" i="3"/>
  <c r="Q3552" i="3"/>
  <c r="Q3551" i="3"/>
  <c r="Q3550" i="3"/>
  <c r="Q3549" i="3"/>
  <c r="Q3548" i="3"/>
  <c r="Q3547" i="3"/>
  <c r="Q3546" i="3"/>
  <c r="Q3545" i="3"/>
  <c r="Q3544" i="3"/>
  <c r="Q3543" i="3"/>
  <c r="Q3542" i="3"/>
  <c r="Q3541" i="3"/>
  <c r="Q3540" i="3"/>
  <c r="Q3539" i="3"/>
  <c r="Q3538" i="3"/>
  <c r="Q3537" i="3"/>
  <c r="Q3536" i="3"/>
  <c r="Q3535" i="3"/>
  <c r="Q3534" i="3"/>
  <c r="Q3533" i="3"/>
  <c r="Q3532" i="3"/>
  <c r="Q3531" i="3"/>
  <c r="Q3530" i="3"/>
  <c r="Q3529" i="3"/>
  <c r="Q3528" i="3"/>
  <c r="Q3527" i="3"/>
  <c r="Q3526" i="3"/>
  <c r="Q3525" i="3"/>
  <c r="Q3524" i="3"/>
  <c r="Q3523" i="3"/>
  <c r="Q3522" i="3"/>
  <c r="Q3521" i="3"/>
  <c r="Q3520" i="3"/>
  <c r="Q3519" i="3"/>
  <c r="Q3518" i="3"/>
  <c r="Q3517" i="3"/>
  <c r="Q3516" i="3"/>
  <c r="Q3515" i="3"/>
  <c r="Q3514" i="3"/>
  <c r="Q3513" i="3"/>
  <c r="Q3512" i="3"/>
  <c r="Q3511" i="3"/>
  <c r="Q3510" i="3"/>
  <c r="Q3509" i="3"/>
  <c r="Q3508" i="3"/>
  <c r="Q3507" i="3"/>
  <c r="Q3506" i="3"/>
  <c r="Q3505" i="3"/>
  <c r="Q3504" i="3"/>
  <c r="Q3503" i="3"/>
  <c r="Q3502" i="3"/>
  <c r="Q3501" i="3"/>
  <c r="Q3500" i="3"/>
  <c r="Q3499" i="3"/>
  <c r="Q3498" i="3"/>
  <c r="Q3497" i="3"/>
  <c r="Q3496" i="3"/>
  <c r="Q3495" i="3"/>
  <c r="Q3494" i="3"/>
  <c r="Q3493" i="3"/>
  <c r="Q3492" i="3"/>
  <c r="Q3491" i="3"/>
  <c r="Q3490" i="3"/>
  <c r="Q3489" i="3"/>
  <c r="Q3488" i="3"/>
  <c r="Q3487" i="3"/>
  <c r="Q3486" i="3"/>
  <c r="Q3485" i="3"/>
  <c r="Q3484" i="3"/>
  <c r="Q3483" i="3"/>
  <c r="Q3482" i="3"/>
  <c r="Q3481" i="3"/>
  <c r="Q3480" i="3"/>
  <c r="Q3479" i="3"/>
  <c r="Q3478" i="3"/>
  <c r="Q3477" i="3"/>
  <c r="Q3476" i="3"/>
  <c r="Q3475" i="3"/>
  <c r="Q3474" i="3"/>
  <c r="Q3473" i="3"/>
  <c r="Q3472" i="3"/>
  <c r="Q3471" i="3"/>
  <c r="Q3470" i="3"/>
  <c r="Q3469" i="3"/>
  <c r="Q3468" i="3"/>
  <c r="Q3467" i="3"/>
  <c r="Q3466" i="3"/>
  <c r="Q3465" i="3"/>
  <c r="Q3464" i="3"/>
  <c r="Q3463" i="3"/>
  <c r="Q3462" i="3"/>
  <c r="Q3461" i="3"/>
  <c r="Q3460" i="3"/>
  <c r="Q3459" i="3"/>
  <c r="Q3458" i="3"/>
  <c r="Q3457" i="3"/>
  <c r="Q3456" i="3"/>
  <c r="Q3455" i="3"/>
  <c r="Q3454" i="3"/>
  <c r="Q3453" i="3"/>
  <c r="Q3452" i="3"/>
  <c r="Q3451" i="3"/>
  <c r="Q3450" i="3"/>
  <c r="Q3449" i="3"/>
  <c r="Q3448" i="3"/>
  <c r="Q3447" i="3"/>
  <c r="Q3446" i="3"/>
  <c r="Q3445" i="3"/>
  <c r="Q3444" i="3"/>
  <c r="Q3443" i="3"/>
  <c r="Q3442" i="3"/>
  <c r="Q3441" i="3"/>
  <c r="Q3440" i="3"/>
  <c r="Q3439" i="3"/>
  <c r="Q3438" i="3"/>
  <c r="Q3437" i="3"/>
  <c r="Q3436" i="3"/>
  <c r="Q3435" i="3"/>
  <c r="Q3434" i="3"/>
  <c r="Q3433" i="3"/>
  <c r="Q3432" i="3"/>
  <c r="Q3431" i="3"/>
  <c r="Q3430" i="3"/>
  <c r="Q3429" i="3"/>
  <c r="Q3428" i="3"/>
  <c r="Q3427" i="3"/>
  <c r="Q3426" i="3"/>
  <c r="Q3425" i="3"/>
  <c r="Q3424" i="3"/>
  <c r="Q3423" i="3"/>
  <c r="Q3422" i="3"/>
  <c r="Q3421" i="3"/>
  <c r="Q3420" i="3"/>
  <c r="Q3419" i="3"/>
  <c r="Q3418" i="3"/>
  <c r="Q3417" i="3"/>
  <c r="Q3416" i="3"/>
  <c r="Q3415" i="3"/>
  <c r="Q3414" i="3"/>
  <c r="Q3413" i="3"/>
  <c r="Q3412" i="3"/>
  <c r="Q3411" i="3"/>
  <c r="Q3410" i="3"/>
  <c r="Q3409" i="3"/>
  <c r="Q3408" i="3"/>
  <c r="Q3407" i="3"/>
  <c r="Q3406" i="3"/>
  <c r="Q3405" i="3"/>
  <c r="Q3404" i="3"/>
  <c r="Q3403" i="3"/>
  <c r="Q3402" i="3"/>
  <c r="Q3401" i="3"/>
  <c r="Q3400" i="3"/>
  <c r="Q3399" i="3"/>
  <c r="Q3398" i="3"/>
  <c r="Q3397" i="3"/>
  <c r="Q3396" i="3"/>
  <c r="Q3395" i="3"/>
  <c r="Q3394" i="3"/>
  <c r="Q3393" i="3"/>
  <c r="Q3392" i="3"/>
  <c r="Q3391" i="3"/>
  <c r="Q3390" i="3"/>
  <c r="Q3389" i="3"/>
  <c r="Q3388" i="3"/>
  <c r="Q3387" i="3"/>
  <c r="Q3386" i="3"/>
  <c r="Q3385" i="3"/>
  <c r="Q3384" i="3"/>
  <c r="Q3383" i="3"/>
  <c r="Q3382" i="3"/>
  <c r="Q3381" i="3"/>
  <c r="Q3380" i="3"/>
  <c r="Q3379" i="3"/>
  <c r="Q3378" i="3"/>
  <c r="Q3377" i="3"/>
  <c r="Q3376" i="3"/>
  <c r="Q3375" i="3"/>
  <c r="Q3374" i="3"/>
  <c r="Q3373" i="3"/>
  <c r="Q3372" i="3"/>
  <c r="Q3371" i="3"/>
  <c r="Q3370" i="3"/>
  <c r="Q3369" i="3"/>
  <c r="Q3368" i="3"/>
  <c r="Q3367" i="3"/>
  <c r="Q3366" i="3"/>
  <c r="Q3365" i="3"/>
  <c r="Q3364" i="3"/>
  <c r="Q3363" i="3"/>
  <c r="Q3362" i="3"/>
  <c r="Q3361" i="3"/>
  <c r="Q3360" i="3"/>
  <c r="Q3359" i="3"/>
  <c r="Q3358" i="3"/>
  <c r="Q3357" i="3"/>
  <c r="Q3356" i="3"/>
  <c r="Q3355" i="3"/>
  <c r="Q3354" i="3"/>
  <c r="Q3353" i="3"/>
  <c r="Q3352" i="3"/>
  <c r="Q3351" i="3"/>
  <c r="Q3350" i="3"/>
  <c r="Q3349" i="3"/>
  <c r="Q3348" i="3"/>
  <c r="Q3347" i="3"/>
  <c r="Q3346" i="3"/>
  <c r="Q3345" i="3"/>
  <c r="Q3344" i="3"/>
  <c r="Q3343" i="3"/>
  <c r="Q3342" i="3"/>
  <c r="Q3341" i="3"/>
  <c r="Q3340" i="3"/>
  <c r="Q3339" i="3"/>
  <c r="Q3338" i="3"/>
  <c r="Q3337" i="3"/>
  <c r="Q3336" i="3"/>
  <c r="Q3335" i="3"/>
  <c r="Q3334" i="3"/>
  <c r="Q3333" i="3"/>
  <c r="Q3332" i="3"/>
  <c r="Q3331" i="3"/>
  <c r="Q3330" i="3"/>
  <c r="Q3329" i="3"/>
  <c r="Q3328" i="3"/>
  <c r="Q3327" i="3"/>
  <c r="Q3326" i="3"/>
  <c r="Q3325" i="3"/>
  <c r="Q3324" i="3"/>
  <c r="Q3323" i="3"/>
  <c r="Q3322" i="3"/>
  <c r="Q3321" i="3"/>
  <c r="Q3320" i="3"/>
  <c r="Q3319" i="3"/>
  <c r="Q3318" i="3"/>
  <c r="Q3317" i="3"/>
  <c r="Q3316" i="3"/>
  <c r="Q3315" i="3"/>
  <c r="Q3314" i="3"/>
  <c r="Q3313" i="3"/>
  <c r="Q3312" i="3"/>
  <c r="Q3311" i="3"/>
  <c r="Q3310" i="3"/>
  <c r="Q3309" i="3"/>
  <c r="Q3308" i="3"/>
  <c r="Q3307" i="3"/>
  <c r="Q3306" i="3"/>
  <c r="Q3305" i="3"/>
  <c r="Q3304" i="3"/>
  <c r="Q3303" i="3"/>
  <c r="Q3302" i="3"/>
  <c r="Q3301" i="3"/>
  <c r="Q3300" i="3"/>
  <c r="Q3299" i="3"/>
  <c r="Q3298" i="3"/>
  <c r="Q3297" i="3"/>
  <c r="Q3296" i="3"/>
  <c r="Q3295" i="3"/>
  <c r="Q3294" i="3"/>
  <c r="Q3293" i="3"/>
  <c r="Q3292" i="3"/>
  <c r="Q3291" i="3"/>
  <c r="Q3290" i="3"/>
  <c r="Q3289" i="3"/>
  <c r="Q3288" i="3"/>
  <c r="Q3287" i="3"/>
  <c r="Q3286" i="3"/>
  <c r="Q3285" i="3"/>
  <c r="Q3284" i="3"/>
  <c r="Q3283" i="3"/>
  <c r="Q3282" i="3"/>
  <c r="Q3281" i="3"/>
  <c r="Q3280" i="3"/>
  <c r="Q3279" i="3"/>
  <c r="Q3278" i="3"/>
  <c r="Q3277" i="3"/>
  <c r="Q3276" i="3"/>
  <c r="Q3275" i="3"/>
  <c r="Q3274" i="3"/>
  <c r="Q3273" i="3"/>
  <c r="Q3272" i="3"/>
  <c r="Q3271" i="3"/>
  <c r="Q3270" i="3"/>
  <c r="Q3269" i="3"/>
  <c r="Q3268" i="3"/>
  <c r="Q3267" i="3"/>
  <c r="Q3266" i="3"/>
  <c r="Q3265" i="3"/>
  <c r="Q3264" i="3"/>
  <c r="Q3263" i="3"/>
  <c r="Q3262" i="3"/>
  <c r="Q3261" i="3"/>
  <c r="Q3260" i="3"/>
  <c r="Q3259" i="3"/>
  <c r="Q3258" i="3"/>
  <c r="Q3257" i="3"/>
  <c r="Q3256" i="3"/>
  <c r="Q3255" i="3"/>
  <c r="Q3254" i="3"/>
  <c r="Q3253" i="3"/>
  <c r="Q3252" i="3"/>
  <c r="Q3251" i="3"/>
  <c r="Q3250" i="3"/>
  <c r="Q3249" i="3"/>
  <c r="Q3248" i="3"/>
  <c r="Q3247" i="3"/>
  <c r="Q3246" i="3"/>
  <c r="Q3245" i="3"/>
  <c r="Q3244" i="3"/>
  <c r="Q3243" i="3"/>
  <c r="Q3242" i="3"/>
  <c r="Q3241" i="3"/>
  <c r="Q3240" i="3"/>
  <c r="Q3239" i="3"/>
  <c r="Q3238" i="3"/>
  <c r="Q3237" i="3"/>
  <c r="Q3236" i="3"/>
  <c r="Q3235" i="3"/>
  <c r="Q3234" i="3"/>
  <c r="Q3233" i="3"/>
  <c r="Q3232" i="3"/>
  <c r="Q3231" i="3"/>
  <c r="Q3230" i="3"/>
  <c r="Q3229" i="3"/>
  <c r="Q3228" i="3"/>
  <c r="Q3227" i="3"/>
  <c r="Q3226" i="3"/>
  <c r="Q3225" i="3"/>
  <c r="Q3224" i="3"/>
  <c r="Q3223" i="3"/>
  <c r="Q3222" i="3"/>
  <c r="Q3221" i="3"/>
  <c r="Q3220" i="3"/>
  <c r="Q3219" i="3"/>
  <c r="Q3218" i="3"/>
  <c r="Q3217" i="3"/>
  <c r="Q3216" i="3"/>
  <c r="Q3215" i="3"/>
  <c r="Q3214" i="3"/>
  <c r="Q3213" i="3"/>
  <c r="Q3212" i="3"/>
  <c r="Q3211" i="3"/>
  <c r="Q3210" i="3"/>
  <c r="Q3209" i="3"/>
  <c r="Q3208" i="3"/>
  <c r="Q3207" i="3"/>
  <c r="Q3206" i="3"/>
  <c r="Q3205" i="3"/>
  <c r="Q3204" i="3"/>
  <c r="Q3203" i="3"/>
  <c r="Q3202" i="3"/>
  <c r="Q3201" i="3"/>
  <c r="Q3200" i="3"/>
  <c r="Q3199" i="3"/>
  <c r="Q3198" i="3"/>
  <c r="Q3197" i="3"/>
  <c r="Q3196" i="3"/>
  <c r="Q3195" i="3"/>
  <c r="Q3194" i="3"/>
  <c r="Q3193" i="3"/>
  <c r="Q3192" i="3"/>
  <c r="Q3191" i="3"/>
  <c r="Q3190" i="3"/>
  <c r="Q3189" i="3"/>
  <c r="Q3188" i="3"/>
  <c r="Q3187" i="3"/>
  <c r="Q3186" i="3"/>
  <c r="Q3185" i="3"/>
  <c r="Q3184" i="3"/>
  <c r="Q3183" i="3"/>
  <c r="Q3182" i="3"/>
  <c r="Q3181" i="3"/>
  <c r="Q3180" i="3"/>
  <c r="Q3179" i="3"/>
  <c r="Q3178" i="3"/>
  <c r="Q3177" i="3"/>
  <c r="Q3176" i="3"/>
  <c r="Q3175" i="3"/>
  <c r="Q3174" i="3"/>
  <c r="Q3173" i="3"/>
  <c r="Q3172" i="3"/>
  <c r="Q3171" i="3"/>
  <c r="Q3170" i="3"/>
  <c r="Q3169" i="3"/>
  <c r="Q3168" i="3"/>
  <c r="Q3167" i="3"/>
  <c r="Q3166" i="3"/>
  <c r="Q3165" i="3"/>
  <c r="Q3164" i="3"/>
  <c r="Q3163" i="3"/>
  <c r="Q3162" i="3"/>
  <c r="Q3161" i="3"/>
  <c r="Q3160" i="3"/>
  <c r="Q3159" i="3"/>
  <c r="Q3158" i="3"/>
  <c r="Q3157" i="3"/>
  <c r="Q3156" i="3"/>
  <c r="Q3155" i="3"/>
  <c r="Q3154" i="3"/>
  <c r="Q3153" i="3"/>
  <c r="Q3152" i="3"/>
  <c r="Q3151" i="3"/>
  <c r="Q3150" i="3"/>
  <c r="Q3149" i="3"/>
  <c r="Q3148" i="3"/>
  <c r="Q3147" i="3"/>
  <c r="Q3146" i="3"/>
  <c r="Q3145" i="3"/>
  <c r="Q3144" i="3"/>
  <c r="Q3143" i="3"/>
  <c r="Q3142" i="3"/>
  <c r="Q3141" i="3"/>
  <c r="Q3140" i="3"/>
  <c r="Q3139" i="3"/>
  <c r="Q3138" i="3"/>
  <c r="Q3137" i="3"/>
  <c r="Q3136" i="3"/>
  <c r="Q3135" i="3"/>
  <c r="Q3134" i="3"/>
  <c r="Q3133" i="3"/>
  <c r="Q3132" i="3"/>
  <c r="Q3131" i="3"/>
  <c r="Q3130" i="3"/>
  <c r="Q3129" i="3"/>
  <c r="Q3128" i="3"/>
  <c r="Q3127" i="3"/>
  <c r="Q3126" i="3"/>
  <c r="Q3125" i="3"/>
  <c r="Q3124" i="3"/>
  <c r="Q3123" i="3"/>
  <c r="Q3122" i="3"/>
  <c r="Q3121" i="3"/>
  <c r="Q3120" i="3"/>
  <c r="Q3119" i="3"/>
  <c r="Q3118" i="3"/>
  <c r="Q3117" i="3"/>
  <c r="Q3116" i="3"/>
  <c r="Q3115" i="3"/>
  <c r="Q3114" i="3"/>
  <c r="Q3113" i="3"/>
  <c r="Q3112" i="3"/>
  <c r="Q3111" i="3"/>
  <c r="Q3110" i="3"/>
  <c r="Q3109" i="3"/>
  <c r="Q3108" i="3"/>
  <c r="Q3107" i="3"/>
  <c r="Q3106" i="3"/>
  <c r="Q3105" i="3"/>
  <c r="Q3104" i="3"/>
  <c r="Q3103" i="3"/>
  <c r="Q3102" i="3"/>
  <c r="Q3101" i="3"/>
  <c r="Q3100" i="3"/>
  <c r="Q3099" i="3"/>
  <c r="Q3098" i="3"/>
  <c r="Q3097" i="3"/>
  <c r="Q3096" i="3"/>
  <c r="Q3095" i="3"/>
  <c r="Q3094" i="3"/>
  <c r="Q3093" i="3"/>
  <c r="Q3092" i="3"/>
  <c r="Q3091" i="3"/>
  <c r="Q3090" i="3"/>
  <c r="Q3089" i="3"/>
  <c r="Q3088" i="3"/>
  <c r="Q3087" i="3"/>
  <c r="Q3086" i="3"/>
  <c r="Q3085" i="3"/>
  <c r="Q3084" i="3"/>
  <c r="Q3083" i="3"/>
  <c r="Q3082" i="3"/>
  <c r="Q3081" i="3"/>
  <c r="Q3080" i="3"/>
  <c r="Q3079" i="3"/>
  <c r="Q3078" i="3"/>
  <c r="Q3077" i="3"/>
  <c r="Q3076" i="3"/>
  <c r="Q3075" i="3"/>
  <c r="Q3074" i="3"/>
  <c r="Q3073" i="3"/>
  <c r="Q3072" i="3"/>
  <c r="Q3071" i="3"/>
  <c r="Q3070" i="3"/>
  <c r="Q3069" i="3"/>
  <c r="Q3068" i="3"/>
  <c r="Q3067" i="3"/>
  <c r="Q3066" i="3"/>
  <c r="Q3065" i="3"/>
  <c r="Q3064" i="3"/>
  <c r="Q3063" i="3"/>
  <c r="Q3062" i="3"/>
  <c r="Q3061" i="3"/>
  <c r="Q3060" i="3"/>
  <c r="Q3059" i="3"/>
  <c r="Q3058" i="3"/>
  <c r="Q3057" i="3"/>
  <c r="Q3056" i="3"/>
  <c r="Q3055" i="3"/>
  <c r="Q3054" i="3"/>
  <c r="Q3053" i="3"/>
  <c r="Q3052" i="3"/>
  <c r="Q3051" i="3"/>
  <c r="Q3050" i="3"/>
  <c r="Q3049" i="3"/>
  <c r="Q3048" i="3"/>
  <c r="Q3047" i="3"/>
  <c r="Q3046" i="3"/>
  <c r="Q3045" i="3"/>
  <c r="Q3044" i="3"/>
  <c r="Q3043" i="3"/>
  <c r="Q3042" i="3"/>
  <c r="Q3041" i="3"/>
  <c r="Q3040" i="3"/>
  <c r="Q3039" i="3"/>
  <c r="Q3038" i="3"/>
  <c r="Q3037" i="3"/>
  <c r="Q3036" i="3"/>
  <c r="Q3035" i="3"/>
  <c r="Q3034" i="3"/>
  <c r="Q3033" i="3"/>
  <c r="Q3032" i="3"/>
  <c r="Q3031" i="3"/>
  <c r="Q3030" i="3"/>
  <c r="Q3029" i="3"/>
  <c r="Q3028" i="3"/>
  <c r="Q3027" i="3"/>
  <c r="Q3026" i="3"/>
  <c r="Q3025" i="3"/>
  <c r="Q3024" i="3"/>
  <c r="Q3023" i="3"/>
  <c r="Q3022" i="3"/>
  <c r="Q3021" i="3"/>
  <c r="Q3020" i="3"/>
  <c r="Q3019" i="3"/>
  <c r="Q3018" i="3"/>
  <c r="Q3017" i="3"/>
  <c r="Q3016" i="3"/>
  <c r="Q3015" i="3"/>
  <c r="Q3014" i="3"/>
  <c r="Q3013" i="3"/>
  <c r="Q3012" i="3"/>
  <c r="Q3011" i="3"/>
  <c r="Q3010" i="3"/>
  <c r="Q3009" i="3"/>
  <c r="Q3008" i="3"/>
  <c r="Q3007" i="3"/>
  <c r="Q3006" i="3"/>
  <c r="Q3005" i="3"/>
  <c r="Q3004" i="3"/>
  <c r="Q3003" i="3"/>
  <c r="Q3002" i="3"/>
  <c r="Q3001" i="3"/>
  <c r="Q3000" i="3"/>
  <c r="Q2999" i="3"/>
  <c r="Q2998" i="3"/>
  <c r="Q2997" i="3"/>
  <c r="Q2996" i="3"/>
  <c r="Q2995" i="3"/>
  <c r="Q2994" i="3"/>
  <c r="Q2993" i="3"/>
  <c r="Q2992" i="3"/>
  <c r="Q2991" i="3"/>
  <c r="Q2990" i="3"/>
  <c r="Q2989" i="3"/>
  <c r="Q2988" i="3"/>
  <c r="Q2987" i="3"/>
  <c r="Q2986" i="3"/>
  <c r="Q2985" i="3"/>
  <c r="Q2984" i="3"/>
  <c r="Q2983" i="3"/>
  <c r="Q2982" i="3"/>
  <c r="Q2981" i="3"/>
  <c r="Q2980" i="3"/>
  <c r="Q2979" i="3"/>
  <c r="Q2978" i="3"/>
  <c r="Q2977" i="3"/>
  <c r="Q2976" i="3"/>
  <c r="Q2975" i="3"/>
  <c r="Q2974" i="3"/>
  <c r="Q2973" i="3"/>
  <c r="Q2972" i="3"/>
  <c r="Q2971" i="3"/>
  <c r="Q2970" i="3"/>
  <c r="Q2969" i="3"/>
  <c r="Q2968" i="3"/>
  <c r="Q2967" i="3"/>
  <c r="Q2966" i="3"/>
  <c r="Q2965" i="3"/>
  <c r="Q2964" i="3"/>
  <c r="Q2963" i="3"/>
  <c r="Q2962" i="3"/>
  <c r="Q2961" i="3"/>
  <c r="Q2960" i="3"/>
  <c r="Q2959" i="3"/>
  <c r="Q2958" i="3"/>
  <c r="Q2957" i="3"/>
  <c r="Q2956" i="3"/>
  <c r="Q2955" i="3"/>
  <c r="Q2954" i="3"/>
  <c r="Q2953" i="3"/>
  <c r="Q2952" i="3"/>
  <c r="Q2951" i="3"/>
  <c r="Q2950" i="3"/>
  <c r="Q2949" i="3"/>
  <c r="Q2948" i="3"/>
  <c r="Q2947" i="3"/>
  <c r="Q2946" i="3"/>
  <c r="Q2945" i="3"/>
  <c r="Q2944" i="3"/>
  <c r="Q2943" i="3"/>
  <c r="Q2942" i="3"/>
  <c r="Q2941" i="3"/>
  <c r="Q2940" i="3"/>
  <c r="Q2939" i="3"/>
  <c r="Q2938" i="3"/>
  <c r="Q2937" i="3"/>
  <c r="Q2936" i="3"/>
  <c r="Q2935" i="3"/>
  <c r="Q2934" i="3"/>
  <c r="Q2933" i="3"/>
  <c r="Q2932" i="3"/>
  <c r="Q2931" i="3"/>
  <c r="Q2930" i="3"/>
  <c r="Q2929" i="3"/>
  <c r="Q2928" i="3"/>
  <c r="Q2927" i="3"/>
  <c r="Q2926" i="3"/>
  <c r="Q2925" i="3"/>
  <c r="Q2924" i="3"/>
  <c r="Q2923" i="3"/>
  <c r="Q2922" i="3"/>
  <c r="Q2921" i="3"/>
  <c r="Q2920" i="3"/>
  <c r="Q2919" i="3"/>
  <c r="Q2918" i="3"/>
  <c r="Q2917" i="3"/>
  <c r="Q2916" i="3"/>
  <c r="Q2915" i="3"/>
  <c r="Q2914" i="3"/>
  <c r="Q2913" i="3"/>
  <c r="Q2912" i="3"/>
  <c r="Q2911" i="3"/>
  <c r="Q2910" i="3"/>
  <c r="Q2909" i="3"/>
  <c r="Q2908" i="3"/>
  <c r="Q2907" i="3"/>
  <c r="Q2906" i="3"/>
  <c r="Q2905" i="3"/>
  <c r="Q2904" i="3"/>
  <c r="Q2903" i="3"/>
  <c r="Q2902" i="3"/>
  <c r="Q2901" i="3"/>
  <c r="Q2900" i="3"/>
  <c r="Q2899" i="3"/>
  <c r="Q2898" i="3"/>
  <c r="Q2897" i="3"/>
  <c r="Q2896" i="3"/>
  <c r="Q2895" i="3"/>
  <c r="Q2894" i="3"/>
  <c r="Q2893" i="3"/>
  <c r="Q2892" i="3"/>
  <c r="Q2891" i="3"/>
  <c r="Q2890" i="3"/>
  <c r="Q2889" i="3"/>
  <c r="Q2888" i="3"/>
  <c r="Q2887" i="3"/>
  <c r="Q2886" i="3"/>
  <c r="Q2885" i="3"/>
  <c r="Q2884" i="3"/>
  <c r="Q2883" i="3"/>
  <c r="Q2882" i="3"/>
  <c r="Q2881" i="3"/>
  <c r="Q2880" i="3"/>
  <c r="Q2879" i="3"/>
  <c r="Q2878" i="3"/>
  <c r="Q2877" i="3"/>
  <c r="Q2876" i="3"/>
  <c r="Q2875" i="3"/>
  <c r="Q2874" i="3"/>
  <c r="Q2873" i="3"/>
  <c r="Q2872" i="3"/>
  <c r="Q2871" i="3"/>
  <c r="Q2870" i="3"/>
  <c r="Q2869" i="3"/>
  <c r="Q2868" i="3"/>
  <c r="Q2867" i="3"/>
  <c r="Q2866" i="3"/>
  <c r="Q2865" i="3"/>
  <c r="Q2864" i="3"/>
  <c r="Q2863" i="3"/>
  <c r="Q2862" i="3"/>
  <c r="Q2861" i="3"/>
  <c r="Q2860" i="3"/>
  <c r="Q2859" i="3"/>
  <c r="Q2858" i="3"/>
  <c r="Q2857" i="3"/>
  <c r="Q2856" i="3"/>
  <c r="Q2855" i="3"/>
  <c r="Q2854" i="3"/>
  <c r="Q2853" i="3"/>
  <c r="Q2852" i="3"/>
  <c r="Q2851" i="3"/>
  <c r="Q2850" i="3"/>
  <c r="Q2849" i="3"/>
  <c r="Q2848" i="3"/>
  <c r="Q2847" i="3"/>
  <c r="Q2846" i="3"/>
  <c r="Q2845" i="3"/>
  <c r="Q2844" i="3"/>
  <c r="Q2843" i="3"/>
  <c r="Q2842" i="3"/>
  <c r="Q2841" i="3"/>
  <c r="Q2840" i="3"/>
  <c r="Q2839" i="3"/>
  <c r="Q2838" i="3"/>
  <c r="Q2837" i="3"/>
  <c r="Q2836" i="3"/>
  <c r="Q2835" i="3"/>
  <c r="Q2834" i="3"/>
  <c r="Q2833" i="3"/>
  <c r="Q2832" i="3"/>
  <c r="Q2831" i="3"/>
  <c r="Q2830" i="3"/>
  <c r="Q2829" i="3"/>
  <c r="Q2828" i="3"/>
  <c r="Q2827" i="3"/>
  <c r="Q2826" i="3"/>
  <c r="Q2825" i="3"/>
  <c r="Q2824" i="3"/>
  <c r="Q2823" i="3"/>
  <c r="Q2822" i="3"/>
  <c r="Q2821" i="3"/>
  <c r="Q2820" i="3"/>
  <c r="Q2819" i="3"/>
  <c r="Q2818" i="3"/>
  <c r="Q2817" i="3"/>
  <c r="Q2816" i="3"/>
  <c r="Q2815" i="3"/>
  <c r="Q2814" i="3"/>
  <c r="Q2813" i="3"/>
  <c r="Q2812" i="3"/>
  <c r="Q2811" i="3"/>
  <c r="Q2810" i="3"/>
  <c r="Q2809" i="3"/>
  <c r="Q2808" i="3"/>
  <c r="Q2807" i="3"/>
  <c r="Q2806" i="3"/>
  <c r="Q2805" i="3"/>
  <c r="Q2804" i="3"/>
  <c r="Q2803" i="3"/>
  <c r="Q2802" i="3"/>
  <c r="Q2801" i="3"/>
  <c r="Q2800" i="3"/>
  <c r="Q2799" i="3"/>
  <c r="Q2798" i="3"/>
  <c r="Q2797" i="3"/>
  <c r="Q2796" i="3"/>
  <c r="Q2795" i="3"/>
  <c r="Q2794" i="3"/>
  <c r="Q2793" i="3"/>
  <c r="Q2792" i="3"/>
  <c r="Q2791" i="3"/>
  <c r="Q2790" i="3"/>
  <c r="Q2789" i="3"/>
  <c r="Q2788" i="3"/>
  <c r="Q2787" i="3"/>
  <c r="Q2786" i="3"/>
  <c r="Q2785" i="3"/>
  <c r="Q2784" i="3"/>
  <c r="Q2783" i="3"/>
  <c r="Q2782" i="3"/>
  <c r="Q2781" i="3"/>
  <c r="Q2780" i="3"/>
  <c r="Q2779" i="3"/>
  <c r="Q2778" i="3"/>
  <c r="Q2777" i="3"/>
  <c r="Q2776" i="3"/>
  <c r="Q2775" i="3"/>
  <c r="Q2774" i="3"/>
  <c r="Q2773" i="3"/>
  <c r="Q2772" i="3"/>
  <c r="Q2771" i="3"/>
  <c r="Q2770" i="3"/>
  <c r="Q2769" i="3"/>
  <c r="Q2768" i="3"/>
  <c r="Q2767" i="3"/>
  <c r="Q2766" i="3"/>
  <c r="Q2765" i="3"/>
  <c r="Q2764" i="3"/>
  <c r="Q2763" i="3"/>
  <c r="Q2762" i="3"/>
  <c r="Q2761" i="3"/>
  <c r="Q2760" i="3"/>
  <c r="Q2759" i="3"/>
  <c r="Q2758" i="3"/>
  <c r="Q2757" i="3"/>
  <c r="Q2756" i="3"/>
  <c r="Q2755" i="3"/>
  <c r="Q2754" i="3"/>
  <c r="Q2753" i="3"/>
  <c r="Q2752" i="3"/>
  <c r="Q2751" i="3"/>
  <c r="Q2750" i="3"/>
  <c r="Q2749" i="3"/>
  <c r="Q2748" i="3"/>
  <c r="Q2747" i="3"/>
  <c r="Q2746" i="3"/>
  <c r="Q2745" i="3"/>
  <c r="Q2744" i="3"/>
  <c r="Q2743" i="3"/>
  <c r="Q2742" i="3"/>
  <c r="Q2741" i="3"/>
  <c r="Q2740" i="3"/>
  <c r="Q2739" i="3"/>
  <c r="Q2738" i="3"/>
  <c r="Q2737" i="3"/>
  <c r="Q2736" i="3"/>
  <c r="Q2735" i="3"/>
  <c r="Q2734" i="3"/>
  <c r="Q2733" i="3"/>
  <c r="Q2732" i="3"/>
  <c r="Q2731" i="3"/>
  <c r="Q2730" i="3"/>
  <c r="Q2729" i="3"/>
  <c r="Q2728" i="3"/>
  <c r="Q2727" i="3"/>
  <c r="Q2726" i="3"/>
  <c r="Q2725" i="3"/>
  <c r="Q2724" i="3"/>
  <c r="Q2723" i="3"/>
  <c r="Q2722" i="3"/>
  <c r="Q2721" i="3"/>
  <c r="Q2720" i="3"/>
  <c r="Q2719" i="3"/>
  <c r="Q2718" i="3"/>
  <c r="Q2717" i="3"/>
  <c r="Q2716" i="3"/>
  <c r="Q2715" i="3"/>
  <c r="Q2714" i="3"/>
  <c r="Q2713" i="3"/>
  <c r="Q2712" i="3"/>
  <c r="Q2711" i="3"/>
  <c r="Q2710" i="3"/>
  <c r="Q2709" i="3"/>
  <c r="Q2708" i="3"/>
  <c r="Q2707" i="3"/>
  <c r="Q2706" i="3"/>
  <c r="Q2705" i="3"/>
  <c r="Q2704" i="3"/>
  <c r="Q2703" i="3"/>
  <c r="Q2702" i="3"/>
  <c r="Q2701" i="3"/>
  <c r="Q2700" i="3"/>
  <c r="Q2699" i="3"/>
  <c r="Q2698" i="3"/>
  <c r="Q2697" i="3"/>
  <c r="Q2696" i="3"/>
  <c r="Q2695" i="3"/>
  <c r="Q2694" i="3"/>
  <c r="Q2693" i="3"/>
  <c r="Q2692" i="3"/>
  <c r="Q2691" i="3"/>
  <c r="Q2690" i="3"/>
  <c r="Q2689" i="3"/>
  <c r="Q2688" i="3"/>
  <c r="Q2687" i="3"/>
  <c r="Q2686" i="3"/>
  <c r="Q2685" i="3"/>
  <c r="Q2684" i="3"/>
  <c r="Q2683" i="3"/>
  <c r="Q2682" i="3"/>
  <c r="Q2681" i="3"/>
  <c r="Q2680" i="3"/>
  <c r="Q2679" i="3"/>
  <c r="Q2678" i="3"/>
  <c r="Q2677" i="3"/>
  <c r="Q2676" i="3"/>
  <c r="Q2675" i="3"/>
  <c r="Q2674" i="3"/>
  <c r="Q2673" i="3"/>
  <c r="Q2672" i="3"/>
  <c r="Q2671" i="3"/>
  <c r="Q2670" i="3"/>
  <c r="Q2669" i="3"/>
  <c r="Q2668" i="3"/>
  <c r="Q2667" i="3"/>
  <c r="Q2666" i="3"/>
  <c r="Q2665" i="3"/>
  <c r="Q2664" i="3"/>
  <c r="Q2663" i="3"/>
  <c r="Q2662" i="3"/>
  <c r="Q2661" i="3"/>
  <c r="Q2660" i="3"/>
  <c r="Q2659" i="3"/>
  <c r="Q2658" i="3"/>
  <c r="Q2657" i="3"/>
  <c r="Q2656" i="3"/>
  <c r="Q2655" i="3"/>
  <c r="Q2654" i="3"/>
  <c r="Q2653" i="3"/>
  <c r="Q2652" i="3"/>
  <c r="Q2651" i="3"/>
  <c r="Q2650" i="3"/>
  <c r="Q2649" i="3"/>
  <c r="Q2648" i="3"/>
  <c r="Q2647" i="3"/>
  <c r="Q2646" i="3"/>
  <c r="Q2645" i="3"/>
  <c r="Q2644" i="3"/>
  <c r="Q2643" i="3"/>
  <c r="Q2642" i="3"/>
  <c r="Q2641" i="3"/>
  <c r="Q2640" i="3"/>
  <c r="Q2639" i="3"/>
  <c r="Q2638" i="3"/>
  <c r="Q2637" i="3"/>
  <c r="Q2636" i="3"/>
  <c r="Q2635" i="3"/>
  <c r="Q2634" i="3"/>
  <c r="Q2633" i="3"/>
  <c r="Q2632" i="3"/>
  <c r="Q2631" i="3"/>
  <c r="Q2630" i="3"/>
  <c r="Q2629" i="3"/>
  <c r="Q2628" i="3"/>
  <c r="Q2627" i="3"/>
  <c r="Q2626" i="3"/>
  <c r="Q2625" i="3"/>
  <c r="Q2624" i="3"/>
  <c r="Q2623" i="3"/>
  <c r="Q2622" i="3"/>
  <c r="Q2621" i="3"/>
  <c r="Q2620" i="3"/>
  <c r="Q2619" i="3"/>
  <c r="Q2618" i="3"/>
  <c r="Q2617" i="3"/>
  <c r="Q2616" i="3"/>
  <c r="Q2615" i="3"/>
  <c r="Q2614" i="3"/>
  <c r="Q2613" i="3"/>
  <c r="Q2612" i="3"/>
  <c r="Q2611" i="3"/>
  <c r="Q2610" i="3"/>
  <c r="Q2609" i="3"/>
  <c r="Q2608" i="3"/>
  <c r="Q2607" i="3"/>
  <c r="Q2606" i="3"/>
  <c r="Q2605" i="3"/>
  <c r="Q2604" i="3"/>
  <c r="Q2603" i="3"/>
  <c r="Q2602" i="3"/>
  <c r="Q2601" i="3"/>
  <c r="Q2600" i="3"/>
  <c r="Q2599" i="3"/>
  <c r="Q2598" i="3"/>
  <c r="Q2597" i="3"/>
  <c r="Q2596" i="3"/>
  <c r="Q2595" i="3"/>
  <c r="Q2594" i="3"/>
  <c r="Q2593" i="3"/>
  <c r="Q2592" i="3"/>
  <c r="Q2591" i="3"/>
  <c r="Q2590" i="3"/>
  <c r="Q2589" i="3"/>
  <c r="Q2588" i="3"/>
  <c r="Q2587" i="3"/>
  <c r="Q2586" i="3"/>
  <c r="Q2585" i="3"/>
  <c r="Q2584" i="3"/>
  <c r="Q2583" i="3"/>
  <c r="Q2582" i="3"/>
  <c r="Q2581" i="3"/>
  <c r="Q2580" i="3"/>
  <c r="Q2579" i="3"/>
  <c r="Q2578" i="3"/>
  <c r="Q2577" i="3"/>
  <c r="Q2576" i="3"/>
  <c r="Q2575" i="3"/>
  <c r="Q2574" i="3"/>
  <c r="Q2573" i="3"/>
  <c r="Q2572" i="3"/>
  <c r="Q2571" i="3"/>
  <c r="Q2570" i="3"/>
  <c r="Q2569" i="3"/>
  <c r="Q2568" i="3"/>
  <c r="Q2567" i="3"/>
  <c r="Q2566" i="3"/>
  <c r="Q2565" i="3"/>
  <c r="Q2564" i="3"/>
  <c r="Q2563" i="3"/>
  <c r="Q2562" i="3"/>
  <c r="Q2561" i="3"/>
  <c r="Q2560" i="3"/>
  <c r="Q2559" i="3"/>
  <c r="Q2558" i="3"/>
  <c r="Q2557" i="3"/>
  <c r="Q2556" i="3"/>
  <c r="Q2555" i="3"/>
  <c r="Q2554" i="3"/>
  <c r="Q2553" i="3"/>
  <c r="Q2552" i="3"/>
  <c r="Q2551" i="3"/>
  <c r="Q2550" i="3"/>
  <c r="Q2549" i="3"/>
  <c r="Q2548" i="3"/>
  <c r="Q2547" i="3"/>
  <c r="Q2546" i="3"/>
  <c r="Q2545" i="3"/>
  <c r="Q2544" i="3"/>
  <c r="Q2543" i="3"/>
  <c r="Q2542" i="3"/>
  <c r="Q2541" i="3"/>
  <c r="Q2540" i="3"/>
  <c r="Q2539" i="3"/>
  <c r="Q2538" i="3"/>
  <c r="Q2537" i="3"/>
  <c r="Q2536" i="3"/>
  <c r="Q2535" i="3"/>
  <c r="Q2534" i="3"/>
  <c r="Q2533" i="3"/>
  <c r="Q2532" i="3"/>
  <c r="Q2531" i="3"/>
  <c r="Q2530" i="3"/>
  <c r="Q2529" i="3"/>
  <c r="Q2528" i="3"/>
  <c r="Q2527" i="3"/>
  <c r="Q2526" i="3"/>
  <c r="Q2525" i="3"/>
  <c r="Q2524" i="3"/>
  <c r="Q2523" i="3"/>
  <c r="Q2522" i="3"/>
  <c r="Q2521" i="3"/>
  <c r="Q2520" i="3"/>
  <c r="Q2519" i="3"/>
  <c r="Q2518" i="3"/>
  <c r="Q2517" i="3"/>
  <c r="Q2516" i="3"/>
  <c r="Q2515" i="3"/>
  <c r="Q2514" i="3"/>
  <c r="Q2513" i="3"/>
  <c r="Q2512" i="3"/>
  <c r="Q2511" i="3"/>
  <c r="Q2510" i="3"/>
  <c r="Q2509" i="3"/>
  <c r="Q2508" i="3"/>
  <c r="Q2507" i="3"/>
  <c r="Q2506" i="3"/>
  <c r="Q2505" i="3"/>
  <c r="Q2504" i="3"/>
  <c r="Q2503" i="3"/>
  <c r="Q2502" i="3"/>
  <c r="Q2501" i="3"/>
  <c r="Q2500" i="3"/>
  <c r="Q2499" i="3"/>
  <c r="Q2498" i="3"/>
  <c r="Q2497" i="3"/>
  <c r="Q2496" i="3"/>
  <c r="Q2495" i="3"/>
  <c r="Q2494" i="3"/>
  <c r="Q2493" i="3"/>
  <c r="Q2492" i="3"/>
  <c r="Q2491" i="3"/>
  <c r="Q2490" i="3"/>
  <c r="Q2489" i="3"/>
  <c r="Q2488" i="3"/>
  <c r="Q2487" i="3"/>
  <c r="Q2486" i="3"/>
  <c r="Q2485" i="3"/>
  <c r="Q2484" i="3"/>
  <c r="Q2483" i="3"/>
  <c r="Q2482" i="3"/>
  <c r="Q2481" i="3"/>
  <c r="Q2480" i="3"/>
  <c r="Q2479" i="3"/>
  <c r="Q2478" i="3"/>
  <c r="Q2477" i="3"/>
  <c r="Q2476" i="3"/>
  <c r="Q2475" i="3"/>
  <c r="Q2474" i="3"/>
  <c r="Q2473" i="3"/>
  <c r="Q2472" i="3"/>
  <c r="Q2471" i="3"/>
  <c r="Q2470" i="3"/>
  <c r="Q2469" i="3"/>
  <c r="Q2468" i="3"/>
  <c r="Q2467" i="3"/>
  <c r="Q2466" i="3"/>
  <c r="Q2465" i="3"/>
  <c r="Q2464" i="3"/>
  <c r="Q2463" i="3"/>
  <c r="Q2462" i="3"/>
  <c r="Q2461" i="3"/>
  <c r="Q2460" i="3"/>
  <c r="Q2459" i="3"/>
  <c r="Q2458" i="3"/>
  <c r="Q2457" i="3"/>
  <c r="Q2456" i="3"/>
  <c r="Q2455" i="3"/>
  <c r="Q2454" i="3"/>
  <c r="Q2453" i="3"/>
  <c r="Q2452" i="3"/>
  <c r="Q2451" i="3"/>
  <c r="Q2450" i="3"/>
  <c r="Q2449" i="3"/>
  <c r="Q2448" i="3"/>
  <c r="Q2447" i="3"/>
  <c r="Q2446" i="3"/>
  <c r="Q2445" i="3"/>
  <c r="Q2444" i="3"/>
  <c r="Q2443" i="3"/>
  <c r="Q2442" i="3"/>
  <c r="Q2441" i="3"/>
  <c r="Q2440" i="3"/>
  <c r="Q2439" i="3"/>
  <c r="Q2438" i="3"/>
  <c r="Q2437" i="3"/>
  <c r="Q2436" i="3"/>
  <c r="Q2435" i="3"/>
  <c r="Q2434" i="3"/>
  <c r="Q2433" i="3"/>
  <c r="Q2432" i="3"/>
  <c r="Q2431" i="3"/>
  <c r="Q2430" i="3"/>
  <c r="Q2429" i="3"/>
  <c r="Q2428" i="3"/>
  <c r="Q2427" i="3"/>
  <c r="Q2426" i="3"/>
  <c r="Q2425" i="3"/>
  <c r="Q2424" i="3"/>
  <c r="Q2423" i="3"/>
  <c r="Q2422" i="3"/>
  <c r="Q2421" i="3"/>
  <c r="Q2420" i="3"/>
  <c r="Q2419" i="3"/>
  <c r="Q2418" i="3"/>
  <c r="Q2417" i="3"/>
  <c r="Q2416" i="3"/>
  <c r="Q2415" i="3"/>
  <c r="Q2414" i="3"/>
  <c r="Q2413" i="3"/>
  <c r="Q2412" i="3"/>
  <c r="Q2411" i="3"/>
  <c r="Q2410" i="3"/>
  <c r="Q2409" i="3"/>
  <c r="Q2408" i="3"/>
  <c r="Q2407" i="3"/>
  <c r="Q2406" i="3"/>
  <c r="Q2405" i="3"/>
  <c r="Q2404" i="3"/>
  <c r="Q2403" i="3"/>
  <c r="Q2402" i="3"/>
  <c r="Q2401" i="3"/>
  <c r="Q2400" i="3"/>
  <c r="Q2399" i="3"/>
  <c r="Q2398" i="3"/>
  <c r="Q2397" i="3"/>
  <c r="Q2396" i="3"/>
  <c r="Q2395" i="3"/>
  <c r="Q2394" i="3"/>
  <c r="Q2393" i="3"/>
  <c r="Q2392" i="3"/>
  <c r="Q2391" i="3"/>
  <c r="Q2390" i="3"/>
  <c r="Q2389" i="3"/>
  <c r="Q2388" i="3"/>
  <c r="Q2387" i="3"/>
  <c r="Q2386" i="3"/>
  <c r="Q2385" i="3"/>
  <c r="Q2384" i="3"/>
  <c r="Q2383" i="3"/>
  <c r="Q2382" i="3"/>
  <c r="Q2381" i="3"/>
  <c r="Q2380" i="3"/>
  <c r="Q2379" i="3"/>
  <c r="Q2378" i="3"/>
  <c r="Q2377" i="3"/>
  <c r="Q2376" i="3"/>
  <c r="Q2375" i="3"/>
  <c r="Q2374" i="3"/>
  <c r="Q2373" i="3"/>
  <c r="Q2372" i="3"/>
  <c r="Q2371" i="3"/>
  <c r="Q2370" i="3"/>
  <c r="Q2369" i="3"/>
  <c r="Q2368" i="3"/>
  <c r="Q2367" i="3"/>
  <c r="Q2366" i="3"/>
  <c r="Q2365" i="3"/>
  <c r="Q2364" i="3"/>
  <c r="Q2363" i="3"/>
  <c r="Q2362" i="3"/>
  <c r="Q2361" i="3"/>
  <c r="Q2360" i="3"/>
  <c r="Q2359" i="3"/>
  <c r="Q2358" i="3"/>
  <c r="Q2357" i="3"/>
  <c r="Q2356" i="3"/>
  <c r="Q2355" i="3"/>
  <c r="Q2354" i="3"/>
  <c r="Q2353" i="3"/>
  <c r="Q2352" i="3"/>
  <c r="Q2351" i="3"/>
  <c r="Q2350" i="3"/>
  <c r="Q2349" i="3"/>
  <c r="Q2348" i="3"/>
  <c r="Q2347" i="3"/>
  <c r="Q2346" i="3"/>
  <c r="Q2345" i="3"/>
  <c r="Q2344" i="3"/>
  <c r="Q2343" i="3"/>
  <c r="Q2342" i="3"/>
  <c r="Q2341" i="3"/>
  <c r="Q2340" i="3"/>
  <c r="Q2339" i="3"/>
  <c r="Q2338" i="3"/>
  <c r="Q2337" i="3"/>
  <c r="Q2336" i="3"/>
  <c r="Q2335" i="3"/>
  <c r="Q2334" i="3"/>
  <c r="Q2333" i="3"/>
  <c r="Q2332" i="3"/>
  <c r="Q2331" i="3"/>
  <c r="Q2330" i="3"/>
  <c r="Q2329" i="3"/>
  <c r="Q2328" i="3"/>
  <c r="Q2327" i="3"/>
  <c r="Q2326" i="3"/>
  <c r="Q2325" i="3"/>
  <c r="Q2324" i="3"/>
  <c r="Q2323" i="3"/>
  <c r="Q2322" i="3"/>
  <c r="Q2321" i="3"/>
  <c r="Q2320" i="3"/>
  <c r="Q2319" i="3"/>
  <c r="Q2318" i="3"/>
  <c r="Q2317" i="3"/>
  <c r="Q2316" i="3"/>
  <c r="Q2315" i="3"/>
  <c r="Q2314" i="3"/>
  <c r="Q2313" i="3"/>
  <c r="Q2312" i="3"/>
  <c r="Q2311" i="3"/>
  <c r="Q2310" i="3"/>
  <c r="Q2309" i="3"/>
  <c r="Q2308" i="3"/>
  <c r="Q2307" i="3"/>
  <c r="Q2306" i="3"/>
  <c r="Q2305" i="3"/>
  <c r="Q2304" i="3"/>
  <c r="Q2303" i="3"/>
  <c r="Q2302" i="3"/>
  <c r="Q2301" i="3"/>
  <c r="Q2300" i="3"/>
  <c r="Q2299" i="3"/>
  <c r="Q2298" i="3"/>
  <c r="Q2297" i="3"/>
  <c r="Q2296" i="3"/>
  <c r="Q2295" i="3"/>
  <c r="Q2294" i="3"/>
  <c r="Q2293" i="3"/>
  <c r="Q2292" i="3"/>
  <c r="Q2291" i="3"/>
  <c r="Q2290" i="3"/>
  <c r="Q2289" i="3"/>
  <c r="Q2288" i="3"/>
  <c r="Q2287" i="3"/>
  <c r="Q2286" i="3"/>
  <c r="Q2285" i="3"/>
  <c r="Q2284" i="3"/>
  <c r="Q2283" i="3"/>
  <c r="Q2282" i="3"/>
  <c r="Q2281" i="3"/>
  <c r="Q2280" i="3"/>
  <c r="Q2279" i="3"/>
  <c r="Q2278" i="3"/>
  <c r="Q2277" i="3"/>
  <c r="Q2276" i="3"/>
  <c r="Q2275" i="3"/>
  <c r="Q2274" i="3"/>
  <c r="Q2273" i="3"/>
  <c r="Q2272" i="3"/>
  <c r="Q2271" i="3"/>
  <c r="Q2270" i="3"/>
  <c r="Q2269" i="3"/>
  <c r="Q2268" i="3"/>
  <c r="Q2267" i="3"/>
  <c r="Q2266" i="3"/>
  <c r="Q2265" i="3"/>
  <c r="Q2264" i="3"/>
  <c r="Q2263" i="3"/>
  <c r="Q2262" i="3"/>
  <c r="Q2261" i="3"/>
  <c r="Q2260" i="3"/>
  <c r="Q2259" i="3"/>
  <c r="Q2258" i="3"/>
  <c r="Q2257" i="3"/>
  <c r="Q2256" i="3"/>
  <c r="Q2255" i="3"/>
  <c r="Q2254" i="3"/>
  <c r="Q2253" i="3"/>
  <c r="Q2252" i="3"/>
  <c r="Q2251" i="3"/>
  <c r="Q2250" i="3"/>
  <c r="Q2249" i="3"/>
  <c r="Q2248" i="3"/>
  <c r="Q2247" i="3"/>
  <c r="Q2246" i="3"/>
  <c r="Q2245" i="3"/>
  <c r="Q2244" i="3"/>
  <c r="Q2243" i="3"/>
  <c r="Q2242" i="3"/>
  <c r="Q2241" i="3"/>
  <c r="Q2240" i="3"/>
  <c r="Q2239" i="3"/>
  <c r="Q2238" i="3"/>
  <c r="Q2237" i="3"/>
  <c r="Q2236" i="3"/>
  <c r="Q2235" i="3"/>
  <c r="Q2234" i="3"/>
  <c r="Q2233" i="3"/>
  <c r="Q2232" i="3"/>
  <c r="Q2231" i="3"/>
  <c r="Q2230" i="3"/>
  <c r="Q2229" i="3"/>
  <c r="Q2228" i="3"/>
  <c r="Q2227" i="3"/>
  <c r="Q2226" i="3"/>
  <c r="Q2225" i="3"/>
  <c r="Q2224" i="3"/>
  <c r="Q2223" i="3"/>
  <c r="Q2222" i="3"/>
  <c r="Q2221" i="3"/>
  <c r="Q2220" i="3"/>
  <c r="Q2219" i="3"/>
  <c r="Q2218" i="3"/>
  <c r="Q2217" i="3"/>
  <c r="Q2216" i="3"/>
  <c r="Q2215" i="3"/>
  <c r="Q2214" i="3"/>
  <c r="Q2213" i="3"/>
  <c r="Q2212" i="3"/>
  <c r="Q2211" i="3"/>
  <c r="Q2210" i="3"/>
  <c r="Q2209" i="3"/>
  <c r="Q2208" i="3"/>
  <c r="Q2207" i="3"/>
  <c r="Q2206" i="3"/>
  <c r="Q2205" i="3"/>
  <c r="Q2204" i="3"/>
  <c r="Q2203" i="3"/>
  <c r="Q2202" i="3"/>
  <c r="Q2201" i="3"/>
  <c r="Q2200" i="3"/>
  <c r="Q2199" i="3"/>
  <c r="Q2198" i="3"/>
  <c r="Q2197" i="3"/>
  <c r="Q2196" i="3"/>
  <c r="Q2195" i="3"/>
  <c r="Q2194" i="3"/>
  <c r="Q2193" i="3"/>
  <c r="Q2192" i="3"/>
  <c r="Q2191" i="3"/>
  <c r="Q2190" i="3"/>
  <c r="Q2189" i="3"/>
  <c r="Q2188" i="3"/>
  <c r="Q2187" i="3"/>
  <c r="Q2186" i="3"/>
  <c r="Q2185" i="3"/>
  <c r="Q2184" i="3"/>
  <c r="Q2183" i="3"/>
  <c r="Q2182" i="3"/>
  <c r="Q2181" i="3"/>
  <c r="Q2180" i="3"/>
  <c r="Q2179" i="3"/>
  <c r="Q2178" i="3"/>
  <c r="Q2177" i="3"/>
  <c r="Q2176" i="3"/>
  <c r="Q2175" i="3"/>
  <c r="Q2174" i="3"/>
  <c r="Q2173" i="3"/>
  <c r="Q2172" i="3"/>
  <c r="Q2171" i="3"/>
  <c r="Q2170" i="3"/>
  <c r="Q2169" i="3"/>
  <c r="Q2168" i="3"/>
  <c r="Q2167" i="3"/>
  <c r="Q2166" i="3"/>
  <c r="Q2165" i="3"/>
  <c r="Q2164" i="3"/>
  <c r="Q2163" i="3"/>
  <c r="Q2162" i="3"/>
  <c r="Q2161" i="3"/>
  <c r="Q2160" i="3"/>
  <c r="Q2159" i="3"/>
  <c r="Q2158" i="3"/>
  <c r="Q2157" i="3"/>
  <c r="Q2156" i="3"/>
  <c r="Q2155" i="3"/>
  <c r="Q2154" i="3"/>
  <c r="Q2153" i="3"/>
  <c r="Q2152" i="3"/>
  <c r="Q2151" i="3"/>
  <c r="Q2150" i="3"/>
  <c r="Q2149" i="3"/>
  <c r="Q2148" i="3"/>
  <c r="Q2147" i="3"/>
  <c r="Q2146" i="3"/>
  <c r="Q2145" i="3"/>
  <c r="Q2144" i="3"/>
  <c r="Q2143" i="3"/>
  <c r="Q2142" i="3"/>
  <c r="Q2141" i="3"/>
  <c r="Q2140" i="3"/>
  <c r="Q2139" i="3"/>
  <c r="Q2138" i="3"/>
  <c r="Q2137" i="3"/>
  <c r="Q2136" i="3"/>
  <c r="Q2135" i="3"/>
  <c r="Q2134" i="3"/>
  <c r="Q2133" i="3"/>
  <c r="Q2132" i="3"/>
  <c r="Q2131" i="3"/>
  <c r="Q2130" i="3"/>
  <c r="Q2129" i="3"/>
  <c r="Q2128" i="3"/>
  <c r="Q2127" i="3"/>
  <c r="Q2126" i="3"/>
  <c r="Q2125" i="3"/>
  <c r="Q2124" i="3"/>
  <c r="Q2123" i="3"/>
  <c r="Q2122" i="3"/>
  <c r="Q2121" i="3"/>
  <c r="Q2120" i="3"/>
  <c r="Q2119" i="3"/>
  <c r="Q2118" i="3"/>
  <c r="Q2117" i="3"/>
  <c r="Q2116" i="3"/>
  <c r="Q2115" i="3"/>
  <c r="Q2114" i="3"/>
  <c r="Q2113" i="3"/>
  <c r="Q2112" i="3"/>
  <c r="Q2111" i="3"/>
  <c r="Q2110" i="3"/>
  <c r="Q2109" i="3"/>
  <c r="Q2108" i="3"/>
  <c r="Q2107" i="3"/>
  <c r="Q2106" i="3"/>
  <c r="Q2105" i="3"/>
  <c r="Q2104" i="3"/>
  <c r="Q2103" i="3"/>
  <c r="Q2102" i="3"/>
  <c r="Q2101" i="3"/>
  <c r="Q2100" i="3"/>
  <c r="Q2099" i="3"/>
  <c r="Q2098" i="3"/>
  <c r="Q2097" i="3"/>
  <c r="Q2096" i="3"/>
  <c r="Q2095" i="3"/>
  <c r="Q2094" i="3"/>
  <c r="Q2093" i="3"/>
  <c r="Q2092" i="3"/>
  <c r="Q2091" i="3"/>
  <c r="Q2090" i="3"/>
  <c r="Q2089" i="3"/>
  <c r="Q2088" i="3"/>
  <c r="Q2087" i="3"/>
  <c r="Q2086" i="3"/>
  <c r="Q2085" i="3"/>
  <c r="Q2084" i="3"/>
  <c r="Q2083" i="3"/>
  <c r="Q2082" i="3"/>
  <c r="Q2081" i="3"/>
  <c r="Q2080" i="3"/>
  <c r="Q2079" i="3"/>
  <c r="Q2078" i="3"/>
  <c r="Q2077" i="3"/>
  <c r="Q2076" i="3"/>
  <c r="Q2075" i="3"/>
  <c r="Q2074" i="3"/>
  <c r="Q2073" i="3"/>
  <c r="Q2072" i="3"/>
  <c r="Q2071" i="3"/>
  <c r="Q2070" i="3"/>
  <c r="Q2069" i="3"/>
  <c r="Q2068" i="3"/>
  <c r="Q2067" i="3"/>
  <c r="Q2066" i="3"/>
  <c r="Q2065" i="3"/>
  <c r="Q2064" i="3"/>
  <c r="Q2063" i="3"/>
  <c r="Q2062" i="3"/>
  <c r="Q2061" i="3"/>
  <c r="Q2060" i="3"/>
  <c r="Q2059" i="3"/>
  <c r="Q2058" i="3"/>
  <c r="Q2057" i="3"/>
  <c r="Q2056" i="3"/>
  <c r="Q2055" i="3"/>
  <c r="Q2054" i="3"/>
  <c r="Q2053" i="3"/>
  <c r="Q2052" i="3"/>
  <c r="Q2051" i="3"/>
  <c r="Q2050" i="3"/>
  <c r="Q2049" i="3"/>
  <c r="Q2048" i="3"/>
  <c r="Q2047" i="3"/>
  <c r="Q2046" i="3"/>
  <c r="Q2045" i="3"/>
  <c r="Q2044" i="3"/>
  <c r="Q2043" i="3"/>
  <c r="Q2042" i="3"/>
  <c r="Q2041" i="3"/>
  <c r="Q2040" i="3"/>
  <c r="Q2039" i="3"/>
  <c r="Q2038" i="3"/>
  <c r="Q2037" i="3"/>
  <c r="Q2036" i="3"/>
  <c r="Q2035" i="3"/>
  <c r="Q2034" i="3"/>
  <c r="Q2033" i="3"/>
  <c r="Q2032" i="3"/>
  <c r="Q2031" i="3"/>
  <c r="Q2030" i="3"/>
  <c r="Q2029" i="3"/>
  <c r="Q2028" i="3"/>
  <c r="Q2027" i="3"/>
  <c r="Q2026" i="3"/>
  <c r="Q2025" i="3"/>
  <c r="Q2024" i="3"/>
  <c r="Q2023" i="3"/>
  <c r="Q2022" i="3"/>
  <c r="Q2021" i="3"/>
  <c r="Q2020" i="3"/>
  <c r="Q2019" i="3"/>
  <c r="Q2018" i="3"/>
  <c r="Q2017" i="3"/>
  <c r="Q2016" i="3"/>
  <c r="Q2015" i="3"/>
  <c r="Q2014" i="3"/>
  <c r="Q2013" i="3"/>
  <c r="Q2012" i="3"/>
  <c r="Q2011" i="3"/>
  <c r="Q2010" i="3"/>
  <c r="Q2009" i="3"/>
  <c r="Q2008" i="3"/>
  <c r="Q2007" i="3"/>
  <c r="Q2006" i="3"/>
  <c r="Q2005" i="3"/>
  <c r="Q2004" i="3"/>
  <c r="Q2003" i="3"/>
  <c r="Q2002" i="3"/>
  <c r="Q2001" i="3"/>
  <c r="Q2000" i="3"/>
  <c r="Q1999" i="3"/>
  <c r="Q1998" i="3"/>
  <c r="Q1997" i="3"/>
  <c r="Q1996" i="3"/>
  <c r="Q1995" i="3"/>
  <c r="Q1994" i="3"/>
  <c r="Q1993" i="3"/>
  <c r="Q1992" i="3"/>
  <c r="Q1991" i="3"/>
  <c r="Q1990" i="3"/>
  <c r="Q1989" i="3"/>
  <c r="Q1988" i="3"/>
  <c r="Q1987" i="3"/>
  <c r="Q1986" i="3"/>
  <c r="Q1985" i="3"/>
  <c r="Q1984" i="3"/>
  <c r="Q1983" i="3"/>
  <c r="Q1982" i="3"/>
  <c r="Q1981" i="3"/>
  <c r="Q1980" i="3"/>
  <c r="Q1979" i="3"/>
  <c r="Q1978" i="3"/>
  <c r="Q1977" i="3"/>
  <c r="Q1976" i="3"/>
  <c r="Q1975" i="3"/>
  <c r="Q1974" i="3"/>
  <c r="Q1973" i="3"/>
  <c r="Q1972" i="3"/>
  <c r="Q1971" i="3"/>
  <c r="Q1970" i="3"/>
  <c r="Q1969" i="3"/>
  <c r="Q1968" i="3"/>
  <c r="Q1967" i="3"/>
  <c r="Q1966" i="3"/>
  <c r="Q1965" i="3"/>
  <c r="Q1964" i="3"/>
  <c r="Q1963" i="3"/>
  <c r="Q1962" i="3"/>
  <c r="Q1961" i="3"/>
  <c r="Q1960" i="3"/>
  <c r="Q1959" i="3"/>
  <c r="Q1958" i="3"/>
  <c r="Q1957" i="3"/>
  <c r="Q1956" i="3"/>
  <c r="Q1955" i="3"/>
  <c r="Q1954" i="3"/>
  <c r="Q1953" i="3"/>
  <c r="Q1952" i="3"/>
  <c r="Q1951" i="3"/>
  <c r="Q1950" i="3"/>
  <c r="Q1949" i="3"/>
  <c r="Q1948" i="3"/>
  <c r="Q1947" i="3"/>
  <c r="Q1946" i="3"/>
  <c r="Q1945" i="3"/>
  <c r="Q1944" i="3"/>
  <c r="Q1943" i="3"/>
  <c r="Q1942" i="3"/>
  <c r="Q1941" i="3"/>
  <c r="Q1940" i="3"/>
  <c r="Q1939" i="3"/>
  <c r="Q1938" i="3"/>
  <c r="Q1937" i="3"/>
  <c r="Q1936" i="3"/>
  <c r="Q1935" i="3"/>
  <c r="Q1934" i="3"/>
  <c r="Q1933" i="3"/>
  <c r="Q1932" i="3"/>
  <c r="Q1931" i="3"/>
  <c r="Q1930" i="3"/>
  <c r="Q1929" i="3"/>
  <c r="Q1928" i="3"/>
  <c r="Q1927" i="3"/>
  <c r="Q1926" i="3"/>
  <c r="Q1925" i="3"/>
  <c r="Q1924" i="3"/>
  <c r="Q1923" i="3"/>
  <c r="Q1922" i="3"/>
  <c r="Q1921" i="3"/>
  <c r="Q1920" i="3"/>
  <c r="Q1919" i="3"/>
  <c r="Q1918" i="3"/>
  <c r="Q1917" i="3"/>
  <c r="Q1916" i="3"/>
  <c r="Q1915" i="3"/>
  <c r="Q1914" i="3"/>
  <c r="Q1913" i="3"/>
  <c r="Q1912" i="3"/>
  <c r="Q1911" i="3"/>
  <c r="Q1910" i="3"/>
  <c r="Q1909" i="3"/>
  <c r="Q1908" i="3"/>
  <c r="Q1907" i="3"/>
  <c r="Q1906" i="3"/>
  <c r="Q1905" i="3"/>
  <c r="Q1904" i="3"/>
  <c r="Q1903" i="3"/>
  <c r="Q1902" i="3"/>
  <c r="Q1901" i="3"/>
  <c r="Q1900" i="3"/>
  <c r="Q1899" i="3"/>
  <c r="Q1898" i="3"/>
  <c r="Q1897" i="3"/>
  <c r="Q1896" i="3"/>
  <c r="Q1895" i="3"/>
  <c r="Q1894" i="3"/>
  <c r="Q1893" i="3"/>
  <c r="Q1892" i="3"/>
  <c r="Q1891" i="3"/>
  <c r="Q1890" i="3"/>
  <c r="Q1889" i="3"/>
  <c r="Q1888" i="3"/>
  <c r="Q1887" i="3"/>
  <c r="Q1886" i="3"/>
  <c r="Q1885" i="3"/>
  <c r="Q1884" i="3"/>
  <c r="Q1883" i="3"/>
  <c r="Q1882" i="3"/>
  <c r="Q1881" i="3"/>
  <c r="Q1880" i="3"/>
  <c r="Q1879" i="3"/>
  <c r="Q1878" i="3"/>
  <c r="Q1877" i="3"/>
  <c r="Q1876" i="3"/>
  <c r="Q1875" i="3"/>
  <c r="Q1874" i="3"/>
  <c r="Q1873" i="3"/>
  <c r="Q1872" i="3"/>
  <c r="Q1871" i="3"/>
  <c r="Q1870" i="3"/>
  <c r="Q1869" i="3"/>
  <c r="Q1868" i="3"/>
  <c r="Q1867" i="3"/>
  <c r="Q1866" i="3"/>
  <c r="Q1865" i="3"/>
  <c r="Q1864" i="3"/>
  <c r="Q1863" i="3"/>
  <c r="Q1862" i="3"/>
  <c r="Q1861" i="3"/>
  <c r="Q1860" i="3"/>
  <c r="Q1859" i="3"/>
  <c r="Q1858" i="3"/>
  <c r="Q1857" i="3"/>
  <c r="Q1856" i="3"/>
  <c r="Q1855" i="3"/>
  <c r="Q1854" i="3"/>
  <c r="Q1853" i="3"/>
  <c r="Q1852" i="3"/>
  <c r="Q1851" i="3"/>
  <c r="Q1850" i="3"/>
  <c r="Q1849" i="3"/>
  <c r="Q1848" i="3"/>
  <c r="Q1847" i="3"/>
  <c r="Q1846" i="3"/>
  <c r="Q1845" i="3"/>
  <c r="Q1844" i="3"/>
  <c r="Q1843" i="3"/>
  <c r="Q1842" i="3"/>
  <c r="Q1841" i="3"/>
  <c r="Q1840" i="3"/>
  <c r="Q1839" i="3"/>
  <c r="Q1838" i="3"/>
  <c r="Q1837" i="3"/>
  <c r="Q1836" i="3"/>
  <c r="Q1835" i="3"/>
  <c r="Q1834" i="3"/>
  <c r="Q1833" i="3"/>
  <c r="Q1832" i="3"/>
  <c r="Q1831" i="3"/>
  <c r="Q1830" i="3"/>
  <c r="Q1829" i="3"/>
  <c r="Q1828" i="3"/>
  <c r="Q1827" i="3"/>
  <c r="Q1826" i="3"/>
  <c r="Q1825" i="3"/>
  <c r="Q1824" i="3"/>
  <c r="Q1823" i="3"/>
  <c r="Q1822" i="3"/>
  <c r="Q1821" i="3"/>
  <c r="Q1820" i="3"/>
  <c r="Q1819" i="3"/>
  <c r="Q1818" i="3"/>
  <c r="Q1817" i="3"/>
  <c r="Q1816" i="3"/>
  <c r="Q1815" i="3"/>
  <c r="Q1814" i="3"/>
  <c r="Q1813" i="3"/>
  <c r="Q1812" i="3"/>
  <c r="Q1811" i="3"/>
  <c r="Q1810" i="3"/>
  <c r="Q1809" i="3"/>
  <c r="Q1808" i="3"/>
  <c r="Q1807" i="3"/>
  <c r="Q1806" i="3"/>
  <c r="Q1805" i="3"/>
  <c r="Q1804" i="3"/>
  <c r="Q1803" i="3"/>
  <c r="Q1802" i="3"/>
  <c r="Q1801" i="3"/>
  <c r="Q1800" i="3"/>
  <c r="Q1799" i="3"/>
  <c r="Q1798" i="3"/>
  <c r="Q1797" i="3"/>
  <c r="Q1796" i="3"/>
  <c r="Q1795" i="3"/>
  <c r="Q1794" i="3"/>
  <c r="Q1793" i="3"/>
  <c r="Q1792" i="3"/>
  <c r="Q1791" i="3"/>
  <c r="Q1790" i="3"/>
  <c r="Q1789" i="3"/>
  <c r="Q1788" i="3"/>
  <c r="Q1787" i="3"/>
  <c r="Q1786" i="3"/>
  <c r="Q1785" i="3"/>
  <c r="Q1784" i="3"/>
  <c r="Q1783" i="3"/>
  <c r="Q1782" i="3"/>
  <c r="Q1781" i="3"/>
  <c r="Q1780" i="3"/>
  <c r="Q1779" i="3"/>
  <c r="Q1778" i="3"/>
  <c r="Q1777" i="3"/>
  <c r="Q1776" i="3"/>
  <c r="Q1775" i="3"/>
  <c r="Q1774" i="3"/>
  <c r="Q1773" i="3"/>
  <c r="Q1772" i="3"/>
  <c r="Q1771" i="3"/>
  <c r="Q1770" i="3"/>
  <c r="Q1769" i="3"/>
  <c r="Q1768" i="3"/>
  <c r="Q1767" i="3"/>
  <c r="Q1766" i="3"/>
  <c r="Q1765" i="3"/>
  <c r="Q1764" i="3"/>
  <c r="Q1763" i="3"/>
  <c r="Q1762" i="3"/>
  <c r="Q1761" i="3"/>
  <c r="Q1760" i="3"/>
  <c r="Q1759" i="3"/>
  <c r="Q1758" i="3"/>
  <c r="Q1757" i="3"/>
  <c r="Q1756" i="3"/>
  <c r="Q1755" i="3"/>
  <c r="Q1754" i="3"/>
  <c r="Q1753" i="3"/>
  <c r="Q1752" i="3"/>
  <c r="Q1751" i="3"/>
  <c r="Q1750" i="3"/>
  <c r="Q1749" i="3"/>
  <c r="Q1748" i="3"/>
  <c r="Q1747" i="3"/>
  <c r="Q1746" i="3"/>
  <c r="Q1745" i="3"/>
  <c r="Q1744" i="3"/>
  <c r="Q1743" i="3"/>
  <c r="Q1742" i="3"/>
  <c r="Q1741" i="3"/>
  <c r="Q1740" i="3"/>
  <c r="Q1739" i="3"/>
  <c r="Q1738" i="3"/>
  <c r="Q1737" i="3"/>
  <c r="Q1736" i="3"/>
  <c r="Q1735" i="3"/>
  <c r="Q1734" i="3"/>
  <c r="Q1733" i="3"/>
  <c r="Q1732" i="3"/>
  <c r="Q1731" i="3"/>
  <c r="Q1730" i="3"/>
  <c r="Q1729" i="3"/>
  <c r="Q1728" i="3"/>
  <c r="Q1727" i="3"/>
  <c r="Q1726" i="3"/>
  <c r="Q1725" i="3"/>
  <c r="Q1724" i="3"/>
  <c r="Q1723" i="3"/>
  <c r="Q1722" i="3"/>
  <c r="Q1721" i="3"/>
  <c r="Q1720" i="3"/>
  <c r="Q1719" i="3"/>
  <c r="Q1718" i="3"/>
  <c r="Q1717" i="3"/>
  <c r="Q1716" i="3"/>
  <c r="Q1715" i="3"/>
  <c r="Q1714" i="3"/>
  <c r="Q1713" i="3"/>
  <c r="Q1712" i="3"/>
  <c r="Q1711" i="3"/>
  <c r="Q1710" i="3"/>
  <c r="Q1709" i="3"/>
  <c r="Q1708" i="3"/>
  <c r="Q1707" i="3"/>
  <c r="Q1706" i="3"/>
  <c r="Q1705" i="3"/>
  <c r="Q1704" i="3"/>
  <c r="Q1703" i="3"/>
  <c r="Q1702" i="3"/>
  <c r="Q1701" i="3"/>
  <c r="Q1700" i="3"/>
  <c r="Q1699" i="3"/>
  <c r="Q1698" i="3"/>
  <c r="Q1697" i="3"/>
  <c r="Q1696" i="3"/>
  <c r="Q1695" i="3"/>
  <c r="Q1694" i="3"/>
  <c r="Q1693" i="3"/>
  <c r="Q1692" i="3"/>
  <c r="Q1691" i="3"/>
  <c r="Q1690" i="3"/>
  <c r="Q1689" i="3"/>
  <c r="Q1688" i="3"/>
  <c r="Q1687" i="3"/>
  <c r="Q1686" i="3"/>
  <c r="Q1685" i="3"/>
  <c r="Q1684" i="3"/>
  <c r="Q1683" i="3"/>
  <c r="Q1682" i="3"/>
  <c r="Q1681" i="3"/>
  <c r="Q1680" i="3"/>
  <c r="Q1679" i="3"/>
  <c r="Q1678" i="3"/>
  <c r="Q1677" i="3"/>
  <c r="Q1676" i="3"/>
  <c r="Q1675" i="3"/>
  <c r="Q1674" i="3"/>
  <c r="Q1673" i="3"/>
  <c r="Q1672" i="3"/>
  <c r="Q1671" i="3"/>
  <c r="Q1670" i="3"/>
  <c r="Q1669" i="3"/>
  <c r="Q1668" i="3"/>
  <c r="Q1667" i="3"/>
  <c r="Q1666" i="3"/>
  <c r="Q1665" i="3"/>
  <c r="Q1664" i="3"/>
  <c r="Q1663" i="3"/>
  <c r="Q1662" i="3"/>
  <c r="Q1661" i="3"/>
  <c r="Q1660" i="3"/>
  <c r="Q1659" i="3"/>
  <c r="Q1658" i="3"/>
  <c r="Q1657" i="3"/>
  <c r="Q1656" i="3"/>
  <c r="Q1655" i="3"/>
  <c r="Q1654" i="3"/>
  <c r="Q1653" i="3"/>
  <c r="Q1652" i="3"/>
  <c r="Q1651" i="3"/>
  <c r="Q1650" i="3"/>
  <c r="Q1649" i="3"/>
  <c r="Q1648" i="3"/>
  <c r="Q1647" i="3"/>
  <c r="Q1646" i="3"/>
  <c r="Q1645" i="3"/>
  <c r="Q1644" i="3"/>
  <c r="Q1643" i="3"/>
  <c r="Q1642" i="3"/>
  <c r="Q1641" i="3"/>
  <c r="Q1640" i="3"/>
  <c r="Q1639" i="3"/>
  <c r="Q1638" i="3"/>
  <c r="Q1637" i="3"/>
  <c r="Q1636" i="3"/>
  <c r="Q1635" i="3"/>
  <c r="Q1634" i="3"/>
  <c r="Q1633" i="3"/>
  <c r="Q1632" i="3"/>
  <c r="Q1631" i="3"/>
  <c r="Q1630" i="3"/>
  <c r="Q1629" i="3"/>
  <c r="Q1628" i="3"/>
  <c r="Q1627" i="3"/>
  <c r="Q1626" i="3"/>
  <c r="Q1625" i="3"/>
  <c r="Q1624" i="3"/>
  <c r="Q1623" i="3"/>
  <c r="Q1622" i="3"/>
  <c r="Q1621" i="3"/>
  <c r="Q1620" i="3"/>
  <c r="Q1619" i="3"/>
  <c r="Q1618" i="3"/>
  <c r="Q1617" i="3"/>
  <c r="Q1616" i="3"/>
  <c r="Q1615" i="3"/>
  <c r="Q1614" i="3"/>
  <c r="Q1613" i="3"/>
  <c r="Q1612" i="3"/>
  <c r="Q1611" i="3"/>
  <c r="Q1610" i="3"/>
  <c r="Q1609" i="3"/>
  <c r="Q1608" i="3"/>
  <c r="Q1607" i="3"/>
  <c r="Q1606" i="3"/>
  <c r="Q1605" i="3"/>
  <c r="Q1604" i="3"/>
  <c r="Q1603" i="3"/>
  <c r="Q1602" i="3"/>
  <c r="Q1601" i="3"/>
  <c r="Q1600" i="3"/>
  <c r="Q1599" i="3"/>
  <c r="Q1598" i="3"/>
  <c r="Q1597" i="3"/>
  <c r="Q1596" i="3"/>
  <c r="Q1595" i="3"/>
  <c r="Q1594" i="3"/>
  <c r="Q1593" i="3"/>
  <c r="Q1592" i="3"/>
  <c r="Q1591" i="3"/>
  <c r="Q1590" i="3"/>
  <c r="Q1589" i="3"/>
  <c r="Q1588" i="3"/>
  <c r="Q1587" i="3"/>
  <c r="Q1586" i="3"/>
  <c r="Q1585" i="3"/>
  <c r="Q1584" i="3"/>
  <c r="Q1583" i="3"/>
  <c r="Q1582" i="3"/>
  <c r="Q1581" i="3"/>
  <c r="Q1580" i="3"/>
  <c r="Q1579" i="3"/>
  <c r="Q1578" i="3"/>
  <c r="Q1577" i="3"/>
  <c r="Q1576" i="3"/>
  <c r="Q1575" i="3"/>
  <c r="Q1574" i="3"/>
  <c r="Q1573" i="3"/>
  <c r="Q1572" i="3"/>
  <c r="Q1571" i="3"/>
  <c r="Q1570" i="3"/>
  <c r="Q1569" i="3"/>
  <c r="Q1568" i="3"/>
  <c r="Q1567" i="3"/>
  <c r="Q1566" i="3"/>
  <c r="Q1565" i="3"/>
  <c r="Q1564" i="3"/>
  <c r="Q1563" i="3"/>
  <c r="Q1562" i="3"/>
  <c r="Q1561" i="3"/>
  <c r="Q1560" i="3"/>
  <c r="Q1559" i="3"/>
  <c r="Q1558" i="3"/>
  <c r="Q1557" i="3"/>
  <c r="Q1556" i="3"/>
  <c r="Q1555" i="3"/>
  <c r="Q1554" i="3"/>
  <c r="Q1553" i="3"/>
  <c r="Q1552" i="3"/>
  <c r="Q1551" i="3"/>
  <c r="Q1550" i="3"/>
  <c r="Q1549" i="3"/>
  <c r="Q1548" i="3"/>
  <c r="Q1547" i="3"/>
  <c r="Q1546" i="3"/>
  <c r="Q1545" i="3"/>
  <c r="Q1544" i="3"/>
  <c r="Q1543" i="3"/>
  <c r="Q1542" i="3"/>
  <c r="Q1541" i="3"/>
  <c r="Q1540" i="3"/>
  <c r="Q1539" i="3"/>
  <c r="Q1538" i="3"/>
  <c r="Q1537" i="3"/>
  <c r="Q1536" i="3"/>
  <c r="Q1535" i="3"/>
  <c r="Q1534" i="3"/>
  <c r="Q1533" i="3"/>
  <c r="Q1532" i="3"/>
  <c r="Q1531" i="3"/>
  <c r="Q1530" i="3"/>
  <c r="Q1529" i="3"/>
  <c r="Q1528" i="3"/>
  <c r="Q1527" i="3"/>
  <c r="Q1526" i="3"/>
  <c r="Q1525" i="3"/>
  <c r="Q1524" i="3"/>
  <c r="Q1523" i="3"/>
  <c r="Q1522" i="3"/>
  <c r="Q1521" i="3"/>
  <c r="Q1520" i="3"/>
  <c r="Q1519" i="3"/>
  <c r="Q1518" i="3"/>
  <c r="Q1517" i="3"/>
  <c r="Q1516" i="3"/>
  <c r="Q1515" i="3"/>
  <c r="Q1514" i="3"/>
  <c r="Q1513" i="3"/>
  <c r="Q1512" i="3"/>
  <c r="Q1511" i="3"/>
  <c r="Q1510" i="3"/>
  <c r="Q1509" i="3"/>
  <c r="Q1508" i="3"/>
  <c r="Q1507" i="3"/>
  <c r="Q1506" i="3"/>
  <c r="Q1505" i="3"/>
  <c r="Q1504" i="3"/>
  <c r="Q1503" i="3"/>
  <c r="Q1502" i="3"/>
  <c r="Q1501" i="3"/>
  <c r="Q1500" i="3"/>
  <c r="Q1499" i="3"/>
  <c r="Q1498" i="3"/>
  <c r="Q1497" i="3"/>
  <c r="Q1496" i="3"/>
  <c r="Q1495" i="3"/>
  <c r="Q1494" i="3"/>
  <c r="Q1493" i="3"/>
  <c r="Q1492" i="3"/>
  <c r="Q1491" i="3"/>
  <c r="Q1490" i="3"/>
  <c r="Q1489" i="3"/>
  <c r="Q1488" i="3"/>
  <c r="Q1487" i="3"/>
  <c r="Q1486" i="3"/>
  <c r="Q1485" i="3"/>
  <c r="Q1484" i="3"/>
  <c r="Q1483" i="3"/>
  <c r="Q1482" i="3"/>
  <c r="Q1481" i="3"/>
  <c r="Q1480" i="3"/>
  <c r="Q1479" i="3"/>
  <c r="Q1478" i="3"/>
  <c r="Q1477" i="3"/>
  <c r="Q1476" i="3"/>
  <c r="Q1475" i="3"/>
  <c r="Q1474" i="3"/>
  <c r="Q1473" i="3"/>
  <c r="Q1472" i="3"/>
  <c r="Q1471" i="3"/>
  <c r="Q1470" i="3"/>
  <c r="Q1469" i="3"/>
  <c r="Q1468" i="3"/>
  <c r="Q1467" i="3"/>
  <c r="Q1466" i="3"/>
  <c r="Q1465" i="3"/>
  <c r="Q1464" i="3"/>
  <c r="Q1463" i="3"/>
  <c r="Q1462" i="3"/>
  <c r="Q1461" i="3"/>
  <c r="Q1460" i="3"/>
  <c r="Q1459" i="3"/>
  <c r="Q1458" i="3"/>
  <c r="Q1457" i="3"/>
  <c r="Q1456" i="3"/>
  <c r="Q1455" i="3"/>
  <c r="Q1454" i="3"/>
  <c r="Q1453" i="3"/>
  <c r="Q1452" i="3"/>
  <c r="Q1451" i="3"/>
  <c r="Q1450" i="3"/>
  <c r="Q1449" i="3"/>
  <c r="Q1448" i="3"/>
  <c r="Q1447" i="3"/>
  <c r="Q1446" i="3"/>
  <c r="Q1445" i="3"/>
  <c r="Q1444" i="3"/>
  <c r="Q1443" i="3"/>
  <c r="Q1442" i="3"/>
  <c r="Q1441" i="3"/>
  <c r="Q1440" i="3"/>
  <c r="Q1439" i="3"/>
  <c r="Q1438" i="3"/>
  <c r="Q1437" i="3"/>
  <c r="Q1436" i="3"/>
  <c r="Q1435" i="3"/>
  <c r="Q1434" i="3"/>
  <c r="Q1433" i="3"/>
  <c r="Q1432" i="3"/>
  <c r="Q1431" i="3"/>
  <c r="Q1430" i="3"/>
  <c r="Q1429" i="3"/>
  <c r="Q1428" i="3"/>
  <c r="Q1427" i="3"/>
  <c r="Q1426" i="3"/>
  <c r="Q1425" i="3"/>
  <c r="Q1424" i="3"/>
  <c r="Q1423" i="3"/>
  <c r="Q1422" i="3"/>
  <c r="Q1421" i="3"/>
  <c r="Q1420" i="3"/>
  <c r="Q1419" i="3"/>
  <c r="Q1418" i="3"/>
  <c r="Q1417" i="3"/>
  <c r="Q1416" i="3"/>
  <c r="Q1415" i="3"/>
  <c r="Q1414" i="3"/>
  <c r="Q1413" i="3"/>
  <c r="Q1412" i="3"/>
  <c r="Q1411" i="3"/>
  <c r="Q1410" i="3"/>
  <c r="Q1409" i="3"/>
  <c r="Q1408" i="3"/>
  <c r="Q1407" i="3"/>
  <c r="Q1406" i="3"/>
  <c r="Q1405" i="3"/>
  <c r="Q1404" i="3"/>
  <c r="Q1403" i="3"/>
  <c r="Q1402" i="3"/>
  <c r="Q1401" i="3"/>
  <c r="Q1400" i="3"/>
  <c r="Q1399" i="3"/>
  <c r="Q1398" i="3"/>
  <c r="Q1397" i="3"/>
  <c r="Q1396" i="3"/>
  <c r="Q1395" i="3"/>
  <c r="Q1394" i="3"/>
  <c r="Q1393" i="3"/>
  <c r="Q1392" i="3"/>
  <c r="Q1391" i="3"/>
  <c r="Q1390" i="3"/>
  <c r="Q1389" i="3"/>
  <c r="Q1388" i="3"/>
  <c r="Q1387" i="3"/>
  <c r="Q1386" i="3"/>
  <c r="Q1385" i="3"/>
  <c r="Q1384" i="3"/>
  <c r="Q1383" i="3"/>
  <c r="Q1382" i="3"/>
  <c r="Q1381" i="3"/>
  <c r="Q1380" i="3"/>
  <c r="Q1379" i="3"/>
  <c r="Q1378" i="3"/>
  <c r="Q1377" i="3"/>
  <c r="Q1376" i="3"/>
  <c r="Q1375" i="3"/>
  <c r="Q1374" i="3"/>
  <c r="Q1373" i="3"/>
  <c r="Q1372" i="3"/>
  <c r="Q1371" i="3"/>
  <c r="Q1370" i="3"/>
  <c r="Q1369" i="3"/>
  <c r="Q1368" i="3"/>
  <c r="Q1367" i="3"/>
  <c r="Q1366" i="3"/>
  <c r="Q1365" i="3"/>
  <c r="Q1364" i="3"/>
  <c r="Q1363" i="3"/>
  <c r="Q1362" i="3"/>
  <c r="Q1361" i="3"/>
  <c r="Q1360" i="3"/>
  <c r="Q1359" i="3"/>
  <c r="Q1358" i="3"/>
  <c r="Q1357" i="3"/>
  <c r="Q1356" i="3"/>
  <c r="Q1355" i="3"/>
  <c r="Q1354" i="3"/>
  <c r="Q1353" i="3"/>
  <c r="Q1352" i="3"/>
  <c r="Q1351" i="3"/>
  <c r="Q1350" i="3"/>
  <c r="Q1349" i="3"/>
  <c r="Q1348" i="3"/>
  <c r="Q1347" i="3"/>
  <c r="Q1346" i="3"/>
  <c r="Q1345" i="3"/>
  <c r="Q1344" i="3"/>
  <c r="Q1343" i="3"/>
  <c r="Q1342" i="3"/>
  <c r="Q1341" i="3"/>
  <c r="Q1340" i="3"/>
  <c r="Q1339" i="3"/>
  <c r="Q1338" i="3"/>
  <c r="Q1337" i="3"/>
  <c r="Q1336" i="3"/>
  <c r="Q1335" i="3"/>
  <c r="Q1334" i="3"/>
  <c r="Q1333" i="3"/>
  <c r="Q1332" i="3"/>
  <c r="Q1331" i="3"/>
  <c r="Q1330" i="3"/>
  <c r="Q1329" i="3"/>
  <c r="Q1328" i="3"/>
  <c r="Q1327" i="3"/>
  <c r="Q1326" i="3"/>
  <c r="Q1325" i="3"/>
  <c r="Q1324" i="3"/>
  <c r="Q1323" i="3"/>
  <c r="Q1322" i="3"/>
  <c r="Q1321" i="3"/>
  <c r="Q1320" i="3"/>
  <c r="Q1319" i="3"/>
  <c r="Q1318" i="3"/>
  <c r="Q1317" i="3"/>
  <c r="Q1316" i="3"/>
  <c r="Q1315" i="3"/>
  <c r="Q1314" i="3"/>
  <c r="Q1313" i="3"/>
  <c r="Q1312" i="3"/>
  <c r="Q1311" i="3"/>
  <c r="Q1310" i="3"/>
  <c r="Q1309" i="3"/>
  <c r="Q1308" i="3"/>
  <c r="Q1307" i="3"/>
  <c r="Q1306" i="3"/>
  <c r="Q1305" i="3"/>
  <c r="Q1304" i="3"/>
  <c r="Q1303" i="3"/>
  <c r="Q1302" i="3"/>
  <c r="Q1301" i="3"/>
  <c r="Q1300" i="3"/>
  <c r="Q1299" i="3"/>
  <c r="Q1298" i="3"/>
  <c r="Q1297" i="3"/>
  <c r="Q1296" i="3"/>
  <c r="Q1295" i="3"/>
  <c r="Q1294" i="3"/>
  <c r="Q1293" i="3"/>
  <c r="Q1292" i="3"/>
  <c r="Q1291" i="3"/>
  <c r="Q1290" i="3"/>
  <c r="Q1289" i="3"/>
  <c r="Q1288" i="3"/>
  <c r="Q1287" i="3"/>
  <c r="Q1286" i="3"/>
  <c r="Q1285" i="3"/>
  <c r="Q1284" i="3"/>
  <c r="Q1283" i="3"/>
  <c r="Q1282" i="3"/>
  <c r="Q1281" i="3"/>
  <c r="Q1280" i="3"/>
  <c r="Q1279" i="3"/>
  <c r="Q1278" i="3"/>
  <c r="Q1277" i="3"/>
  <c r="Q1276" i="3"/>
  <c r="Q1275" i="3"/>
  <c r="Q1274" i="3"/>
  <c r="Q1273" i="3"/>
  <c r="Q1272" i="3"/>
  <c r="Q1271" i="3"/>
  <c r="Q1270" i="3"/>
  <c r="Q1269" i="3"/>
  <c r="Q1268" i="3"/>
  <c r="Q1267" i="3"/>
  <c r="Q1266" i="3"/>
  <c r="Q1265" i="3"/>
  <c r="Q1264" i="3"/>
  <c r="Q1263" i="3"/>
  <c r="Q1262" i="3"/>
  <c r="Q1261" i="3"/>
  <c r="Q1260" i="3"/>
  <c r="Q1259" i="3"/>
  <c r="Q1258" i="3"/>
  <c r="Q1257" i="3"/>
  <c r="Q1256" i="3"/>
  <c r="Q1255" i="3"/>
  <c r="Q1254" i="3"/>
  <c r="Q1253" i="3"/>
  <c r="Q1252" i="3"/>
  <c r="Q1251" i="3"/>
  <c r="Q1250" i="3"/>
  <c r="Q1249" i="3"/>
  <c r="Q1248" i="3"/>
  <c r="Q1247" i="3"/>
  <c r="Q1246" i="3"/>
  <c r="Q1245" i="3"/>
  <c r="Q1244" i="3"/>
  <c r="Q1243" i="3"/>
  <c r="Q1242" i="3"/>
  <c r="Q1241" i="3"/>
  <c r="Q1240" i="3"/>
  <c r="Q1239" i="3"/>
  <c r="Q1238" i="3"/>
  <c r="Q1237" i="3"/>
  <c r="Q1236" i="3"/>
  <c r="Q1235" i="3"/>
  <c r="Q1234" i="3"/>
  <c r="Q1233" i="3"/>
  <c r="Q1232" i="3"/>
  <c r="Q1231" i="3"/>
  <c r="Q1230" i="3"/>
  <c r="Q1229" i="3"/>
  <c r="Q1228" i="3"/>
  <c r="Q1227" i="3"/>
  <c r="Q1226" i="3"/>
  <c r="Q1225" i="3"/>
  <c r="Q1224" i="3"/>
  <c r="Q1223" i="3"/>
  <c r="Q1222" i="3"/>
  <c r="Q1221" i="3"/>
  <c r="Q1220" i="3"/>
  <c r="Q1219" i="3"/>
  <c r="Q1218" i="3"/>
  <c r="Q1217" i="3"/>
  <c r="Q1216" i="3"/>
  <c r="Q1215" i="3"/>
  <c r="Q1214" i="3"/>
  <c r="Q1213" i="3"/>
  <c r="Q1212" i="3"/>
  <c r="Q1211" i="3"/>
  <c r="Q1210" i="3"/>
  <c r="Q1209" i="3"/>
  <c r="Q1208" i="3"/>
  <c r="Q1207" i="3"/>
  <c r="Q1206" i="3"/>
  <c r="Q1205" i="3"/>
  <c r="Q1204" i="3"/>
  <c r="Q1203" i="3"/>
  <c r="Q1202" i="3"/>
  <c r="Q1201" i="3"/>
  <c r="Q1200" i="3"/>
  <c r="Q1199" i="3"/>
  <c r="Q1198" i="3"/>
  <c r="Q1197" i="3"/>
  <c r="Q1196" i="3"/>
  <c r="Q1195" i="3"/>
  <c r="Q1194" i="3"/>
  <c r="Q1193" i="3"/>
  <c r="Q1192" i="3"/>
  <c r="Q1191" i="3"/>
  <c r="Q1190" i="3"/>
  <c r="Q1189" i="3"/>
  <c r="Q1188" i="3"/>
  <c r="Q1187" i="3"/>
  <c r="Q1186" i="3"/>
  <c r="Q1185" i="3"/>
  <c r="Q1184" i="3"/>
  <c r="Q1183" i="3"/>
  <c r="Q1182" i="3"/>
  <c r="Q1181" i="3"/>
  <c r="Q1180" i="3"/>
  <c r="Q1179" i="3"/>
  <c r="Q1178" i="3"/>
  <c r="Q1177" i="3"/>
  <c r="Q1176" i="3"/>
  <c r="Q1175" i="3"/>
  <c r="Q1174" i="3"/>
  <c r="Q1173" i="3"/>
  <c r="Q1172" i="3"/>
  <c r="Q1171" i="3"/>
  <c r="Q1170" i="3"/>
  <c r="Q1169" i="3"/>
  <c r="Q1168" i="3"/>
  <c r="Q1167" i="3"/>
  <c r="Q1166" i="3"/>
  <c r="Q1165" i="3"/>
  <c r="Q1164" i="3"/>
  <c r="Q1163" i="3"/>
  <c r="Q1162" i="3"/>
  <c r="Q1161" i="3"/>
  <c r="Q1160" i="3"/>
  <c r="Q1159" i="3"/>
  <c r="Q1158" i="3"/>
  <c r="Q1157" i="3"/>
  <c r="Q1156" i="3"/>
  <c r="Q1155" i="3"/>
  <c r="Q1154" i="3"/>
  <c r="Q1153" i="3"/>
  <c r="Q1152" i="3"/>
  <c r="Q1151" i="3"/>
  <c r="Q1150" i="3"/>
  <c r="Q1149" i="3"/>
  <c r="Q1148" i="3"/>
  <c r="Q1147" i="3"/>
  <c r="Q1146" i="3"/>
  <c r="Q1145" i="3"/>
  <c r="Q1144" i="3"/>
  <c r="Q1143" i="3"/>
  <c r="Q1142" i="3"/>
  <c r="Q1141" i="3"/>
  <c r="Q1140" i="3"/>
  <c r="Q1139" i="3"/>
  <c r="Q1138" i="3"/>
  <c r="Q1137" i="3"/>
  <c r="Q1136" i="3"/>
  <c r="Q1135" i="3"/>
  <c r="Q1134" i="3"/>
  <c r="Q1133" i="3"/>
  <c r="Q1132" i="3"/>
  <c r="Q1131" i="3"/>
  <c r="Q1130" i="3"/>
  <c r="Q1129" i="3"/>
  <c r="Q1128" i="3"/>
  <c r="Q1127" i="3"/>
  <c r="Q1126" i="3"/>
  <c r="Q1125" i="3"/>
  <c r="Q1124" i="3"/>
  <c r="Q1123" i="3"/>
  <c r="Q1122" i="3"/>
  <c r="Q1121" i="3"/>
  <c r="Q1120" i="3"/>
  <c r="Q1119" i="3"/>
  <c r="Q1118" i="3"/>
  <c r="Q1117" i="3"/>
  <c r="Q1116" i="3"/>
  <c r="Q1115" i="3"/>
  <c r="Q1114" i="3"/>
  <c r="Q1113" i="3"/>
  <c r="Q1112" i="3"/>
  <c r="Q1111" i="3"/>
  <c r="Q1110" i="3"/>
  <c r="Q1109" i="3"/>
  <c r="Q1108" i="3"/>
  <c r="Q1107" i="3"/>
  <c r="Q1106" i="3"/>
  <c r="Q1105" i="3"/>
  <c r="Q1104" i="3"/>
  <c r="Q1103" i="3"/>
  <c r="Q1102" i="3"/>
  <c r="Q1101" i="3"/>
  <c r="Q1100" i="3"/>
  <c r="Q1099" i="3"/>
  <c r="Q1098" i="3"/>
  <c r="Q1097" i="3"/>
  <c r="Q1096" i="3"/>
  <c r="Q1095" i="3"/>
  <c r="Q1094" i="3"/>
  <c r="Q1093" i="3"/>
  <c r="Q1092" i="3"/>
  <c r="Q1091" i="3"/>
  <c r="Q1090" i="3"/>
  <c r="Q1089" i="3"/>
  <c r="Q1088" i="3"/>
  <c r="Q1087" i="3"/>
  <c r="Q1086" i="3"/>
  <c r="Q1085" i="3"/>
  <c r="Q1084" i="3"/>
  <c r="Q1083" i="3"/>
  <c r="Q1082" i="3"/>
  <c r="Q1081" i="3"/>
  <c r="Q1080" i="3"/>
  <c r="Q1079" i="3"/>
  <c r="Q1078" i="3"/>
  <c r="Q1077" i="3"/>
  <c r="Q1076" i="3"/>
  <c r="Q1075" i="3"/>
  <c r="Q1074" i="3"/>
  <c r="Q1073" i="3"/>
  <c r="Q1072" i="3"/>
  <c r="Q1071" i="3"/>
  <c r="Q1070" i="3"/>
  <c r="Q1069" i="3"/>
  <c r="Q1068" i="3"/>
  <c r="Q1067" i="3"/>
  <c r="Q1066" i="3"/>
  <c r="Q1065" i="3"/>
  <c r="Q1064" i="3"/>
  <c r="Q1063" i="3"/>
  <c r="Q1062" i="3"/>
  <c r="Q1061" i="3"/>
  <c r="Q1060" i="3"/>
  <c r="Q1059" i="3"/>
  <c r="Q1058" i="3"/>
  <c r="Q1057" i="3"/>
  <c r="Q1056" i="3"/>
  <c r="Q1055" i="3"/>
  <c r="Q1054" i="3"/>
  <c r="Q1053" i="3"/>
  <c r="Q1052" i="3"/>
  <c r="Q1051" i="3"/>
  <c r="Q1050" i="3"/>
  <c r="Q1049" i="3"/>
  <c r="Q1048" i="3"/>
  <c r="Q1047" i="3"/>
  <c r="Q1046" i="3"/>
  <c r="Q1045" i="3"/>
  <c r="Q1044" i="3"/>
  <c r="Q1043" i="3"/>
  <c r="Q1042" i="3"/>
  <c r="Q1041" i="3"/>
  <c r="Q1040" i="3"/>
  <c r="Q1039" i="3"/>
  <c r="Q1038" i="3"/>
  <c r="Q1037" i="3"/>
  <c r="Q1036" i="3"/>
  <c r="Q1035" i="3"/>
  <c r="Q1034" i="3"/>
  <c r="Q1033" i="3"/>
  <c r="Q1032" i="3"/>
  <c r="Q1031" i="3"/>
  <c r="Q1030" i="3"/>
  <c r="Q1029" i="3"/>
  <c r="Q1028" i="3"/>
  <c r="Q1027" i="3"/>
  <c r="Q1026" i="3"/>
  <c r="Q1025" i="3"/>
  <c r="Q1024" i="3"/>
  <c r="Q1023" i="3"/>
  <c r="Q1022" i="3"/>
  <c r="Q1021" i="3"/>
  <c r="Q1020" i="3"/>
  <c r="Q1019" i="3"/>
  <c r="Q1018" i="3"/>
  <c r="Q1017" i="3"/>
  <c r="Q1016" i="3"/>
  <c r="Q1015" i="3"/>
  <c r="Q1014" i="3"/>
  <c r="Q1013" i="3"/>
  <c r="Q1012" i="3"/>
  <c r="Q1011" i="3"/>
  <c r="Q1010" i="3"/>
  <c r="Q1009" i="3"/>
  <c r="Q1008" i="3"/>
  <c r="Q1007" i="3"/>
  <c r="Q1006" i="3"/>
  <c r="Q1005" i="3"/>
  <c r="Q1004" i="3"/>
  <c r="Q1003" i="3"/>
  <c r="Q1002" i="3"/>
  <c r="Q1001" i="3"/>
  <c r="Q1000" i="3"/>
  <c r="Q999" i="3"/>
  <c r="Q998" i="3"/>
  <c r="Q997" i="3"/>
  <c r="Q996" i="3"/>
  <c r="Q995" i="3"/>
  <c r="Q994" i="3"/>
  <c r="Q993" i="3"/>
  <c r="Q992" i="3"/>
  <c r="Q991" i="3"/>
  <c r="Q990" i="3"/>
  <c r="Q989" i="3"/>
  <c r="Q988" i="3"/>
  <c r="Q987" i="3"/>
  <c r="Q986" i="3"/>
  <c r="Q985" i="3"/>
  <c r="Q984" i="3"/>
  <c r="Q983" i="3"/>
  <c r="Q982" i="3"/>
  <c r="Q981" i="3"/>
  <c r="Q980" i="3"/>
  <c r="Q979" i="3"/>
  <c r="Q978" i="3"/>
  <c r="Q977" i="3"/>
  <c r="Q976" i="3"/>
  <c r="Q975" i="3"/>
  <c r="Q974" i="3"/>
  <c r="Q973" i="3"/>
  <c r="Q972" i="3"/>
  <c r="Q971" i="3"/>
  <c r="Q970" i="3"/>
  <c r="Q969" i="3"/>
  <c r="Q968" i="3"/>
  <c r="Q967" i="3"/>
  <c r="Q966" i="3"/>
  <c r="Q965" i="3"/>
  <c r="Q964" i="3"/>
  <c r="Q963" i="3"/>
  <c r="Q962" i="3"/>
  <c r="Q961" i="3"/>
  <c r="Q960" i="3"/>
  <c r="Q959" i="3"/>
  <c r="Q958" i="3"/>
  <c r="Q957" i="3"/>
  <c r="Q956" i="3"/>
  <c r="Q955" i="3"/>
  <c r="Q954" i="3"/>
  <c r="Q953" i="3"/>
  <c r="Q952" i="3"/>
  <c r="Q951" i="3"/>
  <c r="Q950" i="3"/>
  <c r="Q949" i="3"/>
  <c r="Q948" i="3"/>
  <c r="Q947" i="3"/>
  <c r="Q946" i="3"/>
  <c r="Q945" i="3"/>
  <c r="Q944" i="3"/>
  <c r="Q943" i="3"/>
  <c r="Q942" i="3"/>
  <c r="Q941" i="3"/>
  <c r="Q940" i="3"/>
  <c r="Q939" i="3"/>
  <c r="Q938" i="3"/>
  <c r="Q937" i="3"/>
  <c r="Q936" i="3"/>
  <c r="Q935" i="3"/>
  <c r="Q934" i="3"/>
  <c r="Q933" i="3"/>
  <c r="Q932" i="3"/>
  <c r="Q931" i="3"/>
  <c r="Q930" i="3"/>
  <c r="Q929" i="3"/>
  <c r="Q928" i="3"/>
  <c r="Q927" i="3"/>
  <c r="Q926" i="3"/>
  <c r="Q925" i="3"/>
  <c r="Q924" i="3"/>
  <c r="Q923" i="3"/>
  <c r="Q922" i="3"/>
  <c r="Q921" i="3"/>
  <c r="Q920" i="3"/>
  <c r="Q919" i="3"/>
  <c r="Q918" i="3"/>
  <c r="Q917" i="3"/>
  <c r="Q916" i="3"/>
  <c r="Q915" i="3"/>
  <c r="Q914" i="3"/>
  <c r="Q913" i="3"/>
  <c r="Q912" i="3"/>
  <c r="Q911" i="3"/>
  <c r="Q910" i="3"/>
  <c r="Q909" i="3"/>
  <c r="Q908" i="3"/>
  <c r="Q907" i="3"/>
  <c r="Q906" i="3"/>
  <c r="Q905" i="3"/>
  <c r="Q904" i="3"/>
  <c r="Q903" i="3"/>
  <c r="Q902" i="3"/>
  <c r="Q901" i="3"/>
  <c r="Q900" i="3"/>
  <c r="Q899" i="3"/>
  <c r="Q898" i="3"/>
  <c r="Q897" i="3"/>
  <c r="Q896" i="3"/>
  <c r="Q895" i="3"/>
  <c r="Q894" i="3"/>
  <c r="Q893" i="3"/>
  <c r="Q892" i="3"/>
  <c r="Q891" i="3"/>
  <c r="Q890" i="3"/>
  <c r="Q889" i="3"/>
  <c r="Q888" i="3"/>
  <c r="Q887" i="3"/>
  <c r="Q886" i="3"/>
  <c r="Q885" i="3"/>
  <c r="Q884" i="3"/>
  <c r="Q883" i="3"/>
  <c r="Q882" i="3"/>
  <c r="Q881" i="3"/>
  <c r="Q880" i="3"/>
  <c r="Q879" i="3"/>
  <c r="Q878" i="3"/>
  <c r="Q877" i="3"/>
  <c r="Q876" i="3"/>
  <c r="Q875" i="3"/>
  <c r="Q874" i="3"/>
  <c r="Q873" i="3"/>
  <c r="Q872" i="3"/>
  <c r="Q871" i="3"/>
  <c r="Q870" i="3"/>
  <c r="Q869" i="3"/>
  <c r="Q868" i="3"/>
  <c r="Q867" i="3"/>
  <c r="Q866" i="3"/>
  <c r="Q865" i="3"/>
  <c r="Q864" i="3"/>
  <c r="Q863" i="3"/>
  <c r="Q862" i="3"/>
  <c r="Q861" i="3"/>
  <c r="Q860" i="3"/>
  <c r="Q859" i="3"/>
  <c r="Q858" i="3"/>
  <c r="Q857" i="3"/>
  <c r="Q856" i="3"/>
  <c r="Q855" i="3"/>
  <c r="Q854" i="3"/>
  <c r="Q853" i="3"/>
  <c r="Q852" i="3"/>
  <c r="Q851" i="3"/>
  <c r="Q850" i="3"/>
  <c r="Q849" i="3"/>
  <c r="Q848" i="3"/>
  <c r="Q847" i="3"/>
  <c r="Q846" i="3"/>
  <c r="Q845" i="3"/>
  <c r="Q844" i="3"/>
  <c r="Q843" i="3"/>
  <c r="Q842" i="3"/>
  <c r="Q841" i="3"/>
  <c r="Q840" i="3"/>
  <c r="Q839" i="3"/>
  <c r="Q838" i="3"/>
  <c r="Q837" i="3"/>
  <c r="Q836" i="3"/>
  <c r="Q835" i="3"/>
  <c r="Q834" i="3"/>
  <c r="Q833" i="3"/>
  <c r="Q832" i="3"/>
  <c r="Q831" i="3"/>
  <c r="Q830" i="3"/>
  <c r="Q829" i="3"/>
  <c r="Q828" i="3"/>
  <c r="Q827" i="3"/>
  <c r="Q826" i="3"/>
  <c r="Q825" i="3"/>
  <c r="Q824" i="3"/>
  <c r="Q823" i="3"/>
  <c r="Q822" i="3"/>
  <c r="Q821" i="3"/>
  <c r="Q820" i="3"/>
  <c r="Q819" i="3"/>
  <c r="Q818" i="3"/>
  <c r="Q817" i="3"/>
  <c r="Q816" i="3"/>
  <c r="Q815" i="3"/>
  <c r="Q814" i="3"/>
  <c r="Q813" i="3"/>
  <c r="Q812" i="3"/>
  <c r="Q811" i="3"/>
  <c r="Q810" i="3"/>
  <c r="Q809" i="3"/>
  <c r="Q808" i="3"/>
  <c r="Q807" i="3"/>
  <c r="Q806" i="3"/>
  <c r="Q805" i="3"/>
  <c r="Q804" i="3"/>
  <c r="Q803" i="3"/>
  <c r="Q802" i="3"/>
  <c r="Q801" i="3"/>
  <c r="Q800" i="3"/>
  <c r="Q799" i="3"/>
  <c r="Q798" i="3"/>
  <c r="Q797" i="3"/>
  <c r="Q796" i="3"/>
  <c r="Q795" i="3"/>
  <c r="Q794" i="3"/>
  <c r="Q793" i="3"/>
  <c r="Q792" i="3"/>
  <c r="Q791" i="3"/>
  <c r="Q790" i="3"/>
  <c r="Q789" i="3"/>
  <c r="Q788" i="3"/>
  <c r="Q787" i="3"/>
  <c r="Q786" i="3"/>
  <c r="Q785" i="3"/>
  <c r="Q784" i="3"/>
  <c r="Q783" i="3"/>
  <c r="Q782" i="3"/>
  <c r="Q781" i="3"/>
  <c r="Q780" i="3"/>
  <c r="Q779" i="3"/>
  <c r="Q778" i="3"/>
  <c r="Q777" i="3"/>
  <c r="Q776" i="3"/>
  <c r="Q775" i="3"/>
  <c r="Q774" i="3"/>
  <c r="Q773" i="3"/>
  <c r="Q772" i="3"/>
  <c r="Q771" i="3"/>
  <c r="Q770" i="3"/>
  <c r="Q769" i="3"/>
  <c r="Q768" i="3"/>
  <c r="Q767" i="3"/>
  <c r="Q766" i="3"/>
  <c r="Q765" i="3"/>
  <c r="Q764" i="3"/>
  <c r="Q763" i="3"/>
  <c r="Q762" i="3"/>
  <c r="Q761" i="3"/>
  <c r="Q760" i="3"/>
  <c r="Q759" i="3"/>
  <c r="Q758" i="3"/>
  <c r="Q757" i="3"/>
  <c r="Q756" i="3"/>
  <c r="Q755" i="3"/>
  <c r="Q754" i="3"/>
  <c r="Q753" i="3"/>
  <c r="Q752" i="3"/>
  <c r="Q751" i="3"/>
  <c r="Q750" i="3"/>
  <c r="Q749" i="3"/>
  <c r="Q748" i="3"/>
  <c r="Q747" i="3"/>
  <c r="Q746" i="3"/>
  <c r="Q745" i="3"/>
  <c r="Q744" i="3"/>
  <c r="Q743" i="3"/>
  <c r="Q742" i="3"/>
  <c r="Q741" i="3"/>
  <c r="Q740" i="3"/>
  <c r="Q739" i="3"/>
  <c r="Q738" i="3"/>
  <c r="Q737" i="3"/>
  <c r="Q736" i="3"/>
  <c r="Q735" i="3"/>
  <c r="Q734" i="3"/>
  <c r="Q733" i="3"/>
  <c r="Q732" i="3"/>
  <c r="Q731" i="3"/>
  <c r="Q730" i="3"/>
  <c r="Q729" i="3"/>
  <c r="Q728" i="3"/>
  <c r="Q727" i="3"/>
  <c r="Q726" i="3"/>
  <c r="Q725" i="3"/>
  <c r="Q724" i="3"/>
  <c r="Q723" i="3"/>
  <c r="Q722" i="3"/>
  <c r="Q721" i="3"/>
  <c r="Q720" i="3"/>
  <c r="Q719" i="3"/>
  <c r="Q718" i="3"/>
  <c r="Q717" i="3"/>
  <c r="Q716" i="3"/>
  <c r="Q715" i="3"/>
  <c r="Q714" i="3"/>
  <c r="Q713" i="3"/>
  <c r="Q712" i="3"/>
  <c r="Q711" i="3"/>
  <c r="Q710" i="3"/>
  <c r="Q709" i="3"/>
  <c r="Q708" i="3"/>
  <c r="Q707" i="3"/>
  <c r="Q706" i="3"/>
  <c r="Q705" i="3"/>
  <c r="Q704" i="3"/>
  <c r="Q703" i="3"/>
  <c r="Q702" i="3"/>
  <c r="Q701" i="3"/>
  <c r="Q700" i="3"/>
  <c r="Q699" i="3"/>
  <c r="Q698" i="3"/>
  <c r="Q697" i="3"/>
  <c r="Q696" i="3"/>
  <c r="Q695" i="3"/>
  <c r="Q694" i="3"/>
  <c r="Q693" i="3"/>
  <c r="Q692" i="3"/>
  <c r="Q691" i="3"/>
  <c r="Q690" i="3"/>
  <c r="Q689" i="3"/>
  <c r="Q688" i="3"/>
  <c r="Q687" i="3"/>
  <c r="Q686" i="3"/>
  <c r="Q685" i="3"/>
  <c r="Q684" i="3"/>
  <c r="Q683" i="3"/>
  <c r="Q682" i="3"/>
  <c r="Q681" i="3"/>
  <c r="Q680" i="3"/>
  <c r="Q679" i="3"/>
  <c r="Q678" i="3"/>
  <c r="Q677" i="3"/>
  <c r="Q676" i="3"/>
  <c r="Q675" i="3"/>
  <c r="Q674" i="3"/>
  <c r="Q673" i="3"/>
  <c r="Q672" i="3"/>
  <c r="Q671" i="3"/>
  <c r="Q670" i="3"/>
  <c r="Q669" i="3"/>
  <c r="Q668" i="3"/>
  <c r="Q667" i="3"/>
  <c r="Q666" i="3"/>
  <c r="Q665" i="3"/>
  <c r="Q664" i="3"/>
  <c r="Q663" i="3"/>
  <c r="Q662" i="3"/>
  <c r="Q661" i="3"/>
  <c r="Q660" i="3"/>
  <c r="Q659" i="3"/>
  <c r="Q658" i="3"/>
  <c r="Q657" i="3"/>
  <c r="Q656" i="3"/>
  <c r="Q655" i="3"/>
  <c r="Q654" i="3"/>
  <c r="Q653" i="3"/>
  <c r="Q652" i="3"/>
  <c r="Q651" i="3"/>
  <c r="Q650" i="3"/>
  <c r="Q649" i="3"/>
  <c r="Q648" i="3"/>
  <c r="Q647" i="3"/>
  <c r="Q646" i="3"/>
  <c r="Q645" i="3"/>
  <c r="Q644" i="3"/>
  <c r="Q643" i="3"/>
  <c r="Q642" i="3"/>
  <c r="Q641" i="3"/>
  <c r="Q640" i="3"/>
  <c r="Q639" i="3"/>
  <c r="Q638" i="3"/>
  <c r="Q637" i="3"/>
  <c r="Q636" i="3"/>
  <c r="Q635" i="3"/>
  <c r="Q634" i="3"/>
  <c r="Q633" i="3"/>
  <c r="Q632" i="3"/>
  <c r="Q631" i="3"/>
  <c r="Q630" i="3"/>
  <c r="Q629" i="3"/>
  <c r="Q628" i="3"/>
  <c r="Q627" i="3"/>
  <c r="Q626" i="3"/>
  <c r="Q625" i="3"/>
  <c r="Q624" i="3"/>
  <c r="Q623" i="3"/>
  <c r="Q622" i="3"/>
  <c r="Q621" i="3"/>
  <c r="Q620" i="3"/>
  <c r="Q619" i="3"/>
  <c r="Q618" i="3"/>
  <c r="Q617" i="3"/>
  <c r="Q616" i="3"/>
  <c r="Q615" i="3"/>
  <c r="Q614" i="3"/>
  <c r="Q613" i="3"/>
  <c r="Q612" i="3"/>
  <c r="Q611" i="3"/>
  <c r="Q610" i="3"/>
  <c r="Q609" i="3"/>
  <c r="Q608" i="3"/>
  <c r="Q607" i="3"/>
  <c r="Q606" i="3"/>
  <c r="Q605" i="3"/>
  <c r="Q604" i="3"/>
  <c r="Q603" i="3"/>
  <c r="Q602" i="3"/>
  <c r="Q601" i="3"/>
  <c r="Q600" i="3"/>
  <c r="Q599" i="3"/>
  <c r="Q598" i="3"/>
  <c r="Q597" i="3"/>
  <c r="Q596" i="3"/>
  <c r="Q595" i="3"/>
  <c r="Q594" i="3"/>
  <c r="Q593" i="3"/>
  <c r="Q592" i="3"/>
  <c r="Q591" i="3"/>
  <c r="Q590" i="3"/>
  <c r="Q589" i="3"/>
  <c r="Q588" i="3"/>
  <c r="Q587" i="3"/>
  <c r="Q586" i="3"/>
  <c r="Q585" i="3"/>
  <c r="Q584" i="3"/>
  <c r="Q583" i="3"/>
  <c r="Q582" i="3"/>
  <c r="Q581" i="3"/>
  <c r="Q580" i="3"/>
  <c r="Q579" i="3"/>
  <c r="Q578" i="3"/>
  <c r="Q577" i="3"/>
  <c r="Q576" i="3"/>
  <c r="Q575" i="3"/>
  <c r="Q574" i="3"/>
  <c r="Q573" i="3"/>
  <c r="Q572" i="3"/>
  <c r="Q571" i="3"/>
  <c r="Q570" i="3"/>
  <c r="Q569" i="3"/>
  <c r="Q568" i="3"/>
  <c r="Q567" i="3"/>
  <c r="Q566" i="3"/>
  <c r="Q565" i="3"/>
  <c r="Q564" i="3"/>
  <c r="Q563" i="3"/>
  <c r="Q562" i="3"/>
  <c r="Q561" i="3"/>
  <c r="Q560" i="3"/>
  <c r="Q559" i="3"/>
  <c r="Q558" i="3"/>
  <c r="Q557" i="3"/>
  <c r="Q556" i="3"/>
  <c r="Q555" i="3"/>
  <c r="Q554" i="3"/>
  <c r="Q553" i="3"/>
  <c r="Q552" i="3"/>
  <c r="Q551" i="3"/>
  <c r="Q550" i="3"/>
  <c r="Q549" i="3"/>
  <c r="Q548" i="3"/>
  <c r="Q547" i="3"/>
  <c r="Q546" i="3"/>
  <c r="Q545" i="3"/>
  <c r="Q544" i="3"/>
  <c r="Q543" i="3"/>
  <c r="Q542" i="3"/>
  <c r="Q541" i="3"/>
  <c r="Q540" i="3"/>
  <c r="Q539" i="3"/>
  <c r="Q538" i="3"/>
  <c r="Q537" i="3"/>
  <c r="Q536" i="3"/>
  <c r="Q535" i="3"/>
  <c r="Q534" i="3"/>
  <c r="Q533" i="3"/>
  <c r="Q532" i="3"/>
  <c r="Q531" i="3"/>
  <c r="Q530" i="3"/>
  <c r="Q529" i="3"/>
  <c r="Q528" i="3"/>
  <c r="Q527" i="3"/>
  <c r="Q526" i="3"/>
  <c r="Q525" i="3"/>
  <c r="Q524" i="3"/>
  <c r="Q523" i="3"/>
  <c r="Q522" i="3"/>
  <c r="Q521" i="3"/>
  <c r="Q520" i="3"/>
  <c r="Q519" i="3"/>
  <c r="Q518" i="3"/>
  <c r="Q517" i="3"/>
  <c r="Q516" i="3"/>
  <c r="Q515" i="3"/>
  <c r="Q514" i="3"/>
  <c r="Q513" i="3"/>
  <c r="Q512" i="3"/>
  <c r="Q511" i="3"/>
  <c r="Q510" i="3"/>
  <c r="Q509" i="3"/>
  <c r="Q508" i="3"/>
  <c r="Q507" i="3"/>
  <c r="Q506" i="3"/>
  <c r="Q505" i="3"/>
  <c r="Q504" i="3"/>
  <c r="Q503" i="3"/>
  <c r="Q502" i="3"/>
  <c r="Q501" i="3"/>
  <c r="Q500" i="3"/>
  <c r="Q499" i="3"/>
  <c r="Q498" i="3"/>
  <c r="Q497" i="3"/>
  <c r="Q496" i="3"/>
  <c r="Q495" i="3"/>
  <c r="Q494" i="3"/>
  <c r="Q493" i="3"/>
  <c r="Q492" i="3"/>
  <c r="Q491" i="3"/>
  <c r="Q490" i="3"/>
  <c r="Q489" i="3"/>
  <c r="Q488" i="3"/>
  <c r="Q487" i="3"/>
  <c r="Q486" i="3"/>
  <c r="Q485" i="3"/>
  <c r="Q484" i="3"/>
  <c r="Q483" i="3"/>
  <c r="Q482" i="3"/>
  <c r="Q481" i="3"/>
  <c r="Q480" i="3"/>
  <c r="Q479" i="3"/>
  <c r="Q478" i="3"/>
  <c r="Q477" i="3"/>
  <c r="Q476" i="3"/>
  <c r="Q475" i="3"/>
  <c r="Q474" i="3"/>
  <c r="Q473" i="3"/>
  <c r="Q472" i="3"/>
  <c r="Q471" i="3"/>
  <c r="Q470" i="3"/>
  <c r="Q469" i="3"/>
  <c r="Q468" i="3"/>
  <c r="Q467" i="3"/>
  <c r="Q466" i="3"/>
  <c r="Q465" i="3"/>
  <c r="Q464" i="3"/>
  <c r="Q463" i="3"/>
  <c r="Q462" i="3"/>
  <c r="Q461" i="3"/>
  <c r="Q460" i="3"/>
  <c r="Q459" i="3"/>
  <c r="Q458" i="3"/>
  <c r="Q457" i="3"/>
  <c r="Q456" i="3"/>
  <c r="Q455" i="3"/>
  <c r="Q454" i="3"/>
  <c r="Q453" i="3"/>
  <c r="Q452" i="3"/>
  <c r="Q451" i="3"/>
  <c r="Q450" i="3"/>
  <c r="Q449" i="3"/>
  <c r="Q448" i="3"/>
  <c r="Q447" i="3"/>
  <c r="Q446" i="3"/>
  <c r="Q445" i="3"/>
  <c r="Q444" i="3"/>
  <c r="Q443" i="3"/>
  <c r="Q442" i="3"/>
  <c r="Q441" i="3"/>
  <c r="Q440" i="3"/>
  <c r="Q439" i="3"/>
  <c r="Q438" i="3"/>
  <c r="Q437" i="3"/>
  <c r="Q436" i="3"/>
  <c r="Q435" i="3"/>
  <c r="Q434" i="3"/>
  <c r="Q433" i="3"/>
  <c r="Q432" i="3"/>
  <c r="Q431" i="3"/>
  <c r="Q430" i="3"/>
  <c r="Q429" i="3"/>
  <c r="Q428" i="3"/>
  <c r="Q427" i="3"/>
  <c r="Q426" i="3"/>
  <c r="Q425" i="3"/>
  <c r="Q424" i="3"/>
  <c r="Q423" i="3"/>
  <c r="Q422" i="3"/>
  <c r="Q421" i="3"/>
  <c r="Q420" i="3"/>
  <c r="Q419" i="3"/>
  <c r="Q418" i="3"/>
  <c r="Q417" i="3"/>
  <c r="Q416" i="3"/>
  <c r="Q415" i="3"/>
  <c r="Q414" i="3"/>
  <c r="Q413" i="3"/>
  <c r="Q412" i="3"/>
  <c r="Q411" i="3"/>
  <c r="Q410" i="3"/>
  <c r="Q409" i="3"/>
  <c r="Q408" i="3"/>
  <c r="Q407" i="3"/>
  <c r="Q406" i="3"/>
  <c r="Q405" i="3"/>
  <c r="Q404" i="3"/>
  <c r="Q403" i="3"/>
  <c r="Q402" i="3"/>
  <c r="Q401" i="3"/>
  <c r="Q400" i="3"/>
  <c r="Q399" i="3"/>
  <c r="Q398" i="3"/>
  <c r="Q397" i="3"/>
  <c r="Q396" i="3"/>
  <c r="Q395" i="3"/>
  <c r="Q394" i="3"/>
  <c r="Q393" i="3"/>
  <c r="Q392" i="3"/>
  <c r="Q391" i="3"/>
  <c r="Q390" i="3"/>
  <c r="Q389" i="3"/>
  <c r="Q388" i="3"/>
  <c r="Q387" i="3"/>
  <c r="Q386" i="3"/>
  <c r="Q385" i="3"/>
  <c r="Q384" i="3"/>
  <c r="Q383" i="3"/>
  <c r="Q382" i="3"/>
  <c r="Q381" i="3"/>
  <c r="Q380" i="3"/>
  <c r="Q379" i="3"/>
  <c r="Q378" i="3"/>
  <c r="Q377" i="3"/>
  <c r="Q376" i="3"/>
  <c r="Q375" i="3"/>
  <c r="Q374" i="3"/>
  <c r="Q373" i="3"/>
  <c r="Q372" i="3"/>
  <c r="Q371" i="3"/>
  <c r="Q370" i="3"/>
  <c r="Q369" i="3"/>
  <c r="Q368" i="3"/>
  <c r="Q367" i="3"/>
  <c r="Q366" i="3"/>
  <c r="Q365" i="3"/>
  <c r="Q364" i="3"/>
  <c r="Q363" i="3"/>
  <c r="Q362" i="3"/>
  <c r="Q361" i="3"/>
  <c r="Q360" i="3"/>
  <c r="Q359" i="3"/>
  <c r="Q358" i="3"/>
  <c r="Q357" i="3"/>
  <c r="Q356" i="3"/>
  <c r="Q355" i="3"/>
  <c r="Q354" i="3"/>
  <c r="Q353" i="3"/>
  <c r="Q352" i="3"/>
  <c r="Q351" i="3"/>
  <c r="Q350" i="3"/>
  <c r="Q349" i="3"/>
  <c r="Q348" i="3"/>
  <c r="Q347" i="3"/>
  <c r="Q346" i="3"/>
  <c r="Q345" i="3"/>
  <c r="Q344" i="3"/>
  <c r="Q343" i="3"/>
  <c r="Q342" i="3"/>
  <c r="Q341" i="3"/>
  <c r="Q340" i="3"/>
  <c r="Q339" i="3"/>
  <c r="Q338" i="3"/>
  <c r="Q337" i="3"/>
  <c r="Q336" i="3"/>
  <c r="Q335" i="3"/>
  <c r="Q334" i="3"/>
  <c r="Q333" i="3"/>
  <c r="Q332" i="3"/>
  <c r="Q331" i="3"/>
  <c r="Q330" i="3"/>
  <c r="Q329" i="3"/>
  <c r="Q328" i="3"/>
  <c r="Q327" i="3"/>
  <c r="Q326" i="3"/>
  <c r="Q325" i="3"/>
  <c r="Q324" i="3"/>
  <c r="Q323" i="3"/>
  <c r="Q322" i="3"/>
  <c r="Q321" i="3"/>
  <c r="Q320" i="3"/>
  <c r="Q319" i="3"/>
  <c r="Q318" i="3"/>
  <c r="Q317" i="3"/>
  <c r="Q316" i="3"/>
  <c r="Q315" i="3"/>
  <c r="Q314" i="3"/>
  <c r="Q313" i="3"/>
  <c r="Q312" i="3"/>
  <c r="Q311" i="3"/>
  <c r="Q310" i="3"/>
  <c r="Q309" i="3"/>
  <c r="Q308" i="3"/>
  <c r="Q307" i="3"/>
  <c r="Q306" i="3"/>
  <c r="Q305" i="3"/>
  <c r="Q304" i="3"/>
  <c r="Q303" i="3"/>
  <c r="Q302" i="3"/>
  <c r="Q301" i="3"/>
  <c r="Q300" i="3"/>
  <c r="Q299" i="3"/>
  <c r="Q298" i="3"/>
  <c r="Q297" i="3"/>
  <c r="Q296" i="3"/>
  <c r="Q295" i="3"/>
  <c r="Q294" i="3"/>
  <c r="Q293" i="3"/>
  <c r="Q292" i="3"/>
  <c r="Q291" i="3"/>
  <c r="Q290" i="3"/>
  <c r="Q289" i="3"/>
  <c r="Q288" i="3"/>
  <c r="Q287" i="3"/>
  <c r="Q286" i="3"/>
  <c r="Q285" i="3"/>
  <c r="Q284" i="3"/>
  <c r="Q283" i="3"/>
  <c r="Q282" i="3"/>
  <c r="Q281" i="3"/>
  <c r="Q280" i="3"/>
  <c r="Q279" i="3"/>
  <c r="Q278" i="3"/>
  <c r="Q277" i="3"/>
  <c r="Q276" i="3"/>
  <c r="Q275" i="3"/>
  <c r="Q274" i="3"/>
  <c r="Q273" i="3"/>
  <c r="Q272" i="3"/>
  <c r="Q271" i="3"/>
  <c r="Q270" i="3"/>
  <c r="Q269" i="3"/>
  <c r="Q268" i="3"/>
  <c r="Q267" i="3"/>
  <c r="Q266" i="3"/>
  <c r="Q265" i="3"/>
  <c r="Q264" i="3"/>
  <c r="Q263" i="3"/>
  <c r="Q262" i="3"/>
  <c r="Q261" i="3"/>
  <c r="Q260" i="3"/>
  <c r="Q259" i="3"/>
  <c r="Q258" i="3"/>
  <c r="Q257" i="3"/>
  <c r="Q256" i="3"/>
  <c r="Q255" i="3"/>
  <c r="Q254" i="3"/>
  <c r="Q253" i="3"/>
  <c r="Q252" i="3"/>
  <c r="Q251" i="3"/>
  <c r="Q250" i="3"/>
  <c r="Q249" i="3"/>
  <c r="Q248" i="3"/>
  <c r="Q247" i="3"/>
  <c r="Q246" i="3"/>
  <c r="Q245" i="3"/>
  <c r="Q244" i="3"/>
  <c r="Q243" i="3"/>
  <c r="Q242" i="3"/>
  <c r="Q241" i="3"/>
  <c r="Q240" i="3"/>
  <c r="Q239" i="3"/>
  <c r="Q238" i="3"/>
  <c r="Q237" i="3"/>
  <c r="Q236" i="3"/>
  <c r="Q235" i="3"/>
  <c r="Q234" i="3"/>
  <c r="Q233" i="3"/>
  <c r="Q232" i="3"/>
  <c r="Q231" i="3"/>
  <c r="Q230" i="3"/>
  <c r="Q229" i="3"/>
  <c r="Q228" i="3"/>
  <c r="Q227" i="3"/>
  <c r="Q226" i="3"/>
  <c r="Q225" i="3"/>
  <c r="Q224" i="3"/>
  <c r="Q223" i="3"/>
  <c r="Q222" i="3"/>
  <c r="Q221" i="3"/>
  <c r="Q220" i="3"/>
  <c r="Q219" i="3"/>
  <c r="Q218" i="3"/>
  <c r="Q217" i="3"/>
  <c r="Q216" i="3"/>
  <c r="Q215" i="3"/>
  <c r="Q214" i="3"/>
  <c r="Q213" i="3"/>
  <c r="Q212" i="3"/>
  <c r="Q211" i="3"/>
  <c r="Q210" i="3"/>
  <c r="Q209" i="3"/>
  <c r="Q208" i="3"/>
  <c r="Q207" i="3"/>
  <c r="Q206" i="3"/>
  <c r="Q205" i="3"/>
  <c r="Q204" i="3"/>
  <c r="Q203" i="3"/>
  <c r="Q202" i="3"/>
  <c r="Q201" i="3"/>
  <c r="Q200" i="3"/>
  <c r="Q199" i="3"/>
  <c r="Q198" i="3"/>
  <c r="Q197" i="3"/>
  <c r="Q196" i="3"/>
  <c r="Q195" i="3"/>
  <c r="Q194" i="3"/>
  <c r="Q193" i="3"/>
  <c r="Q192" i="3"/>
  <c r="Q191" i="3"/>
  <c r="Q190" i="3"/>
  <c r="Q189" i="3"/>
  <c r="Q188" i="3"/>
  <c r="Q187" i="3"/>
  <c r="Q186" i="3"/>
  <c r="Q185" i="3"/>
  <c r="Q184" i="3"/>
  <c r="Q183" i="3"/>
  <c r="Q182" i="3"/>
  <c r="Q181" i="3"/>
  <c r="Q180" i="3"/>
  <c r="Q179" i="3"/>
  <c r="Q178" i="3"/>
  <c r="Q177" i="3"/>
  <c r="Q176" i="3"/>
  <c r="Q175" i="3"/>
  <c r="Q174" i="3"/>
  <c r="Q173" i="3"/>
  <c r="Q172" i="3"/>
  <c r="Q171" i="3"/>
  <c r="Q170" i="3"/>
  <c r="Q169" i="3"/>
  <c r="Q168" i="3"/>
  <c r="Q167" i="3"/>
  <c r="Q166" i="3"/>
  <c r="Q165" i="3"/>
  <c r="Q164" i="3"/>
  <c r="Q163" i="3"/>
  <c r="Q162" i="3"/>
  <c r="Q161" i="3"/>
  <c r="Q160" i="3"/>
  <c r="Q159" i="3"/>
  <c r="Q158" i="3"/>
  <c r="Q157" i="3"/>
  <c r="Q156" i="3"/>
  <c r="Q155" i="3"/>
  <c r="Q154" i="3"/>
  <c r="Q153" i="3"/>
  <c r="Q152" i="3"/>
  <c r="Q151" i="3"/>
  <c r="Q150" i="3"/>
  <c r="Q149" i="3"/>
  <c r="Q148" i="3"/>
  <c r="Q147" i="3"/>
  <c r="Q146" i="3"/>
  <c r="Q145" i="3"/>
  <c r="Q144" i="3"/>
  <c r="Q143" i="3"/>
  <c r="Q142" i="3"/>
  <c r="Q141" i="3"/>
  <c r="Q140" i="3"/>
  <c r="Q139" i="3"/>
  <c r="Q138" i="3"/>
  <c r="Q137" i="3"/>
  <c r="Q136" i="3"/>
  <c r="Q135" i="3"/>
  <c r="Q134" i="3"/>
  <c r="Q133" i="3"/>
  <c r="Q132" i="3"/>
  <c r="Q131" i="3"/>
  <c r="Q130" i="3"/>
  <c r="Q129" i="3"/>
  <c r="Q128" i="3"/>
  <c r="Q127" i="3"/>
  <c r="Q126" i="3"/>
  <c r="Q125" i="3"/>
  <c r="Q124" i="3"/>
  <c r="Q123" i="3"/>
  <c r="Q122" i="3"/>
  <c r="Q121" i="3"/>
  <c r="Q120" i="3"/>
  <c r="Q119" i="3"/>
  <c r="Q118" i="3"/>
  <c r="Q117" i="3"/>
  <c r="Q116" i="3"/>
  <c r="Q115" i="3"/>
  <c r="Q114" i="3"/>
  <c r="Q113" i="3"/>
  <c r="Q112" i="3"/>
  <c r="Q111" i="3"/>
  <c r="Q110" i="3"/>
  <c r="Q109" i="3"/>
  <c r="Q108" i="3"/>
  <c r="Q107" i="3"/>
  <c r="Q106" i="3"/>
  <c r="Q105" i="3"/>
  <c r="Q104" i="3"/>
  <c r="Q103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Q2" i="3"/>
  <c r="V1096" i="2"/>
  <c r="V1095" i="2"/>
  <c r="V1094" i="2"/>
  <c r="V1093" i="2"/>
  <c r="V1092" i="2"/>
  <c r="V1091" i="2"/>
  <c r="V1090" i="2"/>
  <c r="V1089" i="2"/>
  <c r="V1088" i="2"/>
  <c r="V1087" i="2"/>
  <c r="V1086" i="2"/>
  <c r="V1085" i="2"/>
  <c r="V1084" i="2"/>
  <c r="V1083" i="2"/>
  <c r="V1082" i="2"/>
  <c r="V1081" i="2"/>
  <c r="V1080" i="2"/>
  <c r="V1079" i="2"/>
  <c r="V1078" i="2"/>
  <c r="V1077" i="2"/>
  <c r="V1076" i="2"/>
  <c r="V1075" i="2"/>
  <c r="V1074" i="2"/>
  <c r="V1073" i="2"/>
  <c r="V1072" i="2"/>
  <c r="V1071" i="2"/>
  <c r="V1070" i="2"/>
  <c r="V1069" i="2"/>
  <c r="V1068" i="2"/>
  <c r="V1067" i="2"/>
  <c r="V1066" i="2"/>
  <c r="V1065" i="2"/>
  <c r="V1064" i="2"/>
  <c r="V1063" i="2"/>
  <c r="V1062" i="2"/>
  <c r="V1061" i="2"/>
  <c r="V1060" i="2"/>
  <c r="V1059" i="2"/>
  <c r="V1058" i="2"/>
  <c r="V1057" i="2"/>
  <c r="V1056" i="2"/>
  <c r="V1055" i="2"/>
  <c r="V1054" i="2"/>
  <c r="V1053" i="2"/>
  <c r="V1052" i="2"/>
  <c r="V1051" i="2"/>
  <c r="V1050" i="2"/>
  <c r="V1049" i="2"/>
  <c r="V1048" i="2"/>
  <c r="V1047" i="2"/>
  <c r="V1046" i="2"/>
  <c r="V1045" i="2"/>
  <c r="V1044" i="2"/>
  <c r="V1043" i="2"/>
  <c r="V1042" i="2"/>
  <c r="V1041" i="2"/>
  <c r="V1040" i="2"/>
  <c r="V1039" i="2"/>
  <c r="V1038" i="2"/>
  <c r="V1037" i="2"/>
  <c r="V1036" i="2"/>
  <c r="V1035" i="2"/>
  <c r="V1034" i="2"/>
  <c r="V1033" i="2"/>
  <c r="V1032" i="2"/>
  <c r="V1031" i="2"/>
  <c r="V1030" i="2"/>
  <c r="V1029" i="2"/>
  <c r="V1028" i="2"/>
  <c r="V1027" i="2"/>
  <c r="V1026" i="2"/>
  <c r="V1025" i="2"/>
  <c r="V1024" i="2"/>
  <c r="V1023" i="2"/>
  <c r="V1022" i="2"/>
  <c r="V1021" i="2"/>
  <c r="V1020" i="2"/>
  <c r="V1019" i="2"/>
  <c r="V1018" i="2"/>
  <c r="V1017" i="2"/>
  <c r="V1016" i="2"/>
  <c r="V1015" i="2"/>
  <c r="V1014" i="2"/>
  <c r="V1013" i="2"/>
  <c r="V1012" i="2"/>
  <c r="V1011" i="2"/>
  <c r="V1010" i="2"/>
  <c r="V1009" i="2"/>
  <c r="V1008" i="2"/>
  <c r="V1007" i="2"/>
  <c r="V1006" i="2"/>
  <c r="V1005" i="2"/>
  <c r="V1004" i="2"/>
  <c r="V1003" i="2"/>
  <c r="V1002" i="2"/>
  <c r="V1001" i="2"/>
  <c r="V1000" i="2"/>
  <c r="V999" i="2"/>
  <c r="V998" i="2"/>
  <c r="V997" i="2"/>
  <c r="V996" i="2"/>
  <c r="V995" i="2"/>
  <c r="V994" i="2"/>
  <c r="V993" i="2"/>
  <c r="V992" i="2"/>
  <c r="V991" i="2"/>
  <c r="V990" i="2"/>
  <c r="V989" i="2"/>
  <c r="V988" i="2"/>
  <c r="V987" i="2"/>
  <c r="V986" i="2"/>
  <c r="V985" i="2"/>
  <c r="V984" i="2"/>
  <c r="V983" i="2"/>
  <c r="V982" i="2"/>
  <c r="V981" i="2"/>
  <c r="V980" i="2"/>
  <c r="V979" i="2"/>
  <c r="V978" i="2"/>
  <c r="V977" i="2"/>
  <c r="V976" i="2"/>
  <c r="V975" i="2"/>
  <c r="V974" i="2"/>
  <c r="V973" i="2"/>
  <c r="V972" i="2"/>
  <c r="V971" i="2"/>
  <c r="V970" i="2"/>
  <c r="V969" i="2"/>
  <c r="V968" i="2"/>
  <c r="V967" i="2"/>
  <c r="V966" i="2"/>
  <c r="V965" i="2"/>
  <c r="V964" i="2"/>
  <c r="V963" i="2"/>
  <c r="V962" i="2"/>
  <c r="V961" i="2"/>
  <c r="V960" i="2"/>
  <c r="V959" i="2"/>
  <c r="V958" i="2"/>
  <c r="V957" i="2"/>
  <c r="V956" i="2"/>
  <c r="V955" i="2"/>
  <c r="V954" i="2"/>
  <c r="V953" i="2"/>
  <c r="V952" i="2"/>
  <c r="V951" i="2"/>
  <c r="V950" i="2"/>
  <c r="V949" i="2"/>
  <c r="V948" i="2"/>
  <c r="V947" i="2"/>
  <c r="V946" i="2"/>
  <c r="V945" i="2"/>
  <c r="V944" i="2"/>
  <c r="V943" i="2"/>
  <c r="V942" i="2"/>
  <c r="V941" i="2"/>
  <c r="V940" i="2"/>
  <c r="V939" i="2"/>
  <c r="V938" i="2"/>
  <c r="V937" i="2"/>
  <c r="V936" i="2"/>
  <c r="V935" i="2"/>
  <c r="V934" i="2"/>
  <c r="V933" i="2"/>
  <c r="V932" i="2"/>
  <c r="V931" i="2"/>
  <c r="V930" i="2"/>
  <c r="V929" i="2"/>
  <c r="V928" i="2"/>
  <c r="V927" i="2"/>
  <c r="V926" i="2"/>
  <c r="V925" i="2"/>
  <c r="V924" i="2"/>
  <c r="V923" i="2"/>
  <c r="V922" i="2"/>
  <c r="V921" i="2"/>
  <c r="V920" i="2"/>
  <c r="V919" i="2"/>
  <c r="V918" i="2"/>
  <c r="V917" i="2"/>
  <c r="V916" i="2"/>
  <c r="V915" i="2"/>
  <c r="V914" i="2"/>
  <c r="V913" i="2"/>
  <c r="V912" i="2"/>
  <c r="V911" i="2"/>
  <c r="V910" i="2"/>
  <c r="V909" i="2"/>
  <c r="V908" i="2"/>
  <c r="V907" i="2"/>
  <c r="V906" i="2"/>
  <c r="V905" i="2"/>
  <c r="V904" i="2"/>
  <c r="V903" i="2"/>
  <c r="V902" i="2"/>
  <c r="V901" i="2"/>
  <c r="V900" i="2"/>
  <c r="V899" i="2"/>
  <c r="V898" i="2"/>
  <c r="V897" i="2"/>
  <c r="V896" i="2"/>
  <c r="V895" i="2"/>
  <c r="V894" i="2"/>
  <c r="V893" i="2"/>
  <c r="V892" i="2"/>
  <c r="V891" i="2"/>
  <c r="V890" i="2"/>
  <c r="V889" i="2"/>
  <c r="V888" i="2"/>
  <c r="V887" i="2"/>
  <c r="V886" i="2"/>
  <c r="V885" i="2"/>
  <c r="V884" i="2"/>
  <c r="V883" i="2"/>
  <c r="V882" i="2"/>
  <c r="V881" i="2"/>
  <c r="V880" i="2"/>
  <c r="V879" i="2"/>
  <c r="V878" i="2"/>
  <c r="V877" i="2"/>
  <c r="V876" i="2"/>
  <c r="V875" i="2"/>
  <c r="V874" i="2"/>
  <c r="V873" i="2"/>
  <c r="V872" i="2"/>
  <c r="V871" i="2"/>
  <c r="V870" i="2"/>
  <c r="V869" i="2"/>
  <c r="V868" i="2"/>
  <c r="V867" i="2"/>
  <c r="V866" i="2"/>
  <c r="V865" i="2"/>
  <c r="V864" i="2"/>
  <c r="V863" i="2"/>
  <c r="V862" i="2"/>
  <c r="V861" i="2"/>
  <c r="V860" i="2"/>
  <c r="V859" i="2"/>
  <c r="V858" i="2"/>
  <c r="V857" i="2"/>
  <c r="V856" i="2"/>
  <c r="V855" i="2"/>
  <c r="V854" i="2"/>
  <c r="V853" i="2"/>
  <c r="V852" i="2"/>
  <c r="V851" i="2"/>
  <c r="V850" i="2"/>
  <c r="V849" i="2"/>
  <c r="V848" i="2"/>
  <c r="V847" i="2"/>
  <c r="V846" i="2"/>
  <c r="V845" i="2"/>
  <c r="V844" i="2"/>
  <c r="V843" i="2"/>
  <c r="V842" i="2"/>
  <c r="V841" i="2"/>
  <c r="V840" i="2"/>
  <c r="V839" i="2"/>
  <c r="V838" i="2"/>
  <c r="V837" i="2"/>
  <c r="V836" i="2"/>
  <c r="V835" i="2"/>
  <c r="V834" i="2"/>
  <c r="V833" i="2"/>
  <c r="V832" i="2"/>
  <c r="V831" i="2"/>
  <c r="V830" i="2"/>
  <c r="V829" i="2"/>
  <c r="V828" i="2"/>
  <c r="V827" i="2"/>
  <c r="V826" i="2"/>
  <c r="V825" i="2"/>
  <c r="V824" i="2"/>
  <c r="V823" i="2"/>
  <c r="V822" i="2"/>
  <c r="V821" i="2"/>
  <c r="V820" i="2"/>
  <c r="V819" i="2"/>
  <c r="V818" i="2"/>
  <c r="V817" i="2"/>
  <c r="V816" i="2"/>
  <c r="V815" i="2"/>
  <c r="V814" i="2"/>
  <c r="V813" i="2"/>
  <c r="V812" i="2"/>
  <c r="V811" i="2"/>
  <c r="V810" i="2"/>
  <c r="V809" i="2"/>
  <c r="V808" i="2"/>
  <c r="V807" i="2"/>
  <c r="V806" i="2"/>
  <c r="V805" i="2"/>
  <c r="V804" i="2"/>
  <c r="V803" i="2"/>
  <c r="V802" i="2"/>
  <c r="V801" i="2"/>
  <c r="V800" i="2"/>
  <c r="V799" i="2"/>
  <c r="V798" i="2"/>
  <c r="V797" i="2"/>
  <c r="V796" i="2"/>
  <c r="V795" i="2"/>
  <c r="V794" i="2"/>
  <c r="V793" i="2"/>
  <c r="V792" i="2"/>
  <c r="V791" i="2"/>
  <c r="V790" i="2"/>
  <c r="V789" i="2"/>
  <c r="V788" i="2"/>
  <c r="V787" i="2"/>
  <c r="V786" i="2"/>
  <c r="V785" i="2"/>
  <c r="V784" i="2"/>
  <c r="V783" i="2"/>
  <c r="V782" i="2"/>
  <c r="V781" i="2"/>
  <c r="V780" i="2"/>
  <c r="V779" i="2"/>
  <c r="V778" i="2"/>
  <c r="V777" i="2"/>
  <c r="V776" i="2"/>
  <c r="V775" i="2"/>
  <c r="V774" i="2"/>
  <c r="V773" i="2"/>
  <c r="V772" i="2"/>
  <c r="V771" i="2"/>
  <c r="V770" i="2"/>
  <c r="V769" i="2"/>
  <c r="V768" i="2"/>
  <c r="V767" i="2"/>
  <c r="V766" i="2"/>
  <c r="V765" i="2"/>
  <c r="V764" i="2"/>
  <c r="V763" i="2"/>
  <c r="V762" i="2"/>
  <c r="V761" i="2"/>
  <c r="V760" i="2"/>
  <c r="V759" i="2"/>
  <c r="V758" i="2"/>
  <c r="V757" i="2"/>
  <c r="V756" i="2"/>
  <c r="V755" i="2"/>
  <c r="V754" i="2"/>
  <c r="V753" i="2"/>
  <c r="V752" i="2"/>
  <c r="V751" i="2"/>
  <c r="V750" i="2"/>
  <c r="V749" i="2"/>
  <c r="V748" i="2"/>
  <c r="V747" i="2"/>
  <c r="V746" i="2"/>
  <c r="V745" i="2"/>
  <c r="V744" i="2"/>
  <c r="V743" i="2"/>
  <c r="V742" i="2"/>
  <c r="V741" i="2"/>
  <c r="V740" i="2"/>
  <c r="V739" i="2"/>
  <c r="V738" i="2"/>
  <c r="V737" i="2"/>
  <c r="V736" i="2"/>
  <c r="V735" i="2"/>
  <c r="V734" i="2"/>
  <c r="V733" i="2"/>
  <c r="V732" i="2"/>
  <c r="V731" i="2"/>
  <c r="V730" i="2"/>
  <c r="V729" i="2"/>
  <c r="V728" i="2"/>
  <c r="V727" i="2"/>
  <c r="V726" i="2"/>
  <c r="V725" i="2"/>
  <c r="V724" i="2"/>
  <c r="V723" i="2"/>
  <c r="V722" i="2"/>
  <c r="V721" i="2"/>
  <c r="V720" i="2"/>
  <c r="V719" i="2"/>
  <c r="V718" i="2"/>
  <c r="V717" i="2"/>
  <c r="V716" i="2"/>
  <c r="V715" i="2"/>
  <c r="V714" i="2"/>
  <c r="V713" i="2"/>
  <c r="V712" i="2"/>
  <c r="V711" i="2"/>
  <c r="V710" i="2"/>
  <c r="V709" i="2"/>
  <c r="V708" i="2"/>
  <c r="V707" i="2"/>
  <c r="V706" i="2"/>
  <c r="V705" i="2"/>
  <c r="V704" i="2"/>
  <c r="V703" i="2"/>
  <c r="V702" i="2"/>
  <c r="V701" i="2"/>
  <c r="V700" i="2"/>
  <c r="V699" i="2"/>
  <c r="V698" i="2"/>
  <c r="V697" i="2"/>
  <c r="V696" i="2"/>
  <c r="V695" i="2"/>
  <c r="V694" i="2"/>
  <c r="V693" i="2"/>
  <c r="V692" i="2"/>
  <c r="V691" i="2"/>
  <c r="V690" i="2"/>
  <c r="V689" i="2"/>
  <c r="V688" i="2"/>
  <c r="V687" i="2"/>
  <c r="V686" i="2"/>
  <c r="V685" i="2"/>
  <c r="V684" i="2"/>
  <c r="V683" i="2"/>
  <c r="V682" i="2"/>
  <c r="V681" i="2"/>
  <c r="V680" i="2"/>
  <c r="V679" i="2"/>
  <c r="V678" i="2"/>
  <c r="V677" i="2"/>
  <c r="V676" i="2"/>
  <c r="V675" i="2"/>
  <c r="V674" i="2"/>
  <c r="V673" i="2"/>
  <c r="V672" i="2"/>
  <c r="V671" i="2"/>
  <c r="V670" i="2"/>
  <c r="V669" i="2"/>
  <c r="V668" i="2"/>
  <c r="V667" i="2"/>
  <c r="V666" i="2"/>
  <c r="V665" i="2"/>
  <c r="V664" i="2"/>
  <c r="V663" i="2"/>
  <c r="V662" i="2"/>
  <c r="V661" i="2"/>
  <c r="V660" i="2"/>
  <c r="V659" i="2"/>
  <c r="V658" i="2"/>
  <c r="V657" i="2"/>
  <c r="V656" i="2"/>
  <c r="V655" i="2"/>
  <c r="V654" i="2"/>
  <c r="V653" i="2"/>
  <c r="V652" i="2"/>
  <c r="V651" i="2"/>
  <c r="V650" i="2"/>
  <c r="V649" i="2"/>
  <c r="V648" i="2"/>
  <c r="V647" i="2"/>
  <c r="V646" i="2"/>
  <c r="V645" i="2"/>
  <c r="V644" i="2"/>
  <c r="V643" i="2"/>
  <c r="V642" i="2"/>
  <c r="V641" i="2"/>
  <c r="V640" i="2"/>
  <c r="V639" i="2"/>
  <c r="V638" i="2"/>
  <c r="V637" i="2"/>
  <c r="V636" i="2"/>
  <c r="V635" i="2"/>
  <c r="V634" i="2"/>
  <c r="V633" i="2"/>
  <c r="V632" i="2"/>
  <c r="V631" i="2"/>
  <c r="V630" i="2"/>
  <c r="V629" i="2"/>
  <c r="V628" i="2"/>
  <c r="V627" i="2"/>
  <c r="V626" i="2"/>
  <c r="V625" i="2"/>
  <c r="V624" i="2"/>
  <c r="V623" i="2"/>
  <c r="V622" i="2"/>
  <c r="V621" i="2"/>
  <c r="V620" i="2"/>
  <c r="V619" i="2"/>
  <c r="V618" i="2"/>
  <c r="V617" i="2"/>
  <c r="V616" i="2"/>
  <c r="V615" i="2"/>
  <c r="V614" i="2"/>
  <c r="V613" i="2"/>
  <c r="V612" i="2"/>
  <c r="V611" i="2"/>
  <c r="V610" i="2"/>
  <c r="V609" i="2"/>
  <c r="V608" i="2"/>
  <c r="V607" i="2"/>
  <c r="V606" i="2"/>
  <c r="V605" i="2"/>
  <c r="V604" i="2"/>
  <c r="V603" i="2"/>
  <c r="V602" i="2"/>
  <c r="V601" i="2"/>
  <c r="V600" i="2"/>
  <c r="V599" i="2"/>
  <c r="V598" i="2"/>
  <c r="V597" i="2"/>
  <c r="V596" i="2"/>
  <c r="V595" i="2"/>
  <c r="V594" i="2"/>
  <c r="V593" i="2"/>
  <c r="V592" i="2"/>
  <c r="V591" i="2"/>
  <c r="V590" i="2"/>
  <c r="V589" i="2"/>
  <c r="V588" i="2"/>
  <c r="V587" i="2"/>
  <c r="V586" i="2"/>
  <c r="V585" i="2"/>
  <c r="V584" i="2"/>
  <c r="V583" i="2"/>
  <c r="V582" i="2"/>
  <c r="V581" i="2"/>
  <c r="V580" i="2"/>
  <c r="V579" i="2"/>
  <c r="V578" i="2"/>
  <c r="V577" i="2"/>
  <c r="V576" i="2"/>
  <c r="V575" i="2"/>
  <c r="V574" i="2"/>
  <c r="V573" i="2"/>
  <c r="V572" i="2"/>
  <c r="V571" i="2"/>
  <c r="V570" i="2"/>
  <c r="V569" i="2"/>
  <c r="V568" i="2"/>
  <c r="V567" i="2"/>
  <c r="V566" i="2"/>
  <c r="V565" i="2"/>
  <c r="V564" i="2"/>
  <c r="V563" i="2"/>
  <c r="V562" i="2"/>
  <c r="V561" i="2"/>
  <c r="V560" i="2"/>
  <c r="V559" i="2"/>
  <c r="V558" i="2"/>
  <c r="V557" i="2"/>
  <c r="V556" i="2"/>
  <c r="V555" i="2"/>
  <c r="V554" i="2"/>
  <c r="V553" i="2"/>
  <c r="V552" i="2"/>
  <c r="V551" i="2"/>
  <c r="V550" i="2"/>
  <c r="V549" i="2"/>
  <c r="V548" i="2"/>
  <c r="V547" i="2"/>
  <c r="V546" i="2"/>
  <c r="V545" i="2"/>
  <c r="V544" i="2"/>
  <c r="V543" i="2"/>
  <c r="V542" i="2"/>
  <c r="V541" i="2"/>
  <c r="V540" i="2"/>
  <c r="V539" i="2"/>
  <c r="V538" i="2"/>
  <c r="V537" i="2"/>
  <c r="V536" i="2"/>
  <c r="V535" i="2"/>
  <c r="V534" i="2"/>
  <c r="V533" i="2"/>
  <c r="V532" i="2"/>
  <c r="V531" i="2"/>
  <c r="V530" i="2"/>
  <c r="V529" i="2"/>
  <c r="V528" i="2"/>
  <c r="V527" i="2"/>
  <c r="V526" i="2"/>
  <c r="V525" i="2"/>
  <c r="V524" i="2"/>
  <c r="V523" i="2"/>
  <c r="V522" i="2"/>
  <c r="V521" i="2"/>
  <c r="V520" i="2"/>
  <c r="V519" i="2"/>
  <c r="V518" i="2"/>
  <c r="V517" i="2"/>
  <c r="V516" i="2"/>
  <c r="V515" i="2"/>
  <c r="V514" i="2"/>
  <c r="V513" i="2"/>
  <c r="V512" i="2"/>
  <c r="V511" i="2"/>
  <c r="V510" i="2"/>
  <c r="V509" i="2"/>
  <c r="V508" i="2"/>
  <c r="V507" i="2"/>
  <c r="V506" i="2"/>
  <c r="V505" i="2"/>
  <c r="V504" i="2"/>
  <c r="V503" i="2"/>
  <c r="V502" i="2"/>
  <c r="V501" i="2"/>
  <c r="V500" i="2"/>
  <c r="V499" i="2"/>
  <c r="V498" i="2"/>
  <c r="V497" i="2"/>
  <c r="V496" i="2"/>
  <c r="V495" i="2"/>
  <c r="V494" i="2"/>
  <c r="V493" i="2"/>
  <c r="V492" i="2"/>
  <c r="V491" i="2"/>
  <c r="V490" i="2"/>
  <c r="V489" i="2"/>
  <c r="V488" i="2"/>
  <c r="V487" i="2"/>
  <c r="V486" i="2"/>
  <c r="V485" i="2"/>
  <c r="V484" i="2"/>
  <c r="V483" i="2"/>
  <c r="V482" i="2"/>
  <c r="V481" i="2"/>
  <c r="V480" i="2"/>
  <c r="V479" i="2"/>
  <c r="V478" i="2"/>
  <c r="V477" i="2"/>
  <c r="V476" i="2"/>
  <c r="V475" i="2"/>
  <c r="V474" i="2"/>
  <c r="V473" i="2"/>
  <c r="V472" i="2"/>
  <c r="V471" i="2"/>
  <c r="V470" i="2"/>
  <c r="V469" i="2"/>
  <c r="V468" i="2"/>
  <c r="V467" i="2"/>
  <c r="V466" i="2"/>
  <c r="V465" i="2"/>
  <c r="V464" i="2"/>
  <c r="V463" i="2"/>
  <c r="V462" i="2"/>
  <c r="V461" i="2"/>
  <c r="V460" i="2"/>
  <c r="V459" i="2"/>
  <c r="V458" i="2"/>
  <c r="V457" i="2"/>
  <c r="V456" i="2"/>
  <c r="V455" i="2"/>
  <c r="V454" i="2"/>
  <c r="V453" i="2"/>
  <c r="V452" i="2"/>
  <c r="V451" i="2"/>
  <c r="V450" i="2"/>
  <c r="V449" i="2"/>
  <c r="V448" i="2"/>
  <c r="V447" i="2"/>
  <c r="V446" i="2"/>
  <c r="V445" i="2"/>
  <c r="V444" i="2"/>
  <c r="V443" i="2"/>
  <c r="V442" i="2"/>
  <c r="V441" i="2"/>
  <c r="V440" i="2"/>
  <c r="V439" i="2"/>
  <c r="V438" i="2"/>
  <c r="V437" i="2"/>
  <c r="V436" i="2"/>
  <c r="V435" i="2"/>
  <c r="V434" i="2"/>
  <c r="V433" i="2"/>
  <c r="V432" i="2"/>
  <c r="V431" i="2"/>
  <c r="V430" i="2"/>
  <c r="V429" i="2"/>
  <c r="V428" i="2"/>
  <c r="V427" i="2"/>
  <c r="V426" i="2"/>
  <c r="V425" i="2"/>
  <c r="V424" i="2"/>
  <c r="V423" i="2"/>
  <c r="V422" i="2"/>
  <c r="V421" i="2"/>
  <c r="V420" i="2"/>
  <c r="V419" i="2"/>
  <c r="V418" i="2"/>
  <c r="V417" i="2"/>
  <c r="V416" i="2"/>
  <c r="V415" i="2"/>
  <c r="V414" i="2"/>
  <c r="V413" i="2"/>
  <c r="V412" i="2"/>
  <c r="V411" i="2"/>
  <c r="V410" i="2"/>
  <c r="V409" i="2"/>
  <c r="V408" i="2"/>
  <c r="V407" i="2"/>
  <c r="V406" i="2"/>
  <c r="V405" i="2"/>
  <c r="V404" i="2"/>
  <c r="V403" i="2"/>
  <c r="V402" i="2"/>
  <c r="V401" i="2"/>
  <c r="V400" i="2"/>
  <c r="V399" i="2"/>
  <c r="V398" i="2"/>
  <c r="V397" i="2"/>
  <c r="V396" i="2"/>
  <c r="V395" i="2"/>
  <c r="V394" i="2"/>
  <c r="V393" i="2"/>
  <c r="V392" i="2"/>
  <c r="V391" i="2"/>
  <c r="V390" i="2"/>
  <c r="V389" i="2"/>
  <c r="V388" i="2"/>
  <c r="V387" i="2"/>
  <c r="V386" i="2"/>
  <c r="V385" i="2"/>
  <c r="V384" i="2"/>
  <c r="V383" i="2"/>
  <c r="V382" i="2"/>
  <c r="V381" i="2"/>
  <c r="V380" i="2"/>
  <c r="V379" i="2"/>
  <c r="V378" i="2"/>
  <c r="V377" i="2"/>
  <c r="V376" i="2"/>
  <c r="V375" i="2"/>
  <c r="V374" i="2"/>
  <c r="V373" i="2"/>
  <c r="V372" i="2"/>
  <c r="V371" i="2"/>
  <c r="V370" i="2"/>
  <c r="V369" i="2"/>
  <c r="V368" i="2"/>
  <c r="V367" i="2"/>
  <c r="V366" i="2"/>
  <c r="V365" i="2"/>
  <c r="V364" i="2"/>
  <c r="V363" i="2"/>
  <c r="V362" i="2"/>
  <c r="V361" i="2"/>
  <c r="V360" i="2"/>
  <c r="V359" i="2"/>
  <c r="V358" i="2"/>
  <c r="V357" i="2"/>
  <c r="V356" i="2"/>
  <c r="V355" i="2"/>
  <c r="V354" i="2"/>
  <c r="V353" i="2"/>
  <c r="V352" i="2"/>
  <c r="V351" i="2"/>
  <c r="V350" i="2"/>
  <c r="V349" i="2"/>
  <c r="V348" i="2"/>
  <c r="V347" i="2"/>
  <c r="V346" i="2"/>
  <c r="V345" i="2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V2" i="2"/>
  <c r="B32" i="1"/>
  <c r="B31" i="1"/>
  <c r="B30" i="1"/>
  <c r="C29" i="1"/>
  <c r="B29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B4" i="1"/>
  <c r="B3" i="1"/>
  <c r="C28" i="1" l="1"/>
  <c r="C31" i="1"/>
  <c r="C30" i="1"/>
  <c r="C32" i="1"/>
  <c r="B17" i="1"/>
  <c r="D17" i="1" s="1"/>
  <c r="B10" i="1"/>
  <c r="B6" i="1"/>
  <c r="D21" i="1"/>
  <c r="E21" i="1" s="1"/>
  <c r="D26" i="1"/>
  <c r="E26" i="1" s="1"/>
  <c r="D25" i="1"/>
  <c r="E25" i="1" s="1"/>
  <c r="B11" i="1"/>
  <c r="D27" i="1"/>
  <c r="E27" i="1" s="1"/>
  <c r="D22" i="1"/>
  <c r="E22" i="1" s="1"/>
  <c r="D23" i="1"/>
  <c r="E23" i="1" s="1"/>
  <c r="D24" i="1"/>
  <c r="E24" i="1" s="1"/>
  <c r="D29" i="1"/>
  <c r="E29" i="1" s="1"/>
  <c r="B7" i="1"/>
  <c r="D31" i="1" l="1"/>
  <c r="E31" i="1" s="1"/>
  <c r="D28" i="1"/>
  <c r="E28" i="1" s="1"/>
  <c r="D30" i="1"/>
  <c r="E30" i="1" s="1"/>
  <c r="D32" i="1"/>
  <c r="E32" i="1" s="1"/>
  <c r="B12" i="1"/>
  <c r="D12" i="1" s="1"/>
  <c r="B13" i="1"/>
  <c r="D13" i="1" s="1"/>
  <c r="B14" i="1"/>
  <c r="D14" i="1" s="1"/>
  <c r="B15" i="1"/>
  <c r="D15" i="1" s="1"/>
  <c r="B8" i="1"/>
  <c r="D8" i="1" s="1"/>
  <c r="B16" i="1"/>
  <c r="D16" i="1" s="1"/>
  <c r="B9" i="1"/>
  <c r="D9" i="1" s="1"/>
</calcChain>
</file>

<file path=xl/sharedStrings.xml><?xml version="1.0" encoding="utf-8"?>
<sst xmlns="http://schemas.openxmlformats.org/spreadsheetml/2006/main" count="2359" uniqueCount="155">
  <si>
    <t>AS CARE - 365 Day Handover &amp; Allocation Compliance Dashboard</t>
  </si>
  <si>
    <t>Reporting Date</t>
  </si>
  <si>
    <t>How to use</t>
  </si>
  <si>
    <t>Year Start</t>
  </si>
  <si>
    <t>1</t>
  </si>
  <si>
    <t>Complete Daily Records for each shift.</t>
  </si>
  <si>
    <t>Metric</t>
  </si>
  <si>
    <t>Value</t>
  </si>
  <si>
    <t>Target</t>
  </si>
  <si>
    <t>RAG</t>
  </si>
  <si>
    <t>2</t>
  </si>
  <si>
    <t>Complete Resident Allocation for all 21 residents every day.</t>
  </si>
  <si>
    <t>Expected Shift Records</t>
  </si>
  <si>
    <t>3</t>
  </si>
  <si>
    <t>Risk, Observation and Escalation must not be blank.</t>
  </si>
  <si>
    <t>Completed Shift Records</t>
  </si>
  <si>
    <t>4</t>
  </si>
  <si>
    <t>Manager sign-off must be Yes after review.</t>
  </si>
  <si>
    <t>Handover / Allocation Compliance</t>
  </si>
  <si>
    <t>95%</t>
  </si>
  <si>
    <t>5</t>
  </si>
  <si>
    <t>Dashboard flags missing records in Red/Amber.</t>
  </si>
  <si>
    <t>Missing / Incomplete Shift Records</t>
  </si>
  <si>
    <t>0</t>
  </si>
  <si>
    <t>Expected Resident Allocation Rows</t>
  </si>
  <si>
    <t>CQC Focus</t>
  </si>
  <si>
    <t>Care plan updates shared, resident-specific duties, risks, observations, escalation and staff supervision.</t>
  </si>
  <si>
    <t>Completed Resident Allocation Rows</t>
  </si>
  <si>
    <t>Resident Allocation Compliance</t>
  </si>
  <si>
    <t>RAG Rule</t>
  </si>
  <si>
    <t>Green 95%+, Amber 85-94%, Red below 85% or key gaps.</t>
  </si>
  <si>
    <t>Missing Risks</t>
  </si>
  <si>
    <t>Missing Observations</t>
  </si>
  <si>
    <t>© AS CARE</t>
  </si>
  <si>
    <t>All Rights Reserved</t>
  </si>
  <si>
    <t>Missing Escalation</t>
  </si>
  <si>
    <t>Missing Manager Sign-Off</t>
  </si>
  <si>
    <t>Staff Supervision Discussions Logged</t>
  </si>
  <si>
    <t>Monitor</t>
  </si>
  <si>
    <t>Month</t>
  </si>
  <si>
    <t>Expected Shifts</t>
  </si>
  <si>
    <t>Completed Shifts</t>
  </si>
  <si>
    <t>Compliance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</si>
  <si>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</si>
  <si>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</si>
  <si>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</si>
  <si>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</si>
  <si>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</si>
  <si>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</si>
  <si>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</si>
  <si>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</si>
  <si>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</si>
  <si>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</si>
  <si>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</si>
  <si>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</si>
  <si>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Date</t>
  </si>
  <si>
    <t>Day</t>
  </si>
  <si>
    <t>Shift</t>
  </si>
  <si>
    <t>Team Leader</t>
  </si>
  <si>
    <t>Medication Lead</t>
  </si>
  <si>
    <t>Fire Marshal</t>
  </si>
  <si>
    <t>First Aider</t>
  </si>
  <si>
    <t>Activities</t>
  </si>
  <si>
    <t>Tea Trolley</t>
  </si>
  <si>
    <t>Laundry</t>
  </si>
  <si>
    <t>Cleaning</t>
  </si>
  <si>
    <t>Care Plan Lead</t>
  </si>
  <si>
    <t>Staff on Duty</t>
  </si>
  <si>
    <t>Handover Completed</t>
  </si>
  <si>
    <t>Allocation Completed</t>
  </si>
  <si>
    <t>Risks Discussed</t>
  </si>
  <si>
    <t>Observations Discussed</t>
  </si>
  <si>
    <t>Escalation Discussed</t>
  </si>
  <si>
    <t>Care Plan Updates Shared</t>
  </si>
  <si>
    <t>Staff Signatures</t>
  </si>
  <si>
    <t>Manager Sign Off</t>
  </si>
  <si>
    <t>Overall Status</t>
  </si>
  <si>
    <t>Thursday</t>
  </si>
  <si>
    <t>8am-2pm</t>
  </si>
  <si>
    <t>2pm-8pm</t>
  </si>
  <si>
    <t>8pm-8am</t>
  </si>
  <si>
    <t>Friday</t>
  </si>
  <si>
    <t>Saturday</t>
  </si>
  <si>
    <t>Sunday</t>
  </si>
  <si>
    <t>Monday</t>
  </si>
  <si>
    <t>Tuesday</t>
  </si>
  <si>
    <t>Wednesday</t>
  </si>
  <si>
    <t>Room</t>
  </si>
  <si>
    <t>Resident Name</t>
  </si>
  <si>
    <t>8am-2pm Staff</t>
  </si>
  <si>
    <t>8am-2pm Resident-Specific Duties</t>
  </si>
  <si>
    <t>2pm-8pm Staff</t>
  </si>
  <si>
    <t>2pm-8pm Resident-Specific Duties</t>
  </si>
  <si>
    <t>8pm-8am Staff</t>
  </si>
  <si>
    <t>8pm-8am Resident-Specific Duties</t>
  </si>
  <si>
    <t>Risks</t>
  </si>
  <si>
    <t>Observations</t>
  </si>
  <si>
    <t>Escalation Required</t>
  </si>
  <si>
    <t>GP Required</t>
  </si>
  <si>
    <t>Care Plan Updated</t>
  </si>
  <si>
    <t>Duties Completed</t>
  </si>
  <si>
    <t>Staff Initials</t>
  </si>
  <si>
    <t>Professional</t>
  </si>
  <si>
    <t>Resident</t>
  </si>
  <si>
    <t>Reason Seen</t>
  </si>
  <si>
    <t>Outcome / Advice</t>
  </si>
  <si>
    <t>Medication Changes</t>
  </si>
  <si>
    <t>Investigations / Referrals</t>
  </si>
  <si>
    <t>Relative Informed</t>
  </si>
  <si>
    <t>Action Owner</t>
  </si>
  <si>
    <t>Due Date</t>
  </si>
  <si>
    <t>Completed</t>
  </si>
  <si>
    <t>Yes/No</t>
  </si>
  <si>
    <t>Escalation</t>
  </si>
  <si>
    <t>Status</t>
  </si>
  <si>
    <t>Yes</t>
  </si>
  <si>
    <t>Green</t>
  </si>
  <si>
    <t>Falls</t>
  </si>
  <si>
    <t>GP</t>
  </si>
  <si>
    <t>Complete</t>
  </si>
  <si>
    <t>No</t>
  </si>
  <si>
    <t>Amber</t>
  </si>
  <si>
    <t>Pressure Care</t>
  </si>
  <si>
    <t>District Nurse</t>
  </si>
  <si>
    <t>Incomplete</t>
  </si>
  <si>
    <t>N/A</t>
  </si>
  <si>
    <t>Red</t>
  </si>
  <si>
    <t>Nutrition/Hydration</t>
  </si>
  <si>
    <t>Tissue Viability</t>
  </si>
  <si>
    <t>Outstanding</t>
  </si>
  <si>
    <t>Diabetes</t>
  </si>
  <si>
    <t>SALT</t>
  </si>
  <si>
    <t>In Progress</t>
  </si>
  <si>
    <t>Choking</t>
  </si>
  <si>
    <t>111</t>
  </si>
  <si>
    <t>OT</t>
  </si>
  <si>
    <t>Behaviour</t>
  </si>
  <si>
    <t>999</t>
  </si>
  <si>
    <t>Physiotherapist</t>
  </si>
  <si>
    <t>End of Life</t>
  </si>
  <si>
    <t>Family</t>
  </si>
  <si>
    <t>Community Nurse</t>
  </si>
  <si>
    <t>Infection</t>
  </si>
  <si>
    <t>Manager</t>
  </si>
  <si>
    <t>Mental Health Team</t>
  </si>
  <si>
    <t>Catheter</t>
  </si>
  <si>
    <t>Safeguarding</t>
  </si>
  <si>
    <t>Chiropodist</t>
  </si>
  <si>
    <t>PEG</t>
  </si>
  <si>
    <t>CQC Notification</t>
  </si>
  <si>
    <t>Optician</t>
  </si>
  <si>
    <t>Weight Loss</t>
  </si>
  <si>
    <t>Other</t>
  </si>
  <si>
    <t>Dentist</t>
  </si>
  <si>
    <t>Skin Integrity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</si>
</sst>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/>
    <xf numFmtId="9" fontId="0" fillId="0" borderId="0" xfId="0" applyNumberFormat="1"/>
    <xf numFmtId="0" fontId="0" fillId="0" borderId="0" xfId="0" applyAlignment="1">
      <alignment vertical="top" wrapText="1"/>
    </xf>
    <xf numFmtId="14" fontId="1" fillId="2" borderId="0" xfId="0" applyNumberFormat="1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 applyProtection="1">
      <alignment horizontal="center" vertical="top" wrapText="1"/>
      <protection locked="0"/>
    </xf>
    <xf numFmtId="0" fontId="0" fillId="0" borderId="0" xfId="0" applyProtection="1">
      <protection locked="0"/>
    </xf>
    <xf numFmtId="14" fontId="1" fillId="2" borderId="0" xfId="0" applyNumberFormat="1" applyFont="1" applyFill="1" applyAlignment="1" applyProtection="1">
      <alignment horizontal="center" vertical="top" wrapText="1"/>
      <protection locked="0"/>
    </xf>
    <xf numFmtId="14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2"/>
  <sheetViews>
    <sheetView topLeftCell="A11" workbookViewId="0">
      <selection sqref="A1:XFD1048576"/>
    </sheetView>
  </sheetViews>
  <sheetFormatPr defaultRowHeight="14"/>
  <cols>
    <col min="1" max="1" width="36" customWidth="1"/>
    <col min="2" max="4" width="18" customWidth="1"/>
    <col min="7" max="10" width="24" customWidth="1"/>
  </cols>
  <sheetData>
    <row r="1" spans="1:26">
      <c r="A1" s="7" t="s">
        <v>0</v>
      </c>
      <c r="B1" s="8"/>
      <c r="C1" s="8"/>
      <c r="D1" s="8"/>
      <c r="E1" s="8"/>
      <c r="F1" s="8"/>
      <c r="G1" s="8"/>
      <c r="H1" s="8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3" spans="1:26">
      <c r="A3" t="s">
        <v>1</v>
      </c>
      <c r="B3" s="2">
        <f ca="1">TODAY()</f>
        <v>46201</v>
      </c>
      <c r="G3" s="1" t="s">
        <v>2</v>
      </c>
      <c r="H3" s="1"/>
      <c r="I3" s="1"/>
      <c r="J3" s="1"/>
    </row>
    <row r="4" spans="1:26">
      <c r="A4" t="s">
        <v>3</v>
      </c>
      <c r="B4" s="2">
        <f>DATE(2026,1,1)</f>
        <v>46023</v>
      </c>
      <c r="G4" t="s">
        <v>4</v>
      </c>
      <c r="H4" t="s">
        <v>5</v>
      </c>
    </row>
    <row r="5" spans="1:26">
      <c r="A5" s="1" t="s">
        <v>6</v>
      </c>
      <c r="B5" s="1" t="s">
        <v>7</v>
      </c>
      <c r="C5" s="1" t="s">
        <v>8</v>
      </c>
      <c r="D5" s="1" t="s">
        <v>9</v>
      </c>
      <c r="G5" t="s">
        <v>10</v>
      </c>
      <c r="H5" t="s">
        <v>11</v>
      </c>
    </row>
    <row r="6" spans="1:26">
      <c r="A6" t="s">
        <v>12</v>
      </c>
      <c r="B6">
        <f ca="1">COUNTIF('Daily Records'!$A$2:$A$1096,"&lt;="&amp;$B$3)</f>
        <v>537</v>
      </c>
      <c r="G6" t="s">
        <v>13</v>
      </c>
      <c r="H6" t="s">
        <v>14</v>
      </c>
    </row>
    <row r="7" spans="1:26">
      <c r="A7" t="s">
        <v>15</v>
      </c>
      <c r="B7">
        <f ca="1">COUNTIFS('Daily Records'!$A$2:$A$1096,"&lt;="&amp;$B$3,'Daily Records'!$V$2:$V$1096,"Complete")</f>
        <v>0</v>
      </c>
      <c r="G7" t="s">
        <v>16</v>
      </c>
      <c r="H7" t="s">
        <v>17</v>
      </c>
    </row>
    <row r="8" spans="1:26">
      <c r="A8" t="s">
        <v>18</v>
      </c>
      <c r="B8" s="3">
        <f ca="1">IF(B6=0,0,B7/B6)</f>
        <v>0</v>
      </c>
      <c r="C8" t="s">
        <v>19</v>
      </c>
      <c r="D8" t="str">
        <f ca="1">IF(B8&gt;=0.95,"Green",IF(B8&gt;=0.85,"Amber","Red"))</f>
        <v>Red</v>
      </c>
      <c r="G8" t="s">
        <v>20</v>
      </c>
      <c r="H8" t="s">
        <v>21</v>
      </c>
    </row>
    <row r="9" spans="1:26">
      <c r="A9" t="s">
        <v>22</v>
      </c>
      <c r="B9">
        <f ca="1">B6-B7</f>
        <v>537</v>
      </c>
      <c r="C9" t="s">
        <v>23</v>
      </c>
      <c r="D9" t="str">
        <f ca="1">IF(B9=0,"Green",IF(B9&lt;=5,"Amber","Red"))</f>
        <v>Red</v>
      </c>
    </row>
    <row r="10" spans="1:26">
      <c r="A10" t="s">
        <v>24</v>
      </c>
      <c r="B10">
        <f ca="1">COUNTIF('Resident Allocation'!$A$2:$A$7666,"&lt;="&amp;$B$3)</f>
        <v>3759</v>
      </c>
      <c r="G10" t="s">
        <v>25</v>
      </c>
      <c r="H10" t="s">
        <v>26</v>
      </c>
    </row>
    <row r="11" spans="1:26">
      <c r="A11" t="s">
        <v>27</v>
      </c>
      <c r="B11">
        <f ca="1">COUNTIFS('Resident Allocation'!$A$2:$A$7666,"&lt;="&amp;$B$3,'Resident Allocation'!$Q$2:$Q$7666,"Complete")</f>
        <v>0</v>
      </c>
    </row>
    <row r="12" spans="1:26">
      <c r="A12" t="s">
        <v>28</v>
      </c>
      <c r="B12" s="3">
        <f ca="1">IF(B10=0,0,B11/B10)</f>
        <v>0</v>
      </c>
      <c r="C12" t="s">
        <v>19</v>
      </c>
      <c r="D12" t="str">
        <f ca="1">IF(B12&gt;=0.95,"Green",IF(B12&gt;=0.85,"Amber","Red"))</f>
        <v>Red</v>
      </c>
      <c r="G12" t="s">
        <v>29</v>
      </c>
      <c r="H12" t="s">
        <v>30</v>
      </c>
    </row>
    <row r="13" spans="1:26">
      <c r="A13" t="s">
        <v>31</v>
      </c>
      <c r="B13">
        <f ca="1">B10-COUNTIFS('Resident Allocation'!$A$2:$A$7666,"&lt;="&amp;$B$3,'Resident Allocation'!$J$2:$J$7666,"&lt;&gt;")</f>
        <v>3759</v>
      </c>
      <c r="C13" t="s">
        <v>23</v>
      </c>
      <c r="D13" t="str">
        <f ca="1">IF(B13=0,"Green",IF(B13&lt;=5,"Amber","Red"))</f>
        <v>Red</v>
      </c>
    </row>
    <row r="14" spans="1:26">
      <c r="A14" t="s">
        <v>32</v>
      </c>
      <c r="B14">
        <f ca="1">B10-COUNTIFS('Resident Allocation'!$A$2:$A$7666,"&lt;="&amp;$B$3,'Resident Allocation'!$K$2:$K$7666,"&lt;&gt;")</f>
        <v>3759</v>
      </c>
      <c r="C14" t="s">
        <v>23</v>
      </c>
      <c r="D14" t="str">
        <f ca="1">IF(B14=0,"Green",IF(B14&lt;=5,"Amber","Red"))</f>
        <v>Red</v>
      </c>
      <c r="G14" t="s">
        <v>33</v>
      </c>
      <c r="H14" t="s">
        <v>34</v>
      </c>
    </row>
    <row r="15" spans="1:26">
      <c r="A15" t="s">
        <v>35</v>
      </c>
      <c r="B15">
        <f ca="1">B10-COUNTIFS('Resident Allocation'!$A$2:$A$7666,"&lt;="&amp;$B$3,'Resident Allocation'!$L$2:$L$7666,"&lt;&gt;")</f>
        <v>3759</v>
      </c>
      <c r="C15" t="s">
        <v>23</v>
      </c>
      <c r="D15" t="str">
        <f ca="1">IF(B15=0,"Green",IF(B15&lt;=5,"Amber","Red"))</f>
        <v>Red</v>
      </c>
    </row>
    <row r="16" spans="1:26">
      <c r="A16" t="s">
        <v>36</v>
      </c>
      <c r="B16">
        <f ca="1">B6-COUNTIFS('Daily Records'!$A$2:$A$1096,"&lt;="&amp;$B$3,'Daily Records'!$U$2:$U$1096,"Yes")</f>
        <v>537</v>
      </c>
      <c r="C16" t="s">
        <v>23</v>
      </c>
      <c r="D16" t="str">
        <f ca="1">IF(B16=0,"Green",IF(B16&lt;=5,"Amber","Red"))</f>
        <v>Red</v>
      </c>
    </row>
    <row r="17" spans="1:5">
      <c r="A17" t="s">
        <v>37</v>
      </c>
      <c r="B17" t="e">
        <f ca="1">COUNTIFS(#REF!,"&gt;0",#REF!,"&lt;="&amp;$B$3)</f>
        <v>#REF!</v>
      </c>
      <c r="C17" t="s">
        <v>38</v>
      </c>
      <c r="D17" t="e">
        <f ca="1">IF(B17&gt;0,"Green","Amber")</f>
        <v>#REF!</v>
      </c>
    </row>
    <row r="20" spans="1:5">
      <c r="A20" s="1" t="s">
        <v>39</v>
      </c>
      <c r="B20" s="1" t="s">
        <v>40</v>
      </c>
      <c r="C20" s="1" t="s">
        <v>41</v>
      </c>
      <c r="D20" s="1" t="s">
        <v>42</v>
      </c>
      <c r="E20" s="1" t="s">
        <v>9</v>
      </c>
    </row>
    <row r="21" spans="1:5">
      <c r="A21" t="s">
        <v>43</v>
      </c>
      <c r="B21">
        <f>COUNTIFS('Daily Records'!$A$2:$A$1096,"&gt;="&amp;DATE(2026,1,1),'Daily Records'!$A$2:$A$1096,"&lt;="&amp;EOMONTH(DATE(2026,1,1),0))</f>
        <v>93</v>
      </c>
      <c r="C21">
        <f>COUNTIFS('Daily Records'!$A$2:$A$1096,"&gt;="&amp;DATE(2026,1,1),'Daily Records'!$A$2:$A$1096,"&lt;="&amp;EOMONTH(DATE(2026,1,1),0),'Daily Records'!$V$2:$V$1096,"Complete")</f>
        <v>0</v>
      </c>
      <c r="D21" s="3">
        <f t="shared" ref="D21:D32" si="0">IF(B21=0,0,C21/B21)</f>
        <v>0</v>
      </c>
      <c r="E21" t="str">
        <f t="shared" ref="E21:E32" si="1">IF(D21&gt;=0.95,"Green",IF(D21&gt;=0.85,"Amber","Red"))</f>
        <v>Red</v>
      </c>
    </row>
    <row r="22" spans="1:5">
      <c r="A22" t="s">
        <v>44</v>
      </c>
      <c r="B22">
        <f>COUNTIFS('Daily Records'!$A$2:$A$1096,"&gt;="&amp;DATE(2026,2,1),'Daily Records'!$A$2:$A$1096,"&lt;="&amp;EOMONTH(DATE(2026,2,1),0))</f>
        <v>84</v>
      </c>
      <c r="C22">
        <f>COUNTIFS('Daily Records'!$A$2:$A$1096,"&gt;="&amp;DATE(2026,2,1),'Daily Records'!$A$2:$A$1096,"&lt;="&amp;EOMONTH(DATE(2026,2,1),0),'Daily Records'!$V$2:$V$1096,"Complete")</f>
        <v>0</v>
      </c>
      <c r="D22" s="3">
        <f t="shared" si="0"/>
        <v>0</v>
      </c>
      <c r="E22" t="str">
        <f t="shared" si="1"/>
        <v>Red</v>
      </c>
    </row>
    <row r="23" spans="1:5">
      <c r="A23" t="s">
        <v>45</v>
      </c>
      <c r="B23">
        <f>COUNTIFS('Daily Records'!$A$2:$A$1096,"&gt;="&amp;DATE(2026,3,1),'Daily Records'!$A$2:$A$1096,"&lt;="&amp;EOMONTH(DATE(2026,3,1),0))</f>
        <v>93</v>
      </c>
      <c r="C23">
        <f>COUNTIFS('Daily Records'!$A$2:$A$1096,"&gt;="&amp;DATE(2026,3,1),'Daily Records'!$A$2:$A$1096,"&lt;="&amp;EOMONTH(DATE(2026,3,1),0),'Daily Records'!$V$2:$V$1096,"Complete")</f>
        <v>0</v>
      </c>
      <c r="D23" s="3">
        <f t="shared" si="0"/>
        <v>0</v>
      </c>
      <c r="E23" t="str">
        <f t="shared" si="1"/>
        <v>Red</v>
      </c>
    </row>
    <row r="24" spans="1:5">
      <c r="A24" t="s">
        <v>46</v>
      </c>
      <c r="B24">
        <f>COUNTIFS('Daily Records'!$A$2:$A$1096,"&gt;="&amp;DATE(2026,4,1),'Daily Records'!$A$2:$A$1096,"&lt;="&amp;EOMONTH(DATE(2026,4,1),0))</f>
        <v>90</v>
      </c>
      <c r="C24">
        <f>COUNTIFS('Daily Records'!$A$2:$A$1096,"&gt;="&amp;DATE(2026,4,1),'Daily Records'!$A$2:$A$1096,"&lt;="&amp;EOMONTH(DATE(2026,4,1),0),'Daily Records'!$V$2:$V$1096,"Complete")</f>
        <v>0</v>
      </c>
      <c r="D24" s="3">
        <f t="shared" si="0"/>
        <v>0</v>
      </c>
      <c r="E24" t="str">
        <f t="shared" si="1"/>
        <v>Red</v>
      </c>
    </row>
    <row r="25" spans="1:5">
      <c r="A25" t="s">
        <v>47</v>
      </c>
      <c r="B25">
        <f>COUNTIFS('Daily Records'!$A$2:$A$1096,"&gt;="&amp;DATE(2026,5,1),'Daily Records'!$A$2:$A$1096,"&lt;="&amp;EOMONTH(DATE(2026,5,1),0))</f>
        <v>93</v>
      </c>
      <c r="C25">
        <f>COUNTIFS('Daily Records'!$A$2:$A$1096,"&gt;="&amp;DATE(2026,5,1),'Daily Records'!$A$2:$A$1096,"&lt;="&amp;EOMONTH(DATE(2026,5,1),0),'Daily Records'!$V$2:$V$1096,"Complete")</f>
        <v>0</v>
      </c>
      <c r="D25" s="3">
        <f t="shared" si="0"/>
        <v>0</v>
      </c>
      <c r="E25" t="str">
        <f t="shared" si="1"/>
        <v>Red</v>
      </c>
    </row>
    <row r="26" spans="1:5">
      <c r="A26" t="s">
        <v>48</v>
      </c>
      <c r="B26">
        <f>COUNTIFS('Daily Records'!$A$2:$A$1096,"&gt;="&amp;DATE(2026,6,1),'Daily Records'!$A$2:$A$1096,"&lt;="&amp;EOMONTH(DATE(2026,6,1),0))</f>
        <v>90</v>
      </c>
      <c r="C26">
        <f>COUNTIFS('Daily Records'!$A$2:$A$1096,"&gt;="&amp;DATE(2026,6,1),'Daily Records'!$A$2:$A$1096,"&lt;="&amp;EOMONTH(DATE(2026,6,1),0),'Daily Records'!$V$2:$V$1096,"Complete")</f>
        <v>0</v>
      </c>
      <c r="D26" s="3">
        <f t="shared" si="0"/>
        <v>0</v>
      </c>
      <c r="E26" t="str">
        <f t="shared" si="1"/>
        <v>Red</v>
      </c>
    </row>
    <row r="27" spans="1:5">
      <c r="A27" t="s">
        <v>49</v>
      </c>
      <c r="B27">
        <f>COUNTIFS('Daily Records'!$A$2:$A$1096,"&gt;="&amp;DATE(2026,7,1),'Daily Records'!$A$2:$A$1096,"&lt;="&amp;EOMONTH(DATE(2026,7,1),0))</f>
        <v>93</v>
      </c>
      <c r="C27">
        <f>COUNTIFS('Daily Records'!$A$2:$A$1096,"&gt;="&amp;DATE(2026,7,1),'Daily Records'!$A$2:$A$1096,"&lt;="&amp;EOMONTH(DATE(2026,7,1),0),'Daily Records'!$V$2:$V$1096,"Complete")</f>
        <v>0</v>
      </c>
      <c r="D27" s="3">
        <f t="shared" si="0"/>
        <v>0</v>
      </c>
      <c r="E27" t="str">
        <f t="shared" si="1"/>
        <v>Red</v>
      </c>
    </row>
    <row r="28" spans="1:5">
      <c r="A28" t="s">
        <v>50</v>
      </c>
      <c r="B28">
        <f>COUNTIFS('Daily Records'!$A$2:$A$1096,"&gt;="&amp;DATE(2026,8,1),'Daily Records'!$A$2:$A$1096,"&lt;="&amp;EOMONTH(DATE(2026,8,1),0))</f>
        <v>93</v>
      </c>
      <c r="C28">
        <f>COUNTIFS('Daily Records'!$A$2:$A$1096,"&gt;="&amp;DATE(2026,8,1),'Daily Records'!$A$2:$A$1096,"&lt;="&amp;EOMONTH(DATE(2026,8,1),0),'Daily Records'!$V$2:$V$1096,"Complete")</f>
        <v>0</v>
      </c>
      <c r="D28" s="3">
        <f t="shared" si="0"/>
        <v>0</v>
      </c>
      <c r="E28" t="str">
        <f t="shared" si="1"/>
        <v>Red</v>
      </c>
    </row>
    <row r="29" spans="1:5">
      <c r="A29" t="s">
        <v>51</v>
      </c>
      <c r="B29">
        <f>COUNTIFS('Daily Records'!$A$2:$A$1096,"&gt;="&amp;DATE(2026,9,1),'Daily Records'!$A$2:$A$1096,"&lt;="&amp;EOMONTH(DATE(2026,9,1),0))</f>
        <v>90</v>
      </c>
      <c r="C29">
        <f>COUNTIFS('Daily Records'!$A$2:$A$1096,"&gt;="&amp;DATE(2026,9,1),'Daily Records'!$A$2:$A$1096,"&lt;="&amp;EOMONTH(DATE(2026,9,1),0),'Daily Records'!$V$2:$V$1096,"Complete")</f>
        <v>0</v>
      </c>
      <c r="D29" s="3">
        <f t="shared" si="0"/>
        <v>0</v>
      </c>
      <c r="E29" t="str">
        <f t="shared" si="1"/>
        <v>Red</v>
      </c>
    </row>
    <row r="30" spans="1:5">
      <c r="A30" t="s">
        <v>52</v>
      </c>
      <c r="B30">
        <f>COUNTIFS('Daily Records'!$A$2:$A$1096,"&gt;="&amp;DATE(2026,10,1),'Daily Records'!$A$2:$A$1096,"&lt;="&amp;EOMONTH(DATE(2026,10,1),0))</f>
        <v>93</v>
      </c>
      <c r="C30">
        <f>COUNTIFS('Daily Records'!$A$2:$A$1096,"&gt;="&amp;DATE(2026,10,1),'Daily Records'!$A$2:$A$1096,"&lt;="&amp;EOMONTH(DATE(2026,10,1),0),'Daily Records'!$V$2:$V$1096,"Complete")</f>
        <v>0</v>
      </c>
      <c r="D30" s="3">
        <f t="shared" si="0"/>
        <v>0</v>
      </c>
      <c r="E30" t="str">
        <f t="shared" si="1"/>
        <v>Red</v>
      </c>
    </row>
    <row r="31" spans="1:5">
      <c r="A31" t="s">
        <v>53</v>
      </c>
      <c r="B31">
        <f>COUNTIFS('Daily Records'!$A$2:$A$1096,"&gt;="&amp;DATE(2026,11,1),'Daily Records'!$A$2:$A$1096,"&lt;="&amp;EOMONTH(DATE(2026,11,1),0))</f>
        <v>90</v>
      </c>
      <c r="C31">
        <f>COUNTIFS('Daily Records'!$A$2:$A$1096,"&gt;="&amp;DATE(2026,11,1),'Daily Records'!$A$2:$A$1096,"&lt;="&amp;EOMONTH(DATE(2026,11,1),0),'Daily Records'!$V$2:$V$1096,"Complete")</f>
        <v>0</v>
      </c>
      <c r="D31" s="3">
        <f t="shared" si="0"/>
        <v>0</v>
      </c>
      <c r="E31" t="str">
        <f t="shared" si="1"/>
        <v>Red</v>
      </c>
    </row>
    <row r="32" spans="1:5">
      <c r="A32" t="s">
        <v>54</v>
      </c>
      <c r="B32">
        <f>COUNTIFS('Daily Records'!$A$2:$A$1096,"&gt;="&amp;DATE(2026,12,1),'Daily Records'!$A$2:$A$1096,"&lt;="&amp;EOMONTH(DATE(2026,12,1),0))</f>
        <v>93</v>
      </c>
      <c r="C32">
        <f>COUNTIFS('Daily Records'!$A$2:$A$1096,"&gt;="&amp;DATE(2026,12,1),'Daily Records'!$A$2:$A$1096,"&lt;="&amp;EOMONTH(DATE(2026,12,1),0),'Daily Records'!$V$2:$V$1096,"Complete")</f>
        <v>0</v>
      </c>
      <c r="D32" s="3">
        <f t="shared" si="0"/>
        <v>0</v>
      </c>
      <c r="E32" t="str">
        <f t="shared" si="1"/>
        <v>Red</v>
      </c>
    </row>
  </sheetData>
  <sheetProtection algorithmName="SHA-512" hashValue="D1Dk3/rngDZ0OsNhuskWLbK1rEMwrppqpEC4rWmrZkO26nLwWSQVcY1BQVyYjBzJ598VlihxbSoVC2BuR1zugA==" saltValue="0z8qDFEtbBS7NGOpWvPCLg==" spinCount="100000" sheet="1" objects="1" scenarios="1" selectLockedCells="1" selectUnlockedCells="1"/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96"/>
  <sheetViews>
    <sheetView workbookViewId="0">
      <selection activeCell="B653" sqref="B653"/>
    </sheetView>
  </sheetViews>
  <sheetFormatPr defaultRowHeight="14"/>
  <cols>
    <col min="1" max="1" width="17" style="2" customWidth="1"/>
    <col min="2" max="22" width="17" customWidth="1"/>
  </cols>
  <sheetData>
    <row r="1" spans="1:26" ht="28">
      <c r="A1" s="5" t="s">
        <v>55</v>
      </c>
      <c r="B1" s="6" t="s">
        <v>56</v>
      </c>
      <c r="C1" s="6" t="s">
        <v>57</v>
      </c>
      <c r="D1" s="6" t="s">
        <v>58</v>
      </c>
      <c r="E1" s="6" t="s">
        <v>59</v>
      </c>
      <c r="F1" s="6" t="s">
        <v>60</v>
      </c>
      <c r="G1" s="6" t="s">
        <v>61</v>
      </c>
      <c r="H1" s="6" t="s">
        <v>62</v>
      </c>
      <c r="I1" s="6" t="s">
        <v>63</v>
      </c>
      <c r="J1" s="6" t="s">
        <v>64</v>
      </c>
      <c r="K1" s="6" t="s">
        <v>65</v>
      </c>
      <c r="L1" s="6" t="s">
        <v>66</v>
      </c>
      <c r="M1" s="6" t="s">
        <v>67</v>
      </c>
      <c r="N1" s="6" t="s">
        <v>68</v>
      </c>
      <c r="O1" s="6" t="s">
        <v>69</v>
      </c>
      <c r="P1" s="6" t="s">
        <v>70</v>
      </c>
      <c r="Q1" s="6" t="s">
        <v>71</v>
      </c>
      <c r="R1" s="6" t="s">
        <v>72</v>
      </c>
      <c r="S1" s="6" t="s">
        <v>73</v>
      </c>
      <c r="T1" s="6" t="s">
        <v>74</v>
      </c>
      <c r="U1" s="6" t="s">
        <v>75</v>
      </c>
      <c r="V1" s="6" t="s">
        <v>76</v>
      </c>
      <c r="W1" s="4"/>
      <c r="X1" s="4"/>
      <c r="Y1" s="4"/>
      <c r="Z1" s="4"/>
    </row>
    <row r="2" spans="1:26" hidden="1">
      <c r="A2" s="2">
        <v>46023</v>
      </c>
      <c r="B2" t="s">
        <v>77</v>
      </c>
      <c r="C2" t="s">
        <v>78</v>
      </c>
      <c r="V2" t="str">
        <f t="shared" ref="V2:V65" si="0">IF(AND(N2="Yes",O2="Yes",P2="Yes",Q2="Yes",R2="Yes",S2="Yes",T2="Yes",U2="Yes"),"Complete","Incomplete")</f>
        <v>Incomplete</v>
      </c>
    </row>
    <row r="3" spans="1:26" hidden="1">
      <c r="A3" s="2">
        <v>46023</v>
      </c>
      <c r="B3" t="s">
        <v>77</v>
      </c>
      <c r="C3" t="s">
        <v>79</v>
      </c>
      <c r="V3" t="str">
        <f t="shared" si="0"/>
        <v>Incomplete</v>
      </c>
    </row>
    <row r="4" spans="1:26" hidden="1">
      <c r="A4" s="2">
        <v>46023</v>
      </c>
      <c r="B4" t="s">
        <v>77</v>
      </c>
      <c r="C4" t="s">
        <v>80</v>
      </c>
      <c r="V4" t="str">
        <f t="shared" si="0"/>
        <v>Incomplete</v>
      </c>
    </row>
    <row r="5" spans="1:26" hidden="1">
      <c r="A5" s="2">
        <v>46024</v>
      </c>
      <c r="B5" t="s">
        <v>81</v>
      </c>
      <c r="C5" t="s">
        <v>78</v>
      </c>
      <c r="V5" t="str">
        <f t="shared" si="0"/>
        <v>Incomplete</v>
      </c>
    </row>
    <row r="6" spans="1:26" hidden="1">
      <c r="A6" s="2">
        <v>46024</v>
      </c>
      <c r="B6" t="s">
        <v>81</v>
      </c>
      <c r="C6" t="s">
        <v>79</v>
      </c>
      <c r="V6" t="str">
        <f t="shared" si="0"/>
        <v>Incomplete</v>
      </c>
    </row>
    <row r="7" spans="1:26" hidden="1">
      <c r="A7" s="2">
        <v>46024</v>
      </c>
      <c r="B7" t="s">
        <v>81</v>
      </c>
      <c r="C7" t="s">
        <v>80</v>
      </c>
      <c r="V7" t="str">
        <f t="shared" si="0"/>
        <v>Incomplete</v>
      </c>
    </row>
    <row r="8" spans="1:26" hidden="1">
      <c r="A8" s="2">
        <v>46025</v>
      </c>
      <c r="B8" t="s">
        <v>82</v>
      </c>
      <c r="C8" t="s">
        <v>78</v>
      </c>
      <c r="V8" t="str">
        <f t="shared" si="0"/>
        <v>Incomplete</v>
      </c>
    </row>
    <row r="9" spans="1:26" hidden="1">
      <c r="A9" s="2">
        <v>46025</v>
      </c>
      <c r="B9" t="s">
        <v>82</v>
      </c>
      <c r="C9" t="s">
        <v>79</v>
      </c>
      <c r="V9" t="str">
        <f t="shared" si="0"/>
        <v>Incomplete</v>
      </c>
    </row>
    <row r="10" spans="1:26" hidden="1">
      <c r="A10" s="2">
        <v>46025</v>
      </c>
      <c r="B10" t="s">
        <v>82</v>
      </c>
      <c r="C10" t="s">
        <v>80</v>
      </c>
      <c r="V10" t="str">
        <f t="shared" si="0"/>
        <v>Incomplete</v>
      </c>
    </row>
    <row r="11" spans="1:26" hidden="1">
      <c r="A11" s="2">
        <v>46026</v>
      </c>
      <c r="B11" t="s">
        <v>83</v>
      </c>
      <c r="C11" t="s">
        <v>78</v>
      </c>
      <c r="V11" t="str">
        <f t="shared" si="0"/>
        <v>Incomplete</v>
      </c>
    </row>
    <row r="12" spans="1:26" hidden="1">
      <c r="A12" s="2">
        <v>46026</v>
      </c>
      <c r="B12" t="s">
        <v>83</v>
      </c>
      <c r="C12" t="s">
        <v>79</v>
      </c>
      <c r="V12" t="str">
        <f t="shared" si="0"/>
        <v>Incomplete</v>
      </c>
    </row>
    <row r="13" spans="1:26" hidden="1">
      <c r="A13" s="2">
        <v>46026</v>
      </c>
      <c r="B13" t="s">
        <v>83</v>
      </c>
      <c r="C13" t="s">
        <v>80</v>
      </c>
      <c r="V13" t="str">
        <f t="shared" si="0"/>
        <v>Incomplete</v>
      </c>
    </row>
    <row r="14" spans="1:26" hidden="1">
      <c r="A14" s="2">
        <v>46027</v>
      </c>
      <c r="B14" t="s">
        <v>84</v>
      </c>
      <c r="C14" t="s">
        <v>78</v>
      </c>
      <c r="V14" t="str">
        <f t="shared" si="0"/>
        <v>Incomplete</v>
      </c>
    </row>
    <row r="15" spans="1:26" hidden="1">
      <c r="A15" s="2">
        <v>46027</v>
      </c>
      <c r="B15" t="s">
        <v>84</v>
      </c>
      <c r="C15" t="s">
        <v>79</v>
      </c>
      <c r="V15" t="str">
        <f t="shared" si="0"/>
        <v>Incomplete</v>
      </c>
    </row>
    <row r="16" spans="1:26" hidden="1">
      <c r="A16" s="2">
        <v>46027</v>
      </c>
      <c r="B16" t="s">
        <v>84</v>
      </c>
      <c r="C16" t="s">
        <v>80</v>
      </c>
      <c r="V16" t="str">
        <f t="shared" si="0"/>
        <v>Incomplete</v>
      </c>
    </row>
    <row r="17" spans="1:22" hidden="1">
      <c r="A17" s="2">
        <v>46028</v>
      </c>
      <c r="B17" t="s">
        <v>85</v>
      </c>
      <c r="C17" t="s">
        <v>78</v>
      </c>
      <c r="V17" t="str">
        <f t="shared" si="0"/>
        <v>Incomplete</v>
      </c>
    </row>
    <row r="18" spans="1:22" hidden="1">
      <c r="A18" s="2">
        <v>46028</v>
      </c>
      <c r="B18" t="s">
        <v>85</v>
      </c>
      <c r="C18" t="s">
        <v>79</v>
      </c>
      <c r="V18" t="str">
        <f t="shared" si="0"/>
        <v>Incomplete</v>
      </c>
    </row>
    <row r="19" spans="1:22" hidden="1">
      <c r="A19" s="2">
        <v>46028</v>
      </c>
      <c r="B19" t="s">
        <v>85</v>
      </c>
      <c r="C19" t="s">
        <v>80</v>
      </c>
      <c r="V19" t="str">
        <f t="shared" si="0"/>
        <v>Incomplete</v>
      </c>
    </row>
    <row r="20" spans="1:22" hidden="1">
      <c r="A20" s="2">
        <v>46029</v>
      </c>
      <c r="B20" t="s">
        <v>86</v>
      </c>
      <c r="C20" t="s">
        <v>78</v>
      </c>
      <c r="V20" t="str">
        <f t="shared" si="0"/>
        <v>Incomplete</v>
      </c>
    </row>
    <row r="21" spans="1:22" hidden="1">
      <c r="A21" s="2">
        <v>46029</v>
      </c>
      <c r="B21" t="s">
        <v>86</v>
      </c>
      <c r="C21" t="s">
        <v>79</v>
      </c>
      <c r="V21" t="str">
        <f t="shared" si="0"/>
        <v>Incomplete</v>
      </c>
    </row>
    <row r="22" spans="1:22" hidden="1">
      <c r="A22" s="2">
        <v>46029</v>
      </c>
      <c r="B22" t="s">
        <v>86</v>
      </c>
      <c r="C22" t="s">
        <v>80</v>
      </c>
      <c r="V22" t="str">
        <f t="shared" si="0"/>
        <v>Incomplete</v>
      </c>
    </row>
    <row r="23" spans="1:22" hidden="1">
      <c r="A23" s="2">
        <v>46030</v>
      </c>
      <c r="B23" t="s">
        <v>77</v>
      </c>
      <c r="C23" t="s">
        <v>78</v>
      </c>
      <c r="V23" t="str">
        <f t="shared" si="0"/>
        <v>Incomplete</v>
      </c>
    </row>
    <row r="24" spans="1:22" hidden="1">
      <c r="A24" s="2">
        <v>46030</v>
      </c>
      <c r="B24" t="s">
        <v>77</v>
      </c>
      <c r="C24" t="s">
        <v>79</v>
      </c>
      <c r="V24" t="str">
        <f t="shared" si="0"/>
        <v>Incomplete</v>
      </c>
    </row>
    <row r="25" spans="1:22" hidden="1">
      <c r="A25" s="2">
        <v>46030</v>
      </c>
      <c r="B25" t="s">
        <v>77</v>
      </c>
      <c r="C25" t="s">
        <v>80</v>
      </c>
      <c r="V25" t="str">
        <f t="shared" si="0"/>
        <v>Incomplete</v>
      </c>
    </row>
    <row r="26" spans="1:22" hidden="1">
      <c r="A26" s="2">
        <v>46031</v>
      </c>
      <c r="B26" t="s">
        <v>81</v>
      </c>
      <c r="C26" t="s">
        <v>78</v>
      </c>
      <c r="V26" t="str">
        <f t="shared" si="0"/>
        <v>Incomplete</v>
      </c>
    </row>
    <row r="27" spans="1:22" hidden="1">
      <c r="A27" s="2">
        <v>46031</v>
      </c>
      <c r="B27" t="s">
        <v>81</v>
      </c>
      <c r="C27" t="s">
        <v>79</v>
      </c>
      <c r="V27" t="str">
        <f t="shared" si="0"/>
        <v>Incomplete</v>
      </c>
    </row>
    <row r="28" spans="1:22" hidden="1">
      <c r="A28" s="2">
        <v>46031</v>
      </c>
      <c r="B28" t="s">
        <v>81</v>
      </c>
      <c r="C28" t="s">
        <v>80</v>
      </c>
      <c r="V28" t="str">
        <f t="shared" si="0"/>
        <v>Incomplete</v>
      </c>
    </row>
    <row r="29" spans="1:22" hidden="1">
      <c r="A29" s="2">
        <v>46032</v>
      </c>
      <c r="B29" t="s">
        <v>82</v>
      </c>
      <c r="C29" t="s">
        <v>78</v>
      </c>
      <c r="V29" t="str">
        <f t="shared" si="0"/>
        <v>Incomplete</v>
      </c>
    </row>
    <row r="30" spans="1:22" hidden="1">
      <c r="A30" s="2">
        <v>46032</v>
      </c>
      <c r="B30" t="s">
        <v>82</v>
      </c>
      <c r="C30" t="s">
        <v>79</v>
      </c>
      <c r="V30" t="str">
        <f t="shared" si="0"/>
        <v>Incomplete</v>
      </c>
    </row>
    <row r="31" spans="1:22" hidden="1">
      <c r="A31" s="2">
        <v>46032</v>
      </c>
      <c r="B31" t="s">
        <v>82</v>
      </c>
      <c r="C31" t="s">
        <v>80</v>
      </c>
      <c r="V31" t="str">
        <f t="shared" si="0"/>
        <v>Incomplete</v>
      </c>
    </row>
    <row r="32" spans="1:22" hidden="1">
      <c r="A32" s="2">
        <v>46033</v>
      </c>
      <c r="B32" t="s">
        <v>83</v>
      </c>
      <c r="C32" t="s">
        <v>78</v>
      </c>
      <c r="V32" t="str">
        <f t="shared" si="0"/>
        <v>Incomplete</v>
      </c>
    </row>
    <row r="33" spans="1:22" hidden="1">
      <c r="A33" s="2">
        <v>46033</v>
      </c>
      <c r="B33" t="s">
        <v>83</v>
      </c>
      <c r="C33" t="s">
        <v>79</v>
      </c>
      <c r="V33" t="str">
        <f t="shared" si="0"/>
        <v>Incomplete</v>
      </c>
    </row>
    <row r="34" spans="1:22" hidden="1">
      <c r="A34" s="2">
        <v>46033</v>
      </c>
      <c r="B34" t="s">
        <v>83</v>
      </c>
      <c r="C34" t="s">
        <v>80</v>
      </c>
      <c r="V34" t="str">
        <f t="shared" si="0"/>
        <v>Incomplete</v>
      </c>
    </row>
    <row r="35" spans="1:22" hidden="1">
      <c r="A35" s="2">
        <v>46034</v>
      </c>
      <c r="B35" t="s">
        <v>84</v>
      </c>
      <c r="C35" t="s">
        <v>78</v>
      </c>
      <c r="V35" t="str">
        <f t="shared" si="0"/>
        <v>Incomplete</v>
      </c>
    </row>
    <row r="36" spans="1:22" hidden="1">
      <c r="A36" s="2">
        <v>46034</v>
      </c>
      <c r="B36" t="s">
        <v>84</v>
      </c>
      <c r="C36" t="s">
        <v>79</v>
      </c>
      <c r="V36" t="str">
        <f t="shared" si="0"/>
        <v>Incomplete</v>
      </c>
    </row>
    <row r="37" spans="1:22" hidden="1">
      <c r="A37" s="2">
        <v>46034</v>
      </c>
      <c r="B37" t="s">
        <v>84</v>
      </c>
      <c r="C37" t="s">
        <v>80</v>
      </c>
      <c r="V37" t="str">
        <f t="shared" si="0"/>
        <v>Incomplete</v>
      </c>
    </row>
    <row r="38" spans="1:22" hidden="1">
      <c r="A38" s="2">
        <v>46035</v>
      </c>
      <c r="B38" t="s">
        <v>85</v>
      </c>
      <c r="C38" t="s">
        <v>78</v>
      </c>
      <c r="V38" t="str">
        <f t="shared" si="0"/>
        <v>Incomplete</v>
      </c>
    </row>
    <row r="39" spans="1:22" hidden="1">
      <c r="A39" s="2">
        <v>46035</v>
      </c>
      <c r="B39" t="s">
        <v>85</v>
      </c>
      <c r="C39" t="s">
        <v>79</v>
      </c>
      <c r="V39" t="str">
        <f t="shared" si="0"/>
        <v>Incomplete</v>
      </c>
    </row>
    <row r="40" spans="1:22" hidden="1">
      <c r="A40" s="2">
        <v>46035</v>
      </c>
      <c r="B40" t="s">
        <v>85</v>
      </c>
      <c r="C40" t="s">
        <v>80</v>
      </c>
      <c r="V40" t="str">
        <f t="shared" si="0"/>
        <v>Incomplete</v>
      </c>
    </row>
    <row r="41" spans="1:22" hidden="1">
      <c r="A41" s="2">
        <v>46036</v>
      </c>
      <c r="B41" t="s">
        <v>86</v>
      </c>
      <c r="C41" t="s">
        <v>78</v>
      </c>
      <c r="V41" t="str">
        <f t="shared" si="0"/>
        <v>Incomplete</v>
      </c>
    </row>
    <row r="42" spans="1:22" hidden="1">
      <c r="A42" s="2">
        <v>46036</v>
      </c>
      <c r="B42" t="s">
        <v>86</v>
      </c>
      <c r="C42" t="s">
        <v>79</v>
      </c>
      <c r="V42" t="str">
        <f t="shared" si="0"/>
        <v>Incomplete</v>
      </c>
    </row>
    <row r="43" spans="1:22" hidden="1">
      <c r="A43" s="2">
        <v>46036</v>
      </c>
      <c r="B43" t="s">
        <v>86</v>
      </c>
      <c r="C43" t="s">
        <v>80</v>
      </c>
      <c r="V43" t="str">
        <f t="shared" si="0"/>
        <v>Incomplete</v>
      </c>
    </row>
    <row r="44" spans="1:22" hidden="1">
      <c r="A44" s="2">
        <v>46037</v>
      </c>
      <c r="B44" t="s">
        <v>77</v>
      </c>
      <c r="C44" t="s">
        <v>78</v>
      </c>
      <c r="V44" t="str">
        <f t="shared" si="0"/>
        <v>Incomplete</v>
      </c>
    </row>
    <row r="45" spans="1:22" hidden="1">
      <c r="A45" s="2">
        <v>46037</v>
      </c>
      <c r="B45" t="s">
        <v>77</v>
      </c>
      <c r="C45" t="s">
        <v>79</v>
      </c>
      <c r="V45" t="str">
        <f t="shared" si="0"/>
        <v>Incomplete</v>
      </c>
    </row>
    <row r="46" spans="1:22" hidden="1">
      <c r="A46" s="2">
        <v>46037</v>
      </c>
      <c r="B46" t="s">
        <v>77</v>
      </c>
      <c r="C46" t="s">
        <v>80</v>
      </c>
      <c r="V46" t="str">
        <f t="shared" si="0"/>
        <v>Incomplete</v>
      </c>
    </row>
    <row r="47" spans="1:22" hidden="1">
      <c r="A47" s="2">
        <v>46038</v>
      </c>
      <c r="B47" t="s">
        <v>81</v>
      </c>
      <c r="C47" t="s">
        <v>78</v>
      </c>
      <c r="V47" t="str">
        <f t="shared" si="0"/>
        <v>Incomplete</v>
      </c>
    </row>
    <row r="48" spans="1:22" hidden="1">
      <c r="A48" s="2">
        <v>46038</v>
      </c>
      <c r="B48" t="s">
        <v>81</v>
      </c>
      <c r="C48" t="s">
        <v>79</v>
      </c>
      <c r="V48" t="str">
        <f t="shared" si="0"/>
        <v>Incomplete</v>
      </c>
    </row>
    <row r="49" spans="1:22" hidden="1">
      <c r="A49" s="2">
        <v>46038</v>
      </c>
      <c r="B49" t="s">
        <v>81</v>
      </c>
      <c r="C49" t="s">
        <v>80</v>
      </c>
      <c r="V49" t="str">
        <f t="shared" si="0"/>
        <v>Incomplete</v>
      </c>
    </row>
    <row r="50" spans="1:22" hidden="1">
      <c r="A50" s="2">
        <v>46039</v>
      </c>
      <c r="B50" t="s">
        <v>82</v>
      </c>
      <c r="C50" t="s">
        <v>78</v>
      </c>
      <c r="V50" t="str">
        <f t="shared" si="0"/>
        <v>Incomplete</v>
      </c>
    </row>
    <row r="51" spans="1:22" hidden="1">
      <c r="A51" s="2">
        <v>46039</v>
      </c>
      <c r="B51" t="s">
        <v>82</v>
      </c>
      <c r="C51" t="s">
        <v>79</v>
      </c>
      <c r="V51" t="str">
        <f t="shared" si="0"/>
        <v>Incomplete</v>
      </c>
    </row>
    <row r="52" spans="1:22" hidden="1">
      <c r="A52" s="2">
        <v>46039</v>
      </c>
      <c r="B52" t="s">
        <v>82</v>
      </c>
      <c r="C52" t="s">
        <v>80</v>
      </c>
      <c r="V52" t="str">
        <f t="shared" si="0"/>
        <v>Incomplete</v>
      </c>
    </row>
    <row r="53" spans="1:22" hidden="1">
      <c r="A53" s="2">
        <v>46040</v>
      </c>
      <c r="B53" t="s">
        <v>83</v>
      </c>
      <c r="C53" t="s">
        <v>78</v>
      </c>
      <c r="V53" t="str">
        <f t="shared" si="0"/>
        <v>Incomplete</v>
      </c>
    </row>
    <row r="54" spans="1:22" hidden="1">
      <c r="A54" s="2">
        <v>46040</v>
      </c>
      <c r="B54" t="s">
        <v>83</v>
      </c>
      <c r="C54" t="s">
        <v>79</v>
      </c>
      <c r="V54" t="str">
        <f t="shared" si="0"/>
        <v>Incomplete</v>
      </c>
    </row>
    <row r="55" spans="1:22" hidden="1">
      <c r="A55" s="2">
        <v>46040</v>
      </c>
      <c r="B55" t="s">
        <v>83</v>
      </c>
      <c r="C55" t="s">
        <v>80</v>
      </c>
      <c r="V55" t="str">
        <f t="shared" si="0"/>
        <v>Incomplete</v>
      </c>
    </row>
    <row r="56" spans="1:22" hidden="1">
      <c r="A56" s="2">
        <v>46041</v>
      </c>
      <c r="B56" t="s">
        <v>84</v>
      </c>
      <c r="C56" t="s">
        <v>78</v>
      </c>
      <c r="V56" t="str">
        <f t="shared" si="0"/>
        <v>Incomplete</v>
      </c>
    </row>
    <row r="57" spans="1:22" hidden="1">
      <c r="A57" s="2">
        <v>46041</v>
      </c>
      <c r="B57" t="s">
        <v>84</v>
      </c>
      <c r="C57" t="s">
        <v>79</v>
      </c>
      <c r="V57" t="str">
        <f t="shared" si="0"/>
        <v>Incomplete</v>
      </c>
    </row>
    <row r="58" spans="1:22" hidden="1">
      <c r="A58" s="2">
        <v>46041</v>
      </c>
      <c r="B58" t="s">
        <v>84</v>
      </c>
      <c r="C58" t="s">
        <v>80</v>
      </c>
      <c r="V58" t="str">
        <f t="shared" si="0"/>
        <v>Incomplete</v>
      </c>
    </row>
    <row r="59" spans="1:22" hidden="1">
      <c r="A59" s="2">
        <v>46042</v>
      </c>
      <c r="B59" t="s">
        <v>85</v>
      </c>
      <c r="C59" t="s">
        <v>78</v>
      </c>
      <c r="V59" t="str">
        <f t="shared" si="0"/>
        <v>Incomplete</v>
      </c>
    </row>
    <row r="60" spans="1:22" hidden="1">
      <c r="A60" s="2">
        <v>46042</v>
      </c>
      <c r="B60" t="s">
        <v>85</v>
      </c>
      <c r="C60" t="s">
        <v>79</v>
      </c>
      <c r="V60" t="str">
        <f t="shared" si="0"/>
        <v>Incomplete</v>
      </c>
    </row>
    <row r="61" spans="1:22" hidden="1">
      <c r="A61" s="2">
        <v>46042</v>
      </c>
      <c r="B61" t="s">
        <v>85</v>
      </c>
      <c r="C61" t="s">
        <v>80</v>
      </c>
      <c r="V61" t="str">
        <f t="shared" si="0"/>
        <v>Incomplete</v>
      </c>
    </row>
    <row r="62" spans="1:22" hidden="1">
      <c r="A62" s="2">
        <v>46043</v>
      </c>
      <c r="B62" t="s">
        <v>86</v>
      </c>
      <c r="C62" t="s">
        <v>78</v>
      </c>
      <c r="V62" t="str">
        <f t="shared" si="0"/>
        <v>Incomplete</v>
      </c>
    </row>
    <row r="63" spans="1:22" hidden="1">
      <c r="A63" s="2">
        <v>46043</v>
      </c>
      <c r="B63" t="s">
        <v>86</v>
      </c>
      <c r="C63" t="s">
        <v>79</v>
      </c>
      <c r="V63" t="str">
        <f t="shared" si="0"/>
        <v>Incomplete</v>
      </c>
    </row>
    <row r="64" spans="1:22" hidden="1">
      <c r="A64" s="2">
        <v>46043</v>
      </c>
      <c r="B64" t="s">
        <v>86</v>
      </c>
      <c r="C64" t="s">
        <v>80</v>
      </c>
      <c r="V64" t="str">
        <f t="shared" si="0"/>
        <v>Incomplete</v>
      </c>
    </row>
    <row r="65" spans="1:22" hidden="1">
      <c r="A65" s="2">
        <v>46044</v>
      </c>
      <c r="B65" t="s">
        <v>77</v>
      </c>
      <c r="C65" t="s">
        <v>78</v>
      </c>
      <c r="V65" t="str">
        <f t="shared" si="0"/>
        <v>Incomplete</v>
      </c>
    </row>
    <row r="66" spans="1:22" hidden="1">
      <c r="A66" s="2">
        <v>46044</v>
      </c>
      <c r="B66" t="s">
        <v>77</v>
      </c>
      <c r="C66" t="s">
        <v>79</v>
      </c>
      <c r="V66" t="str">
        <f t="shared" ref="V66:V129" si="1">IF(AND(N66="Yes",O66="Yes",P66="Yes",Q66="Yes",R66="Yes",S66="Yes",T66="Yes",U66="Yes"),"Complete","Incomplete")</f>
        <v>Incomplete</v>
      </c>
    </row>
    <row r="67" spans="1:22" hidden="1">
      <c r="A67" s="2">
        <v>46044</v>
      </c>
      <c r="B67" t="s">
        <v>77</v>
      </c>
      <c r="C67" t="s">
        <v>80</v>
      </c>
      <c r="V67" t="str">
        <f t="shared" si="1"/>
        <v>Incomplete</v>
      </c>
    </row>
    <row r="68" spans="1:22" hidden="1">
      <c r="A68" s="2">
        <v>46045</v>
      </c>
      <c r="B68" t="s">
        <v>81</v>
      </c>
      <c r="C68" t="s">
        <v>78</v>
      </c>
      <c r="V68" t="str">
        <f t="shared" si="1"/>
        <v>Incomplete</v>
      </c>
    </row>
    <row r="69" spans="1:22" hidden="1">
      <c r="A69" s="2">
        <v>46045</v>
      </c>
      <c r="B69" t="s">
        <v>81</v>
      </c>
      <c r="C69" t="s">
        <v>79</v>
      </c>
      <c r="V69" t="str">
        <f t="shared" si="1"/>
        <v>Incomplete</v>
      </c>
    </row>
    <row r="70" spans="1:22" hidden="1">
      <c r="A70" s="2">
        <v>46045</v>
      </c>
      <c r="B70" t="s">
        <v>81</v>
      </c>
      <c r="C70" t="s">
        <v>80</v>
      </c>
      <c r="V70" t="str">
        <f t="shared" si="1"/>
        <v>Incomplete</v>
      </c>
    </row>
    <row r="71" spans="1:22" hidden="1">
      <c r="A71" s="2">
        <v>46046</v>
      </c>
      <c r="B71" t="s">
        <v>82</v>
      </c>
      <c r="C71" t="s">
        <v>78</v>
      </c>
      <c r="V71" t="str">
        <f t="shared" si="1"/>
        <v>Incomplete</v>
      </c>
    </row>
    <row r="72" spans="1:22" hidden="1">
      <c r="A72" s="2">
        <v>46046</v>
      </c>
      <c r="B72" t="s">
        <v>82</v>
      </c>
      <c r="C72" t="s">
        <v>79</v>
      </c>
      <c r="V72" t="str">
        <f t="shared" si="1"/>
        <v>Incomplete</v>
      </c>
    </row>
    <row r="73" spans="1:22" hidden="1">
      <c r="A73" s="2">
        <v>46046</v>
      </c>
      <c r="B73" t="s">
        <v>82</v>
      </c>
      <c r="C73" t="s">
        <v>80</v>
      </c>
      <c r="V73" t="str">
        <f t="shared" si="1"/>
        <v>Incomplete</v>
      </c>
    </row>
    <row r="74" spans="1:22" hidden="1">
      <c r="A74" s="2">
        <v>46047</v>
      </c>
      <c r="B74" t="s">
        <v>83</v>
      </c>
      <c r="C74" t="s">
        <v>78</v>
      </c>
      <c r="V74" t="str">
        <f t="shared" si="1"/>
        <v>Incomplete</v>
      </c>
    </row>
    <row r="75" spans="1:22" hidden="1">
      <c r="A75" s="2">
        <v>46047</v>
      </c>
      <c r="B75" t="s">
        <v>83</v>
      </c>
      <c r="C75" t="s">
        <v>79</v>
      </c>
      <c r="V75" t="str">
        <f t="shared" si="1"/>
        <v>Incomplete</v>
      </c>
    </row>
    <row r="76" spans="1:22" hidden="1">
      <c r="A76" s="2">
        <v>46047</v>
      </c>
      <c r="B76" t="s">
        <v>83</v>
      </c>
      <c r="C76" t="s">
        <v>80</v>
      </c>
      <c r="V76" t="str">
        <f t="shared" si="1"/>
        <v>Incomplete</v>
      </c>
    </row>
    <row r="77" spans="1:22" hidden="1">
      <c r="A77" s="2">
        <v>46048</v>
      </c>
      <c r="B77" t="s">
        <v>84</v>
      </c>
      <c r="C77" t="s">
        <v>78</v>
      </c>
      <c r="V77" t="str">
        <f t="shared" si="1"/>
        <v>Incomplete</v>
      </c>
    </row>
    <row r="78" spans="1:22" hidden="1">
      <c r="A78" s="2">
        <v>46048</v>
      </c>
      <c r="B78" t="s">
        <v>84</v>
      </c>
      <c r="C78" t="s">
        <v>79</v>
      </c>
      <c r="V78" t="str">
        <f t="shared" si="1"/>
        <v>Incomplete</v>
      </c>
    </row>
    <row r="79" spans="1:22" hidden="1">
      <c r="A79" s="2">
        <v>46048</v>
      </c>
      <c r="B79" t="s">
        <v>84</v>
      </c>
      <c r="C79" t="s">
        <v>80</v>
      </c>
      <c r="V79" t="str">
        <f t="shared" si="1"/>
        <v>Incomplete</v>
      </c>
    </row>
    <row r="80" spans="1:22" hidden="1">
      <c r="A80" s="2">
        <v>46049</v>
      </c>
      <c r="B80" t="s">
        <v>85</v>
      </c>
      <c r="C80" t="s">
        <v>78</v>
      </c>
      <c r="V80" t="str">
        <f t="shared" si="1"/>
        <v>Incomplete</v>
      </c>
    </row>
    <row r="81" spans="1:22" hidden="1">
      <c r="A81" s="2">
        <v>46049</v>
      </c>
      <c r="B81" t="s">
        <v>85</v>
      </c>
      <c r="C81" t="s">
        <v>79</v>
      </c>
      <c r="V81" t="str">
        <f t="shared" si="1"/>
        <v>Incomplete</v>
      </c>
    </row>
    <row r="82" spans="1:22" hidden="1">
      <c r="A82" s="2">
        <v>46049</v>
      </c>
      <c r="B82" t="s">
        <v>85</v>
      </c>
      <c r="C82" t="s">
        <v>80</v>
      </c>
      <c r="V82" t="str">
        <f t="shared" si="1"/>
        <v>Incomplete</v>
      </c>
    </row>
    <row r="83" spans="1:22" hidden="1">
      <c r="A83" s="2">
        <v>46050</v>
      </c>
      <c r="B83" t="s">
        <v>86</v>
      </c>
      <c r="C83" t="s">
        <v>78</v>
      </c>
      <c r="V83" t="str">
        <f t="shared" si="1"/>
        <v>Incomplete</v>
      </c>
    </row>
    <row r="84" spans="1:22" hidden="1">
      <c r="A84" s="2">
        <v>46050</v>
      </c>
      <c r="B84" t="s">
        <v>86</v>
      </c>
      <c r="C84" t="s">
        <v>79</v>
      </c>
      <c r="V84" t="str">
        <f t="shared" si="1"/>
        <v>Incomplete</v>
      </c>
    </row>
    <row r="85" spans="1:22" hidden="1">
      <c r="A85" s="2">
        <v>46050</v>
      </c>
      <c r="B85" t="s">
        <v>86</v>
      </c>
      <c r="C85" t="s">
        <v>80</v>
      </c>
      <c r="V85" t="str">
        <f t="shared" si="1"/>
        <v>Incomplete</v>
      </c>
    </row>
    <row r="86" spans="1:22" hidden="1">
      <c r="A86" s="2">
        <v>46051</v>
      </c>
      <c r="B86" t="s">
        <v>77</v>
      </c>
      <c r="C86" t="s">
        <v>78</v>
      </c>
      <c r="V86" t="str">
        <f t="shared" si="1"/>
        <v>Incomplete</v>
      </c>
    </row>
    <row r="87" spans="1:22" hidden="1">
      <c r="A87" s="2">
        <v>46051</v>
      </c>
      <c r="B87" t="s">
        <v>77</v>
      </c>
      <c r="C87" t="s">
        <v>79</v>
      </c>
      <c r="V87" t="str">
        <f t="shared" si="1"/>
        <v>Incomplete</v>
      </c>
    </row>
    <row r="88" spans="1:22" hidden="1">
      <c r="A88" s="2">
        <v>46051</v>
      </c>
      <c r="B88" t="s">
        <v>77</v>
      </c>
      <c r="C88" t="s">
        <v>80</v>
      </c>
      <c r="V88" t="str">
        <f t="shared" si="1"/>
        <v>Incomplete</v>
      </c>
    </row>
    <row r="89" spans="1:22" hidden="1">
      <c r="A89" s="2">
        <v>46052</v>
      </c>
      <c r="B89" t="s">
        <v>81</v>
      </c>
      <c r="C89" t="s">
        <v>78</v>
      </c>
      <c r="V89" t="str">
        <f t="shared" si="1"/>
        <v>Incomplete</v>
      </c>
    </row>
    <row r="90" spans="1:22" hidden="1">
      <c r="A90" s="2">
        <v>46052</v>
      </c>
      <c r="B90" t="s">
        <v>81</v>
      </c>
      <c r="C90" t="s">
        <v>79</v>
      </c>
      <c r="V90" t="str">
        <f t="shared" si="1"/>
        <v>Incomplete</v>
      </c>
    </row>
    <row r="91" spans="1:22" hidden="1">
      <c r="A91" s="2">
        <v>46052</v>
      </c>
      <c r="B91" t="s">
        <v>81</v>
      </c>
      <c r="C91" t="s">
        <v>80</v>
      </c>
      <c r="V91" t="str">
        <f t="shared" si="1"/>
        <v>Incomplete</v>
      </c>
    </row>
    <row r="92" spans="1:22" hidden="1">
      <c r="A92" s="2">
        <v>46053</v>
      </c>
      <c r="B92" t="s">
        <v>82</v>
      </c>
      <c r="C92" t="s">
        <v>78</v>
      </c>
      <c r="V92" t="str">
        <f t="shared" si="1"/>
        <v>Incomplete</v>
      </c>
    </row>
    <row r="93" spans="1:22" hidden="1">
      <c r="A93" s="2">
        <v>46053</v>
      </c>
      <c r="B93" t="s">
        <v>82</v>
      </c>
      <c r="C93" t="s">
        <v>79</v>
      </c>
      <c r="V93" t="str">
        <f t="shared" si="1"/>
        <v>Incomplete</v>
      </c>
    </row>
    <row r="94" spans="1:22" hidden="1">
      <c r="A94" s="2">
        <v>46053</v>
      </c>
      <c r="B94" t="s">
        <v>82</v>
      </c>
      <c r="C94" t="s">
        <v>80</v>
      </c>
      <c r="V94" t="str">
        <f t="shared" si="1"/>
        <v>Incomplete</v>
      </c>
    </row>
    <row r="95" spans="1:22" hidden="1">
      <c r="A95" s="2">
        <v>46054</v>
      </c>
      <c r="B95" t="s">
        <v>83</v>
      </c>
      <c r="C95" t="s">
        <v>78</v>
      </c>
      <c r="V95" t="str">
        <f t="shared" si="1"/>
        <v>Incomplete</v>
      </c>
    </row>
    <row r="96" spans="1:22" hidden="1">
      <c r="A96" s="2">
        <v>46054</v>
      </c>
      <c r="B96" t="s">
        <v>83</v>
      </c>
      <c r="C96" t="s">
        <v>79</v>
      </c>
      <c r="V96" t="str">
        <f t="shared" si="1"/>
        <v>Incomplete</v>
      </c>
    </row>
    <row r="97" spans="1:22" hidden="1">
      <c r="A97" s="2">
        <v>46054</v>
      </c>
      <c r="B97" t="s">
        <v>83</v>
      </c>
      <c r="C97" t="s">
        <v>80</v>
      </c>
      <c r="V97" t="str">
        <f t="shared" si="1"/>
        <v>Incomplete</v>
      </c>
    </row>
    <row r="98" spans="1:22" hidden="1">
      <c r="A98" s="2">
        <v>46055</v>
      </c>
      <c r="B98" t="s">
        <v>84</v>
      </c>
      <c r="C98" t="s">
        <v>78</v>
      </c>
      <c r="V98" t="str">
        <f t="shared" si="1"/>
        <v>Incomplete</v>
      </c>
    </row>
    <row r="99" spans="1:22" hidden="1">
      <c r="A99" s="2">
        <v>46055</v>
      </c>
      <c r="B99" t="s">
        <v>84</v>
      </c>
      <c r="C99" t="s">
        <v>79</v>
      </c>
      <c r="V99" t="str">
        <f t="shared" si="1"/>
        <v>Incomplete</v>
      </c>
    </row>
    <row r="100" spans="1:22" hidden="1">
      <c r="A100" s="2">
        <v>46055</v>
      </c>
      <c r="B100" t="s">
        <v>84</v>
      </c>
      <c r="C100" t="s">
        <v>80</v>
      </c>
      <c r="V100" t="str">
        <f t="shared" si="1"/>
        <v>Incomplete</v>
      </c>
    </row>
    <row r="101" spans="1:22" hidden="1">
      <c r="A101" s="2">
        <v>46056</v>
      </c>
      <c r="B101" t="s">
        <v>85</v>
      </c>
      <c r="C101" t="s">
        <v>78</v>
      </c>
      <c r="V101" t="str">
        <f t="shared" si="1"/>
        <v>Incomplete</v>
      </c>
    </row>
    <row r="102" spans="1:22" hidden="1">
      <c r="A102" s="2">
        <v>46056</v>
      </c>
      <c r="B102" t="s">
        <v>85</v>
      </c>
      <c r="C102" t="s">
        <v>79</v>
      </c>
      <c r="V102" t="str">
        <f t="shared" si="1"/>
        <v>Incomplete</v>
      </c>
    </row>
    <row r="103" spans="1:22" hidden="1">
      <c r="A103" s="2">
        <v>46056</v>
      </c>
      <c r="B103" t="s">
        <v>85</v>
      </c>
      <c r="C103" t="s">
        <v>80</v>
      </c>
      <c r="V103" t="str">
        <f t="shared" si="1"/>
        <v>Incomplete</v>
      </c>
    </row>
    <row r="104" spans="1:22" hidden="1">
      <c r="A104" s="2">
        <v>46057</v>
      </c>
      <c r="B104" t="s">
        <v>86</v>
      </c>
      <c r="C104" t="s">
        <v>78</v>
      </c>
      <c r="V104" t="str">
        <f t="shared" si="1"/>
        <v>Incomplete</v>
      </c>
    </row>
    <row r="105" spans="1:22" hidden="1">
      <c r="A105" s="2">
        <v>46057</v>
      </c>
      <c r="B105" t="s">
        <v>86</v>
      </c>
      <c r="C105" t="s">
        <v>79</v>
      </c>
      <c r="V105" t="str">
        <f t="shared" si="1"/>
        <v>Incomplete</v>
      </c>
    </row>
    <row r="106" spans="1:22" hidden="1">
      <c r="A106" s="2">
        <v>46057</v>
      </c>
      <c r="B106" t="s">
        <v>86</v>
      </c>
      <c r="C106" t="s">
        <v>80</v>
      </c>
      <c r="V106" t="str">
        <f t="shared" si="1"/>
        <v>Incomplete</v>
      </c>
    </row>
    <row r="107" spans="1:22" hidden="1">
      <c r="A107" s="2">
        <v>46058</v>
      </c>
      <c r="B107" t="s">
        <v>77</v>
      </c>
      <c r="C107" t="s">
        <v>78</v>
      </c>
      <c r="V107" t="str">
        <f t="shared" si="1"/>
        <v>Incomplete</v>
      </c>
    </row>
    <row r="108" spans="1:22" hidden="1">
      <c r="A108" s="2">
        <v>46058</v>
      </c>
      <c r="B108" t="s">
        <v>77</v>
      </c>
      <c r="C108" t="s">
        <v>79</v>
      </c>
      <c r="V108" t="str">
        <f t="shared" si="1"/>
        <v>Incomplete</v>
      </c>
    </row>
    <row r="109" spans="1:22" hidden="1">
      <c r="A109" s="2">
        <v>46058</v>
      </c>
      <c r="B109" t="s">
        <v>77</v>
      </c>
      <c r="C109" t="s">
        <v>80</v>
      </c>
      <c r="V109" t="str">
        <f t="shared" si="1"/>
        <v>Incomplete</v>
      </c>
    </row>
    <row r="110" spans="1:22" hidden="1">
      <c r="A110" s="2">
        <v>46059</v>
      </c>
      <c r="B110" t="s">
        <v>81</v>
      </c>
      <c r="C110" t="s">
        <v>78</v>
      </c>
      <c r="V110" t="str">
        <f t="shared" si="1"/>
        <v>Incomplete</v>
      </c>
    </row>
    <row r="111" spans="1:22" hidden="1">
      <c r="A111" s="2">
        <v>46059</v>
      </c>
      <c r="B111" t="s">
        <v>81</v>
      </c>
      <c r="C111" t="s">
        <v>79</v>
      </c>
      <c r="V111" t="str">
        <f t="shared" si="1"/>
        <v>Incomplete</v>
      </c>
    </row>
    <row r="112" spans="1:22" hidden="1">
      <c r="A112" s="2">
        <v>46059</v>
      </c>
      <c r="B112" t="s">
        <v>81</v>
      </c>
      <c r="C112" t="s">
        <v>80</v>
      </c>
      <c r="V112" t="str">
        <f t="shared" si="1"/>
        <v>Incomplete</v>
      </c>
    </row>
    <row r="113" spans="1:22" hidden="1">
      <c r="A113" s="2">
        <v>46060</v>
      </c>
      <c r="B113" t="s">
        <v>82</v>
      </c>
      <c r="C113" t="s">
        <v>78</v>
      </c>
      <c r="V113" t="str">
        <f t="shared" si="1"/>
        <v>Incomplete</v>
      </c>
    </row>
    <row r="114" spans="1:22" hidden="1">
      <c r="A114" s="2">
        <v>46060</v>
      </c>
      <c r="B114" t="s">
        <v>82</v>
      </c>
      <c r="C114" t="s">
        <v>79</v>
      </c>
      <c r="V114" t="str">
        <f t="shared" si="1"/>
        <v>Incomplete</v>
      </c>
    </row>
    <row r="115" spans="1:22" hidden="1">
      <c r="A115" s="2">
        <v>46060</v>
      </c>
      <c r="B115" t="s">
        <v>82</v>
      </c>
      <c r="C115" t="s">
        <v>80</v>
      </c>
      <c r="V115" t="str">
        <f t="shared" si="1"/>
        <v>Incomplete</v>
      </c>
    </row>
    <row r="116" spans="1:22" hidden="1">
      <c r="A116" s="2">
        <v>46061</v>
      </c>
      <c r="B116" t="s">
        <v>83</v>
      </c>
      <c r="C116" t="s">
        <v>78</v>
      </c>
      <c r="V116" t="str">
        <f t="shared" si="1"/>
        <v>Incomplete</v>
      </c>
    </row>
    <row r="117" spans="1:22" hidden="1">
      <c r="A117" s="2">
        <v>46061</v>
      </c>
      <c r="B117" t="s">
        <v>83</v>
      </c>
      <c r="C117" t="s">
        <v>79</v>
      </c>
      <c r="V117" t="str">
        <f t="shared" si="1"/>
        <v>Incomplete</v>
      </c>
    </row>
    <row r="118" spans="1:22" hidden="1">
      <c r="A118" s="2">
        <v>46061</v>
      </c>
      <c r="B118" t="s">
        <v>83</v>
      </c>
      <c r="C118" t="s">
        <v>80</v>
      </c>
      <c r="V118" t="str">
        <f t="shared" si="1"/>
        <v>Incomplete</v>
      </c>
    </row>
    <row r="119" spans="1:22" hidden="1">
      <c r="A119" s="2">
        <v>46062</v>
      </c>
      <c r="B119" t="s">
        <v>84</v>
      </c>
      <c r="C119" t="s">
        <v>78</v>
      </c>
      <c r="V119" t="str">
        <f t="shared" si="1"/>
        <v>Incomplete</v>
      </c>
    </row>
    <row r="120" spans="1:22" hidden="1">
      <c r="A120" s="2">
        <v>46062</v>
      </c>
      <c r="B120" t="s">
        <v>84</v>
      </c>
      <c r="C120" t="s">
        <v>79</v>
      </c>
      <c r="V120" t="str">
        <f t="shared" si="1"/>
        <v>Incomplete</v>
      </c>
    </row>
    <row r="121" spans="1:22" hidden="1">
      <c r="A121" s="2">
        <v>46062</v>
      </c>
      <c r="B121" t="s">
        <v>84</v>
      </c>
      <c r="C121" t="s">
        <v>80</v>
      </c>
      <c r="V121" t="str">
        <f t="shared" si="1"/>
        <v>Incomplete</v>
      </c>
    </row>
    <row r="122" spans="1:22" hidden="1">
      <c r="A122" s="2">
        <v>46063</v>
      </c>
      <c r="B122" t="s">
        <v>85</v>
      </c>
      <c r="C122" t="s">
        <v>78</v>
      </c>
      <c r="V122" t="str">
        <f t="shared" si="1"/>
        <v>Incomplete</v>
      </c>
    </row>
    <row r="123" spans="1:22" hidden="1">
      <c r="A123" s="2">
        <v>46063</v>
      </c>
      <c r="B123" t="s">
        <v>85</v>
      </c>
      <c r="C123" t="s">
        <v>79</v>
      </c>
      <c r="V123" t="str">
        <f t="shared" si="1"/>
        <v>Incomplete</v>
      </c>
    </row>
    <row r="124" spans="1:22" hidden="1">
      <c r="A124" s="2">
        <v>46063</v>
      </c>
      <c r="B124" t="s">
        <v>85</v>
      </c>
      <c r="C124" t="s">
        <v>80</v>
      </c>
      <c r="V124" t="str">
        <f t="shared" si="1"/>
        <v>Incomplete</v>
      </c>
    </row>
    <row r="125" spans="1:22" hidden="1">
      <c r="A125" s="2">
        <v>46064</v>
      </c>
      <c r="B125" t="s">
        <v>86</v>
      </c>
      <c r="C125" t="s">
        <v>78</v>
      </c>
      <c r="V125" t="str">
        <f t="shared" si="1"/>
        <v>Incomplete</v>
      </c>
    </row>
    <row r="126" spans="1:22" hidden="1">
      <c r="A126" s="2">
        <v>46064</v>
      </c>
      <c r="B126" t="s">
        <v>86</v>
      </c>
      <c r="C126" t="s">
        <v>79</v>
      </c>
      <c r="V126" t="str">
        <f t="shared" si="1"/>
        <v>Incomplete</v>
      </c>
    </row>
    <row r="127" spans="1:22" hidden="1">
      <c r="A127" s="2">
        <v>46064</v>
      </c>
      <c r="B127" t="s">
        <v>86</v>
      </c>
      <c r="C127" t="s">
        <v>80</v>
      </c>
      <c r="V127" t="str">
        <f t="shared" si="1"/>
        <v>Incomplete</v>
      </c>
    </row>
    <row r="128" spans="1:22" hidden="1">
      <c r="A128" s="2">
        <v>46065</v>
      </c>
      <c r="B128" t="s">
        <v>77</v>
      </c>
      <c r="C128" t="s">
        <v>78</v>
      </c>
      <c r="V128" t="str">
        <f t="shared" si="1"/>
        <v>Incomplete</v>
      </c>
    </row>
    <row r="129" spans="1:22" hidden="1">
      <c r="A129" s="2">
        <v>46065</v>
      </c>
      <c r="B129" t="s">
        <v>77</v>
      </c>
      <c r="C129" t="s">
        <v>79</v>
      </c>
      <c r="V129" t="str">
        <f t="shared" si="1"/>
        <v>Incomplete</v>
      </c>
    </row>
    <row r="130" spans="1:22" hidden="1">
      <c r="A130" s="2">
        <v>46065</v>
      </c>
      <c r="B130" t="s">
        <v>77</v>
      </c>
      <c r="C130" t="s">
        <v>80</v>
      </c>
      <c r="V130" t="str">
        <f t="shared" ref="V130:V193" si="2">IF(AND(N130="Yes",O130="Yes",P130="Yes",Q130="Yes",R130="Yes",S130="Yes",T130="Yes",U130="Yes"),"Complete","Incomplete")</f>
        <v>Incomplete</v>
      </c>
    </row>
    <row r="131" spans="1:22" hidden="1">
      <c r="A131" s="2">
        <v>46066</v>
      </c>
      <c r="B131" t="s">
        <v>81</v>
      </c>
      <c r="C131" t="s">
        <v>78</v>
      </c>
      <c r="V131" t="str">
        <f t="shared" si="2"/>
        <v>Incomplete</v>
      </c>
    </row>
    <row r="132" spans="1:22" hidden="1">
      <c r="A132" s="2">
        <v>46066</v>
      </c>
      <c r="B132" t="s">
        <v>81</v>
      </c>
      <c r="C132" t="s">
        <v>79</v>
      </c>
      <c r="V132" t="str">
        <f t="shared" si="2"/>
        <v>Incomplete</v>
      </c>
    </row>
    <row r="133" spans="1:22" hidden="1">
      <c r="A133" s="2">
        <v>46066</v>
      </c>
      <c r="B133" t="s">
        <v>81</v>
      </c>
      <c r="C133" t="s">
        <v>80</v>
      </c>
      <c r="V133" t="str">
        <f t="shared" si="2"/>
        <v>Incomplete</v>
      </c>
    </row>
    <row r="134" spans="1:22" hidden="1">
      <c r="A134" s="2">
        <v>46067</v>
      </c>
      <c r="B134" t="s">
        <v>82</v>
      </c>
      <c r="C134" t="s">
        <v>78</v>
      </c>
      <c r="V134" t="str">
        <f t="shared" si="2"/>
        <v>Incomplete</v>
      </c>
    </row>
    <row r="135" spans="1:22" hidden="1">
      <c r="A135" s="2">
        <v>46067</v>
      </c>
      <c r="B135" t="s">
        <v>82</v>
      </c>
      <c r="C135" t="s">
        <v>79</v>
      </c>
      <c r="V135" t="str">
        <f t="shared" si="2"/>
        <v>Incomplete</v>
      </c>
    </row>
    <row r="136" spans="1:22" hidden="1">
      <c r="A136" s="2">
        <v>46067</v>
      </c>
      <c r="B136" t="s">
        <v>82</v>
      </c>
      <c r="C136" t="s">
        <v>80</v>
      </c>
      <c r="V136" t="str">
        <f t="shared" si="2"/>
        <v>Incomplete</v>
      </c>
    </row>
    <row r="137" spans="1:22" hidden="1">
      <c r="A137" s="2">
        <v>46068</v>
      </c>
      <c r="B137" t="s">
        <v>83</v>
      </c>
      <c r="C137" t="s">
        <v>78</v>
      </c>
      <c r="V137" t="str">
        <f t="shared" si="2"/>
        <v>Incomplete</v>
      </c>
    </row>
    <row r="138" spans="1:22" hidden="1">
      <c r="A138" s="2">
        <v>46068</v>
      </c>
      <c r="B138" t="s">
        <v>83</v>
      </c>
      <c r="C138" t="s">
        <v>79</v>
      </c>
      <c r="V138" t="str">
        <f t="shared" si="2"/>
        <v>Incomplete</v>
      </c>
    </row>
    <row r="139" spans="1:22" hidden="1">
      <c r="A139" s="2">
        <v>46068</v>
      </c>
      <c r="B139" t="s">
        <v>83</v>
      </c>
      <c r="C139" t="s">
        <v>80</v>
      </c>
      <c r="V139" t="str">
        <f t="shared" si="2"/>
        <v>Incomplete</v>
      </c>
    </row>
    <row r="140" spans="1:22" hidden="1">
      <c r="A140" s="2">
        <v>46069</v>
      </c>
      <c r="B140" t="s">
        <v>84</v>
      </c>
      <c r="C140" t="s">
        <v>78</v>
      </c>
      <c r="V140" t="str">
        <f t="shared" si="2"/>
        <v>Incomplete</v>
      </c>
    </row>
    <row r="141" spans="1:22" hidden="1">
      <c r="A141" s="2">
        <v>46069</v>
      </c>
      <c r="B141" t="s">
        <v>84</v>
      </c>
      <c r="C141" t="s">
        <v>79</v>
      </c>
      <c r="V141" t="str">
        <f t="shared" si="2"/>
        <v>Incomplete</v>
      </c>
    </row>
    <row r="142" spans="1:22" hidden="1">
      <c r="A142" s="2">
        <v>46069</v>
      </c>
      <c r="B142" t="s">
        <v>84</v>
      </c>
      <c r="C142" t="s">
        <v>80</v>
      </c>
      <c r="V142" t="str">
        <f t="shared" si="2"/>
        <v>Incomplete</v>
      </c>
    </row>
    <row r="143" spans="1:22" hidden="1">
      <c r="A143" s="2">
        <v>46070</v>
      </c>
      <c r="B143" t="s">
        <v>85</v>
      </c>
      <c r="C143" t="s">
        <v>78</v>
      </c>
      <c r="V143" t="str">
        <f t="shared" si="2"/>
        <v>Incomplete</v>
      </c>
    </row>
    <row r="144" spans="1:22" hidden="1">
      <c r="A144" s="2">
        <v>46070</v>
      </c>
      <c r="B144" t="s">
        <v>85</v>
      </c>
      <c r="C144" t="s">
        <v>79</v>
      </c>
      <c r="V144" t="str">
        <f t="shared" si="2"/>
        <v>Incomplete</v>
      </c>
    </row>
    <row r="145" spans="1:22" hidden="1">
      <c r="A145" s="2">
        <v>46070</v>
      </c>
      <c r="B145" t="s">
        <v>85</v>
      </c>
      <c r="C145" t="s">
        <v>80</v>
      </c>
      <c r="V145" t="str">
        <f t="shared" si="2"/>
        <v>Incomplete</v>
      </c>
    </row>
    <row r="146" spans="1:22" hidden="1">
      <c r="A146" s="2">
        <v>46071</v>
      </c>
      <c r="B146" t="s">
        <v>86</v>
      </c>
      <c r="C146" t="s">
        <v>78</v>
      </c>
      <c r="V146" t="str">
        <f t="shared" si="2"/>
        <v>Incomplete</v>
      </c>
    </row>
    <row r="147" spans="1:22" hidden="1">
      <c r="A147" s="2">
        <v>46071</v>
      </c>
      <c r="B147" t="s">
        <v>86</v>
      </c>
      <c r="C147" t="s">
        <v>79</v>
      </c>
      <c r="V147" t="str">
        <f t="shared" si="2"/>
        <v>Incomplete</v>
      </c>
    </row>
    <row r="148" spans="1:22" hidden="1">
      <c r="A148" s="2">
        <v>46071</v>
      </c>
      <c r="B148" t="s">
        <v>86</v>
      </c>
      <c r="C148" t="s">
        <v>80</v>
      </c>
      <c r="V148" t="str">
        <f t="shared" si="2"/>
        <v>Incomplete</v>
      </c>
    </row>
    <row r="149" spans="1:22" hidden="1">
      <c r="A149" s="2">
        <v>46072</v>
      </c>
      <c r="B149" t="s">
        <v>77</v>
      </c>
      <c r="C149" t="s">
        <v>78</v>
      </c>
      <c r="V149" t="str">
        <f t="shared" si="2"/>
        <v>Incomplete</v>
      </c>
    </row>
    <row r="150" spans="1:22" hidden="1">
      <c r="A150" s="2">
        <v>46072</v>
      </c>
      <c r="B150" t="s">
        <v>77</v>
      </c>
      <c r="C150" t="s">
        <v>79</v>
      </c>
      <c r="V150" t="str">
        <f t="shared" si="2"/>
        <v>Incomplete</v>
      </c>
    </row>
    <row r="151" spans="1:22" hidden="1">
      <c r="A151" s="2">
        <v>46072</v>
      </c>
      <c r="B151" t="s">
        <v>77</v>
      </c>
      <c r="C151" t="s">
        <v>80</v>
      </c>
      <c r="V151" t="str">
        <f t="shared" si="2"/>
        <v>Incomplete</v>
      </c>
    </row>
    <row r="152" spans="1:22" hidden="1">
      <c r="A152" s="2">
        <v>46073</v>
      </c>
      <c r="B152" t="s">
        <v>81</v>
      </c>
      <c r="C152" t="s">
        <v>78</v>
      </c>
      <c r="V152" t="str">
        <f t="shared" si="2"/>
        <v>Incomplete</v>
      </c>
    </row>
    <row r="153" spans="1:22" hidden="1">
      <c r="A153" s="2">
        <v>46073</v>
      </c>
      <c r="B153" t="s">
        <v>81</v>
      </c>
      <c r="C153" t="s">
        <v>79</v>
      </c>
      <c r="V153" t="str">
        <f t="shared" si="2"/>
        <v>Incomplete</v>
      </c>
    </row>
    <row r="154" spans="1:22" hidden="1">
      <c r="A154" s="2">
        <v>46073</v>
      </c>
      <c r="B154" t="s">
        <v>81</v>
      </c>
      <c r="C154" t="s">
        <v>80</v>
      </c>
      <c r="V154" t="str">
        <f t="shared" si="2"/>
        <v>Incomplete</v>
      </c>
    </row>
    <row r="155" spans="1:22" hidden="1">
      <c r="A155" s="2">
        <v>46074</v>
      </c>
      <c r="B155" t="s">
        <v>82</v>
      </c>
      <c r="C155" t="s">
        <v>78</v>
      </c>
      <c r="V155" t="str">
        <f t="shared" si="2"/>
        <v>Incomplete</v>
      </c>
    </row>
    <row r="156" spans="1:22" hidden="1">
      <c r="A156" s="2">
        <v>46074</v>
      </c>
      <c r="B156" t="s">
        <v>82</v>
      </c>
      <c r="C156" t="s">
        <v>79</v>
      </c>
      <c r="V156" t="str">
        <f t="shared" si="2"/>
        <v>Incomplete</v>
      </c>
    </row>
    <row r="157" spans="1:22" hidden="1">
      <c r="A157" s="2">
        <v>46074</v>
      </c>
      <c r="B157" t="s">
        <v>82</v>
      </c>
      <c r="C157" t="s">
        <v>80</v>
      </c>
      <c r="V157" t="str">
        <f t="shared" si="2"/>
        <v>Incomplete</v>
      </c>
    </row>
    <row r="158" spans="1:22" hidden="1">
      <c r="A158" s="2">
        <v>46075</v>
      </c>
      <c r="B158" t="s">
        <v>83</v>
      </c>
      <c r="C158" t="s">
        <v>78</v>
      </c>
      <c r="V158" t="str">
        <f t="shared" si="2"/>
        <v>Incomplete</v>
      </c>
    </row>
    <row r="159" spans="1:22" hidden="1">
      <c r="A159" s="2">
        <v>46075</v>
      </c>
      <c r="B159" t="s">
        <v>83</v>
      </c>
      <c r="C159" t="s">
        <v>79</v>
      </c>
      <c r="V159" t="str">
        <f t="shared" si="2"/>
        <v>Incomplete</v>
      </c>
    </row>
    <row r="160" spans="1:22" hidden="1">
      <c r="A160" s="2">
        <v>46075</v>
      </c>
      <c r="B160" t="s">
        <v>83</v>
      </c>
      <c r="C160" t="s">
        <v>80</v>
      </c>
      <c r="V160" t="str">
        <f t="shared" si="2"/>
        <v>Incomplete</v>
      </c>
    </row>
    <row r="161" spans="1:22" hidden="1">
      <c r="A161" s="2">
        <v>46076</v>
      </c>
      <c r="B161" t="s">
        <v>84</v>
      </c>
      <c r="C161" t="s">
        <v>78</v>
      </c>
      <c r="V161" t="str">
        <f t="shared" si="2"/>
        <v>Incomplete</v>
      </c>
    </row>
    <row r="162" spans="1:22" hidden="1">
      <c r="A162" s="2">
        <v>46076</v>
      </c>
      <c r="B162" t="s">
        <v>84</v>
      </c>
      <c r="C162" t="s">
        <v>79</v>
      </c>
      <c r="V162" t="str">
        <f t="shared" si="2"/>
        <v>Incomplete</v>
      </c>
    </row>
    <row r="163" spans="1:22" hidden="1">
      <c r="A163" s="2">
        <v>46076</v>
      </c>
      <c r="B163" t="s">
        <v>84</v>
      </c>
      <c r="C163" t="s">
        <v>80</v>
      </c>
      <c r="V163" t="str">
        <f t="shared" si="2"/>
        <v>Incomplete</v>
      </c>
    </row>
    <row r="164" spans="1:22" hidden="1">
      <c r="A164" s="2">
        <v>46077</v>
      </c>
      <c r="B164" t="s">
        <v>85</v>
      </c>
      <c r="C164" t="s">
        <v>78</v>
      </c>
      <c r="V164" t="str">
        <f t="shared" si="2"/>
        <v>Incomplete</v>
      </c>
    </row>
    <row r="165" spans="1:22" hidden="1">
      <c r="A165" s="2">
        <v>46077</v>
      </c>
      <c r="B165" t="s">
        <v>85</v>
      </c>
      <c r="C165" t="s">
        <v>79</v>
      </c>
      <c r="V165" t="str">
        <f t="shared" si="2"/>
        <v>Incomplete</v>
      </c>
    </row>
    <row r="166" spans="1:22" hidden="1">
      <c r="A166" s="2">
        <v>46077</v>
      </c>
      <c r="B166" t="s">
        <v>85</v>
      </c>
      <c r="C166" t="s">
        <v>80</v>
      </c>
      <c r="V166" t="str">
        <f t="shared" si="2"/>
        <v>Incomplete</v>
      </c>
    </row>
    <row r="167" spans="1:22" hidden="1">
      <c r="A167" s="2">
        <v>46078</v>
      </c>
      <c r="B167" t="s">
        <v>86</v>
      </c>
      <c r="C167" t="s">
        <v>78</v>
      </c>
      <c r="V167" t="str">
        <f t="shared" si="2"/>
        <v>Incomplete</v>
      </c>
    </row>
    <row r="168" spans="1:22" hidden="1">
      <c r="A168" s="2">
        <v>46078</v>
      </c>
      <c r="B168" t="s">
        <v>86</v>
      </c>
      <c r="C168" t="s">
        <v>79</v>
      </c>
      <c r="V168" t="str">
        <f t="shared" si="2"/>
        <v>Incomplete</v>
      </c>
    </row>
    <row r="169" spans="1:22" hidden="1">
      <c r="A169" s="2">
        <v>46078</v>
      </c>
      <c r="B169" t="s">
        <v>86</v>
      </c>
      <c r="C169" t="s">
        <v>80</v>
      </c>
      <c r="V169" t="str">
        <f t="shared" si="2"/>
        <v>Incomplete</v>
      </c>
    </row>
    <row r="170" spans="1:22" hidden="1">
      <c r="A170" s="2">
        <v>46079</v>
      </c>
      <c r="B170" t="s">
        <v>77</v>
      </c>
      <c r="C170" t="s">
        <v>78</v>
      </c>
      <c r="V170" t="str">
        <f t="shared" si="2"/>
        <v>Incomplete</v>
      </c>
    </row>
    <row r="171" spans="1:22" hidden="1">
      <c r="A171" s="2">
        <v>46079</v>
      </c>
      <c r="B171" t="s">
        <v>77</v>
      </c>
      <c r="C171" t="s">
        <v>79</v>
      </c>
      <c r="V171" t="str">
        <f t="shared" si="2"/>
        <v>Incomplete</v>
      </c>
    </row>
    <row r="172" spans="1:22" hidden="1">
      <c r="A172" s="2">
        <v>46079</v>
      </c>
      <c r="B172" t="s">
        <v>77</v>
      </c>
      <c r="C172" t="s">
        <v>80</v>
      </c>
      <c r="V172" t="str">
        <f t="shared" si="2"/>
        <v>Incomplete</v>
      </c>
    </row>
    <row r="173" spans="1:22" hidden="1">
      <c r="A173" s="2">
        <v>46080</v>
      </c>
      <c r="B173" t="s">
        <v>81</v>
      </c>
      <c r="C173" t="s">
        <v>78</v>
      </c>
      <c r="V173" t="str">
        <f t="shared" si="2"/>
        <v>Incomplete</v>
      </c>
    </row>
    <row r="174" spans="1:22" hidden="1">
      <c r="A174" s="2">
        <v>46080</v>
      </c>
      <c r="B174" t="s">
        <v>81</v>
      </c>
      <c r="C174" t="s">
        <v>79</v>
      </c>
      <c r="V174" t="str">
        <f t="shared" si="2"/>
        <v>Incomplete</v>
      </c>
    </row>
    <row r="175" spans="1:22" hidden="1">
      <c r="A175" s="2">
        <v>46080</v>
      </c>
      <c r="B175" t="s">
        <v>81</v>
      </c>
      <c r="C175" t="s">
        <v>80</v>
      </c>
      <c r="V175" t="str">
        <f t="shared" si="2"/>
        <v>Incomplete</v>
      </c>
    </row>
    <row r="176" spans="1:22" hidden="1">
      <c r="A176" s="2">
        <v>46081</v>
      </c>
      <c r="B176" t="s">
        <v>82</v>
      </c>
      <c r="C176" t="s">
        <v>78</v>
      </c>
      <c r="V176" t="str">
        <f t="shared" si="2"/>
        <v>Incomplete</v>
      </c>
    </row>
    <row r="177" spans="1:22" hidden="1">
      <c r="A177" s="2">
        <v>46081</v>
      </c>
      <c r="B177" t="s">
        <v>82</v>
      </c>
      <c r="C177" t="s">
        <v>79</v>
      </c>
      <c r="V177" t="str">
        <f t="shared" si="2"/>
        <v>Incomplete</v>
      </c>
    </row>
    <row r="178" spans="1:22" hidden="1">
      <c r="A178" s="2">
        <v>46081</v>
      </c>
      <c r="B178" t="s">
        <v>82</v>
      </c>
      <c r="C178" t="s">
        <v>80</v>
      </c>
      <c r="V178" t="str">
        <f t="shared" si="2"/>
        <v>Incomplete</v>
      </c>
    </row>
    <row r="179" spans="1:22" hidden="1">
      <c r="A179" s="2">
        <v>46082</v>
      </c>
      <c r="B179" t="s">
        <v>83</v>
      </c>
      <c r="C179" t="s">
        <v>78</v>
      </c>
      <c r="V179" t="str">
        <f t="shared" si="2"/>
        <v>Incomplete</v>
      </c>
    </row>
    <row r="180" spans="1:22" hidden="1">
      <c r="A180" s="2">
        <v>46082</v>
      </c>
      <c r="B180" t="s">
        <v>83</v>
      </c>
      <c r="C180" t="s">
        <v>79</v>
      </c>
      <c r="V180" t="str">
        <f t="shared" si="2"/>
        <v>Incomplete</v>
      </c>
    </row>
    <row r="181" spans="1:22" hidden="1">
      <c r="A181" s="2">
        <v>46082</v>
      </c>
      <c r="B181" t="s">
        <v>83</v>
      </c>
      <c r="C181" t="s">
        <v>80</v>
      </c>
      <c r="V181" t="str">
        <f t="shared" si="2"/>
        <v>Incomplete</v>
      </c>
    </row>
    <row r="182" spans="1:22" hidden="1">
      <c r="A182" s="2">
        <v>46083</v>
      </c>
      <c r="B182" t="s">
        <v>84</v>
      </c>
      <c r="C182" t="s">
        <v>78</v>
      </c>
      <c r="V182" t="str">
        <f t="shared" si="2"/>
        <v>Incomplete</v>
      </c>
    </row>
    <row r="183" spans="1:22" hidden="1">
      <c r="A183" s="2">
        <v>46083</v>
      </c>
      <c r="B183" t="s">
        <v>84</v>
      </c>
      <c r="C183" t="s">
        <v>79</v>
      </c>
      <c r="V183" t="str">
        <f t="shared" si="2"/>
        <v>Incomplete</v>
      </c>
    </row>
    <row r="184" spans="1:22" hidden="1">
      <c r="A184" s="2">
        <v>46083</v>
      </c>
      <c r="B184" t="s">
        <v>84</v>
      </c>
      <c r="C184" t="s">
        <v>80</v>
      </c>
      <c r="V184" t="str">
        <f t="shared" si="2"/>
        <v>Incomplete</v>
      </c>
    </row>
    <row r="185" spans="1:22" hidden="1">
      <c r="A185" s="2">
        <v>46084</v>
      </c>
      <c r="B185" t="s">
        <v>85</v>
      </c>
      <c r="C185" t="s">
        <v>78</v>
      </c>
      <c r="V185" t="str">
        <f t="shared" si="2"/>
        <v>Incomplete</v>
      </c>
    </row>
    <row r="186" spans="1:22" hidden="1">
      <c r="A186" s="2">
        <v>46084</v>
      </c>
      <c r="B186" t="s">
        <v>85</v>
      </c>
      <c r="C186" t="s">
        <v>79</v>
      </c>
      <c r="V186" t="str">
        <f t="shared" si="2"/>
        <v>Incomplete</v>
      </c>
    </row>
    <row r="187" spans="1:22" hidden="1">
      <c r="A187" s="2">
        <v>46084</v>
      </c>
      <c r="B187" t="s">
        <v>85</v>
      </c>
      <c r="C187" t="s">
        <v>80</v>
      </c>
      <c r="V187" t="str">
        <f t="shared" si="2"/>
        <v>Incomplete</v>
      </c>
    </row>
    <row r="188" spans="1:22" hidden="1">
      <c r="A188" s="2">
        <v>46085</v>
      </c>
      <c r="B188" t="s">
        <v>86</v>
      </c>
      <c r="C188" t="s">
        <v>78</v>
      </c>
      <c r="V188" t="str">
        <f t="shared" si="2"/>
        <v>Incomplete</v>
      </c>
    </row>
    <row r="189" spans="1:22" hidden="1">
      <c r="A189" s="2">
        <v>46085</v>
      </c>
      <c r="B189" t="s">
        <v>86</v>
      </c>
      <c r="C189" t="s">
        <v>79</v>
      </c>
      <c r="V189" t="str">
        <f t="shared" si="2"/>
        <v>Incomplete</v>
      </c>
    </row>
    <row r="190" spans="1:22" hidden="1">
      <c r="A190" s="2">
        <v>46085</v>
      </c>
      <c r="B190" t="s">
        <v>86</v>
      </c>
      <c r="C190" t="s">
        <v>80</v>
      </c>
      <c r="V190" t="str">
        <f t="shared" si="2"/>
        <v>Incomplete</v>
      </c>
    </row>
    <row r="191" spans="1:22" hidden="1">
      <c r="A191" s="2">
        <v>46086</v>
      </c>
      <c r="B191" t="s">
        <v>77</v>
      </c>
      <c r="C191" t="s">
        <v>78</v>
      </c>
      <c r="V191" t="str">
        <f t="shared" si="2"/>
        <v>Incomplete</v>
      </c>
    </row>
    <row r="192" spans="1:22" hidden="1">
      <c r="A192" s="2">
        <v>46086</v>
      </c>
      <c r="B192" t="s">
        <v>77</v>
      </c>
      <c r="C192" t="s">
        <v>79</v>
      </c>
      <c r="V192" t="str">
        <f t="shared" si="2"/>
        <v>Incomplete</v>
      </c>
    </row>
    <row r="193" spans="1:22" hidden="1">
      <c r="A193" s="2">
        <v>46086</v>
      </c>
      <c r="B193" t="s">
        <v>77</v>
      </c>
      <c r="C193" t="s">
        <v>80</v>
      </c>
      <c r="V193" t="str">
        <f t="shared" si="2"/>
        <v>Incomplete</v>
      </c>
    </row>
    <row r="194" spans="1:22" hidden="1">
      <c r="A194" s="2">
        <v>46087</v>
      </c>
      <c r="B194" t="s">
        <v>81</v>
      </c>
      <c r="C194" t="s">
        <v>78</v>
      </c>
      <c r="V194" t="str">
        <f t="shared" ref="V194:V257" si="3">IF(AND(N194="Yes",O194="Yes",P194="Yes",Q194="Yes",R194="Yes",S194="Yes",T194="Yes",U194="Yes"),"Complete","Incomplete")</f>
        <v>Incomplete</v>
      </c>
    </row>
    <row r="195" spans="1:22" hidden="1">
      <c r="A195" s="2">
        <v>46087</v>
      </c>
      <c r="B195" t="s">
        <v>81</v>
      </c>
      <c r="C195" t="s">
        <v>79</v>
      </c>
      <c r="V195" t="str">
        <f t="shared" si="3"/>
        <v>Incomplete</v>
      </c>
    </row>
    <row r="196" spans="1:22" hidden="1">
      <c r="A196" s="2">
        <v>46087</v>
      </c>
      <c r="B196" t="s">
        <v>81</v>
      </c>
      <c r="C196" t="s">
        <v>80</v>
      </c>
      <c r="V196" t="str">
        <f t="shared" si="3"/>
        <v>Incomplete</v>
      </c>
    </row>
    <row r="197" spans="1:22" hidden="1">
      <c r="A197" s="2">
        <v>46088</v>
      </c>
      <c r="B197" t="s">
        <v>82</v>
      </c>
      <c r="C197" t="s">
        <v>78</v>
      </c>
      <c r="V197" t="str">
        <f t="shared" si="3"/>
        <v>Incomplete</v>
      </c>
    </row>
    <row r="198" spans="1:22" hidden="1">
      <c r="A198" s="2">
        <v>46088</v>
      </c>
      <c r="B198" t="s">
        <v>82</v>
      </c>
      <c r="C198" t="s">
        <v>79</v>
      </c>
      <c r="V198" t="str">
        <f t="shared" si="3"/>
        <v>Incomplete</v>
      </c>
    </row>
    <row r="199" spans="1:22" hidden="1">
      <c r="A199" s="2">
        <v>46088</v>
      </c>
      <c r="B199" t="s">
        <v>82</v>
      </c>
      <c r="C199" t="s">
        <v>80</v>
      </c>
      <c r="V199" t="str">
        <f t="shared" si="3"/>
        <v>Incomplete</v>
      </c>
    </row>
    <row r="200" spans="1:22" hidden="1">
      <c r="A200" s="2">
        <v>46089</v>
      </c>
      <c r="B200" t="s">
        <v>83</v>
      </c>
      <c r="C200" t="s">
        <v>78</v>
      </c>
      <c r="V200" t="str">
        <f t="shared" si="3"/>
        <v>Incomplete</v>
      </c>
    </row>
    <row r="201" spans="1:22" hidden="1">
      <c r="A201" s="2">
        <v>46089</v>
      </c>
      <c r="B201" t="s">
        <v>83</v>
      </c>
      <c r="C201" t="s">
        <v>79</v>
      </c>
      <c r="V201" t="str">
        <f t="shared" si="3"/>
        <v>Incomplete</v>
      </c>
    </row>
    <row r="202" spans="1:22" hidden="1">
      <c r="A202" s="2">
        <v>46089</v>
      </c>
      <c r="B202" t="s">
        <v>83</v>
      </c>
      <c r="C202" t="s">
        <v>80</v>
      </c>
      <c r="V202" t="str">
        <f t="shared" si="3"/>
        <v>Incomplete</v>
      </c>
    </row>
    <row r="203" spans="1:22" hidden="1">
      <c r="A203" s="2">
        <v>46090</v>
      </c>
      <c r="B203" t="s">
        <v>84</v>
      </c>
      <c r="C203" t="s">
        <v>78</v>
      </c>
      <c r="V203" t="str">
        <f t="shared" si="3"/>
        <v>Incomplete</v>
      </c>
    </row>
    <row r="204" spans="1:22" hidden="1">
      <c r="A204" s="2">
        <v>46090</v>
      </c>
      <c r="B204" t="s">
        <v>84</v>
      </c>
      <c r="C204" t="s">
        <v>79</v>
      </c>
      <c r="V204" t="str">
        <f t="shared" si="3"/>
        <v>Incomplete</v>
      </c>
    </row>
    <row r="205" spans="1:22" hidden="1">
      <c r="A205" s="2">
        <v>46090</v>
      </c>
      <c r="B205" t="s">
        <v>84</v>
      </c>
      <c r="C205" t="s">
        <v>80</v>
      </c>
      <c r="V205" t="str">
        <f t="shared" si="3"/>
        <v>Incomplete</v>
      </c>
    </row>
    <row r="206" spans="1:22" hidden="1">
      <c r="A206" s="2">
        <v>46091</v>
      </c>
      <c r="B206" t="s">
        <v>85</v>
      </c>
      <c r="C206" t="s">
        <v>78</v>
      </c>
      <c r="V206" t="str">
        <f t="shared" si="3"/>
        <v>Incomplete</v>
      </c>
    </row>
    <row r="207" spans="1:22" hidden="1">
      <c r="A207" s="2">
        <v>46091</v>
      </c>
      <c r="B207" t="s">
        <v>85</v>
      </c>
      <c r="C207" t="s">
        <v>79</v>
      </c>
      <c r="V207" t="str">
        <f t="shared" si="3"/>
        <v>Incomplete</v>
      </c>
    </row>
    <row r="208" spans="1:22" hidden="1">
      <c r="A208" s="2">
        <v>46091</v>
      </c>
      <c r="B208" t="s">
        <v>85</v>
      </c>
      <c r="C208" t="s">
        <v>80</v>
      </c>
      <c r="V208" t="str">
        <f t="shared" si="3"/>
        <v>Incomplete</v>
      </c>
    </row>
    <row r="209" spans="1:22" hidden="1">
      <c r="A209" s="2">
        <v>46092</v>
      </c>
      <c r="B209" t="s">
        <v>86</v>
      </c>
      <c r="C209" t="s">
        <v>78</v>
      </c>
      <c r="V209" t="str">
        <f t="shared" si="3"/>
        <v>Incomplete</v>
      </c>
    </row>
    <row r="210" spans="1:22" hidden="1">
      <c r="A210" s="2">
        <v>46092</v>
      </c>
      <c r="B210" t="s">
        <v>86</v>
      </c>
      <c r="C210" t="s">
        <v>79</v>
      </c>
      <c r="V210" t="str">
        <f t="shared" si="3"/>
        <v>Incomplete</v>
      </c>
    </row>
    <row r="211" spans="1:22" hidden="1">
      <c r="A211" s="2">
        <v>46092</v>
      </c>
      <c r="B211" t="s">
        <v>86</v>
      </c>
      <c r="C211" t="s">
        <v>80</v>
      </c>
      <c r="V211" t="str">
        <f t="shared" si="3"/>
        <v>Incomplete</v>
      </c>
    </row>
    <row r="212" spans="1:22" hidden="1">
      <c r="A212" s="2">
        <v>46093</v>
      </c>
      <c r="B212" t="s">
        <v>77</v>
      </c>
      <c r="C212" t="s">
        <v>78</v>
      </c>
      <c r="V212" t="str">
        <f t="shared" si="3"/>
        <v>Incomplete</v>
      </c>
    </row>
    <row r="213" spans="1:22" hidden="1">
      <c r="A213" s="2">
        <v>46093</v>
      </c>
      <c r="B213" t="s">
        <v>77</v>
      </c>
      <c r="C213" t="s">
        <v>79</v>
      </c>
      <c r="V213" t="str">
        <f t="shared" si="3"/>
        <v>Incomplete</v>
      </c>
    </row>
    <row r="214" spans="1:22" hidden="1">
      <c r="A214" s="2">
        <v>46093</v>
      </c>
      <c r="B214" t="s">
        <v>77</v>
      </c>
      <c r="C214" t="s">
        <v>80</v>
      </c>
      <c r="V214" t="str">
        <f t="shared" si="3"/>
        <v>Incomplete</v>
      </c>
    </row>
    <row r="215" spans="1:22" hidden="1">
      <c r="A215" s="2">
        <v>46094</v>
      </c>
      <c r="B215" t="s">
        <v>81</v>
      </c>
      <c r="C215" t="s">
        <v>78</v>
      </c>
      <c r="V215" t="str">
        <f t="shared" si="3"/>
        <v>Incomplete</v>
      </c>
    </row>
    <row r="216" spans="1:22" hidden="1">
      <c r="A216" s="2">
        <v>46094</v>
      </c>
      <c r="B216" t="s">
        <v>81</v>
      </c>
      <c r="C216" t="s">
        <v>79</v>
      </c>
      <c r="V216" t="str">
        <f t="shared" si="3"/>
        <v>Incomplete</v>
      </c>
    </row>
    <row r="217" spans="1:22" hidden="1">
      <c r="A217" s="2">
        <v>46094</v>
      </c>
      <c r="B217" t="s">
        <v>81</v>
      </c>
      <c r="C217" t="s">
        <v>80</v>
      </c>
      <c r="V217" t="str">
        <f t="shared" si="3"/>
        <v>Incomplete</v>
      </c>
    </row>
    <row r="218" spans="1:22" hidden="1">
      <c r="A218" s="2">
        <v>46095</v>
      </c>
      <c r="B218" t="s">
        <v>82</v>
      </c>
      <c r="C218" t="s">
        <v>78</v>
      </c>
      <c r="V218" t="str">
        <f t="shared" si="3"/>
        <v>Incomplete</v>
      </c>
    </row>
    <row r="219" spans="1:22" hidden="1">
      <c r="A219" s="2">
        <v>46095</v>
      </c>
      <c r="B219" t="s">
        <v>82</v>
      </c>
      <c r="C219" t="s">
        <v>79</v>
      </c>
      <c r="V219" t="str">
        <f t="shared" si="3"/>
        <v>Incomplete</v>
      </c>
    </row>
    <row r="220" spans="1:22" hidden="1">
      <c r="A220" s="2">
        <v>46095</v>
      </c>
      <c r="B220" t="s">
        <v>82</v>
      </c>
      <c r="C220" t="s">
        <v>80</v>
      </c>
      <c r="V220" t="str">
        <f t="shared" si="3"/>
        <v>Incomplete</v>
      </c>
    </row>
    <row r="221" spans="1:22" hidden="1">
      <c r="A221" s="2">
        <v>46096</v>
      </c>
      <c r="B221" t="s">
        <v>83</v>
      </c>
      <c r="C221" t="s">
        <v>78</v>
      </c>
      <c r="V221" t="str">
        <f t="shared" si="3"/>
        <v>Incomplete</v>
      </c>
    </row>
    <row r="222" spans="1:22" hidden="1">
      <c r="A222" s="2">
        <v>46096</v>
      </c>
      <c r="B222" t="s">
        <v>83</v>
      </c>
      <c r="C222" t="s">
        <v>79</v>
      </c>
      <c r="V222" t="str">
        <f t="shared" si="3"/>
        <v>Incomplete</v>
      </c>
    </row>
    <row r="223" spans="1:22" hidden="1">
      <c r="A223" s="2">
        <v>46096</v>
      </c>
      <c r="B223" t="s">
        <v>83</v>
      </c>
      <c r="C223" t="s">
        <v>80</v>
      </c>
      <c r="V223" t="str">
        <f t="shared" si="3"/>
        <v>Incomplete</v>
      </c>
    </row>
    <row r="224" spans="1:22" hidden="1">
      <c r="A224" s="2">
        <v>46097</v>
      </c>
      <c r="B224" t="s">
        <v>84</v>
      </c>
      <c r="C224" t="s">
        <v>78</v>
      </c>
      <c r="V224" t="str">
        <f t="shared" si="3"/>
        <v>Incomplete</v>
      </c>
    </row>
    <row r="225" spans="1:22" hidden="1">
      <c r="A225" s="2">
        <v>46097</v>
      </c>
      <c r="B225" t="s">
        <v>84</v>
      </c>
      <c r="C225" t="s">
        <v>79</v>
      </c>
      <c r="V225" t="str">
        <f t="shared" si="3"/>
        <v>Incomplete</v>
      </c>
    </row>
    <row r="226" spans="1:22" hidden="1">
      <c r="A226" s="2">
        <v>46097</v>
      </c>
      <c r="B226" t="s">
        <v>84</v>
      </c>
      <c r="C226" t="s">
        <v>80</v>
      </c>
      <c r="V226" t="str">
        <f t="shared" si="3"/>
        <v>Incomplete</v>
      </c>
    </row>
    <row r="227" spans="1:22" hidden="1">
      <c r="A227" s="2">
        <v>46098</v>
      </c>
      <c r="B227" t="s">
        <v>85</v>
      </c>
      <c r="C227" t="s">
        <v>78</v>
      </c>
      <c r="V227" t="str">
        <f t="shared" si="3"/>
        <v>Incomplete</v>
      </c>
    </row>
    <row r="228" spans="1:22" hidden="1">
      <c r="A228" s="2">
        <v>46098</v>
      </c>
      <c r="B228" t="s">
        <v>85</v>
      </c>
      <c r="C228" t="s">
        <v>79</v>
      </c>
      <c r="V228" t="str">
        <f t="shared" si="3"/>
        <v>Incomplete</v>
      </c>
    </row>
    <row r="229" spans="1:22" hidden="1">
      <c r="A229" s="2">
        <v>46098</v>
      </c>
      <c r="B229" t="s">
        <v>85</v>
      </c>
      <c r="C229" t="s">
        <v>80</v>
      </c>
      <c r="V229" t="str">
        <f t="shared" si="3"/>
        <v>Incomplete</v>
      </c>
    </row>
    <row r="230" spans="1:22" hidden="1">
      <c r="A230" s="2">
        <v>46099</v>
      </c>
      <c r="B230" t="s">
        <v>86</v>
      </c>
      <c r="C230" t="s">
        <v>78</v>
      </c>
      <c r="V230" t="str">
        <f t="shared" si="3"/>
        <v>Incomplete</v>
      </c>
    </row>
    <row r="231" spans="1:22" hidden="1">
      <c r="A231" s="2">
        <v>46099</v>
      </c>
      <c r="B231" t="s">
        <v>86</v>
      </c>
      <c r="C231" t="s">
        <v>79</v>
      </c>
      <c r="V231" t="str">
        <f t="shared" si="3"/>
        <v>Incomplete</v>
      </c>
    </row>
    <row r="232" spans="1:22" hidden="1">
      <c r="A232" s="2">
        <v>46099</v>
      </c>
      <c r="B232" t="s">
        <v>86</v>
      </c>
      <c r="C232" t="s">
        <v>80</v>
      </c>
      <c r="V232" t="str">
        <f t="shared" si="3"/>
        <v>Incomplete</v>
      </c>
    </row>
    <row r="233" spans="1:22" hidden="1">
      <c r="A233" s="2">
        <v>46100</v>
      </c>
      <c r="B233" t="s">
        <v>77</v>
      </c>
      <c r="C233" t="s">
        <v>78</v>
      </c>
      <c r="V233" t="str">
        <f t="shared" si="3"/>
        <v>Incomplete</v>
      </c>
    </row>
    <row r="234" spans="1:22" hidden="1">
      <c r="A234" s="2">
        <v>46100</v>
      </c>
      <c r="B234" t="s">
        <v>77</v>
      </c>
      <c r="C234" t="s">
        <v>79</v>
      </c>
      <c r="V234" t="str">
        <f t="shared" si="3"/>
        <v>Incomplete</v>
      </c>
    </row>
    <row r="235" spans="1:22" hidden="1">
      <c r="A235" s="2">
        <v>46100</v>
      </c>
      <c r="B235" t="s">
        <v>77</v>
      </c>
      <c r="C235" t="s">
        <v>80</v>
      </c>
      <c r="V235" t="str">
        <f t="shared" si="3"/>
        <v>Incomplete</v>
      </c>
    </row>
    <row r="236" spans="1:22" hidden="1">
      <c r="A236" s="2">
        <v>46101</v>
      </c>
      <c r="B236" t="s">
        <v>81</v>
      </c>
      <c r="C236" t="s">
        <v>78</v>
      </c>
      <c r="V236" t="str">
        <f t="shared" si="3"/>
        <v>Incomplete</v>
      </c>
    </row>
    <row r="237" spans="1:22" hidden="1">
      <c r="A237" s="2">
        <v>46101</v>
      </c>
      <c r="B237" t="s">
        <v>81</v>
      </c>
      <c r="C237" t="s">
        <v>79</v>
      </c>
      <c r="V237" t="str">
        <f t="shared" si="3"/>
        <v>Incomplete</v>
      </c>
    </row>
    <row r="238" spans="1:22" hidden="1">
      <c r="A238" s="2">
        <v>46101</v>
      </c>
      <c r="B238" t="s">
        <v>81</v>
      </c>
      <c r="C238" t="s">
        <v>80</v>
      </c>
      <c r="V238" t="str">
        <f t="shared" si="3"/>
        <v>Incomplete</v>
      </c>
    </row>
    <row r="239" spans="1:22" hidden="1">
      <c r="A239" s="2">
        <v>46102</v>
      </c>
      <c r="B239" t="s">
        <v>82</v>
      </c>
      <c r="C239" t="s">
        <v>78</v>
      </c>
      <c r="V239" t="str">
        <f t="shared" si="3"/>
        <v>Incomplete</v>
      </c>
    </row>
    <row r="240" spans="1:22" hidden="1">
      <c r="A240" s="2">
        <v>46102</v>
      </c>
      <c r="B240" t="s">
        <v>82</v>
      </c>
      <c r="C240" t="s">
        <v>79</v>
      </c>
      <c r="V240" t="str">
        <f t="shared" si="3"/>
        <v>Incomplete</v>
      </c>
    </row>
    <row r="241" spans="1:22" hidden="1">
      <c r="A241" s="2">
        <v>46102</v>
      </c>
      <c r="B241" t="s">
        <v>82</v>
      </c>
      <c r="C241" t="s">
        <v>80</v>
      </c>
      <c r="V241" t="str">
        <f t="shared" si="3"/>
        <v>Incomplete</v>
      </c>
    </row>
    <row r="242" spans="1:22" hidden="1">
      <c r="A242" s="2">
        <v>46103</v>
      </c>
      <c r="B242" t="s">
        <v>83</v>
      </c>
      <c r="C242" t="s">
        <v>78</v>
      </c>
      <c r="V242" t="str">
        <f t="shared" si="3"/>
        <v>Incomplete</v>
      </c>
    </row>
    <row r="243" spans="1:22" hidden="1">
      <c r="A243" s="2">
        <v>46103</v>
      </c>
      <c r="B243" t="s">
        <v>83</v>
      </c>
      <c r="C243" t="s">
        <v>79</v>
      </c>
      <c r="V243" t="str">
        <f t="shared" si="3"/>
        <v>Incomplete</v>
      </c>
    </row>
    <row r="244" spans="1:22" hidden="1">
      <c r="A244" s="2">
        <v>46103</v>
      </c>
      <c r="B244" t="s">
        <v>83</v>
      </c>
      <c r="C244" t="s">
        <v>80</v>
      </c>
      <c r="V244" t="str">
        <f t="shared" si="3"/>
        <v>Incomplete</v>
      </c>
    </row>
    <row r="245" spans="1:22" hidden="1">
      <c r="A245" s="2">
        <v>46104</v>
      </c>
      <c r="B245" t="s">
        <v>84</v>
      </c>
      <c r="C245" t="s">
        <v>78</v>
      </c>
      <c r="V245" t="str">
        <f t="shared" si="3"/>
        <v>Incomplete</v>
      </c>
    </row>
    <row r="246" spans="1:22" hidden="1">
      <c r="A246" s="2">
        <v>46104</v>
      </c>
      <c r="B246" t="s">
        <v>84</v>
      </c>
      <c r="C246" t="s">
        <v>79</v>
      </c>
      <c r="V246" t="str">
        <f t="shared" si="3"/>
        <v>Incomplete</v>
      </c>
    </row>
    <row r="247" spans="1:22" hidden="1">
      <c r="A247" s="2">
        <v>46104</v>
      </c>
      <c r="B247" t="s">
        <v>84</v>
      </c>
      <c r="C247" t="s">
        <v>80</v>
      </c>
      <c r="V247" t="str">
        <f t="shared" si="3"/>
        <v>Incomplete</v>
      </c>
    </row>
    <row r="248" spans="1:22" hidden="1">
      <c r="A248" s="2">
        <v>46105</v>
      </c>
      <c r="B248" t="s">
        <v>85</v>
      </c>
      <c r="C248" t="s">
        <v>78</v>
      </c>
      <c r="V248" t="str">
        <f t="shared" si="3"/>
        <v>Incomplete</v>
      </c>
    </row>
    <row r="249" spans="1:22" hidden="1">
      <c r="A249" s="2">
        <v>46105</v>
      </c>
      <c r="B249" t="s">
        <v>85</v>
      </c>
      <c r="C249" t="s">
        <v>79</v>
      </c>
      <c r="V249" t="str">
        <f t="shared" si="3"/>
        <v>Incomplete</v>
      </c>
    </row>
    <row r="250" spans="1:22" hidden="1">
      <c r="A250" s="2">
        <v>46105</v>
      </c>
      <c r="B250" t="s">
        <v>85</v>
      </c>
      <c r="C250" t="s">
        <v>80</v>
      </c>
      <c r="V250" t="str">
        <f t="shared" si="3"/>
        <v>Incomplete</v>
      </c>
    </row>
    <row r="251" spans="1:22" hidden="1">
      <c r="A251" s="2">
        <v>46106</v>
      </c>
      <c r="B251" t="s">
        <v>86</v>
      </c>
      <c r="C251" t="s">
        <v>78</v>
      </c>
      <c r="V251" t="str">
        <f t="shared" si="3"/>
        <v>Incomplete</v>
      </c>
    </row>
    <row r="252" spans="1:22" hidden="1">
      <c r="A252" s="2">
        <v>46106</v>
      </c>
      <c r="B252" t="s">
        <v>86</v>
      </c>
      <c r="C252" t="s">
        <v>79</v>
      </c>
      <c r="V252" t="str">
        <f t="shared" si="3"/>
        <v>Incomplete</v>
      </c>
    </row>
    <row r="253" spans="1:22" hidden="1">
      <c r="A253" s="2">
        <v>46106</v>
      </c>
      <c r="B253" t="s">
        <v>86</v>
      </c>
      <c r="C253" t="s">
        <v>80</v>
      </c>
      <c r="V253" t="str">
        <f t="shared" si="3"/>
        <v>Incomplete</v>
      </c>
    </row>
    <row r="254" spans="1:22" hidden="1">
      <c r="A254" s="2">
        <v>46107</v>
      </c>
      <c r="B254" t="s">
        <v>77</v>
      </c>
      <c r="C254" t="s">
        <v>78</v>
      </c>
      <c r="V254" t="str">
        <f t="shared" si="3"/>
        <v>Incomplete</v>
      </c>
    </row>
    <row r="255" spans="1:22" hidden="1">
      <c r="A255" s="2">
        <v>46107</v>
      </c>
      <c r="B255" t="s">
        <v>77</v>
      </c>
      <c r="C255" t="s">
        <v>79</v>
      </c>
      <c r="V255" t="str">
        <f t="shared" si="3"/>
        <v>Incomplete</v>
      </c>
    </row>
    <row r="256" spans="1:22" hidden="1">
      <c r="A256" s="2">
        <v>46107</v>
      </c>
      <c r="B256" t="s">
        <v>77</v>
      </c>
      <c r="C256" t="s">
        <v>80</v>
      </c>
      <c r="V256" t="str">
        <f t="shared" si="3"/>
        <v>Incomplete</v>
      </c>
    </row>
    <row r="257" spans="1:22" hidden="1">
      <c r="A257" s="2">
        <v>46108</v>
      </c>
      <c r="B257" t="s">
        <v>81</v>
      </c>
      <c r="C257" t="s">
        <v>78</v>
      </c>
      <c r="V257" t="str">
        <f t="shared" si="3"/>
        <v>Incomplete</v>
      </c>
    </row>
    <row r="258" spans="1:22" hidden="1">
      <c r="A258" s="2">
        <v>46108</v>
      </c>
      <c r="B258" t="s">
        <v>81</v>
      </c>
      <c r="C258" t="s">
        <v>79</v>
      </c>
      <c r="V258" t="str">
        <f t="shared" ref="V258:V321" si="4">IF(AND(N258="Yes",O258="Yes",P258="Yes",Q258="Yes",R258="Yes",S258="Yes",T258="Yes",U258="Yes"),"Complete","Incomplete")</f>
        <v>Incomplete</v>
      </c>
    </row>
    <row r="259" spans="1:22" hidden="1">
      <c r="A259" s="2">
        <v>46108</v>
      </c>
      <c r="B259" t="s">
        <v>81</v>
      </c>
      <c r="C259" t="s">
        <v>80</v>
      </c>
      <c r="V259" t="str">
        <f t="shared" si="4"/>
        <v>Incomplete</v>
      </c>
    </row>
    <row r="260" spans="1:22" hidden="1">
      <c r="A260" s="2">
        <v>46109</v>
      </c>
      <c r="B260" t="s">
        <v>82</v>
      </c>
      <c r="C260" t="s">
        <v>78</v>
      </c>
      <c r="V260" t="str">
        <f t="shared" si="4"/>
        <v>Incomplete</v>
      </c>
    </row>
    <row r="261" spans="1:22" hidden="1">
      <c r="A261" s="2">
        <v>46109</v>
      </c>
      <c r="B261" t="s">
        <v>82</v>
      </c>
      <c r="C261" t="s">
        <v>79</v>
      </c>
      <c r="V261" t="str">
        <f t="shared" si="4"/>
        <v>Incomplete</v>
      </c>
    </row>
    <row r="262" spans="1:22" hidden="1">
      <c r="A262" s="2">
        <v>46109</v>
      </c>
      <c r="B262" t="s">
        <v>82</v>
      </c>
      <c r="C262" t="s">
        <v>80</v>
      </c>
      <c r="V262" t="str">
        <f t="shared" si="4"/>
        <v>Incomplete</v>
      </c>
    </row>
    <row r="263" spans="1:22" hidden="1">
      <c r="A263" s="2">
        <v>46110</v>
      </c>
      <c r="B263" t="s">
        <v>83</v>
      </c>
      <c r="C263" t="s">
        <v>78</v>
      </c>
      <c r="V263" t="str">
        <f t="shared" si="4"/>
        <v>Incomplete</v>
      </c>
    </row>
    <row r="264" spans="1:22" hidden="1">
      <c r="A264" s="2">
        <v>46110</v>
      </c>
      <c r="B264" t="s">
        <v>83</v>
      </c>
      <c r="C264" t="s">
        <v>79</v>
      </c>
      <c r="V264" t="str">
        <f t="shared" si="4"/>
        <v>Incomplete</v>
      </c>
    </row>
    <row r="265" spans="1:22" hidden="1">
      <c r="A265" s="2">
        <v>46110</v>
      </c>
      <c r="B265" t="s">
        <v>83</v>
      </c>
      <c r="C265" t="s">
        <v>80</v>
      </c>
      <c r="V265" t="str">
        <f t="shared" si="4"/>
        <v>Incomplete</v>
      </c>
    </row>
    <row r="266" spans="1:22" hidden="1">
      <c r="A266" s="2">
        <v>46111</v>
      </c>
      <c r="B266" t="s">
        <v>84</v>
      </c>
      <c r="C266" t="s">
        <v>78</v>
      </c>
      <c r="V266" t="str">
        <f t="shared" si="4"/>
        <v>Incomplete</v>
      </c>
    </row>
    <row r="267" spans="1:22" hidden="1">
      <c r="A267" s="2">
        <v>46111</v>
      </c>
      <c r="B267" t="s">
        <v>84</v>
      </c>
      <c r="C267" t="s">
        <v>79</v>
      </c>
      <c r="V267" t="str">
        <f t="shared" si="4"/>
        <v>Incomplete</v>
      </c>
    </row>
    <row r="268" spans="1:22" hidden="1">
      <c r="A268" s="2">
        <v>46111</v>
      </c>
      <c r="B268" t="s">
        <v>84</v>
      </c>
      <c r="C268" t="s">
        <v>80</v>
      </c>
      <c r="V268" t="str">
        <f t="shared" si="4"/>
        <v>Incomplete</v>
      </c>
    </row>
    <row r="269" spans="1:22" hidden="1">
      <c r="A269" s="2">
        <v>46112</v>
      </c>
      <c r="B269" t="s">
        <v>85</v>
      </c>
      <c r="C269" t="s">
        <v>78</v>
      </c>
      <c r="V269" t="str">
        <f t="shared" si="4"/>
        <v>Incomplete</v>
      </c>
    </row>
    <row r="270" spans="1:22" hidden="1">
      <c r="A270" s="2">
        <v>46112</v>
      </c>
      <c r="B270" t="s">
        <v>85</v>
      </c>
      <c r="C270" t="s">
        <v>79</v>
      </c>
      <c r="V270" t="str">
        <f t="shared" si="4"/>
        <v>Incomplete</v>
      </c>
    </row>
    <row r="271" spans="1:22" hidden="1">
      <c r="A271" s="2">
        <v>46112</v>
      </c>
      <c r="B271" t="s">
        <v>85</v>
      </c>
      <c r="C271" t="s">
        <v>80</v>
      </c>
      <c r="V271" t="str">
        <f t="shared" si="4"/>
        <v>Incomplete</v>
      </c>
    </row>
    <row r="272" spans="1:22" hidden="1">
      <c r="A272" s="2">
        <v>46113</v>
      </c>
      <c r="B272" t="s">
        <v>86</v>
      </c>
      <c r="C272" t="s">
        <v>78</v>
      </c>
      <c r="V272" t="str">
        <f t="shared" si="4"/>
        <v>Incomplete</v>
      </c>
    </row>
    <row r="273" spans="1:22" hidden="1">
      <c r="A273" s="2">
        <v>46113</v>
      </c>
      <c r="B273" t="s">
        <v>86</v>
      </c>
      <c r="C273" t="s">
        <v>79</v>
      </c>
      <c r="V273" t="str">
        <f t="shared" si="4"/>
        <v>Incomplete</v>
      </c>
    </row>
    <row r="274" spans="1:22" hidden="1">
      <c r="A274" s="2">
        <v>46113</v>
      </c>
      <c r="B274" t="s">
        <v>86</v>
      </c>
      <c r="C274" t="s">
        <v>80</v>
      </c>
      <c r="V274" t="str">
        <f t="shared" si="4"/>
        <v>Incomplete</v>
      </c>
    </row>
    <row r="275" spans="1:22" hidden="1">
      <c r="A275" s="2">
        <v>46114</v>
      </c>
      <c r="B275" t="s">
        <v>77</v>
      </c>
      <c r="C275" t="s">
        <v>78</v>
      </c>
      <c r="V275" t="str">
        <f t="shared" si="4"/>
        <v>Incomplete</v>
      </c>
    </row>
    <row r="276" spans="1:22" hidden="1">
      <c r="A276" s="2">
        <v>46114</v>
      </c>
      <c r="B276" t="s">
        <v>77</v>
      </c>
      <c r="C276" t="s">
        <v>79</v>
      </c>
      <c r="V276" t="str">
        <f t="shared" si="4"/>
        <v>Incomplete</v>
      </c>
    </row>
    <row r="277" spans="1:22" hidden="1">
      <c r="A277" s="2">
        <v>46114</v>
      </c>
      <c r="B277" t="s">
        <v>77</v>
      </c>
      <c r="C277" t="s">
        <v>80</v>
      </c>
      <c r="V277" t="str">
        <f t="shared" si="4"/>
        <v>Incomplete</v>
      </c>
    </row>
    <row r="278" spans="1:22" hidden="1">
      <c r="A278" s="2">
        <v>46115</v>
      </c>
      <c r="B278" t="s">
        <v>81</v>
      </c>
      <c r="C278" t="s">
        <v>78</v>
      </c>
      <c r="V278" t="str">
        <f t="shared" si="4"/>
        <v>Incomplete</v>
      </c>
    </row>
    <row r="279" spans="1:22" hidden="1">
      <c r="A279" s="2">
        <v>46115</v>
      </c>
      <c r="B279" t="s">
        <v>81</v>
      </c>
      <c r="C279" t="s">
        <v>79</v>
      </c>
      <c r="V279" t="str">
        <f t="shared" si="4"/>
        <v>Incomplete</v>
      </c>
    </row>
    <row r="280" spans="1:22" hidden="1">
      <c r="A280" s="2">
        <v>46115</v>
      </c>
      <c r="B280" t="s">
        <v>81</v>
      </c>
      <c r="C280" t="s">
        <v>80</v>
      </c>
      <c r="V280" t="str">
        <f t="shared" si="4"/>
        <v>Incomplete</v>
      </c>
    </row>
    <row r="281" spans="1:22" hidden="1">
      <c r="A281" s="2">
        <v>46116</v>
      </c>
      <c r="B281" t="s">
        <v>82</v>
      </c>
      <c r="C281" t="s">
        <v>78</v>
      </c>
      <c r="V281" t="str">
        <f t="shared" si="4"/>
        <v>Incomplete</v>
      </c>
    </row>
    <row r="282" spans="1:22" hidden="1">
      <c r="A282" s="2">
        <v>46116</v>
      </c>
      <c r="B282" t="s">
        <v>82</v>
      </c>
      <c r="C282" t="s">
        <v>79</v>
      </c>
      <c r="V282" t="str">
        <f t="shared" si="4"/>
        <v>Incomplete</v>
      </c>
    </row>
    <row r="283" spans="1:22" hidden="1">
      <c r="A283" s="2">
        <v>46116</v>
      </c>
      <c r="B283" t="s">
        <v>82</v>
      </c>
      <c r="C283" t="s">
        <v>80</v>
      </c>
      <c r="V283" t="str">
        <f t="shared" si="4"/>
        <v>Incomplete</v>
      </c>
    </row>
    <row r="284" spans="1:22" hidden="1">
      <c r="A284" s="2">
        <v>46117</v>
      </c>
      <c r="B284" t="s">
        <v>83</v>
      </c>
      <c r="C284" t="s">
        <v>78</v>
      </c>
      <c r="V284" t="str">
        <f t="shared" si="4"/>
        <v>Incomplete</v>
      </c>
    </row>
    <row r="285" spans="1:22" hidden="1">
      <c r="A285" s="2">
        <v>46117</v>
      </c>
      <c r="B285" t="s">
        <v>83</v>
      </c>
      <c r="C285" t="s">
        <v>79</v>
      </c>
      <c r="V285" t="str">
        <f t="shared" si="4"/>
        <v>Incomplete</v>
      </c>
    </row>
    <row r="286" spans="1:22" hidden="1">
      <c r="A286" s="2">
        <v>46117</v>
      </c>
      <c r="B286" t="s">
        <v>83</v>
      </c>
      <c r="C286" t="s">
        <v>80</v>
      </c>
      <c r="V286" t="str">
        <f t="shared" si="4"/>
        <v>Incomplete</v>
      </c>
    </row>
    <row r="287" spans="1:22" hidden="1">
      <c r="A287" s="2">
        <v>46118</v>
      </c>
      <c r="B287" t="s">
        <v>84</v>
      </c>
      <c r="C287" t="s">
        <v>78</v>
      </c>
      <c r="V287" t="str">
        <f t="shared" si="4"/>
        <v>Incomplete</v>
      </c>
    </row>
    <row r="288" spans="1:22" hidden="1">
      <c r="A288" s="2">
        <v>46118</v>
      </c>
      <c r="B288" t="s">
        <v>84</v>
      </c>
      <c r="C288" t="s">
        <v>79</v>
      </c>
      <c r="V288" t="str">
        <f t="shared" si="4"/>
        <v>Incomplete</v>
      </c>
    </row>
    <row r="289" spans="1:22" hidden="1">
      <c r="A289" s="2">
        <v>46118</v>
      </c>
      <c r="B289" t="s">
        <v>84</v>
      </c>
      <c r="C289" t="s">
        <v>80</v>
      </c>
      <c r="V289" t="str">
        <f t="shared" si="4"/>
        <v>Incomplete</v>
      </c>
    </row>
    <row r="290" spans="1:22" hidden="1">
      <c r="A290" s="2">
        <v>46119</v>
      </c>
      <c r="B290" t="s">
        <v>85</v>
      </c>
      <c r="C290" t="s">
        <v>78</v>
      </c>
      <c r="V290" t="str">
        <f t="shared" si="4"/>
        <v>Incomplete</v>
      </c>
    </row>
    <row r="291" spans="1:22" hidden="1">
      <c r="A291" s="2">
        <v>46119</v>
      </c>
      <c r="B291" t="s">
        <v>85</v>
      </c>
      <c r="C291" t="s">
        <v>79</v>
      </c>
      <c r="V291" t="str">
        <f t="shared" si="4"/>
        <v>Incomplete</v>
      </c>
    </row>
    <row r="292" spans="1:22" hidden="1">
      <c r="A292" s="2">
        <v>46119</v>
      </c>
      <c r="B292" t="s">
        <v>85</v>
      </c>
      <c r="C292" t="s">
        <v>80</v>
      </c>
      <c r="V292" t="str">
        <f t="shared" si="4"/>
        <v>Incomplete</v>
      </c>
    </row>
    <row r="293" spans="1:22" hidden="1">
      <c r="A293" s="2">
        <v>46120</v>
      </c>
      <c r="B293" t="s">
        <v>86</v>
      </c>
      <c r="C293" t="s">
        <v>78</v>
      </c>
      <c r="V293" t="str">
        <f t="shared" si="4"/>
        <v>Incomplete</v>
      </c>
    </row>
    <row r="294" spans="1:22" hidden="1">
      <c r="A294" s="2">
        <v>46120</v>
      </c>
      <c r="B294" t="s">
        <v>86</v>
      </c>
      <c r="C294" t="s">
        <v>79</v>
      </c>
      <c r="V294" t="str">
        <f t="shared" si="4"/>
        <v>Incomplete</v>
      </c>
    </row>
    <row r="295" spans="1:22" hidden="1">
      <c r="A295" s="2">
        <v>46120</v>
      </c>
      <c r="B295" t="s">
        <v>86</v>
      </c>
      <c r="C295" t="s">
        <v>80</v>
      </c>
      <c r="V295" t="str">
        <f t="shared" si="4"/>
        <v>Incomplete</v>
      </c>
    </row>
    <row r="296" spans="1:22" hidden="1">
      <c r="A296" s="2">
        <v>46121</v>
      </c>
      <c r="B296" t="s">
        <v>77</v>
      </c>
      <c r="C296" t="s">
        <v>78</v>
      </c>
      <c r="V296" t="str">
        <f t="shared" si="4"/>
        <v>Incomplete</v>
      </c>
    </row>
    <row r="297" spans="1:22" hidden="1">
      <c r="A297" s="2">
        <v>46121</v>
      </c>
      <c r="B297" t="s">
        <v>77</v>
      </c>
      <c r="C297" t="s">
        <v>79</v>
      </c>
      <c r="V297" t="str">
        <f t="shared" si="4"/>
        <v>Incomplete</v>
      </c>
    </row>
    <row r="298" spans="1:22" hidden="1">
      <c r="A298" s="2">
        <v>46121</v>
      </c>
      <c r="B298" t="s">
        <v>77</v>
      </c>
      <c r="C298" t="s">
        <v>80</v>
      </c>
      <c r="V298" t="str">
        <f t="shared" si="4"/>
        <v>Incomplete</v>
      </c>
    </row>
    <row r="299" spans="1:22" hidden="1">
      <c r="A299" s="2">
        <v>46122</v>
      </c>
      <c r="B299" t="s">
        <v>81</v>
      </c>
      <c r="C299" t="s">
        <v>78</v>
      </c>
      <c r="V299" t="str">
        <f t="shared" si="4"/>
        <v>Incomplete</v>
      </c>
    </row>
    <row r="300" spans="1:22" hidden="1">
      <c r="A300" s="2">
        <v>46122</v>
      </c>
      <c r="B300" t="s">
        <v>81</v>
      </c>
      <c r="C300" t="s">
        <v>79</v>
      </c>
      <c r="V300" t="str">
        <f t="shared" si="4"/>
        <v>Incomplete</v>
      </c>
    </row>
    <row r="301" spans="1:22" hidden="1">
      <c r="A301" s="2">
        <v>46122</v>
      </c>
      <c r="B301" t="s">
        <v>81</v>
      </c>
      <c r="C301" t="s">
        <v>80</v>
      </c>
      <c r="V301" t="str">
        <f t="shared" si="4"/>
        <v>Incomplete</v>
      </c>
    </row>
    <row r="302" spans="1:22" hidden="1">
      <c r="A302" s="2">
        <v>46123</v>
      </c>
      <c r="B302" t="s">
        <v>82</v>
      </c>
      <c r="C302" t="s">
        <v>78</v>
      </c>
      <c r="V302" t="str">
        <f t="shared" si="4"/>
        <v>Incomplete</v>
      </c>
    </row>
    <row r="303" spans="1:22" hidden="1">
      <c r="A303" s="2">
        <v>46123</v>
      </c>
      <c r="B303" t="s">
        <v>82</v>
      </c>
      <c r="C303" t="s">
        <v>79</v>
      </c>
      <c r="V303" t="str">
        <f t="shared" si="4"/>
        <v>Incomplete</v>
      </c>
    </row>
    <row r="304" spans="1:22" hidden="1">
      <c r="A304" s="2">
        <v>46123</v>
      </c>
      <c r="B304" t="s">
        <v>82</v>
      </c>
      <c r="C304" t="s">
        <v>80</v>
      </c>
      <c r="V304" t="str">
        <f t="shared" si="4"/>
        <v>Incomplete</v>
      </c>
    </row>
    <row r="305" spans="1:22" hidden="1">
      <c r="A305" s="2">
        <v>46124</v>
      </c>
      <c r="B305" t="s">
        <v>83</v>
      </c>
      <c r="C305" t="s">
        <v>78</v>
      </c>
      <c r="V305" t="str">
        <f t="shared" si="4"/>
        <v>Incomplete</v>
      </c>
    </row>
    <row r="306" spans="1:22" hidden="1">
      <c r="A306" s="2">
        <v>46124</v>
      </c>
      <c r="B306" t="s">
        <v>83</v>
      </c>
      <c r="C306" t="s">
        <v>79</v>
      </c>
      <c r="V306" t="str">
        <f t="shared" si="4"/>
        <v>Incomplete</v>
      </c>
    </row>
    <row r="307" spans="1:22" hidden="1">
      <c r="A307" s="2">
        <v>46124</v>
      </c>
      <c r="B307" t="s">
        <v>83</v>
      </c>
      <c r="C307" t="s">
        <v>80</v>
      </c>
      <c r="V307" t="str">
        <f t="shared" si="4"/>
        <v>Incomplete</v>
      </c>
    </row>
    <row r="308" spans="1:22" hidden="1">
      <c r="A308" s="2">
        <v>46125</v>
      </c>
      <c r="B308" t="s">
        <v>84</v>
      </c>
      <c r="C308" t="s">
        <v>78</v>
      </c>
      <c r="V308" t="str">
        <f t="shared" si="4"/>
        <v>Incomplete</v>
      </c>
    </row>
    <row r="309" spans="1:22" hidden="1">
      <c r="A309" s="2">
        <v>46125</v>
      </c>
      <c r="B309" t="s">
        <v>84</v>
      </c>
      <c r="C309" t="s">
        <v>79</v>
      </c>
      <c r="V309" t="str">
        <f t="shared" si="4"/>
        <v>Incomplete</v>
      </c>
    </row>
    <row r="310" spans="1:22" hidden="1">
      <c r="A310" s="2">
        <v>46125</v>
      </c>
      <c r="B310" t="s">
        <v>84</v>
      </c>
      <c r="C310" t="s">
        <v>80</v>
      </c>
      <c r="V310" t="str">
        <f t="shared" si="4"/>
        <v>Incomplete</v>
      </c>
    </row>
    <row r="311" spans="1:22" hidden="1">
      <c r="A311" s="2">
        <v>46126</v>
      </c>
      <c r="B311" t="s">
        <v>85</v>
      </c>
      <c r="C311" t="s">
        <v>78</v>
      </c>
      <c r="V311" t="str">
        <f t="shared" si="4"/>
        <v>Incomplete</v>
      </c>
    </row>
    <row r="312" spans="1:22" hidden="1">
      <c r="A312" s="2">
        <v>46126</v>
      </c>
      <c r="B312" t="s">
        <v>85</v>
      </c>
      <c r="C312" t="s">
        <v>79</v>
      </c>
      <c r="V312" t="str">
        <f t="shared" si="4"/>
        <v>Incomplete</v>
      </c>
    </row>
    <row r="313" spans="1:22" hidden="1">
      <c r="A313" s="2">
        <v>46126</v>
      </c>
      <c r="B313" t="s">
        <v>85</v>
      </c>
      <c r="C313" t="s">
        <v>80</v>
      </c>
      <c r="V313" t="str">
        <f t="shared" si="4"/>
        <v>Incomplete</v>
      </c>
    </row>
    <row r="314" spans="1:22" hidden="1">
      <c r="A314" s="2">
        <v>46127</v>
      </c>
      <c r="B314" t="s">
        <v>86</v>
      </c>
      <c r="C314" t="s">
        <v>78</v>
      </c>
      <c r="V314" t="str">
        <f t="shared" si="4"/>
        <v>Incomplete</v>
      </c>
    </row>
    <row r="315" spans="1:22" hidden="1">
      <c r="A315" s="2">
        <v>46127</v>
      </c>
      <c r="B315" t="s">
        <v>86</v>
      </c>
      <c r="C315" t="s">
        <v>79</v>
      </c>
      <c r="V315" t="str">
        <f t="shared" si="4"/>
        <v>Incomplete</v>
      </c>
    </row>
    <row r="316" spans="1:22" hidden="1">
      <c r="A316" s="2">
        <v>46127</v>
      </c>
      <c r="B316" t="s">
        <v>86</v>
      </c>
      <c r="C316" t="s">
        <v>80</v>
      </c>
      <c r="V316" t="str">
        <f t="shared" si="4"/>
        <v>Incomplete</v>
      </c>
    </row>
    <row r="317" spans="1:22" hidden="1">
      <c r="A317" s="2">
        <v>46128</v>
      </c>
      <c r="B317" t="s">
        <v>77</v>
      </c>
      <c r="C317" t="s">
        <v>78</v>
      </c>
      <c r="V317" t="str">
        <f t="shared" si="4"/>
        <v>Incomplete</v>
      </c>
    </row>
    <row r="318" spans="1:22" hidden="1">
      <c r="A318" s="2">
        <v>46128</v>
      </c>
      <c r="B318" t="s">
        <v>77</v>
      </c>
      <c r="C318" t="s">
        <v>79</v>
      </c>
      <c r="V318" t="str">
        <f t="shared" si="4"/>
        <v>Incomplete</v>
      </c>
    </row>
    <row r="319" spans="1:22" hidden="1">
      <c r="A319" s="2">
        <v>46128</v>
      </c>
      <c r="B319" t="s">
        <v>77</v>
      </c>
      <c r="C319" t="s">
        <v>80</v>
      </c>
      <c r="V319" t="str">
        <f t="shared" si="4"/>
        <v>Incomplete</v>
      </c>
    </row>
    <row r="320" spans="1:22" hidden="1">
      <c r="A320" s="2">
        <v>46129</v>
      </c>
      <c r="B320" t="s">
        <v>81</v>
      </c>
      <c r="C320" t="s">
        <v>78</v>
      </c>
      <c r="V320" t="str">
        <f t="shared" si="4"/>
        <v>Incomplete</v>
      </c>
    </row>
    <row r="321" spans="1:22" hidden="1">
      <c r="A321" s="2">
        <v>46129</v>
      </c>
      <c r="B321" t="s">
        <v>81</v>
      </c>
      <c r="C321" t="s">
        <v>79</v>
      </c>
      <c r="V321" t="str">
        <f t="shared" si="4"/>
        <v>Incomplete</v>
      </c>
    </row>
    <row r="322" spans="1:22" hidden="1">
      <c r="A322" s="2">
        <v>46129</v>
      </c>
      <c r="B322" t="s">
        <v>81</v>
      </c>
      <c r="C322" t="s">
        <v>80</v>
      </c>
      <c r="V322" t="str">
        <f t="shared" ref="V322:V385" si="5">IF(AND(N322="Yes",O322="Yes",P322="Yes",Q322="Yes",R322="Yes",S322="Yes",T322="Yes",U322="Yes"),"Complete","Incomplete")</f>
        <v>Incomplete</v>
      </c>
    </row>
    <row r="323" spans="1:22" hidden="1">
      <c r="A323" s="2">
        <v>46130</v>
      </c>
      <c r="B323" t="s">
        <v>82</v>
      </c>
      <c r="C323" t="s">
        <v>78</v>
      </c>
      <c r="V323" t="str">
        <f t="shared" si="5"/>
        <v>Incomplete</v>
      </c>
    </row>
    <row r="324" spans="1:22" hidden="1">
      <c r="A324" s="2">
        <v>46130</v>
      </c>
      <c r="B324" t="s">
        <v>82</v>
      </c>
      <c r="C324" t="s">
        <v>79</v>
      </c>
      <c r="V324" t="str">
        <f t="shared" si="5"/>
        <v>Incomplete</v>
      </c>
    </row>
    <row r="325" spans="1:22" hidden="1">
      <c r="A325" s="2">
        <v>46130</v>
      </c>
      <c r="B325" t="s">
        <v>82</v>
      </c>
      <c r="C325" t="s">
        <v>80</v>
      </c>
      <c r="V325" t="str">
        <f t="shared" si="5"/>
        <v>Incomplete</v>
      </c>
    </row>
    <row r="326" spans="1:22" hidden="1">
      <c r="A326" s="2">
        <v>46131</v>
      </c>
      <c r="B326" t="s">
        <v>83</v>
      </c>
      <c r="C326" t="s">
        <v>78</v>
      </c>
      <c r="V326" t="str">
        <f t="shared" si="5"/>
        <v>Incomplete</v>
      </c>
    </row>
    <row r="327" spans="1:22" hidden="1">
      <c r="A327" s="2">
        <v>46131</v>
      </c>
      <c r="B327" t="s">
        <v>83</v>
      </c>
      <c r="C327" t="s">
        <v>79</v>
      </c>
      <c r="V327" t="str">
        <f t="shared" si="5"/>
        <v>Incomplete</v>
      </c>
    </row>
    <row r="328" spans="1:22" hidden="1">
      <c r="A328" s="2">
        <v>46131</v>
      </c>
      <c r="B328" t="s">
        <v>83</v>
      </c>
      <c r="C328" t="s">
        <v>80</v>
      </c>
      <c r="V328" t="str">
        <f t="shared" si="5"/>
        <v>Incomplete</v>
      </c>
    </row>
    <row r="329" spans="1:22" hidden="1">
      <c r="A329" s="2">
        <v>46132</v>
      </c>
      <c r="B329" t="s">
        <v>84</v>
      </c>
      <c r="C329" t="s">
        <v>78</v>
      </c>
      <c r="V329" t="str">
        <f t="shared" si="5"/>
        <v>Incomplete</v>
      </c>
    </row>
    <row r="330" spans="1:22" hidden="1">
      <c r="A330" s="2">
        <v>46132</v>
      </c>
      <c r="B330" t="s">
        <v>84</v>
      </c>
      <c r="C330" t="s">
        <v>79</v>
      </c>
      <c r="V330" t="str">
        <f t="shared" si="5"/>
        <v>Incomplete</v>
      </c>
    </row>
    <row r="331" spans="1:22" hidden="1">
      <c r="A331" s="2">
        <v>46132</v>
      </c>
      <c r="B331" t="s">
        <v>84</v>
      </c>
      <c r="C331" t="s">
        <v>80</v>
      </c>
      <c r="V331" t="str">
        <f t="shared" si="5"/>
        <v>Incomplete</v>
      </c>
    </row>
    <row r="332" spans="1:22" hidden="1">
      <c r="A332" s="2">
        <v>46133</v>
      </c>
      <c r="B332" t="s">
        <v>85</v>
      </c>
      <c r="C332" t="s">
        <v>78</v>
      </c>
      <c r="V332" t="str">
        <f t="shared" si="5"/>
        <v>Incomplete</v>
      </c>
    </row>
    <row r="333" spans="1:22" hidden="1">
      <c r="A333" s="2">
        <v>46133</v>
      </c>
      <c r="B333" t="s">
        <v>85</v>
      </c>
      <c r="C333" t="s">
        <v>79</v>
      </c>
      <c r="V333" t="str">
        <f t="shared" si="5"/>
        <v>Incomplete</v>
      </c>
    </row>
    <row r="334" spans="1:22" hidden="1">
      <c r="A334" s="2">
        <v>46133</v>
      </c>
      <c r="B334" t="s">
        <v>85</v>
      </c>
      <c r="C334" t="s">
        <v>80</v>
      </c>
      <c r="V334" t="str">
        <f t="shared" si="5"/>
        <v>Incomplete</v>
      </c>
    </row>
    <row r="335" spans="1:22" hidden="1">
      <c r="A335" s="2">
        <v>46134</v>
      </c>
      <c r="B335" t="s">
        <v>86</v>
      </c>
      <c r="C335" t="s">
        <v>78</v>
      </c>
      <c r="V335" t="str">
        <f t="shared" si="5"/>
        <v>Incomplete</v>
      </c>
    </row>
    <row r="336" spans="1:22" hidden="1">
      <c r="A336" s="2">
        <v>46134</v>
      </c>
      <c r="B336" t="s">
        <v>86</v>
      </c>
      <c r="C336" t="s">
        <v>79</v>
      </c>
      <c r="V336" t="str">
        <f t="shared" si="5"/>
        <v>Incomplete</v>
      </c>
    </row>
    <row r="337" spans="1:22" hidden="1">
      <c r="A337" s="2">
        <v>46134</v>
      </c>
      <c r="B337" t="s">
        <v>86</v>
      </c>
      <c r="C337" t="s">
        <v>80</v>
      </c>
      <c r="V337" t="str">
        <f t="shared" si="5"/>
        <v>Incomplete</v>
      </c>
    </row>
    <row r="338" spans="1:22" hidden="1">
      <c r="A338" s="2">
        <v>46135</v>
      </c>
      <c r="B338" t="s">
        <v>77</v>
      </c>
      <c r="C338" t="s">
        <v>78</v>
      </c>
      <c r="V338" t="str">
        <f t="shared" si="5"/>
        <v>Incomplete</v>
      </c>
    </row>
    <row r="339" spans="1:22" hidden="1">
      <c r="A339" s="2">
        <v>46135</v>
      </c>
      <c r="B339" t="s">
        <v>77</v>
      </c>
      <c r="C339" t="s">
        <v>79</v>
      </c>
      <c r="V339" t="str">
        <f t="shared" si="5"/>
        <v>Incomplete</v>
      </c>
    </row>
    <row r="340" spans="1:22" hidden="1">
      <c r="A340" s="2">
        <v>46135</v>
      </c>
      <c r="B340" t="s">
        <v>77</v>
      </c>
      <c r="C340" t="s">
        <v>80</v>
      </c>
      <c r="V340" t="str">
        <f t="shared" si="5"/>
        <v>Incomplete</v>
      </c>
    </row>
    <row r="341" spans="1:22" hidden="1">
      <c r="A341" s="2">
        <v>46136</v>
      </c>
      <c r="B341" t="s">
        <v>81</v>
      </c>
      <c r="C341" t="s">
        <v>78</v>
      </c>
      <c r="V341" t="str">
        <f t="shared" si="5"/>
        <v>Incomplete</v>
      </c>
    </row>
    <row r="342" spans="1:22" hidden="1">
      <c r="A342" s="2">
        <v>46136</v>
      </c>
      <c r="B342" t="s">
        <v>81</v>
      </c>
      <c r="C342" t="s">
        <v>79</v>
      </c>
      <c r="V342" t="str">
        <f t="shared" si="5"/>
        <v>Incomplete</v>
      </c>
    </row>
    <row r="343" spans="1:22" hidden="1">
      <c r="A343" s="2">
        <v>46136</v>
      </c>
      <c r="B343" t="s">
        <v>81</v>
      </c>
      <c r="C343" t="s">
        <v>80</v>
      </c>
      <c r="V343" t="str">
        <f t="shared" si="5"/>
        <v>Incomplete</v>
      </c>
    </row>
    <row r="344" spans="1:22" hidden="1">
      <c r="A344" s="2">
        <v>46137</v>
      </c>
      <c r="B344" t="s">
        <v>82</v>
      </c>
      <c r="C344" t="s">
        <v>78</v>
      </c>
      <c r="V344" t="str">
        <f t="shared" si="5"/>
        <v>Incomplete</v>
      </c>
    </row>
    <row r="345" spans="1:22" hidden="1">
      <c r="A345" s="2">
        <v>46137</v>
      </c>
      <c r="B345" t="s">
        <v>82</v>
      </c>
      <c r="C345" t="s">
        <v>79</v>
      </c>
      <c r="V345" t="str">
        <f t="shared" si="5"/>
        <v>Incomplete</v>
      </c>
    </row>
    <row r="346" spans="1:22" hidden="1">
      <c r="A346" s="2">
        <v>46137</v>
      </c>
      <c r="B346" t="s">
        <v>82</v>
      </c>
      <c r="C346" t="s">
        <v>80</v>
      </c>
      <c r="V346" t="str">
        <f t="shared" si="5"/>
        <v>Incomplete</v>
      </c>
    </row>
    <row r="347" spans="1:22" hidden="1">
      <c r="A347" s="2">
        <v>46138</v>
      </c>
      <c r="B347" t="s">
        <v>83</v>
      </c>
      <c r="C347" t="s">
        <v>78</v>
      </c>
      <c r="V347" t="str">
        <f t="shared" si="5"/>
        <v>Incomplete</v>
      </c>
    </row>
    <row r="348" spans="1:22" hidden="1">
      <c r="A348" s="2">
        <v>46138</v>
      </c>
      <c r="B348" t="s">
        <v>83</v>
      </c>
      <c r="C348" t="s">
        <v>79</v>
      </c>
      <c r="V348" t="str">
        <f t="shared" si="5"/>
        <v>Incomplete</v>
      </c>
    </row>
    <row r="349" spans="1:22" hidden="1">
      <c r="A349" s="2">
        <v>46138</v>
      </c>
      <c r="B349" t="s">
        <v>83</v>
      </c>
      <c r="C349" t="s">
        <v>80</v>
      </c>
      <c r="V349" t="str">
        <f t="shared" si="5"/>
        <v>Incomplete</v>
      </c>
    </row>
    <row r="350" spans="1:22" hidden="1">
      <c r="A350" s="2">
        <v>46139</v>
      </c>
      <c r="B350" t="s">
        <v>84</v>
      </c>
      <c r="C350" t="s">
        <v>78</v>
      </c>
      <c r="V350" t="str">
        <f t="shared" si="5"/>
        <v>Incomplete</v>
      </c>
    </row>
    <row r="351" spans="1:22" hidden="1">
      <c r="A351" s="2">
        <v>46139</v>
      </c>
      <c r="B351" t="s">
        <v>84</v>
      </c>
      <c r="C351" t="s">
        <v>79</v>
      </c>
      <c r="V351" t="str">
        <f t="shared" si="5"/>
        <v>Incomplete</v>
      </c>
    </row>
    <row r="352" spans="1:22" hidden="1">
      <c r="A352" s="2">
        <v>46139</v>
      </c>
      <c r="B352" t="s">
        <v>84</v>
      </c>
      <c r="C352" t="s">
        <v>80</v>
      </c>
      <c r="V352" t="str">
        <f t="shared" si="5"/>
        <v>Incomplete</v>
      </c>
    </row>
    <row r="353" spans="1:22" hidden="1">
      <c r="A353" s="2">
        <v>46140</v>
      </c>
      <c r="B353" t="s">
        <v>85</v>
      </c>
      <c r="C353" t="s">
        <v>78</v>
      </c>
      <c r="V353" t="str">
        <f t="shared" si="5"/>
        <v>Incomplete</v>
      </c>
    </row>
    <row r="354" spans="1:22" hidden="1">
      <c r="A354" s="2">
        <v>46140</v>
      </c>
      <c r="B354" t="s">
        <v>85</v>
      </c>
      <c r="C354" t="s">
        <v>79</v>
      </c>
      <c r="V354" t="str">
        <f t="shared" si="5"/>
        <v>Incomplete</v>
      </c>
    </row>
    <row r="355" spans="1:22" hidden="1">
      <c r="A355" s="2">
        <v>46140</v>
      </c>
      <c r="B355" t="s">
        <v>85</v>
      </c>
      <c r="C355" t="s">
        <v>80</v>
      </c>
      <c r="V355" t="str">
        <f t="shared" si="5"/>
        <v>Incomplete</v>
      </c>
    </row>
    <row r="356" spans="1:22" hidden="1">
      <c r="A356" s="2">
        <v>46141</v>
      </c>
      <c r="B356" t="s">
        <v>86</v>
      </c>
      <c r="C356" t="s">
        <v>78</v>
      </c>
      <c r="V356" t="str">
        <f t="shared" si="5"/>
        <v>Incomplete</v>
      </c>
    </row>
    <row r="357" spans="1:22" hidden="1">
      <c r="A357" s="2">
        <v>46141</v>
      </c>
      <c r="B357" t="s">
        <v>86</v>
      </c>
      <c r="C357" t="s">
        <v>79</v>
      </c>
      <c r="V357" t="str">
        <f t="shared" si="5"/>
        <v>Incomplete</v>
      </c>
    </row>
    <row r="358" spans="1:22" hidden="1">
      <c r="A358" s="2">
        <v>46141</v>
      </c>
      <c r="B358" t="s">
        <v>86</v>
      </c>
      <c r="C358" t="s">
        <v>80</v>
      </c>
      <c r="V358" t="str">
        <f t="shared" si="5"/>
        <v>Incomplete</v>
      </c>
    </row>
    <row r="359" spans="1:22" hidden="1">
      <c r="A359" s="2">
        <v>46142</v>
      </c>
      <c r="B359" t="s">
        <v>77</v>
      </c>
      <c r="C359" t="s">
        <v>78</v>
      </c>
      <c r="V359" t="str">
        <f t="shared" si="5"/>
        <v>Incomplete</v>
      </c>
    </row>
    <row r="360" spans="1:22" hidden="1">
      <c r="A360" s="2">
        <v>46142</v>
      </c>
      <c r="B360" t="s">
        <v>77</v>
      </c>
      <c r="C360" t="s">
        <v>79</v>
      </c>
      <c r="V360" t="str">
        <f t="shared" si="5"/>
        <v>Incomplete</v>
      </c>
    </row>
    <row r="361" spans="1:22" hidden="1">
      <c r="A361" s="2">
        <v>46142</v>
      </c>
      <c r="B361" t="s">
        <v>77</v>
      </c>
      <c r="C361" t="s">
        <v>80</v>
      </c>
      <c r="V361" t="str">
        <f t="shared" si="5"/>
        <v>Incomplete</v>
      </c>
    </row>
    <row r="362" spans="1:22" hidden="1">
      <c r="A362" s="2">
        <v>46143</v>
      </c>
      <c r="B362" t="s">
        <v>81</v>
      </c>
      <c r="C362" t="s">
        <v>78</v>
      </c>
      <c r="V362" t="str">
        <f t="shared" si="5"/>
        <v>Incomplete</v>
      </c>
    </row>
    <row r="363" spans="1:22" hidden="1">
      <c r="A363" s="2">
        <v>46143</v>
      </c>
      <c r="B363" t="s">
        <v>81</v>
      </c>
      <c r="C363" t="s">
        <v>79</v>
      </c>
      <c r="V363" t="str">
        <f t="shared" si="5"/>
        <v>Incomplete</v>
      </c>
    </row>
    <row r="364" spans="1:22" hidden="1">
      <c r="A364" s="2">
        <v>46143</v>
      </c>
      <c r="B364" t="s">
        <v>81</v>
      </c>
      <c r="C364" t="s">
        <v>80</v>
      </c>
      <c r="V364" t="str">
        <f t="shared" si="5"/>
        <v>Incomplete</v>
      </c>
    </row>
    <row r="365" spans="1:22" hidden="1">
      <c r="A365" s="2">
        <v>46144</v>
      </c>
      <c r="B365" t="s">
        <v>82</v>
      </c>
      <c r="C365" t="s">
        <v>78</v>
      </c>
      <c r="V365" t="str">
        <f t="shared" si="5"/>
        <v>Incomplete</v>
      </c>
    </row>
    <row r="366" spans="1:22" hidden="1">
      <c r="A366" s="2">
        <v>46144</v>
      </c>
      <c r="B366" t="s">
        <v>82</v>
      </c>
      <c r="C366" t="s">
        <v>79</v>
      </c>
      <c r="V366" t="str">
        <f t="shared" si="5"/>
        <v>Incomplete</v>
      </c>
    </row>
    <row r="367" spans="1:22" hidden="1">
      <c r="A367" s="2">
        <v>46144</v>
      </c>
      <c r="B367" t="s">
        <v>82</v>
      </c>
      <c r="C367" t="s">
        <v>80</v>
      </c>
      <c r="V367" t="str">
        <f t="shared" si="5"/>
        <v>Incomplete</v>
      </c>
    </row>
    <row r="368" spans="1:22" hidden="1">
      <c r="A368" s="2">
        <v>46145</v>
      </c>
      <c r="B368" t="s">
        <v>83</v>
      </c>
      <c r="C368" t="s">
        <v>78</v>
      </c>
      <c r="V368" t="str">
        <f t="shared" si="5"/>
        <v>Incomplete</v>
      </c>
    </row>
    <row r="369" spans="1:22" hidden="1">
      <c r="A369" s="2">
        <v>46145</v>
      </c>
      <c r="B369" t="s">
        <v>83</v>
      </c>
      <c r="C369" t="s">
        <v>79</v>
      </c>
      <c r="V369" t="str">
        <f t="shared" si="5"/>
        <v>Incomplete</v>
      </c>
    </row>
    <row r="370" spans="1:22" hidden="1">
      <c r="A370" s="2">
        <v>46145</v>
      </c>
      <c r="B370" t="s">
        <v>83</v>
      </c>
      <c r="C370" t="s">
        <v>80</v>
      </c>
      <c r="V370" t="str">
        <f t="shared" si="5"/>
        <v>Incomplete</v>
      </c>
    </row>
    <row r="371" spans="1:22" hidden="1">
      <c r="A371" s="2">
        <v>46146</v>
      </c>
      <c r="B371" t="s">
        <v>84</v>
      </c>
      <c r="C371" t="s">
        <v>78</v>
      </c>
      <c r="V371" t="str">
        <f t="shared" si="5"/>
        <v>Incomplete</v>
      </c>
    </row>
    <row r="372" spans="1:22" hidden="1">
      <c r="A372" s="2">
        <v>46146</v>
      </c>
      <c r="B372" t="s">
        <v>84</v>
      </c>
      <c r="C372" t="s">
        <v>79</v>
      </c>
      <c r="V372" t="str">
        <f t="shared" si="5"/>
        <v>Incomplete</v>
      </c>
    </row>
    <row r="373" spans="1:22" hidden="1">
      <c r="A373" s="2">
        <v>46146</v>
      </c>
      <c r="B373" t="s">
        <v>84</v>
      </c>
      <c r="C373" t="s">
        <v>80</v>
      </c>
      <c r="V373" t="str">
        <f t="shared" si="5"/>
        <v>Incomplete</v>
      </c>
    </row>
    <row r="374" spans="1:22" hidden="1">
      <c r="A374" s="2">
        <v>46147</v>
      </c>
      <c r="B374" t="s">
        <v>85</v>
      </c>
      <c r="C374" t="s">
        <v>78</v>
      </c>
      <c r="V374" t="str">
        <f t="shared" si="5"/>
        <v>Incomplete</v>
      </c>
    </row>
    <row r="375" spans="1:22" hidden="1">
      <c r="A375" s="2">
        <v>46147</v>
      </c>
      <c r="B375" t="s">
        <v>85</v>
      </c>
      <c r="C375" t="s">
        <v>79</v>
      </c>
      <c r="V375" t="str">
        <f t="shared" si="5"/>
        <v>Incomplete</v>
      </c>
    </row>
    <row r="376" spans="1:22" hidden="1">
      <c r="A376" s="2">
        <v>46147</v>
      </c>
      <c r="B376" t="s">
        <v>85</v>
      </c>
      <c r="C376" t="s">
        <v>80</v>
      </c>
      <c r="V376" t="str">
        <f t="shared" si="5"/>
        <v>Incomplete</v>
      </c>
    </row>
    <row r="377" spans="1:22" hidden="1">
      <c r="A377" s="2">
        <v>46148</v>
      </c>
      <c r="B377" t="s">
        <v>86</v>
      </c>
      <c r="C377" t="s">
        <v>78</v>
      </c>
      <c r="V377" t="str">
        <f t="shared" si="5"/>
        <v>Incomplete</v>
      </c>
    </row>
    <row r="378" spans="1:22" hidden="1">
      <c r="A378" s="2">
        <v>46148</v>
      </c>
      <c r="B378" t="s">
        <v>86</v>
      </c>
      <c r="C378" t="s">
        <v>79</v>
      </c>
      <c r="V378" t="str">
        <f t="shared" si="5"/>
        <v>Incomplete</v>
      </c>
    </row>
    <row r="379" spans="1:22" hidden="1">
      <c r="A379" s="2">
        <v>46148</v>
      </c>
      <c r="B379" t="s">
        <v>86</v>
      </c>
      <c r="C379" t="s">
        <v>80</v>
      </c>
      <c r="V379" t="str">
        <f t="shared" si="5"/>
        <v>Incomplete</v>
      </c>
    </row>
    <row r="380" spans="1:22" hidden="1">
      <c r="A380" s="2">
        <v>46149</v>
      </c>
      <c r="B380" t="s">
        <v>77</v>
      </c>
      <c r="C380" t="s">
        <v>78</v>
      </c>
      <c r="V380" t="str">
        <f t="shared" si="5"/>
        <v>Incomplete</v>
      </c>
    </row>
    <row r="381" spans="1:22" hidden="1">
      <c r="A381" s="2">
        <v>46149</v>
      </c>
      <c r="B381" t="s">
        <v>77</v>
      </c>
      <c r="C381" t="s">
        <v>79</v>
      </c>
      <c r="V381" t="str">
        <f t="shared" si="5"/>
        <v>Incomplete</v>
      </c>
    </row>
    <row r="382" spans="1:22" hidden="1">
      <c r="A382" s="2">
        <v>46149</v>
      </c>
      <c r="B382" t="s">
        <v>77</v>
      </c>
      <c r="C382" t="s">
        <v>80</v>
      </c>
      <c r="V382" t="str">
        <f t="shared" si="5"/>
        <v>Incomplete</v>
      </c>
    </row>
    <row r="383" spans="1:22" hidden="1">
      <c r="A383" s="2">
        <v>46150</v>
      </c>
      <c r="B383" t="s">
        <v>81</v>
      </c>
      <c r="C383" t="s">
        <v>78</v>
      </c>
      <c r="V383" t="str">
        <f t="shared" si="5"/>
        <v>Incomplete</v>
      </c>
    </row>
    <row r="384" spans="1:22" hidden="1">
      <c r="A384" s="2">
        <v>46150</v>
      </c>
      <c r="B384" t="s">
        <v>81</v>
      </c>
      <c r="C384" t="s">
        <v>79</v>
      </c>
      <c r="V384" t="str">
        <f t="shared" si="5"/>
        <v>Incomplete</v>
      </c>
    </row>
    <row r="385" spans="1:22" hidden="1">
      <c r="A385" s="2">
        <v>46150</v>
      </c>
      <c r="B385" t="s">
        <v>81</v>
      </c>
      <c r="C385" t="s">
        <v>80</v>
      </c>
      <c r="V385" t="str">
        <f t="shared" si="5"/>
        <v>Incomplete</v>
      </c>
    </row>
    <row r="386" spans="1:22" hidden="1">
      <c r="A386" s="2">
        <v>46151</v>
      </c>
      <c r="B386" t="s">
        <v>82</v>
      </c>
      <c r="C386" t="s">
        <v>78</v>
      </c>
      <c r="V386" t="str">
        <f t="shared" ref="V386:V449" si="6">IF(AND(N386="Yes",O386="Yes",P386="Yes",Q386="Yes",R386="Yes",S386="Yes",T386="Yes",U386="Yes"),"Complete","Incomplete")</f>
        <v>Incomplete</v>
      </c>
    </row>
    <row r="387" spans="1:22" hidden="1">
      <c r="A387" s="2">
        <v>46151</v>
      </c>
      <c r="B387" t="s">
        <v>82</v>
      </c>
      <c r="C387" t="s">
        <v>79</v>
      </c>
      <c r="V387" t="str">
        <f t="shared" si="6"/>
        <v>Incomplete</v>
      </c>
    </row>
    <row r="388" spans="1:22" hidden="1">
      <c r="A388" s="2">
        <v>46151</v>
      </c>
      <c r="B388" t="s">
        <v>82</v>
      </c>
      <c r="C388" t="s">
        <v>80</v>
      </c>
      <c r="V388" t="str">
        <f t="shared" si="6"/>
        <v>Incomplete</v>
      </c>
    </row>
    <row r="389" spans="1:22" hidden="1">
      <c r="A389" s="2">
        <v>46152</v>
      </c>
      <c r="B389" t="s">
        <v>83</v>
      </c>
      <c r="C389" t="s">
        <v>78</v>
      </c>
      <c r="V389" t="str">
        <f t="shared" si="6"/>
        <v>Incomplete</v>
      </c>
    </row>
    <row r="390" spans="1:22" hidden="1">
      <c r="A390" s="2">
        <v>46152</v>
      </c>
      <c r="B390" t="s">
        <v>83</v>
      </c>
      <c r="C390" t="s">
        <v>79</v>
      </c>
      <c r="V390" t="str">
        <f t="shared" si="6"/>
        <v>Incomplete</v>
      </c>
    </row>
    <row r="391" spans="1:22" hidden="1">
      <c r="A391" s="2">
        <v>46152</v>
      </c>
      <c r="B391" t="s">
        <v>83</v>
      </c>
      <c r="C391" t="s">
        <v>80</v>
      </c>
      <c r="V391" t="str">
        <f t="shared" si="6"/>
        <v>Incomplete</v>
      </c>
    </row>
    <row r="392" spans="1:22" hidden="1">
      <c r="A392" s="2">
        <v>46153</v>
      </c>
      <c r="B392" t="s">
        <v>84</v>
      </c>
      <c r="C392" t="s">
        <v>78</v>
      </c>
      <c r="V392" t="str">
        <f t="shared" si="6"/>
        <v>Incomplete</v>
      </c>
    </row>
    <row r="393" spans="1:22" hidden="1">
      <c r="A393" s="2">
        <v>46153</v>
      </c>
      <c r="B393" t="s">
        <v>84</v>
      </c>
      <c r="C393" t="s">
        <v>79</v>
      </c>
      <c r="V393" t="str">
        <f t="shared" si="6"/>
        <v>Incomplete</v>
      </c>
    </row>
    <row r="394" spans="1:22" hidden="1">
      <c r="A394" s="2">
        <v>46153</v>
      </c>
      <c r="B394" t="s">
        <v>84</v>
      </c>
      <c r="C394" t="s">
        <v>80</v>
      </c>
      <c r="V394" t="str">
        <f t="shared" si="6"/>
        <v>Incomplete</v>
      </c>
    </row>
    <row r="395" spans="1:22" hidden="1">
      <c r="A395" s="2">
        <v>46154</v>
      </c>
      <c r="B395" t="s">
        <v>85</v>
      </c>
      <c r="C395" t="s">
        <v>78</v>
      </c>
      <c r="V395" t="str">
        <f t="shared" si="6"/>
        <v>Incomplete</v>
      </c>
    </row>
    <row r="396" spans="1:22" hidden="1">
      <c r="A396" s="2">
        <v>46154</v>
      </c>
      <c r="B396" t="s">
        <v>85</v>
      </c>
      <c r="C396" t="s">
        <v>79</v>
      </c>
      <c r="V396" t="str">
        <f t="shared" si="6"/>
        <v>Incomplete</v>
      </c>
    </row>
    <row r="397" spans="1:22" hidden="1">
      <c r="A397" s="2">
        <v>46154</v>
      </c>
      <c r="B397" t="s">
        <v>85</v>
      </c>
      <c r="C397" t="s">
        <v>80</v>
      </c>
      <c r="V397" t="str">
        <f t="shared" si="6"/>
        <v>Incomplete</v>
      </c>
    </row>
    <row r="398" spans="1:22" hidden="1">
      <c r="A398" s="2">
        <v>46155</v>
      </c>
      <c r="B398" t="s">
        <v>86</v>
      </c>
      <c r="C398" t="s">
        <v>78</v>
      </c>
      <c r="V398" t="str">
        <f t="shared" si="6"/>
        <v>Incomplete</v>
      </c>
    </row>
    <row r="399" spans="1:22" hidden="1">
      <c r="A399" s="2">
        <v>46155</v>
      </c>
      <c r="B399" t="s">
        <v>86</v>
      </c>
      <c r="C399" t="s">
        <v>79</v>
      </c>
      <c r="V399" t="str">
        <f t="shared" si="6"/>
        <v>Incomplete</v>
      </c>
    </row>
    <row r="400" spans="1:22" hidden="1">
      <c r="A400" s="2">
        <v>46155</v>
      </c>
      <c r="B400" t="s">
        <v>86</v>
      </c>
      <c r="C400" t="s">
        <v>80</v>
      </c>
      <c r="V400" t="str">
        <f t="shared" si="6"/>
        <v>Incomplete</v>
      </c>
    </row>
    <row r="401" spans="1:22" hidden="1">
      <c r="A401" s="2">
        <v>46156</v>
      </c>
      <c r="B401" t="s">
        <v>77</v>
      </c>
      <c r="C401" t="s">
        <v>78</v>
      </c>
      <c r="V401" t="str">
        <f t="shared" si="6"/>
        <v>Incomplete</v>
      </c>
    </row>
    <row r="402" spans="1:22" hidden="1">
      <c r="A402" s="2">
        <v>46156</v>
      </c>
      <c r="B402" t="s">
        <v>77</v>
      </c>
      <c r="C402" t="s">
        <v>79</v>
      </c>
      <c r="V402" t="str">
        <f t="shared" si="6"/>
        <v>Incomplete</v>
      </c>
    </row>
    <row r="403" spans="1:22" hidden="1">
      <c r="A403" s="2">
        <v>46156</v>
      </c>
      <c r="B403" t="s">
        <v>77</v>
      </c>
      <c r="C403" t="s">
        <v>80</v>
      </c>
      <c r="V403" t="str">
        <f t="shared" si="6"/>
        <v>Incomplete</v>
      </c>
    </row>
    <row r="404" spans="1:22" hidden="1">
      <c r="A404" s="2">
        <v>46157</v>
      </c>
      <c r="B404" t="s">
        <v>81</v>
      </c>
      <c r="C404" t="s">
        <v>78</v>
      </c>
      <c r="V404" t="str">
        <f t="shared" si="6"/>
        <v>Incomplete</v>
      </c>
    </row>
    <row r="405" spans="1:22" hidden="1">
      <c r="A405" s="2">
        <v>46157</v>
      </c>
      <c r="B405" t="s">
        <v>81</v>
      </c>
      <c r="C405" t="s">
        <v>79</v>
      </c>
      <c r="V405" t="str">
        <f t="shared" si="6"/>
        <v>Incomplete</v>
      </c>
    </row>
    <row r="406" spans="1:22" hidden="1">
      <c r="A406" s="2">
        <v>46157</v>
      </c>
      <c r="B406" t="s">
        <v>81</v>
      </c>
      <c r="C406" t="s">
        <v>80</v>
      </c>
      <c r="V406" t="str">
        <f t="shared" si="6"/>
        <v>Incomplete</v>
      </c>
    </row>
    <row r="407" spans="1:22" hidden="1">
      <c r="A407" s="2">
        <v>46158</v>
      </c>
      <c r="B407" t="s">
        <v>82</v>
      </c>
      <c r="C407" t="s">
        <v>78</v>
      </c>
      <c r="V407" t="str">
        <f t="shared" si="6"/>
        <v>Incomplete</v>
      </c>
    </row>
    <row r="408" spans="1:22" hidden="1">
      <c r="A408" s="2">
        <v>46158</v>
      </c>
      <c r="B408" t="s">
        <v>82</v>
      </c>
      <c r="C408" t="s">
        <v>79</v>
      </c>
      <c r="V408" t="str">
        <f t="shared" si="6"/>
        <v>Incomplete</v>
      </c>
    </row>
    <row r="409" spans="1:22" hidden="1">
      <c r="A409" s="2">
        <v>46158</v>
      </c>
      <c r="B409" t="s">
        <v>82</v>
      </c>
      <c r="C409" t="s">
        <v>80</v>
      </c>
      <c r="V409" t="str">
        <f t="shared" si="6"/>
        <v>Incomplete</v>
      </c>
    </row>
    <row r="410" spans="1:22" hidden="1">
      <c r="A410" s="2">
        <v>46159</v>
      </c>
      <c r="B410" t="s">
        <v>83</v>
      </c>
      <c r="C410" t="s">
        <v>78</v>
      </c>
      <c r="V410" t="str">
        <f t="shared" si="6"/>
        <v>Incomplete</v>
      </c>
    </row>
    <row r="411" spans="1:22" hidden="1">
      <c r="A411" s="2">
        <v>46159</v>
      </c>
      <c r="B411" t="s">
        <v>83</v>
      </c>
      <c r="C411" t="s">
        <v>79</v>
      </c>
      <c r="V411" t="str">
        <f t="shared" si="6"/>
        <v>Incomplete</v>
      </c>
    </row>
    <row r="412" spans="1:22" hidden="1">
      <c r="A412" s="2">
        <v>46159</v>
      </c>
      <c r="B412" t="s">
        <v>83</v>
      </c>
      <c r="C412" t="s">
        <v>80</v>
      </c>
      <c r="V412" t="str">
        <f t="shared" si="6"/>
        <v>Incomplete</v>
      </c>
    </row>
    <row r="413" spans="1:22" hidden="1">
      <c r="A413" s="2">
        <v>46160</v>
      </c>
      <c r="B413" t="s">
        <v>84</v>
      </c>
      <c r="C413" t="s">
        <v>78</v>
      </c>
      <c r="V413" t="str">
        <f t="shared" si="6"/>
        <v>Incomplete</v>
      </c>
    </row>
    <row r="414" spans="1:22" hidden="1">
      <c r="A414" s="2">
        <v>46160</v>
      </c>
      <c r="B414" t="s">
        <v>84</v>
      </c>
      <c r="C414" t="s">
        <v>79</v>
      </c>
      <c r="V414" t="str">
        <f t="shared" si="6"/>
        <v>Incomplete</v>
      </c>
    </row>
    <row r="415" spans="1:22" hidden="1">
      <c r="A415" s="2">
        <v>46160</v>
      </c>
      <c r="B415" t="s">
        <v>84</v>
      </c>
      <c r="C415" t="s">
        <v>80</v>
      </c>
      <c r="V415" t="str">
        <f t="shared" si="6"/>
        <v>Incomplete</v>
      </c>
    </row>
    <row r="416" spans="1:22" hidden="1">
      <c r="A416" s="2">
        <v>46161</v>
      </c>
      <c r="B416" t="s">
        <v>85</v>
      </c>
      <c r="C416" t="s">
        <v>78</v>
      </c>
      <c r="V416" t="str">
        <f t="shared" si="6"/>
        <v>Incomplete</v>
      </c>
    </row>
    <row r="417" spans="1:22" hidden="1">
      <c r="A417" s="2">
        <v>46161</v>
      </c>
      <c r="B417" t="s">
        <v>85</v>
      </c>
      <c r="C417" t="s">
        <v>79</v>
      </c>
      <c r="V417" t="str">
        <f t="shared" si="6"/>
        <v>Incomplete</v>
      </c>
    </row>
    <row r="418" spans="1:22" hidden="1">
      <c r="A418" s="2">
        <v>46161</v>
      </c>
      <c r="B418" t="s">
        <v>85</v>
      </c>
      <c r="C418" t="s">
        <v>80</v>
      </c>
      <c r="V418" t="str">
        <f t="shared" si="6"/>
        <v>Incomplete</v>
      </c>
    </row>
    <row r="419" spans="1:22" hidden="1">
      <c r="A419" s="2">
        <v>46162</v>
      </c>
      <c r="B419" t="s">
        <v>86</v>
      </c>
      <c r="C419" t="s">
        <v>78</v>
      </c>
      <c r="V419" t="str">
        <f t="shared" si="6"/>
        <v>Incomplete</v>
      </c>
    </row>
    <row r="420" spans="1:22" hidden="1">
      <c r="A420" s="2">
        <v>46162</v>
      </c>
      <c r="B420" t="s">
        <v>86</v>
      </c>
      <c r="C420" t="s">
        <v>79</v>
      </c>
      <c r="V420" t="str">
        <f t="shared" si="6"/>
        <v>Incomplete</v>
      </c>
    </row>
    <row r="421" spans="1:22" hidden="1">
      <c r="A421" s="2">
        <v>46162</v>
      </c>
      <c r="B421" t="s">
        <v>86</v>
      </c>
      <c r="C421" t="s">
        <v>80</v>
      </c>
      <c r="V421" t="str">
        <f t="shared" si="6"/>
        <v>Incomplete</v>
      </c>
    </row>
    <row r="422" spans="1:22" hidden="1">
      <c r="A422" s="2">
        <v>46163</v>
      </c>
      <c r="B422" t="s">
        <v>77</v>
      </c>
      <c r="C422" t="s">
        <v>78</v>
      </c>
      <c r="V422" t="str">
        <f t="shared" si="6"/>
        <v>Incomplete</v>
      </c>
    </row>
    <row r="423" spans="1:22" hidden="1">
      <c r="A423" s="2">
        <v>46163</v>
      </c>
      <c r="B423" t="s">
        <v>77</v>
      </c>
      <c r="C423" t="s">
        <v>79</v>
      </c>
      <c r="V423" t="str">
        <f t="shared" si="6"/>
        <v>Incomplete</v>
      </c>
    </row>
    <row r="424" spans="1:22" hidden="1">
      <c r="A424" s="2">
        <v>46163</v>
      </c>
      <c r="B424" t="s">
        <v>77</v>
      </c>
      <c r="C424" t="s">
        <v>80</v>
      </c>
      <c r="V424" t="str">
        <f t="shared" si="6"/>
        <v>Incomplete</v>
      </c>
    </row>
    <row r="425" spans="1:22" hidden="1">
      <c r="A425" s="2">
        <v>46164</v>
      </c>
      <c r="B425" t="s">
        <v>81</v>
      </c>
      <c r="C425" t="s">
        <v>78</v>
      </c>
      <c r="V425" t="str">
        <f t="shared" si="6"/>
        <v>Incomplete</v>
      </c>
    </row>
    <row r="426" spans="1:22" hidden="1">
      <c r="A426" s="2">
        <v>46164</v>
      </c>
      <c r="B426" t="s">
        <v>81</v>
      </c>
      <c r="C426" t="s">
        <v>79</v>
      </c>
      <c r="V426" t="str">
        <f t="shared" si="6"/>
        <v>Incomplete</v>
      </c>
    </row>
    <row r="427" spans="1:22" hidden="1">
      <c r="A427" s="2">
        <v>46164</v>
      </c>
      <c r="B427" t="s">
        <v>81</v>
      </c>
      <c r="C427" t="s">
        <v>80</v>
      </c>
      <c r="V427" t="str">
        <f t="shared" si="6"/>
        <v>Incomplete</v>
      </c>
    </row>
    <row r="428" spans="1:22" hidden="1">
      <c r="A428" s="2">
        <v>46165</v>
      </c>
      <c r="B428" t="s">
        <v>82</v>
      </c>
      <c r="C428" t="s">
        <v>78</v>
      </c>
      <c r="V428" t="str">
        <f t="shared" si="6"/>
        <v>Incomplete</v>
      </c>
    </row>
    <row r="429" spans="1:22" hidden="1">
      <c r="A429" s="2">
        <v>46165</v>
      </c>
      <c r="B429" t="s">
        <v>82</v>
      </c>
      <c r="C429" t="s">
        <v>79</v>
      </c>
      <c r="V429" t="str">
        <f t="shared" si="6"/>
        <v>Incomplete</v>
      </c>
    </row>
    <row r="430" spans="1:22" hidden="1">
      <c r="A430" s="2">
        <v>46165</v>
      </c>
      <c r="B430" t="s">
        <v>82</v>
      </c>
      <c r="C430" t="s">
        <v>80</v>
      </c>
      <c r="V430" t="str">
        <f t="shared" si="6"/>
        <v>Incomplete</v>
      </c>
    </row>
    <row r="431" spans="1:22" hidden="1">
      <c r="A431" s="2">
        <v>46166</v>
      </c>
      <c r="B431" t="s">
        <v>83</v>
      </c>
      <c r="C431" t="s">
        <v>78</v>
      </c>
      <c r="V431" t="str">
        <f t="shared" si="6"/>
        <v>Incomplete</v>
      </c>
    </row>
    <row r="432" spans="1:22" hidden="1">
      <c r="A432" s="2">
        <v>46166</v>
      </c>
      <c r="B432" t="s">
        <v>83</v>
      </c>
      <c r="C432" t="s">
        <v>79</v>
      </c>
      <c r="V432" t="str">
        <f t="shared" si="6"/>
        <v>Incomplete</v>
      </c>
    </row>
    <row r="433" spans="1:22" hidden="1">
      <c r="A433" s="2">
        <v>46166</v>
      </c>
      <c r="B433" t="s">
        <v>83</v>
      </c>
      <c r="C433" t="s">
        <v>80</v>
      </c>
      <c r="V433" t="str">
        <f t="shared" si="6"/>
        <v>Incomplete</v>
      </c>
    </row>
    <row r="434" spans="1:22" hidden="1">
      <c r="A434" s="2">
        <v>46167</v>
      </c>
      <c r="B434" t="s">
        <v>84</v>
      </c>
      <c r="C434" t="s">
        <v>78</v>
      </c>
      <c r="V434" t="str">
        <f t="shared" si="6"/>
        <v>Incomplete</v>
      </c>
    </row>
    <row r="435" spans="1:22" hidden="1">
      <c r="A435" s="2">
        <v>46167</v>
      </c>
      <c r="B435" t="s">
        <v>84</v>
      </c>
      <c r="C435" t="s">
        <v>79</v>
      </c>
      <c r="V435" t="str">
        <f t="shared" si="6"/>
        <v>Incomplete</v>
      </c>
    </row>
    <row r="436" spans="1:22" hidden="1">
      <c r="A436" s="2">
        <v>46167</v>
      </c>
      <c r="B436" t="s">
        <v>84</v>
      </c>
      <c r="C436" t="s">
        <v>80</v>
      </c>
      <c r="V436" t="str">
        <f t="shared" si="6"/>
        <v>Incomplete</v>
      </c>
    </row>
    <row r="437" spans="1:22" hidden="1">
      <c r="A437" s="2">
        <v>46168</v>
      </c>
      <c r="B437" t="s">
        <v>85</v>
      </c>
      <c r="C437" t="s">
        <v>78</v>
      </c>
      <c r="V437" t="str">
        <f t="shared" si="6"/>
        <v>Incomplete</v>
      </c>
    </row>
    <row r="438" spans="1:22" hidden="1">
      <c r="A438" s="2">
        <v>46168</v>
      </c>
      <c r="B438" t="s">
        <v>85</v>
      </c>
      <c r="C438" t="s">
        <v>79</v>
      </c>
      <c r="V438" t="str">
        <f t="shared" si="6"/>
        <v>Incomplete</v>
      </c>
    </row>
    <row r="439" spans="1:22" hidden="1">
      <c r="A439" s="2">
        <v>46168</v>
      </c>
      <c r="B439" t="s">
        <v>85</v>
      </c>
      <c r="C439" t="s">
        <v>80</v>
      </c>
      <c r="V439" t="str">
        <f t="shared" si="6"/>
        <v>Incomplete</v>
      </c>
    </row>
    <row r="440" spans="1:22" hidden="1">
      <c r="A440" s="2">
        <v>46169</v>
      </c>
      <c r="B440" t="s">
        <v>86</v>
      </c>
      <c r="C440" t="s">
        <v>78</v>
      </c>
      <c r="V440" t="str">
        <f t="shared" si="6"/>
        <v>Incomplete</v>
      </c>
    </row>
    <row r="441" spans="1:22" hidden="1">
      <c r="A441" s="2">
        <v>46169</v>
      </c>
      <c r="B441" t="s">
        <v>86</v>
      </c>
      <c r="C441" t="s">
        <v>79</v>
      </c>
      <c r="V441" t="str">
        <f t="shared" si="6"/>
        <v>Incomplete</v>
      </c>
    </row>
    <row r="442" spans="1:22" hidden="1">
      <c r="A442" s="2">
        <v>46169</v>
      </c>
      <c r="B442" t="s">
        <v>86</v>
      </c>
      <c r="C442" t="s">
        <v>80</v>
      </c>
      <c r="V442" t="str">
        <f t="shared" si="6"/>
        <v>Incomplete</v>
      </c>
    </row>
    <row r="443" spans="1:22" hidden="1">
      <c r="A443" s="2">
        <v>46170</v>
      </c>
      <c r="B443" t="s">
        <v>77</v>
      </c>
      <c r="C443" t="s">
        <v>78</v>
      </c>
      <c r="V443" t="str">
        <f t="shared" si="6"/>
        <v>Incomplete</v>
      </c>
    </row>
    <row r="444" spans="1:22" hidden="1">
      <c r="A444" s="2">
        <v>46170</v>
      </c>
      <c r="B444" t="s">
        <v>77</v>
      </c>
      <c r="C444" t="s">
        <v>79</v>
      </c>
      <c r="V444" t="str">
        <f t="shared" si="6"/>
        <v>Incomplete</v>
      </c>
    </row>
    <row r="445" spans="1:22" hidden="1">
      <c r="A445" s="2">
        <v>46170</v>
      </c>
      <c r="B445" t="s">
        <v>77</v>
      </c>
      <c r="C445" t="s">
        <v>80</v>
      </c>
      <c r="V445" t="str">
        <f t="shared" si="6"/>
        <v>Incomplete</v>
      </c>
    </row>
    <row r="446" spans="1:22" hidden="1">
      <c r="A446" s="2">
        <v>46171</v>
      </c>
      <c r="B446" t="s">
        <v>81</v>
      </c>
      <c r="C446" t="s">
        <v>78</v>
      </c>
      <c r="V446" t="str">
        <f t="shared" si="6"/>
        <v>Incomplete</v>
      </c>
    </row>
    <row r="447" spans="1:22" hidden="1">
      <c r="A447" s="2">
        <v>46171</v>
      </c>
      <c r="B447" t="s">
        <v>81</v>
      </c>
      <c r="C447" t="s">
        <v>79</v>
      </c>
      <c r="V447" t="str">
        <f t="shared" si="6"/>
        <v>Incomplete</v>
      </c>
    </row>
    <row r="448" spans="1:22" hidden="1">
      <c r="A448" s="2">
        <v>46171</v>
      </c>
      <c r="B448" t="s">
        <v>81</v>
      </c>
      <c r="C448" t="s">
        <v>80</v>
      </c>
      <c r="V448" t="str">
        <f t="shared" si="6"/>
        <v>Incomplete</v>
      </c>
    </row>
    <row r="449" spans="1:22" hidden="1">
      <c r="A449" s="2">
        <v>46172</v>
      </c>
      <c r="B449" t="s">
        <v>82</v>
      </c>
      <c r="C449" t="s">
        <v>78</v>
      </c>
      <c r="V449" t="str">
        <f t="shared" si="6"/>
        <v>Incomplete</v>
      </c>
    </row>
    <row r="450" spans="1:22" hidden="1">
      <c r="A450" s="2">
        <v>46172</v>
      </c>
      <c r="B450" t="s">
        <v>82</v>
      </c>
      <c r="C450" t="s">
        <v>79</v>
      </c>
      <c r="V450" t="str">
        <f t="shared" ref="V450:V513" si="7">IF(AND(N450="Yes",O450="Yes",P450="Yes",Q450="Yes",R450="Yes",S450="Yes",T450="Yes",U450="Yes"),"Complete","Incomplete")</f>
        <v>Incomplete</v>
      </c>
    </row>
    <row r="451" spans="1:22" hidden="1">
      <c r="A451" s="2">
        <v>46172</v>
      </c>
      <c r="B451" t="s">
        <v>82</v>
      </c>
      <c r="C451" t="s">
        <v>80</v>
      </c>
      <c r="V451" t="str">
        <f t="shared" si="7"/>
        <v>Incomplete</v>
      </c>
    </row>
    <row r="452" spans="1:22" hidden="1">
      <c r="A452" s="2">
        <v>46173</v>
      </c>
      <c r="B452" t="s">
        <v>83</v>
      </c>
      <c r="C452" t="s">
        <v>78</v>
      </c>
      <c r="V452" t="str">
        <f t="shared" si="7"/>
        <v>Incomplete</v>
      </c>
    </row>
    <row r="453" spans="1:22" hidden="1">
      <c r="A453" s="2">
        <v>46173</v>
      </c>
      <c r="B453" t="s">
        <v>83</v>
      </c>
      <c r="C453" t="s">
        <v>79</v>
      </c>
      <c r="V453" t="str">
        <f t="shared" si="7"/>
        <v>Incomplete</v>
      </c>
    </row>
    <row r="454" spans="1:22" hidden="1">
      <c r="A454" s="2">
        <v>46173</v>
      </c>
      <c r="B454" t="s">
        <v>83</v>
      </c>
      <c r="C454" t="s">
        <v>80</v>
      </c>
      <c r="V454" t="str">
        <f t="shared" si="7"/>
        <v>Incomplete</v>
      </c>
    </row>
    <row r="455" spans="1:22" hidden="1">
      <c r="A455" s="2">
        <v>46174</v>
      </c>
      <c r="B455" t="s">
        <v>84</v>
      </c>
      <c r="C455" t="s">
        <v>78</v>
      </c>
      <c r="V455" t="str">
        <f t="shared" si="7"/>
        <v>Incomplete</v>
      </c>
    </row>
    <row r="456" spans="1:22" hidden="1">
      <c r="A456" s="2">
        <v>46174</v>
      </c>
      <c r="B456" t="s">
        <v>84</v>
      </c>
      <c r="C456" t="s">
        <v>79</v>
      </c>
      <c r="V456" t="str">
        <f t="shared" si="7"/>
        <v>Incomplete</v>
      </c>
    </row>
    <row r="457" spans="1:22" hidden="1">
      <c r="A457" s="2">
        <v>46174</v>
      </c>
      <c r="B457" t="s">
        <v>84</v>
      </c>
      <c r="C457" t="s">
        <v>80</v>
      </c>
      <c r="V457" t="str">
        <f t="shared" si="7"/>
        <v>Incomplete</v>
      </c>
    </row>
    <row r="458" spans="1:22" hidden="1">
      <c r="A458" s="2">
        <v>46175</v>
      </c>
      <c r="B458" t="s">
        <v>85</v>
      </c>
      <c r="C458" t="s">
        <v>78</v>
      </c>
      <c r="V458" t="str">
        <f t="shared" si="7"/>
        <v>Incomplete</v>
      </c>
    </row>
    <row r="459" spans="1:22" hidden="1">
      <c r="A459" s="2">
        <v>46175</v>
      </c>
      <c r="B459" t="s">
        <v>85</v>
      </c>
      <c r="C459" t="s">
        <v>79</v>
      </c>
      <c r="V459" t="str">
        <f t="shared" si="7"/>
        <v>Incomplete</v>
      </c>
    </row>
    <row r="460" spans="1:22" hidden="1">
      <c r="A460" s="2">
        <v>46175</v>
      </c>
      <c r="B460" t="s">
        <v>85</v>
      </c>
      <c r="C460" t="s">
        <v>80</v>
      </c>
      <c r="V460" t="str">
        <f t="shared" si="7"/>
        <v>Incomplete</v>
      </c>
    </row>
    <row r="461" spans="1:22" hidden="1">
      <c r="A461" s="2">
        <v>46176</v>
      </c>
      <c r="B461" t="s">
        <v>86</v>
      </c>
      <c r="C461" t="s">
        <v>78</v>
      </c>
      <c r="V461" t="str">
        <f t="shared" si="7"/>
        <v>Incomplete</v>
      </c>
    </row>
    <row r="462" spans="1:22" hidden="1">
      <c r="A462" s="2">
        <v>46176</v>
      </c>
      <c r="B462" t="s">
        <v>86</v>
      </c>
      <c r="C462" t="s">
        <v>79</v>
      </c>
      <c r="V462" t="str">
        <f t="shared" si="7"/>
        <v>Incomplete</v>
      </c>
    </row>
    <row r="463" spans="1:22" hidden="1">
      <c r="A463" s="2">
        <v>46176</v>
      </c>
      <c r="B463" t="s">
        <v>86</v>
      </c>
      <c r="C463" t="s">
        <v>80</v>
      </c>
      <c r="V463" t="str">
        <f t="shared" si="7"/>
        <v>Incomplete</v>
      </c>
    </row>
    <row r="464" spans="1:22" hidden="1">
      <c r="A464" s="2">
        <v>46177</v>
      </c>
      <c r="B464" t="s">
        <v>77</v>
      </c>
      <c r="C464" t="s">
        <v>78</v>
      </c>
      <c r="V464" t="str">
        <f t="shared" si="7"/>
        <v>Incomplete</v>
      </c>
    </row>
    <row r="465" spans="1:22" hidden="1">
      <c r="A465" s="2">
        <v>46177</v>
      </c>
      <c r="B465" t="s">
        <v>77</v>
      </c>
      <c r="C465" t="s">
        <v>79</v>
      </c>
      <c r="V465" t="str">
        <f t="shared" si="7"/>
        <v>Incomplete</v>
      </c>
    </row>
    <row r="466" spans="1:22" hidden="1">
      <c r="A466" s="2">
        <v>46177</v>
      </c>
      <c r="B466" t="s">
        <v>77</v>
      </c>
      <c r="C466" t="s">
        <v>80</v>
      </c>
      <c r="V466" t="str">
        <f t="shared" si="7"/>
        <v>Incomplete</v>
      </c>
    </row>
    <row r="467" spans="1:22" hidden="1">
      <c r="A467" s="2">
        <v>46178</v>
      </c>
      <c r="B467" t="s">
        <v>81</v>
      </c>
      <c r="C467" t="s">
        <v>78</v>
      </c>
      <c r="V467" t="str">
        <f t="shared" si="7"/>
        <v>Incomplete</v>
      </c>
    </row>
    <row r="468" spans="1:22" hidden="1">
      <c r="A468" s="2">
        <v>46178</v>
      </c>
      <c r="B468" t="s">
        <v>81</v>
      </c>
      <c r="C468" t="s">
        <v>79</v>
      </c>
      <c r="V468" t="str">
        <f t="shared" si="7"/>
        <v>Incomplete</v>
      </c>
    </row>
    <row r="469" spans="1:22" hidden="1">
      <c r="A469" s="2">
        <v>46178</v>
      </c>
      <c r="B469" t="s">
        <v>81</v>
      </c>
      <c r="C469" t="s">
        <v>80</v>
      </c>
      <c r="V469" t="str">
        <f t="shared" si="7"/>
        <v>Incomplete</v>
      </c>
    </row>
    <row r="470" spans="1:22" hidden="1">
      <c r="A470" s="2">
        <v>46179</v>
      </c>
      <c r="B470" t="s">
        <v>82</v>
      </c>
      <c r="C470" t="s">
        <v>78</v>
      </c>
      <c r="V470" t="str">
        <f t="shared" si="7"/>
        <v>Incomplete</v>
      </c>
    </row>
    <row r="471" spans="1:22" hidden="1">
      <c r="A471" s="2">
        <v>46179</v>
      </c>
      <c r="B471" t="s">
        <v>82</v>
      </c>
      <c r="C471" t="s">
        <v>79</v>
      </c>
      <c r="V471" t="str">
        <f t="shared" si="7"/>
        <v>Incomplete</v>
      </c>
    </row>
    <row r="472" spans="1:22" hidden="1">
      <c r="A472" s="2">
        <v>46179</v>
      </c>
      <c r="B472" t="s">
        <v>82</v>
      </c>
      <c r="C472" t="s">
        <v>80</v>
      </c>
      <c r="V472" t="str">
        <f t="shared" si="7"/>
        <v>Incomplete</v>
      </c>
    </row>
    <row r="473" spans="1:22" hidden="1">
      <c r="A473" s="2">
        <v>46180</v>
      </c>
      <c r="B473" t="s">
        <v>83</v>
      </c>
      <c r="C473" t="s">
        <v>78</v>
      </c>
      <c r="V473" t="str">
        <f t="shared" si="7"/>
        <v>Incomplete</v>
      </c>
    </row>
    <row r="474" spans="1:22" hidden="1">
      <c r="A474" s="2">
        <v>46180</v>
      </c>
      <c r="B474" t="s">
        <v>83</v>
      </c>
      <c r="C474" t="s">
        <v>79</v>
      </c>
      <c r="V474" t="str">
        <f t="shared" si="7"/>
        <v>Incomplete</v>
      </c>
    </row>
    <row r="475" spans="1:22" hidden="1">
      <c r="A475" s="2">
        <v>46180</v>
      </c>
      <c r="B475" t="s">
        <v>83</v>
      </c>
      <c r="C475" t="s">
        <v>80</v>
      </c>
      <c r="V475" t="str">
        <f t="shared" si="7"/>
        <v>Incomplete</v>
      </c>
    </row>
    <row r="476" spans="1:22" hidden="1">
      <c r="A476" s="2">
        <v>46181</v>
      </c>
      <c r="B476" t="s">
        <v>84</v>
      </c>
      <c r="C476" t="s">
        <v>78</v>
      </c>
      <c r="V476" t="str">
        <f t="shared" si="7"/>
        <v>Incomplete</v>
      </c>
    </row>
    <row r="477" spans="1:22" hidden="1">
      <c r="A477" s="2">
        <v>46181</v>
      </c>
      <c r="B477" t="s">
        <v>84</v>
      </c>
      <c r="C477" t="s">
        <v>79</v>
      </c>
      <c r="V477" t="str">
        <f t="shared" si="7"/>
        <v>Incomplete</v>
      </c>
    </row>
    <row r="478" spans="1:22" hidden="1">
      <c r="A478" s="2">
        <v>46181</v>
      </c>
      <c r="B478" t="s">
        <v>84</v>
      </c>
      <c r="C478" t="s">
        <v>80</v>
      </c>
      <c r="V478" t="str">
        <f t="shared" si="7"/>
        <v>Incomplete</v>
      </c>
    </row>
    <row r="479" spans="1:22" hidden="1">
      <c r="A479" s="2">
        <v>46182</v>
      </c>
      <c r="B479" t="s">
        <v>85</v>
      </c>
      <c r="C479" t="s">
        <v>78</v>
      </c>
      <c r="V479" t="str">
        <f t="shared" si="7"/>
        <v>Incomplete</v>
      </c>
    </row>
    <row r="480" spans="1:22" hidden="1">
      <c r="A480" s="2">
        <v>46182</v>
      </c>
      <c r="B480" t="s">
        <v>85</v>
      </c>
      <c r="C480" t="s">
        <v>79</v>
      </c>
      <c r="V480" t="str">
        <f t="shared" si="7"/>
        <v>Incomplete</v>
      </c>
    </row>
    <row r="481" spans="1:22" hidden="1">
      <c r="A481" s="2">
        <v>46182</v>
      </c>
      <c r="B481" t="s">
        <v>85</v>
      </c>
      <c r="C481" t="s">
        <v>80</v>
      </c>
      <c r="V481" t="str">
        <f t="shared" si="7"/>
        <v>Incomplete</v>
      </c>
    </row>
    <row r="482" spans="1:22" hidden="1">
      <c r="A482" s="2">
        <v>46183</v>
      </c>
      <c r="B482" t="s">
        <v>86</v>
      </c>
      <c r="C482" t="s">
        <v>78</v>
      </c>
      <c r="V482" t="str">
        <f t="shared" si="7"/>
        <v>Incomplete</v>
      </c>
    </row>
    <row r="483" spans="1:22" hidden="1">
      <c r="A483" s="2">
        <v>46183</v>
      </c>
      <c r="B483" t="s">
        <v>86</v>
      </c>
      <c r="C483" t="s">
        <v>79</v>
      </c>
      <c r="V483" t="str">
        <f t="shared" si="7"/>
        <v>Incomplete</v>
      </c>
    </row>
    <row r="484" spans="1:22" hidden="1">
      <c r="A484" s="2">
        <v>46183</v>
      </c>
      <c r="B484" t="s">
        <v>86</v>
      </c>
      <c r="C484" t="s">
        <v>80</v>
      </c>
      <c r="V484" t="str">
        <f t="shared" si="7"/>
        <v>Incomplete</v>
      </c>
    </row>
    <row r="485" spans="1:22" hidden="1">
      <c r="A485" s="2">
        <v>46184</v>
      </c>
      <c r="B485" t="s">
        <v>77</v>
      </c>
      <c r="C485" t="s">
        <v>78</v>
      </c>
      <c r="V485" t="str">
        <f t="shared" si="7"/>
        <v>Incomplete</v>
      </c>
    </row>
    <row r="486" spans="1:22" hidden="1">
      <c r="A486" s="2">
        <v>46184</v>
      </c>
      <c r="B486" t="s">
        <v>77</v>
      </c>
      <c r="C486" t="s">
        <v>79</v>
      </c>
      <c r="V486" t="str">
        <f t="shared" si="7"/>
        <v>Incomplete</v>
      </c>
    </row>
    <row r="487" spans="1:22" hidden="1">
      <c r="A487" s="2">
        <v>46184</v>
      </c>
      <c r="B487" t="s">
        <v>77</v>
      </c>
      <c r="C487" t="s">
        <v>80</v>
      </c>
      <c r="V487" t="str">
        <f t="shared" si="7"/>
        <v>Incomplete</v>
      </c>
    </row>
    <row r="488" spans="1:22" hidden="1">
      <c r="A488" s="2">
        <v>46185</v>
      </c>
      <c r="B488" t="s">
        <v>81</v>
      </c>
      <c r="C488" t="s">
        <v>78</v>
      </c>
      <c r="V488" t="str">
        <f t="shared" si="7"/>
        <v>Incomplete</v>
      </c>
    </row>
    <row r="489" spans="1:22" hidden="1">
      <c r="A489" s="2">
        <v>46185</v>
      </c>
      <c r="B489" t="s">
        <v>81</v>
      </c>
      <c r="C489" t="s">
        <v>79</v>
      </c>
      <c r="V489" t="str">
        <f t="shared" si="7"/>
        <v>Incomplete</v>
      </c>
    </row>
    <row r="490" spans="1:22" hidden="1">
      <c r="A490" s="2">
        <v>46185</v>
      </c>
      <c r="B490" t="s">
        <v>81</v>
      </c>
      <c r="C490" t="s">
        <v>80</v>
      </c>
      <c r="V490" t="str">
        <f t="shared" si="7"/>
        <v>Incomplete</v>
      </c>
    </row>
    <row r="491" spans="1:22" hidden="1">
      <c r="A491" s="2">
        <v>46186</v>
      </c>
      <c r="B491" t="s">
        <v>82</v>
      </c>
      <c r="C491" t="s">
        <v>78</v>
      </c>
      <c r="V491" t="str">
        <f t="shared" si="7"/>
        <v>Incomplete</v>
      </c>
    </row>
    <row r="492" spans="1:22" hidden="1">
      <c r="A492" s="2">
        <v>46186</v>
      </c>
      <c r="B492" t="s">
        <v>82</v>
      </c>
      <c r="C492" t="s">
        <v>79</v>
      </c>
      <c r="V492" t="str">
        <f t="shared" si="7"/>
        <v>Incomplete</v>
      </c>
    </row>
    <row r="493" spans="1:22" hidden="1">
      <c r="A493" s="2">
        <v>46186</v>
      </c>
      <c r="B493" t="s">
        <v>82</v>
      </c>
      <c r="C493" t="s">
        <v>80</v>
      </c>
      <c r="V493" t="str">
        <f t="shared" si="7"/>
        <v>Incomplete</v>
      </c>
    </row>
    <row r="494" spans="1:22" hidden="1">
      <c r="A494" s="2">
        <v>46187</v>
      </c>
      <c r="B494" t="s">
        <v>83</v>
      </c>
      <c r="C494" t="s">
        <v>78</v>
      </c>
      <c r="V494" t="str">
        <f t="shared" si="7"/>
        <v>Incomplete</v>
      </c>
    </row>
    <row r="495" spans="1:22" hidden="1">
      <c r="A495" s="2">
        <v>46187</v>
      </c>
      <c r="B495" t="s">
        <v>83</v>
      </c>
      <c r="C495" t="s">
        <v>79</v>
      </c>
      <c r="V495" t="str">
        <f t="shared" si="7"/>
        <v>Incomplete</v>
      </c>
    </row>
    <row r="496" spans="1:22" hidden="1">
      <c r="A496" s="2">
        <v>46187</v>
      </c>
      <c r="B496" t="s">
        <v>83</v>
      </c>
      <c r="C496" t="s">
        <v>80</v>
      </c>
      <c r="V496" t="str">
        <f t="shared" si="7"/>
        <v>Incomplete</v>
      </c>
    </row>
    <row r="497" spans="1:22" hidden="1">
      <c r="A497" s="2">
        <v>46188</v>
      </c>
      <c r="B497" t="s">
        <v>84</v>
      </c>
      <c r="C497" t="s">
        <v>78</v>
      </c>
      <c r="V497" t="str">
        <f t="shared" si="7"/>
        <v>Incomplete</v>
      </c>
    </row>
    <row r="498" spans="1:22" hidden="1">
      <c r="A498" s="2">
        <v>46188</v>
      </c>
      <c r="B498" t="s">
        <v>84</v>
      </c>
      <c r="C498" t="s">
        <v>79</v>
      </c>
      <c r="V498" t="str">
        <f t="shared" si="7"/>
        <v>Incomplete</v>
      </c>
    </row>
    <row r="499" spans="1:22" hidden="1">
      <c r="A499" s="2">
        <v>46188</v>
      </c>
      <c r="B499" t="s">
        <v>84</v>
      </c>
      <c r="C499" t="s">
        <v>80</v>
      </c>
      <c r="V499" t="str">
        <f t="shared" si="7"/>
        <v>Incomplete</v>
      </c>
    </row>
    <row r="500" spans="1:22" hidden="1">
      <c r="A500" s="2">
        <v>46189</v>
      </c>
      <c r="B500" t="s">
        <v>85</v>
      </c>
      <c r="C500" t="s">
        <v>78</v>
      </c>
      <c r="V500" t="str">
        <f t="shared" si="7"/>
        <v>Incomplete</v>
      </c>
    </row>
    <row r="501" spans="1:22" hidden="1">
      <c r="A501" s="2">
        <v>46189</v>
      </c>
      <c r="B501" t="s">
        <v>85</v>
      </c>
      <c r="C501" t="s">
        <v>79</v>
      </c>
      <c r="V501" t="str">
        <f t="shared" si="7"/>
        <v>Incomplete</v>
      </c>
    </row>
    <row r="502" spans="1:22" hidden="1">
      <c r="A502" s="2">
        <v>46189</v>
      </c>
      <c r="B502" t="s">
        <v>85</v>
      </c>
      <c r="C502" t="s">
        <v>80</v>
      </c>
      <c r="V502" t="str">
        <f t="shared" si="7"/>
        <v>Incomplete</v>
      </c>
    </row>
    <row r="503" spans="1:22" hidden="1">
      <c r="A503" s="2">
        <v>46190</v>
      </c>
      <c r="B503" t="s">
        <v>86</v>
      </c>
      <c r="C503" t="s">
        <v>78</v>
      </c>
      <c r="V503" t="str">
        <f t="shared" si="7"/>
        <v>Incomplete</v>
      </c>
    </row>
    <row r="504" spans="1:22" hidden="1">
      <c r="A504" s="2">
        <v>46190</v>
      </c>
      <c r="B504" t="s">
        <v>86</v>
      </c>
      <c r="C504" t="s">
        <v>79</v>
      </c>
      <c r="V504" t="str">
        <f t="shared" si="7"/>
        <v>Incomplete</v>
      </c>
    </row>
    <row r="505" spans="1:22" hidden="1">
      <c r="A505" s="2">
        <v>46190</v>
      </c>
      <c r="B505" t="s">
        <v>86</v>
      </c>
      <c r="C505" t="s">
        <v>80</v>
      </c>
      <c r="V505" t="str">
        <f t="shared" si="7"/>
        <v>Incomplete</v>
      </c>
    </row>
    <row r="506" spans="1:22" hidden="1">
      <c r="A506" s="2">
        <v>46191</v>
      </c>
      <c r="B506" t="s">
        <v>77</v>
      </c>
      <c r="C506" t="s">
        <v>78</v>
      </c>
      <c r="V506" t="str">
        <f t="shared" si="7"/>
        <v>Incomplete</v>
      </c>
    </row>
    <row r="507" spans="1:22" hidden="1">
      <c r="A507" s="2">
        <v>46191</v>
      </c>
      <c r="B507" t="s">
        <v>77</v>
      </c>
      <c r="C507" t="s">
        <v>79</v>
      </c>
      <c r="V507" t="str">
        <f t="shared" si="7"/>
        <v>Incomplete</v>
      </c>
    </row>
    <row r="508" spans="1:22" hidden="1">
      <c r="A508" s="2">
        <v>46191</v>
      </c>
      <c r="B508" t="s">
        <v>77</v>
      </c>
      <c r="C508" t="s">
        <v>80</v>
      </c>
      <c r="V508" t="str">
        <f t="shared" si="7"/>
        <v>Incomplete</v>
      </c>
    </row>
    <row r="509" spans="1:22" hidden="1">
      <c r="A509" s="2">
        <v>46192</v>
      </c>
      <c r="B509" t="s">
        <v>81</v>
      </c>
      <c r="C509" t="s">
        <v>78</v>
      </c>
      <c r="V509" t="str">
        <f t="shared" si="7"/>
        <v>Incomplete</v>
      </c>
    </row>
    <row r="510" spans="1:22" hidden="1">
      <c r="A510" s="2">
        <v>46192</v>
      </c>
      <c r="B510" t="s">
        <v>81</v>
      </c>
      <c r="C510" t="s">
        <v>79</v>
      </c>
      <c r="V510" t="str">
        <f t="shared" si="7"/>
        <v>Incomplete</v>
      </c>
    </row>
    <row r="511" spans="1:22" hidden="1">
      <c r="A511" s="2">
        <v>46192</v>
      </c>
      <c r="B511" t="s">
        <v>81</v>
      </c>
      <c r="C511" t="s">
        <v>80</v>
      </c>
      <c r="V511" t="str">
        <f t="shared" si="7"/>
        <v>Incomplete</v>
      </c>
    </row>
    <row r="512" spans="1:22" hidden="1">
      <c r="A512" s="2">
        <v>46193</v>
      </c>
      <c r="B512" t="s">
        <v>82</v>
      </c>
      <c r="C512" t="s">
        <v>78</v>
      </c>
      <c r="V512" t="str">
        <f t="shared" si="7"/>
        <v>Incomplete</v>
      </c>
    </row>
    <row r="513" spans="1:22" hidden="1">
      <c r="A513" s="2">
        <v>46193</v>
      </c>
      <c r="B513" t="s">
        <v>82</v>
      </c>
      <c r="C513" t="s">
        <v>79</v>
      </c>
      <c r="V513" t="str">
        <f t="shared" si="7"/>
        <v>Incomplete</v>
      </c>
    </row>
    <row r="514" spans="1:22" hidden="1">
      <c r="A514" s="2">
        <v>46193</v>
      </c>
      <c r="B514" t="s">
        <v>82</v>
      </c>
      <c r="C514" t="s">
        <v>80</v>
      </c>
      <c r="V514" t="str">
        <f t="shared" ref="V514:V577" si="8">IF(AND(N514="Yes",O514="Yes",P514="Yes",Q514="Yes",R514="Yes",S514="Yes",T514="Yes",U514="Yes"),"Complete","Incomplete")</f>
        <v>Incomplete</v>
      </c>
    </row>
    <row r="515" spans="1:22" hidden="1">
      <c r="A515" s="2">
        <v>46194</v>
      </c>
      <c r="B515" t="s">
        <v>83</v>
      </c>
      <c r="C515" t="s">
        <v>78</v>
      </c>
      <c r="V515" t="str">
        <f t="shared" si="8"/>
        <v>Incomplete</v>
      </c>
    </row>
    <row r="516" spans="1:22" hidden="1">
      <c r="A516" s="2">
        <v>46194</v>
      </c>
      <c r="B516" t="s">
        <v>83</v>
      </c>
      <c r="C516" t="s">
        <v>79</v>
      </c>
      <c r="V516" t="str">
        <f t="shared" si="8"/>
        <v>Incomplete</v>
      </c>
    </row>
    <row r="517" spans="1:22" hidden="1">
      <c r="A517" s="2">
        <v>46194</v>
      </c>
      <c r="B517" t="s">
        <v>83</v>
      </c>
      <c r="C517" t="s">
        <v>80</v>
      </c>
      <c r="V517" t="str">
        <f t="shared" si="8"/>
        <v>Incomplete</v>
      </c>
    </row>
    <row r="518" spans="1:22" hidden="1">
      <c r="A518" s="2">
        <v>46195</v>
      </c>
      <c r="B518" t="s">
        <v>84</v>
      </c>
      <c r="C518" t="s">
        <v>78</v>
      </c>
      <c r="V518" t="str">
        <f t="shared" si="8"/>
        <v>Incomplete</v>
      </c>
    </row>
    <row r="519" spans="1:22" hidden="1">
      <c r="A519" s="2">
        <v>46195</v>
      </c>
      <c r="B519" t="s">
        <v>84</v>
      </c>
      <c r="C519" t="s">
        <v>79</v>
      </c>
      <c r="V519" t="str">
        <f t="shared" si="8"/>
        <v>Incomplete</v>
      </c>
    </row>
    <row r="520" spans="1:22" hidden="1">
      <c r="A520" s="2">
        <v>46195</v>
      </c>
      <c r="B520" t="s">
        <v>84</v>
      </c>
      <c r="C520" t="s">
        <v>80</v>
      </c>
      <c r="V520" t="str">
        <f t="shared" si="8"/>
        <v>Incomplete</v>
      </c>
    </row>
    <row r="521" spans="1:22" hidden="1">
      <c r="A521" s="2">
        <v>46196</v>
      </c>
      <c r="B521" t="s">
        <v>85</v>
      </c>
      <c r="C521" t="s">
        <v>78</v>
      </c>
      <c r="V521" t="str">
        <f t="shared" si="8"/>
        <v>Incomplete</v>
      </c>
    </row>
    <row r="522" spans="1:22" hidden="1">
      <c r="A522" s="2">
        <v>46196</v>
      </c>
      <c r="B522" t="s">
        <v>85</v>
      </c>
      <c r="C522" t="s">
        <v>79</v>
      </c>
      <c r="V522" t="str">
        <f t="shared" si="8"/>
        <v>Incomplete</v>
      </c>
    </row>
    <row r="523" spans="1:22" hidden="1">
      <c r="A523" s="2">
        <v>46196</v>
      </c>
      <c r="B523" t="s">
        <v>85</v>
      </c>
      <c r="C523" t="s">
        <v>80</v>
      </c>
      <c r="V523" t="str">
        <f t="shared" si="8"/>
        <v>Incomplete</v>
      </c>
    </row>
    <row r="524" spans="1:22" hidden="1">
      <c r="A524" s="2">
        <v>46197</v>
      </c>
      <c r="B524" t="s">
        <v>86</v>
      </c>
      <c r="C524" t="s">
        <v>78</v>
      </c>
      <c r="V524" t="str">
        <f t="shared" si="8"/>
        <v>Incomplete</v>
      </c>
    </row>
    <row r="525" spans="1:22" hidden="1">
      <c r="A525" s="2">
        <v>46197</v>
      </c>
      <c r="B525" t="s">
        <v>86</v>
      </c>
      <c r="C525" t="s">
        <v>79</v>
      </c>
      <c r="V525" t="str">
        <f t="shared" si="8"/>
        <v>Incomplete</v>
      </c>
    </row>
    <row r="526" spans="1:22" hidden="1">
      <c r="A526" s="2">
        <v>46197</v>
      </c>
      <c r="B526" t="s">
        <v>86</v>
      </c>
      <c r="C526" t="s">
        <v>80</v>
      </c>
      <c r="V526" t="str">
        <f t="shared" si="8"/>
        <v>Incomplete</v>
      </c>
    </row>
    <row r="527" spans="1:22" hidden="1">
      <c r="A527" s="2">
        <v>46198</v>
      </c>
      <c r="B527" t="s">
        <v>77</v>
      </c>
      <c r="C527" t="s">
        <v>78</v>
      </c>
      <c r="V527" t="str">
        <f t="shared" si="8"/>
        <v>Incomplete</v>
      </c>
    </row>
    <row r="528" spans="1:22" hidden="1">
      <c r="A528" s="2">
        <v>46198</v>
      </c>
      <c r="B528" t="s">
        <v>77</v>
      </c>
      <c r="C528" t="s">
        <v>79</v>
      </c>
      <c r="V528" t="str">
        <f t="shared" si="8"/>
        <v>Incomplete</v>
      </c>
    </row>
    <row r="529" spans="1:22" hidden="1">
      <c r="A529" s="2">
        <v>46198</v>
      </c>
      <c r="B529" t="s">
        <v>77</v>
      </c>
      <c r="C529" t="s">
        <v>80</v>
      </c>
      <c r="V529" t="str">
        <f t="shared" si="8"/>
        <v>Incomplete</v>
      </c>
    </row>
    <row r="530" spans="1:22" hidden="1">
      <c r="A530" s="2">
        <v>46199</v>
      </c>
      <c r="B530" t="s">
        <v>81</v>
      </c>
      <c r="C530" t="s">
        <v>78</v>
      </c>
      <c r="V530" t="str">
        <f t="shared" si="8"/>
        <v>Incomplete</v>
      </c>
    </row>
    <row r="531" spans="1:22" hidden="1">
      <c r="A531" s="2">
        <v>46199</v>
      </c>
      <c r="B531" t="s">
        <v>81</v>
      </c>
      <c r="C531" t="s">
        <v>79</v>
      </c>
      <c r="V531" t="str">
        <f t="shared" si="8"/>
        <v>Incomplete</v>
      </c>
    </row>
    <row r="532" spans="1:22" hidden="1">
      <c r="A532" s="2">
        <v>46199</v>
      </c>
      <c r="B532" t="s">
        <v>81</v>
      </c>
      <c r="C532" t="s">
        <v>80</v>
      </c>
      <c r="V532" t="str">
        <f t="shared" si="8"/>
        <v>Incomplete</v>
      </c>
    </row>
    <row r="533" spans="1:22" hidden="1">
      <c r="A533" s="2">
        <v>46200</v>
      </c>
      <c r="B533" t="s">
        <v>82</v>
      </c>
      <c r="C533" t="s">
        <v>78</v>
      </c>
      <c r="V533" t="str">
        <f t="shared" si="8"/>
        <v>Incomplete</v>
      </c>
    </row>
    <row r="534" spans="1:22" hidden="1">
      <c r="A534" s="2">
        <v>46200</v>
      </c>
      <c r="B534" t="s">
        <v>82</v>
      </c>
      <c r="C534" t="s">
        <v>79</v>
      </c>
      <c r="V534" t="str">
        <f t="shared" si="8"/>
        <v>Incomplete</v>
      </c>
    </row>
    <row r="535" spans="1:22" hidden="1">
      <c r="A535" s="2">
        <v>46200</v>
      </c>
      <c r="B535" t="s">
        <v>82</v>
      </c>
      <c r="C535" t="s">
        <v>80</v>
      </c>
      <c r="V535" t="str">
        <f t="shared" si="8"/>
        <v>Incomplete</v>
      </c>
    </row>
    <row r="536" spans="1:22" hidden="1">
      <c r="A536" s="2">
        <v>46201</v>
      </c>
      <c r="B536" t="s">
        <v>83</v>
      </c>
      <c r="C536" t="s">
        <v>78</v>
      </c>
      <c r="V536" t="str">
        <f t="shared" si="8"/>
        <v>Incomplete</v>
      </c>
    </row>
    <row r="537" spans="1:22" hidden="1">
      <c r="A537" s="2">
        <v>46201</v>
      </c>
      <c r="B537" t="s">
        <v>83</v>
      </c>
      <c r="C537" t="s">
        <v>79</v>
      </c>
      <c r="V537" t="str">
        <f t="shared" si="8"/>
        <v>Incomplete</v>
      </c>
    </row>
    <row r="538" spans="1:22" hidden="1">
      <c r="A538" s="2">
        <v>46201</v>
      </c>
      <c r="B538" t="s">
        <v>83</v>
      </c>
      <c r="C538" t="s">
        <v>80</v>
      </c>
      <c r="V538" t="str">
        <f t="shared" si="8"/>
        <v>Incomplete</v>
      </c>
    </row>
    <row r="539" spans="1:22" hidden="1">
      <c r="A539" s="2">
        <v>46202</v>
      </c>
      <c r="B539" t="s">
        <v>84</v>
      </c>
      <c r="C539" t="s">
        <v>78</v>
      </c>
      <c r="V539" t="str">
        <f t="shared" si="8"/>
        <v>Incomplete</v>
      </c>
    </row>
    <row r="540" spans="1:22" hidden="1">
      <c r="A540" s="2">
        <v>46202</v>
      </c>
      <c r="B540" t="s">
        <v>84</v>
      </c>
      <c r="C540" t="s">
        <v>79</v>
      </c>
      <c r="V540" t="str">
        <f t="shared" si="8"/>
        <v>Incomplete</v>
      </c>
    </row>
    <row r="541" spans="1:22" hidden="1">
      <c r="A541" s="2">
        <v>46202</v>
      </c>
      <c r="B541" t="s">
        <v>84</v>
      </c>
      <c r="C541" t="s">
        <v>80</v>
      </c>
      <c r="V541" t="str">
        <f t="shared" si="8"/>
        <v>Incomplete</v>
      </c>
    </row>
    <row r="542" spans="1:22" hidden="1">
      <c r="A542" s="2">
        <v>46203</v>
      </c>
      <c r="B542" t="s">
        <v>85</v>
      </c>
      <c r="C542" t="s">
        <v>78</v>
      </c>
      <c r="V542" t="str">
        <f t="shared" si="8"/>
        <v>Incomplete</v>
      </c>
    </row>
    <row r="543" spans="1:22" hidden="1">
      <c r="A543" s="2">
        <v>46203</v>
      </c>
      <c r="B543" t="s">
        <v>85</v>
      </c>
      <c r="C543" t="s">
        <v>79</v>
      </c>
      <c r="V543" t="str">
        <f t="shared" si="8"/>
        <v>Incomplete</v>
      </c>
    </row>
    <row r="544" spans="1:22" hidden="1">
      <c r="A544" s="2">
        <v>46203</v>
      </c>
      <c r="B544" t="s">
        <v>85</v>
      </c>
      <c r="C544" t="s">
        <v>80</v>
      </c>
      <c r="V544" t="str">
        <f t="shared" si="8"/>
        <v>Incomplete</v>
      </c>
    </row>
    <row r="545" spans="1:22" hidden="1">
      <c r="A545" s="2">
        <v>46204</v>
      </c>
      <c r="B545" t="s">
        <v>86</v>
      </c>
      <c r="C545" t="s">
        <v>78</v>
      </c>
      <c r="V545" t="str">
        <f t="shared" si="8"/>
        <v>Incomplete</v>
      </c>
    </row>
    <row r="546" spans="1:22" hidden="1">
      <c r="A546" s="2">
        <v>46204</v>
      </c>
      <c r="B546" t="s">
        <v>86</v>
      </c>
      <c r="C546" t="s">
        <v>79</v>
      </c>
      <c r="V546" t="str">
        <f t="shared" si="8"/>
        <v>Incomplete</v>
      </c>
    </row>
    <row r="547" spans="1:22" hidden="1">
      <c r="A547" s="2">
        <v>46204</v>
      </c>
      <c r="B547" t="s">
        <v>86</v>
      </c>
      <c r="C547" t="s">
        <v>80</v>
      </c>
      <c r="V547" t="str">
        <f t="shared" si="8"/>
        <v>Incomplete</v>
      </c>
    </row>
    <row r="548" spans="1:22" hidden="1">
      <c r="A548" s="2">
        <v>46205</v>
      </c>
      <c r="B548" t="s">
        <v>77</v>
      </c>
      <c r="C548" t="s">
        <v>78</v>
      </c>
      <c r="V548" t="str">
        <f t="shared" si="8"/>
        <v>Incomplete</v>
      </c>
    </row>
    <row r="549" spans="1:22" hidden="1">
      <c r="A549" s="2">
        <v>46205</v>
      </c>
      <c r="B549" t="s">
        <v>77</v>
      </c>
      <c r="C549" t="s">
        <v>79</v>
      </c>
      <c r="V549" t="str">
        <f t="shared" si="8"/>
        <v>Incomplete</v>
      </c>
    </row>
    <row r="550" spans="1:22" hidden="1">
      <c r="A550" s="2">
        <v>46205</v>
      </c>
      <c r="B550" t="s">
        <v>77</v>
      </c>
      <c r="C550" t="s">
        <v>80</v>
      </c>
      <c r="V550" t="str">
        <f t="shared" si="8"/>
        <v>Incomplete</v>
      </c>
    </row>
    <row r="551" spans="1:22" hidden="1">
      <c r="A551" s="2">
        <v>46206</v>
      </c>
      <c r="B551" t="s">
        <v>81</v>
      </c>
      <c r="C551" t="s">
        <v>78</v>
      </c>
      <c r="V551" t="str">
        <f t="shared" si="8"/>
        <v>Incomplete</v>
      </c>
    </row>
    <row r="552" spans="1:22" hidden="1">
      <c r="A552" s="2">
        <v>46206</v>
      </c>
      <c r="B552" t="s">
        <v>81</v>
      </c>
      <c r="C552" t="s">
        <v>79</v>
      </c>
      <c r="V552" t="str">
        <f t="shared" si="8"/>
        <v>Incomplete</v>
      </c>
    </row>
    <row r="553" spans="1:22" hidden="1">
      <c r="A553" s="2">
        <v>46206</v>
      </c>
      <c r="B553" t="s">
        <v>81</v>
      </c>
      <c r="C553" t="s">
        <v>80</v>
      </c>
      <c r="V553" t="str">
        <f t="shared" si="8"/>
        <v>Incomplete</v>
      </c>
    </row>
    <row r="554" spans="1:22" hidden="1">
      <c r="A554" s="2">
        <v>46207</v>
      </c>
      <c r="B554" t="s">
        <v>82</v>
      </c>
      <c r="C554" t="s">
        <v>78</v>
      </c>
      <c r="V554" t="str">
        <f t="shared" si="8"/>
        <v>Incomplete</v>
      </c>
    </row>
    <row r="555" spans="1:22" hidden="1">
      <c r="A555" s="2">
        <v>46207</v>
      </c>
      <c r="B555" t="s">
        <v>82</v>
      </c>
      <c r="C555" t="s">
        <v>79</v>
      </c>
      <c r="V555" t="str">
        <f t="shared" si="8"/>
        <v>Incomplete</v>
      </c>
    </row>
    <row r="556" spans="1:22" hidden="1">
      <c r="A556" s="2">
        <v>46207</v>
      </c>
      <c r="B556" t="s">
        <v>82</v>
      </c>
      <c r="C556" t="s">
        <v>80</v>
      </c>
      <c r="V556" t="str">
        <f t="shared" si="8"/>
        <v>Incomplete</v>
      </c>
    </row>
    <row r="557" spans="1:22" hidden="1">
      <c r="A557" s="2">
        <v>46208</v>
      </c>
      <c r="B557" t="s">
        <v>83</v>
      </c>
      <c r="C557" t="s">
        <v>78</v>
      </c>
      <c r="V557" t="str">
        <f t="shared" si="8"/>
        <v>Incomplete</v>
      </c>
    </row>
    <row r="558" spans="1:22" hidden="1">
      <c r="A558" s="2">
        <v>46208</v>
      </c>
      <c r="B558" t="s">
        <v>83</v>
      </c>
      <c r="C558" t="s">
        <v>79</v>
      </c>
      <c r="V558" t="str">
        <f t="shared" si="8"/>
        <v>Incomplete</v>
      </c>
    </row>
    <row r="559" spans="1:22" hidden="1">
      <c r="A559" s="2">
        <v>46208</v>
      </c>
      <c r="B559" t="s">
        <v>83</v>
      </c>
      <c r="C559" t="s">
        <v>80</v>
      </c>
      <c r="V559" t="str">
        <f t="shared" si="8"/>
        <v>Incomplete</v>
      </c>
    </row>
    <row r="560" spans="1:22" hidden="1">
      <c r="A560" s="2">
        <v>46209</v>
      </c>
      <c r="B560" t="s">
        <v>84</v>
      </c>
      <c r="C560" t="s">
        <v>78</v>
      </c>
      <c r="V560" t="str">
        <f t="shared" si="8"/>
        <v>Incomplete</v>
      </c>
    </row>
    <row r="561" spans="1:22" hidden="1">
      <c r="A561" s="2">
        <v>46209</v>
      </c>
      <c r="B561" t="s">
        <v>84</v>
      </c>
      <c r="C561" t="s">
        <v>79</v>
      </c>
      <c r="V561" t="str">
        <f t="shared" si="8"/>
        <v>Incomplete</v>
      </c>
    </row>
    <row r="562" spans="1:22" hidden="1">
      <c r="A562" s="2">
        <v>46209</v>
      </c>
      <c r="B562" t="s">
        <v>84</v>
      </c>
      <c r="C562" t="s">
        <v>80</v>
      </c>
      <c r="V562" t="str">
        <f t="shared" si="8"/>
        <v>Incomplete</v>
      </c>
    </row>
    <row r="563" spans="1:22" hidden="1">
      <c r="A563" s="2">
        <v>46210</v>
      </c>
      <c r="B563" t="s">
        <v>85</v>
      </c>
      <c r="C563" t="s">
        <v>78</v>
      </c>
      <c r="V563" t="str">
        <f t="shared" si="8"/>
        <v>Incomplete</v>
      </c>
    </row>
    <row r="564" spans="1:22" hidden="1">
      <c r="A564" s="2">
        <v>46210</v>
      </c>
      <c r="B564" t="s">
        <v>85</v>
      </c>
      <c r="C564" t="s">
        <v>79</v>
      </c>
      <c r="V564" t="str">
        <f t="shared" si="8"/>
        <v>Incomplete</v>
      </c>
    </row>
    <row r="565" spans="1:22" hidden="1">
      <c r="A565" s="2">
        <v>46210</v>
      </c>
      <c r="B565" t="s">
        <v>85</v>
      </c>
      <c r="C565" t="s">
        <v>80</v>
      </c>
      <c r="V565" t="str">
        <f t="shared" si="8"/>
        <v>Incomplete</v>
      </c>
    </row>
    <row r="566" spans="1:22" hidden="1">
      <c r="A566" s="2">
        <v>46211</v>
      </c>
      <c r="B566" t="s">
        <v>86</v>
      </c>
      <c r="C566" t="s">
        <v>78</v>
      </c>
      <c r="V566" t="str">
        <f t="shared" si="8"/>
        <v>Incomplete</v>
      </c>
    </row>
    <row r="567" spans="1:22" hidden="1">
      <c r="A567" s="2">
        <v>46211</v>
      </c>
      <c r="B567" t="s">
        <v>86</v>
      </c>
      <c r="C567" t="s">
        <v>79</v>
      </c>
      <c r="V567" t="str">
        <f t="shared" si="8"/>
        <v>Incomplete</v>
      </c>
    </row>
    <row r="568" spans="1:22" hidden="1">
      <c r="A568" s="2">
        <v>46211</v>
      </c>
      <c r="B568" t="s">
        <v>86</v>
      </c>
      <c r="C568" t="s">
        <v>80</v>
      </c>
      <c r="V568" t="str">
        <f t="shared" si="8"/>
        <v>Incomplete</v>
      </c>
    </row>
    <row r="569" spans="1:22" hidden="1">
      <c r="A569" s="2">
        <v>46212</v>
      </c>
      <c r="B569" t="s">
        <v>77</v>
      </c>
      <c r="C569" t="s">
        <v>78</v>
      </c>
      <c r="V569" t="str">
        <f t="shared" si="8"/>
        <v>Incomplete</v>
      </c>
    </row>
    <row r="570" spans="1:22" hidden="1">
      <c r="A570" s="2">
        <v>46212</v>
      </c>
      <c r="B570" t="s">
        <v>77</v>
      </c>
      <c r="C570" t="s">
        <v>79</v>
      </c>
      <c r="V570" t="str">
        <f t="shared" si="8"/>
        <v>Incomplete</v>
      </c>
    </row>
    <row r="571" spans="1:22" hidden="1">
      <c r="A571" s="2">
        <v>46212</v>
      </c>
      <c r="B571" t="s">
        <v>77</v>
      </c>
      <c r="C571" t="s">
        <v>80</v>
      </c>
      <c r="V571" t="str">
        <f t="shared" si="8"/>
        <v>Incomplete</v>
      </c>
    </row>
    <row r="572" spans="1:22" hidden="1">
      <c r="A572" s="2">
        <v>46213</v>
      </c>
      <c r="B572" t="s">
        <v>81</v>
      </c>
      <c r="C572" t="s">
        <v>78</v>
      </c>
      <c r="V572" t="str">
        <f t="shared" si="8"/>
        <v>Incomplete</v>
      </c>
    </row>
    <row r="573" spans="1:22" hidden="1">
      <c r="A573" s="2">
        <v>46213</v>
      </c>
      <c r="B573" t="s">
        <v>81</v>
      </c>
      <c r="C573" t="s">
        <v>79</v>
      </c>
      <c r="V573" t="str">
        <f t="shared" si="8"/>
        <v>Incomplete</v>
      </c>
    </row>
    <row r="574" spans="1:22" hidden="1">
      <c r="A574" s="2">
        <v>46213</v>
      </c>
      <c r="B574" t="s">
        <v>81</v>
      </c>
      <c r="C574" t="s">
        <v>80</v>
      </c>
      <c r="V574" t="str">
        <f t="shared" si="8"/>
        <v>Incomplete</v>
      </c>
    </row>
    <row r="575" spans="1:22" hidden="1">
      <c r="A575" s="2">
        <v>46214</v>
      </c>
      <c r="B575" t="s">
        <v>82</v>
      </c>
      <c r="C575" t="s">
        <v>78</v>
      </c>
      <c r="V575" t="str">
        <f t="shared" si="8"/>
        <v>Incomplete</v>
      </c>
    </row>
    <row r="576" spans="1:22" hidden="1">
      <c r="A576" s="2">
        <v>46214</v>
      </c>
      <c r="B576" t="s">
        <v>82</v>
      </c>
      <c r="C576" t="s">
        <v>79</v>
      </c>
      <c r="V576" t="str">
        <f t="shared" si="8"/>
        <v>Incomplete</v>
      </c>
    </row>
    <row r="577" spans="1:22" hidden="1">
      <c r="A577" s="2">
        <v>46214</v>
      </c>
      <c r="B577" t="s">
        <v>82</v>
      </c>
      <c r="C577" t="s">
        <v>80</v>
      </c>
      <c r="V577" t="str">
        <f t="shared" si="8"/>
        <v>Incomplete</v>
      </c>
    </row>
    <row r="578" spans="1:22" hidden="1">
      <c r="A578" s="2">
        <v>46215</v>
      </c>
      <c r="B578" t="s">
        <v>83</v>
      </c>
      <c r="C578" t="s">
        <v>78</v>
      </c>
      <c r="V578" t="str">
        <f t="shared" ref="V578:V641" si="9">IF(AND(N578="Yes",O578="Yes",P578="Yes",Q578="Yes",R578="Yes",S578="Yes",T578="Yes",U578="Yes"),"Complete","Incomplete")</f>
        <v>Incomplete</v>
      </c>
    </row>
    <row r="579" spans="1:22" hidden="1">
      <c r="A579" s="2">
        <v>46215</v>
      </c>
      <c r="B579" t="s">
        <v>83</v>
      </c>
      <c r="C579" t="s">
        <v>79</v>
      </c>
      <c r="V579" t="str">
        <f t="shared" si="9"/>
        <v>Incomplete</v>
      </c>
    </row>
    <row r="580" spans="1:22" hidden="1">
      <c r="A580" s="2">
        <v>46215</v>
      </c>
      <c r="B580" t="s">
        <v>83</v>
      </c>
      <c r="C580" t="s">
        <v>80</v>
      </c>
      <c r="V580" t="str">
        <f t="shared" si="9"/>
        <v>Incomplete</v>
      </c>
    </row>
    <row r="581" spans="1:22" hidden="1">
      <c r="A581" s="2">
        <v>46216</v>
      </c>
      <c r="B581" t="s">
        <v>84</v>
      </c>
      <c r="C581" t="s">
        <v>78</v>
      </c>
      <c r="V581" t="str">
        <f t="shared" si="9"/>
        <v>Incomplete</v>
      </c>
    </row>
    <row r="582" spans="1:22" hidden="1">
      <c r="A582" s="2">
        <v>46216</v>
      </c>
      <c r="B582" t="s">
        <v>84</v>
      </c>
      <c r="C582" t="s">
        <v>79</v>
      </c>
      <c r="V582" t="str">
        <f t="shared" si="9"/>
        <v>Incomplete</v>
      </c>
    </row>
    <row r="583" spans="1:22" hidden="1">
      <c r="A583" s="2">
        <v>46216</v>
      </c>
      <c r="B583" t="s">
        <v>84</v>
      </c>
      <c r="C583" t="s">
        <v>80</v>
      </c>
      <c r="V583" t="str">
        <f t="shared" si="9"/>
        <v>Incomplete</v>
      </c>
    </row>
    <row r="584" spans="1:22" hidden="1">
      <c r="A584" s="2">
        <v>46217</v>
      </c>
      <c r="B584" t="s">
        <v>85</v>
      </c>
      <c r="C584" t="s">
        <v>78</v>
      </c>
      <c r="V584" t="str">
        <f t="shared" si="9"/>
        <v>Incomplete</v>
      </c>
    </row>
    <row r="585" spans="1:22" hidden="1">
      <c r="A585" s="2">
        <v>46217</v>
      </c>
      <c r="B585" t="s">
        <v>85</v>
      </c>
      <c r="C585" t="s">
        <v>79</v>
      </c>
      <c r="V585" t="str">
        <f t="shared" si="9"/>
        <v>Incomplete</v>
      </c>
    </row>
    <row r="586" spans="1:22" hidden="1">
      <c r="A586" s="2">
        <v>46217</v>
      </c>
      <c r="B586" t="s">
        <v>85</v>
      </c>
      <c r="C586" t="s">
        <v>80</v>
      </c>
      <c r="V586" t="str">
        <f t="shared" si="9"/>
        <v>Incomplete</v>
      </c>
    </row>
    <row r="587" spans="1:22" hidden="1">
      <c r="A587" s="2">
        <v>46218</v>
      </c>
      <c r="B587" t="s">
        <v>86</v>
      </c>
      <c r="C587" t="s">
        <v>78</v>
      </c>
      <c r="V587" t="str">
        <f t="shared" si="9"/>
        <v>Incomplete</v>
      </c>
    </row>
    <row r="588" spans="1:22" hidden="1">
      <c r="A588" s="2">
        <v>46218</v>
      </c>
      <c r="B588" t="s">
        <v>86</v>
      </c>
      <c r="C588" t="s">
        <v>79</v>
      </c>
      <c r="V588" t="str">
        <f t="shared" si="9"/>
        <v>Incomplete</v>
      </c>
    </row>
    <row r="589" spans="1:22" hidden="1">
      <c r="A589" s="2">
        <v>46218</v>
      </c>
      <c r="B589" t="s">
        <v>86</v>
      </c>
      <c r="C589" t="s">
        <v>80</v>
      </c>
      <c r="V589" t="str">
        <f t="shared" si="9"/>
        <v>Incomplete</v>
      </c>
    </row>
    <row r="590" spans="1:22" hidden="1">
      <c r="A590" s="2">
        <v>46219</v>
      </c>
      <c r="B590" t="s">
        <v>77</v>
      </c>
      <c r="C590" t="s">
        <v>78</v>
      </c>
      <c r="V590" t="str">
        <f t="shared" si="9"/>
        <v>Incomplete</v>
      </c>
    </row>
    <row r="591" spans="1:22" hidden="1">
      <c r="A591" s="2">
        <v>46219</v>
      </c>
      <c r="B591" t="s">
        <v>77</v>
      </c>
      <c r="C591" t="s">
        <v>79</v>
      </c>
      <c r="V591" t="str">
        <f t="shared" si="9"/>
        <v>Incomplete</v>
      </c>
    </row>
    <row r="592" spans="1:22" hidden="1">
      <c r="A592" s="2">
        <v>46219</v>
      </c>
      <c r="B592" t="s">
        <v>77</v>
      </c>
      <c r="C592" t="s">
        <v>80</v>
      </c>
      <c r="V592" t="str">
        <f t="shared" si="9"/>
        <v>Incomplete</v>
      </c>
    </row>
    <row r="593" spans="1:22" hidden="1">
      <c r="A593" s="2">
        <v>46220</v>
      </c>
      <c r="B593" t="s">
        <v>81</v>
      </c>
      <c r="C593" t="s">
        <v>78</v>
      </c>
      <c r="V593" t="str">
        <f t="shared" si="9"/>
        <v>Incomplete</v>
      </c>
    </row>
    <row r="594" spans="1:22" hidden="1">
      <c r="A594" s="2">
        <v>46220</v>
      </c>
      <c r="B594" t="s">
        <v>81</v>
      </c>
      <c r="C594" t="s">
        <v>79</v>
      </c>
      <c r="V594" t="str">
        <f t="shared" si="9"/>
        <v>Incomplete</v>
      </c>
    </row>
    <row r="595" spans="1:22" hidden="1">
      <c r="A595" s="2">
        <v>46220</v>
      </c>
      <c r="B595" t="s">
        <v>81</v>
      </c>
      <c r="C595" t="s">
        <v>80</v>
      </c>
      <c r="V595" t="str">
        <f t="shared" si="9"/>
        <v>Incomplete</v>
      </c>
    </row>
    <row r="596" spans="1:22" hidden="1">
      <c r="A596" s="2">
        <v>46221</v>
      </c>
      <c r="B596" t="s">
        <v>82</v>
      </c>
      <c r="C596" t="s">
        <v>78</v>
      </c>
      <c r="V596" t="str">
        <f t="shared" si="9"/>
        <v>Incomplete</v>
      </c>
    </row>
    <row r="597" spans="1:22" hidden="1">
      <c r="A597" s="2">
        <v>46221</v>
      </c>
      <c r="B597" t="s">
        <v>82</v>
      </c>
      <c r="C597" t="s">
        <v>79</v>
      </c>
      <c r="V597" t="str">
        <f t="shared" si="9"/>
        <v>Incomplete</v>
      </c>
    </row>
    <row r="598" spans="1:22" hidden="1">
      <c r="A598" s="2">
        <v>46221</v>
      </c>
      <c r="B598" t="s">
        <v>82</v>
      </c>
      <c r="C598" t="s">
        <v>80</v>
      </c>
      <c r="V598" t="str">
        <f t="shared" si="9"/>
        <v>Incomplete</v>
      </c>
    </row>
    <row r="599" spans="1:22" hidden="1">
      <c r="A599" s="2">
        <v>46222</v>
      </c>
      <c r="B599" t="s">
        <v>83</v>
      </c>
      <c r="C599" t="s">
        <v>78</v>
      </c>
      <c r="V599" t="str">
        <f t="shared" si="9"/>
        <v>Incomplete</v>
      </c>
    </row>
    <row r="600" spans="1:22" hidden="1">
      <c r="A600" s="2">
        <v>46222</v>
      </c>
      <c r="B600" t="s">
        <v>83</v>
      </c>
      <c r="C600" t="s">
        <v>79</v>
      </c>
      <c r="V600" t="str">
        <f t="shared" si="9"/>
        <v>Incomplete</v>
      </c>
    </row>
    <row r="601" spans="1:22" hidden="1">
      <c r="A601" s="2">
        <v>46222</v>
      </c>
      <c r="B601" t="s">
        <v>83</v>
      </c>
      <c r="C601" t="s">
        <v>80</v>
      </c>
      <c r="V601" t="str">
        <f t="shared" si="9"/>
        <v>Incomplete</v>
      </c>
    </row>
    <row r="602" spans="1:22" hidden="1">
      <c r="A602" s="2">
        <v>46223</v>
      </c>
      <c r="B602" t="s">
        <v>84</v>
      </c>
      <c r="C602" t="s">
        <v>78</v>
      </c>
      <c r="V602" t="str">
        <f t="shared" si="9"/>
        <v>Incomplete</v>
      </c>
    </row>
    <row r="603" spans="1:22" hidden="1">
      <c r="A603" s="2">
        <v>46223</v>
      </c>
      <c r="B603" t="s">
        <v>84</v>
      </c>
      <c r="C603" t="s">
        <v>79</v>
      </c>
      <c r="V603" t="str">
        <f t="shared" si="9"/>
        <v>Incomplete</v>
      </c>
    </row>
    <row r="604" spans="1:22" hidden="1">
      <c r="A604" s="2">
        <v>46223</v>
      </c>
      <c r="B604" t="s">
        <v>84</v>
      </c>
      <c r="C604" t="s">
        <v>80</v>
      </c>
      <c r="V604" t="str">
        <f t="shared" si="9"/>
        <v>Incomplete</v>
      </c>
    </row>
    <row r="605" spans="1:22" hidden="1">
      <c r="A605" s="2">
        <v>46224</v>
      </c>
      <c r="B605" t="s">
        <v>85</v>
      </c>
      <c r="C605" t="s">
        <v>78</v>
      </c>
      <c r="V605" t="str">
        <f t="shared" si="9"/>
        <v>Incomplete</v>
      </c>
    </row>
    <row r="606" spans="1:22" hidden="1">
      <c r="A606" s="2">
        <v>46224</v>
      </c>
      <c r="B606" t="s">
        <v>85</v>
      </c>
      <c r="C606" t="s">
        <v>79</v>
      </c>
      <c r="V606" t="str">
        <f t="shared" si="9"/>
        <v>Incomplete</v>
      </c>
    </row>
    <row r="607" spans="1:22" hidden="1">
      <c r="A607" s="2">
        <v>46224</v>
      </c>
      <c r="B607" t="s">
        <v>85</v>
      </c>
      <c r="C607" t="s">
        <v>80</v>
      </c>
      <c r="V607" t="str">
        <f t="shared" si="9"/>
        <v>Incomplete</v>
      </c>
    </row>
    <row r="608" spans="1:22" hidden="1">
      <c r="A608" s="2">
        <v>46225</v>
      </c>
      <c r="B608" t="s">
        <v>86</v>
      </c>
      <c r="C608" t="s">
        <v>78</v>
      </c>
      <c r="V608" t="str">
        <f t="shared" si="9"/>
        <v>Incomplete</v>
      </c>
    </row>
    <row r="609" spans="1:22" hidden="1">
      <c r="A609" s="2">
        <v>46225</v>
      </c>
      <c r="B609" t="s">
        <v>86</v>
      </c>
      <c r="C609" t="s">
        <v>79</v>
      </c>
      <c r="V609" t="str">
        <f t="shared" si="9"/>
        <v>Incomplete</v>
      </c>
    </row>
    <row r="610" spans="1:22" hidden="1">
      <c r="A610" s="2">
        <v>46225</v>
      </c>
      <c r="B610" t="s">
        <v>86</v>
      </c>
      <c r="C610" t="s">
        <v>80</v>
      </c>
      <c r="V610" t="str">
        <f t="shared" si="9"/>
        <v>Incomplete</v>
      </c>
    </row>
    <row r="611" spans="1:22" hidden="1">
      <c r="A611" s="2">
        <v>46226</v>
      </c>
      <c r="B611" t="s">
        <v>77</v>
      </c>
      <c r="C611" t="s">
        <v>78</v>
      </c>
      <c r="V611" t="str">
        <f t="shared" si="9"/>
        <v>Incomplete</v>
      </c>
    </row>
    <row r="612" spans="1:22" hidden="1">
      <c r="A612" s="2">
        <v>46226</v>
      </c>
      <c r="B612" t="s">
        <v>77</v>
      </c>
      <c r="C612" t="s">
        <v>79</v>
      </c>
      <c r="V612" t="str">
        <f t="shared" si="9"/>
        <v>Incomplete</v>
      </c>
    </row>
    <row r="613" spans="1:22" hidden="1">
      <c r="A613" s="2">
        <v>46226</v>
      </c>
      <c r="B613" t="s">
        <v>77</v>
      </c>
      <c r="C613" t="s">
        <v>80</v>
      </c>
      <c r="V613" t="str">
        <f t="shared" si="9"/>
        <v>Incomplete</v>
      </c>
    </row>
    <row r="614" spans="1:22" hidden="1">
      <c r="A614" s="2">
        <v>46227</v>
      </c>
      <c r="B614" t="s">
        <v>81</v>
      </c>
      <c r="C614" t="s">
        <v>78</v>
      </c>
      <c r="V614" t="str">
        <f t="shared" si="9"/>
        <v>Incomplete</v>
      </c>
    </row>
    <row r="615" spans="1:22" hidden="1">
      <c r="A615" s="2">
        <v>46227</v>
      </c>
      <c r="B615" t="s">
        <v>81</v>
      </c>
      <c r="C615" t="s">
        <v>79</v>
      </c>
      <c r="V615" t="str">
        <f t="shared" si="9"/>
        <v>Incomplete</v>
      </c>
    </row>
    <row r="616" spans="1:22" hidden="1">
      <c r="A616" s="2">
        <v>46227</v>
      </c>
      <c r="B616" t="s">
        <v>81</v>
      </c>
      <c r="C616" t="s">
        <v>80</v>
      </c>
      <c r="V616" t="str">
        <f t="shared" si="9"/>
        <v>Incomplete</v>
      </c>
    </row>
    <row r="617" spans="1:22" hidden="1">
      <c r="A617" s="2">
        <v>46228</v>
      </c>
      <c r="B617" t="s">
        <v>82</v>
      </c>
      <c r="C617" t="s">
        <v>78</v>
      </c>
      <c r="V617" t="str">
        <f t="shared" si="9"/>
        <v>Incomplete</v>
      </c>
    </row>
    <row r="618" spans="1:22" hidden="1">
      <c r="A618" s="2">
        <v>46228</v>
      </c>
      <c r="B618" t="s">
        <v>82</v>
      </c>
      <c r="C618" t="s">
        <v>79</v>
      </c>
      <c r="V618" t="str">
        <f t="shared" si="9"/>
        <v>Incomplete</v>
      </c>
    </row>
    <row r="619" spans="1:22" hidden="1">
      <c r="A619" s="2">
        <v>46228</v>
      </c>
      <c r="B619" t="s">
        <v>82</v>
      </c>
      <c r="C619" t="s">
        <v>80</v>
      </c>
      <c r="V619" t="str">
        <f t="shared" si="9"/>
        <v>Incomplete</v>
      </c>
    </row>
    <row r="620" spans="1:22" hidden="1">
      <c r="A620" s="2">
        <v>46229</v>
      </c>
      <c r="B620" t="s">
        <v>83</v>
      </c>
      <c r="C620" t="s">
        <v>78</v>
      </c>
      <c r="V620" t="str">
        <f t="shared" si="9"/>
        <v>Incomplete</v>
      </c>
    </row>
    <row r="621" spans="1:22" hidden="1">
      <c r="A621" s="2">
        <v>46229</v>
      </c>
      <c r="B621" t="s">
        <v>83</v>
      </c>
      <c r="C621" t="s">
        <v>79</v>
      </c>
      <c r="V621" t="str">
        <f t="shared" si="9"/>
        <v>Incomplete</v>
      </c>
    </row>
    <row r="622" spans="1:22" hidden="1">
      <c r="A622" s="2">
        <v>46229</v>
      </c>
      <c r="B622" t="s">
        <v>83</v>
      </c>
      <c r="C622" t="s">
        <v>80</v>
      </c>
      <c r="V622" t="str">
        <f t="shared" si="9"/>
        <v>Incomplete</v>
      </c>
    </row>
    <row r="623" spans="1:22" hidden="1">
      <c r="A623" s="2">
        <v>46230</v>
      </c>
      <c r="B623" t="s">
        <v>84</v>
      </c>
      <c r="C623" t="s">
        <v>78</v>
      </c>
      <c r="V623" t="str">
        <f t="shared" si="9"/>
        <v>Incomplete</v>
      </c>
    </row>
    <row r="624" spans="1:22" hidden="1">
      <c r="A624" s="2">
        <v>46230</v>
      </c>
      <c r="B624" t="s">
        <v>84</v>
      </c>
      <c r="C624" t="s">
        <v>79</v>
      </c>
      <c r="V624" t="str">
        <f t="shared" si="9"/>
        <v>Incomplete</v>
      </c>
    </row>
    <row r="625" spans="1:22" hidden="1">
      <c r="A625" s="2">
        <v>46230</v>
      </c>
      <c r="B625" t="s">
        <v>84</v>
      </c>
      <c r="C625" t="s">
        <v>80</v>
      </c>
      <c r="V625" t="str">
        <f t="shared" si="9"/>
        <v>Incomplete</v>
      </c>
    </row>
    <row r="626" spans="1:22" hidden="1">
      <c r="A626" s="2">
        <v>46231</v>
      </c>
      <c r="B626" t="s">
        <v>85</v>
      </c>
      <c r="C626" t="s">
        <v>78</v>
      </c>
      <c r="V626" t="str">
        <f t="shared" si="9"/>
        <v>Incomplete</v>
      </c>
    </row>
    <row r="627" spans="1:22" hidden="1">
      <c r="A627" s="2">
        <v>46231</v>
      </c>
      <c r="B627" t="s">
        <v>85</v>
      </c>
      <c r="C627" t="s">
        <v>79</v>
      </c>
      <c r="V627" t="str">
        <f t="shared" si="9"/>
        <v>Incomplete</v>
      </c>
    </row>
    <row r="628" spans="1:22" hidden="1">
      <c r="A628" s="2">
        <v>46231</v>
      </c>
      <c r="B628" t="s">
        <v>85</v>
      </c>
      <c r="C628" t="s">
        <v>80</v>
      </c>
      <c r="V628" t="str">
        <f t="shared" si="9"/>
        <v>Incomplete</v>
      </c>
    </row>
    <row r="629" spans="1:22" hidden="1">
      <c r="A629" s="2">
        <v>46232</v>
      </c>
      <c r="B629" t="s">
        <v>86</v>
      </c>
      <c r="C629" t="s">
        <v>78</v>
      </c>
      <c r="V629" t="str">
        <f t="shared" si="9"/>
        <v>Incomplete</v>
      </c>
    </row>
    <row r="630" spans="1:22" hidden="1">
      <c r="A630" s="2">
        <v>46232</v>
      </c>
      <c r="B630" t="s">
        <v>86</v>
      </c>
      <c r="C630" t="s">
        <v>79</v>
      </c>
      <c r="V630" t="str">
        <f t="shared" si="9"/>
        <v>Incomplete</v>
      </c>
    </row>
    <row r="631" spans="1:22" hidden="1">
      <c r="A631" s="2">
        <v>46232</v>
      </c>
      <c r="B631" t="s">
        <v>86</v>
      </c>
      <c r="C631" t="s">
        <v>80</v>
      </c>
      <c r="V631" t="str">
        <f t="shared" si="9"/>
        <v>Incomplete</v>
      </c>
    </row>
    <row r="632" spans="1:22" hidden="1">
      <c r="A632" s="2">
        <v>46233</v>
      </c>
      <c r="B632" t="s">
        <v>77</v>
      </c>
      <c r="C632" t="s">
        <v>78</v>
      </c>
      <c r="V632" t="str">
        <f t="shared" si="9"/>
        <v>Incomplete</v>
      </c>
    </row>
    <row r="633" spans="1:22" hidden="1">
      <c r="A633" s="2">
        <v>46233</v>
      </c>
      <c r="B633" t="s">
        <v>77</v>
      </c>
      <c r="C633" t="s">
        <v>79</v>
      </c>
      <c r="V633" t="str">
        <f t="shared" si="9"/>
        <v>Incomplete</v>
      </c>
    </row>
    <row r="634" spans="1:22" hidden="1">
      <c r="A634" s="2">
        <v>46233</v>
      </c>
      <c r="B634" t="s">
        <v>77</v>
      </c>
      <c r="C634" t="s">
        <v>80</v>
      </c>
      <c r="V634" t="str">
        <f t="shared" si="9"/>
        <v>Incomplete</v>
      </c>
    </row>
    <row r="635" spans="1:22" hidden="1">
      <c r="A635" s="2">
        <v>46234</v>
      </c>
      <c r="B635" t="s">
        <v>81</v>
      </c>
      <c r="C635" t="s">
        <v>78</v>
      </c>
      <c r="V635" t="str">
        <f t="shared" si="9"/>
        <v>Incomplete</v>
      </c>
    </row>
    <row r="636" spans="1:22" hidden="1">
      <c r="A636" s="2">
        <v>46234</v>
      </c>
      <c r="B636" t="s">
        <v>81</v>
      </c>
      <c r="C636" t="s">
        <v>79</v>
      </c>
      <c r="V636" t="str">
        <f t="shared" si="9"/>
        <v>Incomplete</v>
      </c>
    </row>
    <row r="637" spans="1:22" hidden="1">
      <c r="A637" s="2">
        <v>46234</v>
      </c>
      <c r="B637" t="s">
        <v>81</v>
      </c>
      <c r="C637" t="s">
        <v>80</v>
      </c>
      <c r="V637" t="str">
        <f t="shared" si="9"/>
        <v>Incomplete</v>
      </c>
    </row>
    <row r="638" spans="1:22">
      <c r="A638" s="2">
        <v>46235</v>
      </c>
      <c r="B638" t="s">
        <v>82</v>
      </c>
      <c r="C638" t="s">
        <v>78</v>
      </c>
      <c r="V638" t="str">
        <f t="shared" si="9"/>
        <v>Incomplete</v>
      </c>
    </row>
    <row r="639" spans="1:22">
      <c r="A639" s="2">
        <v>46235</v>
      </c>
      <c r="B639" t="s">
        <v>82</v>
      </c>
      <c r="C639" t="s">
        <v>79</v>
      </c>
      <c r="V639" t="str">
        <f t="shared" si="9"/>
        <v>Incomplete</v>
      </c>
    </row>
    <row r="640" spans="1:22">
      <c r="A640" s="2">
        <v>46235</v>
      </c>
      <c r="B640" t="s">
        <v>82</v>
      </c>
      <c r="C640" t="s">
        <v>80</v>
      </c>
      <c r="V640" t="str">
        <f t="shared" si="9"/>
        <v>Incomplete</v>
      </c>
    </row>
    <row r="641" spans="1:22">
      <c r="A641" s="2">
        <v>46236</v>
      </c>
      <c r="B641" t="s">
        <v>83</v>
      </c>
      <c r="C641" t="s">
        <v>78</v>
      </c>
      <c r="V641" t="str">
        <f t="shared" si="9"/>
        <v>Incomplete</v>
      </c>
    </row>
    <row r="642" spans="1:22">
      <c r="A642" s="2">
        <v>46236</v>
      </c>
      <c r="B642" t="s">
        <v>83</v>
      </c>
      <c r="C642" t="s">
        <v>79</v>
      </c>
      <c r="V642" t="str">
        <f t="shared" ref="V642:V705" si="10">IF(AND(N642="Yes",O642="Yes",P642="Yes",Q642="Yes",R642="Yes",S642="Yes",T642="Yes",U642="Yes"),"Complete","Incomplete")</f>
        <v>Incomplete</v>
      </c>
    </row>
    <row r="643" spans="1:22">
      <c r="A643" s="2">
        <v>46236</v>
      </c>
      <c r="B643" t="s">
        <v>83</v>
      </c>
      <c r="C643" t="s">
        <v>80</v>
      </c>
      <c r="V643" t="str">
        <f t="shared" si="10"/>
        <v>Incomplete</v>
      </c>
    </row>
    <row r="644" spans="1:22">
      <c r="A644" s="2">
        <v>46237</v>
      </c>
      <c r="B644" t="s">
        <v>84</v>
      </c>
      <c r="C644" t="s">
        <v>78</v>
      </c>
      <c r="V644" t="str">
        <f t="shared" si="10"/>
        <v>Incomplete</v>
      </c>
    </row>
    <row r="645" spans="1:22">
      <c r="A645" s="2">
        <v>46237</v>
      </c>
      <c r="B645" t="s">
        <v>84</v>
      </c>
      <c r="C645" t="s">
        <v>79</v>
      </c>
      <c r="V645" t="str">
        <f t="shared" si="10"/>
        <v>Incomplete</v>
      </c>
    </row>
    <row r="646" spans="1:22">
      <c r="A646" s="2">
        <v>46237</v>
      </c>
      <c r="B646" t="s">
        <v>84</v>
      </c>
      <c r="C646" t="s">
        <v>80</v>
      </c>
      <c r="V646" t="str">
        <f t="shared" si="10"/>
        <v>Incomplete</v>
      </c>
    </row>
    <row r="647" spans="1:22">
      <c r="A647" s="2">
        <v>46238</v>
      </c>
      <c r="B647" t="s">
        <v>85</v>
      </c>
      <c r="C647" t="s">
        <v>78</v>
      </c>
      <c r="V647" t="str">
        <f t="shared" si="10"/>
        <v>Incomplete</v>
      </c>
    </row>
    <row r="648" spans="1:22">
      <c r="A648" s="2">
        <v>46238</v>
      </c>
      <c r="B648" t="s">
        <v>85</v>
      </c>
      <c r="C648" t="s">
        <v>79</v>
      </c>
      <c r="V648" t="str">
        <f t="shared" si="10"/>
        <v>Incomplete</v>
      </c>
    </row>
    <row r="649" spans="1:22">
      <c r="A649" s="2">
        <v>46238</v>
      </c>
      <c r="B649" t="s">
        <v>85</v>
      </c>
      <c r="C649" t="s">
        <v>80</v>
      </c>
      <c r="V649" t="str">
        <f t="shared" si="10"/>
        <v>Incomplete</v>
      </c>
    </row>
    <row r="650" spans="1:22">
      <c r="A650" s="2">
        <v>46239</v>
      </c>
      <c r="B650" t="s">
        <v>86</v>
      </c>
      <c r="C650" t="s">
        <v>78</v>
      </c>
      <c r="V650" t="str">
        <f t="shared" si="10"/>
        <v>Incomplete</v>
      </c>
    </row>
    <row r="651" spans="1:22">
      <c r="A651" s="2">
        <v>46239</v>
      </c>
      <c r="B651" t="s">
        <v>86</v>
      </c>
      <c r="C651" t="s">
        <v>79</v>
      </c>
      <c r="V651" t="str">
        <f t="shared" si="10"/>
        <v>Incomplete</v>
      </c>
    </row>
    <row r="652" spans="1:22">
      <c r="A652" s="2">
        <v>46239</v>
      </c>
      <c r="B652" t="s">
        <v>86</v>
      </c>
      <c r="C652" t="s">
        <v>80</v>
      </c>
      <c r="V652" t="str">
        <f t="shared" si="10"/>
        <v>Incomplete</v>
      </c>
    </row>
    <row r="653" spans="1:22">
      <c r="A653" s="2">
        <v>46240</v>
      </c>
      <c r="B653" t="s">
        <v>77</v>
      </c>
      <c r="C653" t="s">
        <v>78</v>
      </c>
      <c r="V653" t="str">
        <f t="shared" si="10"/>
        <v>Incomplete</v>
      </c>
    </row>
    <row r="654" spans="1:22">
      <c r="A654" s="2">
        <v>46240</v>
      </c>
      <c r="B654" t="s">
        <v>77</v>
      </c>
      <c r="C654" t="s">
        <v>79</v>
      </c>
      <c r="V654" t="str">
        <f t="shared" si="10"/>
        <v>Incomplete</v>
      </c>
    </row>
    <row r="655" spans="1:22">
      <c r="A655" s="2">
        <v>46240</v>
      </c>
      <c r="B655" t="s">
        <v>77</v>
      </c>
      <c r="C655" t="s">
        <v>80</v>
      </c>
      <c r="V655" t="str">
        <f t="shared" si="10"/>
        <v>Incomplete</v>
      </c>
    </row>
    <row r="656" spans="1:22">
      <c r="A656" s="2">
        <v>46241</v>
      </c>
      <c r="B656" t="s">
        <v>81</v>
      </c>
      <c r="C656" t="s">
        <v>78</v>
      </c>
      <c r="V656" t="str">
        <f t="shared" si="10"/>
        <v>Incomplete</v>
      </c>
    </row>
    <row r="657" spans="1:22">
      <c r="A657" s="2">
        <v>46241</v>
      </c>
      <c r="B657" t="s">
        <v>81</v>
      </c>
      <c r="C657" t="s">
        <v>79</v>
      </c>
      <c r="V657" t="str">
        <f t="shared" si="10"/>
        <v>Incomplete</v>
      </c>
    </row>
    <row r="658" spans="1:22">
      <c r="A658" s="2">
        <v>46241</v>
      </c>
      <c r="B658" t="s">
        <v>81</v>
      </c>
      <c r="C658" t="s">
        <v>80</v>
      </c>
      <c r="V658" t="str">
        <f t="shared" si="10"/>
        <v>Incomplete</v>
      </c>
    </row>
    <row r="659" spans="1:22">
      <c r="A659" s="2">
        <v>46242</v>
      </c>
      <c r="B659" t="s">
        <v>82</v>
      </c>
      <c r="C659" t="s">
        <v>78</v>
      </c>
      <c r="V659" t="str">
        <f t="shared" si="10"/>
        <v>Incomplete</v>
      </c>
    </row>
    <row r="660" spans="1:22">
      <c r="A660" s="2">
        <v>46242</v>
      </c>
      <c r="B660" t="s">
        <v>82</v>
      </c>
      <c r="C660" t="s">
        <v>79</v>
      </c>
      <c r="V660" t="str">
        <f t="shared" si="10"/>
        <v>Incomplete</v>
      </c>
    </row>
    <row r="661" spans="1:22">
      <c r="A661" s="2">
        <v>46242</v>
      </c>
      <c r="B661" t="s">
        <v>82</v>
      </c>
      <c r="C661" t="s">
        <v>80</v>
      </c>
      <c r="V661" t="str">
        <f t="shared" si="10"/>
        <v>Incomplete</v>
      </c>
    </row>
    <row r="662" spans="1:22">
      <c r="A662" s="2">
        <v>46243</v>
      </c>
      <c r="B662" t="s">
        <v>83</v>
      </c>
      <c r="C662" t="s">
        <v>78</v>
      </c>
      <c r="V662" t="str">
        <f t="shared" si="10"/>
        <v>Incomplete</v>
      </c>
    </row>
    <row r="663" spans="1:22">
      <c r="A663" s="2">
        <v>46243</v>
      </c>
      <c r="B663" t="s">
        <v>83</v>
      </c>
      <c r="C663" t="s">
        <v>79</v>
      </c>
      <c r="V663" t="str">
        <f t="shared" si="10"/>
        <v>Incomplete</v>
      </c>
    </row>
    <row r="664" spans="1:22">
      <c r="A664" s="2">
        <v>46243</v>
      </c>
      <c r="B664" t="s">
        <v>83</v>
      </c>
      <c r="C664" t="s">
        <v>80</v>
      </c>
      <c r="V664" t="str">
        <f t="shared" si="10"/>
        <v>Incomplete</v>
      </c>
    </row>
    <row r="665" spans="1:22">
      <c r="A665" s="2">
        <v>46244</v>
      </c>
      <c r="B665" t="s">
        <v>84</v>
      </c>
      <c r="C665" t="s">
        <v>78</v>
      </c>
      <c r="V665" t="str">
        <f t="shared" si="10"/>
        <v>Incomplete</v>
      </c>
    </row>
    <row r="666" spans="1:22">
      <c r="A666" s="2">
        <v>46244</v>
      </c>
      <c r="B666" t="s">
        <v>84</v>
      </c>
      <c r="C666" t="s">
        <v>79</v>
      </c>
      <c r="V666" t="str">
        <f t="shared" si="10"/>
        <v>Incomplete</v>
      </c>
    </row>
    <row r="667" spans="1:22">
      <c r="A667" s="2">
        <v>46244</v>
      </c>
      <c r="B667" t="s">
        <v>84</v>
      </c>
      <c r="C667" t="s">
        <v>80</v>
      </c>
      <c r="V667" t="str">
        <f t="shared" si="10"/>
        <v>Incomplete</v>
      </c>
    </row>
    <row r="668" spans="1:22">
      <c r="A668" s="2">
        <v>46245</v>
      </c>
      <c r="B668" t="s">
        <v>85</v>
      </c>
      <c r="C668" t="s">
        <v>78</v>
      </c>
      <c r="V668" t="str">
        <f t="shared" si="10"/>
        <v>Incomplete</v>
      </c>
    </row>
    <row r="669" spans="1:22">
      <c r="A669" s="2">
        <v>46245</v>
      </c>
      <c r="B669" t="s">
        <v>85</v>
      </c>
      <c r="C669" t="s">
        <v>79</v>
      </c>
      <c r="V669" t="str">
        <f t="shared" si="10"/>
        <v>Incomplete</v>
      </c>
    </row>
    <row r="670" spans="1:22">
      <c r="A670" s="2">
        <v>46245</v>
      </c>
      <c r="B670" t="s">
        <v>85</v>
      </c>
      <c r="C670" t="s">
        <v>80</v>
      </c>
      <c r="V670" t="str">
        <f t="shared" si="10"/>
        <v>Incomplete</v>
      </c>
    </row>
    <row r="671" spans="1:22">
      <c r="A671" s="2">
        <v>46246</v>
      </c>
      <c r="B671" t="s">
        <v>86</v>
      </c>
      <c r="C671" t="s">
        <v>78</v>
      </c>
      <c r="V671" t="str">
        <f t="shared" si="10"/>
        <v>Incomplete</v>
      </c>
    </row>
    <row r="672" spans="1:22">
      <c r="A672" s="2">
        <v>46246</v>
      </c>
      <c r="B672" t="s">
        <v>86</v>
      </c>
      <c r="C672" t="s">
        <v>79</v>
      </c>
      <c r="V672" t="str">
        <f t="shared" si="10"/>
        <v>Incomplete</v>
      </c>
    </row>
    <row r="673" spans="1:22">
      <c r="A673" s="2">
        <v>46246</v>
      </c>
      <c r="B673" t="s">
        <v>86</v>
      </c>
      <c r="C673" t="s">
        <v>80</v>
      </c>
      <c r="V673" t="str">
        <f t="shared" si="10"/>
        <v>Incomplete</v>
      </c>
    </row>
    <row r="674" spans="1:22">
      <c r="A674" s="2">
        <v>46247</v>
      </c>
      <c r="B674" t="s">
        <v>77</v>
      </c>
      <c r="C674" t="s">
        <v>78</v>
      </c>
      <c r="V674" t="str">
        <f t="shared" si="10"/>
        <v>Incomplete</v>
      </c>
    </row>
    <row r="675" spans="1:22">
      <c r="A675" s="2">
        <v>46247</v>
      </c>
      <c r="B675" t="s">
        <v>77</v>
      </c>
      <c r="C675" t="s">
        <v>79</v>
      </c>
      <c r="V675" t="str">
        <f t="shared" si="10"/>
        <v>Incomplete</v>
      </c>
    </row>
    <row r="676" spans="1:22">
      <c r="A676" s="2">
        <v>46247</v>
      </c>
      <c r="B676" t="s">
        <v>77</v>
      </c>
      <c r="C676" t="s">
        <v>80</v>
      </c>
      <c r="V676" t="str">
        <f t="shared" si="10"/>
        <v>Incomplete</v>
      </c>
    </row>
    <row r="677" spans="1:22">
      <c r="A677" s="2">
        <v>46248</v>
      </c>
      <c r="B677" t="s">
        <v>81</v>
      </c>
      <c r="C677" t="s">
        <v>78</v>
      </c>
      <c r="V677" t="str">
        <f t="shared" si="10"/>
        <v>Incomplete</v>
      </c>
    </row>
    <row r="678" spans="1:22">
      <c r="A678" s="2">
        <v>46248</v>
      </c>
      <c r="B678" t="s">
        <v>81</v>
      </c>
      <c r="C678" t="s">
        <v>79</v>
      </c>
      <c r="V678" t="str">
        <f t="shared" si="10"/>
        <v>Incomplete</v>
      </c>
    </row>
    <row r="679" spans="1:22">
      <c r="A679" s="2">
        <v>46248</v>
      </c>
      <c r="B679" t="s">
        <v>81</v>
      </c>
      <c r="C679" t="s">
        <v>80</v>
      </c>
      <c r="V679" t="str">
        <f t="shared" si="10"/>
        <v>Incomplete</v>
      </c>
    </row>
    <row r="680" spans="1:22">
      <c r="A680" s="2">
        <v>46249</v>
      </c>
      <c r="B680" t="s">
        <v>82</v>
      </c>
      <c r="C680" t="s">
        <v>78</v>
      </c>
      <c r="V680" t="str">
        <f t="shared" si="10"/>
        <v>Incomplete</v>
      </c>
    </row>
    <row r="681" spans="1:22">
      <c r="A681" s="2">
        <v>46249</v>
      </c>
      <c r="B681" t="s">
        <v>82</v>
      </c>
      <c r="C681" t="s">
        <v>79</v>
      </c>
      <c r="V681" t="str">
        <f t="shared" si="10"/>
        <v>Incomplete</v>
      </c>
    </row>
    <row r="682" spans="1:22">
      <c r="A682" s="2">
        <v>46249</v>
      </c>
      <c r="B682" t="s">
        <v>82</v>
      </c>
      <c r="C682" t="s">
        <v>80</v>
      </c>
      <c r="V682" t="str">
        <f t="shared" si="10"/>
        <v>Incomplete</v>
      </c>
    </row>
    <row r="683" spans="1:22">
      <c r="A683" s="2">
        <v>46250</v>
      </c>
      <c r="B683" t="s">
        <v>83</v>
      </c>
      <c r="C683" t="s">
        <v>78</v>
      </c>
      <c r="V683" t="str">
        <f t="shared" si="10"/>
        <v>Incomplete</v>
      </c>
    </row>
    <row r="684" spans="1:22">
      <c r="A684" s="2">
        <v>46250</v>
      </c>
      <c r="B684" t="s">
        <v>83</v>
      </c>
      <c r="C684" t="s">
        <v>79</v>
      </c>
      <c r="V684" t="str">
        <f t="shared" si="10"/>
        <v>Incomplete</v>
      </c>
    </row>
    <row r="685" spans="1:22">
      <c r="A685" s="2">
        <v>46250</v>
      </c>
      <c r="B685" t="s">
        <v>83</v>
      </c>
      <c r="C685" t="s">
        <v>80</v>
      </c>
      <c r="V685" t="str">
        <f t="shared" si="10"/>
        <v>Incomplete</v>
      </c>
    </row>
    <row r="686" spans="1:22">
      <c r="A686" s="2">
        <v>46251</v>
      </c>
      <c r="B686" t="s">
        <v>84</v>
      </c>
      <c r="C686" t="s">
        <v>78</v>
      </c>
      <c r="V686" t="str">
        <f t="shared" si="10"/>
        <v>Incomplete</v>
      </c>
    </row>
    <row r="687" spans="1:22">
      <c r="A687" s="2">
        <v>46251</v>
      </c>
      <c r="B687" t="s">
        <v>84</v>
      </c>
      <c r="C687" t="s">
        <v>79</v>
      </c>
      <c r="V687" t="str">
        <f t="shared" si="10"/>
        <v>Incomplete</v>
      </c>
    </row>
    <row r="688" spans="1:22">
      <c r="A688" s="2">
        <v>46251</v>
      </c>
      <c r="B688" t="s">
        <v>84</v>
      </c>
      <c r="C688" t="s">
        <v>80</v>
      </c>
      <c r="V688" t="str">
        <f t="shared" si="10"/>
        <v>Incomplete</v>
      </c>
    </row>
    <row r="689" spans="1:22">
      <c r="A689" s="2">
        <v>46252</v>
      </c>
      <c r="B689" t="s">
        <v>85</v>
      </c>
      <c r="C689" t="s">
        <v>78</v>
      </c>
      <c r="V689" t="str">
        <f t="shared" si="10"/>
        <v>Incomplete</v>
      </c>
    </row>
    <row r="690" spans="1:22">
      <c r="A690" s="2">
        <v>46252</v>
      </c>
      <c r="B690" t="s">
        <v>85</v>
      </c>
      <c r="C690" t="s">
        <v>79</v>
      </c>
      <c r="V690" t="str">
        <f t="shared" si="10"/>
        <v>Incomplete</v>
      </c>
    </row>
    <row r="691" spans="1:22">
      <c r="A691" s="2">
        <v>46252</v>
      </c>
      <c r="B691" t="s">
        <v>85</v>
      </c>
      <c r="C691" t="s">
        <v>80</v>
      </c>
      <c r="V691" t="str">
        <f t="shared" si="10"/>
        <v>Incomplete</v>
      </c>
    </row>
    <row r="692" spans="1:22">
      <c r="A692" s="2">
        <v>46253</v>
      </c>
      <c r="B692" t="s">
        <v>86</v>
      </c>
      <c r="C692" t="s">
        <v>78</v>
      </c>
      <c r="V692" t="str">
        <f t="shared" si="10"/>
        <v>Incomplete</v>
      </c>
    </row>
    <row r="693" spans="1:22">
      <c r="A693" s="2">
        <v>46253</v>
      </c>
      <c r="B693" t="s">
        <v>86</v>
      </c>
      <c r="C693" t="s">
        <v>79</v>
      </c>
      <c r="V693" t="str">
        <f t="shared" si="10"/>
        <v>Incomplete</v>
      </c>
    </row>
    <row r="694" spans="1:22">
      <c r="A694" s="2">
        <v>46253</v>
      </c>
      <c r="B694" t="s">
        <v>86</v>
      </c>
      <c r="C694" t="s">
        <v>80</v>
      </c>
      <c r="V694" t="str">
        <f t="shared" si="10"/>
        <v>Incomplete</v>
      </c>
    </row>
    <row r="695" spans="1:22">
      <c r="A695" s="2">
        <v>46254</v>
      </c>
      <c r="B695" t="s">
        <v>77</v>
      </c>
      <c r="C695" t="s">
        <v>78</v>
      </c>
      <c r="V695" t="str">
        <f t="shared" si="10"/>
        <v>Incomplete</v>
      </c>
    </row>
    <row r="696" spans="1:22">
      <c r="A696" s="2">
        <v>46254</v>
      </c>
      <c r="B696" t="s">
        <v>77</v>
      </c>
      <c r="C696" t="s">
        <v>79</v>
      </c>
      <c r="V696" t="str">
        <f t="shared" si="10"/>
        <v>Incomplete</v>
      </c>
    </row>
    <row r="697" spans="1:22">
      <c r="A697" s="2">
        <v>46254</v>
      </c>
      <c r="B697" t="s">
        <v>77</v>
      </c>
      <c r="C697" t="s">
        <v>80</v>
      </c>
      <c r="V697" t="str">
        <f t="shared" si="10"/>
        <v>Incomplete</v>
      </c>
    </row>
    <row r="698" spans="1:22">
      <c r="A698" s="2">
        <v>46255</v>
      </c>
      <c r="B698" t="s">
        <v>81</v>
      </c>
      <c r="C698" t="s">
        <v>78</v>
      </c>
      <c r="V698" t="str">
        <f t="shared" si="10"/>
        <v>Incomplete</v>
      </c>
    </row>
    <row r="699" spans="1:22">
      <c r="A699" s="2">
        <v>46255</v>
      </c>
      <c r="B699" t="s">
        <v>81</v>
      </c>
      <c r="C699" t="s">
        <v>79</v>
      </c>
      <c r="V699" t="str">
        <f t="shared" si="10"/>
        <v>Incomplete</v>
      </c>
    </row>
    <row r="700" spans="1:22">
      <c r="A700" s="2">
        <v>46255</v>
      </c>
      <c r="B700" t="s">
        <v>81</v>
      </c>
      <c r="C700" t="s">
        <v>80</v>
      </c>
      <c r="V700" t="str">
        <f t="shared" si="10"/>
        <v>Incomplete</v>
      </c>
    </row>
    <row r="701" spans="1:22">
      <c r="A701" s="2">
        <v>46256</v>
      </c>
      <c r="B701" t="s">
        <v>82</v>
      </c>
      <c r="C701" t="s">
        <v>78</v>
      </c>
      <c r="V701" t="str">
        <f t="shared" si="10"/>
        <v>Incomplete</v>
      </c>
    </row>
    <row r="702" spans="1:22">
      <c r="A702" s="2">
        <v>46256</v>
      </c>
      <c r="B702" t="s">
        <v>82</v>
      </c>
      <c r="C702" t="s">
        <v>79</v>
      </c>
      <c r="V702" t="str">
        <f t="shared" si="10"/>
        <v>Incomplete</v>
      </c>
    </row>
    <row r="703" spans="1:22">
      <c r="A703" s="2">
        <v>46256</v>
      </c>
      <c r="B703" t="s">
        <v>82</v>
      </c>
      <c r="C703" t="s">
        <v>80</v>
      </c>
      <c r="V703" t="str">
        <f t="shared" si="10"/>
        <v>Incomplete</v>
      </c>
    </row>
    <row r="704" spans="1:22">
      <c r="A704" s="2">
        <v>46257</v>
      </c>
      <c r="B704" t="s">
        <v>83</v>
      </c>
      <c r="C704" t="s">
        <v>78</v>
      </c>
      <c r="V704" t="str">
        <f t="shared" si="10"/>
        <v>Incomplete</v>
      </c>
    </row>
    <row r="705" spans="1:22">
      <c r="A705" s="2">
        <v>46257</v>
      </c>
      <c r="B705" t="s">
        <v>83</v>
      </c>
      <c r="C705" t="s">
        <v>79</v>
      </c>
      <c r="V705" t="str">
        <f t="shared" si="10"/>
        <v>Incomplete</v>
      </c>
    </row>
    <row r="706" spans="1:22">
      <c r="A706" s="2">
        <v>46257</v>
      </c>
      <c r="B706" t="s">
        <v>83</v>
      </c>
      <c r="C706" t="s">
        <v>80</v>
      </c>
      <c r="V706" t="str">
        <f t="shared" ref="V706:V769" si="11">IF(AND(N706="Yes",O706="Yes",P706="Yes",Q706="Yes",R706="Yes",S706="Yes",T706="Yes",U706="Yes"),"Complete","Incomplete")</f>
        <v>Incomplete</v>
      </c>
    </row>
    <row r="707" spans="1:22">
      <c r="A707" s="2">
        <v>46258</v>
      </c>
      <c r="B707" t="s">
        <v>84</v>
      </c>
      <c r="C707" t="s">
        <v>78</v>
      </c>
      <c r="V707" t="str">
        <f t="shared" si="11"/>
        <v>Incomplete</v>
      </c>
    </row>
    <row r="708" spans="1:22">
      <c r="A708" s="2">
        <v>46258</v>
      </c>
      <c r="B708" t="s">
        <v>84</v>
      </c>
      <c r="C708" t="s">
        <v>79</v>
      </c>
      <c r="V708" t="str">
        <f t="shared" si="11"/>
        <v>Incomplete</v>
      </c>
    </row>
    <row r="709" spans="1:22">
      <c r="A709" s="2">
        <v>46258</v>
      </c>
      <c r="B709" t="s">
        <v>84</v>
      </c>
      <c r="C709" t="s">
        <v>80</v>
      </c>
      <c r="V709" t="str">
        <f t="shared" si="11"/>
        <v>Incomplete</v>
      </c>
    </row>
    <row r="710" spans="1:22">
      <c r="A710" s="2">
        <v>46259</v>
      </c>
      <c r="B710" t="s">
        <v>85</v>
      </c>
      <c r="C710" t="s">
        <v>78</v>
      </c>
      <c r="V710" t="str">
        <f t="shared" si="11"/>
        <v>Incomplete</v>
      </c>
    </row>
    <row r="711" spans="1:22">
      <c r="A711" s="2">
        <v>46259</v>
      </c>
      <c r="B711" t="s">
        <v>85</v>
      </c>
      <c r="C711" t="s">
        <v>79</v>
      </c>
      <c r="V711" t="str">
        <f t="shared" si="11"/>
        <v>Incomplete</v>
      </c>
    </row>
    <row r="712" spans="1:22">
      <c r="A712" s="2">
        <v>46259</v>
      </c>
      <c r="B712" t="s">
        <v>85</v>
      </c>
      <c r="C712" t="s">
        <v>80</v>
      </c>
      <c r="V712" t="str">
        <f t="shared" si="11"/>
        <v>Incomplete</v>
      </c>
    </row>
    <row r="713" spans="1:22">
      <c r="A713" s="2">
        <v>46260</v>
      </c>
      <c r="B713" t="s">
        <v>86</v>
      </c>
      <c r="C713" t="s">
        <v>78</v>
      </c>
      <c r="V713" t="str">
        <f t="shared" si="11"/>
        <v>Incomplete</v>
      </c>
    </row>
    <row r="714" spans="1:22">
      <c r="A714" s="2">
        <v>46260</v>
      </c>
      <c r="B714" t="s">
        <v>86</v>
      </c>
      <c r="C714" t="s">
        <v>79</v>
      </c>
      <c r="V714" t="str">
        <f t="shared" si="11"/>
        <v>Incomplete</v>
      </c>
    </row>
    <row r="715" spans="1:22">
      <c r="A715" s="2">
        <v>46260</v>
      </c>
      <c r="B715" t="s">
        <v>86</v>
      </c>
      <c r="C715" t="s">
        <v>80</v>
      </c>
      <c r="V715" t="str">
        <f t="shared" si="11"/>
        <v>Incomplete</v>
      </c>
    </row>
    <row r="716" spans="1:22">
      <c r="A716" s="2">
        <v>46261</v>
      </c>
      <c r="B716" t="s">
        <v>77</v>
      </c>
      <c r="C716" t="s">
        <v>78</v>
      </c>
      <c r="V716" t="str">
        <f t="shared" si="11"/>
        <v>Incomplete</v>
      </c>
    </row>
    <row r="717" spans="1:22">
      <c r="A717" s="2">
        <v>46261</v>
      </c>
      <c r="B717" t="s">
        <v>77</v>
      </c>
      <c r="C717" t="s">
        <v>79</v>
      </c>
      <c r="V717" t="str">
        <f t="shared" si="11"/>
        <v>Incomplete</v>
      </c>
    </row>
    <row r="718" spans="1:22">
      <c r="A718" s="2">
        <v>46261</v>
      </c>
      <c r="B718" t="s">
        <v>77</v>
      </c>
      <c r="C718" t="s">
        <v>80</v>
      </c>
      <c r="V718" t="str">
        <f t="shared" si="11"/>
        <v>Incomplete</v>
      </c>
    </row>
    <row r="719" spans="1:22">
      <c r="A719" s="2">
        <v>46262</v>
      </c>
      <c r="B719" t="s">
        <v>81</v>
      </c>
      <c r="C719" t="s">
        <v>78</v>
      </c>
      <c r="V719" t="str">
        <f t="shared" si="11"/>
        <v>Incomplete</v>
      </c>
    </row>
    <row r="720" spans="1:22">
      <c r="A720" s="2">
        <v>46262</v>
      </c>
      <c r="B720" t="s">
        <v>81</v>
      </c>
      <c r="C720" t="s">
        <v>79</v>
      </c>
      <c r="V720" t="str">
        <f t="shared" si="11"/>
        <v>Incomplete</v>
      </c>
    </row>
    <row r="721" spans="1:22">
      <c r="A721" s="2">
        <v>46262</v>
      </c>
      <c r="B721" t="s">
        <v>81</v>
      </c>
      <c r="C721" t="s">
        <v>80</v>
      </c>
      <c r="V721" t="str">
        <f t="shared" si="11"/>
        <v>Incomplete</v>
      </c>
    </row>
    <row r="722" spans="1:22">
      <c r="A722" s="2">
        <v>46263</v>
      </c>
      <c r="B722" t="s">
        <v>82</v>
      </c>
      <c r="C722" t="s">
        <v>78</v>
      </c>
      <c r="V722" t="str">
        <f t="shared" si="11"/>
        <v>Incomplete</v>
      </c>
    </row>
    <row r="723" spans="1:22">
      <c r="A723" s="2">
        <v>46263</v>
      </c>
      <c r="B723" t="s">
        <v>82</v>
      </c>
      <c r="C723" t="s">
        <v>79</v>
      </c>
      <c r="V723" t="str">
        <f t="shared" si="11"/>
        <v>Incomplete</v>
      </c>
    </row>
    <row r="724" spans="1:22">
      <c r="A724" s="2">
        <v>46263</v>
      </c>
      <c r="B724" t="s">
        <v>82</v>
      </c>
      <c r="C724" t="s">
        <v>80</v>
      </c>
      <c r="V724" t="str">
        <f t="shared" si="11"/>
        <v>Incomplete</v>
      </c>
    </row>
    <row r="725" spans="1:22">
      <c r="A725" s="2">
        <v>46264</v>
      </c>
      <c r="B725" t="s">
        <v>83</v>
      </c>
      <c r="C725" t="s">
        <v>78</v>
      </c>
      <c r="V725" t="str">
        <f t="shared" si="11"/>
        <v>Incomplete</v>
      </c>
    </row>
    <row r="726" spans="1:22">
      <c r="A726" s="2">
        <v>46264</v>
      </c>
      <c r="B726" t="s">
        <v>83</v>
      </c>
      <c r="C726" t="s">
        <v>79</v>
      </c>
      <c r="V726" t="str">
        <f t="shared" si="11"/>
        <v>Incomplete</v>
      </c>
    </row>
    <row r="727" spans="1:22">
      <c r="A727" s="2">
        <v>46264</v>
      </c>
      <c r="B727" t="s">
        <v>83</v>
      </c>
      <c r="C727" t="s">
        <v>80</v>
      </c>
      <c r="V727" t="str">
        <f t="shared" si="11"/>
        <v>Incomplete</v>
      </c>
    </row>
    <row r="728" spans="1:22">
      <c r="A728" s="2">
        <v>46265</v>
      </c>
      <c r="B728" t="s">
        <v>84</v>
      </c>
      <c r="C728" t="s">
        <v>78</v>
      </c>
      <c r="V728" t="str">
        <f t="shared" si="11"/>
        <v>Incomplete</v>
      </c>
    </row>
    <row r="729" spans="1:22">
      <c r="A729" s="2">
        <v>46265</v>
      </c>
      <c r="B729" t="s">
        <v>84</v>
      </c>
      <c r="C729" t="s">
        <v>79</v>
      </c>
      <c r="V729" t="str">
        <f t="shared" si="11"/>
        <v>Incomplete</v>
      </c>
    </row>
    <row r="730" spans="1:22">
      <c r="A730" s="2">
        <v>46265</v>
      </c>
      <c r="B730" t="s">
        <v>84</v>
      </c>
      <c r="C730" t="s">
        <v>80</v>
      </c>
      <c r="V730" t="str">
        <f t="shared" si="11"/>
        <v>Incomplete</v>
      </c>
    </row>
    <row r="731" spans="1:22">
      <c r="A731" s="2">
        <v>46266</v>
      </c>
      <c r="B731" t="s">
        <v>85</v>
      </c>
      <c r="C731" t="s">
        <v>78</v>
      </c>
      <c r="V731" t="str">
        <f t="shared" si="11"/>
        <v>Incomplete</v>
      </c>
    </row>
    <row r="732" spans="1:22">
      <c r="A732" s="2">
        <v>46266</v>
      </c>
      <c r="B732" t="s">
        <v>85</v>
      </c>
      <c r="C732" t="s">
        <v>79</v>
      </c>
      <c r="V732" t="str">
        <f t="shared" si="11"/>
        <v>Incomplete</v>
      </c>
    </row>
    <row r="733" spans="1:22">
      <c r="A733" s="2">
        <v>46266</v>
      </c>
      <c r="B733" t="s">
        <v>85</v>
      </c>
      <c r="C733" t="s">
        <v>80</v>
      </c>
      <c r="V733" t="str">
        <f t="shared" si="11"/>
        <v>Incomplete</v>
      </c>
    </row>
    <row r="734" spans="1:22">
      <c r="A734" s="2">
        <v>46267</v>
      </c>
      <c r="B734" t="s">
        <v>86</v>
      </c>
      <c r="C734" t="s">
        <v>78</v>
      </c>
      <c r="V734" t="str">
        <f t="shared" si="11"/>
        <v>Incomplete</v>
      </c>
    </row>
    <row r="735" spans="1:22">
      <c r="A735" s="2">
        <v>46267</v>
      </c>
      <c r="B735" t="s">
        <v>86</v>
      </c>
      <c r="C735" t="s">
        <v>79</v>
      </c>
      <c r="V735" t="str">
        <f t="shared" si="11"/>
        <v>Incomplete</v>
      </c>
    </row>
    <row r="736" spans="1:22">
      <c r="A736" s="2">
        <v>46267</v>
      </c>
      <c r="B736" t="s">
        <v>86</v>
      </c>
      <c r="C736" t="s">
        <v>80</v>
      </c>
      <c r="V736" t="str">
        <f t="shared" si="11"/>
        <v>Incomplete</v>
      </c>
    </row>
    <row r="737" spans="1:22">
      <c r="A737" s="2">
        <v>46268</v>
      </c>
      <c r="B737" t="s">
        <v>77</v>
      </c>
      <c r="C737" t="s">
        <v>78</v>
      </c>
      <c r="V737" t="str">
        <f t="shared" si="11"/>
        <v>Incomplete</v>
      </c>
    </row>
    <row r="738" spans="1:22">
      <c r="A738" s="2">
        <v>46268</v>
      </c>
      <c r="B738" t="s">
        <v>77</v>
      </c>
      <c r="C738" t="s">
        <v>79</v>
      </c>
      <c r="V738" t="str">
        <f t="shared" si="11"/>
        <v>Incomplete</v>
      </c>
    </row>
    <row r="739" spans="1:22">
      <c r="A739" s="2">
        <v>46268</v>
      </c>
      <c r="B739" t="s">
        <v>77</v>
      </c>
      <c r="C739" t="s">
        <v>80</v>
      </c>
      <c r="V739" t="str">
        <f t="shared" si="11"/>
        <v>Incomplete</v>
      </c>
    </row>
    <row r="740" spans="1:22">
      <c r="A740" s="2">
        <v>46269</v>
      </c>
      <c r="B740" t="s">
        <v>81</v>
      </c>
      <c r="C740" t="s">
        <v>78</v>
      </c>
      <c r="V740" t="str">
        <f t="shared" si="11"/>
        <v>Incomplete</v>
      </c>
    </row>
    <row r="741" spans="1:22">
      <c r="A741" s="2">
        <v>46269</v>
      </c>
      <c r="B741" t="s">
        <v>81</v>
      </c>
      <c r="C741" t="s">
        <v>79</v>
      </c>
      <c r="V741" t="str">
        <f t="shared" si="11"/>
        <v>Incomplete</v>
      </c>
    </row>
    <row r="742" spans="1:22">
      <c r="A742" s="2">
        <v>46269</v>
      </c>
      <c r="B742" t="s">
        <v>81</v>
      </c>
      <c r="C742" t="s">
        <v>80</v>
      </c>
      <c r="V742" t="str">
        <f t="shared" si="11"/>
        <v>Incomplete</v>
      </c>
    </row>
    <row r="743" spans="1:22">
      <c r="A743" s="2">
        <v>46270</v>
      </c>
      <c r="B743" t="s">
        <v>82</v>
      </c>
      <c r="C743" t="s">
        <v>78</v>
      </c>
      <c r="V743" t="str">
        <f t="shared" si="11"/>
        <v>Incomplete</v>
      </c>
    </row>
    <row r="744" spans="1:22">
      <c r="A744" s="2">
        <v>46270</v>
      </c>
      <c r="B744" t="s">
        <v>82</v>
      </c>
      <c r="C744" t="s">
        <v>79</v>
      </c>
      <c r="V744" t="str">
        <f t="shared" si="11"/>
        <v>Incomplete</v>
      </c>
    </row>
    <row r="745" spans="1:22">
      <c r="A745" s="2">
        <v>46270</v>
      </c>
      <c r="B745" t="s">
        <v>82</v>
      </c>
      <c r="C745" t="s">
        <v>80</v>
      </c>
      <c r="V745" t="str">
        <f t="shared" si="11"/>
        <v>Incomplete</v>
      </c>
    </row>
    <row r="746" spans="1:22">
      <c r="A746" s="2">
        <v>46271</v>
      </c>
      <c r="B746" t="s">
        <v>83</v>
      </c>
      <c r="C746" t="s">
        <v>78</v>
      </c>
      <c r="V746" t="str">
        <f t="shared" si="11"/>
        <v>Incomplete</v>
      </c>
    </row>
    <row r="747" spans="1:22">
      <c r="A747" s="2">
        <v>46271</v>
      </c>
      <c r="B747" t="s">
        <v>83</v>
      </c>
      <c r="C747" t="s">
        <v>79</v>
      </c>
      <c r="V747" t="str">
        <f t="shared" si="11"/>
        <v>Incomplete</v>
      </c>
    </row>
    <row r="748" spans="1:22">
      <c r="A748" s="2">
        <v>46271</v>
      </c>
      <c r="B748" t="s">
        <v>83</v>
      </c>
      <c r="C748" t="s">
        <v>80</v>
      </c>
      <c r="V748" t="str">
        <f t="shared" si="11"/>
        <v>Incomplete</v>
      </c>
    </row>
    <row r="749" spans="1:22">
      <c r="A749" s="2">
        <v>46272</v>
      </c>
      <c r="B749" t="s">
        <v>84</v>
      </c>
      <c r="C749" t="s">
        <v>78</v>
      </c>
      <c r="V749" t="str">
        <f t="shared" si="11"/>
        <v>Incomplete</v>
      </c>
    </row>
    <row r="750" spans="1:22">
      <c r="A750" s="2">
        <v>46272</v>
      </c>
      <c r="B750" t="s">
        <v>84</v>
      </c>
      <c r="C750" t="s">
        <v>79</v>
      </c>
      <c r="V750" t="str">
        <f t="shared" si="11"/>
        <v>Incomplete</v>
      </c>
    </row>
    <row r="751" spans="1:22">
      <c r="A751" s="2">
        <v>46272</v>
      </c>
      <c r="B751" t="s">
        <v>84</v>
      </c>
      <c r="C751" t="s">
        <v>80</v>
      </c>
      <c r="V751" t="str">
        <f t="shared" si="11"/>
        <v>Incomplete</v>
      </c>
    </row>
    <row r="752" spans="1:22">
      <c r="A752" s="2">
        <v>46273</v>
      </c>
      <c r="B752" t="s">
        <v>85</v>
      </c>
      <c r="C752" t="s">
        <v>78</v>
      </c>
      <c r="V752" t="str">
        <f t="shared" si="11"/>
        <v>Incomplete</v>
      </c>
    </row>
    <row r="753" spans="1:22">
      <c r="A753" s="2">
        <v>46273</v>
      </c>
      <c r="B753" t="s">
        <v>85</v>
      </c>
      <c r="C753" t="s">
        <v>79</v>
      </c>
      <c r="V753" t="str">
        <f t="shared" si="11"/>
        <v>Incomplete</v>
      </c>
    </row>
    <row r="754" spans="1:22">
      <c r="A754" s="2">
        <v>46273</v>
      </c>
      <c r="B754" t="s">
        <v>85</v>
      </c>
      <c r="C754" t="s">
        <v>80</v>
      </c>
      <c r="V754" t="str">
        <f t="shared" si="11"/>
        <v>Incomplete</v>
      </c>
    </row>
    <row r="755" spans="1:22">
      <c r="A755" s="2">
        <v>46274</v>
      </c>
      <c r="B755" t="s">
        <v>86</v>
      </c>
      <c r="C755" t="s">
        <v>78</v>
      </c>
      <c r="V755" t="str">
        <f t="shared" si="11"/>
        <v>Incomplete</v>
      </c>
    </row>
    <row r="756" spans="1:22">
      <c r="A756" s="2">
        <v>46274</v>
      </c>
      <c r="B756" t="s">
        <v>86</v>
      </c>
      <c r="C756" t="s">
        <v>79</v>
      </c>
      <c r="V756" t="str">
        <f t="shared" si="11"/>
        <v>Incomplete</v>
      </c>
    </row>
    <row r="757" spans="1:22">
      <c r="A757" s="2">
        <v>46274</v>
      </c>
      <c r="B757" t="s">
        <v>86</v>
      </c>
      <c r="C757" t="s">
        <v>80</v>
      </c>
      <c r="V757" t="str">
        <f t="shared" si="11"/>
        <v>Incomplete</v>
      </c>
    </row>
    <row r="758" spans="1:22">
      <c r="A758" s="2">
        <v>46275</v>
      </c>
      <c r="B758" t="s">
        <v>77</v>
      </c>
      <c r="C758" t="s">
        <v>78</v>
      </c>
      <c r="V758" t="str">
        <f t="shared" si="11"/>
        <v>Incomplete</v>
      </c>
    </row>
    <row r="759" spans="1:22">
      <c r="A759" s="2">
        <v>46275</v>
      </c>
      <c r="B759" t="s">
        <v>77</v>
      </c>
      <c r="C759" t="s">
        <v>79</v>
      </c>
      <c r="V759" t="str">
        <f t="shared" si="11"/>
        <v>Incomplete</v>
      </c>
    </row>
    <row r="760" spans="1:22">
      <c r="A760" s="2">
        <v>46275</v>
      </c>
      <c r="B760" t="s">
        <v>77</v>
      </c>
      <c r="C760" t="s">
        <v>80</v>
      </c>
      <c r="V760" t="str">
        <f t="shared" si="11"/>
        <v>Incomplete</v>
      </c>
    </row>
    <row r="761" spans="1:22">
      <c r="A761" s="2">
        <v>46276</v>
      </c>
      <c r="B761" t="s">
        <v>81</v>
      </c>
      <c r="C761" t="s">
        <v>78</v>
      </c>
      <c r="V761" t="str">
        <f t="shared" si="11"/>
        <v>Incomplete</v>
      </c>
    </row>
    <row r="762" spans="1:22">
      <c r="A762" s="2">
        <v>46276</v>
      </c>
      <c r="B762" t="s">
        <v>81</v>
      </c>
      <c r="C762" t="s">
        <v>79</v>
      </c>
      <c r="V762" t="str">
        <f t="shared" si="11"/>
        <v>Incomplete</v>
      </c>
    </row>
    <row r="763" spans="1:22">
      <c r="A763" s="2">
        <v>46276</v>
      </c>
      <c r="B763" t="s">
        <v>81</v>
      </c>
      <c r="C763" t="s">
        <v>80</v>
      </c>
      <c r="V763" t="str">
        <f t="shared" si="11"/>
        <v>Incomplete</v>
      </c>
    </row>
    <row r="764" spans="1:22">
      <c r="A764" s="2">
        <v>46277</v>
      </c>
      <c r="B764" t="s">
        <v>82</v>
      </c>
      <c r="C764" t="s">
        <v>78</v>
      </c>
      <c r="V764" t="str">
        <f t="shared" si="11"/>
        <v>Incomplete</v>
      </c>
    </row>
    <row r="765" spans="1:22">
      <c r="A765" s="2">
        <v>46277</v>
      </c>
      <c r="B765" t="s">
        <v>82</v>
      </c>
      <c r="C765" t="s">
        <v>79</v>
      </c>
      <c r="V765" t="str">
        <f t="shared" si="11"/>
        <v>Incomplete</v>
      </c>
    </row>
    <row r="766" spans="1:22">
      <c r="A766" s="2">
        <v>46277</v>
      </c>
      <c r="B766" t="s">
        <v>82</v>
      </c>
      <c r="C766" t="s">
        <v>80</v>
      </c>
      <c r="V766" t="str">
        <f t="shared" si="11"/>
        <v>Incomplete</v>
      </c>
    </row>
    <row r="767" spans="1:22">
      <c r="A767" s="2">
        <v>46278</v>
      </c>
      <c r="B767" t="s">
        <v>83</v>
      </c>
      <c r="C767" t="s">
        <v>78</v>
      </c>
      <c r="V767" t="str">
        <f t="shared" si="11"/>
        <v>Incomplete</v>
      </c>
    </row>
    <row r="768" spans="1:22">
      <c r="A768" s="2">
        <v>46278</v>
      </c>
      <c r="B768" t="s">
        <v>83</v>
      </c>
      <c r="C768" t="s">
        <v>79</v>
      </c>
      <c r="V768" t="str">
        <f t="shared" si="11"/>
        <v>Incomplete</v>
      </c>
    </row>
    <row r="769" spans="1:22">
      <c r="A769" s="2">
        <v>46278</v>
      </c>
      <c r="B769" t="s">
        <v>83</v>
      </c>
      <c r="C769" t="s">
        <v>80</v>
      </c>
      <c r="V769" t="str">
        <f t="shared" si="11"/>
        <v>Incomplete</v>
      </c>
    </row>
    <row r="770" spans="1:22">
      <c r="A770" s="2">
        <v>46279</v>
      </c>
      <c r="B770" t="s">
        <v>84</v>
      </c>
      <c r="C770" t="s">
        <v>78</v>
      </c>
      <c r="V770" t="str">
        <f t="shared" ref="V770:V833" si="12">IF(AND(N770="Yes",O770="Yes",P770="Yes",Q770="Yes",R770="Yes",S770="Yes",T770="Yes",U770="Yes"),"Complete","Incomplete")</f>
        <v>Incomplete</v>
      </c>
    </row>
    <row r="771" spans="1:22">
      <c r="A771" s="2">
        <v>46279</v>
      </c>
      <c r="B771" t="s">
        <v>84</v>
      </c>
      <c r="C771" t="s">
        <v>79</v>
      </c>
      <c r="V771" t="str">
        <f t="shared" si="12"/>
        <v>Incomplete</v>
      </c>
    </row>
    <row r="772" spans="1:22">
      <c r="A772" s="2">
        <v>46279</v>
      </c>
      <c r="B772" t="s">
        <v>84</v>
      </c>
      <c r="C772" t="s">
        <v>80</v>
      </c>
      <c r="V772" t="str">
        <f t="shared" si="12"/>
        <v>Incomplete</v>
      </c>
    </row>
    <row r="773" spans="1:22">
      <c r="A773" s="2">
        <v>46280</v>
      </c>
      <c r="B773" t="s">
        <v>85</v>
      </c>
      <c r="C773" t="s">
        <v>78</v>
      </c>
      <c r="V773" t="str">
        <f t="shared" si="12"/>
        <v>Incomplete</v>
      </c>
    </row>
    <row r="774" spans="1:22">
      <c r="A774" s="2">
        <v>46280</v>
      </c>
      <c r="B774" t="s">
        <v>85</v>
      </c>
      <c r="C774" t="s">
        <v>79</v>
      </c>
      <c r="V774" t="str">
        <f t="shared" si="12"/>
        <v>Incomplete</v>
      </c>
    </row>
    <row r="775" spans="1:22">
      <c r="A775" s="2">
        <v>46280</v>
      </c>
      <c r="B775" t="s">
        <v>85</v>
      </c>
      <c r="C775" t="s">
        <v>80</v>
      </c>
      <c r="V775" t="str">
        <f t="shared" si="12"/>
        <v>Incomplete</v>
      </c>
    </row>
    <row r="776" spans="1:22">
      <c r="A776" s="2">
        <v>46281</v>
      </c>
      <c r="B776" t="s">
        <v>86</v>
      </c>
      <c r="C776" t="s">
        <v>78</v>
      </c>
      <c r="V776" t="str">
        <f t="shared" si="12"/>
        <v>Incomplete</v>
      </c>
    </row>
    <row r="777" spans="1:22">
      <c r="A777" s="2">
        <v>46281</v>
      </c>
      <c r="B777" t="s">
        <v>86</v>
      </c>
      <c r="C777" t="s">
        <v>79</v>
      </c>
      <c r="V777" t="str">
        <f t="shared" si="12"/>
        <v>Incomplete</v>
      </c>
    </row>
    <row r="778" spans="1:22">
      <c r="A778" s="2">
        <v>46281</v>
      </c>
      <c r="B778" t="s">
        <v>86</v>
      </c>
      <c r="C778" t="s">
        <v>80</v>
      </c>
      <c r="V778" t="str">
        <f t="shared" si="12"/>
        <v>Incomplete</v>
      </c>
    </row>
    <row r="779" spans="1:22">
      <c r="A779" s="2">
        <v>46282</v>
      </c>
      <c r="B779" t="s">
        <v>77</v>
      </c>
      <c r="C779" t="s">
        <v>78</v>
      </c>
      <c r="V779" t="str">
        <f t="shared" si="12"/>
        <v>Incomplete</v>
      </c>
    </row>
    <row r="780" spans="1:22">
      <c r="A780" s="2">
        <v>46282</v>
      </c>
      <c r="B780" t="s">
        <v>77</v>
      </c>
      <c r="C780" t="s">
        <v>79</v>
      </c>
      <c r="V780" t="str">
        <f t="shared" si="12"/>
        <v>Incomplete</v>
      </c>
    </row>
    <row r="781" spans="1:22">
      <c r="A781" s="2">
        <v>46282</v>
      </c>
      <c r="B781" t="s">
        <v>77</v>
      </c>
      <c r="C781" t="s">
        <v>80</v>
      </c>
      <c r="V781" t="str">
        <f t="shared" si="12"/>
        <v>Incomplete</v>
      </c>
    </row>
    <row r="782" spans="1:22">
      <c r="A782" s="2">
        <v>46283</v>
      </c>
      <c r="B782" t="s">
        <v>81</v>
      </c>
      <c r="C782" t="s">
        <v>78</v>
      </c>
      <c r="V782" t="str">
        <f t="shared" si="12"/>
        <v>Incomplete</v>
      </c>
    </row>
    <row r="783" spans="1:22">
      <c r="A783" s="2">
        <v>46283</v>
      </c>
      <c r="B783" t="s">
        <v>81</v>
      </c>
      <c r="C783" t="s">
        <v>79</v>
      </c>
      <c r="V783" t="str">
        <f t="shared" si="12"/>
        <v>Incomplete</v>
      </c>
    </row>
    <row r="784" spans="1:22">
      <c r="A784" s="2">
        <v>46283</v>
      </c>
      <c r="B784" t="s">
        <v>81</v>
      </c>
      <c r="C784" t="s">
        <v>80</v>
      </c>
      <c r="V784" t="str">
        <f t="shared" si="12"/>
        <v>Incomplete</v>
      </c>
    </row>
    <row r="785" spans="1:22">
      <c r="A785" s="2">
        <v>46284</v>
      </c>
      <c r="B785" t="s">
        <v>82</v>
      </c>
      <c r="C785" t="s">
        <v>78</v>
      </c>
      <c r="V785" t="str">
        <f t="shared" si="12"/>
        <v>Incomplete</v>
      </c>
    </row>
    <row r="786" spans="1:22">
      <c r="A786" s="2">
        <v>46284</v>
      </c>
      <c r="B786" t="s">
        <v>82</v>
      </c>
      <c r="C786" t="s">
        <v>79</v>
      </c>
      <c r="V786" t="str">
        <f t="shared" si="12"/>
        <v>Incomplete</v>
      </c>
    </row>
    <row r="787" spans="1:22">
      <c r="A787" s="2">
        <v>46284</v>
      </c>
      <c r="B787" t="s">
        <v>82</v>
      </c>
      <c r="C787" t="s">
        <v>80</v>
      </c>
      <c r="V787" t="str">
        <f t="shared" si="12"/>
        <v>Incomplete</v>
      </c>
    </row>
    <row r="788" spans="1:22">
      <c r="A788" s="2">
        <v>46285</v>
      </c>
      <c r="B788" t="s">
        <v>83</v>
      </c>
      <c r="C788" t="s">
        <v>78</v>
      </c>
      <c r="V788" t="str">
        <f t="shared" si="12"/>
        <v>Incomplete</v>
      </c>
    </row>
    <row r="789" spans="1:22">
      <c r="A789" s="2">
        <v>46285</v>
      </c>
      <c r="B789" t="s">
        <v>83</v>
      </c>
      <c r="C789" t="s">
        <v>79</v>
      </c>
      <c r="V789" t="str">
        <f t="shared" si="12"/>
        <v>Incomplete</v>
      </c>
    </row>
    <row r="790" spans="1:22">
      <c r="A790" s="2">
        <v>46285</v>
      </c>
      <c r="B790" t="s">
        <v>83</v>
      </c>
      <c r="C790" t="s">
        <v>80</v>
      </c>
      <c r="V790" t="str">
        <f t="shared" si="12"/>
        <v>Incomplete</v>
      </c>
    </row>
    <row r="791" spans="1:22">
      <c r="A791" s="2">
        <v>46286</v>
      </c>
      <c r="B791" t="s">
        <v>84</v>
      </c>
      <c r="C791" t="s">
        <v>78</v>
      </c>
      <c r="V791" t="str">
        <f t="shared" si="12"/>
        <v>Incomplete</v>
      </c>
    </row>
    <row r="792" spans="1:22">
      <c r="A792" s="2">
        <v>46286</v>
      </c>
      <c r="B792" t="s">
        <v>84</v>
      </c>
      <c r="C792" t="s">
        <v>79</v>
      </c>
      <c r="V792" t="str">
        <f t="shared" si="12"/>
        <v>Incomplete</v>
      </c>
    </row>
    <row r="793" spans="1:22">
      <c r="A793" s="2">
        <v>46286</v>
      </c>
      <c r="B793" t="s">
        <v>84</v>
      </c>
      <c r="C793" t="s">
        <v>80</v>
      </c>
      <c r="V793" t="str">
        <f t="shared" si="12"/>
        <v>Incomplete</v>
      </c>
    </row>
    <row r="794" spans="1:22">
      <c r="A794" s="2">
        <v>46287</v>
      </c>
      <c r="B794" t="s">
        <v>85</v>
      </c>
      <c r="C794" t="s">
        <v>78</v>
      </c>
      <c r="V794" t="str">
        <f t="shared" si="12"/>
        <v>Incomplete</v>
      </c>
    </row>
    <row r="795" spans="1:22">
      <c r="A795" s="2">
        <v>46287</v>
      </c>
      <c r="B795" t="s">
        <v>85</v>
      </c>
      <c r="C795" t="s">
        <v>79</v>
      </c>
      <c r="V795" t="str">
        <f t="shared" si="12"/>
        <v>Incomplete</v>
      </c>
    </row>
    <row r="796" spans="1:22">
      <c r="A796" s="2">
        <v>46287</v>
      </c>
      <c r="B796" t="s">
        <v>85</v>
      </c>
      <c r="C796" t="s">
        <v>80</v>
      </c>
      <c r="V796" t="str">
        <f t="shared" si="12"/>
        <v>Incomplete</v>
      </c>
    </row>
    <row r="797" spans="1:22">
      <c r="A797" s="2">
        <v>46288</v>
      </c>
      <c r="B797" t="s">
        <v>86</v>
      </c>
      <c r="C797" t="s">
        <v>78</v>
      </c>
      <c r="V797" t="str">
        <f t="shared" si="12"/>
        <v>Incomplete</v>
      </c>
    </row>
    <row r="798" spans="1:22">
      <c r="A798" s="2">
        <v>46288</v>
      </c>
      <c r="B798" t="s">
        <v>86</v>
      </c>
      <c r="C798" t="s">
        <v>79</v>
      </c>
      <c r="V798" t="str">
        <f t="shared" si="12"/>
        <v>Incomplete</v>
      </c>
    </row>
    <row r="799" spans="1:22">
      <c r="A799" s="2">
        <v>46288</v>
      </c>
      <c r="B799" t="s">
        <v>86</v>
      </c>
      <c r="C799" t="s">
        <v>80</v>
      </c>
      <c r="V799" t="str">
        <f t="shared" si="12"/>
        <v>Incomplete</v>
      </c>
    </row>
    <row r="800" spans="1:22">
      <c r="A800" s="2">
        <v>46289</v>
      </c>
      <c r="B800" t="s">
        <v>77</v>
      </c>
      <c r="C800" t="s">
        <v>78</v>
      </c>
      <c r="V800" t="str">
        <f t="shared" si="12"/>
        <v>Incomplete</v>
      </c>
    </row>
    <row r="801" spans="1:22">
      <c r="A801" s="2">
        <v>46289</v>
      </c>
      <c r="B801" t="s">
        <v>77</v>
      </c>
      <c r="C801" t="s">
        <v>79</v>
      </c>
      <c r="V801" t="str">
        <f t="shared" si="12"/>
        <v>Incomplete</v>
      </c>
    </row>
    <row r="802" spans="1:22">
      <c r="A802" s="2">
        <v>46289</v>
      </c>
      <c r="B802" t="s">
        <v>77</v>
      </c>
      <c r="C802" t="s">
        <v>80</v>
      </c>
      <c r="V802" t="str">
        <f t="shared" si="12"/>
        <v>Incomplete</v>
      </c>
    </row>
    <row r="803" spans="1:22">
      <c r="A803" s="2">
        <v>46290</v>
      </c>
      <c r="B803" t="s">
        <v>81</v>
      </c>
      <c r="C803" t="s">
        <v>78</v>
      </c>
      <c r="V803" t="str">
        <f t="shared" si="12"/>
        <v>Incomplete</v>
      </c>
    </row>
    <row r="804" spans="1:22">
      <c r="A804" s="2">
        <v>46290</v>
      </c>
      <c r="B804" t="s">
        <v>81</v>
      </c>
      <c r="C804" t="s">
        <v>79</v>
      </c>
      <c r="V804" t="str">
        <f t="shared" si="12"/>
        <v>Incomplete</v>
      </c>
    </row>
    <row r="805" spans="1:22">
      <c r="A805" s="2">
        <v>46290</v>
      </c>
      <c r="B805" t="s">
        <v>81</v>
      </c>
      <c r="C805" t="s">
        <v>80</v>
      </c>
      <c r="V805" t="str">
        <f t="shared" si="12"/>
        <v>Incomplete</v>
      </c>
    </row>
    <row r="806" spans="1:22">
      <c r="A806" s="2">
        <v>46291</v>
      </c>
      <c r="B806" t="s">
        <v>82</v>
      </c>
      <c r="C806" t="s">
        <v>78</v>
      </c>
      <c r="V806" t="str">
        <f t="shared" si="12"/>
        <v>Incomplete</v>
      </c>
    </row>
    <row r="807" spans="1:22">
      <c r="A807" s="2">
        <v>46291</v>
      </c>
      <c r="B807" t="s">
        <v>82</v>
      </c>
      <c r="C807" t="s">
        <v>79</v>
      </c>
      <c r="V807" t="str">
        <f t="shared" si="12"/>
        <v>Incomplete</v>
      </c>
    </row>
    <row r="808" spans="1:22">
      <c r="A808" s="2">
        <v>46291</v>
      </c>
      <c r="B808" t="s">
        <v>82</v>
      </c>
      <c r="C808" t="s">
        <v>80</v>
      </c>
      <c r="V808" t="str">
        <f t="shared" si="12"/>
        <v>Incomplete</v>
      </c>
    </row>
    <row r="809" spans="1:22">
      <c r="A809" s="2">
        <v>46292</v>
      </c>
      <c r="B809" t="s">
        <v>83</v>
      </c>
      <c r="C809" t="s">
        <v>78</v>
      </c>
      <c r="V809" t="str">
        <f t="shared" si="12"/>
        <v>Incomplete</v>
      </c>
    </row>
    <row r="810" spans="1:22">
      <c r="A810" s="2">
        <v>46292</v>
      </c>
      <c r="B810" t="s">
        <v>83</v>
      </c>
      <c r="C810" t="s">
        <v>79</v>
      </c>
      <c r="V810" t="str">
        <f t="shared" si="12"/>
        <v>Incomplete</v>
      </c>
    </row>
    <row r="811" spans="1:22">
      <c r="A811" s="2">
        <v>46292</v>
      </c>
      <c r="B811" t="s">
        <v>83</v>
      </c>
      <c r="C811" t="s">
        <v>80</v>
      </c>
      <c r="V811" t="str">
        <f t="shared" si="12"/>
        <v>Incomplete</v>
      </c>
    </row>
    <row r="812" spans="1:22">
      <c r="A812" s="2">
        <v>46293</v>
      </c>
      <c r="B812" t="s">
        <v>84</v>
      </c>
      <c r="C812" t="s">
        <v>78</v>
      </c>
      <c r="V812" t="str">
        <f t="shared" si="12"/>
        <v>Incomplete</v>
      </c>
    </row>
    <row r="813" spans="1:22">
      <c r="A813" s="2">
        <v>46293</v>
      </c>
      <c r="B813" t="s">
        <v>84</v>
      </c>
      <c r="C813" t="s">
        <v>79</v>
      </c>
      <c r="V813" t="str">
        <f t="shared" si="12"/>
        <v>Incomplete</v>
      </c>
    </row>
    <row r="814" spans="1:22">
      <c r="A814" s="2">
        <v>46293</v>
      </c>
      <c r="B814" t="s">
        <v>84</v>
      </c>
      <c r="C814" t="s">
        <v>80</v>
      </c>
      <c r="V814" t="str">
        <f t="shared" si="12"/>
        <v>Incomplete</v>
      </c>
    </row>
    <row r="815" spans="1:22">
      <c r="A815" s="2">
        <v>46294</v>
      </c>
      <c r="B815" t="s">
        <v>85</v>
      </c>
      <c r="C815" t="s">
        <v>78</v>
      </c>
      <c r="V815" t="str">
        <f t="shared" si="12"/>
        <v>Incomplete</v>
      </c>
    </row>
    <row r="816" spans="1:22">
      <c r="A816" s="2">
        <v>46294</v>
      </c>
      <c r="B816" t="s">
        <v>85</v>
      </c>
      <c r="C816" t="s">
        <v>79</v>
      </c>
      <c r="V816" t="str">
        <f t="shared" si="12"/>
        <v>Incomplete</v>
      </c>
    </row>
    <row r="817" spans="1:22">
      <c r="A817" s="2">
        <v>46294</v>
      </c>
      <c r="B817" t="s">
        <v>85</v>
      </c>
      <c r="C817" t="s">
        <v>80</v>
      </c>
      <c r="V817" t="str">
        <f t="shared" si="12"/>
        <v>Incomplete</v>
      </c>
    </row>
    <row r="818" spans="1:22">
      <c r="A818" s="2">
        <v>46295</v>
      </c>
      <c r="B818" t="s">
        <v>86</v>
      </c>
      <c r="C818" t="s">
        <v>78</v>
      </c>
      <c r="V818" t="str">
        <f t="shared" si="12"/>
        <v>Incomplete</v>
      </c>
    </row>
    <row r="819" spans="1:22">
      <c r="A819" s="2">
        <v>46295</v>
      </c>
      <c r="B819" t="s">
        <v>86</v>
      </c>
      <c r="C819" t="s">
        <v>79</v>
      </c>
      <c r="V819" t="str">
        <f t="shared" si="12"/>
        <v>Incomplete</v>
      </c>
    </row>
    <row r="820" spans="1:22">
      <c r="A820" s="2">
        <v>46295</v>
      </c>
      <c r="B820" t="s">
        <v>86</v>
      </c>
      <c r="C820" t="s">
        <v>80</v>
      </c>
      <c r="V820" t="str">
        <f t="shared" si="12"/>
        <v>Incomplete</v>
      </c>
    </row>
    <row r="821" spans="1:22">
      <c r="A821" s="2">
        <v>46296</v>
      </c>
      <c r="B821" t="s">
        <v>77</v>
      </c>
      <c r="C821" t="s">
        <v>78</v>
      </c>
      <c r="V821" t="str">
        <f t="shared" si="12"/>
        <v>Incomplete</v>
      </c>
    </row>
    <row r="822" spans="1:22">
      <c r="A822" s="2">
        <v>46296</v>
      </c>
      <c r="B822" t="s">
        <v>77</v>
      </c>
      <c r="C822" t="s">
        <v>79</v>
      </c>
      <c r="V822" t="str">
        <f t="shared" si="12"/>
        <v>Incomplete</v>
      </c>
    </row>
    <row r="823" spans="1:22">
      <c r="A823" s="2">
        <v>46296</v>
      </c>
      <c r="B823" t="s">
        <v>77</v>
      </c>
      <c r="C823" t="s">
        <v>80</v>
      </c>
      <c r="V823" t="str">
        <f t="shared" si="12"/>
        <v>Incomplete</v>
      </c>
    </row>
    <row r="824" spans="1:22">
      <c r="A824" s="2">
        <v>46297</v>
      </c>
      <c r="B824" t="s">
        <v>81</v>
      </c>
      <c r="C824" t="s">
        <v>78</v>
      </c>
      <c r="V824" t="str">
        <f t="shared" si="12"/>
        <v>Incomplete</v>
      </c>
    </row>
    <row r="825" spans="1:22">
      <c r="A825" s="2">
        <v>46297</v>
      </c>
      <c r="B825" t="s">
        <v>81</v>
      </c>
      <c r="C825" t="s">
        <v>79</v>
      </c>
      <c r="V825" t="str">
        <f t="shared" si="12"/>
        <v>Incomplete</v>
      </c>
    </row>
    <row r="826" spans="1:22">
      <c r="A826" s="2">
        <v>46297</v>
      </c>
      <c r="B826" t="s">
        <v>81</v>
      </c>
      <c r="C826" t="s">
        <v>80</v>
      </c>
      <c r="V826" t="str">
        <f t="shared" si="12"/>
        <v>Incomplete</v>
      </c>
    </row>
    <row r="827" spans="1:22">
      <c r="A827" s="2">
        <v>46298</v>
      </c>
      <c r="B827" t="s">
        <v>82</v>
      </c>
      <c r="C827" t="s">
        <v>78</v>
      </c>
      <c r="V827" t="str">
        <f t="shared" si="12"/>
        <v>Incomplete</v>
      </c>
    </row>
    <row r="828" spans="1:22">
      <c r="A828" s="2">
        <v>46298</v>
      </c>
      <c r="B828" t="s">
        <v>82</v>
      </c>
      <c r="C828" t="s">
        <v>79</v>
      </c>
      <c r="V828" t="str">
        <f t="shared" si="12"/>
        <v>Incomplete</v>
      </c>
    </row>
    <row r="829" spans="1:22">
      <c r="A829" s="2">
        <v>46298</v>
      </c>
      <c r="B829" t="s">
        <v>82</v>
      </c>
      <c r="C829" t="s">
        <v>80</v>
      </c>
      <c r="V829" t="str">
        <f t="shared" si="12"/>
        <v>Incomplete</v>
      </c>
    </row>
    <row r="830" spans="1:22">
      <c r="A830" s="2">
        <v>46299</v>
      </c>
      <c r="B830" t="s">
        <v>83</v>
      </c>
      <c r="C830" t="s">
        <v>78</v>
      </c>
      <c r="V830" t="str">
        <f t="shared" si="12"/>
        <v>Incomplete</v>
      </c>
    </row>
    <row r="831" spans="1:22">
      <c r="A831" s="2">
        <v>46299</v>
      </c>
      <c r="B831" t="s">
        <v>83</v>
      </c>
      <c r="C831" t="s">
        <v>79</v>
      </c>
      <c r="V831" t="str">
        <f t="shared" si="12"/>
        <v>Incomplete</v>
      </c>
    </row>
    <row r="832" spans="1:22">
      <c r="A832" s="2">
        <v>46299</v>
      </c>
      <c r="B832" t="s">
        <v>83</v>
      </c>
      <c r="C832" t="s">
        <v>80</v>
      </c>
      <c r="V832" t="str">
        <f t="shared" si="12"/>
        <v>Incomplete</v>
      </c>
    </row>
    <row r="833" spans="1:22">
      <c r="A833" s="2">
        <v>46300</v>
      </c>
      <c r="B833" t="s">
        <v>84</v>
      </c>
      <c r="C833" t="s">
        <v>78</v>
      </c>
      <c r="V833" t="str">
        <f t="shared" si="12"/>
        <v>Incomplete</v>
      </c>
    </row>
    <row r="834" spans="1:22">
      <c r="A834" s="2">
        <v>46300</v>
      </c>
      <c r="B834" t="s">
        <v>84</v>
      </c>
      <c r="C834" t="s">
        <v>79</v>
      </c>
      <c r="V834" t="str">
        <f t="shared" ref="V834:V897" si="13">IF(AND(N834="Yes",O834="Yes",P834="Yes",Q834="Yes",R834="Yes",S834="Yes",T834="Yes",U834="Yes"),"Complete","Incomplete")</f>
        <v>Incomplete</v>
      </c>
    </row>
    <row r="835" spans="1:22">
      <c r="A835" s="2">
        <v>46300</v>
      </c>
      <c r="B835" t="s">
        <v>84</v>
      </c>
      <c r="C835" t="s">
        <v>80</v>
      </c>
      <c r="V835" t="str">
        <f t="shared" si="13"/>
        <v>Incomplete</v>
      </c>
    </row>
    <row r="836" spans="1:22">
      <c r="A836" s="2">
        <v>46301</v>
      </c>
      <c r="B836" t="s">
        <v>85</v>
      </c>
      <c r="C836" t="s">
        <v>78</v>
      </c>
      <c r="V836" t="str">
        <f t="shared" si="13"/>
        <v>Incomplete</v>
      </c>
    </row>
    <row r="837" spans="1:22">
      <c r="A837" s="2">
        <v>46301</v>
      </c>
      <c r="B837" t="s">
        <v>85</v>
      </c>
      <c r="C837" t="s">
        <v>79</v>
      </c>
      <c r="V837" t="str">
        <f t="shared" si="13"/>
        <v>Incomplete</v>
      </c>
    </row>
    <row r="838" spans="1:22">
      <c r="A838" s="2">
        <v>46301</v>
      </c>
      <c r="B838" t="s">
        <v>85</v>
      </c>
      <c r="C838" t="s">
        <v>80</v>
      </c>
      <c r="V838" t="str">
        <f t="shared" si="13"/>
        <v>Incomplete</v>
      </c>
    </row>
    <row r="839" spans="1:22">
      <c r="A839" s="2">
        <v>46302</v>
      </c>
      <c r="B839" t="s">
        <v>86</v>
      </c>
      <c r="C839" t="s">
        <v>78</v>
      </c>
      <c r="V839" t="str">
        <f t="shared" si="13"/>
        <v>Incomplete</v>
      </c>
    </row>
    <row r="840" spans="1:22">
      <c r="A840" s="2">
        <v>46302</v>
      </c>
      <c r="B840" t="s">
        <v>86</v>
      </c>
      <c r="C840" t="s">
        <v>79</v>
      </c>
      <c r="V840" t="str">
        <f t="shared" si="13"/>
        <v>Incomplete</v>
      </c>
    </row>
    <row r="841" spans="1:22">
      <c r="A841" s="2">
        <v>46302</v>
      </c>
      <c r="B841" t="s">
        <v>86</v>
      </c>
      <c r="C841" t="s">
        <v>80</v>
      </c>
      <c r="V841" t="str">
        <f t="shared" si="13"/>
        <v>Incomplete</v>
      </c>
    </row>
    <row r="842" spans="1:22">
      <c r="A842" s="2">
        <v>46303</v>
      </c>
      <c r="B842" t="s">
        <v>77</v>
      </c>
      <c r="C842" t="s">
        <v>78</v>
      </c>
      <c r="V842" t="str">
        <f t="shared" si="13"/>
        <v>Incomplete</v>
      </c>
    </row>
    <row r="843" spans="1:22">
      <c r="A843" s="2">
        <v>46303</v>
      </c>
      <c r="B843" t="s">
        <v>77</v>
      </c>
      <c r="C843" t="s">
        <v>79</v>
      </c>
      <c r="V843" t="str">
        <f t="shared" si="13"/>
        <v>Incomplete</v>
      </c>
    </row>
    <row r="844" spans="1:22">
      <c r="A844" s="2">
        <v>46303</v>
      </c>
      <c r="B844" t="s">
        <v>77</v>
      </c>
      <c r="C844" t="s">
        <v>80</v>
      </c>
      <c r="V844" t="str">
        <f t="shared" si="13"/>
        <v>Incomplete</v>
      </c>
    </row>
    <row r="845" spans="1:22">
      <c r="A845" s="2">
        <v>46304</v>
      </c>
      <c r="B845" t="s">
        <v>81</v>
      </c>
      <c r="C845" t="s">
        <v>78</v>
      </c>
      <c r="V845" t="str">
        <f t="shared" si="13"/>
        <v>Incomplete</v>
      </c>
    </row>
    <row r="846" spans="1:22">
      <c r="A846" s="2">
        <v>46304</v>
      </c>
      <c r="B846" t="s">
        <v>81</v>
      </c>
      <c r="C846" t="s">
        <v>79</v>
      </c>
      <c r="V846" t="str">
        <f t="shared" si="13"/>
        <v>Incomplete</v>
      </c>
    </row>
    <row r="847" spans="1:22">
      <c r="A847" s="2">
        <v>46304</v>
      </c>
      <c r="B847" t="s">
        <v>81</v>
      </c>
      <c r="C847" t="s">
        <v>80</v>
      </c>
      <c r="V847" t="str">
        <f t="shared" si="13"/>
        <v>Incomplete</v>
      </c>
    </row>
    <row r="848" spans="1:22">
      <c r="A848" s="2">
        <v>46305</v>
      </c>
      <c r="B848" t="s">
        <v>82</v>
      </c>
      <c r="C848" t="s">
        <v>78</v>
      </c>
      <c r="V848" t="str">
        <f t="shared" si="13"/>
        <v>Incomplete</v>
      </c>
    </row>
    <row r="849" spans="1:22">
      <c r="A849" s="2">
        <v>46305</v>
      </c>
      <c r="B849" t="s">
        <v>82</v>
      </c>
      <c r="C849" t="s">
        <v>79</v>
      </c>
      <c r="V849" t="str">
        <f t="shared" si="13"/>
        <v>Incomplete</v>
      </c>
    </row>
    <row r="850" spans="1:22">
      <c r="A850" s="2">
        <v>46305</v>
      </c>
      <c r="B850" t="s">
        <v>82</v>
      </c>
      <c r="C850" t="s">
        <v>80</v>
      </c>
      <c r="V850" t="str">
        <f t="shared" si="13"/>
        <v>Incomplete</v>
      </c>
    </row>
    <row r="851" spans="1:22">
      <c r="A851" s="2">
        <v>46306</v>
      </c>
      <c r="B851" t="s">
        <v>83</v>
      </c>
      <c r="C851" t="s">
        <v>78</v>
      </c>
      <c r="V851" t="str">
        <f t="shared" si="13"/>
        <v>Incomplete</v>
      </c>
    </row>
    <row r="852" spans="1:22">
      <c r="A852" s="2">
        <v>46306</v>
      </c>
      <c r="B852" t="s">
        <v>83</v>
      </c>
      <c r="C852" t="s">
        <v>79</v>
      </c>
      <c r="V852" t="str">
        <f t="shared" si="13"/>
        <v>Incomplete</v>
      </c>
    </row>
    <row r="853" spans="1:22">
      <c r="A853" s="2">
        <v>46306</v>
      </c>
      <c r="B853" t="s">
        <v>83</v>
      </c>
      <c r="C853" t="s">
        <v>80</v>
      </c>
      <c r="V853" t="str">
        <f t="shared" si="13"/>
        <v>Incomplete</v>
      </c>
    </row>
    <row r="854" spans="1:22">
      <c r="A854" s="2">
        <v>46307</v>
      </c>
      <c r="B854" t="s">
        <v>84</v>
      </c>
      <c r="C854" t="s">
        <v>78</v>
      </c>
      <c r="V854" t="str">
        <f t="shared" si="13"/>
        <v>Incomplete</v>
      </c>
    </row>
    <row r="855" spans="1:22">
      <c r="A855" s="2">
        <v>46307</v>
      </c>
      <c r="B855" t="s">
        <v>84</v>
      </c>
      <c r="C855" t="s">
        <v>79</v>
      </c>
      <c r="V855" t="str">
        <f t="shared" si="13"/>
        <v>Incomplete</v>
      </c>
    </row>
    <row r="856" spans="1:22">
      <c r="A856" s="2">
        <v>46307</v>
      </c>
      <c r="B856" t="s">
        <v>84</v>
      </c>
      <c r="C856" t="s">
        <v>80</v>
      </c>
      <c r="V856" t="str">
        <f t="shared" si="13"/>
        <v>Incomplete</v>
      </c>
    </row>
    <row r="857" spans="1:22">
      <c r="A857" s="2">
        <v>46308</v>
      </c>
      <c r="B857" t="s">
        <v>85</v>
      </c>
      <c r="C857" t="s">
        <v>78</v>
      </c>
      <c r="V857" t="str">
        <f t="shared" si="13"/>
        <v>Incomplete</v>
      </c>
    </row>
    <row r="858" spans="1:22">
      <c r="A858" s="2">
        <v>46308</v>
      </c>
      <c r="B858" t="s">
        <v>85</v>
      </c>
      <c r="C858" t="s">
        <v>79</v>
      </c>
      <c r="V858" t="str">
        <f t="shared" si="13"/>
        <v>Incomplete</v>
      </c>
    </row>
    <row r="859" spans="1:22">
      <c r="A859" s="2">
        <v>46308</v>
      </c>
      <c r="B859" t="s">
        <v>85</v>
      </c>
      <c r="C859" t="s">
        <v>80</v>
      </c>
      <c r="V859" t="str">
        <f t="shared" si="13"/>
        <v>Incomplete</v>
      </c>
    </row>
    <row r="860" spans="1:22">
      <c r="A860" s="2">
        <v>46309</v>
      </c>
      <c r="B860" t="s">
        <v>86</v>
      </c>
      <c r="C860" t="s">
        <v>78</v>
      </c>
      <c r="V860" t="str">
        <f t="shared" si="13"/>
        <v>Incomplete</v>
      </c>
    </row>
    <row r="861" spans="1:22">
      <c r="A861" s="2">
        <v>46309</v>
      </c>
      <c r="B861" t="s">
        <v>86</v>
      </c>
      <c r="C861" t="s">
        <v>79</v>
      </c>
      <c r="V861" t="str">
        <f t="shared" si="13"/>
        <v>Incomplete</v>
      </c>
    </row>
    <row r="862" spans="1:22">
      <c r="A862" s="2">
        <v>46309</v>
      </c>
      <c r="B862" t="s">
        <v>86</v>
      </c>
      <c r="C862" t="s">
        <v>80</v>
      </c>
      <c r="V862" t="str">
        <f t="shared" si="13"/>
        <v>Incomplete</v>
      </c>
    </row>
    <row r="863" spans="1:22">
      <c r="A863" s="2">
        <v>46310</v>
      </c>
      <c r="B863" t="s">
        <v>77</v>
      </c>
      <c r="C863" t="s">
        <v>78</v>
      </c>
      <c r="V863" t="str">
        <f t="shared" si="13"/>
        <v>Incomplete</v>
      </c>
    </row>
    <row r="864" spans="1:22">
      <c r="A864" s="2">
        <v>46310</v>
      </c>
      <c r="B864" t="s">
        <v>77</v>
      </c>
      <c r="C864" t="s">
        <v>79</v>
      </c>
      <c r="V864" t="str">
        <f t="shared" si="13"/>
        <v>Incomplete</v>
      </c>
    </row>
    <row r="865" spans="1:22">
      <c r="A865" s="2">
        <v>46310</v>
      </c>
      <c r="B865" t="s">
        <v>77</v>
      </c>
      <c r="C865" t="s">
        <v>80</v>
      </c>
      <c r="V865" t="str">
        <f t="shared" si="13"/>
        <v>Incomplete</v>
      </c>
    </row>
    <row r="866" spans="1:22">
      <c r="A866" s="2">
        <v>46311</v>
      </c>
      <c r="B866" t="s">
        <v>81</v>
      </c>
      <c r="C866" t="s">
        <v>78</v>
      </c>
      <c r="V866" t="str">
        <f t="shared" si="13"/>
        <v>Incomplete</v>
      </c>
    </row>
    <row r="867" spans="1:22">
      <c r="A867" s="2">
        <v>46311</v>
      </c>
      <c r="B867" t="s">
        <v>81</v>
      </c>
      <c r="C867" t="s">
        <v>79</v>
      </c>
      <c r="V867" t="str">
        <f t="shared" si="13"/>
        <v>Incomplete</v>
      </c>
    </row>
    <row r="868" spans="1:22">
      <c r="A868" s="2">
        <v>46311</v>
      </c>
      <c r="B868" t="s">
        <v>81</v>
      </c>
      <c r="C868" t="s">
        <v>80</v>
      </c>
      <c r="V868" t="str">
        <f t="shared" si="13"/>
        <v>Incomplete</v>
      </c>
    </row>
    <row r="869" spans="1:22">
      <c r="A869" s="2">
        <v>46312</v>
      </c>
      <c r="B869" t="s">
        <v>82</v>
      </c>
      <c r="C869" t="s">
        <v>78</v>
      </c>
      <c r="V869" t="str">
        <f t="shared" si="13"/>
        <v>Incomplete</v>
      </c>
    </row>
    <row r="870" spans="1:22">
      <c r="A870" s="2">
        <v>46312</v>
      </c>
      <c r="B870" t="s">
        <v>82</v>
      </c>
      <c r="C870" t="s">
        <v>79</v>
      </c>
      <c r="V870" t="str">
        <f t="shared" si="13"/>
        <v>Incomplete</v>
      </c>
    </row>
    <row r="871" spans="1:22">
      <c r="A871" s="2">
        <v>46312</v>
      </c>
      <c r="B871" t="s">
        <v>82</v>
      </c>
      <c r="C871" t="s">
        <v>80</v>
      </c>
      <c r="V871" t="str">
        <f t="shared" si="13"/>
        <v>Incomplete</v>
      </c>
    </row>
    <row r="872" spans="1:22">
      <c r="A872" s="2">
        <v>46313</v>
      </c>
      <c r="B872" t="s">
        <v>83</v>
      </c>
      <c r="C872" t="s">
        <v>78</v>
      </c>
      <c r="V872" t="str">
        <f t="shared" si="13"/>
        <v>Incomplete</v>
      </c>
    </row>
    <row r="873" spans="1:22">
      <c r="A873" s="2">
        <v>46313</v>
      </c>
      <c r="B873" t="s">
        <v>83</v>
      </c>
      <c r="C873" t="s">
        <v>79</v>
      </c>
      <c r="V873" t="str">
        <f t="shared" si="13"/>
        <v>Incomplete</v>
      </c>
    </row>
    <row r="874" spans="1:22">
      <c r="A874" s="2">
        <v>46313</v>
      </c>
      <c r="B874" t="s">
        <v>83</v>
      </c>
      <c r="C874" t="s">
        <v>80</v>
      </c>
      <c r="V874" t="str">
        <f t="shared" si="13"/>
        <v>Incomplete</v>
      </c>
    </row>
    <row r="875" spans="1:22">
      <c r="A875" s="2">
        <v>46314</v>
      </c>
      <c r="B875" t="s">
        <v>84</v>
      </c>
      <c r="C875" t="s">
        <v>78</v>
      </c>
      <c r="V875" t="str">
        <f t="shared" si="13"/>
        <v>Incomplete</v>
      </c>
    </row>
    <row r="876" spans="1:22">
      <c r="A876" s="2">
        <v>46314</v>
      </c>
      <c r="B876" t="s">
        <v>84</v>
      </c>
      <c r="C876" t="s">
        <v>79</v>
      </c>
      <c r="V876" t="str">
        <f t="shared" si="13"/>
        <v>Incomplete</v>
      </c>
    </row>
    <row r="877" spans="1:22">
      <c r="A877" s="2">
        <v>46314</v>
      </c>
      <c r="B877" t="s">
        <v>84</v>
      </c>
      <c r="C877" t="s">
        <v>80</v>
      </c>
      <c r="V877" t="str">
        <f t="shared" si="13"/>
        <v>Incomplete</v>
      </c>
    </row>
    <row r="878" spans="1:22">
      <c r="A878" s="2">
        <v>46315</v>
      </c>
      <c r="B878" t="s">
        <v>85</v>
      </c>
      <c r="C878" t="s">
        <v>78</v>
      </c>
      <c r="V878" t="str">
        <f t="shared" si="13"/>
        <v>Incomplete</v>
      </c>
    </row>
    <row r="879" spans="1:22">
      <c r="A879" s="2">
        <v>46315</v>
      </c>
      <c r="B879" t="s">
        <v>85</v>
      </c>
      <c r="C879" t="s">
        <v>79</v>
      </c>
      <c r="V879" t="str">
        <f t="shared" si="13"/>
        <v>Incomplete</v>
      </c>
    </row>
    <row r="880" spans="1:22">
      <c r="A880" s="2">
        <v>46315</v>
      </c>
      <c r="B880" t="s">
        <v>85</v>
      </c>
      <c r="C880" t="s">
        <v>80</v>
      </c>
      <c r="V880" t="str">
        <f t="shared" si="13"/>
        <v>Incomplete</v>
      </c>
    </row>
    <row r="881" spans="1:22">
      <c r="A881" s="2">
        <v>46316</v>
      </c>
      <c r="B881" t="s">
        <v>86</v>
      </c>
      <c r="C881" t="s">
        <v>78</v>
      </c>
      <c r="V881" t="str">
        <f t="shared" si="13"/>
        <v>Incomplete</v>
      </c>
    </row>
    <row r="882" spans="1:22">
      <c r="A882" s="2">
        <v>46316</v>
      </c>
      <c r="B882" t="s">
        <v>86</v>
      </c>
      <c r="C882" t="s">
        <v>79</v>
      </c>
      <c r="V882" t="str">
        <f t="shared" si="13"/>
        <v>Incomplete</v>
      </c>
    </row>
    <row r="883" spans="1:22">
      <c r="A883" s="2">
        <v>46316</v>
      </c>
      <c r="B883" t="s">
        <v>86</v>
      </c>
      <c r="C883" t="s">
        <v>80</v>
      </c>
      <c r="V883" t="str">
        <f t="shared" si="13"/>
        <v>Incomplete</v>
      </c>
    </row>
    <row r="884" spans="1:22">
      <c r="A884" s="2">
        <v>46317</v>
      </c>
      <c r="B884" t="s">
        <v>77</v>
      </c>
      <c r="C884" t="s">
        <v>78</v>
      </c>
      <c r="V884" t="str">
        <f t="shared" si="13"/>
        <v>Incomplete</v>
      </c>
    </row>
    <row r="885" spans="1:22">
      <c r="A885" s="2">
        <v>46317</v>
      </c>
      <c r="B885" t="s">
        <v>77</v>
      </c>
      <c r="C885" t="s">
        <v>79</v>
      </c>
      <c r="V885" t="str">
        <f t="shared" si="13"/>
        <v>Incomplete</v>
      </c>
    </row>
    <row r="886" spans="1:22">
      <c r="A886" s="2">
        <v>46317</v>
      </c>
      <c r="B886" t="s">
        <v>77</v>
      </c>
      <c r="C886" t="s">
        <v>80</v>
      </c>
      <c r="V886" t="str">
        <f t="shared" si="13"/>
        <v>Incomplete</v>
      </c>
    </row>
    <row r="887" spans="1:22">
      <c r="A887" s="2">
        <v>46318</v>
      </c>
      <c r="B887" t="s">
        <v>81</v>
      </c>
      <c r="C887" t="s">
        <v>78</v>
      </c>
      <c r="V887" t="str">
        <f t="shared" si="13"/>
        <v>Incomplete</v>
      </c>
    </row>
    <row r="888" spans="1:22">
      <c r="A888" s="2">
        <v>46318</v>
      </c>
      <c r="B888" t="s">
        <v>81</v>
      </c>
      <c r="C888" t="s">
        <v>79</v>
      </c>
      <c r="V888" t="str">
        <f t="shared" si="13"/>
        <v>Incomplete</v>
      </c>
    </row>
    <row r="889" spans="1:22">
      <c r="A889" s="2">
        <v>46318</v>
      </c>
      <c r="B889" t="s">
        <v>81</v>
      </c>
      <c r="C889" t="s">
        <v>80</v>
      </c>
      <c r="V889" t="str">
        <f t="shared" si="13"/>
        <v>Incomplete</v>
      </c>
    </row>
    <row r="890" spans="1:22">
      <c r="A890" s="2">
        <v>46319</v>
      </c>
      <c r="B890" t="s">
        <v>82</v>
      </c>
      <c r="C890" t="s">
        <v>78</v>
      </c>
      <c r="V890" t="str">
        <f t="shared" si="13"/>
        <v>Incomplete</v>
      </c>
    </row>
    <row r="891" spans="1:22">
      <c r="A891" s="2">
        <v>46319</v>
      </c>
      <c r="B891" t="s">
        <v>82</v>
      </c>
      <c r="C891" t="s">
        <v>79</v>
      </c>
      <c r="V891" t="str">
        <f t="shared" si="13"/>
        <v>Incomplete</v>
      </c>
    </row>
    <row r="892" spans="1:22">
      <c r="A892" s="2">
        <v>46319</v>
      </c>
      <c r="B892" t="s">
        <v>82</v>
      </c>
      <c r="C892" t="s">
        <v>80</v>
      </c>
      <c r="V892" t="str">
        <f t="shared" si="13"/>
        <v>Incomplete</v>
      </c>
    </row>
    <row r="893" spans="1:22">
      <c r="A893" s="2">
        <v>46320</v>
      </c>
      <c r="B893" t="s">
        <v>83</v>
      </c>
      <c r="C893" t="s">
        <v>78</v>
      </c>
      <c r="V893" t="str">
        <f t="shared" si="13"/>
        <v>Incomplete</v>
      </c>
    </row>
    <row r="894" spans="1:22">
      <c r="A894" s="2">
        <v>46320</v>
      </c>
      <c r="B894" t="s">
        <v>83</v>
      </c>
      <c r="C894" t="s">
        <v>79</v>
      </c>
      <c r="V894" t="str">
        <f t="shared" si="13"/>
        <v>Incomplete</v>
      </c>
    </row>
    <row r="895" spans="1:22">
      <c r="A895" s="2">
        <v>46320</v>
      </c>
      <c r="B895" t="s">
        <v>83</v>
      </c>
      <c r="C895" t="s">
        <v>80</v>
      </c>
      <c r="V895" t="str">
        <f t="shared" si="13"/>
        <v>Incomplete</v>
      </c>
    </row>
    <row r="896" spans="1:22">
      <c r="A896" s="2">
        <v>46321</v>
      </c>
      <c r="B896" t="s">
        <v>84</v>
      </c>
      <c r="C896" t="s">
        <v>78</v>
      </c>
      <c r="V896" t="str">
        <f t="shared" si="13"/>
        <v>Incomplete</v>
      </c>
    </row>
    <row r="897" spans="1:22">
      <c r="A897" s="2">
        <v>46321</v>
      </c>
      <c r="B897" t="s">
        <v>84</v>
      </c>
      <c r="C897" t="s">
        <v>79</v>
      </c>
      <c r="V897" t="str">
        <f t="shared" si="13"/>
        <v>Incomplete</v>
      </c>
    </row>
    <row r="898" spans="1:22">
      <c r="A898" s="2">
        <v>46321</v>
      </c>
      <c r="B898" t="s">
        <v>84</v>
      </c>
      <c r="C898" t="s">
        <v>80</v>
      </c>
      <c r="V898" t="str">
        <f t="shared" ref="V898:V961" si="14">IF(AND(N898="Yes",O898="Yes",P898="Yes",Q898="Yes",R898="Yes",S898="Yes",T898="Yes",U898="Yes"),"Complete","Incomplete")</f>
        <v>Incomplete</v>
      </c>
    </row>
    <row r="899" spans="1:22">
      <c r="A899" s="2">
        <v>46322</v>
      </c>
      <c r="B899" t="s">
        <v>85</v>
      </c>
      <c r="C899" t="s">
        <v>78</v>
      </c>
      <c r="V899" t="str">
        <f t="shared" si="14"/>
        <v>Incomplete</v>
      </c>
    </row>
    <row r="900" spans="1:22">
      <c r="A900" s="2">
        <v>46322</v>
      </c>
      <c r="B900" t="s">
        <v>85</v>
      </c>
      <c r="C900" t="s">
        <v>79</v>
      </c>
      <c r="V900" t="str">
        <f t="shared" si="14"/>
        <v>Incomplete</v>
      </c>
    </row>
    <row r="901" spans="1:22">
      <c r="A901" s="2">
        <v>46322</v>
      </c>
      <c r="B901" t="s">
        <v>85</v>
      </c>
      <c r="C901" t="s">
        <v>80</v>
      </c>
      <c r="V901" t="str">
        <f t="shared" si="14"/>
        <v>Incomplete</v>
      </c>
    </row>
    <row r="902" spans="1:22">
      <c r="A902" s="2">
        <v>46323</v>
      </c>
      <c r="B902" t="s">
        <v>86</v>
      </c>
      <c r="C902" t="s">
        <v>78</v>
      </c>
      <c r="V902" t="str">
        <f t="shared" si="14"/>
        <v>Incomplete</v>
      </c>
    </row>
    <row r="903" spans="1:22">
      <c r="A903" s="2">
        <v>46323</v>
      </c>
      <c r="B903" t="s">
        <v>86</v>
      </c>
      <c r="C903" t="s">
        <v>79</v>
      </c>
      <c r="V903" t="str">
        <f t="shared" si="14"/>
        <v>Incomplete</v>
      </c>
    </row>
    <row r="904" spans="1:22">
      <c r="A904" s="2">
        <v>46323</v>
      </c>
      <c r="B904" t="s">
        <v>86</v>
      </c>
      <c r="C904" t="s">
        <v>80</v>
      </c>
      <c r="V904" t="str">
        <f t="shared" si="14"/>
        <v>Incomplete</v>
      </c>
    </row>
    <row r="905" spans="1:22">
      <c r="A905" s="2">
        <v>46324</v>
      </c>
      <c r="B905" t="s">
        <v>77</v>
      </c>
      <c r="C905" t="s">
        <v>78</v>
      </c>
      <c r="V905" t="str">
        <f t="shared" si="14"/>
        <v>Incomplete</v>
      </c>
    </row>
    <row r="906" spans="1:22">
      <c r="A906" s="2">
        <v>46324</v>
      </c>
      <c r="B906" t="s">
        <v>77</v>
      </c>
      <c r="C906" t="s">
        <v>79</v>
      </c>
      <c r="V906" t="str">
        <f t="shared" si="14"/>
        <v>Incomplete</v>
      </c>
    </row>
    <row r="907" spans="1:22">
      <c r="A907" s="2">
        <v>46324</v>
      </c>
      <c r="B907" t="s">
        <v>77</v>
      </c>
      <c r="C907" t="s">
        <v>80</v>
      </c>
      <c r="V907" t="str">
        <f t="shared" si="14"/>
        <v>Incomplete</v>
      </c>
    </row>
    <row r="908" spans="1:22">
      <c r="A908" s="2">
        <v>46325</v>
      </c>
      <c r="B908" t="s">
        <v>81</v>
      </c>
      <c r="C908" t="s">
        <v>78</v>
      </c>
      <c r="V908" t="str">
        <f t="shared" si="14"/>
        <v>Incomplete</v>
      </c>
    </row>
    <row r="909" spans="1:22">
      <c r="A909" s="2">
        <v>46325</v>
      </c>
      <c r="B909" t="s">
        <v>81</v>
      </c>
      <c r="C909" t="s">
        <v>79</v>
      </c>
      <c r="V909" t="str">
        <f t="shared" si="14"/>
        <v>Incomplete</v>
      </c>
    </row>
    <row r="910" spans="1:22">
      <c r="A910" s="2">
        <v>46325</v>
      </c>
      <c r="B910" t="s">
        <v>81</v>
      </c>
      <c r="C910" t="s">
        <v>80</v>
      </c>
      <c r="V910" t="str">
        <f t="shared" si="14"/>
        <v>Incomplete</v>
      </c>
    </row>
    <row r="911" spans="1:22">
      <c r="A911" s="2">
        <v>46326</v>
      </c>
      <c r="B911" t="s">
        <v>82</v>
      </c>
      <c r="C911" t="s">
        <v>78</v>
      </c>
      <c r="V911" t="str">
        <f t="shared" si="14"/>
        <v>Incomplete</v>
      </c>
    </row>
    <row r="912" spans="1:22">
      <c r="A912" s="2">
        <v>46326</v>
      </c>
      <c r="B912" t="s">
        <v>82</v>
      </c>
      <c r="C912" t="s">
        <v>79</v>
      </c>
      <c r="V912" t="str">
        <f t="shared" si="14"/>
        <v>Incomplete</v>
      </c>
    </row>
    <row r="913" spans="1:22">
      <c r="A913" s="2">
        <v>46326</v>
      </c>
      <c r="B913" t="s">
        <v>82</v>
      </c>
      <c r="C913" t="s">
        <v>80</v>
      </c>
      <c r="V913" t="str">
        <f t="shared" si="14"/>
        <v>Incomplete</v>
      </c>
    </row>
    <row r="914" spans="1:22">
      <c r="A914" s="2">
        <v>46327</v>
      </c>
      <c r="B914" t="s">
        <v>83</v>
      </c>
      <c r="C914" t="s">
        <v>78</v>
      </c>
      <c r="V914" t="str">
        <f t="shared" si="14"/>
        <v>Incomplete</v>
      </c>
    </row>
    <row r="915" spans="1:22">
      <c r="A915" s="2">
        <v>46327</v>
      </c>
      <c r="B915" t="s">
        <v>83</v>
      </c>
      <c r="C915" t="s">
        <v>79</v>
      </c>
      <c r="V915" t="str">
        <f t="shared" si="14"/>
        <v>Incomplete</v>
      </c>
    </row>
    <row r="916" spans="1:22">
      <c r="A916" s="2">
        <v>46327</v>
      </c>
      <c r="B916" t="s">
        <v>83</v>
      </c>
      <c r="C916" t="s">
        <v>80</v>
      </c>
      <c r="V916" t="str">
        <f t="shared" si="14"/>
        <v>Incomplete</v>
      </c>
    </row>
    <row r="917" spans="1:22">
      <c r="A917" s="2">
        <v>46328</v>
      </c>
      <c r="B917" t="s">
        <v>84</v>
      </c>
      <c r="C917" t="s">
        <v>78</v>
      </c>
      <c r="V917" t="str">
        <f t="shared" si="14"/>
        <v>Incomplete</v>
      </c>
    </row>
    <row r="918" spans="1:22">
      <c r="A918" s="2">
        <v>46328</v>
      </c>
      <c r="B918" t="s">
        <v>84</v>
      </c>
      <c r="C918" t="s">
        <v>79</v>
      </c>
      <c r="V918" t="str">
        <f t="shared" si="14"/>
        <v>Incomplete</v>
      </c>
    </row>
    <row r="919" spans="1:22">
      <c r="A919" s="2">
        <v>46328</v>
      </c>
      <c r="B919" t="s">
        <v>84</v>
      </c>
      <c r="C919" t="s">
        <v>80</v>
      </c>
      <c r="V919" t="str">
        <f t="shared" si="14"/>
        <v>Incomplete</v>
      </c>
    </row>
    <row r="920" spans="1:22">
      <c r="A920" s="2">
        <v>46329</v>
      </c>
      <c r="B920" t="s">
        <v>85</v>
      </c>
      <c r="C920" t="s">
        <v>78</v>
      </c>
      <c r="V920" t="str">
        <f t="shared" si="14"/>
        <v>Incomplete</v>
      </c>
    </row>
    <row r="921" spans="1:22">
      <c r="A921" s="2">
        <v>46329</v>
      </c>
      <c r="B921" t="s">
        <v>85</v>
      </c>
      <c r="C921" t="s">
        <v>79</v>
      </c>
      <c r="V921" t="str">
        <f t="shared" si="14"/>
        <v>Incomplete</v>
      </c>
    </row>
    <row r="922" spans="1:22">
      <c r="A922" s="2">
        <v>46329</v>
      </c>
      <c r="B922" t="s">
        <v>85</v>
      </c>
      <c r="C922" t="s">
        <v>80</v>
      </c>
      <c r="V922" t="str">
        <f t="shared" si="14"/>
        <v>Incomplete</v>
      </c>
    </row>
    <row r="923" spans="1:22">
      <c r="A923" s="2">
        <v>46330</v>
      </c>
      <c r="B923" t="s">
        <v>86</v>
      </c>
      <c r="C923" t="s">
        <v>78</v>
      </c>
      <c r="V923" t="str">
        <f t="shared" si="14"/>
        <v>Incomplete</v>
      </c>
    </row>
    <row r="924" spans="1:22">
      <c r="A924" s="2">
        <v>46330</v>
      </c>
      <c r="B924" t="s">
        <v>86</v>
      </c>
      <c r="C924" t="s">
        <v>79</v>
      </c>
      <c r="V924" t="str">
        <f t="shared" si="14"/>
        <v>Incomplete</v>
      </c>
    </row>
    <row r="925" spans="1:22">
      <c r="A925" s="2">
        <v>46330</v>
      </c>
      <c r="B925" t="s">
        <v>86</v>
      </c>
      <c r="C925" t="s">
        <v>80</v>
      </c>
      <c r="V925" t="str">
        <f t="shared" si="14"/>
        <v>Incomplete</v>
      </c>
    </row>
    <row r="926" spans="1:22">
      <c r="A926" s="2">
        <v>46331</v>
      </c>
      <c r="B926" t="s">
        <v>77</v>
      </c>
      <c r="C926" t="s">
        <v>78</v>
      </c>
      <c r="V926" t="str">
        <f t="shared" si="14"/>
        <v>Incomplete</v>
      </c>
    </row>
    <row r="927" spans="1:22">
      <c r="A927" s="2">
        <v>46331</v>
      </c>
      <c r="B927" t="s">
        <v>77</v>
      </c>
      <c r="C927" t="s">
        <v>79</v>
      </c>
      <c r="V927" t="str">
        <f t="shared" si="14"/>
        <v>Incomplete</v>
      </c>
    </row>
    <row r="928" spans="1:22">
      <c r="A928" s="2">
        <v>46331</v>
      </c>
      <c r="B928" t="s">
        <v>77</v>
      </c>
      <c r="C928" t="s">
        <v>80</v>
      </c>
      <c r="V928" t="str">
        <f t="shared" si="14"/>
        <v>Incomplete</v>
      </c>
    </row>
    <row r="929" spans="1:22">
      <c r="A929" s="2">
        <v>46332</v>
      </c>
      <c r="B929" t="s">
        <v>81</v>
      </c>
      <c r="C929" t="s">
        <v>78</v>
      </c>
      <c r="V929" t="str">
        <f t="shared" si="14"/>
        <v>Incomplete</v>
      </c>
    </row>
    <row r="930" spans="1:22">
      <c r="A930" s="2">
        <v>46332</v>
      </c>
      <c r="B930" t="s">
        <v>81</v>
      </c>
      <c r="C930" t="s">
        <v>79</v>
      </c>
      <c r="V930" t="str">
        <f t="shared" si="14"/>
        <v>Incomplete</v>
      </c>
    </row>
    <row r="931" spans="1:22">
      <c r="A931" s="2">
        <v>46332</v>
      </c>
      <c r="B931" t="s">
        <v>81</v>
      </c>
      <c r="C931" t="s">
        <v>80</v>
      </c>
      <c r="V931" t="str">
        <f t="shared" si="14"/>
        <v>Incomplete</v>
      </c>
    </row>
    <row r="932" spans="1:22">
      <c r="A932" s="2">
        <v>46333</v>
      </c>
      <c r="B932" t="s">
        <v>82</v>
      </c>
      <c r="C932" t="s">
        <v>78</v>
      </c>
      <c r="V932" t="str">
        <f t="shared" si="14"/>
        <v>Incomplete</v>
      </c>
    </row>
    <row r="933" spans="1:22">
      <c r="A933" s="2">
        <v>46333</v>
      </c>
      <c r="B933" t="s">
        <v>82</v>
      </c>
      <c r="C933" t="s">
        <v>79</v>
      </c>
      <c r="V933" t="str">
        <f t="shared" si="14"/>
        <v>Incomplete</v>
      </c>
    </row>
    <row r="934" spans="1:22">
      <c r="A934" s="2">
        <v>46333</v>
      </c>
      <c r="B934" t="s">
        <v>82</v>
      </c>
      <c r="C934" t="s">
        <v>80</v>
      </c>
      <c r="V934" t="str">
        <f t="shared" si="14"/>
        <v>Incomplete</v>
      </c>
    </row>
    <row r="935" spans="1:22">
      <c r="A935" s="2">
        <v>46334</v>
      </c>
      <c r="B935" t="s">
        <v>83</v>
      </c>
      <c r="C935" t="s">
        <v>78</v>
      </c>
      <c r="V935" t="str">
        <f t="shared" si="14"/>
        <v>Incomplete</v>
      </c>
    </row>
    <row r="936" spans="1:22">
      <c r="A936" s="2">
        <v>46334</v>
      </c>
      <c r="B936" t="s">
        <v>83</v>
      </c>
      <c r="C936" t="s">
        <v>79</v>
      </c>
      <c r="V936" t="str">
        <f t="shared" si="14"/>
        <v>Incomplete</v>
      </c>
    </row>
    <row r="937" spans="1:22">
      <c r="A937" s="2">
        <v>46334</v>
      </c>
      <c r="B937" t="s">
        <v>83</v>
      </c>
      <c r="C937" t="s">
        <v>80</v>
      </c>
      <c r="V937" t="str">
        <f t="shared" si="14"/>
        <v>Incomplete</v>
      </c>
    </row>
    <row r="938" spans="1:22">
      <c r="A938" s="2">
        <v>46335</v>
      </c>
      <c r="B938" t="s">
        <v>84</v>
      </c>
      <c r="C938" t="s">
        <v>78</v>
      </c>
      <c r="V938" t="str">
        <f t="shared" si="14"/>
        <v>Incomplete</v>
      </c>
    </row>
    <row r="939" spans="1:22">
      <c r="A939" s="2">
        <v>46335</v>
      </c>
      <c r="B939" t="s">
        <v>84</v>
      </c>
      <c r="C939" t="s">
        <v>79</v>
      </c>
      <c r="V939" t="str">
        <f t="shared" si="14"/>
        <v>Incomplete</v>
      </c>
    </row>
    <row r="940" spans="1:22">
      <c r="A940" s="2">
        <v>46335</v>
      </c>
      <c r="B940" t="s">
        <v>84</v>
      </c>
      <c r="C940" t="s">
        <v>80</v>
      </c>
      <c r="V940" t="str">
        <f t="shared" si="14"/>
        <v>Incomplete</v>
      </c>
    </row>
    <row r="941" spans="1:22">
      <c r="A941" s="2">
        <v>46336</v>
      </c>
      <c r="B941" t="s">
        <v>85</v>
      </c>
      <c r="C941" t="s">
        <v>78</v>
      </c>
      <c r="V941" t="str">
        <f t="shared" si="14"/>
        <v>Incomplete</v>
      </c>
    </row>
    <row r="942" spans="1:22">
      <c r="A942" s="2">
        <v>46336</v>
      </c>
      <c r="B942" t="s">
        <v>85</v>
      </c>
      <c r="C942" t="s">
        <v>79</v>
      </c>
      <c r="V942" t="str">
        <f t="shared" si="14"/>
        <v>Incomplete</v>
      </c>
    </row>
    <row r="943" spans="1:22">
      <c r="A943" s="2">
        <v>46336</v>
      </c>
      <c r="B943" t="s">
        <v>85</v>
      </c>
      <c r="C943" t="s">
        <v>80</v>
      </c>
      <c r="V943" t="str">
        <f t="shared" si="14"/>
        <v>Incomplete</v>
      </c>
    </row>
    <row r="944" spans="1:22">
      <c r="A944" s="2">
        <v>46337</v>
      </c>
      <c r="B944" t="s">
        <v>86</v>
      </c>
      <c r="C944" t="s">
        <v>78</v>
      </c>
      <c r="V944" t="str">
        <f t="shared" si="14"/>
        <v>Incomplete</v>
      </c>
    </row>
    <row r="945" spans="1:22">
      <c r="A945" s="2">
        <v>46337</v>
      </c>
      <c r="B945" t="s">
        <v>86</v>
      </c>
      <c r="C945" t="s">
        <v>79</v>
      </c>
      <c r="V945" t="str">
        <f t="shared" si="14"/>
        <v>Incomplete</v>
      </c>
    </row>
    <row r="946" spans="1:22">
      <c r="A946" s="2">
        <v>46337</v>
      </c>
      <c r="B946" t="s">
        <v>86</v>
      </c>
      <c r="C946" t="s">
        <v>80</v>
      </c>
      <c r="V946" t="str">
        <f t="shared" si="14"/>
        <v>Incomplete</v>
      </c>
    </row>
    <row r="947" spans="1:22">
      <c r="A947" s="2">
        <v>46338</v>
      </c>
      <c r="B947" t="s">
        <v>77</v>
      </c>
      <c r="C947" t="s">
        <v>78</v>
      </c>
      <c r="V947" t="str">
        <f t="shared" si="14"/>
        <v>Incomplete</v>
      </c>
    </row>
    <row r="948" spans="1:22">
      <c r="A948" s="2">
        <v>46338</v>
      </c>
      <c r="B948" t="s">
        <v>77</v>
      </c>
      <c r="C948" t="s">
        <v>79</v>
      </c>
      <c r="V948" t="str">
        <f t="shared" si="14"/>
        <v>Incomplete</v>
      </c>
    </row>
    <row r="949" spans="1:22">
      <c r="A949" s="2">
        <v>46338</v>
      </c>
      <c r="B949" t="s">
        <v>77</v>
      </c>
      <c r="C949" t="s">
        <v>80</v>
      </c>
      <c r="V949" t="str">
        <f t="shared" si="14"/>
        <v>Incomplete</v>
      </c>
    </row>
    <row r="950" spans="1:22">
      <c r="A950" s="2">
        <v>46339</v>
      </c>
      <c r="B950" t="s">
        <v>81</v>
      </c>
      <c r="C950" t="s">
        <v>78</v>
      </c>
      <c r="V950" t="str">
        <f t="shared" si="14"/>
        <v>Incomplete</v>
      </c>
    </row>
    <row r="951" spans="1:22">
      <c r="A951" s="2">
        <v>46339</v>
      </c>
      <c r="B951" t="s">
        <v>81</v>
      </c>
      <c r="C951" t="s">
        <v>79</v>
      </c>
      <c r="V951" t="str">
        <f t="shared" si="14"/>
        <v>Incomplete</v>
      </c>
    </row>
    <row r="952" spans="1:22">
      <c r="A952" s="2">
        <v>46339</v>
      </c>
      <c r="B952" t="s">
        <v>81</v>
      </c>
      <c r="C952" t="s">
        <v>80</v>
      </c>
      <c r="V952" t="str">
        <f t="shared" si="14"/>
        <v>Incomplete</v>
      </c>
    </row>
    <row r="953" spans="1:22">
      <c r="A953" s="2">
        <v>46340</v>
      </c>
      <c r="B953" t="s">
        <v>82</v>
      </c>
      <c r="C953" t="s">
        <v>78</v>
      </c>
      <c r="V953" t="str">
        <f t="shared" si="14"/>
        <v>Incomplete</v>
      </c>
    </row>
    <row r="954" spans="1:22">
      <c r="A954" s="2">
        <v>46340</v>
      </c>
      <c r="B954" t="s">
        <v>82</v>
      </c>
      <c r="C954" t="s">
        <v>79</v>
      </c>
      <c r="V954" t="str">
        <f t="shared" si="14"/>
        <v>Incomplete</v>
      </c>
    </row>
    <row r="955" spans="1:22">
      <c r="A955" s="2">
        <v>46340</v>
      </c>
      <c r="B955" t="s">
        <v>82</v>
      </c>
      <c r="C955" t="s">
        <v>80</v>
      </c>
      <c r="V955" t="str">
        <f t="shared" si="14"/>
        <v>Incomplete</v>
      </c>
    </row>
    <row r="956" spans="1:22">
      <c r="A956" s="2">
        <v>46341</v>
      </c>
      <c r="B956" t="s">
        <v>83</v>
      </c>
      <c r="C956" t="s">
        <v>78</v>
      </c>
      <c r="V956" t="str">
        <f t="shared" si="14"/>
        <v>Incomplete</v>
      </c>
    </row>
    <row r="957" spans="1:22">
      <c r="A957" s="2">
        <v>46341</v>
      </c>
      <c r="B957" t="s">
        <v>83</v>
      </c>
      <c r="C957" t="s">
        <v>79</v>
      </c>
      <c r="V957" t="str">
        <f t="shared" si="14"/>
        <v>Incomplete</v>
      </c>
    </row>
    <row r="958" spans="1:22">
      <c r="A958" s="2">
        <v>46341</v>
      </c>
      <c r="B958" t="s">
        <v>83</v>
      </c>
      <c r="C958" t="s">
        <v>80</v>
      </c>
      <c r="V958" t="str">
        <f t="shared" si="14"/>
        <v>Incomplete</v>
      </c>
    </row>
    <row r="959" spans="1:22">
      <c r="A959" s="2">
        <v>46342</v>
      </c>
      <c r="B959" t="s">
        <v>84</v>
      </c>
      <c r="C959" t="s">
        <v>78</v>
      </c>
      <c r="V959" t="str">
        <f t="shared" si="14"/>
        <v>Incomplete</v>
      </c>
    </row>
    <row r="960" spans="1:22">
      <c r="A960" s="2">
        <v>46342</v>
      </c>
      <c r="B960" t="s">
        <v>84</v>
      </c>
      <c r="C960" t="s">
        <v>79</v>
      </c>
      <c r="V960" t="str">
        <f t="shared" si="14"/>
        <v>Incomplete</v>
      </c>
    </row>
    <row r="961" spans="1:22">
      <c r="A961" s="2">
        <v>46342</v>
      </c>
      <c r="B961" t="s">
        <v>84</v>
      </c>
      <c r="C961" t="s">
        <v>80</v>
      </c>
      <c r="V961" t="str">
        <f t="shared" si="14"/>
        <v>Incomplete</v>
      </c>
    </row>
    <row r="962" spans="1:22">
      <c r="A962" s="2">
        <v>46343</v>
      </c>
      <c r="B962" t="s">
        <v>85</v>
      </c>
      <c r="C962" t="s">
        <v>78</v>
      </c>
      <c r="V962" t="str">
        <f t="shared" ref="V962:V1025" si="15">IF(AND(N962="Yes",O962="Yes",P962="Yes",Q962="Yes",R962="Yes",S962="Yes",T962="Yes",U962="Yes"),"Complete","Incomplete")</f>
        <v>Incomplete</v>
      </c>
    </row>
    <row r="963" spans="1:22">
      <c r="A963" s="2">
        <v>46343</v>
      </c>
      <c r="B963" t="s">
        <v>85</v>
      </c>
      <c r="C963" t="s">
        <v>79</v>
      </c>
      <c r="V963" t="str">
        <f t="shared" si="15"/>
        <v>Incomplete</v>
      </c>
    </row>
    <row r="964" spans="1:22">
      <c r="A964" s="2">
        <v>46343</v>
      </c>
      <c r="B964" t="s">
        <v>85</v>
      </c>
      <c r="C964" t="s">
        <v>80</v>
      </c>
      <c r="V964" t="str">
        <f t="shared" si="15"/>
        <v>Incomplete</v>
      </c>
    </row>
    <row r="965" spans="1:22">
      <c r="A965" s="2">
        <v>46344</v>
      </c>
      <c r="B965" t="s">
        <v>86</v>
      </c>
      <c r="C965" t="s">
        <v>78</v>
      </c>
      <c r="V965" t="str">
        <f t="shared" si="15"/>
        <v>Incomplete</v>
      </c>
    </row>
    <row r="966" spans="1:22">
      <c r="A966" s="2">
        <v>46344</v>
      </c>
      <c r="B966" t="s">
        <v>86</v>
      </c>
      <c r="C966" t="s">
        <v>79</v>
      </c>
      <c r="V966" t="str">
        <f t="shared" si="15"/>
        <v>Incomplete</v>
      </c>
    </row>
    <row r="967" spans="1:22">
      <c r="A967" s="2">
        <v>46344</v>
      </c>
      <c r="B967" t="s">
        <v>86</v>
      </c>
      <c r="C967" t="s">
        <v>80</v>
      </c>
      <c r="V967" t="str">
        <f t="shared" si="15"/>
        <v>Incomplete</v>
      </c>
    </row>
    <row r="968" spans="1:22">
      <c r="A968" s="2">
        <v>46345</v>
      </c>
      <c r="B968" t="s">
        <v>77</v>
      </c>
      <c r="C968" t="s">
        <v>78</v>
      </c>
      <c r="V968" t="str">
        <f t="shared" si="15"/>
        <v>Incomplete</v>
      </c>
    </row>
    <row r="969" spans="1:22">
      <c r="A969" s="2">
        <v>46345</v>
      </c>
      <c r="B969" t="s">
        <v>77</v>
      </c>
      <c r="C969" t="s">
        <v>79</v>
      </c>
      <c r="V969" t="str">
        <f t="shared" si="15"/>
        <v>Incomplete</v>
      </c>
    </row>
    <row r="970" spans="1:22">
      <c r="A970" s="2">
        <v>46345</v>
      </c>
      <c r="B970" t="s">
        <v>77</v>
      </c>
      <c r="C970" t="s">
        <v>80</v>
      </c>
      <c r="V970" t="str">
        <f t="shared" si="15"/>
        <v>Incomplete</v>
      </c>
    </row>
    <row r="971" spans="1:22">
      <c r="A971" s="2">
        <v>46346</v>
      </c>
      <c r="B971" t="s">
        <v>81</v>
      </c>
      <c r="C971" t="s">
        <v>78</v>
      </c>
      <c r="V971" t="str">
        <f t="shared" si="15"/>
        <v>Incomplete</v>
      </c>
    </row>
    <row r="972" spans="1:22">
      <c r="A972" s="2">
        <v>46346</v>
      </c>
      <c r="B972" t="s">
        <v>81</v>
      </c>
      <c r="C972" t="s">
        <v>79</v>
      </c>
      <c r="V972" t="str">
        <f t="shared" si="15"/>
        <v>Incomplete</v>
      </c>
    </row>
    <row r="973" spans="1:22">
      <c r="A973" s="2">
        <v>46346</v>
      </c>
      <c r="B973" t="s">
        <v>81</v>
      </c>
      <c r="C973" t="s">
        <v>80</v>
      </c>
      <c r="V973" t="str">
        <f t="shared" si="15"/>
        <v>Incomplete</v>
      </c>
    </row>
    <row r="974" spans="1:22">
      <c r="A974" s="2">
        <v>46347</v>
      </c>
      <c r="B974" t="s">
        <v>82</v>
      </c>
      <c r="C974" t="s">
        <v>78</v>
      </c>
      <c r="V974" t="str">
        <f t="shared" si="15"/>
        <v>Incomplete</v>
      </c>
    </row>
    <row r="975" spans="1:22">
      <c r="A975" s="2">
        <v>46347</v>
      </c>
      <c r="B975" t="s">
        <v>82</v>
      </c>
      <c r="C975" t="s">
        <v>79</v>
      </c>
      <c r="V975" t="str">
        <f t="shared" si="15"/>
        <v>Incomplete</v>
      </c>
    </row>
    <row r="976" spans="1:22">
      <c r="A976" s="2">
        <v>46347</v>
      </c>
      <c r="B976" t="s">
        <v>82</v>
      </c>
      <c r="C976" t="s">
        <v>80</v>
      </c>
      <c r="V976" t="str">
        <f t="shared" si="15"/>
        <v>Incomplete</v>
      </c>
    </row>
    <row r="977" spans="1:22">
      <c r="A977" s="2">
        <v>46348</v>
      </c>
      <c r="B977" t="s">
        <v>83</v>
      </c>
      <c r="C977" t="s">
        <v>78</v>
      </c>
      <c r="V977" t="str">
        <f t="shared" si="15"/>
        <v>Incomplete</v>
      </c>
    </row>
    <row r="978" spans="1:22">
      <c r="A978" s="2">
        <v>46348</v>
      </c>
      <c r="B978" t="s">
        <v>83</v>
      </c>
      <c r="C978" t="s">
        <v>79</v>
      </c>
      <c r="V978" t="str">
        <f t="shared" si="15"/>
        <v>Incomplete</v>
      </c>
    </row>
    <row r="979" spans="1:22">
      <c r="A979" s="2">
        <v>46348</v>
      </c>
      <c r="B979" t="s">
        <v>83</v>
      </c>
      <c r="C979" t="s">
        <v>80</v>
      </c>
      <c r="V979" t="str">
        <f t="shared" si="15"/>
        <v>Incomplete</v>
      </c>
    </row>
    <row r="980" spans="1:22">
      <c r="A980" s="2">
        <v>46349</v>
      </c>
      <c r="B980" t="s">
        <v>84</v>
      </c>
      <c r="C980" t="s">
        <v>78</v>
      </c>
      <c r="V980" t="str">
        <f t="shared" si="15"/>
        <v>Incomplete</v>
      </c>
    </row>
    <row r="981" spans="1:22">
      <c r="A981" s="2">
        <v>46349</v>
      </c>
      <c r="B981" t="s">
        <v>84</v>
      </c>
      <c r="C981" t="s">
        <v>79</v>
      </c>
      <c r="V981" t="str">
        <f t="shared" si="15"/>
        <v>Incomplete</v>
      </c>
    </row>
    <row r="982" spans="1:22">
      <c r="A982" s="2">
        <v>46349</v>
      </c>
      <c r="B982" t="s">
        <v>84</v>
      </c>
      <c r="C982" t="s">
        <v>80</v>
      </c>
      <c r="V982" t="str">
        <f t="shared" si="15"/>
        <v>Incomplete</v>
      </c>
    </row>
    <row r="983" spans="1:22">
      <c r="A983" s="2">
        <v>46350</v>
      </c>
      <c r="B983" t="s">
        <v>85</v>
      </c>
      <c r="C983" t="s">
        <v>78</v>
      </c>
      <c r="V983" t="str">
        <f t="shared" si="15"/>
        <v>Incomplete</v>
      </c>
    </row>
    <row r="984" spans="1:22">
      <c r="A984" s="2">
        <v>46350</v>
      </c>
      <c r="B984" t="s">
        <v>85</v>
      </c>
      <c r="C984" t="s">
        <v>79</v>
      </c>
      <c r="V984" t="str">
        <f t="shared" si="15"/>
        <v>Incomplete</v>
      </c>
    </row>
    <row r="985" spans="1:22">
      <c r="A985" s="2">
        <v>46350</v>
      </c>
      <c r="B985" t="s">
        <v>85</v>
      </c>
      <c r="C985" t="s">
        <v>80</v>
      </c>
      <c r="V985" t="str">
        <f t="shared" si="15"/>
        <v>Incomplete</v>
      </c>
    </row>
    <row r="986" spans="1:22">
      <c r="A986" s="2">
        <v>46351</v>
      </c>
      <c r="B986" t="s">
        <v>86</v>
      </c>
      <c r="C986" t="s">
        <v>78</v>
      </c>
      <c r="V986" t="str">
        <f t="shared" si="15"/>
        <v>Incomplete</v>
      </c>
    </row>
    <row r="987" spans="1:22">
      <c r="A987" s="2">
        <v>46351</v>
      </c>
      <c r="B987" t="s">
        <v>86</v>
      </c>
      <c r="C987" t="s">
        <v>79</v>
      </c>
      <c r="V987" t="str">
        <f t="shared" si="15"/>
        <v>Incomplete</v>
      </c>
    </row>
    <row r="988" spans="1:22">
      <c r="A988" s="2">
        <v>46351</v>
      </c>
      <c r="B988" t="s">
        <v>86</v>
      </c>
      <c r="C988" t="s">
        <v>80</v>
      </c>
      <c r="V988" t="str">
        <f t="shared" si="15"/>
        <v>Incomplete</v>
      </c>
    </row>
    <row r="989" spans="1:22">
      <c r="A989" s="2">
        <v>46352</v>
      </c>
      <c r="B989" t="s">
        <v>77</v>
      </c>
      <c r="C989" t="s">
        <v>78</v>
      </c>
      <c r="V989" t="str">
        <f t="shared" si="15"/>
        <v>Incomplete</v>
      </c>
    </row>
    <row r="990" spans="1:22">
      <c r="A990" s="2">
        <v>46352</v>
      </c>
      <c r="B990" t="s">
        <v>77</v>
      </c>
      <c r="C990" t="s">
        <v>79</v>
      </c>
      <c r="V990" t="str">
        <f t="shared" si="15"/>
        <v>Incomplete</v>
      </c>
    </row>
    <row r="991" spans="1:22">
      <c r="A991" s="2">
        <v>46352</v>
      </c>
      <c r="B991" t="s">
        <v>77</v>
      </c>
      <c r="C991" t="s">
        <v>80</v>
      </c>
      <c r="V991" t="str">
        <f t="shared" si="15"/>
        <v>Incomplete</v>
      </c>
    </row>
    <row r="992" spans="1:22">
      <c r="A992" s="2">
        <v>46353</v>
      </c>
      <c r="B992" t="s">
        <v>81</v>
      </c>
      <c r="C992" t="s">
        <v>78</v>
      </c>
      <c r="V992" t="str">
        <f t="shared" si="15"/>
        <v>Incomplete</v>
      </c>
    </row>
    <row r="993" spans="1:22">
      <c r="A993" s="2">
        <v>46353</v>
      </c>
      <c r="B993" t="s">
        <v>81</v>
      </c>
      <c r="C993" t="s">
        <v>79</v>
      </c>
      <c r="V993" t="str">
        <f t="shared" si="15"/>
        <v>Incomplete</v>
      </c>
    </row>
    <row r="994" spans="1:22">
      <c r="A994" s="2">
        <v>46353</v>
      </c>
      <c r="B994" t="s">
        <v>81</v>
      </c>
      <c r="C994" t="s">
        <v>80</v>
      </c>
      <c r="V994" t="str">
        <f t="shared" si="15"/>
        <v>Incomplete</v>
      </c>
    </row>
    <row r="995" spans="1:22">
      <c r="A995" s="2">
        <v>46354</v>
      </c>
      <c r="B995" t="s">
        <v>82</v>
      </c>
      <c r="C995" t="s">
        <v>78</v>
      </c>
      <c r="V995" t="str">
        <f t="shared" si="15"/>
        <v>Incomplete</v>
      </c>
    </row>
    <row r="996" spans="1:22">
      <c r="A996" s="2">
        <v>46354</v>
      </c>
      <c r="B996" t="s">
        <v>82</v>
      </c>
      <c r="C996" t="s">
        <v>79</v>
      </c>
      <c r="V996" t="str">
        <f t="shared" si="15"/>
        <v>Incomplete</v>
      </c>
    </row>
    <row r="997" spans="1:22">
      <c r="A997" s="2">
        <v>46354</v>
      </c>
      <c r="B997" t="s">
        <v>82</v>
      </c>
      <c r="C997" t="s">
        <v>80</v>
      </c>
      <c r="V997" t="str">
        <f t="shared" si="15"/>
        <v>Incomplete</v>
      </c>
    </row>
    <row r="998" spans="1:22">
      <c r="A998" s="2">
        <v>46355</v>
      </c>
      <c r="B998" t="s">
        <v>83</v>
      </c>
      <c r="C998" t="s">
        <v>78</v>
      </c>
      <c r="V998" t="str">
        <f t="shared" si="15"/>
        <v>Incomplete</v>
      </c>
    </row>
    <row r="999" spans="1:22">
      <c r="A999" s="2">
        <v>46355</v>
      </c>
      <c r="B999" t="s">
        <v>83</v>
      </c>
      <c r="C999" t="s">
        <v>79</v>
      </c>
      <c r="V999" t="str">
        <f t="shared" si="15"/>
        <v>Incomplete</v>
      </c>
    </row>
    <row r="1000" spans="1:22">
      <c r="A1000" s="2">
        <v>46355</v>
      </c>
      <c r="B1000" t="s">
        <v>83</v>
      </c>
      <c r="C1000" t="s">
        <v>80</v>
      </c>
      <c r="V1000" t="str">
        <f t="shared" si="15"/>
        <v>Incomplete</v>
      </c>
    </row>
    <row r="1001" spans="1:22">
      <c r="A1001" s="2">
        <v>46356</v>
      </c>
      <c r="B1001" t="s">
        <v>84</v>
      </c>
      <c r="C1001" t="s">
        <v>78</v>
      </c>
      <c r="V1001" t="str">
        <f t="shared" si="15"/>
        <v>Incomplete</v>
      </c>
    </row>
    <row r="1002" spans="1:22">
      <c r="A1002" s="2">
        <v>46356</v>
      </c>
      <c r="B1002" t="s">
        <v>84</v>
      </c>
      <c r="C1002" t="s">
        <v>79</v>
      </c>
      <c r="V1002" t="str">
        <f t="shared" si="15"/>
        <v>Incomplete</v>
      </c>
    </row>
    <row r="1003" spans="1:22">
      <c r="A1003" s="2">
        <v>46356</v>
      </c>
      <c r="B1003" t="s">
        <v>84</v>
      </c>
      <c r="C1003" t="s">
        <v>80</v>
      </c>
      <c r="V1003" t="str">
        <f t="shared" si="15"/>
        <v>Incomplete</v>
      </c>
    </row>
    <row r="1004" spans="1:22">
      <c r="A1004" s="2">
        <v>46357</v>
      </c>
      <c r="B1004" t="s">
        <v>85</v>
      </c>
      <c r="C1004" t="s">
        <v>78</v>
      </c>
      <c r="V1004" t="str">
        <f t="shared" si="15"/>
        <v>Incomplete</v>
      </c>
    </row>
    <row r="1005" spans="1:22">
      <c r="A1005" s="2">
        <v>46357</v>
      </c>
      <c r="B1005" t="s">
        <v>85</v>
      </c>
      <c r="C1005" t="s">
        <v>79</v>
      </c>
      <c r="V1005" t="str">
        <f t="shared" si="15"/>
        <v>Incomplete</v>
      </c>
    </row>
    <row r="1006" spans="1:22">
      <c r="A1006" s="2">
        <v>46357</v>
      </c>
      <c r="B1006" t="s">
        <v>85</v>
      </c>
      <c r="C1006" t="s">
        <v>80</v>
      </c>
      <c r="V1006" t="str">
        <f t="shared" si="15"/>
        <v>Incomplete</v>
      </c>
    </row>
    <row r="1007" spans="1:22">
      <c r="A1007" s="2">
        <v>46358</v>
      </c>
      <c r="B1007" t="s">
        <v>86</v>
      </c>
      <c r="C1007" t="s">
        <v>78</v>
      </c>
      <c r="V1007" t="str">
        <f t="shared" si="15"/>
        <v>Incomplete</v>
      </c>
    </row>
    <row r="1008" spans="1:22">
      <c r="A1008" s="2">
        <v>46358</v>
      </c>
      <c r="B1008" t="s">
        <v>86</v>
      </c>
      <c r="C1008" t="s">
        <v>79</v>
      </c>
      <c r="V1008" t="str">
        <f t="shared" si="15"/>
        <v>Incomplete</v>
      </c>
    </row>
    <row r="1009" spans="1:22">
      <c r="A1009" s="2">
        <v>46358</v>
      </c>
      <c r="B1009" t="s">
        <v>86</v>
      </c>
      <c r="C1009" t="s">
        <v>80</v>
      </c>
      <c r="V1009" t="str">
        <f t="shared" si="15"/>
        <v>Incomplete</v>
      </c>
    </row>
    <row r="1010" spans="1:22">
      <c r="A1010" s="2">
        <v>46359</v>
      </c>
      <c r="B1010" t="s">
        <v>77</v>
      </c>
      <c r="C1010" t="s">
        <v>78</v>
      </c>
      <c r="V1010" t="str">
        <f t="shared" si="15"/>
        <v>Incomplete</v>
      </c>
    </row>
    <row r="1011" spans="1:22">
      <c r="A1011" s="2">
        <v>46359</v>
      </c>
      <c r="B1011" t="s">
        <v>77</v>
      </c>
      <c r="C1011" t="s">
        <v>79</v>
      </c>
      <c r="V1011" t="str">
        <f t="shared" si="15"/>
        <v>Incomplete</v>
      </c>
    </row>
    <row r="1012" spans="1:22">
      <c r="A1012" s="2">
        <v>46359</v>
      </c>
      <c r="B1012" t="s">
        <v>77</v>
      </c>
      <c r="C1012" t="s">
        <v>80</v>
      </c>
      <c r="V1012" t="str">
        <f t="shared" si="15"/>
        <v>Incomplete</v>
      </c>
    </row>
    <row r="1013" spans="1:22">
      <c r="A1013" s="2">
        <v>46360</v>
      </c>
      <c r="B1013" t="s">
        <v>81</v>
      </c>
      <c r="C1013" t="s">
        <v>78</v>
      </c>
      <c r="V1013" t="str">
        <f t="shared" si="15"/>
        <v>Incomplete</v>
      </c>
    </row>
    <row r="1014" spans="1:22">
      <c r="A1014" s="2">
        <v>46360</v>
      </c>
      <c r="B1014" t="s">
        <v>81</v>
      </c>
      <c r="C1014" t="s">
        <v>79</v>
      </c>
      <c r="V1014" t="str">
        <f t="shared" si="15"/>
        <v>Incomplete</v>
      </c>
    </row>
    <row r="1015" spans="1:22">
      <c r="A1015" s="2">
        <v>46360</v>
      </c>
      <c r="B1015" t="s">
        <v>81</v>
      </c>
      <c r="C1015" t="s">
        <v>80</v>
      </c>
      <c r="V1015" t="str">
        <f t="shared" si="15"/>
        <v>Incomplete</v>
      </c>
    </row>
    <row r="1016" spans="1:22">
      <c r="A1016" s="2">
        <v>46361</v>
      </c>
      <c r="B1016" t="s">
        <v>82</v>
      </c>
      <c r="C1016" t="s">
        <v>78</v>
      </c>
      <c r="V1016" t="str">
        <f t="shared" si="15"/>
        <v>Incomplete</v>
      </c>
    </row>
    <row r="1017" spans="1:22">
      <c r="A1017" s="2">
        <v>46361</v>
      </c>
      <c r="B1017" t="s">
        <v>82</v>
      </c>
      <c r="C1017" t="s">
        <v>79</v>
      </c>
      <c r="V1017" t="str">
        <f t="shared" si="15"/>
        <v>Incomplete</v>
      </c>
    </row>
    <row r="1018" spans="1:22">
      <c r="A1018" s="2">
        <v>46361</v>
      </c>
      <c r="B1018" t="s">
        <v>82</v>
      </c>
      <c r="C1018" t="s">
        <v>80</v>
      </c>
      <c r="V1018" t="str">
        <f t="shared" si="15"/>
        <v>Incomplete</v>
      </c>
    </row>
    <row r="1019" spans="1:22">
      <c r="A1019" s="2">
        <v>46362</v>
      </c>
      <c r="B1019" t="s">
        <v>83</v>
      </c>
      <c r="C1019" t="s">
        <v>78</v>
      </c>
      <c r="V1019" t="str">
        <f t="shared" si="15"/>
        <v>Incomplete</v>
      </c>
    </row>
    <row r="1020" spans="1:22">
      <c r="A1020" s="2">
        <v>46362</v>
      </c>
      <c r="B1020" t="s">
        <v>83</v>
      </c>
      <c r="C1020" t="s">
        <v>79</v>
      </c>
      <c r="V1020" t="str">
        <f t="shared" si="15"/>
        <v>Incomplete</v>
      </c>
    </row>
    <row r="1021" spans="1:22">
      <c r="A1021" s="2">
        <v>46362</v>
      </c>
      <c r="B1021" t="s">
        <v>83</v>
      </c>
      <c r="C1021" t="s">
        <v>80</v>
      </c>
      <c r="V1021" t="str">
        <f t="shared" si="15"/>
        <v>Incomplete</v>
      </c>
    </row>
    <row r="1022" spans="1:22">
      <c r="A1022" s="2">
        <v>46363</v>
      </c>
      <c r="B1022" t="s">
        <v>84</v>
      </c>
      <c r="C1022" t="s">
        <v>78</v>
      </c>
      <c r="V1022" t="str">
        <f t="shared" si="15"/>
        <v>Incomplete</v>
      </c>
    </row>
    <row r="1023" spans="1:22">
      <c r="A1023" s="2">
        <v>46363</v>
      </c>
      <c r="B1023" t="s">
        <v>84</v>
      </c>
      <c r="C1023" t="s">
        <v>79</v>
      </c>
      <c r="V1023" t="str">
        <f t="shared" si="15"/>
        <v>Incomplete</v>
      </c>
    </row>
    <row r="1024" spans="1:22">
      <c r="A1024" s="2">
        <v>46363</v>
      </c>
      <c r="B1024" t="s">
        <v>84</v>
      </c>
      <c r="C1024" t="s">
        <v>80</v>
      </c>
      <c r="V1024" t="str">
        <f t="shared" si="15"/>
        <v>Incomplete</v>
      </c>
    </row>
    <row r="1025" spans="1:22">
      <c r="A1025" s="2">
        <v>46364</v>
      </c>
      <c r="B1025" t="s">
        <v>85</v>
      </c>
      <c r="C1025" t="s">
        <v>78</v>
      </c>
      <c r="V1025" t="str">
        <f t="shared" si="15"/>
        <v>Incomplete</v>
      </c>
    </row>
    <row r="1026" spans="1:22">
      <c r="A1026" s="2">
        <v>46364</v>
      </c>
      <c r="B1026" t="s">
        <v>85</v>
      </c>
      <c r="C1026" t="s">
        <v>79</v>
      </c>
      <c r="V1026" t="str">
        <f t="shared" ref="V1026:V1089" si="16">IF(AND(N1026="Yes",O1026="Yes",P1026="Yes",Q1026="Yes",R1026="Yes",S1026="Yes",T1026="Yes",U1026="Yes"),"Complete","Incomplete")</f>
        <v>Incomplete</v>
      </c>
    </row>
    <row r="1027" spans="1:22">
      <c r="A1027" s="2">
        <v>46364</v>
      </c>
      <c r="B1027" t="s">
        <v>85</v>
      </c>
      <c r="C1027" t="s">
        <v>80</v>
      </c>
      <c r="V1027" t="str">
        <f t="shared" si="16"/>
        <v>Incomplete</v>
      </c>
    </row>
    <row r="1028" spans="1:22">
      <c r="A1028" s="2">
        <v>46365</v>
      </c>
      <c r="B1028" t="s">
        <v>86</v>
      </c>
      <c r="C1028" t="s">
        <v>78</v>
      </c>
      <c r="V1028" t="str">
        <f t="shared" si="16"/>
        <v>Incomplete</v>
      </c>
    </row>
    <row r="1029" spans="1:22">
      <c r="A1029" s="2">
        <v>46365</v>
      </c>
      <c r="B1029" t="s">
        <v>86</v>
      </c>
      <c r="C1029" t="s">
        <v>79</v>
      </c>
      <c r="V1029" t="str">
        <f t="shared" si="16"/>
        <v>Incomplete</v>
      </c>
    </row>
    <row r="1030" spans="1:22">
      <c r="A1030" s="2">
        <v>46365</v>
      </c>
      <c r="B1030" t="s">
        <v>86</v>
      </c>
      <c r="C1030" t="s">
        <v>80</v>
      </c>
      <c r="V1030" t="str">
        <f t="shared" si="16"/>
        <v>Incomplete</v>
      </c>
    </row>
    <row r="1031" spans="1:22">
      <c r="A1031" s="2">
        <v>46366</v>
      </c>
      <c r="B1031" t="s">
        <v>77</v>
      </c>
      <c r="C1031" t="s">
        <v>78</v>
      </c>
      <c r="V1031" t="str">
        <f t="shared" si="16"/>
        <v>Incomplete</v>
      </c>
    </row>
    <row r="1032" spans="1:22">
      <c r="A1032" s="2">
        <v>46366</v>
      </c>
      <c r="B1032" t="s">
        <v>77</v>
      </c>
      <c r="C1032" t="s">
        <v>79</v>
      </c>
      <c r="V1032" t="str">
        <f t="shared" si="16"/>
        <v>Incomplete</v>
      </c>
    </row>
    <row r="1033" spans="1:22">
      <c r="A1033" s="2">
        <v>46366</v>
      </c>
      <c r="B1033" t="s">
        <v>77</v>
      </c>
      <c r="C1033" t="s">
        <v>80</v>
      </c>
      <c r="V1033" t="str">
        <f t="shared" si="16"/>
        <v>Incomplete</v>
      </c>
    </row>
    <row r="1034" spans="1:22">
      <c r="A1034" s="2">
        <v>46367</v>
      </c>
      <c r="B1034" t="s">
        <v>81</v>
      </c>
      <c r="C1034" t="s">
        <v>78</v>
      </c>
      <c r="V1034" t="str">
        <f t="shared" si="16"/>
        <v>Incomplete</v>
      </c>
    </row>
    <row r="1035" spans="1:22">
      <c r="A1035" s="2">
        <v>46367</v>
      </c>
      <c r="B1035" t="s">
        <v>81</v>
      </c>
      <c r="C1035" t="s">
        <v>79</v>
      </c>
      <c r="V1035" t="str">
        <f t="shared" si="16"/>
        <v>Incomplete</v>
      </c>
    </row>
    <row r="1036" spans="1:22">
      <c r="A1036" s="2">
        <v>46367</v>
      </c>
      <c r="B1036" t="s">
        <v>81</v>
      </c>
      <c r="C1036" t="s">
        <v>80</v>
      </c>
      <c r="V1036" t="str">
        <f t="shared" si="16"/>
        <v>Incomplete</v>
      </c>
    </row>
    <row r="1037" spans="1:22">
      <c r="A1037" s="2">
        <v>46368</v>
      </c>
      <c r="B1037" t="s">
        <v>82</v>
      </c>
      <c r="C1037" t="s">
        <v>78</v>
      </c>
      <c r="V1037" t="str">
        <f t="shared" si="16"/>
        <v>Incomplete</v>
      </c>
    </row>
    <row r="1038" spans="1:22">
      <c r="A1038" s="2">
        <v>46368</v>
      </c>
      <c r="B1038" t="s">
        <v>82</v>
      </c>
      <c r="C1038" t="s">
        <v>79</v>
      </c>
      <c r="V1038" t="str">
        <f t="shared" si="16"/>
        <v>Incomplete</v>
      </c>
    </row>
    <row r="1039" spans="1:22">
      <c r="A1039" s="2">
        <v>46368</v>
      </c>
      <c r="B1039" t="s">
        <v>82</v>
      </c>
      <c r="C1039" t="s">
        <v>80</v>
      </c>
      <c r="V1039" t="str">
        <f t="shared" si="16"/>
        <v>Incomplete</v>
      </c>
    </row>
    <row r="1040" spans="1:22">
      <c r="A1040" s="2">
        <v>46369</v>
      </c>
      <c r="B1040" t="s">
        <v>83</v>
      </c>
      <c r="C1040" t="s">
        <v>78</v>
      </c>
      <c r="V1040" t="str">
        <f t="shared" si="16"/>
        <v>Incomplete</v>
      </c>
    </row>
    <row r="1041" spans="1:22">
      <c r="A1041" s="2">
        <v>46369</v>
      </c>
      <c r="B1041" t="s">
        <v>83</v>
      </c>
      <c r="C1041" t="s">
        <v>79</v>
      </c>
      <c r="V1041" t="str">
        <f t="shared" si="16"/>
        <v>Incomplete</v>
      </c>
    </row>
    <row r="1042" spans="1:22">
      <c r="A1042" s="2">
        <v>46369</v>
      </c>
      <c r="B1042" t="s">
        <v>83</v>
      </c>
      <c r="C1042" t="s">
        <v>80</v>
      </c>
      <c r="V1042" t="str">
        <f t="shared" si="16"/>
        <v>Incomplete</v>
      </c>
    </row>
    <row r="1043" spans="1:22">
      <c r="A1043" s="2">
        <v>46370</v>
      </c>
      <c r="B1043" t="s">
        <v>84</v>
      </c>
      <c r="C1043" t="s">
        <v>78</v>
      </c>
      <c r="V1043" t="str">
        <f t="shared" si="16"/>
        <v>Incomplete</v>
      </c>
    </row>
    <row r="1044" spans="1:22">
      <c r="A1044" s="2">
        <v>46370</v>
      </c>
      <c r="B1044" t="s">
        <v>84</v>
      </c>
      <c r="C1044" t="s">
        <v>79</v>
      </c>
      <c r="V1044" t="str">
        <f t="shared" si="16"/>
        <v>Incomplete</v>
      </c>
    </row>
    <row r="1045" spans="1:22">
      <c r="A1045" s="2">
        <v>46370</v>
      </c>
      <c r="B1045" t="s">
        <v>84</v>
      </c>
      <c r="C1045" t="s">
        <v>80</v>
      </c>
      <c r="V1045" t="str">
        <f t="shared" si="16"/>
        <v>Incomplete</v>
      </c>
    </row>
    <row r="1046" spans="1:22">
      <c r="A1046" s="2">
        <v>46371</v>
      </c>
      <c r="B1046" t="s">
        <v>85</v>
      </c>
      <c r="C1046" t="s">
        <v>78</v>
      </c>
      <c r="V1046" t="str">
        <f t="shared" si="16"/>
        <v>Incomplete</v>
      </c>
    </row>
    <row r="1047" spans="1:22">
      <c r="A1047" s="2">
        <v>46371</v>
      </c>
      <c r="B1047" t="s">
        <v>85</v>
      </c>
      <c r="C1047" t="s">
        <v>79</v>
      </c>
      <c r="V1047" t="str">
        <f t="shared" si="16"/>
        <v>Incomplete</v>
      </c>
    </row>
    <row r="1048" spans="1:22">
      <c r="A1048" s="2">
        <v>46371</v>
      </c>
      <c r="B1048" t="s">
        <v>85</v>
      </c>
      <c r="C1048" t="s">
        <v>80</v>
      </c>
      <c r="V1048" t="str">
        <f t="shared" si="16"/>
        <v>Incomplete</v>
      </c>
    </row>
    <row r="1049" spans="1:22">
      <c r="A1049" s="2">
        <v>46372</v>
      </c>
      <c r="B1049" t="s">
        <v>86</v>
      </c>
      <c r="C1049" t="s">
        <v>78</v>
      </c>
      <c r="V1049" t="str">
        <f t="shared" si="16"/>
        <v>Incomplete</v>
      </c>
    </row>
    <row r="1050" spans="1:22">
      <c r="A1050" s="2">
        <v>46372</v>
      </c>
      <c r="B1050" t="s">
        <v>86</v>
      </c>
      <c r="C1050" t="s">
        <v>79</v>
      </c>
      <c r="V1050" t="str">
        <f t="shared" si="16"/>
        <v>Incomplete</v>
      </c>
    </row>
    <row r="1051" spans="1:22">
      <c r="A1051" s="2">
        <v>46372</v>
      </c>
      <c r="B1051" t="s">
        <v>86</v>
      </c>
      <c r="C1051" t="s">
        <v>80</v>
      </c>
      <c r="V1051" t="str">
        <f t="shared" si="16"/>
        <v>Incomplete</v>
      </c>
    </row>
    <row r="1052" spans="1:22">
      <c r="A1052" s="2">
        <v>46373</v>
      </c>
      <c r="B1052" t="s">
        <v>77</v>
      </c>
      <c r="C1052" t="s">
        <v>78</v>
      </c>
      <c r="V1052" t="str">
        <f t="shared" si="16"/>
        <v>Incomplete</v>
      </c>
    </row>
    <row r="1053" spans="1:22">
      <c r="A1053" s="2">
        <v>46373</v>
      </c>
      <c r="B1053" t="s">
        <v>77</v>
      </c>
      <c r="C1053" t="s">
        <v>79</v>
      </c>
      <c r="V1053" t="str">
        <f t="shared" si="16"/>
        <v>Incomplete</v>
      </c>
    </row>
    <row r="1054" spans="1:22">
      <c r="A1054" s="2">
        <v>46373</v>
      </c>
      <c r="B1054" t="s">
        <v>77</v>
      </c>
      <c r="C1054" t="s">
        <v>80</v>
      </c>
      <c r="V1054" t="str">
        <f t="shared" si="16"/>
        <v>Incomplete</v>
      </c>
    </row>
    <row r="1055" spans="1:22">
      <c r="A1055" s="2">
        <v>46374</v>
      </c>
      <c r="B1055" t="s">
        <v>81</v>
      </c>
      <c r="C1055" t="s">
        <v>78</v>
      </c>
      <c r="V1055" t="str">
        <f t="shared" si="16"/>
        <v>Incomplete</v>
      </c>
    </row>
    <row r="1056" spans="1:22">
      <c r="A1056" s="2">
        <v>46374</v>
      </c>
      <c r="B1056" t="s">
        <v>81</v>
      </c>
      <c r="C1056" t="s">
        <v>79</v>
      </c>
      <c r="V1056" t="str">
        <f t="shared" si="16"/>
        <v>Incomplete</v>
      </c>
    </row>
    <row r="1057" spans="1:22">
      <c r="A1057" s="2">
        <v>46374</v>
      </c>
      <c r="B1057" t="s">
        <v>81</v>
      </c>
      <c r="C1057" t="s">
        <v>80</v>
      </c>
      <c r="V1057" t="str">
        <f t="shared" si="16"/>
        <v>Incomplete</v>
      </c>
    </row>
    <row r="1058" spans="1:22">
      <c r="A1058" s="2">
        <v>46375</v>
      </c>
      <c r="B1058" t="s">
        <v>82</v>
      </c>
      <c r="C1058" t="s">
        <v>78</v>
      </c>
      <c r="V1058" t="str">
        <f t="shared" si="16"/>
        <v>Incomplete</v>
      </c>
    </row>
    <row r="1059" spans="1:22">
      <c r="A1059" s="2">
        <v>46375</v>
      </c>
      <c r="B1059" t="s">
        <v>82</v>
      </c>
      <c r="C1059" t="s">
        <v>79</v>
      </c>
      <c r="V1059" t="str">
        <f t="shared" si="16"/>
        <v>Incomplete</v>
      </c>
    </row>
    <row r="1060" spans="1:22">
      <c r="A1060" s="2">
        <v>46375</v>
      </c>
      <c r="B1060" t="s">
        <v>82</v>
      </c>
      <c r="C1060" t="s">
        <v>80</v>
      </c>
      <c r="V1060" t="str">
        <f t="shared" si="16"/>
        <v>Incomplete</v>
      </c>
    </row>
    <row r="1061" spans="1:22">
      <c r="A1061" s="2">
        <v>46376</v>
      </c>
      <c r="B1061" t="s">
        <v>83</v>
      </c>
      <c r="C1061" t="s">
        <v>78</v>
      </c>
      <c r="V1061" t="str">
        <f t="shared" si="16"/>
        <v>Incomplete</v>
      </c>
    </row>
    <row r="1062" spans="1:22">
      <c r="A1062" s="2">
        <v>46376</v>
      </c>
      <c r="B1062" t="s">
        <v>83</v>
      </c>
      <c r="C1062" t="s">
        <v>79</v>
      </c>
      <c r="V1062" t="str">
        <f t="shared" si="16"/>
        <v>Incomplete</v>
      </c>
    </row>
    <row r="1063" spans="1:22">
      <c r="A1063" s="2">
        <v>46376</v>
      </c>
      <c r="B1063" t="s">
        <v>83</v>
      </c>
      <c r="C1063" t="s">
        <v>80</v>
      </c>
      <c r="V1063" t="str">
        <f t="shared" si="16"/>
        <v>Incomplete</v>
      </c>
    </row>
    <row r="1064" spans="1:22">
      <c r="A1064" s="2">
        <v>46377</v>
      </c>
      <c r="B1064" t="s">
        <v>84</v>
      </c>
      <c r="C1064" t="s">
        <v>78</v>
      </c>
      <c r="V1064" t="str">
        <f t="shared" si="16"/>
        <v>Incomplete</v>
      </c>
    </row>
    <row r="1065" spans="1:22">
      <c r="A1065" s="2">
        <v>46377</v>
      </c>
      <c r="B1065" t="s">
        <v>84</v>
      </c>
      <c r="C1065" t="s">
        <v>79</v>
      </c>
      <c r="V1065" t="str">
        <f t="shared" si="16"/>
        <v>Incomplete</v>
      </c>
    </row>
    <row r="1066" spans="1:22">
      <c r="A1066" s="2">
        <v>46377</v>
      </c>
      <c r="B1066" t="s">
        <v>84</v>
      </c>
      <c r="C1066" t="s">
        <v>80</v>
      </c>
      <c r="V1066" t="str">
        <f t="shared" si="16"/>
        <v>Incomplete</v>
      </c>
    </row>
    <row r="1067" spans="1:22">
      <c r="A1067" s="2">
        <v>46378</v>
      </c>
      <c r="B1067" t="s">
        <v>85</v>
      </c>
      <c r="C1067" t="s">
        <v>78</v>
      </c>
      <c r="V1067" t="str">
        <f t="shared" si="16"/>
        <v>Incomplete</v>
      </c>
    </row>
    <row r="1068" spans="1:22">
      <c r="A1068" s="2">
        <v>46378</v>
      </c>
      <c r="B1068" t="s">
        <v>85</v>
      </c>
      <c r="C1068" t="s">
        <v>79</v>
      </c>
      <c r="V1068" t="str">
        <f t="shared" si="16"/>
        <v>Incomplete</v>
      </c>
    </row>
    <row r="1069" spans="1:22">
      <c r="A1069" s="2">
        <v>46378</v>
      </c>
      <c r="B1069" t="s">
        <v>85</v>
      </c>
      <c r="C1069" t="s">
        <v>80</v>
      </c>
      <c r="V1069" t="str">
        <f t="shared" si="16"/>
        <v>Incomplete</v>
      </c>
    </row>
    <row r="1070" spans="1:22">
      <c r="A1070" s="2">
        <v>46379</v>
      </c>
      <c r="B1070" t="s">
        <v>86</v>
      </c>
      <c r="C1070" t="s">
        <v>78</v>
      </c>
      <c r="V1070" t="str">
        <f t="shared" si="16"/>
        <v>Incomplete</v>
      </c>
    </row>
    <row r="1071" spans="1:22">
      <c r="A1071" s="2">
        <v>46379</v>
      </c>
      <c r="B1071" t="s">
        <v>86</v>
      </c>
      <c r="C1071" t="s">
        <v>79</v>
      </c>
      <c r="V1071" t="str">
        <f t="shared" si="16"/>
        <v>Incomplete</v>
      </c>
    </row>
    <row r="1072" spans="1:22">
      <c r="A1072" s="2">
        <v>46379</v>
      </c>
      <c r="B1072" t="s">
        <v>86</v>
      </c>
      <c r="C1072" t="s">
        <v>80</v>
      </c>
      <c r="V1072" t="str">
        <f t="shared" si="16"/>
        <v>Incomplete</v>
      </c>
    </row>
    <row r="1073" spans="1:22">
      <c r="A1073" s="2">
        <v>46380</v>
      </c>
      <c r="B1073" t="s">
        <v>77</v>
      </c>
      <c r="C1073" t="s">
        <v>78</v>
      </c>
      <c r="V1073" t="str">
        <f t="shared" si="16"/>
        <v>Incomplete</v>
      </c>
    </row>
    <row r="1074" spans="1:22">
      <c r="A1074" s="2">
        <v>46380</v>
      </c>
      <c r="B1074" t="s">
        <v>77</v>
      </c>
      <c r="C1074" t="s">
        <v>79</v>
      </c>
      <c r="V1074" t="str">
        <f t="shared" si="16"/>
        <v>Incomplete</v>
      </c>
    </row>
    <row r="1075" spans="1:22">
      <c r="A1075" s="2">
        <v>46380</v>
      </c>
      <c r="B1075" t="s">
        <v>77</v>
      </c>
      <c r="C1075" t="s">
        <v>80</v>
      </c>
      <c r="V1075" t="str">
        <f t="shared" si="16"/>
        <v>Incomplete</v>
      </c>
    </row>
    <row r="1076" spans="1:22">
      <c r="A1076" s="2">
        <v>46381</v>
      </c>
      <c r="B1076" t="s">
        <v>81</v>
      </c>
      <c r="C1076" t="s">
        <v>78</v>
      </c>
      <c r="V1076" t="str">
        <f t="shared" si="16"/>
        <v>Incomplete</v>
      </c>
    </row>
    <row r="1077" spans="1:22">
      <c r="A1077" s="2">
        <v>46381</v>
      </c>
      <c r="B1077" t="s">
        <v>81</v>
      </c>
      <c r="C1077" t="s">
        <v>79</v>
      </c>
      <c r="V1077" t="str">
        <f t="shared" si="16"/>
        <v>Incomplete</v>
      </c>
    </row>
    <row r="1078" spans="1:22">
      <c r="A1078" s="2">
        <v>46381</v>
      </c>
      <c r="B1078" t="s">
        <v>81</v>
      </c>
      <c r="C1078" t="s">
        <v>80</v>
      </c>
      <c r="V1078" t="str">
        <f t="shared" si="16"/>
        <v>Incomplete</v>
      </c>
    </row>
    <row r="1079" spans="1:22">
      <c r="A1079" s="2">
        <v>46382</v>
      </c>
      <c r="B1079" t="s">
        <v>82</v>
      </c>
      <c r="C1079" t="s">
        <v>78</v>
      </c>
      <c r="V1079" t="str">
        <f t="shared" si="16"/>
        <v>Incomplete</v>
      </c>
    </row>
    <row r="1080" spans="1:22">
      <c r="A1080" s="2">
        <v>46382</v>
      </c>
      <c r="B1080" t="s">
        <v>82</v>
      </c>
      <c r="C1080" t="s">
        <v>79</v>
      </c>
      <c r="V1080" t="str">
        <f t="shared" si="16"/>
        <v>Incomplete</v>
      </c>
    </row>
    <row r="1081" spans="1:22">
      <c r="A1081" s="2">
        <v>46382</v>
      </c>
      <c r="B1081" t="s">
        <v>82</v>
      </c>
      <c r="C1081" t="s">
        <v>80</v>
      </c>
      <c r="V1081" t="str">
        <f t="shared" si="16"/>
        <v>Incomplete</v>
      </c>
    </row>
    <row r="1082" spans="1:22">
      <c r="A1082" s="2">
        <v>46383</v>
      </c>
      <c r="B1082" t="s">
        <v>83</v>
      </c>
      <c r="C1082" t="s">
        <v>78</v>
      </c>
      <c r="V1082" t="str">
        <f t="shared" si="16"/>
        <v>Incomplete</v>
      </c>
    </row>
    <row r="1083" spans="1:22">
      <c r="A1083" s="2">
        <v>46383</v>
      </c>
      <c r="B1083" t="s">
        <v>83</v>
      </c>
      <c r="C1083" t="s">
        <v>79</v>
      </c>
      <c r="V1083" t="str">
        <f t="shared" si="16"/>
        <v>Incomplete</v>
      </c>
    </row>
    <row r="1084" spans="1:22">
      <c r="A1084" s="2">
        <v>46383</v>
      </c>
      <c r="B1084" t="s">
        <v>83</v>
      </c>
      <c r="C1084" t="s">
        <v>80</v>
      </c>
      <c r="V1084" t="str">
        <f t="shared" si="16"/>
        <v>Incomplete</v>
      </c>
    </row>
    <row r="1085" spans="1:22">
      <c r="A1085" s="2">
        <v>46384</v>
      </c>
      <c r="B1085" t="s">
        <v>84</v>
      </c>
      <c r="C1085" t="s">
        <v>78</v>
      </c>
      <c r="V1085" t="str">
        <f t="shared" si="16"/>
        <v>Incomplete</v>
      </c>
    </row>
    <row r="1086" spans="1:22">
      <c r="A1086" s="2">
        <v>46384</v>
      </c>
      <c r="B1086" t="s">
        <v>84</v>
      </c>
      <c r="C1086" t="s">
        <v>79</v>
      </c>
      <c r="V1086" t="str">
        <f t="shared" si="16"/>
        <v>Incomplete</v>
      </c>
    </row>
    <row r="1087" spans="1:22">
      <c r="A1087" s="2">
        <v>46384</v>
      </c>
      <c r="B1087" t="s">
        <v>84</v>
      </c>
      <c r="C1087" t="s">
        <v>80</v>
      </c>
      <c r="V1087" t="str">
        <f t="shared" si="16"/>
        <v>Incomplete</v>
      </c>
    </row>
    <row r="1088" spans="1:22">
      <c r="A1088" s="2">
        <v>46385</v>
      </c>
      <c r="B1088" t="s">
        <v>85</v>
      </c>
      <c r="C1088" t="s">
        <v>78</v>
      </c>
      <c r="V1088" t="str">
        <f t="shared" si="16"/>
        <v>Incomplete</v>
      </c>
    </row>
    <row r="1089" spans="1:22">
      <c r="A1089" s="2">
        <v>46385</v>
      </c>
      <c r="B1089" t="s">
        <v>85</v>
      </c>
      <c r="C1089" t="s">
        <v>79</v>
      </c>
      <c r="V1089" t="str">
        <f t="shared" si="16"/>
        <v>Incomplete</v>
      </c>
    </row>
    <row r="1090" spans="1:22">
      <c r="A1090" s="2">
        <v>46385</v>
      </c>
      <c r="B1090" t="s">
        <v>85</v>
      </c>
      <c r="C1090" t="s">
        <v>80</v>
      </c>
      <c r="V1090" t="str">
        <f t="shared" ref="V1090:V1153" si="17">IF(AND(N1090="Yes",O1090="Yes",P1090="Yes",Q1090="Yes",R1090="Yes",S1090="Yes",T1090="Yes",U1090="Yes"),"Complete","Incomplete")</f>
        <v>Incomplete</v>
      </c>
    </row>
    <row r="1091" spans="1:22">
      <c r="A1091" s="2">
        <v>46386</v>
      </c>
      <c r="B1091" t="s">
        <v>86</v>
      </c>
      <c r="C1091" t="s">
        <v>78</v>
      </c>
      <c r="V1091" t="str">
        <f t="shared" si="17"/>
        <v>Incomplete</v>
      </c>
    </row>
    <row r="1092" spans="1:22">
      <c r="A1092" s="2">
        <v>46386</v>
      </c>
      <c r="B1092" t="s">
        <v>86</v>
      </c>
      <c r="C1092" t="s">
        <v>79</v>
      </c>
      <c r="V1092" t="str">
        <f t="shared" si="17"/>
        <v>Incomplete</v>
      </c>
    </row>
    <row r="1093" spans="1:22">
      <c r="A1093" s="2">
        <v>46386</v>
      </c>
      <c r="B1093" t="s">
        <v>86</v>
      </c>
      <c r="C1093" t="s">
        <v>80</v>
      </c>
      <c r="V1093" t="str">
        <f t="shared" si="17"/>
        <v>Incomplete</v>
      </c>
    </row>
    <row r="1094" spans="1:22">
      <c r="A1094" s="2">
        <v>46387</v>
      </c>
      <c r="B1094" t="s">
        <v>77</v>
      </c>
      <c r="C1094" t="s">
        <v>78</v>
      </c>
      <c r="V1094" t="str">
        <f t="shared" si="17"/>
        <v>Incomplete</v>
      </c>
    </row>
    <row r="1095" spans="1:22">
      <c r="A1095" s="2">
        <v>46387</v>
      </c>
      <c r="B1095" t="s">
        <v>77</v>
      </c>
      <c r="C1095" t="s">
        <v>79</v>
      </c>
      <c r="V1095" t="str">
        <f t="shared" si="17"/>
        <v>Incomplete</v>
      </c>
    </row>
    <row r="1096" spans="1:22">
      <c r="A1096" s="2">
        <v>46387</v>
      </c>
      <c r="B1096" t="s">
        <v>77</v>
      </c>
      <c r="C1096" t="s">
        <v>80</v>
      </c>
      <c r="V1096" t="str">
        <f t="shared" si="17"/>
        <v>Incomplete</v>
      </c>
    </row>
  </sheetData>
  <sheetProtection algorithmName="SHA-512" hashValue="rgsbMLqPSd8GTBBOc4pDM0eWvRNLY1B1LrD9peALlyEnNUsHLF02aotvp2SnyTKy2ghhr424KfuE7VMTJQal7Q==" saltValue="PEK9NKvZxD4Q1WsqRaHseg==" spinCount="100000" sheet="1" objects="1" scenarios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100-000000000000}">
          <x14:formula1>
            <xm:f>Lists!$A$2:$A$4</xm:f>
          </x14:formula1>
          <xm:sqref>N2:U1096</xm:sqref>
        </x14:dataValidation>
        <x14:dataValidation type="list" xr:uid="{00000000-0002-0000-0100-000008000000}">
          <x14:formula1>
            <xm:f>Lists!$B$2:$B$4</xm:f>
          </x14:formula1>
          <xm:sqref>C2:C1096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7666"/>
  <sheetViews>
    <sheetView tabSelected="1" workbookViewId="0">
      <selection activeCell="A4461" sqref="A4461"/>
    </sheetView>
  </sheetViews>
  <sheetFormatPr defaultRowHeight="14"/>
  <cols>
    <col min="1" max="1" width="18" style="12" customWidth="1"/>
    <col min="2" max="2" width="18" style="10" customWidth="1"/>
    <col min="3" max="4" width="18" customWidth="1"/>
    <col min="5" max="5" width="34" customWidth="1"/>
    <col min="6" max="6" width="18" customWidth="1"/>
    <col min="7" max="7" width="34" customWidth="1"/>
    <col min="8" max="8" width="18" customWidth="1"/>
    <col min="9" max="9" width="34" customWidth="1"/>
    <col min="10" max="12" width="24" style="10" customWidth="1"/>
    <col min="13" max="17" width="18" style="10" customWidth="1"/>
  </cols>
  <sheetData>
    <row r="1" spans="1:26">
      <c r="A1" s="11" t="s">
        <v>55</v>
      </c>
      <c r="B1" s="9" t="s">
        <v>87</v>
      </c>
      <c r="C1" s="6" t="s">
        <v>88</v>
      </c>
      <c r="D1" s="6" t="s">
        <v>89</v>
      </c>
      <c r="E1" s="6" t="s">
        <v>90</v>
      </c>
      <c r="F1" s="6" t="s">
        <v>91</v>
      </c>
      <c r="G1" s="6" t="s">
        <v>92</v>
      </c>
      <c r="H1" s="6" t="s">
        <v>93</v>
      </c>
      <c r="I1" s="6" t="s">
        <v>94</v>
      </c>
      <c r="J1" s="9" t="s">
        <v>95</v>
      </c>
      <c r="K1" s="9" t="s">
        <v>96</v>
      </c>
      <c r="L1" s="9" t="s">
        <v>97</v>
      </c>
      <c r="M1" s="9" t="s">
        <v>98</v>
      </c>
      <c r="N1" s="9" t="s">
        <v>99</v>
      </c>
      <c r="O1" s="9" t="s">
        <v>100</v>
      </c>
      <c r="P1" s="9" t="s">
        <v>101</v>
      </c>
      <c r="Q1" s="9" t="s">
        <v>76</v>
      </c>
      <c r="R1" s="4"/>
      <c r="S1" s="4"/>
      <c r="T1" s="4"/>
      <c r="U1" s="4"/>
      <c r="V1" s="4"/>
      <c r="W1" s="4"/>
      <c r="X1" s="4"/>
      <c r="Y1" s="4"/>
      <c r="Z1" s="4"/>
    </row>
    <row r="2" spans="1:26" hidden="1">
      <c r="A2" s="12">
        <v>46023</v>
      </c>
      <c r="B2" s="10">
        <v>1</v>
      </c>
      <c r="Q2" s="10" t="str">
        <f t="shared" ref="Q2:Q65" si="0">IF(AND(C2&lt;&gt;"",J2&lt;&gt;"",K2&lt;&gt;"",L2&lt;&gt;"",O2="Yes"),"Complete","Incomplete")</f>
        <v>Incomplete</v>
      </c>
    </row>
    <row r="3" spans="1:26" hidden="1">
      <c r="A3" s="12">
        <v>46023</v>
      </c>
      <c r="B3" s="10">
        <v>2</v>
      </c>
      <c r="Q3" s="10" t="str">
        <f t="shared" si="0"/>
        <v>Incomplete</v>
      </c>
    </row>
    <row r="4" spans="1:26" hidden="1">
      <c r="A4" s="12">
        <v>46023</v>
      </c>
      <c r="B4" s="10">
        <v>3</v>
      </c>
      <c r="Q4" s="10" t="str">
        <f t="shared" si="0"/>
        <v>Incomplete</v>
      </c>
    </row>
    <row r="5" spans="1:26" hidden="1">
      <c r="A5" s="12">
        <v>46023</v>
      </c>
      <c r="B5" s="10">
        <v>4</v>
      </c>
      <c r="Q5" s="10" t="str">
        <f t="shared" si="0"/>
        <v>Incomplete</v>
      </c>
    </row>
    <row r="6" spans="1:26" hidden="1">
      <c r="A6" s="12">
        <v>46023</v>
      </c>
      <c r="B6" s="10">
        <v>5</v>
      </c>
      <c r="Q6" s="10" t="str">
        <f t="shared" si="0"/>
        <v>Incomplete</v>
      </c>
    </row>
    <row r="7" spans="1:26" hidden="1">
      <c r="A7" s="12">
        <v>46023</v>
      </c>
      <c r="B7" s="10">
        <v>6</v>
      </c>
      <c r="Q7" s="10" t="str">
        <f t="shared" si="0"/>
        <v>Incomplete</v>
      </c>
    </row>
    <row r="8" spans="1:26" hidden="1">
      <c r="A8" s="12">
        <v>46023</v>
      </c>
      <c r="B8" s="10">
        <v>7</v>
      </c>
      <c r="Q8" s="10" t="str">
        <f t="shared" si="0"/>
        <v>Incomplete</v>
      </c>
    </row>
    <row r="9" spans="1:26" hidden="1">
      <c r="A9" s="12">
        <v>46023</v>
      </c>
      <c r="B9" s="10">
        <v>8</v>
      </c>
      <c r="Q9" s="10" t="str">
        <f t="shared" si="0"/>
        <v>Incomplete</v>
      </c>
    </row>
    <row r="10" spans="1:26" hidden="1">
      <c r="A10" s="12">
        <v>46023</v>
      </c>
      <c r="B10" s="10">
        <v>9</v>
      </c>
      <c r="Q10" s="10" t="str">
        <f t="shared" si="0"/>
        <v>Incomplete</v>
      </c>
    </row>
    <row r="11" spans="1:26" hidden="1">
      <c r="A11" s="12">
        <v>46023</v>
      </c>
      <c r="B11" s="10">
        <v>10</v>
      </c>
      <c r="Q11" s="10" t="str">
        <f t="shared" si="0"/>
        <v>Incomplete</v>
      </c>
    </row>
    <row r="12" spans="1:26" hidden="1">
      <c r="A12" s="12">
        <v>46023</v>
      </c>
      <c r="B12" s="10">
        <v>11</v>
      </c>
      <c r="Q12" s="10" t="str">
        <f t="shared" si="0"/>
        <v>Incomplete</v>
      </c>
    </row>
    <row r="13" spans="1:26" hidden="1">
      <c r="A13" s="12">
        <v>46023</v>
      </c>
      <c r="B13" s="10">
        <v>12</v>
      </c>
      <c r="Q13" s="10" t="str">
        <f t="shared" si="0"/>
        <v>Incomplete</v>
      </c>
    </row>
    <row r="14" spans="1:26" hidden="1">
      <c r="A14" s="12">
        <v>46023</v>
      </c>
      <c r="B14" s="10">
        <v>13</v>
      </c>
      <c r="Q14" s="10" t="str">
        <f t="shared" si="0"/>
        <v>Incomplete</v>
      </c>
    </row>
    <row r="15" spans="1:26" hidden="1">
      <c r="A15" s="12">
        <v>46023</v>
      </c>
      <c r="B15" s="10">
        <v>14</v>
      </c>
      <c r="Q15" s="10" t="str">
        <f t="shared" si="0"/>
        <v>Incomplete</v>
      </c>
    </row>
    <row r="16" spans="1:26" hidden="1">
      <c r="A16" s="12">
        <v>46023</v>
      </c>
      <c r="B16" s="10">
        <v>15</v>
      </c>
      <c r="Q16" s="10" t="str">
        <f t="shared" si="0"/>
        <v>Incomplete</v>
      </c>
    </row>
    <row r="17" spans="1:17" hidden="1">
      <c r="A17" s="12">
        <v>46023</v>
      </c>
      <c r="B17" s="10">
        <v>16</v>
      </c>
      <c r="Q17" s="10" t="str">
        <f t="shared" si="0"/>
        <v>Incomplete</v>
      </c>
    </row>
    <row r="18" spans="1:17" hidden="1">
      <c r="A18" s="12">
        <v>46023</v>
      </c>
      <c r="B18" s="10">
        <v>17</v>
      </c>
      <c r="Q18" s="10" t="str">
        <f t="shared" si="0"/>
        <v>Incomplete</v>
      </c>
    </row>
    <row r="19" spans="1:17" hidden="1">
      <c r="A19" s="12">
        <v>46023</v>
      </c>
      <c r="B19" s="10">
        <v>18</v>
      </c>
      <c r="Q19" s="10" t="str">
        <f t="shared" si="0"/>
        <v>Incomplete</v>
      </c>
    </row>
    <row r="20" spans="1:17" hidden="1">
      <c r="A20" s="12">
        <v>46023</v>
      </c>
      <c r="B20" s="10">
        <v>19</v>
      </c>
      <c r="Q20" s="10" t="str">
        <f t="shared" si="0"/>
        <v>Incomplete</v>
      </c>
    </row>
    <row r="21" spans="1:17" hidden="1">
      <c r="A21" s="12">
        <v>46023</v>
      </c>
      <c r="B21" s="10">
        <v>20</v>
      </c>
      <c r="Q21" s="10" t="str">
        <f t="shared" si="0"/>
        <v>Incomplete</v>
      </c>
    </row>
    <row r="22" spans="1:17" hidden="1">
      <c r="A22" s="12">
        <v>46023</v>
      </c>
      <c r="B22" s="10">
        <v>21</v>
      </c>
      <c r="Q22" s="10" t="str">
        <f t="shared" si="0"/>
        <v>Incomplete</v>
      </c>
    </row>
    <row r="23" spans="1:17" hidden="1">
      <c r="A23" s="12">
        <v>46024</v>
      </c>
      <c r="B23" s="10">
        <v>1</v>
      </c>
      <c r="Q23" s="10" t="str">
        <f t="shared" si="0"/>
        <v>Incomplete</v>
      </c>
    </row>
    <row r="24" spans="1:17" hidden="1">
      <c r="A24" s="12">
        <v>46024</v>
      </c>
      <c r="B24" s="10">
        <v>2</v>
      </c>
      <c r="Q24" s="10" t="str">
        <f t="shared" si="0"/>
        <v>Incomplete</v>
      </c>
    </row>
    <row r="25" spans="1:17" hidden="1">
      <c r="A25" s="12">
        <v>46024</v>
      </c>
      <c r="B25" s="10">
        <v>3</v>
      </c>
      <c r="Q25" s="10" t="str">
        <f t="shared" si="0"/>
        <v>Incomplete</v>
      </c>
    </row>
    <row r="26" spans="1:17" hidden="1">
      <c r="A26" s="12">
        <v>46024</v>
      </c>
      <c r="B26" s="10">
        <v>4</v>
      </c>
      <c r="Q26" s="10" t="str">
        <f t="shared" si="0"/>
        <v>Incomplete</v>
      </c>
    </row>
    <row r="27" spans="1:17" hidden="1">
      <c r="A27" s="12">
        <v>46024</v>
      </c>
      <c r="B27" s="10">
        <v>5</v>
      </c>
      <c r="Q27" s="10" t="str">
        <f t="shared" si="0"/>
        <v>Incomplete</v>
      </c>
    </row>
    <row r="28" spans="1:17" hidden="1">
      <c r="A28" s="12">
        <v>46024</v>
      </c>
      <c r="B28" s="10">
        <v>6</v>
      </c>
      <c r="Q28" s="10" t="str">
        <f t="shared" si="0"/>
        <v>Incomplete</v>
      </c>
    </row>
    <row r="29" spans="1:17" hidden="1">
      <c r="A29" s="12">
        <v>46024</v>
      </c>
      <c r="B29" s="10">
        <v>7</v>
      </c>
      <c r="Q29" s="10" t="str">
        <f t="shared" si="0"/>
        <v>Incomplete</v>
      </c>
    </row>
    <row r="30" spans="1:17" hidden="1">
      <c r="A30" s="12">
        <v>46024</v>
      </c>
      <c r="B30" s="10">
        <v>8</v>
      </c>
      <c r="Q30" s="10" t="str">
        <f t="shared" si="0"/>
        <v>Incomplete</v>
      </c>
    </row>
    <row r="31" spans="1:17" hidden="1">
      <c r="A31" s="12">
        <v>46024</v>
      </c>
      <c r="B31" s="10">
        <v>9</v>
      </c>
      <c r="Q31" s="10" t="str">
        <f t="shared" si="0"/>
        <v>Incomplete</v>
      </c>
    </row>
    <row r="32" spans="1:17" hidden="1">
      <c r="A32" s="12">
        <v>46024</v>
      </c>
      <c r="B32" s="10">
        <v>10</v>
      </c>
      <c r="Q32" s="10" t="str">
        <f t="shared" si="0"/>
        <v>Incomplete</v>
      </c>
    </row>
    <row r="33" spans="1:17" hidden="1">
      <c r="A33" s="12">
        <v>46024</v>
      </c>
      <c r="B33" s="10">
        <v>11</v>
      </c>
      <c r="Q33" s="10" t="str">
        <f t="shared" si="0"/>
        <v>Incomplete</v>
      </c>
    </row>
    <row r="34" spans="1:17" hidden="1">
      <c r="A34" s="12">
        <v>46024</v>
      </c>
      <c r="B34" s="10">
        <v>12</v>
      </c>
      <c r="Q34" s="10" t="str">
        <f t="shared" si="0"/>
        <v>Incomplete</v>
      </c>
    </row>
    <row r="35" spans="1:17" hidden="1">
      <c r="A35" s="12">
        <v>46024</v>
      </c>
      <c r="B35" s="10">
        <v>13</v>
      </c>
      <c r="Q35" s="10" t="str">
        <f t="shared" si="0"/>
        <v>Incomplete</v>
      </c>
    </row>
    <row r="36" spans="1:17" hidden="1">
      <c r="A36" s="12">
        <v>46024</v>
      </c>
      <c r="B36" s="10">
        <v>14</v>
      </c>
      <c r="Q36" s="10" t="str">
        <f t="shared" si="0"/>
        <v>Incomplete</v>
      </c>
    </row>
    <row r="37" spans="1:17" hidden="1">
      <c r="A37" s="12">
        <v>46024</v>
      </c>
      <c r="B37" s="10">
        <v>15</v>
      </c>
      <c r="Q37" s="10" t="str">
        <f t="shared" si="0"/>
        <v>Incomplete</v>
      </c>
    </row>
    <row r="38" spans="1:17" hidden="1">
      <c r="A38" s="12">
        <v>46024</v>
      </c>
      <c r="B38" s="10">
        <v>16</v>
      </c>
      <c r="Q38" s="10" t="str">
        <f t="shared" si="0"/>
        <v>Incomplete</v>
      </c>
    </row>
    <row r="39" spans="1:17" hidden="1">
      <c r="A39" s="12">
        <v>46024</v>
      </c>
      <c r="B39" s="10">
        <v>17</v>
      </c>
      <c r="Q39" s="10" t="str">
        <f t="shared" si="0"/>
        <v>Incomplete</v>
      </c>
    </row>
    <row r="40" spans="1:17" hidden="1">
      <c r="A40" s="12">
        <v>46024</v>
      </c>
      <c r="B40" s="10">
        <v>18</v>
      </c>
      <c r="Q40" s="10" t="str">
        <f t="shared" si="0"/>
        <v>Incomplete</v>
      </c>
    </row>
    <row r="41" spans="1:17" hidden="1">
      <c r="A41" s="12">
        <v>46024</v>
      </c>
      <c r="B41" s="10">
        <v>19</v>
      </c>
      <c r="Q41" s="10" t="str">
        <f t="shared" si="0"/>
        <v>Incomplete</v>
      </c>
    </row>
    <row r="42" spans="1:17" hidden="1">
      <c r="A42" s="12">
        <v>46024</v>
      </c>
      <c r="B42" s="10">
        <v>20</v>
      </c>
      <c r="Q42" s="10" t="str">
        <f t="shared" si="0"/>
        <v>Incomplete</v>
      </c>
    </row>
    <row r="43" spans="1:17" hidden="1">
      <c r="A43" s="12">
        <v>46024</v>
      </c>
      <c r="B43" s="10">
        <v>21</v>
      </c>
      <c r="Q43" s="10" t="str">
        <f t="shared" si="0"/>
        <v>Incomplete</v>
      </c>
    </row>
    <row r="44" spans="1:17" hidden="1">
      <c r="A44" s="12">
        <v>46025</v>
      </c>
      <c r="B44" s="10">
        <v>1</v>
      </c>
      <c r="Q44" s="10" t="str">
        <f t="shared" si="0"/>
        <v>Incomplete</v>
      </c>
    </row>
    <row r="45" spans="1:17" hidden="1">
      <c r="A45" s="12">
        <v>46025</v>
      </c>
      <c r="B45" s="10">
        <v>2</v>
      </c>
      <c r="Q45" s="10" t="str">
        <f t="shared" si="0"/>
        <v>Incomplete</v>
      </c>
    </row>
    <row r="46" spans="1:17" hidden="1">
      <c r="A46" s="12">
        <v>46025</v>
      </c>
      <c r="B46" s="10">
        <v>3</v>
      </c>
      <c r="Q46" s="10" t="str">
        <f t="shared" si="0"/>
        <v>Incomplete</v>
      </c>
    </row>
    <row r="47" spans="1:17" hidden="1">
      <c r="A47" s="12">
        <v>46025</v>
      </c>
      <c r="B47" s="10">
        <v>4</v>
      </c>
      <c r="Q47" s="10" t="str">
        <f t="shared" si="0"/>
        <v>Incomplete</v>
      </c>
    </row>
    <row r="48" spans="1:17" hidden="1">
      <c r="A48" s="12">
        <v>46025</v>
      </c>
      <c r="B48" s="10">
        <v>5</v>
      </c>
      <c r="Q48" s="10" t="str">
        <f t="shared" si="0"/>
        <v>Incomplete</v>
      </c>
    </row>
    <row r="49" spans="1:17" hidden="1">
      <c r="A49" s="12">
        <v>46025</v>
      </c>
      <c r="B49" s="10">
        <v>6</v>
      </c>
      <c r="Q49" s="10" t="str">
        <f t="shared" si="0"/>
        <v>Incomplete</v>
      </c>
    </row>
    <row r="50" spans="1:17" hidden="1">
      <c r="A50" s="12">
        <v>46025</v>
      </c>
      <c r="B50" s="10">
        <v>7</v>
      </c>
      <c r="Q50" s="10" t="str">
        <f t="shared" si="0"/>
        <v>Incomplete</v>
      </c>
    </row>
    <row r="51" spans="1:17" hidden="1">
      <c r="A51" s="12">
        <v>46025</v>
      </c>
      <c r="B51" s="10">
        <v>8</v>
      </c>
      <c r="Q51" s="10" t="str">
        <f t="shared" si="0"/>
        <v>Incomplete</v>
      </c>
    </row>
    <row r="52" spans="1:17" hidden="1">
      <c r="A52" s="12">
        <v>46025</v>
      </c>
      <c r="B52" s="10">
        <v>9</v>
      </c>
      <c r="Q52" s="10" t="str">
        <f t="shared" si="0"/>
        <v>Incomplete</v>
      </c>
    </row>
    <row r="53" spans="1:17" hidden="1">
      <c r="A53" s="12">
        <v>46025</v>
      </c>
      <c r="B53" s="10">
        <v>10</v>
      </c>
      <c r="Q53" s="10" t="str">
        <f t="shared" si="0"/>
        <v>Incomplete</v>
      </c>
    </row>
    <row r="54" spans="1:17" hidden="1">
      <c r="A54" s="12">
        <v>46025</v>
      </c>
      <c r="B54" s="10">
        <v>11</v>
      </c>
      <c r="Q54" s="10" t="str">
        <f t="shared" si="0"/>
        <v>Incomplete</v>
      </c>
    </row>
    <row r="55" spans="1:17" hidden="1">
      <c r="A55" s="12">
        <v>46025</v>
      </c>
      <c r="B55" s="10">
        <v>12</v>
      </c>
      <c r="Q55" s="10" t="str">
        <f t="shared" si="0"/>
        <v>Incomplete</v>
      </c>
    </row>
    <row r="56" spans="1:17" hidden="1">
      <c r="A56" s="12">
        <v>46025</v>
      </c>
      <c r="B56" s="10">
        <v>13</v>
      </c>
      <c r="Q56" s="10" t="str">
        <f t="shared" si="0"/>
        <v>Incomplete</v>
      </c>
    </row>
    <row r="57" spans="1:17" hidden="1">
      <c r="A57" s="12">
        <v>46025</v>
      </c>
      <c r="B57" s="10">
        <v>14</v>
      </c>
      <c r="Q57" s="10" t="str">
        <f t="shared" si="0"/>
        <v>Incomplete</v>
      </c>
    </row>
    <row r="58" spans="1:17" hidden="1">
      <c r="A58" s="12">
        <v>46025</v>
      </c>
      <c r="B58" s="10">
        <v>15</v>
      </c>
      <c r="Q58" s="10" t="str">
        <f t="shared" si="0"/>
        <v>Incomplete</v>
      </c>
    </row>
    <row r="59" spans="1:17" hidden="1">
      <c r="A59" s="12">
        <v>46025</v>
      </c>
      <c r="B59" s="10">
        <v>16</v>
      </c>
      <c r="Q59" s="10" t="str">
        <f t="shared" si="0"/>
        <v>Incomplete</v>
      </c>
    </row>
    <row r="60" spans="1:17" hidden="1">
      <c r="A60" s="12">
        <v>46025</v>
      </c>
      <c r="B60" s="10">
        <v>17</v>
      </c>
      <c r="Q60" s="10" t="str">
        <f t="shared" si="0"/>
        <v>Incomplete</v>
      </c>
    </row>
    <row r="61" spans="1:17" hidden="1">
      <c r="A61" s="12">
        <v>46025</v>
      </c>
      <c r="B61" s="10">
        <v>18</v>
      </c>
      <c r="Q61" s="10" t="str">
        <f t="shared" si="0"/>
        <v>Incomplete</v>
      </c>
    </row>
    <row r="62" spans="1:17" hidden="1">
      <c r="A62" s="12">
        <v>46025</v>
      </c>
      <c r="B62" s="10">
        <v>19</v>
      </c>
      <c r="Q62" s="10" t="str">
        <f t="shared" si="0"/>
        <v>Incomplete</v>
      </c>
    </row>
    <row r="63" spans="1:17" hidden="1">
      <c r="A63" s="12">
        <v>46025</v>
      </c>
      <c r="B63" s="10">
        <v>20</v>
      </c>
      <c r="Q63" s="10" t="str">
        <f t="shared" si="0"/>
        <v>Incomplete</v>
      </c>
    </row>
    <row r="64" spans="1:17" hidden="1">
      <c r="A64" s="12">
        <v>46025</v>
      </c>
      <c r="B64" s="10">
        <v>21</v>
      </c>
      <c r="Q64" s="10" t="str">
        <f t="shared" si="0"/>
        <v>Incomplete</v>
      </c>
    </row>
    <row r="65" spans="1:17" hidden="1">
      <c r="A65" s="12">
        <v>46026</v>
      </c>
      <c r="B65" s="10">
        <v>1</v>
      </c>
      <c r="Q65" s="10" t="str">
        <f t="shared" si="0"/>
        <v>Incomplete</v>
      </c>
    </row>
    <row r="66" spans="1:17" hidden="1">
      <c r="A66" s="12">
        <v>46026</v>
      </c>
      <c r="B66" s="10">
        <v>2</v>
      </c>
      <c r="Q66" s="10" t="str">
        <f t="shared" ref="Q66:Q129" si="1">IF(AND(C66&lt;&gt;"",J66&lt;&gt;"",K66&lt;&gt;"",L66&lt;&gt;"",O66="Yes"),"Complete","Incomplete")</f>
        <v>Incomplete</v>
      </c>
    </row>
    <row r="67" spans="1:17" hidden="1">
      <c r="A67" s="12">
        <v>46026</v>
      </c>
      <c r="B67" s="10">
        <v>3</v>
      </c>
      <c r="Q67" s="10" t="str">
        <f t="shared" si="1"/>
        <v>Incomplete</v>
      </c>
    </row>
    <row r="68" spans="1:17" hidden="1">
      <c r="A68" s="12">
        <v>46026</v>
      </c>
      <c r="B68" s="10">
        <v>4</v>
      </c>
      <c r="Q68" s="10" t="str">
        <f t="shared" si="1"/>
        <v>Incomplete</v>
      </c>
    </row>
    <row r="69" spans="1:17" hidden="1">
      <c r="A69" s="12">
        <v>46026</v>
      </c>
      <c r="B69" s="10">
        <v>5</v>
      </c>
      <c r="Q69" s="10" t="str">
        <f t="shared" si="1"/>
        <v>Incomplete</v>
      </c>
    </row>
    <row r="70" spans="1:17" hidden="1">
      <c r="A70" s="12">
        <v>46026</v>
      </c>
      <c r="B70" s="10">
        <v>6</v>
      </c>
      <c r="Q70" s="10" t="str">
        <f t="shared" si="1"/>
        <v>Incomplete</v>
      </c>
    </row>
    <row r="71" spans="1:17" hidden="1">
      <c r="A71" s="12">
        <v>46026</v>
      </c>
      <c r="B71" s="10">
        <v>7</v>
      </c>
      <c r="Q71" s="10" t="str">
        <f t="shared" si="1"/>
        <v>Incomplete</v>
      </c>
    </row>
    <row r="72" spans="1:17" hidden="1">
      <c r="A72" s="12">
        <v>46026</v>
      </c>
      <c r="B72" s="10">
        <v>8</v>
      </c>
      <c r="Q72" s="10" t="str">
        <f t="shared" si="1"/>
        <v>Incomplete</v>
      </c>
    </row>
    <row r="73" spans="1:17" hidden="1">
      <c r="A73" s="12">
        <v>46026</v>
      </c>
      <c r="B73" s="10">
        <v>9</v>
      </c>
      <c r="Q73" s="10" t="str">
        <f t="shared" si="1"/>
        <v>Incomplete</v>
      </c>
    </row>
    <row r="74" spans="1:17" hidden="1">
      <c r="A74" s="12">
        <v>46026</v>
      </c>
      <c r="B74" s="10">
        <v>10</v>
      </c>
      <c r="Q74" s="10" t="str">
        <f t="shared" si="1"/>
        <v>Incomplete</v>
      </c>
    </row>
    <row r="75" spans="1:17" hidden="1">
      <c r="A75" s="12">
        <v>46026</v>
      </c>
      <c r="B75" s="10">
        <v>11</v>
      </c>
      <c r="Q75" s="10" t="str">
        <f t="shared" si="1"/>
        <v>Incomplete</v>
      </c>
    </row>
    <row r="76" spans="1:17" hidden="1">
      <c r="A76" s="12">
        <v>46026</v>
      </c>
      <c r="B76" s="10">
        <v>12</v>
      </c>
      <c r="Q76" s="10" t="str">
        <f t="shared" si="1"/>
        <v>Incomplete</v>
      </c>
    </row>
    <row r="77" spans="1:17" hidden="1">
      <c r="A77" s="12">
        <v>46026</v>
      </c>
      <c r="B77" s="10">
        <v>13</v>
      </c>
      <c r="Q77" s="10" t="str">
        <f t="shared" si="1"/>
        <v>Incomplete</v>
      </c>
    </row>
    <row r="78" spans="1:17" hidden="1">
      <c r="A78" s="12">
        <v>46026</v>
      </c>
      <c r="B78" s="10">
        <v>14</v>
      </c>
      <c r="Q78" s="10" t="str">
        <f t="shared" si="1"/>
        <v>Incomplete</v>
      </c>
    </row>
    <row r="79" spans="1:17" hidden="1">
      <c r="A79" s="12">
        <v>46026</v>
      </c>
      <c r="B79" s="10">
        <v>15</v>
      </c>
      <c r="Q79" s="10" t="str">
        <f t="shared" si="1"/>
        <v>Incomplete</v>
      </c>
    </row>
    <row r="80" spans="1:17" hidden="1">
      <c r="A80" s="12">
        <v>46026</v>
      </c>
      <c r="B80" s="10">
        <v>16</v>
      </c>
      <c r="Q80" s="10" t="str">
        <f t="shared" si="1"/>
        <v>Incomplete</v>
      </c>
    </row>
    <row r="81" spans="1:17" hidden="1">
      <c r="A81" s="12">
        <v>46026</v>
      </c>
      <c r="B81" s="10">
        <v>17</v>
      </c>
      <c r="Q81" s="10" t="str">
        <f t="shared" si="1"/>
        <v>Incomplete</v>
      </c>
    </row>
    <row r="82" spans="1:17" hidden="1">
      <c r="A82" s="12">
        <v>46026</v>
      </c>
      <c r="B82" s="10">
        <v>18</v>
      </c>
      <c r="Q82" s="10" t="str">
        <f t="shared" si="1"/>
        <v>Incomplete</v>
      </c>
    </row>
    <row r="83" spans="1:17" hidden="1">
      <c r="A83" s="12">
        <v>46026</v>
      </c>
      <c r="B83" s="10">
        <v>19</v>
      </c>
      <c r="Q83" s="10" t="str">
        <f t="shared" si="1"/>
        <v>Incomplete</v>
      </c>
    </row>
    <row r="84" spans="1:17" hidden="1">
      <c r="A84" s="12">
        <v>46026</v>
      </c>
      <c r="B84" s="10">
        <v>20</v>
      </c>
      <c r="Q84" s="10" t="str">
        <f t="shared" si="1"/>
        <v>Incomplete</v>
      </c>
    </row>
    <row r="85" spans="1:17" hidden="1">
      <c r="A85" s="12">
        <v>46026</v>
      </c>
      <c r="B85" s="10">
        <v>21</v>
      </c>
      <c r="Q85" s="10" t="str">
        <f t="shared" si="1"/>
        <v>Incomplete</v>
      </c>
    </row>
    <row r="86" spans="1:17" hidden="1">
      <c r="A86" s="12">
        <v>46027</v>
      </c>
      <c r="B86" s="10">
        <v>1</v>
      </c>
      <c r="Q86" s="10" t="str">
        <f t="shared" si="1"/>
        <v>Incomplete</v>
      </c>
    </row>
    <row r="87" spans="1:17" hidden="1">
      <c r="A87" s="12">
        <v>46027</v>
      </c>
      <c r="B87" s="10">
        <v>2</v>
      </c>
      <c r="Q87" s="10" t="str">
        <f t="shared" si="1"/>
        <v>Incomplete</v>
      </c>
    </row>
    <row r="88" spans="1:17" hidden="1">
      <c r="A88" s="12">
        <v>46027</v>
      </c>
      <c r="B88" s="10">
        <v>3</v>
      </c>
      <c r="Q88" s="10" t="str">
        <f t="shared" si="1"/>
        <v>Incomplete</v>
      </c>
    </row>
    <row r="89" spans="1:17" hidden="1">
      <c r="A89" s="12">
        <v>46027</v>
      </c>
      <c r="B89" s="10">
        <v>4</v>
      </c>
      <c r="Q89" s="10" t="str">
        <f t="shared" si="1"/>
        <v>Incomplete</v>
      </c>
    </row>
    <row r="90" spans="1:17" hidden="1">
      <c r="A90" s="12">
        <v>46027</v>
      </c>
      <c r="B90" s="10">
        <v>5</v>
      </c>
      <c r="Q90" s="10" t="str">
        <f t="shared" si="1"/>
        <v>Incomplete</v>
      </c>
    </row>
    <row r="91" spans="1:17" hidden="1">
      <c r="A91" s="12">
        <v>46027</v>
      </c>
      <c r="B91" s="10">
        <v>6</v>
      </c>
      <c r="Q91" s="10" t="str">
        <f t="shared" si="1"/>
        <v>Incomplete</v>
      </c>
    </row>
    <row r="92" spans="1:17" hidden="1">
      <c r="A92" s="12">
        <v>46027</v>
      </c>
      <c r="B92" s="10">
        <v>7</v>
      </c>
      <c r="Q92" s="10" t="str">
        <f t="shared" si="1"/>
        <v>Incomplete</v>
      </c>
    </row>
    <row r="93" spans="1:17" hidden="1">
      <c r="A93" s="12">
        <v>46027</v>
      </c>
      <c r="B93" s="10">
        <v>8</v>
      </c>
      <c r="Q93" s="10" t="str">
        <f t="shared" si="1"/>
        <v>Incomplete</v>
      </c>
    </row>
    <row r="94" spans="1:17" hidden="1">
      <c r="A94" s="12">
        <v>46027</v>
      </c>
      <c r="B94" s="10">
        <v>9</v>
      </c>
      <c r="Q94" s="10" t="str">
        <f t="shared" si="1"/>
        <v>Incomplete</v>
      </c>
    </row>
    <row r="95" spans="1:17" hidden="1">
      <c r="A95" s="12">
        <v>46027</v>
      </c>
      <c r="B95" s="10">
        <v>10</v>
      </c>
      <c r="Q95" s="10" t="str">
        <f t="shared" si="1"/>
        <v>Incomplete</v>
      </c>
    </row>
    <row r="96" spans="1:17" hidden="1">
      <c r="A96" s="12">
        <v>46027</v>
      </c>
      <c r="B96" s="10">
        <v>11</v>
      </c>
      <c r="Q96" s="10" t="str">
        <f t="shared" si="1"/>
        <v>Incomplete</v>
      </c>
    </row>
    <row r="97" spans="1:17" hidden="1">
      <c r="A97" s="12">
        <v>46027</v>
      </c>
      <c r="B97" s="10">
        <v>12</v>
      </c>
      <c r="Q97" s="10" t="str">
        <f t="shared" si="1"/>
        <v>Incomplete</v>
      </c>
    </row>
    <row r="98" spans="1:17" hidden="1">
      <c r="A98" s="12">
        <v>46027</v>
      </c>
      <c r="B98" s="10">
        <v>13</v>
      </c>
      <c r="Q98" s="10" t="str">
        <f t="shared" si="1"/>
        <v>Incomplete</v>
      </c>
    </row>
    <row r="99" spans="1:17" hidden="1">
      <c r="A99" s="12">
        <v>46027</v>
      </c>
      <c r="B99" s="10">
        <v>14</v>
      </c>
      <c r="Q99" s="10" t="str">
        <f t="shared" si="1"/>
        <v>Incomplete</v>
      </c>
    </row>
    <row r="100" spans="1:17" hidden="1">
      <c r="A100" s="12">
        <v>46027</v>
      </c>
      <c r="B100" s="10">
        <v>15</v>
      </c>
      <c r="Q100" s="10" t="str">
        <f t="shared" si="1"/>
        <v>Incomplete</v>
      </c>
    </row>
    <row r="101" spans="1:17" hidden="1">
      <c r="A101" s="12">
        <v>46027</v>
      </c>
      <c r="B101" s="10">
        <v>16</v>
      </c>
      <c r="Q101" s="10" t="str">
        <f t="shared" si="1"/>
        <v>Incomplete</v>
      </c>
    </row>
    <row r="102" spans="1:17" hidden="1">
      <c r="A102" s="12">
        <v>46027</v>
      </c>
      <c r="B102" s="10">
        <v>17</v>
      </c>
      <c r="Q102" s="10" t="str">
        <f t="shared" si="1"/>
        <v>Incomplete</v>
      </c>
    </row>
    <row r="103" spans="1:17" hidden="1">
      <c r="A103" s="12">
        <v>46027</v>
      </c>
      <c r="B103" s="10">
        <v>18</v>
      </c>
      <c r="Q103" s="10" t="str">
        <f t="shared" si="1"/>
        <v>Incomplete</v>
      </c>
    </row>
    <row r="104" spans="1:17" hidden="1">
      <c r="A104" s="12">
        <v>46027</v>
      </c>
      <c r="B104" s="10">
        <v>19</v>
      </c>
      <c r="Q104" s="10" t="str">
        <f t="shared" si="1"/>
        <v>Incomplete</v>
      </c>
    </row>
    <row r="105" spans="1:17" hidden="1">
      <c r="A105" s="12">
        <v>46027</v>
      </c>
      <c r="B105" s="10">
        <v>20</v>
      </c>
      <c r="Q105" s="10" t="str">
        <f t="shared" si="1"/>
        <v>Incomplete</v>
      </c>
    </row>
    <row r="106" spans="1:17" hidden="1">
      <c r="A106" s="12">
        <v>46027</v>
      </c>
      <c r="B106" s="10">
        <v>21</v>
      </c>
      <c r="Q106" s="10" t="str">
        <f t="shared" si="1"/>
        <v>Incomplete</v>
      </c>
    </row>
    <row r="107" spans="1:17" hidden="1">
      <c r="A107" s="12">
        <v>46028</v>
      </c>
      <c r="B107" s="10">
        <v>1</v>
      </c>
      <c r="Q107" s="10" t="str">
        <f t="shared" si="1"/>
        <v>Incomplete</v>
      </c>
    </row>
    <row r="108" spans="1:17" hidden="1">
      <c r="A108" s="12">
        <v>46028</v>
      </c>
      <c r="B108" s="10">
        <v>2</v>
      </c>
      <c r="Q108" s="10" t="str">
        <f t="shared" si="1"/>
        <v>Incomplete</v>
      </c>
    </row>
    <row r="109" spans="1:17" hidden="1">
      <c r="A109" s="12">
        <v>46028</v>
      </c>
      <c r="B109" s="10">
        <v>3</v>
      </c>
      <c r="Q109" s="10" t="str">
        <f t="shared" si="1"/>
        <v>Incomplete</v>
      </c>
    </row>
    <row r="110" spans="1:17" hidden="1">
      <c r="A110" s="12">
        <v>46028</v>
      </c>
      <c r="B110" s="10">
        <v>4</v>
      </c>
      <c r="Q110" s="10" t="str">
        <f t="shared" si="1"/>
        <v>Incomplete</v>
      </c>
    </row>
    <row r="111" spans="1:17" hidden="1">
      <c r="A111" s="12">
        <v>46028</v>
      </c>
      <c r="B111" s="10">
        <v>5</v>
      </c>
      <c r="Q111" s="10" t="str">
        <f t="shared" si="1"/>
        <v>Incomplete</v>
      </c>
    </row>
    <row r="112" spans="1:17" hidden="1">
      <c r="A112" s="12">
        <v>46028</v>
      </c>
      <c r="B112" s="10">
        <v>6</v>
      </c>
      <c r="Q112" s="10" t="str">
        <f t="shared" si="1"/>
        <v>Incomplete</v>
      </c>
    </row>
    <row r="113" spans="1:17" hidden="1">
      <c r="A113" s="12">
        <v>46028</v>
      </c>
      <c r="B113" s="10">
        <v>7</v>
      </c>
      <c r="Q113" s="10" t="str">
        <f t="shared" si="1"/>
        <v>Incomplete</v>
      </c>
    </row>
    <row r="114" spans="1:17" hidden="1">
      <c r="A114" s="12">
        <v>46028</v>
      </c>
      <c r="B114" s="10">
        <v>8</v>
      </c>
      <c r="Q114" s="10" t="str">
        <f t="shared" si="1"/>
        <v>Incomplete</v>
      </c>
    </row>
    <row r="115" spans="1:17" hidden="1">
      <c r="A115" s="12">
        <v>46028</v>
      </c>
      <c r="B115" s="10">
        <v>9</v>
      </c>
      <c r="Q115" s="10" t="str">
        <f t="shared" si="1"/>
        <v>Incomplete</v>
      </c>
    </row>
    <row r="116" spans="1:17" hidden="1">
      <c r="A116" s="12">
        <v>46028</v>
      </c>
      <c r="B116" s="10">
        <v>10</v>
      </c>
      <c r="Q116" s="10" t="str">
        <f t="shared" si="1"/>
        <v>Incomplete</v>
      </c>
    </row>
    <row r="117" spans="1:17" hidden="1">
      <c r="A117" s="12">
        <v>46028</v>
      </c>
      <c r="B117" s="10">
        <v>11</v>
      </c>
      <c r="Q117" s="10" t="str">
        <f t="shared" si="1"/>
        <v>Incomplete</v>
      </c>
    </row>
    <row r="118" spans="1:17" hidden="1">
      <c r="A118" s="12">
        <v>46028</v>
      </c>
      <c r="B118" s="10">
        <v>12</v>
      </c>
      <c r="Q118" s="10" t="str">
        <f t="shared" si="1"/>
        <v>Incomplete</v>
      </c>
    </row>
    <row r="119" spans="1:17" hidden="1">
      <c r="A119" s="12">
        <v>46028</v>
      </c>
      <c r="B119" s="10">
        <v>13</v>
      </c>
      <c r="Q119" s="10" t="str">
        <f t="shared" si="1"/>
        <v>Incomplete</v>
      </c>
    </row>
    <row r="120" spans="1:17" hidden="1">
      <c r="A120" s="12">
        <v>46028</v>
      </c>
      <c r="B120" s="10">
        <v>14</v>
      </c>
      <c r="Q120" s="10" t="str">
        <f t="shared" si="1"/>
        <v>Incomplete</v>
      </c>
    </row>
    <row r="121" spans="1:17" hidden="1">
      <c r="A121" s="12">
        <v>46028</v>
      </c>
      <c r="B121" s="10">
        <v>15</v>
      </c>
      <c r="Q121" s="10" t="str">
        <f t="shared" si="1"/>
        <v>Incomplete</v>
      </c>
    </row>
    <row r="122" spans="1:17" hidden="1">
      <c r="A122" s="12">
        <v>46028</v>
      </c>
      <c r="B122" s="10">
        <v>16</v>
      </c>
      <c r="Q122" s="10" t="str">
        <f t="shared" si="1"/>
        <v>Incomplete</v>
      </c>
    </row>
    <row r="123" spans="1:17" hidden="1">
      <c r="A123" s="12">
        <v>46028</v>
      </c>
      <c r="B123" s="10">
        <v>17</v>
      </c>
      <c r="Q123" s="10" t="str">
        <f t="shared" si="1"/>
        <v>Incomplete</v>
      </c>
    </row>
    <row r="124" spans="1:17" hidden="1">
      <c r="A124" s="12">
        <v>46028</v>
      </c>
      <c r="B124" s="10">
        <v>18</v>
      </c>
      <c r="Q124" s="10" t="str">
        <f t="shared" si="1"/>
        <v>Incomplete</v>
      </c>
    </row>
    <row r="125" spans="1:17" hidden="1">
      <c r="A125" s="12">
        <v>46028</v>
      </c>
      <c r="B125" s="10">
        <v>19</v>
      </c>
      <c r="Q125" s="10" t="str">
        <f t="shared" si="1"/>
        <v>Incomplete</v>
      </c>
    </row>
    <row r="126" spans="1:17" hidden="1">
      <c r="A126" s="12">
        <v>46028</v>
      </c>
      <c r="B126" s="10">
        <v>20</v>
      </c>
      <c r="Q126" s="10" t="str">
        <f t="shared" si="1"/>
        <v>Incomplete</v>
      </c>
    </row>
    <row r="127" spans="1:17" hidden="1">
      <c r="A127" s="12">
        <v>46028</v>
      </c>
      <c r="B127" s="10">
        <v>21</v>
      </c>
      <c r="Q127" s="10" t="str">
        <f t="shared" si="1"/>
        <v>Incomplete</v>
      </c>
    </row>
    <row r="128" spans="1:17" hidden="1">
      <c r="A128" s="12">
        <v>46029</v>
      </c>
      <c r="B128" s="10">
        <v>1</v>
      </c>
      <c r="Q128" s="10" t="str">
        <f t="shared" si="1"/>
        <v>Incomplete</v>
      </c>
    </row>
    <row r="129" spans="1:17" hidden="1">
      <c r="A129" s="12">
        <v>46029</v>
      </c>
      <c r="B129" s="10">
        <v>2</v>
      </c>
      <c r="Q129" s="10" t="str">
        <f t="shared" si="1"/>
        <v>Incomplete</v>
      </c>
    </row>
    <row r="130" spans="1:17" hidden="1">
      <c r="A130" s="12">
        <v>46029</v>
      </c>
      <c r="B130" s="10">
        <v>3</v>
      </c>
      <c r="Q130" s="10" t="str">
        <f t="shared" ref="Q130:Q193" si="2">IF(AND(C130&lt;&gt;"",J130&lt;&gt;"",K130&lt;&gt;"",L130&lt;&gt;"",O130="Yes"),"Complete","Incomplete")</f>
        <v>Incomplete</v>
      </c>
    </row>
    <row r="131" spans="1:17" hidden="1">
      <c r="A131" s="12">
        <v>46029</v>
      </c>
      <c r="B131" s="10">
        <v>4</v>
      </c>
      <c r="Q131" s="10" t="str">
        <f t="shared" si="2"/>
        <v>Incomplete</v>
      </c>
    </row>
    <row r="132" spans="1:17" hidden="1">
      <c r="A132" s="12">
        <v>46029</v>
      </c>
      <c r="B132" s="10">
        <v>5</v>
      </c>
      <c r="Q132" s="10" t="str">
        <f t="shared" si="2"/>
        <v>Incomplete</v>
      </c>
    </row>
    <row r="133" spans="1:17" hidden="1">
      <c r="A133" s="12">
        <v>46029</v>
      </c>
      <c r="B133" s="10">
        <v>6</v>
      </c>
      <c r="Q133" s="10" t="str">
        <f t="shared" si="2"/>
        <v>Incomplete</v>
      </c>
    </row>
    <row r="134" spans="1:17" hidden="1">
      <c r="A134" s="12">
        <v>46029</v>
      </c>
      <c r="B134" s="10">
        <v>7</v>
      </c>
      <c r="Q134" s="10" t="str">
        <f t="shared" si="2"/>
        <v>Incomplete</v>
      </c>
    </row>
    <row r="135" spans="1:17" hidden="1">
      <c r="A135" s="12">
        <v>46029</v>
      </c>
      <c r="B135" s="10">
        <v>8</v>
      </c>
      <c r="Q135" s="10" t="str">
        <f t="shared" si="2"/>
        <v>Incomplete</v>
      </c>
    </row>
    <row r="136" spans="1:17" hidden="1">
      <c r="A136" s="12">
        <v>46029</v>
      </c>
      <c r="B136" s="10">
        <v>9</v>
      </c>
      <c r="Q136" s="10" t="str">
        <f t="shared" si="2"/>
        <v>Incomplete</v>
      </c>
    </row>
    <row r="137" spans="1:17" hidden="1">
      <c r="A137" s="12">
        <v>46029</v>
      </c>
      <c r="B137" s="10">
        <v>10</v>
      </c>
      <c r="Q137" s="10" t="str">
        <f t="shared" si="2"/>
        <v>Incomplete</v>
      </c>
    </row>
    <row r="138" spans="1:17" hidden="1">
      <c r="A138" s="12">
        <v>46029</v>
      </c>
      <c r="B138" s="10">
        <v>11</v>
      </c>
      <c r="Q138" s="10" t="str">
        <f t="shared" si="2"/>
        <v>Incomplete</v>
      </c>
    </row>
    <row r="139" spans="1:17" hidden="1">
      <c r="A139" s="12">
        <v>46029</v>
      </c>
      <c r="B139" s="10">
        <v>12</v>
      </c>
      <c r="Q139" s="10" t="str">
        <f t="shared" si="2"/>
        <v>Incomplete</v>
      </c>
    </row>
    <row r="140" spans="1:17" hidden="1">
      <c r="A140" s="12">
        <v>46029</v>
      </c>
      <c r="B140" s="10">
        <v>13</v>
      </c>
      <c r="Q140" s="10" t="str">
        <f t="shared" si="2"/>
        <v>Incomplete</v>
      </c>
    </row>
    <row r="141" spans="1:17" hidden="1">
      <c r="A141" s="12">
        <v>46029</v>
      </c>
      <c r="B141" s="10">
        <v>14</v>
      </c>
      <c r="Q141" s="10" t="str">
        <f t="shared" si="2"/>
        <v>Incomplete</v>
      </c>
    </row>
    <row r="142" spans="1:17" hidden="1">
      <c r="A142" s="12">
        <v>46029</v>
      </c>
      <c r="B142" s="10">
        <v>15</v>
      </c>
      <c r="Q142" s="10" t="str">
        <f t="shared" si="2"/>
        <v>Incomplete</v>
      </c>
    </row>
    <row r="143" spans="1:17" hidden="1">
      <c r="A143" s="12">
        <v>46029</v>
      </c>
      <c r="B143" s="10">
        <v>16</v>
      </c>
      <c r="Q143" s="10" t="str">
        <f t="shared" si="2"/>
        <v>Incomplete</v>
      </c>
    </row>
    <row r="144" spans="1:17" hidden="1">
      <c r="A144" s="12">
        <v>46029</v>
      </c>
      <c r="B144" s="10">
        <v>17</v>
      </c>
      <c r="Q144" s="10" t="str">
        <f t="shared" si="2"/>
        <v>Incomplete</v>
      </c>
    </row>
    <row r="145" spans="1:17" hidden="1">
      <c r="A145" s="12">
        <v>46029</v>
      </c>
      <c r="B145" s="10">
        <v>18</v>
      </c>
      <c r="Q145" s="10" t="str">
        <f t="shared" si="2"/>
        <v>Incomplete</v>
      </c>
    </row>
    <row r="146" spans="1:17" hidden="1">
      <c r="A146" s="12">
        <v>46029</v>
      </c>
      <c r="B146" s="10">
        <v>19</v>
      </c>
      <c r="Q146" s="10" t="str">
        <f t="shared" si="2"/>
        <v>Incomplete</v>
      </c>
    </row>
    <row r="147" spans="1:17" hidden="1">
      <c r="A147" s="12">
        <v>46029</v>
      </c>
      <c r="B147" s="10">
        <v>20</v>
      </c>
      <c r="Q147" s="10" t="str">
        <f t="shared" si="2"/>
        <v>Incomplete</v>
      </c>
    </row>
    <row r="148" spans="1:17" hidden="1">
      <c r="A148" s="12">
        <v>46029</v>
      </c>
      <c r="B148" s="10">
        <v>21</v>
      </c>
      <c r="Q148" s="10" t="str">
        <f t="shared" si="2"/>
        <v>Incomplete</v>
      </c>
    </row>
    <row r="149" spans="1:17" hidden="1">
      <c r="A149" s="12">
        <v>46030</v>
      </c>
      <c r="B149" s="10">
        <v>1</v>
      </c>
      <c r="Q149" s="10" t="str">
        <f t="shared" si="2"/>
        <v>Incomplete</v>
      </c>
    </row>
    <row r="150" spans="1:17" hidden="1">
      <c r="A150" s="12">
        <v>46030</v>
      </c>
      <c r="B150" s="10">
        <v>2</v>
      </c>
      <c r="Q150" s="10" t="str">
        <f t="shared" si="2"/>
        <v>Incomplete</v>
      </c>
    </row>
    <row r="151" spans="1:17" hidden="1">
      <c r="A151" s="12">
        <v>46030</v>
      </c>
      <c r="B151" s="10">
        <v>3</v>
      </c>
      <c r="Q151" s="10" t="str">
        <f t="shared" si="2"/>
        <v>Incomplete</v>
      </c>
    </row>
    <row r="152" spans="1:17" hidden="1">
      <c r="A152" s="12">
        <v>46030</v>
      </c>
      <c r="B152" s="10">
        <v>4</v>
      </c>
      <c r="Q152" s="10" t="str">
        <f t="shared" si="2"/>
        <v>Incomplete</v>
      </c>
    </row>
    <row r="153" spans="1:17" hidden="1">
      <c r="A153" s="12">
        <v>46030</v>
      </c>
      <c r="B153" s="10">
        <v>5</v>
      </c>
      <c r="Q153" s="10" t="str">
        <f t="shared" si="2"/>
        <v>Incomplete</v>
      </c>
    </row>
    <row r="154" spans="1:17" hidden="1">
      <c r="A154" s="12">
        <v>46030</v>
      </c>
      <c r="B154" s="10">
        <v>6</v>
      </c>
      <c r="Q154" s="10" t="str">
        <f t="shared" si="2"/>
        <v>Incomplete</v>
      </c>
    </row>
    <row r="155" spans="1:17" hidden="1">
      <c r="A155" s="12">
        <v>46030</v>
      </c>
      <c r="B155" s="10">
        <v>7</v>
      </c>
      <c r="Q155" s="10" t="str">
        <f t="shared" si="2"/>
        <v>Incomplete</v>
      </c>
    </row>
    <row r="156" spans="1:17" hidden="1">
      <c r="A156" s="12">
        <v>46030</v>
      </c>
      <c r="B156" s="10">
        <v>8</v>
      </c>
      <c r="Q156" s="10" t="str">
        <f t="shared" si="2"/>
        <v>Incomplete</v>
      </c>
    </row>
    <row r="157" spans="1:17" hidden="1">
      <c r="A157" s="12">
        <v>46030</v>
      </c>
      <c r="B157" s="10">
        <v>9</v>
      </c>
      <c r="Q157" s="10" t="str">
        <f t="shared" si="2"/>
        <v>Incomplete</v>
      </c>
    </row>
    <row r="158" spans="1:17" hidden="1">
      <c r="A158" s="12">
        <v>46030</v>
      </c>
      <c r="B158" s="10">
        <v>10</v>
      </c>
      <c r="Q158" s="10" t="str">
        <f t="shared" si="2"/>
        <v>Incomplete</v>
      </c>
    </row>
    <row r="159" spans="1:17" hidden="1">
      <c r="A159" s="12">
        <v>46030</v>
      </c>
      <c r="B159" s="10">
        <v>11</v>
      </c>
      <c r="Q159" s="10" t="str">
        <f t="shared" si="2"/>
        <v>Incomplete</v>
      </c>
    </row>
    <row r="160" spans="1:17" hidden="1">
      <c r="A160" s="12">
        <v>46030</v>
      </c>
      <c r="B160" s="10">
        <v>12</v>
      </c>
      <c r="Q160" s="10" t="str">
        <f t="shared" si="2"/>
        <v>Incomplete</v>
      </c>
    </row>
    <row r="161" spans="1:17" hidden="1">
      <c r="A161" s="12">
        <v>46030</v>
      </c>
      <c r="B161" s="10">
        <v>13</v>
      </c>
      <c r="Q161" s="10" t="str">
        <f t="shared" si="2"/>
        <v>Incomplete</v>
      </c>
    </row>
    <row r="162" spans="1:17" hidden="1">
      <c r="A162" s="12">
        <v>46030</v>
      </c>
      <c r="B162" s="10">
        <v>14</v>
      </c>
      <c r="Q162" s="10" t="str">
        <f t="shared" si="2"/>
        <v>Incomplete</v>
      </c>
    </row>
    <row r="163" spans="1:17" hidden="1">
      <c r="A163" s="12">
        <v>46030</v>
      </c>
      <c r="B163" s="10">
        <v>15</v>
      </c>
      <c r="Q163" s="10" t="str">
        <f t="shared" si="2"/>
        <v>Incomplete</v>
      </c>
    </row>
    <row r="164" spans="1:17" hidden="1">
      <c r="A164" s="12">
        <v>46030</v>
      </c>
      <c r="B164" s="10">
        <v>16</v>
      </c>
      <c r="Q164" s="10" t="str">
        <f t="shared" si="2"/>
        <v>Incomplete</v>
      </c>
    </row>
    <row r="165" spans="1:17" hidden="1">
      <c r="A165" s="12">
        <v>46030</v>
      </c>
      <c r="B165" s="10">
        <v>17</v>
      </c>
      <c r="Q165" s="10" t="str">
        <f t="shared" si="2"/>
        <v>Incomplete</v>
      </c>
    </row>
    <row r="166" spans="1:17" hidden="1">
      <c r="A166" s="12">
        <v>46030</v>
      </c>
      <c r="B166" s="10">
        <v>18</v>
      </c>
      <c r="Q166" s="10" t="str">
        <f t="shared" si="2"/>
        <v>Incomplete</v>
      </c>
    </row>
    <row r="167" spans="1:17" hidden="1">
      <c r="A167" s="12">
        <v>46030</v>
      </c>
      <c r="B167" s="10">
        <v>19</v>
      </c>
      <c r="Q167" s="10" t="str">
        <f t="shared" si="2"/>
        <v>Incomplete</v>
      </c>
    </row>
    <row r="168" spans="1:17" hidden="1">
      <c r="A168" s="12">
        <v>46030</v>
      </c>
      <c r="B168" s="10">
        <v>20</v>
      </c>
      <c r="Q168" s="10" t="str">
        <f t="shared" si="2"/>
        <v>Incomplete</v>
      </c>
    </row>
    <row r="169" spans="1:17" hidden="1">
      <c r="A169" s="12">
        <v>46030</v>
      </c>
      <c r="B169" s="10">
        <v>21</v>
      </c>
      <c r="Q169" s="10" t="str">
        <f t="shared" si="2"/>
        <v>Incomplete</v>
      </c>
    </row>
    <row r="170" spans="1:17" hidden="1">
      <c r="A170" s="12">
        <v>46031</v>
      </c>
      <c r="B170" s="10">
        <v>1</v>
      </c>
      <c r="Q170" s="10" t="str">
        <f t="shared" si="2"/>
        <v>Incomplete</v>
      </c>
    </row>
    <row r="171" spans="1:17" hidden="1">
      <c r="A171" s="12">
        <v>46031</v>
      </c>
      <c r="B171" s="10">
        <v>2</v>
      </c>
      <c r="Q171" s="10" t="str">
        <f t="shared" si="2"/>
        <v>Incomplete</v>
      </c>
    </row>
    <row r="172" spans="1:17" hidden="1">
      <c r="A172" s="12">
        <v>46031</v>
      </c>
      <c r="B172" s="10">
        <v>3</v>
      </c>
      <c r="Q172" s="10" t="str">
        <f t="shared" si="2"/>
        <v>Incomplete</v>
      </c>
    </row>
    <row r="173" spans="1:17" hidden="1">
      <c r="A173" s="12">
        <v>46031</v>
      </c>
      <c r="B173" s="10">
        <v>4</v>
      </c>
      <c r="Q173" s="10" t="str">
        <f t="shared" si="2"/>
        <v>Incomplete</v>
      </c>
    </row>
    <row r="174" spans="1:17" hidden="1">
      <c r="A174" s="12">
        <v>46031</v>
      </c>
      <c r="B174" s="10">
        <v>5</v>
      </c>
      <c r="Q174" s="10" t="str">
        <f t="shared" si="2"/>
        <v>Incomplete</v>
      </c>
    </row>
    <row r="175" spans="1:17" hidden="1">
      <c r="A175" s="12">
        <v>46031</v>
      </c>
      <c r="B175" s="10">
        <v>6</v>
      </c>
      <c r="Q175" s="10" t="str">
        <f t="shared" si="2"/>
        <v>Incomplete</v>
      </c>
    </row>
    <row r="176" spans="1:17" hidden="1">
      <c r="A176" s="12">
        <v>46031</v>
      </c>
      <c r="B176" s="10">
        <v>7</v>
      </c>
      <c r="Q176" s="10" t="str">
        <f t="shared" si="2"/>
        <v>Incomplete</v>
      </c>
    </row>
    <row r="177" spans="1:17" hidden="1">
      <c r="A177" s="12">
        <v>46031</v>
      </c>
      <c r="B177" s="10">
        <v>8</v>
      </c>
      <c r="Q177" s="10" t="str">
        <f t="shared" si="2"/>
        <v>Incomplete</v>
      </c>
    </row>
    <row r="178" spans="1:17" hidden="1">
      <c r="A178" s="12">
        <v>46031</v>
      </c>
      <c r="B178" s="10">
        <v>9</v>
      </c>
      <c r="Q178" s="10" t="str">
        <f t="shared" si="2"/>
        <v>Incomplete</v>
      </c>
    </row>
    <row r="179" spans="1:17" hidden="1">
      <c r="A179" s="12">
        <v>46031</v>
      </c>
      <c r="B179" s="10">
        <v>10</v>
      </c>
      <c r="Q179" s="10" t="str">
        <f t="shared" si="2"/>
        <v>Incomplete</v>
      </c>
    </row>
    <row r="180" spans="1:17" hidden="1">
      <c r="A180" s="12">
        <v>46031</v>
      </c>
      <c r="B180" s="10">
        <v>11</v>
      </c>
      <c r="Q180" s="10" t="str">
        <f t="shared" si="2"/>
        <v>Incomplete</v>
      </c>
    </row>
    <row r="181" spans="1:17" hidden="1">
      <c r="A181" s="12">
        <v>46031</v>
      </c>
      <c r="B181" s="10">
        <v>12</v>
      </c>
      <c r="Q181" s="10" t="str">
        <f t="shared" si="2"/>
        <v>Incomplete</v>
      </c>
    </row>
    <row r="182" spans="1:17" hidden="1">
      <c r="A182" s="12">
        <v>46031</v>
      </c>
      <c r="B182" s="10">
        <v>13</v>
      </c>
      <c r="Q182" s="10" t="str">
        <f t="shared" si="2"/>
        <v>Incomplete</v>
      </c>
    </row>
    <row r="183" spans="1:17" hidden="1">
      <c r="A183" s="12">
        <v>46031</v>
      </c>
      <c r="B183" s="10">
        <v>14</v>
      </c>
      <c r="Q183" s="10" t="str">
        <f t="shared" si="2"/>
        <v>Incomplete</v>
      </c>
    </row>
    <row r="184" spans="1:17" hidden="1">
      <c r="A184" s="12">
        <v>46031</v>
      </c>
      <c r="B184" s="10">
        <v>15</v>
      </c>
      <c r="Q184" s="10" t="str">
        <f t="shared" si="2"/>
        <v>Incomplete</v>
      </c>
    </row>
    <row r="185" spans="1:17" hidden="1">
      <c r="A185" s="12">
        <v>46031</v>
      </c>
      <c r="B185" s="10">
        <v>16</v>
      </c>
      <c r="Q185" s="10" t="str">
        <f t="shared" si="2"/>
        <v>Incomplete</v>
      </c>
    </row>
    <row r="186" spans="1:17" hidden="1">
      <c r="A186" s="12">
        <v>46031</v>
      </c>
      <c r="B186" s="10">
        <v>17</v>
      </c>
      <c r="Q186" s="10" t="str">
        <f t="shared" si="2"/>
        <v>Incomplete</v>
      </c>
    </row>
    <row r="187" spans="1:17" hidden="1">
      <c r="A187" s="12">
        <v>46031</v>
      </c>
      <c r="B187" s="10">
        <v>18</v>
      </c>
      <c r="Q187" s="10" t="str">
        <f t="shared" si="2"/>
        <v>Incomplete</v>
      </c>
    </row>
    <row r="188" spans="1:17" hidden="1">
      <c r="A188" s="12">
        <v>46031</v>
      </c>
      <c r="B188" s="10">
        <v>19</v>
      </c>
      <c r="Q188" s="10" t="str">
        <f t="shared" si="2"/>
        <v>Incomplete</v>
      </c>
    </row>
    <row r="189" spans="1:17" hidden="1">
      <c r="A189" s="12">
        <v>46031</v>
      </c>
      <c r="B189" s="10">
        <v>20</v>
      </c>
      <c r="Q189" s="10" t="str">
        <f t="shared" si="2"/>
        <v>Incomplete</v>
      </c>
    </row>
    <row r="190" spans="1:17" hidden="1">
      <c r="A190" s="12">
        <v>46031</v>
      </c>
      <c r="B190" s="10">
        <v>21</v>
      </c>
      <c r="Q190" s="10" t="str">
        <f t="shared" si="2"/>
        <v>Incomplete</v>
      </c>
    </row>
    <row r="191" spans="1:17" hidden="1">
      <c r="A191" s="12">
        <v>46032</v>
      </c>
      <c r="B191" s="10">
        <v>1</v>
      </c>
      <c r="Q191" s="10" t="str">
        <f t="shared" si="2"/>
        <v>Incomplete</v>
      </c>
    </row>
    <row r="192" spans="1:17" hidden="1">
      <c r="A192" s="12">
        <v>46032</v>
      </c>
      <c r="B192" s="10">
        <v>2</v>
      </c>
      <c r="Q192" s="10" t="str">
        <f t="shared" si="2"/>
        <v>Incomplete</v>
      </c>
    </row>
    <row r="193" spans="1:17" hidden="1">
      <c r="A193" s="12">
        <v>46032</v>
      </c>
      <c r="B193" s="10">
        <v>3</v>
      </c>
      <c r="Q193" s="10" t="str">
        <f t="shared" si="2"/>
        <v>Incomplete</v>
      </c>
    </row>
    <row r="194" spans="1:17" hidden="1">
      <c r="A194" s="12">
        <v>46032</v>
      </c>
      <c r="B194" s="10">
        <v>4</v>
      </c>
      <c r="Q194" s="10" t="str">
        <f t="shared" ref="Q194:Q257" si="3">IF(AND(C194&lt;&gt;"",J194&lt;&gt;"",K194&lt;&gt;"",L194&lt;&gt;"",O194="Yes"),"Complete","Incomplete")</f>
        <v>Incomplete</v>
      </c>
    </row>
    <row r="195" spans="1:17" hidden="1">
      <c r="A195" s="12">
        <v>46032</v>
      </c>
      <c r="B195" s="10">
        <v>5</v>
      </c>
      <c r="Q195" s="10" t="str">
        <f t="shared" si="3"/>
        <v>Incomplete</v>
      </c>
    </row>
    <row r="196" spans="1:17" hidden="1">
      <c r="A196" s="12">
        <v>46032</v>
      </c>
      <c r="B196" s="10">
        <v>6</v>
      </c>
      <c r="Q196" s="10" t="str">
        <f t="shared" si="3"/>
        <v>Incomplete</v>
      </c>
    </row>
    <row r="197" spans="1:17" hidden="1">
      <c r="A197" s="12">
        <v>46032</v>
      </c>
      <c r="B197" s="10">
        <v>7</v>
      </c>
      <c r="Q197" s="10" t="str">
        <f t="shared" si="3"/>
        <v>Incomplete</v>
      </c>
    </row>
    <row r="198" spans="1:17" hidden="1">
      <c r="A198" s="12">
        <v>46032</v>
      </c>
      <c r="B198" s="10">
        <v>8</v>
      </c>
      <c r="Q198" s="10" t="str">
        <f t="shared" si="3"/>
        <v>Incomplete</v>
      </c>
    </row>
    <row r="199" spans="1:17" hidden="1">
      <c r="A199" s="12">
        <v>46032</v>
      </c>
      <c r="B199" s="10">
        <v>9</v>
      </c>
      <c r="Q199" s="10" t="str">
        <f t="shared" si="3"/>
        <v>Incomplete</v>
      </c>
    </row>
    <row r="200" spans="1:17" hidden="1">
      <c r="A200" s="12">
        <v>46032</v>
      </c>
      <c r="B200" s="10">
        <v>10</v>
      </c>
      <c r="Q200" s="10" t="str">
        <f t="shared" si="3"/>
        <v>Incomplete</v>
      </c>
    </row>
    <row r="201" spans="1:17" hidden="1">
      <c r="A201" s="12">
        <v>46032</v>
      </c>
      <c r="B201" s="10">
        <v>11</v>
      </c>
      <c r="Q201" s="10" t="str">
        <f t="shared" si="3"/>
        <v>Incomplete</v>
      </c>
    </row>
    <row r="202" spans="1:17" hidden="1">
      <c r="A202" s="12">
        <v>46032</v>
      </c>
      <c r="B202" s="10">
        <v>12</v>
      </c>
      <c r="Q202" s="10" t="str">
        <f t="shared" si="3"/>
        <v>Incomplete</v>
      </c>
    </row>
    <row r="203" spans="1:17" hidden="1">
      <c r="A203" s="12">
        <v>46032</v>
      </c>
      <c r="B203" s="10">
        <v>13</v>
      </c>
      <c r="Q203" s="10" t="str">
        <f t="shared" si="3"/>
        <v>Incomplete</v>
      </c>
    </row>
    <row r="204" spans="1:17" hidden="1">
      <c r="A204" s="12">
        <v>46032</v>
      </c>
      <c r="B204" s="10">
        <v>14</v>
      </c>
      <c r="Q204" s="10" t="str">
        <f t="shared" si="3"/>
        <v>Incomplete</v>
      </c>
    </row>
    <row r="205" spans="1:17" hidden="1">
      <c r="A205" s="12">
        <v>46032</v>
      </c>
      <c r="B205" s="10">
        <v>15</v>
      </c>
      <c r="Q205" s="10" t="str">
        <f t="shared" si="3"/>
        <v>Incomplete</v>
      </c>
    </row>
    <row r="206" spans="1:17" hidden="1">
      <c r="A206" s="12">
        <v>46032</v>
      </c>
      <c r="B206" s="10">
        <v>16</v>
      </c>
      <c r="Q206" s="10" t="str">
        <f t="shared" si="3"/>
        <v>Incomplete</v>
      </c>
    </row>
    <row r="207" spans="1:17" hidden="1">
      <c r="A207" s="12">
        <v>46032</v>
      </c>
      <c r="B207" s="10">
        <v>17</v>
      </c>
      <c r="Q207" s="10" t="str">
        <f t="shared" si="3"/>
        <v>Incomplete</v>
      </c>
    </row>
    <row r="208" spans="1:17" hidden="1">
      <c r="A208" s="12">
        <v>46032</v>
      </c>
      <c r="B208" s="10">
        <v>18</v>
      </c>
      <c r="Q208" s="10" t="str">
        <f t="shared" si="3"/>
        <v>Incomplete</v>
      </c>
    </row>
    <row r="209" spans="1:17" hidden="1">
      <c r="A209" s="12">
        <v>46032</v>
      </c>
      <c r="B209" s="10">
        <v>19</v>
      </c>
      <c r="Q209" s="10" t="str">
        <f t="shared" si="3"/>
        <v>Incomplete</v>
      </c>
    </row>
    <row r="210" spans="1:17" hidden="1">
      <c r="A210" s="12">
        <v>46032</v>
      </c>
      <c r="B210" s="10">
        <v>20</v>
      </c>
      <c r="Q210" s="10" t="str">
        <f t="shared" si="3"/>
        <v>Incomplete</v>
      </c>
    </row>
    <row r="211" spans="1:17" hidden="1">
      <c r="A211" s="12">
        <v>46032</v>
      </c>
      <c r="B211" s="10">
        <v>21</v>
      </c>
      <c r="Q211" s="10" t="str">
        <f t="shared" si="3"/>
        <v>Incomplete</v>
      </c>
    </row>
    <row r="212" spans="1:17" hidden="1">
      <c r="A212" s="12">
        <v>46033</v>
      </c>
      <c r="B212" s="10">
        <v>1</v>
      </c>
      <c r="Q212" s="10" t="str">
        <f t="shared" si="3"/>
        <v>Incomplete</v>
      </c>
    </row>
    <row r="213" spans="1:17" hidden="1">
      <c r="A213" s="12">
        <v>46033</v>
      </c>
      <c r="B213" s="10">
        <v>2</v>
      </c>
      <c r="Q213" s="10" t="str">
        <f t="shared" si="3"/>
        <v>Incomplete</v>
      </c>
    </row>
    <row r="214" spans="1:17" hidden="1">
      <c r="A214" s="12">
        <v>46033</v>
      </c>
      <c r="B214" s="10">
        <v>3</v>
      </c>
      <c r="Q214" s="10" t="str">
        <f t="shared" si="3"/>
        <v>Incomplete</v>
      </c>
    </row>
    <row r="215" spans="1:17" hidden="1">
      <c r="A215" s="12">
        <v>46033</v>
      </c>
      <c r="B215" s="10">
        <v>4</v>
      </c>
      <c r="Q215" s="10" t="str">
        <f t="shared" si="3"/>
        <v>Incomplete</v>
      </c>
    </row>
    <row r="216" spans="1:17" hidden="1">
      <c r="A216" s="12">
        <v>46033</v>
      </c>
      <c r="B216" s="10">
        <v>5</v>
      </c>
      <c r="Q216" s="10" t="str">
        <f t="shared" si="3"/>
        <v>Incomplete</v>
      </c>
    </row>
    <row r="217" spans="1:17" hidden="1">
      <c r="A217" s="12">
        <v>46033</v>
      </c>
      <c r="B217" s="10">
        <v>6</v>
      </c>
      <c r="Q217" s="10" t="str">
        <f t="shared" si="3"/>
        <v>Incomplete</v>
      </c>
    </row>
    <row r="218" spans="1:17" hidden="1">
      <c r="A218" s="12">
        <v>46033</v>
      </c>
      <c r="B218" s="10">
        <v>7</v>
      </c>
      <c r="Q218" s="10" t="str">
        <f t="shared" si="3"/>
        <v>Incomplete</v>
      </c>
    </row>
    <row r="219" spans="1:17" hidden="1">
      <c r="A219" s="12">
        <v>46033</v>
      </c>
      <c r="B219" s="10">
        <v>8</v>
      </c>
      <c r="Q219" s="10" t="str">
        <f t="shared" si="3"/>
        <v>Incomplete</v>
      </c>
    </row>
    <row r="220" spans="1:17" hidden="1">
      <c r="A220" s="12">
        <v>46033</v>
      </c>
      <c r="B220" s="10">
        <v>9</v>
      </c>
      <c r="Q220" s="10" t="str">
        <f t="shared" si="3"/>
        <v>Incomplete</v>
      </c>
    </row>
    <row r="221" spans="1:17" hidden="1">
      <c r="A221" s="12">
        <v>46033</v>
      </c>
      <c r="B221" s="10">
        <v>10</v>
      </c>
      <c r="Q221" s="10" t="str">
        <f t="shared" si="3"/>
        <v>Incomplete</v>
      </c>
    </row>
    <row r="222" spans="1:17" hidden="1">
      <c r="A222" s="12">
        <v>46033</v>
      </c>
      <c r="B222" s="10">
        <v>11</v>
      </c>
      <c r="Q222" s="10" t="str">
        <f t="shared" si="3"/>
        <v>Incomplete</v>
      </c>
    </row>
    <row r="223" spans="1:17" hidden="1">
      <c r="A223" s="12">
        <v>46033</v>
      </c>
      <c r="B223" s="10">
        <v>12</v>
      </c>
      <c r="Q223" s="10" t="str">
        <f t="shared" si="3"/>
        <v>Incomplete</v>
      </c>
    </row>
    <row r="224" spans="1:17" hidden="1">
      <c r="A224" s="12">
        <v>46033</v>
      </c>
      <c r="B224" s="10">
        <v>13</v>
      </c>
      <c r="Q224" s="10" t="str">
        <f t="shared" si="3"/>
        <v>Incomplete</v>
      </c>
    </row>
    <row r="225" spans="1:17" hidden="1">
      <c r="A225" s="12">
        <v>46033</v>
      </c>
      <c r="B225" s="10">
        <v>14</v>
      </c>
      <c r="Q225" s="10" t="str">
        <f t="shared" si="3"/>
        <v>Incomplete</v>
      </c>
    </row>
    <row r="226" spans="1:17" hidden="1">
      <c r="A226" s="12">
        <v>46033</v>
      </c>
      <c r="B226" s="10">
        <v>15</v>
      </c>
      <c r="Q226" s="10" t="str">
        <f t="shared" si="3"/>
        <v>Incomplete</v>
      </c>
    </row>
    <row r="227" spans="1:17" hidden="1">
      <c r="A227" s="12">
        <v>46033</v>
      </c>
      <c r="B227" s="10">
        <v>16</v>
      </c>
      <c r="Q227" s="10" t="str">
        <f t="shared" si="3"/>
        <v>Incomplete</v>
      </c>
    </row>
    <row r="228" spans="1:17" hidden="1">
      <c r="A228" s="12">
        <v>46033</v>
      </c>
      <c r="B228" s="10">
        <v>17</v>
      </c>
      <c r="Q228" s="10" t="str">
        <f t="shared" si="3"/>
        <v>Incomplete</v>
      </c>
    </row>
    <row r="229" spans="1:17" hidden="1">
      <c r="A229" s="12">
        <v>46033</v>
      </c>
      <c r="B229" s="10">
        <v>18</v>
      </c>
      <c r="Q229" s="10" t="str">
        <f t="shared" si="3"/>
        <v>Incomplete</v>
      </c>
    </row>
    <row r="230" spans="1:17" hidden="1">
      <c r="A230" s="12">
        <v>46033</v>
      </c>
      <c r="B230" s="10">
        <v>19</v>
      </c>
      <c r="Q230" s="10" t="str">
        <f t="shared" si="3"/>
        <v>Incomplete</v>
      </c>
    </row>
    <row r="231" spans="1:17" hidden="1">
      <c r="A231" s="12">
        <v>46033</v>
      </c>
      <c r="B231" s="10">
        <v>20</v>
      </c>
      <c r="Q231" s="10" t="str">
        <f t="shared" si="3"/>
        <v>Incomplete</v>
      </c>
    </row>
    <row r="232" spans="1:17" hidden="1">
      <c r="A232" s="12">
        <v>46033</v>
      </c>
      <c r="B232" s="10">
        <v>21</v>
      </c>
      <c r="Q232" s="10" t="str">
        <f t="shared" si="3"/>
        <v>Incomplete</v>
      </c>
    </row>
    <row r="233" spans="1:17" hidden="1">
      <c r="A233" s="12">
        <v>46034</v>
      </c>
      <c r="B233" s="10">
        <v>1</v>
      </c>
      <c r="Q233" s="10" t="str">
        <f t="shared" si="3"/>
        <v>Incomplete</v>
      </c>
    </row>
    <row r="234" spans="1:17" hidden="1">
      <c r="A234" s="12">
        <v>46034</v>
      </c>
      <c r="B234" s="10">
        <v>2</v>
      </c>
      <c r="Q234" s="10" t="str">
        <f t="shared" si="3"/>
        <v>Incomplete</v>
      </c>
    </row>
    <row r="235" spans="1:17" hidden="1">
      <c r="A235" s="12">
        <v>46034</v>
      </c>
      <c r="B235" s="10">
        <v>3</v>
      </c>
      <c r="Q235" s="10" t="str">
        <f t="shared" si="3"/>
        <v>Incomplete</v>
      </c>
    </row>
    <row r="236" spans="1:17" hidden="1">
      <c r="A236" s="12">
        <v>46034</v>
      </c>
      <c r="B236" s="10">
        <v>4</v>
      </c>
      <c r="Q236" s="10" t="str">
        <f t="shared" si="3"/>
        <v>Incomplete</v>
      </c>
    </row>
    <row r="237" spans="1:17" hidden="1">
      <c r="A237" s="12">
        <v>46034</v>
      </c>
      <c r="B237" s="10">
        <v>5</v>
      </c>
      <c r="Q237" s="10" t="str">
        <f t="shared" si="3"/>
        <v>Incomplete</v>
      </c>
    </row>
    <row r="238" spans="1:17" hidden="1">
      <c r="A238" s="12">
        <v>46034</v>
      </c>
      <c r="B238" s="10">
        <v>6</v>
      </c>
      <c r="Q238" s="10" t="str">
        <f t="shared" si="3"/>
        <v>Incomplete</v>
      </c>
    </row>
    <row r="239" spans="1:17" hidden="1">
      <c r="A239" s="12">
        <v>46034</v>
      </c>
      <c r="B239" s="10">
        <v>7</v>
      </c>
      <c r="Q239" s="10" t="str">
        <f t="shared" si="3"/>
        <v>Incomplete</v>
      </c>
    </row>
    <row r="240" spans="1:17" hidden="1">
      <c r="A240" s="12">
        <v>46034</v>
      </c>
      <c r="B240" s="10">
        <v>8</v>
      </c>
      <c r="Q240" s="10" t="str">
        <f t="shared" si="3"/>
        <v>Incomplete</v>
      </c>
    </row>
    <row r="241" spans="1:17" hidden="1">
      <c r="A241" s="12">
        <v>46034</v>
      </c>
      <c r="B241" s="10">
        <v>9</v>
      </c>
      <c r="Q241" s="10" t="str">
        <f t="shared" si="3"/>
        <v>Incomplete</v>
      </c>
    </row>
    <row r="242" spans="1:17" hidden="1">
      <c r="A242" s="12">
        <v>46034</v>
      </c>
      <c r="B242" s="10">
        <v>10</v>
      </c>
      <c r="Q242" s="10" t="str">
        <f t="shared" si="3"/>
        <v>Incomplete</v>
      </c>
    </row>
    <row r="243" spans="1:17" hidden="1">
      <c r="A243" s="12">
        <v>46034</v>
      </c>
      <c r="B243" s="10">
        <v>11</v>
      </c>
      <c r="Q243" s="10" t="str">
        <f t="shared" si="3"/>
        <v>Incomplete</v>
      </c>
    </row>
    <row r="244" spans="1:17" hidden="1">
      <c r="A244" s="12">
        <v>46034</v>
      </c>
      <c r="B244" s="10">
        <v>12</v>
      </c>
      <c r="Q244" s="10" t="str">
        <f t="shared" si="3"/>
        <v>Incomplete</v>
      </c>
    </row>
    <row r="245" spans="1:17" hidden="1">
      <c r="A245" s="12">
        <v>46034</v>
      </c>
      <c r="B245" s="10">
        <v>13</v>
      </c>
      <c r="Q245" s="10" t="str">
        <f t="shared" si="3"/>
        <v>Incomplete</v>
      </c>
    </row>
    <row r="246" spans="1:17" hidden="1">
      <c r="A246" s="12">
        <v>46034</v>
      </c>
      <c r="B246" s="10">
        <v>14</v>
      </c>
      <c r="Q246" s="10" t="str">
        <f t="shared" si="3"/>
        <v>Incomplete</v>
      </c>
    </row>
    <row r="247" spans="1:17" hidden="1">
      <c r="A247" s="12">
        <v>46034</v>
      </c>
      <c r="B247" s="10">
        <v>15</v>
      </c>
      <c r="Q247" s="10" t="str">
        <f t="shared" si="3"/>
        <v>Incomplete</v>
      </c>
    </row>
    <row r="248" spans="1:17" hidden="1">
      <c r="A248" s="12">
        <v>46034</v>
      </c>
      <c r="B248" s="10">
        <v>16</v>
      </c>
      <c r="Q248" s="10" t="str">
        <f t="shared" si="3"/>
        <v>Incomplete</v>
      </c>
    </row>
    <row r="249" spans="1:17" hidden="1">
      <c r="A249" s="12">
        <v>46034</v>
      </c>
      <c r="B249" s="10">
        <v>17</v>
      </c>
      <c r="Q249" s="10" t="str">
        <f t="shared" si="3"/>
        <v>Incomplete</v>
      </c>
    </row>
    <row r="250" spans="1:17" hidden="1">
      <c r="A250" s="12">
        <v>46034</v>
      </c>
      <c r="B250" s="10">
        <v>18</v>
      </c>
      <c r="Q250" s="10" t="str">
        <f t="shared" si="3"/>
        <v>Incomplete</v>
      </c>
    </row>
    <row r="251" spans="1:17" hidden="1">
      <c r="A251" s="12">
        <v>46034</v>
      </c>
      <c r="B251" s="10">
        <v>19</v>
      </c>
      <c r="Q251" s="10" t="str">
        <f t="shared" si="3"/>
        <v>Incomplete</v>
      </c>
    </row>
    <row r="252" spans="1:17" hidden="1">
      <c r="A252" s="12">
        <v>46034</v>
      </c>
      <c r="B252" s="10">
        <v>20</v>
      </c>
      <c r="Q252" s="10" t="str">
        <f t="shared" si="3"/>
        <v>Incomplete</v>
      </c>
    </row>
    <row r="253" spans="1:17" hidden="1">
      <c r="A253" s="12">
        <v>46034</v>
      </c>
      <c r="B253" s="10">
        <v>21</v>
      </c>
      <c r="Q253" s="10" t="str">
        <f t="shared" si="3"/>
        <v>Incomplete</v>
      </c>
    </row>
    <row r="254" spans="1:17" hidden="1">
      <c r="A254" s="12">
        <v>46035</v>
      </c>
      <c r="B254" s="10">
        <v>1</v>
      </c>
      <c r="Q254" s="10" t="str">
        <f t="shared" si="3"/>
        <v>Incomplete</v>
      </c>
    </row>
    <row r="255" spans="1:17" hidden="1">
      <c r="A255" s="12">
        <v>46035</v>
      </c>
      <c r="B255" s="10">
        <v>2</v>
      </c>
      <c r="Q255" s="10" t="str">
        <f t="shared" si="3"/>
        <v>Incomplete</v>
      </c>
    </row>
    <row r="256" spans="1:17" hidden="1">
      <c r="A256" s="12">
        <v>46035</v>
      </c>
      <c r="B256" s="10">
        <v>3</v>
      </c>
      <c r="Q256" s="10" t="str">
        <f t="shared" si="3"/>
        <v>Incomplete</v>
      </c>
    </row>
    <row r="257" spans="1:17" hidden="1">
      <c r="A257" s="12">
        <v>46035</v>
      </c>
      <c r="B257" s="10">
        <v>4</v>
      </c>
      <c r="Q257" s="10" t="str">
        <f t="shared" si="3"/>
        <v>Incomplete</v>
      </c>
    </row>
    <row r="258" spans="1:17" hidden="1">
      <c r="A258" s="12">
        <v>46035</v>
      </c>
      <c r="B258" s="10">
        <v>5</v>
      </c>
      <c r="Q258" s="10" t="str">
        <f t="shared" ref="Q258:Q321" si="4">IF(AND(C258&lt;&gt;"",J258&lt;&gt;"",K258&lt;&gt;"",L258&lt;&gt;"",O258="Yes"),"Complete","Incomplete")</f>
        <v>Incomplete</v>
      </c>
    </row>
    <row r="259" spans="1:17" hidden="1">
      <c r="A259" s="12">
        <v>46035</v>
      </c>
      <c r="B259" s="10">
        <v>6</v>
      </c>
      <c r="Q259" s="10" t="str">
        <f t="shared" si="4"/>
        <v>Incomplete</v>
      </c>
    </row>
    <row r="260" spans="1:17" hidden="1">
      <c r="A260" s="12">
        <v>46035</v>
      </c>
      <c r="B260" s="10">
        <v>7</v>
      </c>
      <c r="Q260" s="10" t="str">
        <f t="shared" si="4"/>
        <v>Incomplete</v>
      </c>
    </row>
    <row r="261" spans="1:17" hidden="1">
      <c r="A261" s="12">
        <v>46035</v>
      </c>
      <c r="B261" s="10">
        <v>8</v>
      </c>
      <c r="Q261" s="10" t="str">
        <f t="shared" si="4"/>
        <v>Incomplete</v>
      </c>
    </row>
    <row r="262" spans="1:17" hidden="1">
      <c r="A262" s="12">
        <v>46035</v>
      </c>
      <c r="B262" s="10">
        <v>9</v>
      </c>
      <c r="Q262" s="10" t="str">
        <f t="shared" si="4"/>
        <v>Incomplete</v>
      </c>
    </row>
    <row r="263" spans="1:17" hidden="1">
      <c r="A263" s="12">
        <v>46035</v>
      </c>
      <c r="B263" s="10">
        <v>10</v>
      </c>
      <c r="Q263" s="10" t="str">
        <f t="shared" si="4"/>
        <v>Incomplete</v>
      </c>
    </row>
    <row r="264" spans="1:17" hidden="1">
      <c r="A264" s="12">
        <v>46035</v>
      </c>
      <c r="B264" s="10">
        <v>11</v>
      </c>
      <c r="Q264" s="10" t="str">
        <f t="shared" si="4"/>
        <v>Incomplete</v>
      </c>
    </row>
    <row r="265" spans="1:17" hidden="1">
      <c r="A265" s="12">
        <v>46035</v>
      </c>
      <c r="B265" s="10">
        <v>12</v>
      </c>
      <c r="Q265" s="10" t="str">
        <f t="shared" si="4"/>
        <v>Incomplete</v>
      </c>
    </row>
    <row r="266" spans="1:17" hidden="1">
      <c r="A266" s="12">
        <v>46035</v>
      </c>
      <c r="B266" s="10">
        <v>13</v>
      </c>
      <c r="Q266" s="10" t="str">
        <f t="shared" si="4"/>
        <v>Incomplete</v>
      </c>
    </row>
    <row r="267" spans="1:17" hidden="1">
      <c r="A267" s="12">
        <v>46035</v>
      </c>
      <c r="B267" s="10">
        <v>14</v>
      </c>
      <c r="Q267" s="10" t="str">
        <f t="shared" si="4"/>
        <v>Incomplete</v>
      </c>
    </row>
    <row r="268" spans="1:17" hidden="1">
      <c r="A268" s="12">
        <v>46035</v>
      </c>
      <c r="B268" s="10">
        <v>15</v>
      </c>
      <c r="Q268" s="10" t="str">
        <f t="shared" si="4"/>
        <v>Incomplete</v>
      </c>
    </row>
    <row r="269" spans="1:17" hidden="1">
      <c r="A269" s="12">
        <v>46035</v>
      </c>
      <c r="B269" s="10">
        <v>16</v>
      </c>
      <c r="Q269" s="10" t="str">
        <f t="shared" si="4"/>
        <v>Incomplete</v>
      </c>
    </row>
    <row r="270" spans="1:17" hidden="1">
      <c r="A270" s="12">
        <v>46035</v>
      </c>
      <c r="B270" s="10">
        <v>17</v>
      </c>
      <c r="Q270" s="10" t="str">
        <f t="shared" si="4"/>
        <v>Incomplete</v>
      </c>
    </row>
    <row r="271" spans="1:17" hidden="1">
      <c r="A271" s="12">
        <v>46035</v>
      </c>
      <c r="B271" s="10">
        <v>18</v>
      </c>
      <c r="Q271" s="10" t="str">
        <f t="shared" si="4"/>
        <v>Incomplete</v>
      </c>
    </row>
    <row r="272" spans="1:17" hidden="1">
      <c r="A272" s="12">
        <v>46035</v>
      </c>
      <c r="B272" s="10">
        <v>19</v>
      </c>
      <c r="Q272" s="10" t="str">
        <f t="shared" si="4"/>
        <v>Incomplete</v>
      </c>
    </row>
    <row r="273" spans="1:17" hidden="1">
      <c r="A273" s="12">
        <v>46035</v>
      </c>
      <c r="B273" s="10">
        <v>20</v>
      </c>
      <c r="Q273" s="10" t="str">
        <f t="shared" si="4"/>
        <v>Incomplete</v>
      </c>
    </row>
    <row r="274" spans="1:17" hidden="1">
      <c r="A274" s="12">
        <v>46035</v>
      </c>
      <c r="B274" s="10">
        <v>21</v>
      </c>
      <c r="Q274" s="10" t="str">
        <f t="shared" si="4"/>
        <v>Incomplete</v>
      </c>
    </row>
    <row r="275" spans="1:17" hidden="1">
      <c r="A275" s="12">
        <v>46036</v>
      </c>
      <c r="B275" s="10">
        <v>1</v>
      </c>
      <c r="Q275" s="10" t="str">
        <f t="shared" si="4"/>
        <v>Incomplete</v>
      </c>
    </row>
    <row r="276" spans="1:17" hidden="1">
      <c r="A276" s="12">
        <v>46036</v>
      </c>
      <c r="B276" s="10">
        <v>2</v>
      </c>
      <c r="Q276" s="10" t="str">
        <f t="shared" si="4"/>
        <v>Incomplete</v>
      </c>
    </row>
    <row r="277" spans="1:17" hidden="1">
      <c r="A277" s="12">
        <v>46036</v>
      </c>
      <c r="B277" s="10">
        <v>3</v>
      </c>
      <c r="Q277" s="10" t="str">
        <f t="shared" si="4"/>
        <v>Incomplete</v>
      </c>
    </row>
    <row r="278" spans="1:17" hidden="1">
      <c r="A278" s="12">
        <v>46036</v>
      </c>
      <c r="B278" s="10">
        <v>4</v>
      </c>
      <c r="Q278" s="10" t="str">
        <f t="shared" si="4"/>
        <v>Incomplete</v>
      </c>
    </row>
    <row r="279" spans="1:17" hidden="1">
      <c r="A279" s="12">
        <v>46036</v>
      </c>
      <c r="B279" s="10">
        <v>5</v>
      </c>
      <c r="Q279" s="10" t="str">
        <f t="shared" si="4"/>
        <v>Incomplete</v>
      </c>
    </row>
    <row r="280" spans="1:17" hidden="1">
      <c r="A280" s="12">
        <v>46036</v>
      </c>
      <c r="B280" s="10">
        <v>6</v>
      </c>
      <c r="Q280" s="10" t="str">
        <f t="shared" si="4"/>
        <v>Incomplete</v>
      </c>
    </row>
    <row r="281" spans="1:17" hidden="1">
      <c r="A281" s="12">
        <v>46036</v>
      </c>
      <c r="B281" s="10">
        <v>7</v>
      </c>
      <c r="Q281" s="10" t="str">
        <f t="shared" si="4"/>
        <v>Incomplete</v>
      </c>
    </row>
    <row r="282" spans="1:17" hidden="1">
      <c r="A282" s="12">
        <v>46036</v>
      </c>
      <c r="B282" s="10">
        <v>8</v>
      </c>
      <c r="Q282" s="10" t="str">
        <f t="shared" si="4"/>
        <v>Incomplete</v>
      </c>
    </row>
    <row r="283" spans="1:17" hidden="1">
      <c r="A283" s="12">
        <v>46036</v>
      </c>
      <c r="B283" s="10">
        <v>9</v>
      </c>
      <c r="Q283" s="10" t="str">
        <f t="shared" si="4"/>
        <v>Incomplete</v>
      </c>
    </row>
    <row r="284" spans="1:17" hidden="1">
      <c r="A284" s="12">
        <v>46036</v>
      </c>
      <c r="B284" s="10">
        <v>10</v>
      </c>
      <c r="Q284" s="10" t="str">
        <f t="shared" si="4"/>
        <v>Incomplete</v>
      </c>
    </row>
    <row r="285" spans="1:17" hidden="1">
      <c r="A285" s="12">
        <v>46036</v>
      </c>
      <c r="B285" s="10">
        <v>11</v>
      </c>
      <c r="Q285" s="10" t="str">
        <f t="shared" si="4"/>
        <v>Incomplete</v>
      </c>
    </row>
    <row r="286" spans="1:17" hidden="1">
      <c r="A286" s="12">
        <v>46036</v>
      </c>
      <c r="B286" s="10">
        <v>12</v>
      </c>
      <c r="Q286" s="10" t="str">
        <f t="shared" si="4"/>
        <v>Incomplete</v>
      </c>
    </row>
    <row r="287" spans="1:17" hidden="1">
      <c r="A287" s="12">
        <v>46036</v>
      </c>
      <c r="B287" s="10">
        <v>13</v>
      </c>
      <c r="Q287" s="10" t="str">
        <f t="shared" si="4"/>
        <v>Incomplete</v>
      </c>
    </row>
    <row r="288" spans="1:17" hidden="1">
      <c r="A288" s="12">
        <v>46036</v>
      </c>
      <c r="B288" s="10">
        <v>14</v>
      </c>
      <c r="Q288" s="10" t="str">
        <f t="shared" si="4"/>
        <v>Incomplete</v>
      </c>
    </row>
    <row r="289" spans="1:17" hidden="1">
      <c r="A289" s="12">
        <v>46036</v>
      </c>
      <c r="B289" s="10">
        <v>15</v>
      </c>
      <c r="Q289" s="10" t="str">
        <f t="shared" si="4"/>
        <v>Incomplete</v>
      </c>
    </row>
    <row r="290" spans="1:17" hidden="1">
      <c r="A290" s="12">
        <v>46036</v>
      </c>
      <c r="B290" s="10">
        <v>16</v>
      </c>
      <c r="Q290" s="10" t="str">
        <f t="shared" si="4"/>
        <v>Incomplete</v>
      </c>
    </row>
    <row r="291" spans="1:17" hidden="1">
      <c r="A291" s="12">
        <v>46036</v>
      </c>
      <c r="B291" s="10">
        <v>17</v>
      </c>
      <c r="Q291" s="10" t="str">
        <f t="shared" si="4"/>
        <v>Incomplete</v>
      </c>
    </row>
    <row r="292" spans="1:17" hidden="1">
      <c r="A292" s="12">
        <v>46036</v>
      </c>
      <c r="B292" s="10">
        <v>18</v>
      </c>
      <c r="Q292" s="10" t="str">
        <f t="shared" si="4"/>
        <v>Incomplete</v>
      </c>
    </row>
    <row r="293" spans="1:17" hidden="1">
      <c r="A293" s="12">
        <v>46036</v>
      </c>
      <c r="B293" s="10">
        <v>19</v>
      </c>
      <c r="Q293" s="10" t="str">
        <f t="shared" si="4"/>
        <v>Incomplete</v>
      </c>
    </row>
    <row r="294" spans="1:17" hidden="1">
      <c r="A294" s="12">
        <v>46036</v>
      </c>
      <c r="B294" s="10">
        <v>20</v>
      </c>
      <c r="Q294" s="10" t="str">
        <f t="shared" si="4"/>
        <v>Incomplete</v>
      </c>
    </row>
    <row r="295" spans="1:17" hidden="1">
      <c r="A295" s="12">
        <v>46036</v>
      </c>
      <c r="B295" s="10">
        <v>21</v>
      </c>
      <c r="Q295" s="10" t="str">
        <f t="shared" si="4"/>
        <v>Incomplete</v>
      </c>
    </row>
    <row r="296" spans="1:17" hidden="1">
      <c r="A296" s="12">
        <v>46037</v>
      </c>
      <c r="B296" s="10">
        <v>1</v>
      </c>
      <c r="Q296" s="10" t="str">
        <f t="shared" si="4"/>
        <v>Incomplete</v>
      </c>
    </row>
    <row r="297" spans="1:17" hidden="1">
      <c r="A297" s="12">
        <v>46037</v>
      </c>
      <c r="B297" s="10">
        <v>2</v>
      </c>
      <c r="Q297" s="10" t="str">
        <f t="shared" si="4"/>
        <v>Incomplete</v>
      </c>
    </row>
    <row r="298" spans="1:17" hidden="1">
      <c r="A298" s="12">
        <v>46037</v>
      </c>
      <c r="B298" s="10">
        <v>3</v>
      </c>
      <c r="Q298" s="10" t="str">
        <f t="shared" si="4"/>
        <v>Incomplete</v>
      </c>
    </row>
    <row r="299" spans="1:17" hidden="1">
      <c r="A299" s="12">
        <v>46037</v>
      </c>
      <c r="B299" s="10">
        <v>4</v>
      </c>
      <c r="Q299" s="10" t="str">
        <f t="shared" si="4"/>
        <v>Incomplete</v>
      </c>
    </row>
    <row r="300" spans="1:17" hidden="1">
      <c r="A300" s="12">
        <v>46037</v>
      </c>
      <c r="B300" s="10">
        <v>5</v>
      </c>
      <c r="Q300" s="10" t="str">
        <f t="shared" si="4"/>
        <v>Incomplete</v>
      </c>
    </row>
    <row r="301" spans="1:17" hidden="1">
      <c r="A301" s="12">
        <v>46037</v>
      </c>
      <c r="B301" s="10">
        <v>6</v>
      </c>
      <c r="Q301" s="10" t="str">
        <f t="shared" si="4"/>
        <v>Incomplete</v>
      </c>
    </row>
    <row r="302" spans="1:17" hidden="1">
      <c r="A302" s="12">
        <v>46037</v>
      </c>
      <c r="B302" s="10">
        <v>7</v>
      </c>
      <c r="Q302" s="10" t="str">
        <f t="shared" si="4"/>
        <v>Incomplete</v>
      </c>
    </row>
    <row r="303" spans="1:17" hidden="1">
      <c r="A303" s="12">
        <v>46037</v>
      </c>
      <c r="B303" s="10">
        <v>8</v>
      </c>
      <c r="Q303" s="10" t="str">
        <f t="shared" si="4"/>
        <v>Incomplete</v>
      </c>
    </row>
    <row r="304" spans="1:17" hidden="1">
      <c r="A304" s="12">
        <v>46037</v>
      </c>
      <c r="B304" s="10">
        <v>9</v>
      </c>
      <c r="Q304" s="10" t="str">
        <f t="shared" si="4"/>
        <v>Incomplete</v>
      </c>
    </row>
    <row r="305" spans="1:17" hidden="1">
      <c r="A305" s="12">
        <v>46037</v>
      </c>
      <c r="B305" s="10">
        <v>10</v>
      </c>
      <c r="Q305" s="10" t="str">
        <f t="shared" si="4"/>
        <v>Incomplete</v>
      </c>
    </row>
    <row r="306" spans="1:17" hidden="1">
      <c r="A306" s="12">
        <v>46037</v>
      </c>
      <c r="B306" s="10">
        <v>11</v>
      </c>
      <c r="Q306" s="10" t="str">
        <f t="shared" si="4"/>
        <v>Incomplete</v>
      </c>
    </row>
    <row r="307" spans="1:17" hidden="1">
      <c r="A307" s="12">
        <v>46037</v>
      </c>
      <c r="B307" s="10">
        <v>12</v>
      </c>
      <c r="Q307" s="10" t="str">
        <f t="shared" si="4"/>
        <v>Incomplete</v>
      </c>
    </row>
    <row r="308" spans="1:17" hidden="1">
      <c r="A308" s="12">
        <v>46037</v>
      </c>
      <c r="B308" s="10">
        <v>13</v>
      </c>
      <c r="Q308" s="10" t="str">
        <f t="shared" si="4"/>
        <v>Incomplete</v>
      </c>
    </row>
    <row r="309" spans="1:17" hidden="1">
      <c r="A309" s="12">
        <v>46037</v>
      </c>
      <c r="B309" s="10">
        <v>14</v>
      </c>
      <c r="Q309" s="10" t="str">
        <f t="shared" si="4"/>
        <v>Incomplete</v>
      </c>
    </row>
    <row r="310" spans="1:17" hidden="1">
      <c r="A310" s="12">
        <v>46037</v>
      </c>
      <c r="B310" s="10">
        <v>15</v>
      </c>
      <c r="Q310" s="10" t="str">
        <f t="shared" si="4"/>
        <v>Incomplete</v>
      </c>
    </row>
    <row r="311" spans="1:17" hidden="1">
      <c r="A311" s="12">
        <v>46037</v>
      </c>
      <c r="B311" s="10">
        <v>16</v>
      </c>
      <c r="Q311" s="10" t="str">
        <f t="shared" si="4"/>
        <v>Incomplete</v>
      </c>
    </row>
    <row r="312" spans="1:17" hidden="1">
      <c r="A312" s="12">
        <v>46037</v>
      </c>
      <c r="B312" s="10">
        <v>17</v>
      </c>
      <c r="Q312" s="10" t="str">
        <f t="shared" si="4"/>
        <v>Incomplete</v>
      </c>
    </row>
    <row r="313" spans="1:17" hidden="1">
      <c r="A313" s="12">
        <v>46037</v>
      </c>
      <c r="B313" s="10">
        <v>18</v>
      </c>
      <c r="Q313" s="10" t="str">
        <f t="shared" si="4"/>
        <v>Incomplete</v>
      </c>
    </row>
    <row r="314" spans="1:17" hidden="1">
      <c r="A314" s="12">
        <v>46037</v>
      </c>
      <c r="B314" s="10">
        <v>19</v>
      </c>
      <c r="Q314" s="10" t="str">
        <f t="shared" si="4"/>
        <v>Incomplete</v>
      </c>
    </row>
    <row r="315" spans="1:17" hidden="1">
      <c r="A315" s="12">
        <v>46037</v>
      </c>
      <c r="B315" s="10">
        <v>20</v>
      </c>
      <c r="Q315" s="10" t="str">
        <f t="shared" si="4"/>
        <v>Incomplete</v>
      </c>
    </row>
    <row r="316" spans="1:17" hidden="1">
      <c r="A316" s="12">
        <v>46037</v>
      </c>
      <c r="B316" s="10">
        <v>21</v>
      </c>
      <c r="Q316" s="10" t="str">
        <f t="shared" si="4"/>
        <v>Incomplete</v>
      </c>
    </row>
    <row r="317" spans="1:17" hidden="1">
      <c r="A317" s="12">
        <v>46038</v>
      </c>
      <c r="B317" s="10">
        <v>1</v>
      </c>
      <c r="Q317" s="10" t="str">
        <f t="shared" si="4"/>
        <v>Incomplete</v>
      </c>
    </row>
    <row r="318" spans="1:17" hidden="1">
      <c r="A318" s="12">
        <v>46038</v>
      </c>
      <c r="B318" s="10">
        <v>2</v>
      </c>
      <c r="Q318" s="10" t="str">
        <f t="shared" si="4"/>
        <v>Incomplete</v>
      </c>
    </row>
    <row r="319" spans="1:17" hidden="1">
      <c r="A319" s="12">
        <v>46038</v>
      </c>
      <c r="B319" s="10">
        <v>3</v>
      </c>
      <c r="Q319" s="10" t="str">
        <f t="shared" si="4"/>
        <v>Incomplete</v>
      </c>
    </row>
    <row r="320" spans="1:17" hidden="1">
      <c r="A320" s="12">
        <v>46038</v>
      </c>
      <c r="B320" s="10">
        <v>4</v>
      </c>
      <c r="Q320" s="10" t="str">
        <f t="shared" si="4"/>
        <v>Incomplete</v>
      </c>
    </row>
    <row r="321" spans="1:17" hidden="1">
      <c r="A321" s="12">
        <v>46038</v>
      </c>
      <c r="B321" s="10">
        <v>5</v>
      </c>
      <c r="Q321" s="10" t="str">
        <f t="shared" si="4"/>
        <v>Incomplete</v>
      </c>
    </row>
    <row r="322" spans="1:17" hidden="1">
      <c r="A322" s="12">
        <v>46038</v>
      </c>
      <c r="B322" s="10">
        <v>6</v>
      </c>
      <c r="Q322" s="10" t="str">
        <f t="shared" ref="Q322:Q385" si="5">IF(AND(C322&lt;&gt;"",J322&lt;&gt;"",K322&lt;&gt;"",L322&lt;&gt;"",O322="Yes"),"Complete","Incomplete")</f>
        <v>Incomplete</v>
      </c>
    </row>
    <row r="323" spans="1:17" hidden="1">
      <c r="A323" s="12">
        <v>46038</v>
      </c>
      <c r="B323" s="10">
        <v>7</v>
      </c>
      <c r="Q323" s="10" t="str">
        <f t="shared" si="5"/>
        <v>Incomplete</v>
      </c>
    </row>
    <row r="324" spans="1:17" hidden="1">
      <c r="A324" s="12">
        <v>46038</v>
      </c>
      <c r="B324" s="10">
        <v>8</v>
      </c>
      <c r="Q324" s="10" t="str">
        <f t="shared" si="5"/>
        <v>Incomplete</v>
      </c>
    </row>
    <row r="325" spans="1:17" hidden="1">
      <c r="A325" s="12">
        <v>46038</v>
      </c>
      <c r="B325" s="10">
        <v>9</v>
      </c>
      <c r="Q325" s="10" t="str">
        <f t="shared" si="5"/>
        <v>Incomplete</v>
      </c>
    </row>
    <row r="326" spans="1:17" hidden="1">
      <c r="A326" s="12">
        <v>46038</v>
      </c>
      <c r="B326" s="10">
        <v>10</v>
      </c>
      <c r="Q326" s="10" t="str">
        <f t="shared" si="5"/>
        <v>Incomplete</v>
      </c>
    </row>
    <row r="327" spans="1:17" hidden="1">
      <c r="A327" s="12">
        <v>46038</v>
      </c>
      <c r="B327" s="10">
        <v>11</v>
      </c>
      <c r="Q327" s="10" t="str">
        <f t="shared" si="5"/>
        <v>Incomplete</v>
      </c>
    </row>
    <row r="328" spans="1:17" hidden="1">
      <c r="A328" s="12">
        <v>46038</v>
      </c>
      <c r="B328" s="10">
        <v>12</v>
      </c>
      <c r="Q328" s="10" t="str">
        <f t="shared" si="5"/>
        <v>Incomplete</v>
      </c>
    </row>
    <row r="329" spans="1:17" hidden="1">
      <c r="A329" s="12">
        <v>46038</v>
      </c>
      <c r="B329" s="10">
        <v>13</v>
      </c>
      <c r="Q329" s="10" t="str">
        <f t="shared" si="5"/>
        <v>Incomplete</v>
      </c>
    </row>
    <row r="330" spans="1:17" hidden="1">
      <c r="A330" s="12">
        <v>46038</v>
      </c>
      <c r="B330" s="10">
        <v>14</v>
      </c>
      <c r="Q330" s="10" t="str">
        <f t="shared" si="5"/>
        <v>Incomplete</v>
      </c>
    </row>
    <row r="331" spans="1:17" hidden="1">
      <c r="A331" s="12">
        <v>46038</v>
      </c>
      <c r="B331" s="10">
        <v>15</v>
      </c>
      <c r="Q331" s="10" t="str">
        <f t="shared" si="5"/>
        <v>Incomplete</v>
      </c>
    </row>
    <row r="332" spans="1:17" hidden="1">
      <c r="A332" s="12">
        <v>46038</v>
      </c>
      <c r="B332" s="10">
        <v>16</v>
      </c>
      <c r="Q332" s="10" t="str">
        <f t="shared" si="5"/>
        <v>Incomplete</v>
      </c>
    </row>
    <row r="333" spans="1:17" hidden="1">
      <c r="A333" s="12">
        <v>46038</v>
      </c>
      <c r="B333" s="10">
        <v>17</v>
      </c>
      <c r="Q333" s="10" t="str">
        <f t="shared" si="5"/>
        <v>Incomplete</v>
      </c>
    </row>
    <row r="334" spans="1:17" hidden="1">
      <c r="A334" s="12">
        <v>46038</v>
      </c>
      <c r="B334" s="10">
        <v>18</v>
      </c>
      <c r="Q334" s="10" t="str">
        <f t="shared" si="5"/>
        <v>Incomplete</v>
      </c>
    </row>
    <row r="335" spans="1:17" hidden="1">
      <c r="A335" s="12">
        <v>46038</v>
      </c>
      <c r="B335" s="10">
        <v>19</v>
      </c>
      <c r="Q335" s="10" t="str">
        <f t="shared" si="5"/>
        <v>Incomplete</v>
      </c>
    </row>
    <row r="336" spans="1:17" hidden="1">
      <c r="A336" s="12">
        <v>46038</v>
      </c>
      <c r="B336" s="10">
        <v>20</v>
      </c>
      <c r="Q336" s="10" t="str">
        <f t="shared" si="5"/>
        <v>Incomplete</v>
      </c>
    </row>
    <row r="337" spans="1:17" hidden="1">
      <c r="A337" s="12">
        <v>46038</v>
      </c>
      <c r="B337" s="10">
        <v>21</v>
      </c>
      <c r="Q337" s="10" t="str">
        <f t="shared" si="5"/>
        <v>Incomplete</v>
      </c>
    </row>
    <row r="338" spans="1:17" hidden="1">
      <c r="A338" s="12">
        <v>46039</v>
      </c>
      <c r="B338" s="10">
        <v>1</v>
      </c>
      <c r="Q338" s="10" t="str">
        <f t="shared" si="5"/>
        <v>Incomplete</v>
      </c>
    </row>
    <row r="339" spans="1:17" hidden="1">
      <c r="A339" s="12">
        <v>46039</v>
      </c>
      <c r="B339" s="10">
        <v>2</v>
      </c>
      <c r="Q339" s="10" t="str">
        <f t="shared" si="5"/>
        <v>Incomplete</v>
      </c>
    </row>
    <row r="340" spans="1:17" hidden="1">
      <c r="A340" s="12">
        <v>46039</v>
      </c>
      <c r="B340" s="10">
        <v>3</v>
      </c>
      <c r="Q340" s="10" t="str">
        <f t="shared" si="5"/>
        <v>Incomplete</v>
      </c>
    </row>
    <row r="341" spans="1:17" hidden="1">
      <c r="A341" s="12">
        <v>46039</v>
      </c>
      <c r="B341" s="10">
        <v>4</v>
      </c>
      <c r="Q341" s="10" t="str">
        <f t="shared" si="5"/>
        <v>Incomplete</v>
      </c>
    </row>
    <row r="342" spans="1:17" hidden="1">
      <c r="A342" s="12">
        <v>46039</v>
      </c>
      <c r="B342" s="10">
        <v>5</v>
      </c>
      <c r="Q342" s="10" t="str">
        <f t="shared" si="5"/>
        <v>Incomplete</v>
      </c>
    </row>
    <row r="343" spans="1:17" hidden="1">
      <c r="A343" s="12">
        <v>46039</v>
      </c>
      <c r="B343" s="10">
        <v>6</v>
      </c>
      <c r="Q343" s="10" t="str">
        <f t="shared" si="5"/>
        <v>Incomplete</v>
      </c>
    </row>
    <row r="344" spans="1:17" hidden="1">
      <c r="A344" s="12">
        <v>46039</v>
      </c>
      <c r="B344" s="10">
        <v>7</v>
      </c>
      <c r="Q344" s="10" t="str">
        <f t="shared" si="5"/>
        <v>Incomplete</v>
      </c>
    </row>
    <row r="345" spans="1:17" hidden="1">
      <c r="A345" s="12">
        <v>46039</v>
      </c>
      <c r="B345" s="10">
        <v>8</v>
      </c>
      <c r="Q345" s="10" t="str">
        <f t="shared" si="5"/>
        <v>Incomplete</v>
      </c>
    </row>
    <row r="346" spans="1:17" hidden="1">
      <c r="A346" s="12">
        <v>46039</v>
      </c>
      <c r="B346" s="10">
        <v>9</v>
      </c>
      <c r="Q346" s="10" t="str">
        <f t="shared" si="5"/>
        <v>Incomplete</v>
      </c>
    </row>
    <row r="347" spans="1:17" hidden="1">
      <c r="A347" s="12">
        <v>46039</v>
      </c>
      <c r="B347" s="10">
        <v>10</v>
      </c>
      <c r="Q347" s="10" t="str">
        <f t="shared" si="5"/>
        <v>Incomplete</v>
      </c>
    </row>
    <row r="348" spans="1:17" hidden="1">
      <c r="A348" s="12">
        <v>46039</v>
      </c>
      <c r="B348" s="10">
        <v>11</v>
      </c>
      <c r="Q348" s="10" t="str">
        <f t="shared" si="5"/>
        <v>Incomplete</v>
      </c>
    </row>
    <row r="349" spans="1:17" hidden="1">
      <c r="A349" s="12">
        <v>46039</v>
      </c>
      <c r="B349" s="10">
        <v>12</v>
      </c>
      <c r="Q349" s="10" t="str">
        <f t="shared" si="5"/>
        <v>Incomplete</v>
      </c>
    </row>
    <row r="350" spans="1:17" hidden="1">
      <c r="A350" s="12">
        <v>46039</v>
      </c>
      <c r="B350" s="10">
        <v>13</v>
      </c>
      <c r="Q350" s="10" t="str">
        <f t="shared" si="5"/>
        <v>Incomplete</v>
      </c>
    </row>
    <row r="351" spans="1:17" hidden="1">
      <c r="A351" s="12">
        <v>46039</v>
      </c>
      <c r="B351" s="10">
        <v>14</v>
      </c>
      <c r="Q351" s="10" t="str">
        <f t="shared" si="5"/>
        <v>Incomplete</v>
      </c>
    </row>
    <row r="352" spans="1:17" hidden="1">
      <c r="A352" s="12">
        <v>46039</v>
      </c>
      <c r="B352" s="10">
        <v>15</v>
      </c>
      <c r="Q352" s="10" t="str">
        <f t="shared" si="5"/>
        <v>Incomplete</v>
      </c>
    </row>
    <row r="353" spans="1:17" hidden="1">
      <c r="A353" s="12">
        <v>46039</v>
      </c>
      <c r="B353" s="10">
        <v>16</v>
      </c>
      <c r="Q353" s="10" t="str">
        <f t="shared" si="5"/>
        <v>Incomplete</v>
      </c>
    </row>
    <row r="354" spans="1:17" hidden="1">
      <c r="A354" s="12">
        <v>46039</v>
      </c>
      <c r="B354" s="10">
        <v>17</v>
      </c>
      <c r="Q354" s="10" t="str">
        <f t="shared" si="5"/>
        <v>Incomplete</v>
      </c>
    </row>
    <row r="355" spans="1:17" hidden="1">
      <c r="A355" s="12">
        <v>46039</v>
      </c>
      <c r="B355" s="10">
        <v>18</v>
      </c>
      <c r="Q355" s="10" t="str">
        <f t="shared" si="5"/>
        <v>Incomplete</v>
      </c>
    </row>
    <row r="356" spans="1:17" hidden="1">
      <c r="A356" s="12">
        <v>46039</v>
      </c>
      <c r="B356" s="10">
        <v>19</v>
      </c>
      <c r="Q356" s="10" t="str">
        <f t="shared" si="5"/>
        <v>Incomplete</v>
      </c>
    </row>
    <row r="357" spans="1:17" hidden="1">
      <c r="A357" s="12">
        <v>46039</v>
      </c>
      <c r="B357" s="10">
        <v>20</v>
      </c>
      <c r="Q357" s="10" t="str">
        <f t="shared" si="5"/>
        <v>Incomplete</v>
      </c>
    </row>
    <row r="358" spans="1:17" hidden="1">
      <c r="A358" s="12">
        <v>46039</v>
      </c>
      <c r="B358" s="10">
        <v>21</v>
      </c>
      <c r="Q358" s="10" t="str">
        <f t="shared" si="5"/>
        <v>Incomplete</v>
      </c>
    </row>
    <row r="359" spans="1:17" hidden="1">
      <c r="A359" s="12">
        <v>46040</v>
      </c>
      <c r="B359" s="10">
        <v>1</v>
      </c>
      <c r="Q359" s="10" t="str">
        <f t="shared" si="5"/>
        <v>Incomplete</v>
      </c>
    </row>
    <row r="360" spans="1:17" hidden="1">
      <c r="A360" s="12">
        <v>46040</v>
      </c>
      <c r="B360" s="10">
        <v>2</v>
      </c>
      <c r="Q360" s="10" t="str">
        <f t="shared" si="5"/>
        <v>Incomplete</v>
      </c>
    </row>
    <row r="361" spans="1:17" hidden="1">
      <c r="A361" s="12">
        <v>46040</v>
      </c>
      <c r="B361" s="10">
        <v>3</v>
      </c>
      <c r="Q361" s="10" t="str">
        <f t="shared" si="5"/>
        <v>Incomplete</v>
      </c>
    </row>
    <row r="362" spans="1:17" hidden="1">
      <c r="A362" s="12">
        <v>46040</v>
      </c>
      <c r="B362" s="10">
        <v>4</v>
      </c>
      <c r="Q362" s="10" t="str">
        <f t="shared" si="5"/>
        <v>Incomplete</v>
      </c>
    </row>
    <row r="363" spans="1:17" hidden="1">
      <c r="A363" s="12">
        <v>46040</v>
      </c>
      <c r="B363" s="10">
        <v>5</v>
      </c>
      <c r="Q363" s="10" t="str">
        <f t="shared" si="5"/>
        <v>Incomplete</v>
      </c>
    </row>
    <row r="364" spans="1:17" hidden="1">
      <c r="A364" s="12">
        <v>46040</v>
      </c>
      <c r="B364" s="10">
        <v>6</v>
      </c>
      <c r="Q364" s="10" t="str">
        <f t="shared" si="5"/>
        <v>Incomplete</v>
      </c>
    </row>
    <row r="365" spans="1:17" hidden="1">
      <c r="A365" s="12">
        <v>46040</v>
      </c>
      <c r="B365" s="10">
        <v>7</v>
      </c>
      <c r="Q365" s="10" t="str">
        <f t="shared" si="5"/>
        <v>Incomplete</v>
      </c>
    </row>
    <row r="366" spans="1:17" hidden="1">
      <c r="A366" s="12">
        <v>46040</v>
      </c>
      <c r="B366" s="10">
        <v>8</v>
      </c>
      <c r="Q366" s="10" t="str">
        <f t="shared" si="5"/>
        <v>Incomplete</v>
      </c>
    </row>
    <row r="367" spans="1:17" hidden="1">
      <c r="A367" s="12">
        <v>46040</v>
      </c>
      <c r="B367" s="10">
        <v>9</v>
      </c>
      <c r="Q367" s="10" t="str">
        <f t="shared" si="5"/>
        <v>Incomplete</v>
      </c>
    </row>
    <row r="368" spans="1:17" hidden="1">
      <c r="A368" s="12">
        <v>46040</v>
      </c>
      <c r="B368" s="10">
        <v>10</v>
      </c>
      <c r="Q368" s="10" t="str">
        <f t="shared" si="5"/>
        <v>Incomplete</v>
      </c>
    </row>
    <row r="369" spans="1:17" hidden="1">
      <c r="A369" s="12">
        <v>46040</v>
      </c>
      <c r="B369" s="10">
        <v>11</v>
      </c>
      <c r="Q369" s="10" t="str">
        <f t="shared" si="5"/>
        <v>Incomplete</v>
      </c>
    </row>
    <row r="370" spans="1:17" hidden="1">
      <c r="A370" s="12">
        <v>46040</v>
      </c>
      <c r="B370" s="10">
        <v>12</v>
      </c>
      <c r="Q370" s="10" t="str">
        <f t="shared" si="5"/>
        <v>Incomplete</v>
      </c>
    </row>
    <row r="371" spans="1:17" hidden="1">
      <c r="A371" s="12">
        <v>46040</v>
      </c>
      <c r="B371" s="10">
        <v>13</v>
      </c>
      <c r="Q371" s="10" t="str">
        <f t="shared" si="5"/>
        <v>Incomplete</v>
      </c>
    </row>
    <row r="372" spans="1:17" hidden="1">
      <c r="A372" s="12">
        <v>46040</v>
      </c>
      <c r="B372" s="10">
        <v>14</v>
      </c>
      <c r="Q372" s="10" t="str">
        <f t="shared" si="5"/>
        <v>Incomplete</v>
      </c>
    </row>
    <row r="373" spans="1:17" hidden="1">
      <c r="A373" s="12">
        <v>46040</v>
      </c>
      <c r="B373" s="10">
        <v>15</v>
      </c>
      <c r="Q373" s="10" t="str">
        <f t="shared" si="5"/>
        <v>Incomplete</v>
      </c>
    </row>
    <row r="374" spans="1:17" hidden="1">
      <c r="A374" s="12">
        <v>46040</v>
      </c>
      <c r="B374" s="10">
        <v>16</v>
      </c>
      <c r="Q374" s="10" t="str">
        <f t="shared" si="5"/>
        <v>Incomplete</v>
      </c>
    </row>
    <row r="375" spans="1:17" hidden="1">
      <c r="A375" s="12">
        <v>46040</v>
      </c>
      <c r="B375" s="10">
        <v>17</v>
      </c>
      <c r="Q375" s="10" t="str">
        <f t="shared" si="5"/>
        <v>Incomplete</v>
      </c>
    </row>
    <row r="376" spans="1:17" hidden="1">
      <c r="A376" s="12">
        <v>46040</v>
      </c>
      <c r="B376" s="10">
        <v>18</v>
      </c>
      <c r="Q376" s="10" t="str">
        <f t="shared" si="5"/>
        <v>Incomplete</v>
      </c>
    </row>
    <row r="377" spans="1:17" hidden="1">
      <c r="A377" s="12">
        <v>46040</v>
      </c>
      <c r="B377" s="10">
        <v>19</v>
      </c>
      <c r="Q377" s="10" t="str">
        <f t="shared" si="5"/>
        <v>Incomplete</v>
      </c>
    </row>
    <row r="378" spans="1:17" hidden="1">
      <c r="A378" s="12">
        <v>46040</v>
      </c>
      <c r="B378" s="10">
        <v>20</v>
      </c>
      <c r="Q378" s="10" t="str">
        <f t="shared" si="5"/>
        <v>Incomplete</v>
      </c>
    </row>
    <row r="379" spans="1:17" hidden="1">
      <c r="A379" s="12">
        <v>46040</v>
      </c>
      <c r="B379" s="10">
        <v>21</v>
      </c>
      <c r="Q379" s="10" t="str">
        <f t="shared" si="5"/>
        <v>Incomplete</v>
      </c>
    </row>
    <row r="380" spans="1:17" hidden="1">
      <c r="A380" s="12">
        <v>46041</v>
      </c>
      <c r="B380" s="10">
        <v>1</v>
      </c>
      <c r="Q380" s="10" t="str">
        <f t="shared" si="5"/>
        <v>Incomplete</v>
      </c>
    </row>
    <row r="381" spans="1:17" hidden="1">
      <c r="A381" s="12">
        <v>46041</v>
      </c>
      <c r="B381" s="10">
        <v>2</v>
      </c>
      <c r="Q381" s="10" t="str">
        <f t="shared" si="5"/>
        <v>Incomplete</v>
      </c>
    </row>
    <row r="382" spans="1:17" hidden="1">
      <c r="A382" s="12">
        <v>46041</v>
      </c>
      <c r="B382" s="10">
        <v>3</v>
      </c>
      <c r="Q382" s="10" t="str">
        <f t="shared" si="5"/>
        <v>Incomplete</v>
      </c>
    </row>
    <row r="383" spans="1:17" hidden="1">
      <c r="A383" s="12">
        <v>46041</v>
      </c>
      <c r="B383" s="10">
        <v>4</v>
      </c>
      <c r="Q383" s="10" t="str">
        <f t="shared" si="5"/>
        <v>Incomplete</v>
      </c>
    </row>
    <row r="384" spans="1:17" hidden="1">
      <c r="A384" s="12">
        <v>46041</v>
      </c>
      <c r="B384" s="10">
        <v>5</v>
      </c>
      <c r="Q384" s="10" t="str">
        <f t="shared" si="5"/>
        <v>Incomplete</v>
      </c>
    </row>
    <row r="385" spans="1:17" hidden="1">
      <c r="A385" s="12">
        <v>46041</v>
      </c>
      <c r="B385" s="10">
        <v>6</v>
      </c>
      <c r="Q385" s="10" t="str">
        <f t="shared" si="5"/>
        <v>Incomplete</v>
      </c>
    </row>
    <row r="386" spans="1:17" hidden="1">
      <c r="A386" s="12">
        <v>46041</v>
      </c>
      <c r="B386" s="10">
        <v>7</v>
      </c>
      <c r="Q386" s="10" t="str">
        <f t="shared" ref="Q386:Q449" si="6">IF(AND(C386&lt;&gt;"",J386&lt;&gt;"",K386&lt;&gt;"",L386&lt;&gt;"",O386="Yes"),"Complete","Incomplete")</f>
        <v>Incomplete</v>
      </c>
    </row>
    <row r="387" spans="1:17" hidden="1">
      <c r="A387" s="12">
        <v>46041</v>
      </c>
      <c r="B387" s="10">
        <v>8</v>
      </c>
      <c r="Q387" s="10" t="str">
        <f t="shared" si="6"/>
        <v>Incomplete</v>
      </c>
    </row>
    <row r="388" spans="1:17" hidden="1">
      <c r="A388" s="12">
        <v>46041</v>
      </c>
      <c r="B388" s="10">
        <v>9</v>
      </c>
      <c r="Q388" s="10" t="str">
        <f t="shared" si="6"/>
        <v>Incomplete</v>
      </c>
    </row>
    <row r="389" spans="1:17" hidden="1">
      <c r="A389" s="12">
        <v>46041</v>
      </c>
      <c r="B389" s="10">
        <v>10</v>
      </c>
      <c r="Q389" s="10" t="str">
        <f t="shared" si="6"/>
        <v>Incomplete</v>
      </c>
    </row>
    <row r="390" spans="1:17" hidden="1">
      <c r="A390" s="12">
        <v>46041</v>
      </c>
      <c r="B390" s="10">
        <v>11</v>
      </c>
      <c r="Q390" s="10" t="str">
        <f t="shared" si="6"/>
        <v>Incomplete</v>
      </c>
    </row>
    <row r="391" spans="1:17" hidden="1">
      <c r="A391" s="12">
        <v>46041</v>
      </c>
      <c r="B391" s="10">
        <v>12</v>
      </c>
      <c r="Q391" s="10" t="str">
        <f t="shared" si="6"/>
        <v>Incomplete</v>
      </c>
    </row>
    <row r="392" spans="1:17" hidden="1">
      <c r="A392" s="12">
        <v>46041</v>
      </c>
      <c r="B392" s="10">
        <v>13</v>
      </c>
      <c r="Q392" s="10" t="str">
        <f t="shared" si="6"/>
        <v>Incomplete</v>
      </c>
    </row>
    <row r="393" spans="1:17" hidden="1">
      <c r="A393" s="12">
        <v>46041</v>
      </c>
      <c r="B393" s="10">
        <v>14</v>
      </c>
      <c r="Q393" s="10" t="str">
        <f t="shared" si="6"/>
        <v>Incomplete</v>
      </c>
    </row>
    <row r="394" spans="1:17" hidden="1">
      <c r="A394" s="12">
        <v>46041</v>
      </c>
      <c r="B394" s="10">
        <v>15</v>
      </c>
      <c r="Q394" s="10" t="str">
        <f t="shared" si="6"/>
        <v>Incomplete</v>
      </c>
    </row>
    <row r="395" spans="1:17" hidden="1">
      <c r="A395" s="12">
        <v>46041</v>
      </c>
      <c r="B395" s="10">
        <v>16</v>
      </c>
      <c r="Q395" s="10" t="str">
        <f t="shared" si="6"/>
        <v>Incomplete</v>
      </c>
    </row>
    <row r="396" spans="1:17" hidden="1">
      <c r="A396" s="12">
        <v>46041</v>
      </c>
      <c r="B396" s="10">
        <v>17</v>
      </c>
      <c r="Q396" s="10" t="str">
        <f t="shared" si="6"/>
        <v>Incomplete</v>
      </c>
    </row>
    <row r="397" spans="1:17" hidden="1">
      <c r="A397" s="12">
        <v>46041</v>
      </c>
      <c r="B397" s="10">
        <v>18</v>
      </c>
      <c r="Q397" s="10" t="str">
        <f t="shared" si="6"/>
        <v>Incomplete</v>
      </c>
    </row>
    <row r="398" spans="1:17" hidden="1">
      <c r="A398" s="12">
        <v>46041</v>
      </c>
      <c r="B398" s="10">
        <v>19</v>
      </c>
      <c r="Q398" s="10" t="str">
        <f t="shared" si="6"/>
        <v>Incomplete</v>
      </c>
    </row>
    <row r="399" spans="1:17" hidden="1">
      <c r="A399" s="12">
        <v>46041</v>
      </c>
      <c r="B399" s="10">
        <v>20</v>
      </c>
      <c r="Q399" s="10" t="str">
        <f t="shared" si="6"/>
        <v>Incomplete</v>
      </c>
    </row>
    <row r="400" spans="1:17" hidden="1">
      <c r="A400" s="12">
        <v>46041</v>
      </c>
      <c r="B400" s="10">
        <v>21</v>
      </c>
      <c r="Q400" s="10" t="str">
        <f t="shared" si="6"/>
        <v>Incomplete</v>
      </c>
    </row>
    <row r="401" spans="1:17" hidden="1">
      <c r="A401" s="12">
        <v>46042</v>
      </c>
      <c r="B401" s="10">
        <v>1</v>
      </c>
      <c r="Q401" s="10" t="str">
        <f t="shared" si="6"/>
        <v>Incomplete</v>
      </c>
    </row>
    <row r="402" spans="1:17" hidden="1">
      <c r="A402" s="12">
        <v>46042</v>
      </c>
      <c r="B402" s="10">
        <v>2</v>
      </c>
      <c r="Q402" s="10" t="str">
        <f t="shared" si="6"/>
        <v>Incomplete</v>
      </c>
    </row>
    <row r="403" spans="1:17" hidden="1">
      <c r="A403" s="12">
        <v>46042</v>
      </c>
      <c r="B403" s="10">
        <v>3</v>
      </c>
      <c r="Q403" s="10" t="str">
        <f t="shared" si="6"/>
        <v>Incomplete</v>
      </c>
    </row>
    <row r="404" spans="1:17" hidden="1">
      <c r="A404" s="12">
        <v>46042</v>
      </c>
      <c r="B404" s="10">
        <v>4</v>
      </c>
      <c r="Q404" s="10" t="str">
        <f t="shared" si="6"/>
        <v>Incomplete</v>
      </c>
    </row>
    <row r="405" spans="1:17" hidden="1">
      <c r="A405" s="12">
        <v>46042</v>
      </c>
      <c r="B405" s="10">
        <v>5</v>
      </c>
      <c r="Q405" s="10" t="str">
        <f t="shared" si="6"/>
        <v>Incomplete</v>
      </c>
    </row>
    <row r="406" spans="1:17" hidden="1">
      <c r="A406" s="12">
        <v>46042</v>
      </c>
      <c r="B406" s="10">
        <v>6</v>
      </c>
      <c r="Q406" s="10" t="str">
        <f t="shared" si="6"/>
        <v>Incomplete</v>
      </c>
    </row>
    <row r="407" spans="1:17" hidden="1">
      <c r="A407" s="12">
        <v>46042</v>
      </c>
      <c r="B407" s="10">
        <v>7</v>
      </c>
      <c r="Q407" s="10" t="str">
        <f t="shared" si="6"/>
        <v>Incomplete</v>
      </c>
    </row>
    <row r="408" spans="1:17" hidden="1">
      <c r="A408" s="12">
        <v>46042</v>
      </c>
      <c r="B408" s="10">
        <v>8</v>
      </c>
      <c r="Q408" s="10" t="str">
        <f t="shared" si="6"/>
        <v>Incomplete</v>
      </c>
    </row>
    <row r="409" spans="1:17" hidden="1">
      <c r="A409" s="12">
        <v>46042</v>
      </c>
      <c r="B409" s="10">
        <v>9</v>
      </c>
      <c r="Q409" s="10" t="str">
        <f t="shared" si="6"/>
        <v>Incomplete</v>
      </c>
    </row>
    <row r="410" spans="1:17" hidden="1">
      <c r="A410" s="12">
        <v>46042</v>
      </c>
      <c r="B410" s="10">
        <v>10</v>
      </c>
      <c r="Q410" s="10" t="str">
        <f t="shared" si="6"/>
        <v>Incomplete</v>
      </c>
    </row>
    <row r="411" spans="1:17" hidden="1">
      <c r="A411" s="12">
        <v>46042</v>
      </c>
      <c r="B411" s="10">
        <v>11</v>
      </c>
      <c r="Q411" s="10" t="str">
        <f t="shared" si="6"/>
        <v>Incomplete</v>
      </c>
    </row>
    <row r="412" spans="1:17" hidden="1">
      <c r="A412" s="12">
        <v>46042</v>
      </c>
      <c r="B412" s="10">
        <v>12</v>
      </c>
      <c r="Q412" s="10" t="str">
        <f t="shared" si="6"/>
        <v>Incomplete</v>
      </c>
    </row>
    <row r="413" spans="1:17" hidden="1">
      <c r="A413" s="12">
        <v>46042</v>
      </c>
      <c r="B413" s="10">
        <v>13</v>
      </c>
      <c r="Q413" s="10" t="str">
        <f t="shared" si="6"/>
        <v>Incomplete</v>
      </c>
    </row>
    <row r="414" spans="1:17" hidden="1">
      <c r="A414" s="12">
        <v>46042</v>
      </c>
      <c r="B414" s="10">
        <v>14</v>
      </c>
      <c r="Q414" s="10" t="str">
        <f t="shared" si="6"/>
        <v>Incomplete</v>
      </c>
    </row>
    <row r="415" spans="1:17" hidden="1">
      <c r="A415" s="12">
        <v>46042</v>
      </c>
      <c r="B415" s="10">
        <v>15</v>
      </c>
      <c r="Q415" s="10" t="str">
        <f t="shared" si="6"/>
        <v>Incomplete</v>
      </c>
    </row>
    <row r="416" spans="1:17" hidden="1">
      <c r="A416" s="12">
        <v>46042</v>
      </c>
      <c r="B416" s="10">
        <v>16</v>
      </c>
      <c r="Q416" s="10" t="str">
        <f t="shared" si="6"/>
        <v>Incomplete</v>
      </c>
    </row>
    <row r="417" spans="1:17" hidden="1">
      <c r="A417" s="12">
        <v>46042</v>
      </c>
      <c r="B417" s="10">
        <v>17</v>
      </c>
      <c r="Q417" s="10" t="str">
        <f t="shared" si="6"/>
        <v>Incomplete</v>
      </c>
    </row>
    <row r="418" spans="1:17" hidden="1">
      <c r="A418" s="12">
        <v>46042</v>
      </c>
      <c r="B418" s="10">
        <v>18</v>
      </c>
      <c r="Q418" s="10" t="str">
        <f t="shared" si="6"/>
        <v>Incomplete</v>
      </c>
    </row>
    <row r="419" spans="1:17" hidden="1">
      <c r="A419" s="12">
        <v>46042</v>
      </c>
      <c r="B419" s="10">
        <v>19</v>
      </c>
      <c r="Q419" s="10" t="str">
        <f t="shared" si="6"/>
        <v>Incomplete</v>
      </c>
    </row>
    <row r="420" spans="1:17" hidden="1">
      <c r="A420" s="12">
        <v>46042</v>
      </c>
      <c r="B420" s="10">
        <v>20</v>
      </c>
      <c r="Q420" s="10" t="str">
        <f t="shared" si="6"/>
        <v>Incomplete</v>
      </c>
    </row>
    <row r="421" spans="1:17" hidden="1">
      <c r="A421" s="12">
        <v>46042</v>
      </c>
      <c r="B421" s="10">
        <v>21</v>
      </c>
      <c r="Q421" s="10" t="str">
        <f t="shared" si="6"/>
        <v>Incomplete</v>
      </c>
    </row>
    <row r="422" spans="1:17" hidden="1">
      <c r="A422" s="12">
        <v>46043</v>
      </c>
      <c r="B422" s="10">
        <v>1</v>
      </c>
      <c r="Q422" s="10" t="str">
        <f t="shared" si="6"/>
        <v>Incomplete</v>
      </c>
    </row>
    <row r="423" spans="1:17" hidden="1">
      <c r="A423" s="12">
        <v>46043</v>
      </c>
      <c r="B423" s="10">
        <v>2</v>
      </c>
      <c r="Q423" s="10" t="str">
        <f t="shared" si="6"/>
        <v>Incomplete</v>
      </c>
    </row>
    <row r="424" spans="1:17" hidden="1">
      <c r="A424" s="12">
        <v>46043</v>
      </c>
      <c r="B424" s="10">
        <v>3</v>
      </c>
      <c r="Q424" s="10" t="str">
        <f t="shared" si="6"/>
        <v>Incomplete</v>
      </c>
    </row>
    <row r="425" spans="1:17" hidden="1">
      <c r="A425" s="12">
        <v>46043</v>
      </c>
      <c r="B425" s="10">
        <v>4</v>
      </c>
      <c r="Q425" s="10" t="str">
        <f t="shared" si="6"/>
        <v>Incomplete</v>
      </c>
    </row>
    <row r="426" spans="1:17" hidden="1">
      <c r="A426" s="12">
        <v>46043</v>
      </c>
      <c r="B426" s="10">
        <v>5</v>
      </c>
      <c r="Q426" s="10" t="str">
        <f t="shared" si="6"/>
        <v>Incomplete</v>
      </c>
    </row>
    <row r="427" spans="1:17" hidden="1">
      <c r="A427" s="12">
        <v>46043</v>
      </c>
      <c r="B427" s="10">
        <v>6</v>
      </c>
      <c r="Q427" s="10" t="str">
        <f t="shared" si="6"/>
        <v>Incomplete</v>
      </c>
    </row>
    <row r="428" spans="1:17" hidden="1">
      <c r="A428" s="12">
        <v>46043</v>
      </c>
      <c r="B428" s="10">
        <v>7</v>
      </c>
      <c r="Q428" s="10" t="str">
        <f t="shared" si="6"/>
        <v>Incomplete</v>
      </c>
    </row>
    <row r="429" spans="1:17" hidden="1">
      <c r="A429" s="12">
        <v>46043</v>
      </c>
      <c r="B429" s="10">
        <v>8</v>
      </c>
      <c r="Q429" s="10" t="str">
        <f t="shared" si="6"/>
        <v>Incomplete</v>
      </c>
    </row>
    <row r="430" spans="1:17" hidden="1">
      <c r="A430" s="12">
        <v>46043</v>
      </c>
      <c r="B430" s="10">
        <v>9</v>
      </c>
      <c r="Q430" s="10" t="str">
        <f t="shared" si="6"/>
        <v>Incomplete</v>
      </c>
    </row>
    <row r="431" spans="1:17" hidden="1">
      <c r="A431" s="12">
        <v>46043</v>
      </c>
      <c r="B431" s="10">
        <v>10</v>
      </c>
      <c r="Q431" s="10" t="str">
        <f t="shared" si="6"/>
        <v>Incomplete</v>
      </c>
    </row>
    <row r="432" spans="1:17" hidden="1">
      <c r="A432" s="12">
        <v>46043</v>
      </c>
      <c r="B432" s="10">
        <v>11</v>
      </c>
      <c r="Q432" s="10" t="str">
        <f t="shared" si="6"/>
        <v>Incomplete</v>
      </c>
    </row>
    <row r="433" spans="1:17" hidden="1">
      <c r="A433" s="12">
        <v>46043</v>
      </c>
      <c r="B433" s="10">
        <v>12</v>
      </c>
      <c r="Q433" s="10" t="str">
        <f t="shared" si="6"/>
        <v>Incomplete</v>
      </c>
    </row>
    <row r="434" spans="1:17" hidden="1">
      <c r="A434" s="12">
        <v>46043</v>
      </c>
      <c r="B434" s="10">
        <v>13</v>
      </c>
      <c r="Q434" s="10" t="str">
        <f t="shared" si="6"/>
        <v>Incomplete</v>
      </c>
    </row>
    <row r="435" spans="1:17" hidden="1">
      <c r="A435" s="12">
        <v>46043</v>
      </c>
      <c r="B435" s="10">
        <v>14</v>
      </c>
      <c r="Q435" s="10" t="str">
        <f t="shared" si="6"/>
        <v>Incomplete</v>
      </c>
    </row>
    <row r="436" spans="1:17" hidden="1">
      <c r="A436" s="12">
        <v>46043</v>
      </c>
      <c r="B436" s="10">
        <v>15</v>
      </c>
      <c r="Q436" s="10" t="str">
        <f t="shared" si="6"/>
        <v>Incomplete</v>
      </c>
    </row>
    <row r="437" spans="1:17" hidden="1">
      <c r="A437" s="12">
        <v>46043</v>
      </c>
      <c r="B437" s="10">
        <v>16</v>
      </c>
      <c r="Q437" s="10" t="str">
        <f t="shared" si="6"/>
        <v>Incomplete</v>
      </c>
    </row>
    <row r="438" spans="1:17" hidden="1">
      <c r="A438" s="12">
        <v>46043</v>
      </c>
      <c r="B438" s="10">
        <v>17</v>
      </c>
      <c r="Q438" s="10" t="str">
        <f t="shared" si="6"/>
        <v>Incomplete</v>
      </c>
    </row>
    <row r="439" spans="1:17" hidden="1">
      <c r="A439" s="12">
        <v>46043</v>
      </c>
      <c r="B439" s="10">
        <v>18</v>
      </c>
      <c r="Q439" s="10" t="str">
        <f t="shared" si="6"/>
        <v>Incomplete</v>
      </c>
    </row>
    <row r="440" spans="1:17" hidden="1">
      <c r="A440" s="12">
        <v>46043</v>
      </c>
      <c r="B440" s="10">
        <v>19</v>
      </c>
      <c r="Q440" s="10" t="str">
        <f t="shared" si="6"/>
        <v>Incomplete</v>
      </c>
    </row>
    <row r="441" spans="1:17" hidden="1">
      <c r="A441" s="12">
        <v>46043</v>
      </c>
      <c r="B441" s="10">
        <v>20</v>
      </c>
      <c r="Q441" s="10" t="str">
        <f t="shared" si="6"/>
        <v>Incomplete</v>
      </c>
    </row>
    <row r="442" spans="1:17" hidden="1">
      <c r="A442" s="12">
        <v>46043</v>
      </c>
      <c r="B442" s="10">
        <v>21</v>
      </c>
      <c r="Q442" s="10" t="str">
        <f t="shared" si="6"/>
        <v>Incomplete</v>
      </c>
    </row>
    <row r="443" spans="1:17" hidden="1">
      <c r="A443" s="12">
        <v>46044</v>
      </c>
      <c r="B443" s="10">
        <v>1</v>
      </c>
      <c r="Q443" s="10" t="str">
        <f t="shared" si="6"/>
        <v>Incomplete</v>
      </c>
    </row>
    <row r="444" spans="1:17" hidden="1">
      <c r="A444" s="12">
        <v>46044</v>
      </c>
      <c r="B444" s="10">
        <v>2</v>
      </c>
      <c r="Q444" s="10" t="str">
        <f t="shared" si="6"/>
        <v>Incomplete</v>
      </c>
    </row>
    <row r="445" spans="1:17" hidden="1">
      <c r="A445" s="12">
        <v>46044</v>
      </c>
      <c r="B445" s="10">
        <v>3</v>
      </c>
      <c r="Q445" s="10" t="str">
        <f t="shared" si="6"/>
        <v>Incomplete</v>
      </c>
    </row>
    <row r="446" spans="1:17" hidden="1">
      <c r="A446" s="12">
        <v>46044</v>
      </c>
      <c r="B446" s="10">
        <v>4</v>
      </c>
      <c r="Q446" s="10" t="str">
        <f t="shared" si="6"/>
        <v>Incomplete</v>
      </c>
    </row>
    <row r="447" spans="1:17" hidden="1">
      <c r="A447" s="12">
        <v>46044</v>
      </c>
      <c r="B447" s="10">
        <v>5</v>
      </c>
      <c r="Q447" s="10" t="str">
        <f t="shared" si="6"/>
        <v>Incomplete</v>
      </c>
    </row>
    <row r="448" spans="1:17" hidden="1">
      <c r="A448" s="12">
        <v>46044</v>
      </c>
      <c r="B448" s="10">
        <v>6</v>
      </c>
      <c r="Q448" s="10" t="str">
        <f t="shared" si="6"/>
        <v>Incomplete</v>
      </c>
    </row>
    <row r="449" spans="1:17" hidden="1">
      <c r="A449" s="12">
        <v>46044</v>
      </c>
      <c r="B449" s="10">
        <v>7</v>
      </c>
      <c r="Q449" s="10" t="str">
        <f t="shared" si="6"/>
        <v>Incomplete</v>
      </c>
    </row>
    <row r="450" spans="1:17" hidden="1">
      <c r="A450" s="12">
        <v>46044</v>
      </c>
      <c r="B450" s="10">
        <v>8</v>
      </c>
      <c r="Q450" s="10" t="str">
        <f t="shared" ref="Q450:Q513" si="7">IF(AND(C450&lt;&gt;"",J450&lt;&gt;"",K450&lt;&gt;"",L450&lt;&gt;"",O450="Yes"),"Complete","Incomplete")</f>
        <v>Incomplete</v>
      </c>
    </row>
    <row r="451" spans="1:17" hidden="1">
      <c r="A451" s="12">
        <v>46044</v>
      </c>
      <c r="B451" s="10">
        <v>9</v>
      </c>
      <c r="Q451" s="10" t="str">
        <f t="shared" si="7"/>
        <v>Incomplete</v>
      </c>
    </row>
    <row r="452" spans="1:17" hidden="1">
      <c r="A452" s="12">
        <v>46044</v>
      </c>
      <c r="B452" s="10">
        <v>10</v>
      </c>
      <c r="Q452" s="10" t="str">
        <f t="shared" si="7"/>
        <v>Incomplete</v>
      </c>
    </row>
    <row r="453" spans="1:17" hidden="1">
      <c r="A453" s="12">
        <v>46044</v>
      </c>
      <c r="B453" s="10">
        <v>11</v>
      </c>
      <c r="Q453" s="10" t="str">
        <f t="shared" si="7"/>
        <v>Incomplete</v>
      </c>
    </row>
    <row r="454" spans="1:17" hidden="1">
      <c r="A454" s="12">
        <v>46044</v>
      </c>
      <c r="B454" s="10">
        <v>12</v>
      </c>
      <c r="Q454" s="10" t="str">
        <f t="shared" si="7"/>
        <v>Incomplete</v>
      </c>
    </row>
    <row r="455" spans="1:17" hidden="1">
      <c r="A455" s="12">
        <v>46044</v>
      </c>
      <c r="B455" s="10">
        <v>13</v>
      </c>
      <c r="Q455" s="10" t="str">
        <f t="shared" si="7"/>
        <v>Incomplete</v>
      </c>
    </row>
    <row r="456" spans="1:17" hidden="1">
      <c r="A456" s="12">
        <v>46044</v>
      </c>
      <c r="B456" s="10">
        <v>14</v>
      </c>
      <c r="Q456" s="10" t="str">
        <f t="shared" si="7"/>
        <v>Incomplete</v>
      </c>
    </row>
    <row r="457" spans="1:17" hidden="1">
      <c r="A457" s="12">
        <v>46044</v>
      </c>
      <c r="B457" s="10">
        <v>15</v>
      </c>
      <c r="Q457" s="10" t="str">
        <f t="shared" si="7"/>
        <v>Incomplete</v>
      </c>
    </row>
    <row r="458" spans="1:17" hidden="1">
      <c r="A458" s="12">
        <v>46044</v>
      </c>
      <c r="B458" s="10">
        <v>16</v>
      </c>
      <c r="Q458" s="10" t="str">
        <f t="shared" si="7"/>
        <v>Incomplete</v>
      </c>
    </row>
    <row r="459" spans="1:17" hidden="1">
      <c r="A459" s="12">
        <v>46044</v>
      </c>
      <c r="B459" s="10">
        <v>17</v>
      </c>
      <c r="Q459" s="10" t="str">
        <f t="shared" si="7"/>
        <v>Incomplete</v>
      </c>
    </row>
    <row r="460" spans="1:17" hidden="1">
      <c r="A460" s="12">
        <v>46044</v>
      </c>
      <c r="B460" s="10">
        <v>18</v>
      </c>
      <c r="Q460" s="10" t="str">
        <f t="shared" si="7"/>
        <v>Incomplete</v>
      </c>
    </row>
    <row r="461" spans="1:17" hidden="1">
      <c r="A461" s="12">
        <v>46044</v>
      </c>
      <c r="B461" s="10">
        <v>19</v>
      </c>
      <c r="Q461" s="10" t="str">
        <f t="shared" si="7"/>
        <v>Incomplete</v>
      </c>
    </row>
    <row r="462" spans="1:17" hidden="1">
      <c r="A462" s="12">
        <v>46044</v>
      </c>
      <c r="B462" s="10">
        <v>20</v>
      </c>
      <c r="Q462" s="10" t="str">
        <f t="shared" si="7"/>
        <v>Incomplete</v>
      </c>
    </row>
    <row r="463" spans="1:17" hidden="1">
      <c r="A463" s="12">
        <v>46044</v>
      </c>
      <c r="B463" s="10">
        <v>21</v>
      </c>
      <c r="Q463" s="10" t="str">
        <f t="shared" si="7"/>
        <v>Incomplete</v>
      </c>
    </row>
    <row r="464" spans="1:17" hidden="1">
      <c r="A464" s="12">
        <v>46045</v>
      </c>
      <c r="B464" s="10">
        <v>1</v>
      </c>
      <c r="Q464" s="10" t="str">
        <f t="shared" si="7"/>
        <v>Incomplete</v>
      </c>
    </row>
    <row r="465" spans="1:17" hidden="1">
      <c r="A465" s="12">
        <v>46045</v>
      </c>
      <c r="B465" s="10">
        <v>2</v>
      </c>
      <c r="Q465" s="10" t="str">
        <f t="shared" si="7"/>
        <v>Incomplete</v>
      </c>
    </row>
    <row r="466" spans="1:17" hidden="1">
      <c r="A466" s="12">
        <v>46045</v>
      </c>
      <c r="B466" s="10">
        <v>3</v>
      </c>
      <c r="Q466" s="10" t="str">
        <f t="shared" si="7"/>
        <v>Incomplete</v>
      </c>
    </row>
    <row r="467" spans="1:17" hidden="1">
      <c r="A467" s="12">
        <v>46045</v>
      </c>
      <c r="B467" s="10">
        <v>4</v>
      </c>
      <c r="Q467" s="10" t="str">
        <f t="shared" si="7"/>
        <v>Incomplete</v>
      </c>
    </row>
    <row r="468" spans="1:17" hidden="1">
      <c r="A468" s="12">
        <v>46045</v>
      </c>
      <c r="B468" s="10">
        <v>5</v>
      </c>
      <c r="Q468" s="10" t="str">
        <f t="shared" si="7"/>
        <v>Incomplete</v>
      </c>
    </row>
    <row r="469" spans="1:17" hidden="1">
      <c r="A469" s="12">
        <v>46045</v>
      </c>
      <c r="B469" s="10">
        <v>6</v>
      </c>
      <c r="Q469" s="10" t="str">
        <f t="shared" si="7"/>
        <v>Incomplete</v>
      </c>
    </row>
    <row r="470" spans="1:17" hidden="1">
      <c r="A470" s="12">
        <v>46045</v>
      </c>
      <c r="B470" s="10">
        <v>7</v>
      </c>
      <c r="Q470" s="10" t="str">
        <f t="shared" si="7"/>
        <v>Incomplete</v>
      </c>
    </row>
    <row r="471" spans="1:17" hidden="1">
      <c r="A471" s="12">
        <v>46045</v>
      </c>
      <c r="B471" s="10">
        <v>8</v>
      </c>
      <c r="Q471" s="10" t="str">
        <f t="shared" si="7"/>
        <v>Incomplete</v>
      </c>
    </row>
    <row r="472" spans="1:17" hidden="1">
      <c r="A472" s="12">
        <v>46045</v>
      </c>
      <c r="B472" s="10">
        <v>9</v>
      </c>
      <c r="Q472" s="10" t="str">
        <f t="shared" si="7"/>
        <v>Incomplete</v>
      </c>
    </row>
    <row r="473" spans="1:17" hidden="1">
      <c r="A473" s="12">
        <v>46045</v>
      </c>
      <c r="B473" s="10">
        <v>10</v>
      </c>
      <c r="Q473" s="10" t="str">
        <f t="shared" si="7"/>
        <v>Incomplete</v>
      </c>
    </row>
    <row r="474" spans="1:17" hidden="1">
      <c r="A474" s="12">
        <v>46045</v>
      </c>
      <c r="B474" s="10">
        <v>11</v>
      </c>
      <c r="Q474" s="10" t="str">
        <f t="shared" si="7"/>
        <v>Incomplete</v>
      </c>
    </row>
    <row r="475" spans="1:17" hidden="1">
      <c r="A475" s="12">
        <v>46045</v>
      </c>
      <c r="B475" s="10">
        <v>12</v>
      </c>
      <c r="Q475" s="10" t="str">
        <f t="shared" si="7"/>
        <v>Incomplete</v>
      </c>
    </row>
    <row r="476" spans="1:17" hidden="1">
      <c r="A476" s="12">
        <v>46045</v>
      </c>
      <c r="B476" s="10">
        <v>13</v>
      </c>
      <c r="Q476" s="10" t="str">
        <f t="shared" si="7"/>
        <v>Incomplete</v>
      </c>
    </row>
    <row r="477" spans="1:17" hidden="1">
      <c r="A477" s="12">
        <v>46045</v>
      </c>
      <c r="B477" s="10">
        <v>14</v>
      </c>
      <c r="Q477" s="10" t="str">
        <f t="shared" si="7"/>
        <v>Incomplete</v>
      </c>
    </row>
    <row r="478" spans="1:17" hidden="1">
      <c r="A478" s="12">
        <v>46045</v>
      </c>
      <c r="B478" s="10">
        <v>15</v>
      </c>
      <c r="Q478" s="10" t="str">
        <f t="shared" si="7"/>
        <v>Incomplete</v>
      </c>
    </row>
    <row r="479" spans="1:17" hidden="1">
      <c r="A479" s="12">
        <v>46045</v>
      </c>
      <c r="B479" s="10">
        <v>16</v>
      </c>
      <c r="Q479" s="10" t="str">
        <f t="shared" si="7"/>
        <v>Incomplete</v>
      </c>
    </row>
    <row r="480" spans="1:17" hidden="1">
      <c r="A480" s="12">
        <v>46045</v>
      </c>
      <c r="B480" s="10">
        <v>17</v>
      </c>
      <c r="Q480" s="10" t="str">
        <f t="shared" si="7"/>
        <v>Incomplete</v>
      </c>
    </row>
    <row r="481" spans="1:17" hidden="1">
      <c r="A481" s="12">
        <v>46045</v>
      </c>
      <c r="B481" s="10">
        <v>18</v>
      </c>
      <c r="Q481" s="10" t="str">
        <f t="shared" si="7"/>
        <v>Incomplete</v>
      </c>
    </row>
    <row r="482" spans="1:17" hidden="1">
      <c r="A482" s="12">
        <v>46045</v>
      </c>
      <c r="B482" s="10">
        <v>19</v>
      </c>
      <c r="Q482" s="10" t="str">
        <f t="shared" si="7"/>
        <v>Incomplete</v>
      </c>
    </row>
    <row r="483" spans="1:17" hidden="1">
      <c r="A483" s="12">
        <v>46045</v>
      </c>
      <c r="B483" s="10">
        <v>20</v>
      </c>
      <c r="Q483" s="10" t="str">
        <f t="shared" si="7"/>
        <v>Incomplete</v>
      </c>
    </row>
    <row r="484" spans="1:17" hidden="1">
      <c r="A484" s="12">
        <v>46045</v>
      </c>
      <c r="B484" s="10">
        <v>21</v>
      </c>
      <c r="Q484" s="10" t="str">
        <f t="shared" si="7"/>
        <v>Incomplete</v>
      </c>
    </row>
    <row r="485" spans="1:17" hidden="1">
      <c r="A485" s="12">
        <v>46046</v>
      </c>
      <c r="B485" s="10">
        <v>1</v>
      </c>
      <c r="Q485" s="10" t="str">
        <f t="shared" si="7"/>
        <v>Incomplete</v>
      </c>
    </row>
    <row r="486" spans="1:17" hidden="1">
      <c r="A486" s="12">
        <v>46046</v>
      </c>
      <c r="B486" s="10">
        <v>2</v>
      </c>
      <c r="Q486" s="10" t="str">
        <f t="shared" si="7"/>
        <v>Incomplete</v>
      </c>
    </row>
    <row r="487" spans="1:17" hidden="1">
      <c r="A487" s="12">
        <v>46046</v>
      </c>
      <c r="B487" s="10">
        <v>3</v>
      </c>
      <c r="Q487" s="10" t="str">
        <f t="shared" si="7"/>
        <v>Incomplete</v>
      </c>
    </row>
    <row r="488" spans="1:17" hidden="1">
      <c r="A488" s="12">
        <v>46046</v>
      </c>
      <c r="B488" s="10">
        <v>4</v>
      </c>
      <c r="Q488" s="10" t="str">
        <f t="shared" si="7"/>
        <v>Incomplete</v>
      </c>
    </row>
    <row r="489" spans="1:17" hidden="1">
      <c r="A489" s="12">
        <v>46046</v>
      </c>
      <c r="B489" s="10">
        <v>5</v>
      </c>
      <c r="Q489" s="10" t="str">
        <f t="shared" si="7"/>
        <v>Incomplete</v>
      </c>
    </row>
    <row r="490" spans="1:17" hidden="1">
      <c r="A490" s="12">
        <v>46046</v>
      </c>
      <c r="B490" s="10">
        <v>6</v>
      </c>
      <c r="Q490" s="10" t="str">
        <f t="shared" si="7"/>
        <v>Incomplete</v>
      </c>
    </row>
    <row r="491" spans="1:17" hidden="1">
      <c r="A491" s="12">
        <v>46046</v>
      </c>
      <c r="B491" s="10">
        <v>7</v>
      </c>
      <c r="Q491" s="10" t="str">
        <f t="shared" si="7"/>
        <v>Incomplete</v>
      </c>
    </row>
    <row r="492" spans="1:17" hidden="1">
      <c r="A492" s="12">
        <v>46046</v>
      </c>
      <c r="B492" s="10">
        <v>8</v>
      </c>
      <c r="Q492" s="10" t="str">
        <f t="shared" si="7"/>
        <v>Incomplete</v>
      </c>
    </row>
    <row r="493" spans="1:17" hidden="1">
      <c r="A493" s="12">
        <v>46046</v>
      </c>
      <c r="B493" s="10">
        <v>9</v>
      </c>
      <c r="Q493" s="10" t="str">
        <f t="shared" si="7"/>
        <v>Incomplete</v>
      </c>
    </row>
    <row r="494" spans="1:17" hidden="1">
      <c r="A494" s="12">
        <v>46046</v>
      </c>
      <c r="B494" s="10">
        <v>10</v>
      </c>
      <c r="Q494" s="10" t="str">
        <f t="shared" si="7"/>
        <v>Incomplete</v>
      </c>
    </row>
    <row r="495" spans="1:17" hidden="1">
      <c r="A495" s="12">
        <v>46046</v>
      </c>
      <c r="B495" s="10">
        <v>11</v>
      </c>
      <c r="Q495" s="10" t="str">
        <f t="shared" si="7"/>
        <v>Incomplete</v>
      </c>
    </row>
    <row r="496" spans="1:17" hidden="1">
      <c r="A496" s="12">
        <v>46046</v>
      </c>
      <c r="B496" s="10">
        <v>12</v>
      </c>
      <c r="Q496" s="10" t="str">
        <f t="shared" si="7"/>
        <v>Incomplete</v>
      </c>
    </row>
    <row r="497" spans="1:17" hidden="1">
      <c r="A497" s="12">
        <v>46046</v>
      </c>
      <c r="B497" s="10">
        <v>13</v>
      </c>
      <c r="Q497" s="10" t="str">
        <f t="shared" si="7"/>
        <v>Incomplete</v>
      </c>
    </row>
    <row r="498" spans="1:17" hidden="1">
      <c r="A498" s="12">
        <v>46046</v>
      </c>
      <c r="B498" s="10">
        <v>14</v>
      </c>
      <c r="Q498" s="10" t="str">
        <f t="shared" si="7"/>
        <v>Incomplete</v>
      </c>
    </row>
    <row r="499" spans="1:17" hidden="1">
      <c r="A499" s="12">
        <v>46046</v>
      </c>
      <c r="B499" s="10">
        <v>15</v>
      </c>
      <c r="Q499" s="10" t="str">
        <f t="shared" si="7"/>
        <v>Incomplete</v>
      </c>
    </row>
    <row r="500" spans="1:17" hidden="1">
      <c r="A500" s="12">
        <v>46046</v>
      </c>
      <c r="B500" s="10">
        <v>16</v>
      </c>
      <c r="Q500" s="10" t="str">
        <f t="shared" si="7"/>
        <v>Incomplete</v>
      </c>
    </row>
    <row r="501" spans="1:17" hidden="1">
      <c r="A501" s="12">
        <v>46046</v>
      </c>
      <c r="B501" s="10">
        <v>17</v>
      </c>
      <c r="Q501" s="10" t="str">
        <f t="shared" si="7"/>
        <v>Incomplete</v>
      </c>
    </row>
    <row r="502" spans="1:17" hidden="1">
      <c r="A502" s="12">
        <v>46046</v>
      </c>
      <c r="B502" s="10">
        <v>18</v>
      </c>
      <c r="Q502" s="10" t="str">
        <f t="shared" si="7"/>
        <v>Incomplete</v>
      </c>
    </row>
    <row r="503" spans="1:17" hidden="1">
      <c r="A503" s="12">
        <v>46046</v>
      </c>
      <c r="B503" s="10">
        <v>19</v>
      </c>
      <c r="Q503" s="10" t="str">
        <f t="shared" si="7"/>
        <v>Incomplete</v>
      </c>
    </row>
    <row r="504" spans="1:17" hidden="1">
      <c r="A504" s="12">
        <v>46046</v>
      </c>
      <c r="B504" s="10">
        <v>20</v>
      </c>
      <c r="Q504" s="10" t="str">
        <f t="shared" si="7"/>
        <v>Incomplete</v>
      </c>
    </row>
    <row r="505" spans="1:17" hidden="1">
      <c r="A505" s="12">
        <v>46046</v>
      </c>
      <c r="B505" s="10">
        <v>21</v>
      </c>
      <c r="Q505" s="10" t="str">
        <f t="shared" si="7"/>
        <v>Incomplete</v>
      </c>
    </row>
    <row r="506" spans="1:17" hidden="1">
      <c r="A506" s="12">
        <v>46047</v>
      </c>
      <c r="B506" s="10">
        <v>1</v>
      </c>
      <c r="Q506" s="10" t="str">
        <f t="shared" si="7"/>
        <v>Incomplete</v>
      </c>
    </row>
    <row r="507" spans="1:17" hidden="1">
      <c r="A507" s="12">
        <v>46047</v>
      </c>
      <c r="B507" s="10">
        <v>2</v>
      </c>
      <c r="Q507" s="10" t="str">
        <f t="shared" si="7"/>
        <v>Incomplete</v>
      </c>
    </row>
    <row r="508" spans="1:17" hidden="1">
      <c r="A508" s="12">
        <v>46047</v>
      </c>
      <c r="B508" s="10">
        <v>3</v>
      </c>
      <c r="Q508" s="10" t="str">
        <f t="shared" si="7"/>
        <v>Incomplete</v>
      </c>
    </row>
    <row r="509" spans="1:17" hidden="1">
      <c r="A509" s="12">
        <v>46047</v>
      </c>
      <c r="B509" s="10">
        <v>4</v>
      </c>
      <c r="Q509" s="10" t="str">
        <f t="shared" si="7"/>
        <v>Incomplete</v>
      </c>
    </row>
    <row r="510" spans="1:17" hidden="1">
      <c r="A510" s="12">
        <v>46047</v>
      </c>
      <c r="B510" s="10">
        <v>5</v>
      </c>
      <c r="Q510" s="10" t="str">
        <f t="shared" si="7"/>
        <v>Incomplete</v>
      </c>
    </row>
    <row r="511" spans="1:17" hidden="1">
      <c r="A511" s="12">
        <v>46047</v>
      </c>
      <c r="B511" s="10">
        <v>6</v>
      </c>
      <c r="Q511" s="10" t="str">
        <f t="shared" si="7"/>
        <v>Incomplete</v>
      </c>
    </row>
    <row r="512" spans="1:17" hidden="1">
      <c r="A512" s="12">
        <v>46047</v>
      </c>
      <c r="B512" s="10">
        <v>7</v>
      </c>
      <c r="Q512" s="10" t="str">
        <f t="shared" si="7"/>
        <v>Incomplete</v>
      </c>
    </row>
    <row r="513" spans="1:17" hidden="1">
      <c r="A513" s="12">
        <v>46047</v>
      </c>
      <c r="B513" s="10">
        <v>8</v>
      </c>
      <c r="Q513" s="10" t="str">
        <f t="shared" si="7"/>
        <v>Incomplete</v>
      </c>
    </row>
    <row r="514" spans="1:17" hidden="1">
      <c r="A514" s="12">
        <v>46047</v>
      </c>
      <c r="B514" s="10">
        <v>9</v>
      </c>
      <c r="Q514" s="10" t="str">
        <f t="shared" ref="Q514:Q577" si="8">IF(AND(C514&lt;&gt;"",J514&lt;&gt;"",K514&lt;&gt;"",L514&lt;&gt;"",O514="Yes"),"Complete","Incomplete")</f>
        <v>Incomplete</v>
      </c>
    </row>
    <row r="515" spans="1:17" hidden="1">
      <c r="A515" s="12">
        <v>46047</v>
      </c>
      <c r="B515" s="10">
        <v>10</v>
      </c>
      <c r="Q515" s="10" t="str">
        <f t="shared" si="8"/>
        <v>Incomplete</v>
      </c>
    </row>
    <row r="516" spans="1:17" hidden="1">
      <c r="A516" s="12">
        <v>46047</v>
      </c>
      <c r="B516" s="10">
        <v>11</v>
      </c>
      <c r="Q516" s="10" t="str">
        <f t="shared" si="8"/>
        <v>Incomplete</v>
      </c>
    </row>
    <row r="517" spans="1:17" hidden="1">
      <c r="A517" s="12">
        <v>46047</v>
      </c>
      <c r="B517" s="10">
        <v>12</v>
      </c>
      <c r="Q517" s="10" t="str">
        <f t="shared" si="8"/>
        <v>Incomplete</v>
      </c>
    </row>
    <row r="518" spans="1:17" hidden="1">
      <c r="A518" s="12">
        <v>46047</v>
      </c>
      <c r="B518" s="10">
        <v>13</v>
      </c>
      <c r="Q518" s="10" t="str">
        <f t="shared" si="8"/>
        <v>Incomplete</v>
      </c>
    </row>
    <row r="519" spans="1:17" hidden="1">
      <c r="A519" s="12">
        <v>46047</v>
      </c>
      <c r="B519" s="10">
        <v>14</v>
      </c>
      <c r="Q519" s="10" t="str">
        <f t="shared" si="8"/>
        <v>Incomplete</v>
      </c>
    </row>
    <row r="520" spans="1:17" hidden="1">
      <c r="A520" s="12">
        <v>46047</v>
      </c>
      <c r="B520" s="10">
        <v>15</v>
      </c>
      <c r="Q520" s="10" t="str">
        <f t="shared" si="8"/>
        <v>Incomplete</v>
      </c>
    </row>
    <row r="521" spans="1:17" hidden="1">
      <c r="A521" s="12">
        <v>46047</v>
      </c>
      <c r="B521" s="10">
        <v>16</v>
      </c>
      <c r="Q521" s="10" t="str">
        <f t="shared" si="8"/>
        <v>Incomplete</v>
      </c>
    </row>
    <row r="522" spans="1:17" hidden="1">
      <c r="A522" s="12">
        <v>46047</v>
      </c>
      <c r="B522" s="10">
        <v>17</v>
      </c>
      <c r="Q522" s="10" t="str">
        <f t="shared" si="8"/>
        <v>Incomplete</v>
      </c>
    </row>
    <row r="523" spans="1:17" hidden="1">
      <c r="A523" s="12">
        <v>46047</v>
      </c>
      <c r="B523" s="10">
        <v>18</v>
      </c>
      <c r="Q523" s="10" t="str">
        <f t="shared" si="8"/>
        <v>Incomplete</v>
      </c>
    </row>
    <row r="524" spans="1:17" hidden="1">
      <c r="A524" s="12">
        <v>46047</v>
      </c>
      <c r="B524" s="10">
        <v>19</v>
      </c>
      <c r="Q524" s="10" t="str">
        <f t="shared" si="8"/>
        <v>Incomplete</v>
      </c>
    </row>
    <row r="525" spans="1:17" hidden="1">
      <c r="A525" s="12">
        <v>46047</v>
      </c>
      <c r="B525" s="10">
        <v>20</v>
      </c>
      <c r="Q525" s="10" t="str">
        <f t="shared" si="8"/>
        <v>Incomplete</v>
      </c>
    </row>
    <row r="526" spans="1:17" hidden="1">
      <c r="A526" s="12">
        <v>46047</v>
      </c>
      <c r="B526" s="10">
        <v>21</v>
      </c>
      <c r="Q526" s="10" t="str">
        <f t="shared" si="8"/>
        <v>Incomplete</v>
      </c>
    </row>
    <row r="527" spans="1:17" hidden="1">
      <c r="A527" s="12">
        <v>46048</v>
      </c>
      <c r="B527" s="10">
        <v>1</v>
      </c>
      <c r="Q527" s="10" t="str">
        <f t="shared" si="8"/>
        <v>Incomplete</v>
      </c>
    </row>
    <row r="528" spans="1:17" hidden="1">
      <c r="A528" s="12">
        <v>46048</v>
      </c>
      <c r="B528" s="10">
        <v>2</v>
      </c>
      <c r="Q528" s="10" t="str">
        <f t="shared" si="8"/>
        <v>Incomplete</v>
      </c>
    </row>
    <row r="529" spans="1:17" hidden="1">
      <c r="A529" s="12">
        <v>46048</v>
      </c>
      <c r="B529" s="10">
        <v>3</v>
      </c>
      <c r="Q529" s="10" t="str">
        <f t="shared" si="8"/>
        <v>Incomplete</v>
      </c>
    </row>
    <row r="530" spans="1:17" hidden="1">
      <c r="A530" s="12">
        <v>46048</v>
      </c>
      <c r="B530" s="10">
        <v>4</v>
      </c>
      <c r="Q530" s="10" t="str">
        <f t="shared" si="8"/>
        <v>Incomplete</v>
      </c>
    </row>
    <row r="531" spans="1:17" hidden="1">
      <c r="A531" s="12">
        <v>46048</v>
      </c>
      <c r="B531" s="10">
        <v>5</v>
      </c>
      <c r="Q531" s="10" t="str">
        <f t="shared" si="8"/>
        <v>Incomplete</v>
      </c>
    </row>
    <row r="532" spans="1:17" hidden="1">
      <c r="A532" s="12">
        <v>46048</v>
      </c>
      <c r="B532" s="10">
        <v>6</v>
      </c>
      <c r="Q532" s="10" t="str">
        <f t="shared" si="8"/>
        <v>Incomplete</v>
      </c>
    </row>
    <row r="533" spans="1:17" hidden="1">
      <c r="A533" s="12">
        <v>46048</v>
      </c>
      <c r="B533" s="10">
        <v>7</v>
      </c>
      <c r="Q533" s="10" t="str">
        <f t="shared" si="8"/>
        <v>Incomplete</v>
      </c>
    </row>
    <row r="534" spans="1:17" hidden="1">
      <c r="A534" s="12">
        <v>46048</v>
      </c>
      <c r="B534" s="10">
        <v>8</v>
      </c>
      <c r="Q534" s="10" t="str">
        <f t="shared" si="8"/>
        <v>Incomplete</v>
      </c>
    </row>
    <row r="535" spans="1:17" hidden="1">
      <c r="A535" s="12">
        <v>46048</v>
      </c>
      <c r="B535" s="10">
        <v>9</v>
      </c>
      <c r="Q535" s="10" t="str">
        <f t="shared" si="8"/>
        <v>Incomplete</v>
      </c>
    </row>
    <row r="536" spans="1:17" hidden="1">
      <c r="A536" s="12">
        <v>46048</v>
      </c>
      <c r="B536" s="10">
        <v>10</v>
      </c>
      <c r="Q536" s="10" t="str">
        <f t="shared" si="8"/>
        <v>Incomplete</v>
      </c>
    </row>
    <row r="537" spans="1:17" hidden="1">
      <c r="A537" s="12">
        <v>46048</v>
      </c>
      <c r="B537" s="10">
        <v>11</v>
      </c>
      <c r="Q537" s="10" t="str">
        <f t="shared" si="8"/>
        <v>Incomplete</v>
      </c>
    </row>
    <row r="538" spans="1:17" hidden="1">
      <c r="A538" s="12">
        <v>46048</v>
      </c>
      <c r="B538" s="10">
        <v>12</v>
      </c>
      <c r="Q538" s="10" t="str">
        <f t="shared" si="8"/>
        <v>Incomplete</v>
      </c>
    </row>
    <row r="539" spans="1:17" hidden="1">
      <c r="A539" s="12">
        <v>46048</v>
      </c>
      <c r="B539" s="10">
        <v>13</v>
      </c>
      <c r="Q539" s="10" t="str">
        <f t="shared" si="8"/>
        <v>Incomplete</v>
      </c>
    </row>
    <row r="540" spans="1:17" hidden="1">
      <c r="A540" s="12">
        <v>46048</v>
      </c>
      <c r="B540" s="10">
        <v>14</v>
      </c>
      <c r="Q540" s="10" t="str">
        <f t="shared" si="8"/>
        <v>Incomplete</v>
      </c>
    </row>
    <row r="541" spans="1:17" hidden="1">
      <c r="A541" s="12">
        <v>46048</v>
      </c>
      <c r="B541" s="10">
        <v>15</v>
      </c>
      <c r="Q541" s="10" t="str">
        <f t="shared" si="8"/>
        <v>Incomplete</v>
      </c>
    </row>
    <row r="542" spans="1:17" hidden="1">
      <c r="A542" s="12">
        <v>46048</v>
      </c>
      <c r="B542" s="10">
        <v>16</v>
      </c>
      <c r="Q542" s="10" t="str">
        <f t="shared" si="8"/>
        <v>Incomplete</v>
      </c>
    </row>
    <row r="543" spans="1:17" hidden="1">
      <c r="A543" s="12">
        <v>46048</v>
      </c>
      <c r="B543" s="10">
        <v>17</v>
      </c>
      <c r="Q543" s="10" t="str">
        <f t="shared" si="8"/>
        <v>Incomplete</v>
      </c>
    </row>
    <row r="544" spans="1:17" hidden="1">
      <c r="A544" s="12">
        <v>46048</v>
      </c>
      <c r="B544" s="10">
        <v>18</v>
      </c>
      <c r="Q544" s="10" t="str">
        <f t="shared" si="8"/>
        <v>Incomplete</v>
      </c>
    </row>
    <row r="545" spans="1:17" hidden="1">
      <c r="A545" s="12">
        <v>46048</v>
      </c>
      <c r="B545" s="10">
        <v>19</v>
      </c>
      <c r="Q545" s="10" t="str">
        <f t="shared" si="8"/>
        <v>Incomplete</v>
      </c>
    </row>
    <row r="546" spans="1:17" hidden="1">
      <c r="A546" s="12">
        <v>46048</v>
      </c>
      <c r="B546" s="10">
        <v>20</v>
      </c>
      <c r="Q546" s="10" t="str">
        <f t="shared" si="8"/>
        <v>Incomplete</v>
      </c>
    </row>
    <row r="547" spans="1:17" hidden="1">
      <c r="A547" s="12">
        <v>46048</v>
      </c>
      <c r="B547" s="10">
        <v>21</v>
      </c>
      <c r="Q547" s="10" t="str">
        <f t="shared" si="8"/>
        <v>Incomplete</v>
      </c>
    </row>
    <row r="548" spans="1:17" hidden="1">
      <c r="A548" s="12">
        <v>46049</v>
      </c>
      <c r="B548" s="10">
        <v>1</v>
      </c>
      <c r="Q548" s="10" t="str">
        <f t="shared" si="8"/>
        <v>Incomplete</v>
      </c>
    </row>
    <row r="549" spans="1:17" hidden="1">
      <c r="A549" s="12">
        <v>46049</v>
      </c>
      <c r="B549" s="10">
        <v>2</v>
      </c>
      <c r="Q549" s="10" t="str">
        <f t="shared" si="8"/>
        <v>Incomplete</v>
      </c>
    </row>
    <row r="550" spans="1:17" hidden="1">
      <c r="A550" s="12">
        <v>46049</v>
      </c>
      <c r="B550" s="10">
        <v>3</v>
      </c>
      <c r="Q550" s="10" t="str">
        <f t="shared" si="8"/>
        <v>Incomplete</v>
      </c>
    </row>
    <row r="551" spans="1:17" hidden="1">
      <c r="A551" s="12">
        <v>46049</v>
      </c>
      <c r="B551" s="10">
        <v>4</v>
      </c>
      <c r="Q551" s="10" t="str">
        <f t="shared" si="8"/>
        <v>Incomplete</v>
      </c>
    </row>
    <row r="552" spans="1:17" hidden="1">
      <c r="A552" s="12">
        <v>46049</v>
      </c>
      <c r="B552" s="10">
        <v>5</v>
      </c>
      <c r="Q552" s="10" t="str">
        <f t="shared" si="8"/>
        <v>Incomplete</v>
      </c>
    </row>
    <row r="553" spans="1:17" hidden="1">
      <c r="A553" s="12">
        <v>46049</v>
      </c>
      <c r="B553" s="10">
        <v>6</v>
      </c>
      <c r="Q553" s="10" t="str">
        <f t="shared" si="8"/>
        <v>Incomplete</v>
      </c>
    </row>
    <row r="554" spans="1:17" hidden="1">
      <c r="A554" s="12">
        <v>46049</v>
      </c>
      <c r="B554" s="10">
        <v>7</v>
      </c>
      <c r="Q554" s="10" t="str">
        <f t="shared" si="8"/>
        <v>Incomplete</v>
      </c>
    </row>
    <row r="555" spans="1:17" hidden="1">
      <c r="A555" s="12">
        <v>46049</v>
      </c>
      <c r="B555" s="10">
        <v>8</v>
      </c>
      <c r="Q555" s="10" t="str">
        <f t="shared" si="8"/>
        <v>Incomplete</v>
      </c>
    </row>
    <row r="556" spans="1:17" hidden="1">
      <c r="A556" s="12">
        <v>46049</v>
      </c>
      <c r="B556" s="10">
        <v>9</v>
      </c>
      <c r="Q556" s="10" t="str">
        <f t="shared" si="8"/>
        <v>Incomplete</v>
      </c>
    </row>
    <row r="557" spans="1:17" hidden="1">
      <c r="A557" s="12">
        <v>46049</v>
      </c>
      <c r="B557" s="10">
        <v>10</v>
      </c>
      <c r="Q557" s="10" t="str">
        <f t="shared" si="8"/>
        <v>Incomplete</v>
      </c>
    </row>
    <row r="558" spans="1:17" hidden="1">
      <c r="A558" s="12">
        <v>46049</v>
      </c>
      <c r="B558" s="10">
        <v>11</v>
      </c>
      <c r="Q558" s="10" t="str">
        <f t="shared" si="8"/>
        <v>Incomplete</v>
      </c>
    </row>
    <row r="559" spans="1:17" hidden="1">
      <c r="A559" s="12">
        <v>46049</v>
      </c>
      <c r="B559" s="10">
        <v>12</v>
      </c>
      <c r="Q559" s="10" t="str">
        <f t="shared" si="8"/>
        <v>Incomplete</v>
      </c>
    </row>
    <row r="560" spans="1:17" hidden="1">
      <c r="A560" s="12">
        <v>46049</v>
      </c>
      <c r="B560" s="10">
        <v>13</v>
      </c>
      <c r="Q560" s="10" t="str">
        <f t="shared" si="8"/>
        <v>Incomplete</v>
      </c>
    </row>
    <row r="561" spans="1:17" hidden="1">
      <c r="A561" s="12">
        <v>46049</v>
      </c>
      <c r="B561" s="10">
        <v>14</v>
      </c>
      <c r="Q561" s="10" t="str">
        <f t="shared" si="8"/>
        <v>Incomplete</v>
      </c>
    </row>
    <row r="562" spans="1:17" hidden="1">
      <c r="A562" s="12">
        <v>46049</v>
      </c>
      <c r="B562" s="10">
        <v>15</v>
      </c>
      <c r="Q562" s="10" t="str">
        <f t="shared" si="8"/>
        <v>Incomplete</v>
      </c>
    </row>
    <row r="563" spans="1:17" hidden="1">
      <c r="A563" s="12">
        <v>46049</v>
      </c>
      <c r="B563" s="10">
        <v>16</v>
      </c>
      <c r="Q563" s="10" t="str">
        <f t="shared" si="8"/>
        <v>Incomplete</v>
      </c>
    </row>
    <row r="564" spans="1:17" hidden="1">
      <c r="A564" s="12">
        <v>46049</v>
      </c>
      <c r="B564" s="10">
        <v>17</v>
      </c>
      <c r="Q564" s="10" t="str">
        <f t="shared" si="8"/>
        <v>Incomplete</v>
      </c>
    </row>
    <row r="565" spans="1:17" hidden="1">
      <c r="A565" s="12">
        <v>46049</v>
      </c>
      <c r="B565" s="10">
        <v>18</v>
      </c>
      <c r="Q565" s="10" t="str">
        <f t="shared" si="8"/>
        <v>Incomplete</v>
      </c>
    </row>
    <row r="566" spans="1:17" hidden="1">
      <c r="A566" s="12">
        <v>46049</v>
      </c>
      <c r="B566" s="10">
        <v>19</v>
      </c>
      <c r="Q566" s="10" t="str">
        <f t="shared" si="8"/>
        <v>Incomplete</v>
      </c>
    </row>
    <row r="567" spans="1:17" hidden="1">
      <c r="A567" s="12">
        <v>46049</v>
      </c>
      <c r="B567" s="10">
        <v>20</v>
      </c>
      <c r="Q567" s="10" t="str">
        <f t="shared" si="8"/>
        <v>Incomplete</v>
      </c>
    </row>
    <row r="568" spans="1:17" hidden="1">
      <c r="A568" s="12">
        <v>46049</v>
      </c>
      <c r="B568" s="10">
        <v>21</v>
      </c>
      <c r="Q568" s="10" t="str">
        <f t="shared" si="8"/>
        <v>Incomplete</v>
      </c>
    </row>
    <row r="569" spans="1:17" hidden="1">
      <c r="A569" s="12">
        <v>46050</v>
      </c>
      <c r="B569" s="10">
        <v>1</v>
      </c>
      <c r="Q569" s="10" t="str">
        <f t="shared" si="8"/>
        <v>Incomplete</v>
      </c>
    </row>
    <row r="570" spans="1:17" hidden="1">
      <c r="A570" s="12">
        <v>46050</v>
      </c>
      <c r="B570" s="10">
        <v>2</v>
      </c>
      <c r="Q570" s="10" t="str">
        <f t="shared" si="8"/>
        <v>Incomplete</v>
      </c>
    </row>
    <row r="571" spans="1:17" hidden="1">
      <c r="A571" s="12">
        <v>46050</v>
      </c>
      <c r="B571" s="10">
        <v>3</v>
      </c>
      <c r="Q571" s="10" t="str">
        <f t="shared" si="8"/>
        <v>Incomplete</v>
      </c>
    </row>
    <row r="572" spans="1:17" hidden="1">
      <c r="A572" s="12">
        <v>46050</v>
      </c>
      <c r="B572" s="10">
        <v>4</v>
      </c>
      <c r="Q572" s="10" t="str">
        <f t="shared" si="8"/>
        <v>Incomplete</v>
      </c>
    </row>
    <row r="573" spans="1:17" hidden="1">
      <c r="A573" s="12">
        <v>46050</v>
      </c>
      <c r="B573" s="10">
        <v>5</v>
      </c>
      <c r="Q573" s="10" t="str">
        <f t="shared" si="8"/>
        <v>Incomplete</v>
      </c>
    </row>
    <row r="574" spans="1:17" hidden="1">
      <c r="A574" s="12">
        <v>46050</v>
      </c>
      <c r="B574" s="10">
        <v>6</v>
      </c>
      <c r="Q574" s="10" t="str">
        <f t="shared" si="8"/>
        <v>Incomplete</v>
      </c>
    </row>
    <row r="575" spans="1:17" hidden="1">
      <c r="A575" s="12">
        <v>46050</v>
      </c>
      <c r="B575" s="10">
        <v>7</v>
      </c>
      <c r="Q575" s="10" t="str">
        <f t="shared" si="8"/>
        <v>Incomplete</v>
      </c>
    </row>
    <row r="576" spans="1:17" hidden="1">
      <c r="A576" s="12">
        <v>46050</v>
      </c>
      <c r="B576" s="10">
        <v>8</v>
      </c>
      <c r="Q576" s="10" t="str">
        <f t="shared" si="8"/>
        <v>Incomplete</v>
      </c>
    </row>
    <row r="577" spans="1:17" hidden="1">
      <c r="A577" s="12">
        <v>46050</v>
      </c>
      <c r="B577" s="10">
        <v>9</v>
      </c>
      <c r="Q577" s="10" t="str">
        <f t="shared" si="8"/>
        <v>Incomplete</v>
      </c>
    </row>
    <row r="578" spans="1:17" hidden="1">
      <c r="A578" s="12">
        <v>46050</v>
      </c>
      <c r="B578" s="10">
        <v>10</v>
      </c>
      <c r="Q578" s="10" t="str">
        <f t="shared" ref="Q578:Q641" si="9">IF(AND(C578&lt;&gt;"",J578&lt;&gt;"",K578&lt;&gt;"",L578&lt;&gt;"",O578="Yes"),"Complete","Incomplete")</f>
        <v>Incomplete</v>
      </c>
    </row>
    <row r="579" spans="1:17" hidden="1">
      <c r="A579" s="12">
        <v>46050</v>
      </c>
      <c r="B579" s="10">
        <v>11</v>
      </c>
      <c r="Q579" s="10" t="str">
        <f t="shared" si="9"/>
        <v>Incomplete</v>
      </c>
    </row>
    <row r="580" spans="1:17" hidden="1">
      <c r="A580" s="12">
        <v>46050</v>
      </c>
      <c r="B580" s="10">
        <v>12</v>
      </c>
      <c r="Q580" s="10" t="str">
        <f t="shared" si="9"/>
        <v>Incomplete</v>
      </c>
    </row>
    <row r="581" spans="1:17" hidden="1">
      <c r="A581" s="12">
        <v>46050</v>
      </c>
      <c r="B581" s="10">
        <v>13</v>
      </c>
      <c r="Q581" s="10" t="str">
        <f t="shared" si="9"/>
        <v>Incomplete</v>
      </c>
    </row>
    <row r="582" spans="1:17" hidden="1">
      <c r="A582" s="12">
        <v>46050</v>
      </c>
      <c r="B582" s="10">
        <v>14</v>
      </c>
      <c r="Q582" s="10" t="str">
        <f t="shared" si="9"/>
        <v>Incomplete</v>
      </c>
    </row>
    <row r="583" spans="1:17" hidden="1">
      <c r="A583" s="12">
        <v>46050</v>
      </c>
      <c r="B583" s="10">
        <v>15</v>
      </c>
      <c r="Q583" s="10" t="str">
        <f t="shared" si="9"/>
        <v>Incomplete</v>
      </c>
    </row>
    <row r="584" spans="1:17" hidden="1">
      <c r="A584" s="12">
        <v>46050</v>
      </c>
      <c r="B584" s="10">
        <v>16</v>
      </c>
      <c r="Q584" s="10" t="str">
        <f t="shared" si="9"/>
        <v>Incomplete</v>
      </c>
    </row>
    <row r="585" spans="1:17" hidden="1">
      <c r="A585" s="12">
        <v>46050</v>
      </c>
      <c r="B585" s="10">
        <v>17</v>
      </c>
      <c r="Q585" s="10" t="str">
        <f t="shared" si="9"/>
        <v>Incomplete</v>
      </c>
    </row>
    <row r="586" spans="1:17" hidden="1">
      <c r="A586" s="12">
        <v>46050</v>
      </c>
      <c r="B586" s="10">
        <v>18</v>
      </c>
      <c r="Q586" s="10" t="str">
        <f t="shared" si="9"/>
        <v>Incomplete</v>
      </c>
    </row>
    <row r="587" spans="1:17" hidden="1">
      <c r="A587" s="12">
        <v>46050</v>
      </c>
      <c r="B587" s="10">
        <v>19</v>
      </c>
      <c r="Q587" s="10" t="str">
        <f t="shared" si="9"/>
        <v>Incomplete</v>
      </c>
    </row>
    <row r="588" spans="1:17" hidden="1">
      <c r="A588" s="12">
        <v>46050</v>
      </c>
      <c r="B588" s="10">
        <v>20</v>
      </c>
      <c r="Q588" s="10" t="str">
        <f t="shared" si="9"/>
        <v>Incomplete</v>
      </c>
    </row>
    <row r="589" spans="1:17" hidden="1">
      <c r="A589" s="12">
        <v>46050</v>
      </c>
      <c r="B589" s="10">
        <v>21</v>
      </c>
      <c r="Q589" s="10" t="str">
        <f t="shared" si="9"/>
        <v>Incomplete</v>
      </c>
    </row>
    <row r="590" spans="1:17" hidden="1">
      <c r="A590" s="12">
        <v>46051</v>
      </c>
      <c r="B590" s="10">
        <v>1</v>
      </c>
      <c r="Q590" s="10" t="str">
        <f t="shared" si="9"/>
        <v>Incomplete</v>
      </c>
    </row>
    <row r="591" spans="1:17" hidden="1">
      <c r="A591" s="12">
        <v>46051</v>
      </c>
      <c r="B591" s="10">
        <v>2</v>
      </c>
      <c r="Q591" s="10" t="str">
        <f t="shared" si="9"/>
        <v>Incomplete</v>
      </c>
    </row>
    <row r="592" spans="1:17" hidden="1">
      <c r="A592" s="12">
        <v>46051</v>
      </c>
      <c r="B592" s="10">
        <v>3</v>
      </c>
      <c r="Q592" s="10" t="str">
        <f t="shared" si="9"/>
        <v>Incomplete</v>
      </c>
    </row>
    <row r="593" spans="1:17" hidden="1">
      <c r="A593" s="12">
        <v>46051</v>
      </c>
      <c r="B593" s="10">
        <v>4</v>
      </c>
      <c r="Q593" s="10" t="str">
        <f t="shared" si="9"/>
        <v>Incomplete</v>
      </c>
    </row>
    <row r="594" spans="1:17" hidden="1">
      <c r="A594" s="12">
        <v>46051</v>
      </c>
      <c r="B594" s="10">
        <v>5</v>
      </c>
      <c r="Q594" s="10" t="str">
        <f t="shared" si="9"/>
        <v>Incomplete</v>
      </c>
    </row>
    <row r="595" spans="1:17" hidden="1">
      <c r="A595" s="12">
        <v>46051</v>
      </c>
      <c r="B595" s="10">
        <v>6</v>
      </c>
      <c r="Q595" s="10" t="str">
        <f t="shared" si="9"/>
        <v>Incomplete</v>
      </c>
    </row>
    <row r="596" spans="1:17" hidden="1">
      <c r="A596" s="12">
        <v>46051</v>
      </c>
      <c r="B596" s="10">
        <v>7</v>
      </c>
      <c r="Q596" s="10" t="str">
        <f t="shared" si="9"/>
        <v>Incomplete</v>
      </c>
    </row>
    <row r="597" spans="1:17" hidden="1">
      <c r="A597" s="12">
        <v>46051</v>
      </c>
      <c r="B597" s="10">
        <v>8</v>
      </c>
      <c r="Q597" s="10" t="str">
        <f t="shared" si="9"/>
        <v>Incomplete</v>
      </c>
    </row>
    <row r="598" spans="1:17" hidden="1">
      <c r="A598" s="12">
        <v>46051</v>
      </c>
      <c r="B598" s="10">
        <v>9</v>
      </c>
      <c r="Q598" s="10" t="str">
        <f t="shared" si="9"/>
        <v>Incomplete</v>
      </c>
    </row>
    <row r="599" spans="1:17" hidden="1">
      <c r="A599" s="12">
        <v>46051</v>
      </c>
      <c r="B599" s="10">
        <v>10</v>
      </c>
      <c r="Q599" s="10" t="str">
        <f t="shared" si="9"/>
        <v>Incomplete</v>
      </c>
    </row>
    <row r="600" spans="1:17" hidden="1">
      <c r="A600" s="12">
        <v>46051</v>
      </c>
      <c r="B600" s="10">
        <v>11</v>
      </c>
      <c r="Q600" s="10" t="str">
        <f t="shared" si="9"/>
        <v>Incomplete</v>
      </c>
    </row>
    <row r="601" spans="1:17" hidden="1">
      <c r="A601" s="12">
        <v>46051</v>
      </c>
      <c r="B601" s="10">
        <v>12</v>
      </c>
      <c r="Q601" s="10" t="str">
        <f t="shared" si="9"/>
        <v>Incomplete</v>
      </c>
    </row>
    <row r="602" spans="1:17" hidden="1">
      <c r="A602" s="12">
        <v>46051</v>
      </c>
      <c r="B602" s="10">
        <v>13</v>
      </c>
      <c r="Q602" s="10" t="str">
        <f t="shared" si="9"/>
        <v>Incomplete</v>
      </c>
    </row>
    <row r="603" spans="1:17" hidden="1">
      <c r="A603" s="12">
        <v>46051</v>
      </c>
      <c r="B603" s="10">
        <v>14</v>
      </c>
      <c r="Q603" s="10" t="str">
        <f t="shared" si="9"/>
        <v>Incomplete</v>
      </c>
    </row>
    <row r="604" spans="1:17" hidden="1">
      <c r="A604" s="12">
        <v>46051</v>
      </c>
      <c r="B604" s="10">
        <v>15</v>
      </c>
      <c r="Q604" s="10" t="str">
        <f t="shared" si="9"/>
        <v>Incomplete</v>
      </c>
    </row>
    <row r="605" spans="1:17" hidden="1">
      <c r="A605" s="12">
        <v>46051</v>
      </c>
      <c r="B605" s="10">
        <v>16</v>
      </c>
      <c r="Q605" s="10" t="str">
        <f t="shared" si="9"/>
        <v>Incomplete</v>
      </c>
    </row>
    <row r="606" spans="1:17" hidden="1">
      <c r="A606" s="12">
        <v>46051</v>
      </c>
      <c r="B606" s="10">
        <v>17</v>
      </c>
      <c r="Q606" s="10" t="str">
        <f t="shared" si="9"/>
        <v>Incomplete</v>
      </c>
    </row>
    <row r="607" spans="1:17" hidden="1">
      <c r="A607" s="12">
        <v>46051</v>
      </c>
      <c r="B607" s="10">
        <v>18</v>
      </c>
      <c r="Q607" s="10" t="str">
        <f t="shared" si="9"/>
        <v>Incomplete</v>
      </c>
    </row>
    <row r="608" spans="1:17" hidden="1">
      <c r="A608" s="12">
        <v>46051</v>
      </c>
      <c r="B608" s="10">
        <v>19</v>
      </c>
      <c r="Q608" s="10" t="str">
        <f t="shared" si="9"/>
        <v>Incomplete</v>
      </c>
    </row>
    <row r="609" spans="1:17" hidden="1">
      <c r="A609" s="12">
        <v>46051</v>
      </c>
      <c r="B609" s="10">
        <v>20</v>
      </c>
      <c r="Q609" s="10" t="str">
        <f t="shared" si="9"/>
        <v>Incomplete</v>
      </c>
    </row>
    <row r="610" spans="1:17" hidden="1">
      <c r="A610" s="12">
        <v>46051</v>
      </c>
      <c r="B610" s="10">
        <v>21</v>
      </c>
      <c r="Q610" s="10" t="str">
        <f t="shared" si="9"/>
        <v>Incomplete</v>
      </c>
    </row>
    <row r="611" spans="1:17" hidden="1">
      <c r="A611" s="12">
        <v>46052</v>
      </c>
      <c r="B611" s="10">
        <v>1</v>
      </c>
      <c r="Q611" s="10" t="str">
        <f t="shared" si="9"/>
        <v>Incomplete</v>
      </c>
    </row>
    <row r="612" spans="1:17" hidden="1">
      <c r="A612" s="12">
        <v>46052</v>
      </c>
      <c r="B612" s="10">
        <v>2</v>
      </c>
      <c r="Q612" s="10" t="str">
        <f t="shared" si="9"/>
        <v>Incomplete</v>
      </c>
    </row>
    <row r="613" spans="1:17" hidden="1">
      <c r="A613" s="12">
        <v>46052</v>
      </c>
      <c r="B613" s="10">
        <v>3</v>
      </c>
      <c r="Q613" s="10" t="str">
        <f t="shared" si="9"/>
        <v>Incomplete</v>
      </c>
    </row>
    <row r="614" spans="1:17" hidden="1">
      <c r="A614" s="12">
        <v>46052</v>
      </c>
      <c r="B614" s="10">
        <v>4</v>
      </c>
      <c r="Q614" s="10" t="str">
        <f t="shared" si="9"/>
        <v>Incomplete</v>
      </c>
    </row>
    <row r="615" spans="1:17" hidden="1">
      <c r="A615" s="12">
        <v>46052</v>
      </c>
      <c r="B615" s="10">
        <v>5</v>
      </c>
      <c r="Q615" s="10" t="str">
        <f t="shared" si="9"/>
        <v>Incomplete</v>
      </c>
    </row>
    <row r="616" spans="1:17" hidden="1">
      <c r="A616" s="12">
        <v>46052</v>
      </c>
      <c r="B616" s="10">
        <v>6</v>
      </c>
      <c r="Q616" s="10" t="str">
        <f t="shared" si="9"/>
        <v>Incomplete</v>
      </c>
    </row>
    <row r="617" spans="1:17" hidden="1">
      <c r="A617" s="12">
        <v>46052</v>
      </c>
      <c r="B617" s="10">
        <v>7</v>
      </c>
      <c r="Q617" s="10" t="str">
        <f t="shared" si="9"/>
        <v>Incomplete</v>
      </c>
    </row>
    <row r="618" spans="1:17" hidden="1">
      <c r="A618" s="12">
        <v>46052</v>
      </c>
      <c r="B618" s="10">
        <v>8</v>
      </c>
      <c r="Q618" s="10" t="str">
        <f t="shared" si="9"/>
        <v>Incomplete</v>
      </c>
    </row>
    <row r="619" spans="1:17" hidden="1">
      <c r="A619" s="12">
        <v>46052</v>
      </c>
      <c r="B619" s="10">
        <v>9</v>
      </c>
      <c r="Q619" s="10" t="str">
        <f t="shared" si="9"/>
        <v>Incomplete</v>
      </c>
    </row>
    <row r="620" spans="1:17" hidden="1">
      <c r="A620" s="12">
        <v>46052</v>
      </c>
      <c r="B620" s="10">
        <v>10</v>
      </c>
      <c r="Q620" s="10" t="str">
        <f t="shared" si="9"/>
        <v>Incomplete</v>
      </c>
    </row>
    <row r="621" spans="1:17" hidden="1">
      <c r="A621" s="12">
        <v>46052</v>
      </c>
      <c r="B621" s="10">
        <v>11</v>
      </c>
      <c r="Q621" s="10" t="str">
        <f t="shared" si="9"/>
        <v>Incomplete</v>
      </c>
    </row>
    <row r="622" spans="1:17" hidden="1">
      <c r="A622" s="12">
        <v>46052</v>
      </c>
      <c r="B622" s="10">
        <v>12</v>
      </c>
      <c r="Q622" s="10" t="str">
        <f t="shared" si="9"/>
        <v>Incomplete</v>
      </c>
    </row>
    <row r="623" spans="1:17" hidden="1">
      <c r="A623" s="12">
        <v>46052</v>
      </c>
      <c r="B623" s="10">
        <v>13</v>
      </c>
      <c r="Q623" s="10" t="str">
        <f t="shared" si="9"/>
        <v>Incomplete</v>
      </c>
    </row>
    <row r="624" spans="1:17" hidden="1">
      <c r="A624" s="12">
        <v>46052</v>
      </c>
      <c r="B624" s="10">
        <v>14</v>
      </c>
      <c r="Q624" s="10" t="str">
        <f t="shared" si="9"/>
        <v>Incomplete</v>
      </c>
    </row>
    <row r="625" spans="1:17" hidden="1">
      <c r="A625" s="12">
        <v>46052</v>
      </c>
      <c r="B625" s="10">
        <v>15</v>
      </c>
      <c r="Q625" s="10" t="str">
        <f t="shared" si="9"/>
        <v>Incomplete</v>
      </c>
    </row>
    <row r="626" spans="1:17" hidden="1">
      <c r="A626" s="12">
        <v>46052</v>
      </c>
      <c r="B626" s="10">
        <v>16</v>
      </c>
      <c r="Q626" s="10" t="str">
        <f t="shared" si="9"/>
        <v>Incomplete</v>
      </c>
    </row>
    <row r="627" spans="1:17" hidden="1">
      <c r="A627" s="12">
        <v>46052</v>
      </c>
      <c r="B627" s="10">
        <v>17</v>
      </c>
      <c r="Q627" s="10" t="str">
        <f t="shared" si="9"/>
        <v>Incomplete</v>
      </c>
    </row>
    <row r="628" spans="1:17" hidden="1">
      <c r="A628" s="12">
        <v>46052</v>
      </c>
      <c r="B628" s="10">
        <v>18</v>
      </c>
      <c r="Q628" s="10" t="str">
        <f t="shared" si="9"/>
        <v>Incomplete</v>
      </c>
    </row>
    <row r="629" spans="1:17" hidden="1">
      <c r="A629" s="12">
        <v>46052</v>
      </c>
      <c r="B629" s="10">
        <v>19</v>
      </c>
      <c r="Q629" s="10" t="str">
        <f t="shared" si="9"/>
        <v>Incomplete</v>
      </c>
    </row>
    <row r="630" spans="1:17" hidden="1">
      <c r="A630" s="12">
        <v>46052</v>
      </c>
      <c r="B630" s="10">
        <v>20</v>
      </c>
      <c r="Q630" s="10" t="str">
        <f t="shared" si="9"/>
        <v>Incomplete</v>
      </c>
    </row>
    <row r="631" spans="1:17" hidden="1">
      <c r="A631" s="12">
        <v>46052</v>
      </c>
      <c r="B631" s="10">
        <v>21</v>
      </c>
      <c r="Q631" s="10" t="str">
        <f t="shared" si="9"/>
        <v>Incomplete</v>
      </c>
    </row>
    <row r="632" spans="1:17" hidden="1">
      <c r="A632" s="12">
        <v>46053</v>
      </c>
      <c r="B632" s="10">
        <v>1</v>
      </c>
      <c r="Q632" s="10" t="str">
        <f t="shared" si="9"/>
        <v>Incomplete</v>
      </c>
    </row>
    <row r="633" spans="1:17" hidden="1">
      <c r="A633" s="12">
        <v>46053</v>
      </c>
      <c r="B633" s="10">
        <v>2</v>
      </c>
      <c r="Q633" s="10" t="str">
        <f t="shared" si="9"/>
        <v>Incomplete</v>
      </c>
    </row>
    <row r="634" spans="1:17" hidden="1">
      <c r="A634" s="12">
        <v>46053</v>
      </c>
      <c r="B634" s="10">
        <v>3</v>
      </c>
      <c r="Q634" s="10" t="str">
        <f t="shared" si="9"/>
        <v>Incomplete</v>
      </c>
    </row>
    <row r="635" spans="1:17" hidden="1">
      <c r="A635" s="12">
        <v>46053</v>
      </c>
      <c r="B635" s="10">
        <v>4</v>
      </c>
      <c r="Q635" s="10" t="str">
        <f t="shared" si="9"/>
        <v>Incomplete</v>
      </c>
    </row>
    <row r="636" spans="1:17" hidden="1">
      <c r="A636" s="12">
        <v>46053</v>
      </c>
      <c r="B636" s="10">
        <v>5</v>
      </c>
      <c r="Q636" s="10" t="str">
        <f t="shared" si="9"/>
        <v>Incomplete</v>
      </c>
    </row>
    <row r="637" spans="1:17" hidden="1">
      <c r="A637" s="12">
        <v>46053</v>
      </c>
      <c r="B637" s="10">
        <v>6</v>
      </c>
      <c r="Q637" s="10" t="str">
        <f t="shared" si="9"/>
        <v>Incomplete</v>
      </c>
    </row>
    <row r="638" spans="1:17" hidden="1">
      <c r="A638" s="12">
        <v>46053</v>
      </c>
      <c r="B638" s="10">
        <v>7</v>
      </c>
      <c r="Q638" s="10" t="str">
        <f t="shared" si="9"/>
        <v>Incomplete</v>
      </c>
    </row>
    <row r="639" spans="1:17" hidden="1">
      <c r="A639" s="12">
        <v>46053</v>
      </c>
      <c r="B639" s="10">
        <v>8</v>
      </c>
      <c r="Q639" s="10" t="str">
        <f t="shared" si="9"/>
        <v>Incomplete</v>
      </c>
    </row>
    <row r="640" spans="1:17" hidden="1">
      <c r="A640" s="12">
        <v>46053</v>
      </c>
      <c r="B640" s="10">
        <v>9</v>
      </c>
      <c r="Q640" s="10" t="str">
        <f t="shared" si="9"/>
        <v>Incomplete</v>
      </c>
    </row>
    <row r="641" spans="1:17" hidden="1">
      <c r="A641" s="12">
        <v>46053</v>
      </c>
      <c r="B641" s="10">
        <v>10</v>
      </c>
      <c r="Q641" s="10" t="str">
        <f t="shared" si="9"/>
        <v>Incomplete</v>
      </c>
    </row>
    <row r="642" spans="1:17" hidden="1">
      <c r="A642" s="12">
        <v>46053</v>
      </c>
      <c r="B642" s="10">
        <v>11</v>
      </c>
      <c r="Q642" s="10" t="str">
        <f t="shared" ref="Q642:Q705" si="10">IF(AND(C642&lt;&gt;"",J642&lt;&gt;"",K642&lt;&gt;"",L642&lt;&gt;"",O642="Yes"),"Complete","Incomplete")</f>
        <v>Incomplete</v>
      </c>
    </row>
    <row r="643" spans="1:17" hidden="1">
      <c r="A643" s="12">
        <v>46053</v>
      </c>
      <c r="B643" s="10">
        <v>12</v>
      </c>
      <c r="Q643" s="10" t="str">
        <f t="shared" si="10"/>
        <v>Incomplete</v>
      </c>
    </row>
    <row r="644" spans="1:17" hidden="1">
      <c r="A644" s="12">
        <v>46053</v>
      </c>
      <c r="B644" s="10">
        <v>13</v>
      </c>
      <c r="Q644" s="10" t="str">
        <f t="shared" si="10"/>
        <v>Incomplete</v>
      </c>
    </row>
    <row r="645" spans="1:17" hidden="1">
      <c r="A645" s="12">
        <v>46053</v>
      </c>
      <c r="B645" s="10">
        <v>14</v>
      </c>
      <c r="Q645" s="10" t="str">
        <f t="shared" si="10"/>
        <v>Incomplete</v>
      </c>
    </row>
    <row r="646" spans="1:17" hidden="1">
      <c r="A646" s="12">
        <v>46053</v>
      </c>
      <c r="B646" s="10">
        <v>15</v>
      </c>
      <c r="Q646" s="10" t="str">
        <f t="shared" si="10"/>
        <v>Incomplete</v>
      </c>
    </row>
    <row r="647" spans="1:17" hidden="1">
      <c r="A647" s="12">
        <v>46053</v>
      </c>
      <c r="B647" s="10">
        <v>16</v>
      </c>
      <c r="Q647" s="10" t="str">
        <f t="shared" si="10"/>
        <v>Incomplete</v>
      </c>
    </row>
    <row r="648" spans="1:17" hidden="1">
      <c r="A648" s="12">
        <v>46053</v>
      </c>
      <c r="B648" s="10">
        <v>17</v>
      </c>
      <c r="Q648" s="10" t="str">
        <f t="shared" si="10"/>
        <v>Incomplete</v>
      </c>
    </row>
    <row r="649" spans="1:17" hidden="1">
      <c r="A649" s="12">
        <v>46053</v>
      </c>
      <c r="B649" s="10">
        <v>18</v>
      </c>
      <c r="Q649" s="10" t="str">
        <f t="shared" si="10"/>
        <v>Incomplete</v>
      </c>
    </row>
    <row r="650" spans="1:17" hidden="1">
      <c r="A650" s="12">
        <v>46053</v>
      </c>
      <c r="B650" s="10">
        <v>19</v>
      </c>
      <c r="Q650" s="10" t="str">
        <f t="shared" si="10"/>
        <v>Incomplete</v>
      </c>
    </row>
    <row r="651" spans="1:17" hidden="1">
      <c r="A651" s="12">
        <v>46053</v>
      </c>
      <c r="B651" s="10">
        <v>20</v>
      </c>
      <c r="Q651" s="10" t="str">
        <f t="shared" si="10"/>
        <v>Incomplete</v>
      </c>
    </row>
    <row r="652" spans="1:17" hidden="1">
      <c r="A652" s="12">
        <v>46053</v>
      </c>
      <c r="B652" s="10">
        <v>21</v>
      </c>
      <c r="Q652" s="10" t="str">
        <f t="shared" si="10"/>
        <v>Incomplete</v>
      </c>
    </row>
    <row r="653" spans="1:17" hidden="1">
      <c r="A653" s="12">
        <v>46054</v>
      </c>
      <c r="B653" s="10">
        <v>1</v>
      </c>
      <c r="Q653" s="10" t="str">
        <f t="shared" si="10"/>
        <v>Incomplete</v>
      </c>
    </row>
    <row r="654" spans="1:17" hidden="1">
      <c r="A654" s="12">
        <v>46054</v>
      </c>
      <c r="B654" s="10">
        <v>2</v>
      </c>
      <c r="Q654" s="10" t="str">
        <f t="shared" si="10"/>
        <v>Incomplete</v>
      </c>
    </row>
    <row r="655" spans="1:17" hidden="1">
      <c r="A655" s="12">
        <v>46054</v>
      </c>
      <c r="B655" s="10">
        <v>3</v>
      </c>
      <c r="Q655" s="10" t="str">
        <f t="shared" si="10"/>
        <v>Incomplete</v>
      </c>
    </row>
    <row r="656" spans="1:17" hidden="1">
      <c r="A656" s="12">
        <v>46054</v>
      </c>
      <c r="B656" s="10">
        <v>4</v>
      </c>
      <c r="Q656" s="10" t="str">
        <f t="shared" si="10"/>
        <v>Incomplete</v>
      </c>
    </row>
    <row r="657" spans="1:17" hidden="1">
      <c r="A657" s="12">
        <v>46054</v>
      </c>
      <c r="B657" s="10">
        <v>5</v>
      </c>
      <c r="Q657" s="10" t="str">
        <f t="shared" si="10"/>
        <v>Incomplete</v>
      </c>
    </row>
    <row r="658" spans="1:17" hidden="1">
      <c r="A658" s="12">
        <v>46054</v>
      </c>
      <c r="B658" s="10">
        <v>6</v>
      </c>
      <c r="Q658" s="10" t="str">
        <f t="shared" si="10"/>
        <v>Incomplete</v>
      </c>
    </row>
    <row r="659" spans="1:17" hidden="1">
      <c r="A659" s="12">
        <v>46054</v>
      </c>
      <c r="B659" s="10">
        <v>7</v>
      </c>
      <c r="Q659" s="10" t="str">
        <f t="shared" si="10"/>
        <v>Incomplete</v>
      </c>
    </row>
    <row r="660" spans="1:17" hidden="1">
      <c r="A660" s="12">
        <v>46054</v>
      </c>
      <c r="B660" s="10">
        <v>8</v>
      </c>
      <c r="Q660" s="10" t="str">
        <f t="shared" si="10"/>
        <v>Incomplete</v>
      </c>
    </row>
    <row r="661" spans="1:17" hidden="1">
      <c r="A661" s="12">
        <v>46054</v>
      </c>
      <c r="B661" s="10">
        <v>9</v>
      </c>
      <c r="Q661" s="10" t="str">
        <f t="shared" si="10"/>
        <v>Incomplete</v>
      </c>
    </row>
    <row r="662" spans="1:17" hidden="1">
      <c r="A662" s="12">
        <v>46054</v>
      </c>
      <c r="B662" s="10">
        <v>10</v>
      </c>
      <c r="Q662" s="10" t="str">
        <f t="shared" si="10"/>
        <v>Incomplete</v>
      </c>
    </row>
    <row r="663" spans="1:17" hidden="1">
      <c r="A663" s="12">
        <v>46054</v>
      </c>
      <c r="B663" s="10">
        <v>11</v>
      </c>
      <c r="Q663" s="10" t="str">
        <f t="shared" si="10"/>
        <v>Incomplete</v>
      </c>
    </row>
    <row r="664" spans="1:17" hidden="1">
      <c r="A664" s="12">
        <v>46054</v>
      </c>
      <c r="B664" s="10">
        <v>12</v>
      </c>
      <c r="Q664" s="10" t="str">
        <f t="shared" si="10"/>
        <v>Incomplete</v>
      </c>
    </row>
    <row r="665" spans="1:17" hidden="1">
      <c r="A665" s="12">
        <v>46054</v>
      </c>
      <c r="B665" s="10">
        <v>13</v>
      </c>
      <c r="Q665" s="10" t="str">
        <f t="shared" si="10"/>
        <v>Incomplete</v>
      </c>
    </row>
    <row r="666" spans="1:17" hidden="1">
      <c r="A666" s="12">
        <v>46054</v>
      </c>
      <c r="B666" s="10">
        <v>14</v>
      </c>
      <c r="Q666" s="10" t="str">
        <f t="shared" si="10"/>
        <v>Incomplete</v>
      </c>
    </row>
    <row r="667" spans="1:17" hidden="1">
      <c r="A667" s="12">
        <v>46054</v>
      </c>
      <c r="B667" s="10">
        <v>15</v>
      </c>
      <c r="Q667" s="10" t="str">
        <f t="shared" si="10"/>
        <v>Incomplete</v>
      </c>
    </row>
    <row r="668" spans="1:17" hidden="1">
      <c r="A668" s="12">
        <v>46054</v>
      </c>
      <c r="B668" s="10">
        <v>16</v>
      </c>
      <c r="Q668" s="10" t="str">
        <f t="shared" si="10"/>
        <v>Incomplete</v>
      </c>
    </row>
    <row r="669" spans="1:17" hidden="1">
      <c r="A669" s="12">
        <v>46054</v>
      </c>
      <c r="B669" s="10">
        <v>17</v>
      </c>
      <c r="Q669" s="10" t="str">
        <f t="shared" si="10"/>
        <v>Incomplete</v>
      </c>
    </row>
    <row r="670" spans="1:17" hidden="1">
      <c r="A670" s="12">
        <v>46054</v>
      </c>
      <c r="B670" s="10">
        <v>18</v>
      </c>
      <c r="Q670" s="10" t="str">
        <f t="shared" si="10"/>
        <v>Incomplete</v>
      </c>
    </row>
    <row r="671" spans="1:17" hidden="1">
      <c r="A671" s="12">
        <v>46054</v>
      </c>
      <c r="B671" s="10">
        <v>19</v>
      </c>
      <c r="Q671" s="10" t="str">
        <f t="shared" si="10"/>
        <v>Incomplete</v>
      </c>
    </row>
    <row r="672" spans="1:17" hidden="1">
      <c r="A672" s="12">
        <v>46054</v>
      </c>
      <c r="B672" s="10">
        <v>20</v>
      </c>
      <c r="Q672" s="10" t="str">
        <f t="shared" si="10"/>
        <v>Incomplete</v>
      </c>
    </row>
    <row r="673" spans="1:17" hidden="1">
      <c r="A673" s="12">
        <v>46054</v>
      </c>
      <c r="B673" s="10">
        <v>21</v>
      </c>
      <c r="Q673" s="10" t="str">
        <f t="shared" si="10"/>
        <v>Incomplete</v>
      </c>
    </row>
    <row r="674" spans="1:17" hidden="1">
      <c r="A674" s="12">
        <v>46055</v>
      </c>
      <c r="B674" s="10">
        <v>1</v>
      </c>
      <c r="Q674" s="10" t="str">
        <f t="shared" si="10"/>
        <v>Incomplete</v>
      </c>
    </row>
    <row r="675" spans="1:17" hidden="1">
      <c r="A675" s="12">
        <v>46055</v>
      </c>
      <c r="B675" s="10">
        <v>2</v>
      </c>
      <c r="Q675" s="10" t="str">
        <f t="shared" si="10"/>
        <v>Incomplete</v>
      </c>
    </row>
    <row r="676" spans="1:17" hidden="1">
      <c r="A676" s="12">
        <v>46055</v>
      </c>
      <c r="B676" s="10">
        <v>3</v>
      </c>
      <c r="Q676" s="10" t="str">
        <f t="shared" si="10"/>
        <v>Incomplete</v>
      </c>
    </row>
    <row r="677" spans="1:17" hidden="1">
      <c r="A677" s="12">
        <v>46055</v>
      </c>
      <c r="B677" s="10">
        <v>4</v>
      </c>
      <c r="Q677" s="10" t="str">
        <f t="shared" si="10"/>
        <v>Incomplete</v>
      </c>
    </row>
    <row r="678" spans="1:17" hidden="1">
      <c r="A678" s="12">
        <v>46055</v>
      </c>
      <c r="B678" s="10">
        <v>5</v>
      </c>
      <c r="Q678" s="10" t="str">
        <f t="shared" si="10"/>
        <v>Incomplete</v>
      </c>
    </row>
    <row r="679" spans="1:17" hidden="1">
      <c r="A679" s="12">
        <v>46055</v>
      </c>
      <c r="B679" s="10">
        <v>6</v>
      </c>
      <c r="Q679" s="10" t="str">
        <f t="shared" si="10"/>
        <v>Incomplete</v>
      </c>
    </row>
    <row r="680" spans="1:17" hidden="1">
      <c r="A680" s="12">
        <v>46055</v>
      </c>
      <c r="B680" s="10">
        <v>7</v>
      </c>
      <c r="Q680" s="10" t="str">
        <f t="shared" si="10"/>
        <v>Incomplete</v>
      </c>
    </row>
    <row r="681" spans="1:17" hidden="1">
      <c r="A681" s="12">
        <v>46055</v>
      </c>
      <c r="B681" s="10">
        <v>8</v>
      </c>
      <c r="Q681" s="10" t="str">
        <f t="shared" si="10"/>
        <v>Incomplete</v>
      </c>
    </row>
    <row r="682" spans="1:17" hidden="1">
      <c r="A682" s="12">
        <v>46055</v>
      </c>
      <c r="B682" s="10">
        <v>9</v>
      </c>
      <c r="Q682" s="10" t="str">
        <f t="shared" si="10"/>
        <v>Incomplete</v>
      </c>
    </row>
    <row r="683" spans="1:17" hidden="1">
      <c r="A683" s="12">
        <v>46055</v>
      </c>
      <c r="B683" s="10">
        <v>10</v>
      </c>
      <c r="Q683" s="10" t="str">
        <f t="shared" si="10"/>
        <v>Incomplete</v>
      </c>
    </row>
    <row r="684" spans="1:17" hidden="1">
      <c r="A684" s="12">
        <v>46055</v>
      </c>
      <c r="B684" s="10">
        <v>11</v>
      </c>
      <c r="Q684" s="10" t="str">
        <f t="shared" si="10"/>
        <v>Incomplete</v>
      </c>
    </row>
    <row r="685" spans="1:17" hidden="1">
      <c r="A685" s="12">
        <v>46055</v>
      </c>
      <c r="B685" s="10">
        <v>12</v>
      </c>
      <c r="Q685" s="10" t="str">
        <f t="shared" si="10"/>
        <v>Incomplete</v>
      </c>
    </row>
    <row r="686" spans="1:17" hidden="1">
      <c r="A686" s="12">
        <v>46055</v>
      </c>
      <c r="B686" s="10">
        <v>13</v>
      </c>
      <c r="Q686" s="10" t="str">
        <f t="shared" si="10"/>
        <v>Incomplete</v>
      </c>
    </row>
    <row r="687" spans="1:17" hidden="1">
      <c r="A687" s="12">
        <v>46055</v>
      </c>
      <c r="B687" s="10">
        <v>14</v>
      </c>
      <c r="Q687" s="10" t="str">
        <f t="shared" si="10"/>
        <v>Incomplete</v>
      </c>
    </row>
    <row r="688" spans="1:17" hidden="1">
      <c r="A688" s="12">
        <v>46055</v>
      </c>
      <c r="B688" s="10">
        <v>15</v>
      </c>
      <c r="Q688" s="10" t="str">
        <f t="shared" si="10"/>
        <v>Incomplete</v>
      </c>
    </row>
    <row r="689" spans="1:17" hidden="1">
      <c r="A689" s="12">
        <v>46055</v>
      </c>
      <c r="B689" s="10">
        <v>16</v>
      </c>
      <c r="Q689" s="10" t="str">
        <f t="shared" si="10"/>
        <v>Incomplete</v>
      </c>
    </row>
    <row r="690" spans="1:17" hidden="1">
      <c r="A690" s="12">
        <v>46055</v>
      </c>
      <c r="B690" s="10">
        <v>17</v>
      </c>
      <c r="Q690" s="10" t="str">
        <f t="shared" si="10"/>
        <v>Incomplete</v>
      </c>
    </row>
    <row r="691" spans="1:17" hidden="1">
      <c r="A691" s="12">
        <v>46055</v>
      </c>
      <c r="B691" s="10">
        <v>18</v>
      </c>
      <c r="Q691" s="10" t="str">
        <f t="shared" si="10"/>
        <v>Incomplete</v>
      </c>
    </row>
    <row r="692" spans="1:17" hidden="1">
      <c r="A692" s="12">
        <v>46055</v>
      </c>
      <c r="B692" s="10">
        <v>19</v>
      </c>
      <c r="Q692" s="10" t="str">
        <f t="shared" si="10"/>
        <v>Incomplete</v>
      </c>
    </row>
    <row r="693" spans="1:17" hidden="1">
      <c r="A693" s="12">
        <v>46055</v>
      </c>
      <c r="B693" s="10">
        <v>20</v>
      </c>
      <c r="Q693" s="10" t="str">
        <f t="shared" si="10"/>
        <v>Incomplete</v>
      </c>
    </row>
    <row r="694" spans="1:17" hidden="1">
      <c r="A694" s="12">
        <v>46055</v>
      </c>
      <c r="B694" s="10">
        <v>21</v>
      </c>
      <c r="Q694" s="10" t="str">
        <f t="shared" si="10"/>
        <v>Incomplete</v>
      </c>
    </row>
    <row r="695" spans="1:17" hidden="1">
      <c r="A695" s="12">
        <v>46056</v>
      </c>
      <c r="B695" s="10">
        <v>1</v>
      </c>
      <c r="Q695" s="10" t="str">
        <f t="shared" si="10"/>
        <v>Incomplete</v>
      </c>
    </row>
    <row r="696" spans="1:17" hidden="1">
      <c r="A696" s="12">
        <v>46056</v>
      </c>
      <c r="B696" s="10">
        <v>2</v>
      </c>
      <c r="Q696" s="10" t="str">
        <f t="shared" si="10"/>
        <v>Incomplete</v>
      </c>
    </row>
    <row r="697" spans="1:17" hidden="1">
      <c r="A697" s="12">
        <v>46056</v>
      </c>
      <c r="B697" s="10">
        <v>3</v>
      </c>
      <c r="Q697" s="10" t="str">
        <f t="shared" si="10"/>
        <v>Incomplete</v>
      </c>
    </row>
    <row r="698" spans="1:17" hidden="1">
      <c r="A698" s="12">
        <v>46056</v>
      </c>
      <c r="B698" s="10">
        <v>4</v>
      </c>
      <c r="Q698" s="10" t="str">
        <f t="shared" si="10"/>
        <v>Incomplete</v>
      </c>
    </row>
    <row r="699" spans="1:17" hidden="1">
      <c r="A699" s="12">
        <v>46056</v>
      </c>
      <c r="B699" s="10">
        <v>5</v>
      </c>
      <c r="Q699" s="10" t="str">
        <f t="shared" si="10"/>
        <v>Incomplete</v>
      </c>
    </row>
    <row r="700" spans="1:17" hidden="1">
      <c r="A700" s="12">
        <v>46056</v>
      </c>
      <c r="B700" s="10">
        <v>6</v>
      </c>
      <c r="Q700" s="10" t="str">
        <f t="shared" si="10"/>
        <v>Incomplete</v>
      </c>
    </row>
    <row r="701" spans="1:17" hidden="1">
      <c r="A701" s="12">
        <v>46056</v>
      </c>
      <c r="B701" s="10">
        <v>7</v>
      </c>
      <c r="Q701" s="10" t="str">
        <f t="shared" si="10"/>
        <v>Incomplete</v>
      </c>
    </row>
    <row r="702" spans="1:17" hidden="1">
      <c r="A702" s="12">
        <v>46056</v>
      </c>
      <c r="B702" s="10">
        <v>8</v>
      </c>
      <c r="Q702" s="10" t="str">
        <f t="shared" si="10"/>
        <v>Incomplete</v>
      </c>
    </row>
    <row r="703" spans="1:17" hidden="1">
      <c r="A703" s="12">
        <v>46056</v>
      </c>
      <c r="B703" s="10">
        <v>9</v>
      </c>
      <c r="Q703" s="10" t="str">
        <f t="shared" si="10"/>
        <v>Incomplete</v>
      </c>
    </row>
    <row r="704" spans="1:17" hidden="1">
      <c r="A704" s="12">
        <v>46056</v>
      </c>
      <c r="B704" s="10">
        <v>10</v>
      </c>
      <c r="Q704" s="10" t="str">
        <f t="shared" si="10"/>
        <v>Incomplete</v>
      </c>
    </row>
    <row r="705" spans="1:17" hidden="1">
      <c r="A705" s="12">
        <v>46056</v>
      </c>
      <c r="B705" s="10">
        <v>11</v>
      </c>
      <c r="Q705" s="10" t="str">
        <f t="shared" si="10"/>
        <v>Incomplete</v>
      </c>
    </row>
    <row r="706" spans="1:17" hidden="1">
      <c r="A706" s="12">
        <v>46056</v>
      </c>
      <c r="B706" s="10">
        <v>12</v>
      </c>
      <c r="Q706" s="10" t="str">
        <f t="shared" ref="Q706:Q769" si="11">IF(AND(C706&lt;&gt;"",J706&lt;&gt;"",K706&lt;&gt;"",L706&lt;&gt;"",O706="Yes"),"Complete","Incomplete")</f>
        <v>Incomplete</v>
      </c>
    </row>
    <row r="707" spans="1:17" hidden="1">
      <c r="A707" s="12">
        <v>46056</v>
      </c>
      <c r="B707" s="10">
        <v>13</v>
      </c>
      <c r="Q707" s="10" t="str">
        <f t="shared" si="11"/>
        <v>Incomplete</v>
      </c>
    </row>
    <row r="708" spans="1:17" hidden="1">
      <c r="A708" s="12">
        <v>46056</v>
      </c>
      <c r="B708" s="10">
        <v>14</v>
      </c>
      <c r="Q708" s="10" t="str">
        <f t="shared" si="11"/>
        <v>Incomplete</v>
      </c>
    </row>
    <row r="709" spans="1:17" hidden="1">
      <c r="A709" s="12">
        <v>46056</v>
      </c>
      <c r="B709" s="10">
        <v>15</v>
      </c>
      <c r="Q709" s="10" t="str">
        <f t="shared" si="11"/>
        <v>Incomplete</v>
      </c>
    </row>
    <row r="710" spans="1:17" hidden="1">
      <c r="A710" s="12">
        <v>46056</v>
      </c>
      <c r="B710" s="10">
        <v>16</v>
      </c>
      <c r="Q710" s="10" t="str">
        <f t="shared" si="11"/>
        <v>Incomplete</v>
      </c>
    </row>
    <row r="711" spans="1:17" hidden="1">
      <c r="A711" s="12">
        <v>46056</v>
      </c>
      <c r="B711" s="10">
        <v>17</v>
      </c>
      <c r="Q711" s="10" t="str">
        <f t="shared" si="11"/>
        <v>Incomplete</v>
      </c>
    </row>
    <row r="712" spans="1:17" hidden="1">
      <c r="A712" s="12">
        <v>46056</v>
      </c>
      <c r="B712" s="10">
        <v>18</v>
      </c>
      <c r="Q712" s="10" t="str">
        <f t="shared" si="11"/>
        <v>Incomplete</v>
      </c>
    </row>
    <row r="713" spans="1:17" hidden="1">
      <c r="A713" s="12">
        <v>46056</v>
      </c>
      <c r="B713" s="10">
        <v>19</v>
      </c>
      <c r="Q713" s="10" t="str">
        <f t="shared" si="11"/>
        <v>Incomplete</v>
      </c>
    </row>
    <row r="714" spans="1:17" hidden="1">
      <c r="A714" s="12">
        <v>46056</v>
      </c>
      <c r="B714" s="10">
        <v>20</v>
      </c>
      <c r="Q714" s="10" t="str">
        <f t="shared" si="11"/>
        <v>Incomplete</v>
      </c>
    </row>
    <row r="715" spans="1:17" hidden="1">
      <c r="A715" s="12">
        <v>46056</v>
      </c>
      <c r="B715" s="10">
        <v>21</v>
      </c>
      <c r="Q715" s="10" t="str">
        <f t="shared" si="11"/>
        <v>Incomplete</v>
      </c>
    </row>
    <row r="716" spans="1:17" hidden="1">
      <c r="A716" s="12">
        <v>46057</v>
      </c>
      <c r="B716" s="10">
        <v>1</v>
      </c>
      <c r="Q716" s="10" t="str">
        <f t="shared" si="11"/>
        <v>Incomplete</v>
      </c>
    </row>
    <row r="717" spans="1:17" hidden="1">
      <c r="A717" s="12">
        <v>46057</v>
      </c>
      <c r="B717" s="10">
        <v>2</v>
      </c>
      <c r="Q717" s="10" t="str">
        <f t="shared" si="11"/>
        <v>Incomplete</v>
      </c>
    </row>
    <row r="718" spans="1:17" hidden="1">
      <c r="A718" s="12">
        <v>46057</v>
      </c>
      <c r="B718" s="10">
        <v>3</v>
      </c>
      <c r="Q718" s="10" t="str">
        <f t="shared" si="11"/>
        <v>Incomplete</v>
      </c>
    </row>
    <row r="719" spans="1:17" hidden="1">
      <c r="A719" s="12">
        <v>46057</v>
      </c>
      <c r="B719" s="10">
        <v>4</v>
      </c>
      <c r="Q719" s="10" t="str">
        <f t="shared" si="11"/>
        <v>Incomplete</v>
      </c>
    </row>
    <row r="720" spans="1:17" hidden="1">
      <c r="A720" s="12">
        <v>46057</v>
      </c>
      <c r="B720" s="10">
        <v>5</v>
      </c>
      <c r="Q720" s="10" t="str">
        <f t="shared" si="11"/>
        <v>Incomplete</v>
      </c>
    </row>
    <row r="721" spans="1:17" hidden="1">
      <c r="A721" s="12">
        <v>46057</v>
      </c>
      <c r="B721" s="10">
        <v>6</v>
      </c>
      <c r="Q721" s="10" t="str">
        <f t="shared" si="11"/>
        <v>Incomplete</v>
      </c>
    </row>
    <row r="722" spans="1:17" hidden="1">
      <c r="A722" s="12">
        <v>46057</v>
      </c>
      <c r="B722" s="10">
        <v>7</v>
      </c>
      <c r="Q722" s="10" t="str">
        <f t="shared" si="11"/>
        <v>Incomplete</v>
      </c>
    </row>
    <row r="723" spans="1:17" hidden="1">
      <c r="A723" s="12">
        <v>46057</v>
      </c>
      <c r="B723" s="10">
        <v>8</v>
      </c>
      <c r="Q723" s="10" t="str">
        <f t="shared" si="11"/>
        <v>Incomplete</v>
      </c>
    </row>
    <row r="724" spans="1:17" hidden="1">
      <c r="A724" s="12">
        <v>46057</v>
      </c>
      <c r="B724" s="10">
        <v>9</v>
      </c>
      <c r="Q724" s="10" t="str">
        <f t="shared" si="11"/>
        <v>Incomplete</v>
      </c>
    </row>
    <row r="725" spans="1:17" hidden="1">
      <c r="A725" s="12">
        <v>46057</v>
      </c>
      <c r="B725" s="10">
        <v>10</v>
      </c>
      <c r="Q725" s="10" t="str">
        <f t="shared" si="11"/>
        <v>Incomplete</v>
      </c>
    </row>
    <row r="726" spans="1:17" hidden="1">
      <c r="A726" s="12">
        <v>46057</v>
      </c>
      <c r="B726" s="10">
        <v>11</v>
      </c>
      <c r="Q726" s="10" t="str">
        <f t="shared" si="11"/>
        <v>Incomplete</v>
      </c>
    </row>
    <row r="727" spans="1:17" hidden="1">
      <c r="A727" s="12">
        <v>46057</v>
      </c>
      <c r="B727" s="10">
        <v>12</v>
      </c>
      <c r="Q727" s="10" t="str">
        <f t="shared" si="11"/>
        <v>Incomplete</v>
      </c>
    </row>
    <row r="728" spans="1:17" hidden="1">
      <c r="A728" s="12">
        <v>46057</v>
      </c>
      <c r="B728" s="10">
        <v>13</v>
      </c>
      <c r="Q728" s="10" t="str">
        <f t="shared" si="11"/>
        <v>Incomplete</v>
      </c>
    </row>
    <row r="729" spans="1:17" hidden="1">
      <c r="A729" s="12">
        <v>46057</v>
      </c>
      <c r="B729" s="10">
        <v>14</v>
      </c>
      <c r="Q729" s="10" t="str">
        <f t="shared" si="11"/>
        <v>Incomplete</v>
      </c>
    </row>
    <row r="730" spans="1:17" hidden="1">
      <c r="A730" s="12">
        <v>46057</v>
      </c>
      <c r="B730" s="10">
        <v>15</v>
      </c>
      <c r="Q730" s="10" t="str">
        <f t="shared" si="11"/>
        <v>Incomplete</v>
      </c>
    </row>
    <row r="731" spans="1:17" hidden="1">
      <c r="A731" s="12">
        <v>46057</v>
      </c>
      <c r="B731" s="10">
        <v>16</v>
      </c>
      <c r="Q731" s="10" t="str">
        <f t="shared" si="11"/>
        <v>Incomplete</v>
      </c>
    </row>
    <row r="732" spans="1:17" hidden="1">
      <c r="A732" s="12">
        <v>46057</v>
      </c>
      <c r="B732" s="10">
        <v>17</v>
      </c>
      <c r="Q732" s="10" t="str">
        <f t="shared" si="11"/>
        <v>Incomplete</v>
      </c>
    </row>
    <row r="733" spans="1:17" hidden="1">
      <c r="A733" s="12">
        <v>46057</v>
      </c>
      <c r="B733" s="10">
        <v>18</v>
      </c>
      <c r="Q733" s="10" t="str">
        <f t="shared" si="11"/>
        <v>Incomplete</v>
      </c>
    </row>
    <row r="734" spans="1:17" hidden="1">
      <c r="A734" s="12">
        <v>46057</v>
      </c>
      <c r="B734" s="10">
        <v>19</v>
      </c>
      <c r="Q734" s="10" t="str">
        <f t="shared" si="11"/>
        <v>Incomplete</v>
      </c>
    </row>
    <row r="735" spans="1:17" hidden="1">
      <c r="A735" s="12">
        <v>46057</v>
      </c>
      <c r="B735" s="10">
        <v>20</v>
      </c>
      <c r="Q735" s="10" t="str">
        <f t="shared" si="11"/>
        <v>Incomplete</v>
      </c>
    </row>
    <row r="736" spans="1:17" hidden="1">
      <c r="A736" s="12">
        <v>46057</v>
      </c>
      <c r="B736" s="10">
        <v>21</v>
      </c>
      <c r="Q736" s="10" t="str">
        <f t="shared" si="11"/>
        <v>Incomplete</v>
      </c>
    </row>
    <row r="737" spans="1:17" hidden="1">
      <c r="A737" s="12">
        <v>46058</v>
      </c>
      <c r="B737" s="10">
        <v>1</v>
      </c>
      <c r="Q737" s="10" t="str">
        <f t="shared" si="11"/>
        <v>Incomplete</v>
      </c>
    </row>
    <row r="738" spans="1:17" hidden="1">
      <c r="A738" s="12">
        <v>46058</v>
      </c>
      <c r="B738" s="10">
        <v>2</v>
      </c>
      <c r="Q738" s="10" t="str">
        <f t="shared" si="11"/>
        <v>Incomplete</v>
      </c>
    </row>
    <row r="739" spans="1:17" hidden="1">
      <c r="A739" s="12">
        <v>46058</v>
      </c>
      <c r="B739" s="10">
        <v>3</v>
      </c>
      <c r="Q739" s="10" t="str">
        <f t="shared" si="11"/>
        <v>Incomplete</v>
      </c>
    </row>
    <row r="740" spans="1:17" hidden="1">
      <c r="A740" s="12">
        <v>46058</v>
      </c>
      <c r="B740" s="10">
        <v>4</v>
      </c>
      <c r="Q740" s="10" t="str">
        <f t="shared" si="11"/>
        <v>Incomplete</v>
      </c>
    </row>
    <row r="741" spans="1:17" hidden="1">
      <c r="A741" s="12">
        <v>46058</v>
      </c>
      <c r="B741" s="10">
        <v>5</v>
      </c>
      <c r="Q741" s="10" t="str">
        <f t="shared" si="11"/>
        <v>Incomplete</v>
      </c>
    </row>
    <row r="742" spans="1:17" hidden="1">
      <c r="A742" s="12">
        <v>46058</v>
      </c>
      <c r="B742" s="10">
        <v>6</v>
      </c>
      <c r="Q742" s="10" t="str">
        <f t="shared" si="11"/>
        <v>Incomplete</v>
      </c>
    </row>
    <row r="743" spans="1:17" hidden="1">
      <c r="A743" s="12">
        <v>46058</v>
      </c>
      <c r="B743" s="10">
        <v>7</v>
      </c>
      <c r="Q743" s="10" t="str">
        <f t="shared" si="11"/>
        <v>Incomplete</v>
      </c>
    </row>
    <row r="744" spans="1:17" hidden="1">
      <c r="A744" s="12">
        <v>46058</v>
      </c>
      <c r="B744" s="10">
        <v>8</v>
      </c>
      <c r="Q744" s="10" t="str">
        <f t="shared" si="11"/>
        <v>Incomplete</v>
      </c>
    </row>
    <row r="745" spans="1:17" hidden="1">
      <c r="A745" s="12">
        <v>46058</v>
      </c>
      <c r="B745" s="10">
        <v>9</v>
      </c>
      <c r="Q745" s="10" t="str">
        <f t="shared" si="11"/>
        <v>Incomplete</v>
      </c>
    </row>
    <row r="746" spans="1:17" hidden="1">
      <c r="A746" s="12">
        <v>46058</v>
      </c>
      <c r="B746" s="10">
        <v>10</v>
      </c>
      <c r="Q746" s="10" t="str">
        <f t="shared" si="11"/>
        <v>Incomplete</v>
      </c>
    </row>
    <row r="747" spans="1:17" hidden="1">
      <c r="A747" s="12">
        <v>46058</v>
      </c>
      <c r="B747" s="10">
        <v>11</v>
      </c>
      <c r="Q747" s="10" t="str">
        <f t="shared" si="11"/>
        <v>Incomplete</v>
      </c>
    </row>
    <row r="748" spans="1:17" hidden="1">
      <c r="A748" s="12">
        <v>46058</v>
      </c>
      <c r="B748" s="10">
        <v>12</v>
      </c>
      <c r="Q748" s="10" t="str">
        <f t="shared" si="11"/>
        <v>Incomplete</v>
      </c>
    </row>
    <row r="749" spans="1:17" hidden="1">
      <c r="A749" s="12">
        <v>46058</v>
      </c>
      <c r="B749" s="10">
        <v>13</v>
      </c>
      <c r="Q749" s="10" t="str">
        <f t="shared" si="11"/>
        <v>Incomplete</v>
      </c>
    </row>
    <row r="750" spans="1:17" hidden="1">
      <c r="A750" s="12">
        <v>46058</v>
      </c>
      <c r="B750" s="10">
        <v>14</v>
      </c>
      <c r="Q750" s="10" t="str">
        <f t="shared" si="11"/>
        <v>Incomplete</v>
      </c>
    </row>
    <row r="751" spans="1:17" hidden="1">
      <c r="A751" s="12">
        <v>46058</v>
      </c>
      <c r="B751" s="10">
        <v>15</v>
      </c>
      <c r="Q751" s="10" t="str">
        <f t="shared" si="11"/>
        <v>Incomplete</v>
      </c>
    </row>
    <row r="752" spans="1:17" hidden="1">
      <c r="A752" s="12">
        <v>46058</v>
      </c>
      <c r="B752" s="10">
        <v>16</v>
      </c>
      <c r="Q752" s="10" t="str">
        <f t="shared" si="11"/>
        <v>Incomplete</v>
      </c>
    </row>
    <row r="753" spans="1:17" hidden="1">
      <c r="A753" s="12">
        <v>46058</v>
      </c>
      <c r="B753" s="10">
        <v>17</v>
      </c>
      <c r="Q753" s="10" t="str">
        <f t="shared" si="11"/>
        <v>Incomplete</v>
      </c>
    </row>
    <row r="754" spans="1:17" hidden="1">
      <c r="A754" s="12">
        <v>46058</v>
      </c>
      <c r="B754" s="10">
        <v>18</v>
      </c>
      <c r="Q754" s="10" t="str">
        <f t="shared" si="11"/>
        <v>Incomplete</v>
      </c>
    </row>
    <row r="755" spans="1:17" hidden="1">
      <c r="A755" s="12">
        <v>46058</v>
      </c>
      <c r="B755" s="10">
        <v>19</v>
      </c>
      <c r="Q755" s="10" t="str">
        <f t="shared" si="11"/>
        <v>Incomplete</v>
      </c>
    </row>
    <row r="756" spans="1:17" hidden="1">
      <c r="A756" s="12">
        <v>46058</v>
      </c>
      <c r="B756" s="10">
        <v>20</v>
      </c>
      <c r="Q756" s="10" t="str">
        <f t="shared" si="11"/>
        <v>Incomplete</v>
      </c>
    </row>
    <row r="757" spans="1:17" hidden="1">
      <c r="A757" s="12">
        <v>46058</v>
      </c>
      <c r="B757" s="10">
        <v>21</v>
      </c>
      <c r="Q757" s="10" t="str">
        <f t="shared" si="11"/>
        <v>Incomplete</v>
      </c>
    </row>
    <row r="758" spans="1:17" hidden="1">
      <c r="A758" s="12">
        <v>46059</v>
      </c>
      <c r="B758" s="10">
        <v>1</v>
      </c>
      <c r="Q758" s="10" t="str">
        <f t="shared" si="11"/>
        <v>Incomplete</v>
      </c>
    </row>
    <row r="759" spans="1:17" hidden="1">
      <c r="A759" s="12">
        <v>46059</v>
      </c>
      <c r="B759" s="10">
        <v>2</v>
      </c>
      <c r="Q759" s="10" t="str">
        <f t="shared" si="11"/>
        <v>Incomplete</v>
      </c>
    </row>
    <row r="760" spans="1:17" hidden="1">
      <c r="A760" s="12">
        <v>46059</v>
      </c>
      <c r="B760" s="10">
        <v>3</v>
      </c>
      <c r="Q760" s="10" t="str">
        <f t="shared" si="11"/>
        <v>Incomplete</v>
      </c>
    </row>
    <row r="761" spans="1:17" hidden="1">
      <c r="A761" s="12">
        <v>46059</v>
      </c>
      <c r="B761" s="10">
        <v>4</v>
      </c>
      <c r="Q761" s="10" t="str">
        <f t="shared" si="11"/>
        <v>Incomplete</v>
      </c>
    </row>
    <row r="762" spans="1:17" hidden="1">
      <c r="A762" s="12">
        <v>46059</v>
      </c>
      <c r="B762" s="10">
        <v>5</v>
      </c>
      <c r="Q762" s="10" t="str">
        <f t="shared" si="11"/>
        <v>Incomplete</v>
      </c>
    </row>
    <row r="763" spans="1:17" hidden="1">
      <c r="A763" s="12">
        <v>46059</v>
      </c>
      <c r="B763" s="10">
        <v>6</v>
      </c>
      <c r="Q763" s="10" t="str">
        <f t="shared" si="11"/>
        <v>Incomplete</v>
      </c>
    </row>
    <row r="764" spans="1:17" hidden="1">
      <c r="A764" s="12">
        <v>46059</v>
      </c>
      <c r="B764" s="10">
        <v>7</v>
      </c>
      <c r="Q764" s="10" t="str">
        <f t="shared" si="11"/>
        <v>Incomplete</v>
      </c>
    </row>
    <row r="765" spans="1:17" hidden="1">
      <c r="A765" s="12">
        <v>46059</v>
      </c>
      <c r="B765" s="10">
        <v>8</v>
      </c>
      <c r="Q765" s="10" t="str">
        <f t="shared" si="11"/>
        <v>Incomplete</v>
      </c>
    </row>
    <row r="766" spans="1:17" hidden="1">
      <c r="A766" s="12">
        <v>46059</v>
      </c>
      <c r="B766" s="10">
        <v>9</v>
      </c>
      <c r="Q766" s="10" t="str">
        <f t="shared" si="11"/>
        <v>Incomplete</v>
      </c>
    </row>
    <row r="767" spans="1:17" hidden="1">
      <c r="A767" s="12">
        <v>46059</v>
      </c>
      <c r="B767" s="10">
        <v>10</v>
      </c>
      <c r="Q767" s="10" t="str">
        <f t="shared" si="11"/>
        <v>Incomplete</v>
      </c>
    </row>
    <row r="768" spans="1:17" hidden="1">
      <c r="A768" s="12">
        <v>46059</v>
      </c>
      <c r="B768" s="10">
        <v>11</v>
      </c>
      <c r="Q768" s="10" t="str">
        <f t="shared" si="11"/>
        <v>Incomplete</v>
      </c>
    </row>
    <row r="769" spans="1:17" hidden="1">
      <c r="A769" s="12">
        <v>46059</v>
      </c>
      <c r="B769" s="10">
        <v>12</v>
      </c>
      <c r="Q769" s="10" t="str">
        <f t="shared" si="11"/>
        <v>Incomplete</v>
      </c>
    </row>
    <row r="770" spans="1:17" hidden="1">
      <c r="A770" s="12">
        <v>46059</v>
      </c>
      <c r="B770" s="10">
        <v>13</v>
      </c>
      <c r="Q770" s="10" t="str">
        <f t="shared" ref="Q770:Q833" si="12">IF(AND(C770&lt;&gt;"",J770&lt;&gt;"",K770&lt;&gt;"",L770&lt;&gt;"",O770="Yes"),"Complete","Incomplete")</f>
        <v>Incomplete</v>
      </c>
    </row>
    <row r="771" spans="1:17" hidden="1">
      <c r="A771" s="12">
        <v>46059</v>
      </c>
      <c r="B771" s="10">
        <v>14</v>
      </c>
      <c r="Q771" s="10" t="str">
        <f t="shared" si="12"/>
        <v>Incomplete</v>
      </c>
    </row>
    <row r="772" spans="1:17" hidden="1">
      <c r="A772" s="12">
        <v>46059</v>
      </c>
      <c r="B772" s="10">
        <v>15</v>
      </c>
      <c r="Q772" s="10" t="str">
        <f t="shared" si="12"/>
        <v>Incomplete</v>
      </c>
    </row>
    <row r="773" spans="1:17" hidden="1">
      <c r="A773" s="12">
        <v>46059</v>
      </c>
      <c r="B773" s="10">
        <v>16</v>
      </c>
      <c r="Q773" s="10" t="str">
        <f t="shared" si="12"/>
        <v>Incomplete</v>
      </c>
    </row>
    <row r="774" spans="1:17" hidden="1">
      <c r="A774" s="12">
        <v>46059</v>
      </c>
      <c r="B774" s="10">
        <v>17</v>
      </c>
      <c r="Q774" s="10" t="str">
        <f t="shared" si="12"/>
        <v>Incomplete</v>
      </c>
    </row>
    <row r="775" spans="1:17" hidden="1">
      <c r="A775" s="12">
        <v>46059</v>
      </c>
      <c r="B775" s="10">
        <v>18</v>
      </c>
      <c r="Q775" s="10" t="str">
        <f t="shared" si="12"/>
        <v>Incomplete</v>
      </c>
    </row>
    <row r="776" spans="1:17" hidden="1">
      <c r="A776" s="12">
        <v>46059</v>
      </c>
      <c r="B776" s="10">
        <v>19</v>
      </c>
      <c r="Q776" s="10" t="str">
        <f t="shared" si="12"/>
        <v>Incomplete</v>
      </c>
    </row>
    <row r="777" spans="1:17" hidden="1">
      <c r="A777" s="12">
        <v>46059</v>
      </c>
      <c r="B777" s="10">
        <v>20</v>
      </c>
      <c r="Q777" s="10" t="str">
        <f t="shared" si="12"/>
        <v>Incomplete</v>
      </c>
    </row>
    <row r="778" spans="1:17" hidden="1">
      <c r="A778" s="12">
        <v>46059</v>
      </c>
      <c r="B778" s="10">
        <v>21</v>
      </c>
      <c r="Q778" s="10" t="str">
        <f t="shared" si="12"/>
        <v>Incomplete</v>
      </c>
    </row>
    <row r="779" spans="1:17" hidden="1">
      <c r="A779" s="12">
        <v>46060</v>
      </c>
      <c r="B779" s="10">
        <v>1</v>
      </c>
      <c r="Q779" s="10" t="str">
        <f t="shared" si="12"/>
        <v>Incomplete</v>
      </c>
    </row>
    <row r="780" spans="1:17" hidden="1">
      <c r="A780" s="12">
        <v>46060</v>
      </c>
      <c r="B780" s="10">
        <v>2</v>
      </c>
      <c r="Q780" s="10" t="str">
        <f t="shared" si="12"/>
        <v>Incomplete</v>
      </c>
    </row>
    <row r="781" spans="1:17" hidden="1">
      <c r="A781" s="12">
        <v>46060</v>
      </c>
      <c r="B781" s="10">
        <v>3</v>
      </c>
      <c r="Q781" s="10" t="str">
        <f t="shared" si="12"/>
        <v>Incomplete</v>
      </c>
    </row>
    <row r="782" spans="1:17" hidden="1">
      <c r="A782" s="12">
        <v>46060</v>
      </c>
      <c r="B782" s="10">
        <v>4</v>
      </c>
      <c r="Q782" s="10" t="str">
        <f t="shared" si="12"/>
        <v>Incomplete</v>
      </c>
    </row>
    <row r="783" spans="1:17" hidden="1">
      <c r="A783" s="12">
        <v>46060</v>
      </c>
      <c r="B783" s="10">
        <v>5</v>
      </c>
      <c r="Q783" s="10" t="str">
        <f t="shared" si="12"/>
        <v>Incomplete</v>
      </c>
    </row>
    <row r="784" spans="1:17" hidden="1">
      <c r="A784" s="12">
        <v>46060</v>
      </c>
      <c r="B784" s="10">
        <v>6</v>
      </c>
      <c r="Q784" s="10" t="str">
        <f t="shared" si="12"/>
        <v>Incomplete</v>
      </c>
    </row>
    <row r="785" spans="1:17" hidden="1">
      <c r="A785" s="12">
        <v>46060</v>
      </c>
      <c r="B785" s="10">
        <v>7</v>
      </c>
      <c r="Q785" s="10" t="str">
        <f t="shared" si="12"/>
        <v>Incomplete</v>
      </c>
    </row>
    <row r="786" spans="1:17" hidden="1">
      <c r="A786" s="12">
        <v>46060</v>
      </c>
      <c r="B786" s="10">
        <v>8</v>
      </c>
      <c r="Q786" s="10" t="str">
        <f t="shared" si="12"/>
        <v>Incomplete</v>
      </c>
    </row>
    <row r="787" spans="1:17" hidden="1">
      <c r="A787" s="12">
        <v>46060</v>
      </c>
      <c r="B787" s="10">
        <v>9</v>
      </c>
      <c r="Q787" s="10" t="str">
        <f t="shared" si="12"/>
        <v>Incomplete</v>
      </c>
    </row>
    <row r="788" spans="1:17" hidden="1">
      <c r="A788" s="12">
        <v>46060</v>
      </c>
      <c r="B788" s="10">
        <v>10</v>
      </c>
      <c r="Q788" s="10" t="str">
        <f t="shared" si="12"/>
        <v>Incomplete</v>
      </c>
    </row>
    <row r="789" spans="1:17" hidden="1">
      <c r="A789" s="12">
        <v>46060</v>
      </c>
      <c r="B789" s="10">
        <v>11</v>
      </c>
      <c r="Q789" s="10" t="str">
        <f t="shared" si="12"/>
        <v>Incomplete</v>
      </c>
    </row>
    <row r="790" spans="1:17" hidden="1">
      <c r="A790" s="12">
        <v>46060</v>
      </c>
      <c r="B790" s="10">
        <v>12</v>
      </c>
      <c r="Q790" s="10" t="str">
        <f t="shared" si="12"/>
        <v>Incomplete</v>
      </c>
    </row>
    <row r="791" spans="1:17" hidden="1">
      <c r="A791" s="12">
        <v>46060</v>
      </c>
      <c r="B791" s="10">
        <v>13</v>
      </c>
      <c r="Q791" s="10" t="str">
        <f t="shared" si="12"/>
        <v>Incomplete</v>
      </c>
    </row>
    <row r="792" spans="1:17" hidden="1">
      <c r="A792" s="12">
        <v>46060</v>
      </c>
      <c r="B792" s="10">
        <v>14</v>
      </c>
      <c r="Q792" s="10" t="str">
        <f t="shared" si="12"/>
        <v>Incomplete</v>
      </c>
    </row>
    <row r="793" spans="1:17" hidden="1">
      <c r="A793" s="12">
        <v>46060</v>
      </c>
      <c r="B793" s="10">
        <v>15</v>
      </c>
      <c r="Q793" s="10" t="str">
        <f t="shared" si="12"/>
        <v>Incomplete</v>
      </c>
    </row>
    <row r="794" spans="1:17" hidden="1">
      <c r="A794" s="12">
        <v>46060</v>
      </c>
      <c r="B794" s="10">
        <v>16</v>
      </c>
      <c r="Q794" s="10" t="str">
        <f t="shared" si="12"/>
        <v>Incomplete</v>
      </c>
    </row>
    <row r="795" spans="1:17" hidden="1">
      <c r="A795" s="12">
        <v>46060</v>
      </c>
      <c r="B795" s="10">
        <v>17</v>
      </c>
      <c r="Q795" s="10" t="str">
        <f t="shared" si="12"/>
        <v>Incomplete</v>
      </c>
    </row>
    <row r="796" spans="1:17" hidden="1">
      <c r="A796" s="12">
        <v>46060</v>
      </c>
      <c r="B796" s="10">
        <v>18</v>
      </c>
      <c r="Q796" s="10" t="str">
        <f t="shared" si="12"/>
        <v>Incomplete</v>
      </c>
    </row>
    <row r="797" spans="1:17" hidden="1">
      <c r="A797" s="12">
        <v>46060</v>
      </c>
      <c r="B797" s="10">
        <v>19</v>
      </c>
      <c r="Q797" s="10" t="str">
        <f t="shared" si="12"/>
        <v>Incomplete</v>
      </c>
    </row>
    <row r="798" spans="1:17" hidden="1">
      <c r="A798" s="12">
        <v>46060</v>
      </c>
      <c r="B798" s="10">
        <v>20</v>
      </c>
      <c r="Q798" s="10" t="str">
        <f t="shared" si="12"/>
        <v>Incomplete</v>
      </c>
    </row>
    <row r="799" spans="1:17" hidden="1">
      <c r="A799" s="12">
        <v>46060</v>
      </c>
      <c r="B799" s="10">
        <v>21</v>
      </c>
      <c r="Q799" s="10" t="str">
        <f t="shared" si="12"/>
        <v>Incomplete</v>
      </c>
    </row>
    <row r="800" spans="1:17" hidden="1">
      <c r="A800" s="12">
        <v>46061</v>
      </c>
      <c r="B800" s="10">
        <v>1</v>
      </c>
      <c r="Q800" s="10" t="str">
        <f t="shared" si="12"/>
        <v>Incomplete</v>
      </c>
    </row>
    <row r="801" spans="1:17" hidden="1">
      <c r="A801" s="12">
        <v>46061</v>
      </c>
      <c r="B801" s="10">
        <v>2</v>
      </c>
      <c r="Q801" s="10" t="str">
        <f t="shared" si="12"/>
        <v>Incomplete</v>
      </c>
    </row>
    <row r="802" spans="1:17" hidden="1">
      <c r="A802" s="12">
        <v>46061</v>
      </c>
      <c r="B802" s="10">
        <v>3</v>
      </c>
      <c r="Q802" s="10" t="str">
        <f t="shared" si="12"/>
        <v>Incomplete</v>
      </c>
    </row>
    <row r="803" spans="1:17" hidden="1">
      <c r="A803" s="12">
        <v>46061</v>
      </c>
      <c r="B803" s="10">
        <v>4</v>
      </c>
      <c r="Q803" s="10" t="str">
        <f t="shared" si="12"/>
        <v>Incomplete</v>
      </c>
    </row>
    <row r="804" spans="1:17" hidden="1">
      <c r="A804" s="12">
        <v>46061</v>
      </c>
      <c r="B804" s="10">
        <v>5</v>
      </c>
      <c r="Q804" s="10" t="str">
        <f t="shared" si="12"/>
        <v>Incomplete</v>
      </c>
    </row>
    <row r="805" spans="1:17" hidden="1">
      <c r="A805" s="12">
        <v>46061</v>
      </c>
      <c r="B805" s="10">
        <v>6</v>
      </c>
      <c r="Q805" s="10" t="str">
        <f t="shared" si="12"/>
        <v>Incomplete</v>
      </c>
    </row>
    <row r="806" spans="1:17" hidden="1">
      <c r="A806" s="12">
        <v>46061</v>
      </c>
      <c r="B806" s="10">
        <v>7</v>
      </c>
      <c r="Q806" s="10" t="str">
        <f t="shared" si="12"/>
        <v>Incomplete</v>
      </c>
    </row>
    <row r="807" spans="1:17" hidden="1">
      <c r="A807" s="12">
        <v>46061</v>
      </c>
      <c r="B807" s="10">
        <v>8</v>
      </c>
      <c r="Q807" s="10" t="str">
        <f t="shared" si="12"/>
        <v>Incomplete</v>
      </c>
    </row>
    <row r="808" spans="1:17" hidden="1">
      <c r="A808" s="12">
        <v>46061</v>
      </c>
      <c r="B808" s="10">
        <v>9</v>
      </c>
      <c r="Q808" s="10" t="str">
        <f t="shared" si="12"/>
        <v>Incomplete</v>
      </c>
    </row>
    <row r="809" spans="1:17" hidden="1">
      <c r="A809" s="12">
        <v>46061</v>
      </c>
      <c r="B809" s="10">
        <v>10</v>
      </c>
      <c r="Q809" s="10" t="str">
        <f t="shared" si="12"/>
        <v>Incomplete</v>
      </c>
    </row>
    <row r="810" spans="1:17" hidden="1">
      <c r="A810" s="12">
        <v>46061</v>
      </c>
      <c r="B810" s="10">
        <v>11</v>
      </c>
      <c r="Q810" s="10" t="str">
        <f t="shared" si="12"/>
        <v>Incomplete</v>
      </c>
    </row>
    <row r="811" spans="1:17" hidden="1">
      <c r="A811" s="12">
        <v>46061</v>
      </c>
      <c r="B811" s="10">
        <v>12</v>
      </c>
      <c r="Q811" s="10" t="str">
        <f t="shared" si="12"/>
        <v>Incomplete</v>
      </c>
    </row>
    <row r="812" spans="1:17" hidden="1">
      <c r="A812" s="12">
        <v>46061</v>
      </c>
      <c r="B812" s="10">
        <v>13</v>
      </c>
      <c r="Q812" s="10" t="str">
        <f t="shared" si="12"/>
        <v>Incomplete</v>
      </c>
    </row>
    <row r="813" spans="1:17" hidden="1">
      <c r="A813" s="12">
        <v>46061</v>
      </c>
      <c r="B813" s="10">
        <v>14</v>
      </c>
      <c r="Q813" s="10" t="str">
        <f t="shared" si="12"/>
        <v>Incomplete</v>
      </c>
    </row>
    <row r="814" spans="1:17" hidden="1">
      <c r="A814" s="12">
        <v>46061</v>
      </c>
      <c r="B814" s="10">
        <v>15</v>
      </c>
      <c r="Q814" s="10" t="str">
        <f t="shared" si="12"/>
        <v>Incomplete</v>
      </c>
    </row>
    <row r="815" spans="1:17" hidden="1">
      <c r="A815" s="12">
        <v>46061</v>
      </c>
      <c r="B815" s="10">
        <v>16</v>
      </c>
      <c r="Q815" s="10" t="str">
        <f t="shared" si="12"/>
        <v>Incomplete</v>
      </c>
    </row>
    <row r="816" spans="1:17" hidden="1">
      <c r="A816" s="12">
        <v>46061</v>
      </c>
      <c r="B816" s="10">
        <v>17</v>
      </c>
      <c r="Q816" s="10" t="str">
        <f t="shared" si="12"/>
        <v>Incomplete</v>
      </c>
    </row>
    <row r="817" spans="1:17" hidden="1">
      <c r="A817" s="12">
        <v>46061</v>
      </c>
      <c r="B817" s="10">
        <v>18</v>
      </c>
      <c r="Q817" s="10" t="str">
        <f t="shared" si="12"/>
        <v>Incomplete</v>
      </c>
    </row>
    <row r="818" spans="1:17" hidden="1">
      <c r="A818" s="12">
        <v>46061</v>
      </c>
      <c r="B818" s="10">
        <v>19</v>
      </c>
      <c r="Q818" s="10" t="str">
        <f t="shared" si="12"/>
        <v>Incomplete</v>
      </c>
    </row>
    <row r="819" spans="1:17" hidden="1">
      <c r="A819" s="12">
        <v>46061</v>
      </c>
      <c r="B819" s="10">
        <v>20</v>
      </c>
      <c r="Q819" s="10" t="str">
        <f t="shared" si="12"/>
        <v>Incomplete</v>
      </c>
    </row>
    <row r="820" spans="1:17" hidden="1">
      <c r="A820" s="12">
        <v>46061</v>
      </c>
      <c r="B820" s="10">
        <v>21</v>
      </c>
      <c r="Q820" s="10" t="str">
        <f t="shared" si="12"/>
        <v>Incomplete</v>
      </c>
    </row>
    <row r="821" spans="1:17" hidden="1">
      <c r="A821" s="12">
        <v>46062</v>
      </c>
      <c r="B821" s="10">
        <v>1</v>
      </c>
      <c r="Q821" s="10" t="str">
        <f t="shared" si="12"/>
        <v>Incomplete</v>
      </c>
    </row>
    <row r="822" spans="1:17" hidden="1">
      <c r="A822" s="12">
        <v>46062</v>
      </c>
      <c r="B822" s="10">
        <v>2</v>
      </c>
      <c r="Q822" s="10" t="str">
        <f t="shared" si="12"/>
        <v>Incomplete</v>
      </c>
    </row>
    <row r="823" spans="1:17" hidden="1">
      <c r="A823" s="12">
        <v>46062</v>
      </c>
      <c r="B823" s="10">
        <v>3</v>
      </c>
      <c r="Q823" s="10" t="str">
        <f t="shared" si="12"/>
        <v>Incomplete</v>
      </c>
    </row>
    <row r="824" spans="1:17" hidden="1">
      <c r="A824" s="12">
        <v>46062</v>
      </c>
      <c r="B824" s="10">
        <v>4</v>
      </c>
      <c r="Q824" s="10" t="str">
        <f t="shared" si="12"/>
        <v>Incomplete</v>
      </c>
    </row>
    <row r="825" spans="1:17" hidden="1">
      <c r="A825" s="12">
        <v>46062</v>
      </c>
      <c r="B825" s="10">
        <v>5</v>
      </c>
      <c r="Q825" s="10" t="str">
        <f t="shared" si="12"/>
        <v>Incomplete</v>
      </c>
    </row>
    <row r="826" spans="1:17" hidden="1">
      <c r="A826" s="12">
        <v>46062</v>
      </c>
      <c r="B826" s="10">
        <v>6</v>
      </c>
      <c r="Q826" s="10" t="str">
        <f t="shared" si="12"/>
        <v>Incomplete</v>
      </c>
    </row>
    <row r="827" spans="1:17" hidden="1">
      <c r="A827" s="12">
        <v>46062</v>
      </c>
      <c r="B827" s="10">
        <v>7</v>
      </c>
      <c r="Q827" s="10" t="str">
        <f t="shared" si="12"/>
        <v>Incomplete</v>
      </c>
    </row>
    <row r="828" spans="1:17" hidden="1">
      <c r="A828" s="12">
        <v>46062</v>
      </c>
      <c r="B828" s="10">
        <v>8</v>
      </c>
      <c r="Q828" s="10" t="str">
        <f t="shared" si="12"/>
        <v>Incomplete</v>
      </c>
    </row>
    <row r="829" spans="1:17" hidden="1">
      <c r="A829" s="12">
        <v>46062</v>
      </c>
      <c r="B829" s="10">
        <v>9</v>
      </c>
      <c r="Q829" s="10" t="str">
        <f t="shared" si="12"/>
        <v>Incomplete</v>
      </c>
    </row>
    <row r="830" spans="1:17" hidden="1">
      <c r="A830" s="12">
        <v>46062</v>
      </c>
      <c r="B830" s="10">
        <v>10</v>
      </c>
      <c r="Q830" s="10" t="str">
        <f t="shared" si="12"/>
        <v>Incomplete</v>
      </c>
    </row>
    <row r="831" spans="1:17" hidden="1">
      <c r="A831" s="12">
        <v>46062</v>
      </c>
      <c r="B831" s="10">
        <v>11</v>
      </c>
      <c r="Q831" s="10" t="str">
        <f t="shared" si="12"/>
        <v>Incomplete</v>
      </c>
    </row>
    <row r="832" spans="1:17" hidden="1">
      <c r="A832" s="12">
        <v>46062</v>
      </c>
      <c r="B832" s="10">
        <v>12</v>
      </c>
      <c r="Q832" s="10" t="str">
        <f t="shared" si="12"/>
        <v>Incomplete</v>
      </c>
    </row>
    <row r="833" spans="1:17" hidden="1">
      <c r="A833" s="12">
        <v>46062</v>
      </c>
      <c r="B833" s="10">
        <v>13</v>
      </c>
      <c r="Q833" s="10" t="str">
        <f t="shared" si="12"/>
        <v>Incomplete</v>
      </c>
    </row>
    <row r="834" spans="1:17" hidden="1">
      <c r="A834" s="12">
        <v>46062</v>
      </c>
      <c r="B834" s="10">
        <v>14</v>
      </c>
      <c r="Q834" s="10" t="str">
        <f t="shared" ref="Q834:Q897" si="13">IF(AND(C834&lt;&gt;"",J834&lt;&gt;"",K834&lt;&gt;"",L834&lt;&gt;"",O834="Yes"),"Complete","Incomplete")</f>
        <v>Incomplete</v>
      </c>
    </row>
    <row r="835" spans="1:17" hidden="1">
      <c r="A835" s="12">
        <v>46062</v>
      </c>
      <c r="B835" s="10">
        <v>15</v>
      </c>
      <c r="Q835" s="10" t="str">
        <f t="shared" si="13"/>
        <v>Incomplete</v>
      </c>
    </row>
    <row r="836" spans="1:17" hidden="1">
      <c r="A836" s="12">
        <v>46062</v>
      </c>
      <c r="B836" s="10">
        <v>16</v>
      </c>
      <c r="Q836" s="10" t="str">
        <f t="shared" si="13"/>
        <v>Incomplete</v>
      </c>
    </row>
    <row r="837" spans="1:17" hidden="1">
      <c r="A837" s="12">
        <v>46062</v>
      </c>
      <c r="B837" s="10">
        <v>17</v>
      </c>
      <c r="Q837" s="10" t="str">
        <f t="shared" si="13"/>
        <v>Incomplete</v>
      </c>
    </row>
    <row r="838" spans="1:17" hidden="1">
      <c r="A838" s="12">
        <v>46062</v>
      </c>
      <c r="B838" s="10">
        <v>18</v>
      </c>
      <c r="Q838" s="10" t="str">
        <f t="shared" si="13"/>
        <v>Incomplete</v>
      </c>
    </row>
    <row r="839" spans="1:17" hidden="1">
      <c r="A839" s="12">
        <v>46062</v>
      </c>
      <c r="B839" s="10">
        <v>19</v>
      </c>
      <c r="Q839" s="10" t="str">
        <f t="shared" si="13"/>
        <v>Incomplete</v>
      </c>
    </row>
    <row r="840" spans="1:17" hidden="1">
      <c r="A840" s="12">
        <v>46062</v>
      </c>
      <c r="B840" s="10">
        <v>20</v>
      </c>
      <c r="Q840" s="10" t="str">
        <f t="shared" si="13"/>
        <v>Incomplete</v>
      </c>
    </row>
    <row r="841" spans="1:17" hidden="1">
      <c r="A841" s="12">
        <v>46062</v>
      </c>
      <c r="B841" s="10">
        <v>21</v>
      </c>
      <c r="Q841" s="10" t="str">
        <f t="shared" si="13"/>
        <v>Incomplete</v>
      </c>
    </row>
    <row r="842" spans="1:17" hidden="1">
      <c r="A842" s="12">
        <v>46063</v>
      </c>
      <c r="B842" s="10">
        <v>1</v>
      </c>
      <c r="Q842" s="10" t="str">
        <f t="shared" si="13"/>
        <v>Incomplete</v>
      </c>
    </row>
    <row r="843" spans="1:17" hidden="1">
      <c r="A843" s="12">
        <v>46063</v>
      </c>
      <c r="B843" s="10">
        <v>2</v>
      </c>
      <c r="Q843" s="10" t="str">
        <f t="shared" si="13"/>
        <v>Incomplete</v>
      </c>
    </row>
    <row r="844" spans="1:17" hidden="1">
      <c r="A844" s="12">
        <v>46063</v>
      </c>
      <c r="B844" s="10">
        <v>3</v>
      </c>
      <c r="Q844" s="10" t="str">
        <f t="shared" si="13"/>
        <v>Incomplete</v>
      </c>
    </row>
    <row r="845" spans="1:17" hidden="1">
      <c r="A845" s="12">
        <v>46063</v>
      </c>
      <c r="B845" s="10">
        <v>4</v>
      </c>
      <c r="Q845" s="10" t="str">
        <f t="shared" si="13"/>
        <v>Incomplete</v>
      </c>
    </row>
    <row r="846" spans="1:17" hidden="1">
      <c r="A846" s="12">
        <v>46063</v>
      </c>
      <c r="B846" s="10">
        <v>5</v>
      </c>
      <c r="Q846" s="10" t="str">
        <f t="shared" si="13"/>
        <v>Incomplete</v>
      </c>
    </row>
    <row r="847" spans="1:17" hidden="1">
      <c r="A847" s="12">
        <v>46063</v>
      </c>
      <c r="B847" s="10">
        <v>6</v>
      </c>
      <c r="Q847" s="10" t="str">
        <f t="shared" si="13"/>
        <v>Incomplete</v>
      </c>
    </row>
    <row r="848" spans="1:17" hidden="1">
      <c r="A848" s="12">
        <v>46063</v>
      </c>
      <c r="B848" s="10">
        <v>7</v>
      </c>
      <c r="Q848" s="10" t="str">
        <f t="shared" si="13"/>
        <v>Incomplete</v>
      </c>
    </row>
    <row r="849" spans="1:17" hidden="1">
      <c r="A849" s="12">
        <v>46063</v>
      </c>
      <c r="B849" s="10">
        <v>8</v>
      </c>
      <c r="Q849" s="10" t="str">
        <f t="shared" si="13"/>
        <v>Incomplete</v>
      </c>
    </row>
    <row r="850" spans="1:17" hidden="1">
      <c r="A850" s="12">
        <v>46063</v>
      </c>
      <c r="B850" s="10">
        <v>9</v>
      </c>
      <c r="Q850" s="10" t="str">
        <f t="shared" si="13"/>
        <v>Incomplete</v>
      </c>
    </row>
    <row r="851" spans="1:17" hidden="1">
      <c r="A851" s="12">
        <v>46063</v>
      </c>
      <c r="B851" s="10">
        <v>10</v>
      </c>
      <c r="Q851" s="10" t="str">
        <f t="shared" si="13"/>
        <v>Incomplete</v>
      </c>
    </row>
    <row r="852" spans="1:17" hidden="1">
      <c r="A852" s="12">
        <v>46063</v>
      </c>
      <c r="B852" s="10">
        <v>11</v>
      </c>
      <c r="Q852" s="10" t="str">
        <f t="shared" si="13"/>
        <v>Incomplete</v>
      </c>
    </row>
    <row r="853" spans="1:17" hidden="1">
      <c r="A853" s="12">
        <v>46063</v>
      </c>
      <c r="B853" s="10">
        <v>12</v>
      </c>
      <c r="Q853" s="10" t="str">
        <f t="shared" si="13"/>
        <v>Incomplete</v>
      </c>
    </row>
    <row r="854" spans="1:17" hidden="1">
      <c r="A854" s="12">
        <v>46063</v>
      </c>
      <c r="B854" s="10">
        <v>13</v>
      </c>
      <c r="Q854" s="10" t="str">
        <f t="shared" si="13"/>
        <v>Incomplete</v>
      </c>
    </row>
    <row r="855" spans="1:17" hidden="1">
      <c r="A855" s="12">
        <v>46063</v>
      </c>
      <c r="B855" s="10">
        <v>14</v>
      </c>
      <c r="Q855" s="10" t="str">
        <f t="shared" si="13"/>
        <v>Incomplete</v>
      </c>
    </row>
    <row r="856" spans="1:17" hidden="1">
      <c r="A856" s="12">
        <v>46063</v>
      </c>
      <c r="B856" s="10">
        <v>15</v>
      </c>
      <c r="Q856" s="10" t="str">
        <f t="shared" si="13"/>
        <v>Incomplete</v>
      </c>
    </row>
    <row r="857" spans="1:17" hidden="1">
      <c r="A857" s="12">
        <v>46063</v>
      </c>
      <c r="B857" s="10">
        <v>16</v>
      </c>
      <c r="Q857" s="10" t="str">
        <f t="shared" si="13"/>
        <v>Incomplete</v>
      </c>
    </row>
    <row r="858" spans="1:17" hidden="1">
      <c r="A858" s="12">
        <v>46063</v>
      </c>
      <c r="B858" s="10">
        <v>17</v>
      </c>
      <c r="Q858" s="10" t="str">
        <f t="shared" si="13"/>
        <v>Incomplete</v>
      </c>
    </row>
    <row r="859" spans="1:17" hidden="1">
      <c r="A859" s="12">
        <v>46063</v>
      </c>
      <c r="B859" s="10">
        <v>18</v>
      </c>
      <c r="Q859" s="10" t="str">
        <f t="shared" si="13"/>
        <v>Incomplete</v>
      </c>
    </row>
    <row r="860" spans="1:17" hidden="1">
      <c r="A860" s="12">
        <v>46063</v>
      </c>
      <c r="B860" s="10">
        <v>19</v>
      </c>
      <c r="Q860" s="10" t="str">
        <f t="shared" si="13"/>
        <v>Incomplete</v>
      </c>
    </row>
    <row r="861" spans="1:17" hidden="1">
      <c r="A861" s="12">
        <v>46063</v>
      </c>
      <c r="B861" s="10">
        <v>20</v>
      </c>
      <c r="Q861" s="10" t="str">
        <f t="shared" si="13"/>
        <v>Incomplete</v>
      </c>
    </row>
    <row r="862" spans="1:17" hidden="1">
      <c r="A862" s="12">
        <v>46063</v>
      </c>
      <c r="B862" s="10">
        <v>21</v>
      </c>
      <c r="Q862" s="10" t="str">
        <f t="shared" si="13"/>
        <v>Incomplete</v>
      </c>
    </row>
    <row r="863" spans="1:17" hidden="1">
      <c r="A863" s="12">
        <v>46064</v>
      </c>
      <c r="B863" s="10">
        <v>1</v>
      </c>
      <c r="Q863" s="10" t="str">
        <f t="shared" si="13"/>
        <v>Incomplete</v>
      </c>
    </row>
    <row r="864" spans="1:17" hidden="1">
      <c r="A864" s="12">
        <v>46064</v>
      </c>
      <c r="B864" s="10">
        <v>2</v>
      </c>
      <c r="Q864" s="10" t="str">
        <f t="shared" si="13"/>
        <v>Incomplete</v>
      </c>
    </row>
    <row r="865" spans="1:17" hidden="1">
      <c r="A865" s="12">
        <v>46064</v>
      </c>
      <c r="B865" s="10">
        <v>3</v>
      </c>
      <c r="Q865" s="10" t="str">
        <f t="shared" si="13"/>
        <v>Incomplete</v>
      </c>
    </row>
    <row r="866" spans="1:17" hidden="1">
      <c r="A866" s="12">
        <v>46064</v>
      </c>
      <c r="B866" s="10">
        <v>4</v>
      </c>
      <c r="Q866" s="10" t="str">
        <f t="shared" si="13"/>
        <v>Incomplete</v>
      </c>
    </row>
    <row r="867" spans="1:17" hidden="1">
      <c r="A867" s="12">
        <v>46064</v>
      </c>
      <c r="B867" s="10">
        <v>5</v>
      </c>
      <c r="Q867" s="10" t="str">
        <f t="shared" si="13"/>
        <v>Incomplete</v>
      </c>
    </row>
    <row r="868" spans="1:17" hidden="1">
      <c r="A868" s="12">
        <v>46064</v>
      </c>
      <c r="B868" s="10">
        <v>6</v>
      </c>
      <c r="Q868" s="10" t="str">
        <f t="shared" si="13"/>
        <v>Incomplete</v>
      </c>
    </row>
    <row r="869" spans="1:17" hidden="1">
      <c r="A869" s="12">
        <v>46064</v>
      </c>
      <c r="B869" s="10">
        <v>7</v>
      </c>
      <c r="Q869" s="10" t="str">
        <f t="shared" si="13"/>
        <v>Incomplete</v>
      </c>
    </row>
    <row r="870" spans="1:17" hidden="1">
      <c r="A870" s="12">
        <v>46064</v>
      </c>
      <c r="B870" s="10">
        <v>8</v>
      </c>
      <c r="Q870" s="10" t="str">
        <f t="shared" si="13"/>
        <v>Incomplete</v>
      </c>
    </row>
    <row r="871" spans="1:17" hidden="1">
      <c r="A871" s="12">
        <v>46064</v>
      </c>
      <c r="B871" s="10">
        <v>9</v>
      </c>
      <c r="Q871" s="10" t="str">
        <f t="shared" si="13"/>
        <v>Incomplete</v>
      </c>
    </row>
    <row r="872" spans="1:17" hidden="1">
      <c r="A872" s="12">
        <v>46064</v>
      </c>
      <c r="B872" s="10">
        <v>10</v>
      </c>
      <c r="Q872" s="10" t="str">
        <f t="shared" si="13"/>
        <v>Incomplete</v>
      </c>
    </row>
    <row r="873" spans="1:17" hidden="1">
      <c r="A873" s="12">
        <v>46064</v>
      </c>
      <c r="B873" s="10">
        <v>11</v>
      </c>
      <c r="Q873" s="10" t="str">
        <f t="shared" si="13"/>
        <v>Incomplete</v>
      </c>
    </row>
    <row r="874" spans="1:17" hidden="1">
      <c r="A874" s="12">
        <v>46064</v>
      </c>
      <c r="B874" s="10">
        <v>12</v>
      </c>
      <c r="Q874" s="10" t="str">
        <f t="shared" si="13"/>
        <v>Incomplete</v>
      </c>
    </row>
    <row r="875" spans="1:17" hidden="1">
      <c r="A875" s="12">
        <v>46064</v>
      </c>
      <c r="B875" s="10">
        <v>13</v>
      </c>
      <c r="Q875" s="10" t="str">
        <f t="shared" si="13"/>
        <v>Incomplete</v>
      </c>
    </row>
    <row r="876" spans="1:17" hidden="1">
      <c r="A876" s="12">
        <v>46064</v>
      </c>
      <c r="B876" s="10">
        <v>14</v>
      </c>
      <c r="Q876" s="10" t="str">
        <f t="shared" si="13"/>
        <v>Incomplete</v>
      </c>
    </row>
    <row r="877" spans="1:17" hidden="1">
      <c r="A877" s="12">
        <v>46064</v>
      </c>
      <c r="B877" s="10">
        <v>15</v>
      </c>
      <c r="Q877" s="10" t="str">
        <f t="shared" si="13"/>
        <v>Incomplete</v>
      </c>
    </row>
    <row r="878" spans="1:17" hidden="1">
      <c r="A878" s="12">
        <v>46064</v>
      </c>
      <c r="B878" s="10">
        <v>16</v>
      </c>
      <c r="Q878" s="10" t="str">
        <f t="shared" si="13"/>
        <v>Incomplete</v>
      </c>
    </row>
    <row r="879" spans="1:17" hidden="1">
      <c r="A879" s="12">
        <v>46064</v>
      </c>
      <c r="B879" s="10">
        <v>17</v>
      </c>
      <c r="Q879" s="10" t="str">
        <f t="shared" si="13"/>
        <v>Incomplete</v>
      </c>
    </row>
    <row r="880" spans="1:17" hidden="1">
      <c r="A880" s="12">
        <v>46064</v>
      </c>
      <c r="B880" s="10">
        <v>18</v>
      </c>
      <c r="Q880" s="10" t="str">
        <f t="shared" si="13"/>
        <v>Incomplete</v>
      </c>
    </row>
    <row r="881" spans="1:17" hidden="1">
      <c r="A881" s="12">
        <v>46064</v>
      </c>
      <c r="B881" s="10">
        <v>19</v>
      </c>
      <c r="Q881" s="10" t="str">
        <f t="shared" si="13"/>
        <v>Incomplete</v>
      </c>
    </row>
    <row r="882" spans="1:17" hidden="1">
      <c r="A882" s="12">
        <v>46064</v>
      </c>
      <c r="B882" s="10">
        <v>20</v>
      </c>
      <c r="Q882" s="10" t="str">
        <f t="shared" si="13"/>
        <v>Incomplete</v>
      </c>
    </row>
    <row r="883" spans="1:17" hidden="1">
      <c r="A883" s="12">
        <v>46064</v>
      </c>
      <c r="B883" s="10">
        <v>21</v>
      </c>
      <c r="Q883" s="10" t="str">
        <f t="shared" si="13"/>
        <v>Incomplete</v>
      </c>
    </row>
    <row r="884" spans="1:17" hidden="1">
      <c r="A884" s="12">
        <v>46065</v>
      </c>
      <c r="B884" s="10">
        <v>1</v>
      </c>
      <c r="Q884" s="10" t="str">
        <f t="shared" si="13"/>
        <v>Incomplete</v>
      </c>
    </row>
    <row r="885" spans="1:17" hidden="1">
      <c r="A885" s="12">
        <v>46065</v>
      </c>
      <c r="B885" s="10">
        <v>2</v>
      </c>
      <c r="Q885" s="10" t="str">
        <f t="shared" si="13"/>
        <v>Incomplete</v>
      </c>
    </row>
    <row r="886" spans="1:17" hidden="1">
      <c r="A886" s="12">
        <v>46065</v>
      </c>
      <c r="B886" s="10">
        <v>3</v>
      </c>
      <c r="Q886" s="10" t="str">
        <f t="shared" si="13"/>
        <v>Incomplete</v>
      </c>
    </row>
    <row r="887" spans="1:17" hidden="1">
      <c r="A887" s="12">
        <v>46065</v>
      </c>
      <c r="B887" s="10">
        <v>4</v>
      </c>
      <c r="Q887" s="10" t="str">
        <f t="shared" si="13"/>
        <v>Incomplete</v>
      </c>
    </row>
    <row r="888" spans="1:17" hidden="1">
      <c r="A888" s="12">
        <v>46065</v>
      </c>
      <c r="B888" s="10">
        <v>5</v>
      </c>
      <c r="Q888" s="10" t="str">
        <f t="shared" si="13"/>
        <v>Incomplete</v>
      </c>
    </row>
    <row r="889" spans="1:17" hidden="1">
      <c r="A889" s="12">
        <v>46065</v>
      </c>
      <c r="B889" s="10">
        <v>6</v>
      </c>
      <c r="Q889" s="10" t="str">
        <f t="shared" si="13"/>
        <v>Incomplete</v>
      </c>
    </row>
    <row r="890" spans="1:17" hidden="1">
      <c r="A890" s="12">
        <v>46065</v>
      </c>
      <c r="B890" s="10">
        <v>7</v>
      </c>
      <c r="Q890" s="10" t="str">
        <f t="shared" si="13"/>
        <v>Incomplete</v>
      </c>
    </row>
    <row r="891" spans="1:17" hidden="1">
      <c r="A891" s="12">
        <v>46065</v>
      </c>
      <c r="B891" s="10">
        <v>8</v>
      </c>
      <c r="Q891" s="10" t="str">
        <f t="shared" si="13"/>
        <v>Incomplete</v>
      </c>
    </row>
    <row r="892" spans="1:17" hidden="1">
      <c r="A892" s="12">
        <v>46065</v>
      </c>
      <c r="B892" s="10">
        <v>9</v>
      </c>
      <c r="Q892" s="10" t="str">
        <f t="shared" si="13"/>
        <v>Incomplete</v>
      </c>
    </row>
    <row r="893" spans="1:17" hidden="1">
      <c r="A893" s="12">
        <v>46065</v>
      </c>
      <c r="B893" s="10">
        <v>10</v>
      </c>
      <c r="Q893" s="10" t="str">
        <f t="shared" si="13"/>
        <v>Incomplete</v>
      </c>
    </row>
    <row r="894" spans="1:17" hidden="1">
      <c r="A894" s="12">
        <v>46065</v>
      </c>
      <c r="B894" s="10">
        <v>11</v>
      </c>
      <c r="Q894" s="10" t="str">
        <f t="shared" si="13"/>
        <v>Incomplete</v>
      </c>
    </row>
    <row r="895" spans="1:17" hidden="1">
      <c r="A895" s="12">
        <v>46065</v>
      </c>
      <c r="B895" s="10">
        <v>12</v>
      </c>
      <c r="Q895" s="10" t="str">
        <f t="shared" si="13"/>
        <v>Incomplete</v>
      </c>
    </row>
    <row r="896" spans="1:17" hidden="1">
      <c r="A896" s="12">
        <v>46065</v>
      </c>
      <c r="B896" s="10">
        <v>13</v>
      </c>
      <c r="Q896" s="10" t="str">
        <f t="shared" si="13"/>
        <v>Incomplete</v>
      </c>
    </row>
    <row r="897" spans="1:17" hidden="1">
      <c r="A897" s="12">
        <v>46065</v>
      </c>
      <c r="B897" s="10">
        <v>14</v>
      </c>
      <c r="Q897" s="10" t="str">
        <f t="shared" si="13"/>
        <v>Incomplete</v>
      </c>
    </row>
    <row r="898" spans="1:17" hidden="1">
      <c r="A898" s="12">
        <v>46065</v>
      </c>
      <c r="B898" s="10">
        <v>15</v>
      </c>
      <c r="Q898" s="10" t="str">
        <f t="shared" ref="Q898:Q961" si="14">IF(AND(C898&lt;&gt;"",J898&lt;&gt;"",K898&lt;&gt;"",L898&lt;&gt;"",O898="Yes"),"Complete","Incomplete")</f>
        <v>Incomplete</v>
      </c>
    </row>
    <row r="899" spans="1:17" hidden="1">
      <c r="A899" s="12">
        <v>46065</v>
      </c>
      <c r="B899" s="10">
        <v>16</v>
      </c>
      <c r="Q899" s="10" t="str">
        <f t="shared" si="14"/>
        <v>Incomplete</v>
      </c>
    </row>
    <row r="900" spans="1:17" hidden="1">
      <c r="A900" s="12">
        <v>46065</v>
      </c>
      <c r="B900" s="10">
        <v>17</v>
      </c>
      <c r="Q900" s="10" t="str">
        <f t="shared" si="14"/>
        <v>Incomplete</v>
      </c>
    </row>
    <row r="901" spans="1:17" hidden="1">
      <c r="A901" s="12">
        <v>46065</v>
      </c>
      <c r="B901" s="10">
        <v>18</v>
      </c>
      <c r="Q901" s="10" t="str">
        <f t="shared" si="14"/>
        <v>Incomplete</v>
      </c>
    </row>
    <row r="902" spans="1:17" hidden="1">
      <c r="A902" s="12">
        <v>46065</v>
      </c>
      <c r="B902" s="10">
        <v>19</v>
      </c>
      <c r="Q902" s="10" t="str">
        <f t="shared" si="14"/>
        <v>Incomplete</v>
      </c>
    </row>
    <row r="903" spans="1:17" hidden="1">
      <c r="A903" s="12">
        <v>46065</v>
      </c>
      <c r="B903" s="10">
        <v>20</v>
      </c>
      <c r="Q903" s="10" t="str">
        <f t="shared" si="14"/>
        <v>Incomplete</v>
      </c>
    </row>
    <row r="904" spans="1:17" hidden="1">
      <c r="A904" s="12">
        <v>46065</v>
      </c>
      <c r="B904" s="10">
        <v>21</v>
      </c>
      <c r="Q904" s="10" t="str">
        <f t="shared" si="14"/>
        <v>Incomplete</v>
      </c>
    </row>
    <row r="905" spans="1:17" hidden="1">
      <c r="A905" s="12">
        <v>46066</v>
      </c>
      <c r="B905" s="10">
        <v>1</v>
      </c>
      <c r="Q905" s="10" t="str">
        <f t="shared" si="14"/>
        <v>Incomplete</v>
      </c>
    </row>
    <row r="906" spans="1:17" hidden="1">
      <c r="A906" s="12">
        <v>46066</v>
      </c>
      <c r="B906" s="10">
        <v>2</v>
      </c>
      <c r="Q906" s="10" t="str">
        <f t="shared" si="14"/>
        <v>Incomplete</v>
      </c>
    </row>
    <row r="907" spans="1:17" hidden="1">
      <c r="A907" s="12">
        <v>46066</v>
      </c>
      <c r="B907" s="10">
        <v>3</v>
      </c>
      <c r="Q907" s="10" t="str">
        <f t="shared" si="14"/>
        <v>Incomplete</v>
      </c>
    </row>
    <row r="908" spans="1:17" hidden="1">
      <c r="A908" s="12">
        <v>46066</v>
      </c>
      <c r="B908" s="10">
        <v>4</v>
      </c>
      <c r="Q908" s="10" t="str">
        <f t="shared" si="14"/>
        <v>Incomplete</v>
      </c>
    </row>
    <row r="909" spans="1:17" hidden="1">
      <c r="A909" s="12">
        <v>46066</v>
      </c>
      <c r="B909" s="10">
        <v>5</v>
      </c>
      <c r="Q909" s="10" t="str">
        <f t="shared" si="14"/>
        <v>Incomplete</v>
      </c>
    </row>
    <row r="910" spans="1:17" hidden="1">
      <c r="A910" s="12">
        <v>46066</v>
      </c>
      <c r="B910" s="10">
        <v>6</v>
      </c>
      <c r="Q910" s="10" t="str">
        <f t="shared" si="14"/>
        <v>Incomplete</v>
      </c>
    </row>
    <row r="911" spans="1:17" hidden="1">
      <c r="A911" s="12">
        <v>46066</v>
      </c>
      <c r="B911" s="10">
        <v>7</v>
      </c>
      <c r="Q911" s="10" t="str">
        <f t="shared" si="14"/>
        <v>Incomplete</v>
      </c>
    </row>
    <row r="912" spans="1:17" hidden="1">
      <c r="A912" s="12">
        <v>46066</v>
      </c>
      <c r="B912" s="10">
        <v>8</v>
      </c>
      <c r="Q912" s="10" t="str">
        <f t="shared" si="14"/>
        <v>Incomplete</v>
      </c>
    </row>
    <row r="913" spans="1:17" hidden="1">
      <c r="A913" s="12">
        <v>46066</v>
      </c>
      <c r="B913" s="10">
        <v>9</v>
      </c>
      <c r="Q913" s="10" t="str">
        <f t="shared" si="14"/>
        <v>Incomplete</v>
      </c>
    </row>
    <row r="914" spans="1:17" hidden="1">
      <c r="A914" s="12">
        <v>46066</v>
      </c>
      <c r="B914" s="10">
        <v>10</v>
      </c>
      <c r="Q914" s="10" t="str">
        <f t="shared" si="14"/>
        <v>Incomplete</v>
      </c>
    </row>
    <row r="915" spans="1:17" hidden="1">
      <c r="A915" s="12">
        <v>46066</v>
      </c>
      <c r="B915" s="10">
        <v>11</v>
      </c>
      <c r="Q915" s="10" t="str">
        <f t="shared" si="14"/>
        <v>Incomplete</v>
      </c>
    </row>
    <row r="916" spans="1:17" hidden="1">
      <c r="A916" s="12">
        <v>46066</v>
      </c>
      <c r="B916" s="10">
        <v>12</v>
      </c>
      <c r="Q916" s="10" t="str">
        <f t="shared" si="14"/>
        <v>Incomplete</v>
      </c>
    </row>
    <row r="917" spans="1:17" hidden="1">
      <c r="A917" s="12">
        <v>46066</v>
      </c>
      <c r="B917" s="10">
        <v>13</v>
      </c>
      <c r="Q917" s="10" t="str">
        <f t="shared" si="14"/>
        <v>Incomplete</v>
      </c>
    </row>
    <row r="918" spans="1:17" hidden="1">
      <c r="A918" s="12">
        <v>46066</v>
      </c>
      <c r="B918" s="10">
        <v>14</v>
      </c>
      <c r="Q918" s="10" t="str">
        <f t="shared" si="14"/>
        <v>Incomplete</v>
      </c>
    </row>
    <row r="919" spans="1:17" hidden="1">
      <c r="A919" s="12">
        <v>46066</v>
      </c>
      <c r="B919" s="10">
        <v>15</v>
      </c>
      <c r="Q919" s="10" t="str">
        <f t="shared" si="14"/>
        <v>Incomplete</v>
      </c>
    </row>
    <row r="920" spans="1:17" hidden="1">
      <c r="A920" s="12">
        <v>46066</v>
      </c>
      <c r="B920" s="10">
        <v>16</v>
      </c>
      <c r="Q920" s="10" t="str">
        <f t="shared" si="14"/>
        <v>Incomplete</v>
      </c>
    </row>
    <row r="921" spans="1:17" hidden="1">
      <c r="A921" s="12">
        <v>46066</v>
      </c>
      <c r="B921" s="10">
        <v>17</v>
      </c>
      <c r="Q921" s="10" t="str">
        <f t="shared" si="14"/>
        <v>Incomplete</v>
      </c>
    </row>
    <row r="922" spans="1:17" hidden="1">
      <c r="A922" s="12">
        <v>46066</v>
      </c>
      <c r="B922" s="10">
        <v>18</v>
      </c>
      <c r="Q922" s="10" t="str">
        <f t="shared" si="14"/>
        <v>Incomplete</v>
      </c>
    </row>
    <row r="923" spans="1:17" hidden="1">
      <c r="A923" s="12">
        <v>46066</v>
      </c>
      <c r="B923" s="10">
        <v>19</v>
      </c>
      <c r="Q923" s="10" t="str">
        <f t="shared" si="14"/>
        <v>Incomplete</v>
      </c>
    </row>
    <row r="924" spans="1:17" hidden="1">
      <c r="A924" s="12">
        <v>46066</v>
      </c>
      <c r="B924" s="10">
        <v>20</v>
      </c>
      <c r="Q924" s="10" t="str">
        <f t="shared" si="14"/>
        <v>Incomplete</v>
      </c>
    </row>
    <row r="925" spans="1:17" hidden="1">
      <c r="A925" s="12">
        <v>46066</v>
      </c>
      <c r="B925" s="10">
        <v>21</v>
      </c>
      <c r="Q925" s="10" t="str">
        <f t="shared" si="14"/>
        <v>Incomplete</v>
      </c>
    </row>
    <row r="926" spans="1:17" hidden="1">
      <c r="A926" s="12">
        <v>46067</v>
      </c>
      <c r="B926" s="10">
        <v>1</v>
      </c>
      <c r="Q926" s="10" t="str">
        <f t="shared" si="14"/>
        <v>Incomplete</v>
      </c>
    </row>
    <row r="927" spans="1:17" hidden="1">
      <c r="A927" s="12">
        <v>46067</v>
      </c>
      <c r="B927" s="10">
        <v>2</v>
      </c>
      <c r="Q927" s="10" t="str">
        <f t="shared" si="14"/>
        <v>Incomplete</v>
      </c>
    </row>
    <row r="928" spans="1:17" hidden="1">
      <c r="A928" s="12">
        <v>46067</v>
      </c>
      <c r="B928" s="10">
        <v>3</v>
      </c>
      <c r="Q928" s="10" t="str">
        <f t="shared" si="14"/>
        <v>Incomplete</v>
      </c>
    </row>
    <row r="929" spans="1:17" hidden="1">
      <c r="A929" s="12">
        <v>46067</v>
      </c>
      <c r="B929" s="10">
        <v>4</v>
      </c>
      <c r="Q929" s="10" t="str">
        <f t="shared" si="14"/>
        <v>Incomplete</v>
      </c>
    </row>
    <row r="930" spans="1:17" hidden="1">
      <c r="A930" s="12">
        <v>46067</v>
      </c>
      <c r="B930" s="10">
        <v>5</v>
      </c>
      <c r="Q930" s="10" t="str">
        <f t="shared" si="14"/>
        <v>Incomplete</v>
      </c>
    </row>
    <row r="931" spans="1:17" hidden="1">
      <c r="A931" s="12">
        <v>46067</v>
      </c>
      <c r="B931" s="10">
        <v>6</v>
      </c>
      <c r="Q931" s="10" t="str">
        <f t="shared" si="14"/>
        <v>Incomplete</v>
      </c>
    </row>
    <row r="932" spans="1:17" hidden="1">
      <c r="A932" s="12">
        <v>46067</v>
      </c>
      <c r="B932" s="10">
        <v>7</v>
      </c>
      <c r="Q932" s="10" t="str">
        <f t="shared" si="14"/>
        <v>Incomplete</v>
      </c>
    </row>
    <row r="933" spans="1:17" hidden="1">
      <c r="A933" s="12">
        <v>46067</v>
      </c>
      <c r="B933" s="10">
        <v>8</v>
      </c>
      <c r="Q933" s="10" t="str">
        <f t="shared" si="14"/>
        <v>Incomplete</v>
      </c>
    </row>
    <row r="934" spans="1:17" hidden="1">
      <c r="A934" s="12">
        <v>46067</v>
      </c>
      <c r="B934" s="10">
        <v>9</v>
      </c>
      <c r="Q934" s="10" t="str">
        <f t="shared" si="14"/>
        <v>Incomplete</v>
      </c>
    </row>
    <row r="935" spans="1:17" hidden="1">
      <c r="A935" s="12">
        <v>46067</v>
      </c>
      <c r="B935" s="10">
        <v>10</v>
      </c>
      <c r="Q935" s="10" t="str">
        <f t="shared" si="14"/>
        <v>Incomplete</v>
      </c>
    </row>
    <row r="936" spans="1:17" hidden="1">
      <c r="A936" s="12">
        <v>46067</v>
      </c>
      <c r="B936" s="10">
        <v>11</v>
      </c>
      <c r="Q936" s="10" t="str">
        <f t="shared" si="14"/>
        <v>Incomplete</v>
      </c>
    </row>
    <row r="937" spans="1:17" hidden="1">
      <c r="A937" s="12">
        <v>46067</v>
      </c>
      <c r="B937" s="10">
        <v>12</v>
      </c>
      <c r="Q937" s="10" t="str">
        <f t="shared" si="14"/>
        <v>Incomplete</v>
      </c>
    </row>
    <row r="938" spans="1:17" hidden="1">
      <c r="A938" s="12">
        <v>46067</v>
      </c>
      <c r="B938" s="10">
        <v>13</v>
      </c>
      <c r="Q938" s="10" t="str">
        <f t="shared" si="14"/>
        <v>Incomplete</v>
      </c>
    </row>
    <row r="939" spans="1:17" hidden="1">
      <c r="A939" s="12">
        <v>46067</v>
      </c>
      <c r="B939" s="10">
        <v>14</v>
      </c>
      <c r="Q939" s="10" t="str">
        <f t="shared" si="14"/>
        <v>Incomplete</v>
      </c>
    </row>
    <row r="940" spans="1:17" hidden="1">
      <c r="A940" s="12">
        <v>46067</v>
      </c>
      <c r="B940" s="10">
        <v>15</v>
      </c>
      <c r="Q940" s="10" t="str">
        <f t="shared" si="14"/>
        <v>Incomplete</v>
      </c>
    </row>
    <row r="941" spans="1:17" hidden="1">
      <c r="A941" s="12">
        <v>46067</v>
      </c>
      <c r="B941" s="10">
        <v>16</v>
      </c>
      <c r="Q941" s="10" t="str">
        <f t="shared" si="14"/>
        <v>Incomplete</v>
      </c>
    </row>
    <row r="942" spans="1:17" hidden="1">
      <c r="A942" s="12">
        <v>46067</v>
      </c>
      <c r="B942" s="10">
        <v>17</v>
      </c>
      <c r="Q942" s="10" t="str">
        <f t="shared" si="14"/>
        <v>Incomplete</v>
      </c>
    </row>
    <row r="943" spans="1:17" hidden="1">
      <c r="A943" s="12">
        <v>46067</v>
      </c>
      <c r="B943" s="10">
        <v>18</v>
      </c>
      <c r="Q943" s="10" t="str">
        <f t="shared" si="14"/>
        <v>Incomplete</v>
      </c>
    </row>
    <row r="944" spans="1:17" hidden="1">
      <c r="A944" s="12">
        <v>46067</v>
      </c>
      <c r="B944" s="10">
        <v>19</v>
      </c>
      <c r="Q944" s="10" t="str">
        <f t="shared" si="14"/>
        <v>Incomplete</v>
      </c>
    </row>
    <row r="945" spans="1:17" hidden="1">
      <c r="A945" s="12">
        <v>46067</v>
      </c>
      <c r="B945" s="10">
        <v>20</v>
      </c>
      <c r="Q945" s="10" t="str">
        <f t="shared" si="14"/>
        <v>Incomplete</v>
      </c>
    </row>
    <row r="946" spans="1:17" hidden="1">
      <c r="A946" s="12">
        <v>46067</v>
      </c>
      <c r="B946" s="10">
        <v>21</v>
      </c>
      <c r="Q946" s="10" t="str">
        <f t="shared" si="14"/>
        <v>Incomplete</v>
      </c>
    </row>
    <row r="947" spans="1:17" hidden="1">
      <c r="A947" s="12">
        <v>46068</v>
      </c>
      <c r="B947" s="10">
        <v>1</v>
      </c>
      <c r="Q947" s="10" t="str">
        <f t="shared" si="14"/>
        <v>Incomplete</v>
      </c>
    </row>
    <row r="948" spans="1:17" hidden="1">
      <c r="A948" s="12">
        <v>46068</v>
      </c>
      <c r="B948" s="10">
        <v>2</v>
      </c>
      <c r="Q948" s="10" t="str">
        <f t="shared" si="14"/>
        <v>Incomplete</v>
      </c>
    </row>
    <row r="949" spans="1:17" hidden="1">
      <c r="A949" s="12">
        <v>46068</v>
      </c>
      <c r="B949" s="10">
        <v>3</v>
      </c>
      <c r="Q949" s="10" t="str">
        <f t="shared" si="14"/>
        <v>Incomplete</v>
      </c>
    </row>
    <row r="950" spans="1:17" hidden="1">
      <c r="A950" s="12">
        <v>46068</v>
      </c>
      <c r="B950" s="10">
        <v>4</v>
      </c>
      <c r="Q950" s="10" t="str">
        <f t="shared" si="14"/>
        <v>Incomplete</v>
      </c>
    </row>
    <row r="951" spans="1:17" hidden="1">
      <c r="A951" s="12">
        <v>46068</v>
      </c>
      <c r="B951" s="10">
        <v>5</v>
      </c>
      <c r="Q951" s="10" t="str">
        <f t="shared" si="14"/>
        <v>Incomplete</v>
      </c>
    </row>
    <row r="952" spans="1:17" hidden="1">
      <c r="A952" s="12">
        <v>46068</v>
      </c>
      <c r="B952" s="10">
        <v>6</v>
      </c>
      <c r="Q952" s="10" t="str">
        <f t="shared" si="14"/>
        <v>Incomplete</v>
      </c>
    </row>
    <row r="953" spans="1:17" hidden="1">
      <c r="A953" s="12">
        <v>46068</v>
      </c>
      <c r="B953" s="10">
        <v>7</v>
      </c>
      <c r="Q953" s="10" t="str">
        <f t="shared" si="14"/>
        <v>Incomplete</v>
      </c>
    </row>
    <row r="954" spans="1:17" hidden="1">
      <c r="A954" s="12">
        <v>46068</v>
      </c>
      <c r="B954" s="10">
        <v>8</v>
      </c>
      <c r="Q954" s="10" t="str">
        <f t="shared" si="14"/>
        <v>Incomplete</v>
      </c>
    </row>
    <row r="955" spans="1:17" hidden="1">
      <c r="A955" s="12">
        <v>46068</v>
      </c>
      <c r="B955" s="10">
        <v>9</v>
      </c>
      <c r="Q955" s="10" t="str">
        <f t="shared" si="14"/>
        <v>Incomplete</v>
      </c>
    </row>
    <row r="956" spans="1:17" hidden="1">
      <c r="A956" s="12">
        <v>46068</v>
      </c>
      <c r="B956" s="10">
        <v>10</v>
      </c>
      <c r="Q956" s="10" t="str">
        <f t="shared" si="14"/>
        <v>Incomplete</v>
      </c>
    </row>
    <row r="957" spans="1:17" hidden="1">
      <c r="A957" s="12">
        <v>46068</v>
      </c>
      <c r="B957" s="10">
        <v>11</v>
      </c>
      <c r="Q957" s="10" t="str">
        <f t="shared" si="14"/>
        <v>Incomplete</v>
      </c>
    </row>
    <row r="958" spans="1:17" hidden="1">
      <c r="A958" s="12">
        <v>46068</v>
      </c>
      <c r="B958" s="10">
        <v>12</v>
      </c>
      <c r="Q958" s="10" t="str">
        <f t="shared" si="14"/>
        <v>Incomplete</v>
      </c>
    </row>
    <row r="959" spans="1:17" hidden="1">
      <c r="A959" s="12">
        <v>46068</v>
      </c>
      <c r="B959" s="10">
        <v>13</v>
      </c>
      <c r="Q959" s="10" t="str">
        <f t="shared" si="14"/>
        <v>Incomplete</v>
      </c>
    </row>
    <row r="960" spans="1:17" hidden="1">
      <c r="A960" s="12">
        <v>46068</v>
      </c>
      <c r="B960" s="10">
        <v>14</v>
      </c>
      <c r="Q960" s="10" t="str">
        <f t="shared" si="14"/>
        <v>Incomplete</v>
      </c>
    </row>
    <row r="961" spans="1:17" hidden="1">
      <c r="A961" s="12">
        <v>46068</v>
      </c>
      <c r="B961" s="10">
        <v>15</v>
      </c>
      <c r="Q961" s="10" t="str">
        <f t="shared" si="14"/>
        <v>Incomplete</v>
      </c>
    </row>
    <row r="962" spans="1:17" hidden="1">
      <c r="A962" s="12">
        <v>46068</v>
      </c>
      <c r="B962" s="10">
        <v>16</v>
      </c>
      <c r="Q962" s="10" t="str">
        <f t="shared" ref="Q962:Q1025" si="15">IF(AND(C962&lt;&gt;"",J962&lt;&gt;"",K962&lt;&gt;"",L962&lt;&gt;"",O962="Yes"),"Complete","Incomplete")</f>
        <v>Incomplete</v>
      </c>
    </row>
    <row r="963" spans="1:17" hidden="1">
      <c r="A963" s="12">
        <v>46068</v>
      </c>
      <c r="B963" s="10">
        <v>17</v>
      </c>
      <c r="Q963" s="10" t="str">
        <f t="shared" si="15"/>
        <v>Incomplete</v>
      </c>
    </row>
    <row r="964" spans="1:17" hidden="1">
      <c r="A964" s="12">
        <v>46068</v>
      </c>
      <c r="B964" s="10">
        <v>18</v>
      </c>
      <c r="Q964" s="10" t="str">
        <f t="shared" si="15"/>
        <v>Incomplete</v>
      </c>
    </row>
    <row r="965" spans="1:17" hidden="1">
      <c r="A965" s="12">
        <v>46068</v>
      </c>
      <c r="B965" s="10">
        <v>19</v>
      </c>
      <c r="Q965" s="10" t="str">
        <f t="shared" si="15"/>
        <v>Incomplete</v>
      </c>
    </row>
    <row r="966" spans="1:17" hidden="1">
      <c r="A966" s="12">
        <v>46068</v>
      </c>
      <c r="B966" s="10">
        <v>20</v>
      </c>
      <c r="Q966" s="10" t="str">
        <f t="shared" si="15"/>
        <v>Incomplete</v>
      </c>
    </row>
    <row r="967" spans="1:17" hidden="1">
      <c r="A967" s="12">
        <v>46068</v>
      </c>
      <c r="B967" s="10">
        <v>21</v>
      </c>
      <c r="Q967" s="10" t="str">
        <f t="shared" si="15"/>
        <v>Incomplete</v>
      </c>
    </row>
    <row r="968" spans="1:17" hidden="1">
      <c r="A968" s="12">
        <v>46069</v>
      </c>
      <c r="B968" s="10">
        <v>1</v>
      </c>
      <c r="Q968" s="10" t="str">
        <f t="shared" si="15"/>
        <v>Incomplete</v>
      </c>
    </row>
    <row r="969" spans="1:17" hidden="1">
      <c r="A969" s="12">
        <v>46069</v>
      </c>
      <c r="B969" s="10">
        <v>2</v>
      </c>
      <c r="Q969" s="10" t="str">
        <f t="shared" si="15"/>
        <v>Incomplete</v>
      </c>
    </row>
    <row r="970" spans="1:17" hidden="1">
      <c r="A970" s="12">
        <v>46069</v>
      </c>
      <c r="B970" s="10">
        <v>3</v>
      </c>
      <c r="Q970" s="10" t="str">
        <f t="shared" si="15"/>
        <v>Incomplete</v>
      </c>
    </row>
    <row r="971" spans="1:17" hidden="1">
      <c r="A971" s="12">
        <v>46069</v>
      </c>
      <c r="B971" s="10">
        <v>4</v>
      </c>
      <c r="Q971" s="10" t="str">
        <f t="shared" si="15"/>
        <v>Incomplete</v>
      </c>
    </row>
    <row r="972" spans="1:17" hidden="1">
      <c r="A972" s="12">
        <v>46069</v>
      </c>
      <c r="B972" s="10">
        <v>5</v>
      </c>
      <c r="Q972" s="10" t="str">
        <f t="shared" si="15"/>
        <v>Incomplete</v>
      </c>
    </row>
    <row r="973" spans="1:17" hidden="1">
      <c r="A973" s="12">
        <v>46069</v>
      </c>
      <c r="B973" s="10">
        <v>6</v>
      </c>
      <c r="Q973" s="10" t="str">
        <f t="shared" si="15"/>
        <v>Incomplete</v>
      </c>
    </row>
    <row r="974" spans="1:17" hidden="1">
      <c r="A974" s="12">
        <v>46069</v>
      </c>
      <c r="B974" s="10">
        <v>7</v>
      </c>
      <c r="Q974" s="10" t="str">
        <f t="shared" si="15"/>
        <v>Incomplete</v>
      </c>
    </row>
    <row r="975" spans="1:17" hidden="1">
      <c r="A975" s="12">
        <v>46069</v>
      </c>
      <c r="B975" s="10">
        <v>8</v>
      </c>
      <c r="Q975" s="10" t="str">
        <f t="shared" si="15"/>
        <v>Incomplete</v>
      </c>
    </row>
    <row r="976" spans="1:17" hidden="1">
      <c r="A976" s="12">
        <v>46069</v>
      </c>
      <c r="B976" s="10">
        <v>9</v>
      </c>
      <c r="Q976" s="10" t="str">
        <f t="shared" si="15"/>
        <v>Incomplete</v>
      </c>
    </row>
    <row r="977" spans="1:17" hidden="1">
      <c r="A977" s="12">
        <v>46069</v>
      </c>
      <c r="B977" s="10">
        <v>10</v>
      </c>
      <c r="Q977" s="10" t="str">
        <f t="shared" si="15"/>
        <v>Incomplete</v>
      </c>
    </row>
    <row r="978" spans="1:17" hidden="1">
      <c r="A978" s="12">
        <v>46069</v>
      </c>
      <c r="B978" s="10">
        <v>11</v>
      </c>
      <c r="Q978" s="10" t="str">
        <f t="shared" si="15"/>
        <v>Incomplete</v>
      </c>
    </row>
    <row r="979" spans="1:17" hidden="1">
      <c r="A979" s="12">
        <v>46069</v>
      </c>
      <c r="B979" s="10">
        <v>12</v>
      </c>
      <c r="Q979" s="10" t="str">
        <f t="shared" si="15"/>
        <v>Incomplete</v>
      </c>
    </row>
    <row r="980" spans="1:17" hidden="1">
      <c r="A980" s="12">
        <v>46069</v>
      </c>
      <c r="B980" s="10">
        <v>13</v>
      </c>
      <c r="Q980" s="10" t="str">
        <f t="shared" si="15"/>
        <v>Incomplete</v>
      </c>
    </row>
    <row r="981" spans="1:17" hidden="1">
      <c r="A981" s="12">
        <v>46069</v>
      </c>
      <c r="B981" s="10">
        <v>14</v>
      </c>
      <c r="Q981" s="10" t="str">
        <f t="shared" si="15"/>
        <v>Incomplete</v>
      </c>
    </row>
    <row r="982" spans="1:17" hidden="1">
      <c r="A982" s="12">
        <v>46069</v>
      </c>
      <c r="B982" s="10">
        <v>15</v>
      </c>
      <c r="Q982" s="10" t="str">
        <f t="shared" si="15"/>
        <v>Incomplete</v>
      </c>
    </row>
    <row r="983" spans="1:17" hidden="1">
      <c r="A983" s="12">
        <v>46069</v>
      </c>
      <c r="B983" s="10">
        <v>16</v>
      </c>
      <c r="Q983" s="10" t="str">
        <f t="shared" si="15"/>
        <v>Incomplete</v>
      </c>
    </row>
    <row r="984" spans="1:17" hidden="1">
      <c r="A984" s="12">
        <v>46069</v>
      </c>
      <c r="B984" s="10">
        <v>17</v>
      </c>
      <c r="Q984" s="10" t="str">
        <f t="shared" si="15"/>
        <v>Incomplete</v>
      </c>
    </row>
    <row r="985" spans="1:17" hidden="1">
      <c r="A985" s="12">
        <v>46069</v>
      </c>
      <c r="B985" s="10">
        <v>18</v>
      </c>
      <c r="Q985" s="10" t="str">
        <f t="shared" si="15"/>
        <v>Incomplete</v>
      </c>
    </row>
    <row r="986" spans="1:17" hidden="1">
      <c r="A986" s="12">
        <v>46069</v>
      </c>
      <c r="B986" s="10">
        <v>19</v>
      </c>
      <c r="Q986" s="10" t="str">
        <f t="shared" si="15"/>
        <v>Incomplete</v>
      </c>
    </row>
    <row r="987" spans="1:17" hidden="1">
      <c r="A987" s="12">
        <v>46069</v>
      </c>
      <c r="B987" s="10">
        <v>20</v>
      </c>
      <c r="Q987" s="10" t="str">
        <f t="shared" si="15"/>
        <v>Incomplete</v>
      </c>
    </row>
    <row r="988" spans="1:17" hidden="1">
      <c r="A988" s="12">
        <v>46069</v>
      </c>
      <c r="B988" s="10">
        <v>21</v>
      </c>
      <c r="Q988" s="10" t="str">
        <f t="shared" si="15"/>
        <v>Incomplete</v>
      </c>
    </row>
    <row r="989" spans="1:17" hidden="1">
      <c r="A989" s="12">
        <v>46070</v>
      </c>
      <c r="B989" s="10">
        <v>1</v>
      </c>
      <c r="Q989" s="10" t="str">
        <f t="shared" si="15"/>
        <v>Incomplete</v>
      </c>
    </row>
    <row r="990" spans="1:17" hidden="1">
      <c r="A990" s="12">
        <v>46070</v>
      </c>
      <c r="B990" s="10">
        <v>2</v>
      </c>
      <c r="Q990" s="10" t="str">
        <f t="shared" si="15"/>
        <v>Incomplete</v>
      </c>
    </row>
    <row r="991" spans="1:17" hidden="1">
      <c r="A991" s="12">
        <v>46070</v>
      </c>
      <c r="B991" s="10">
        <v>3</v>
      </c>
      <c r="Q991" s="10" t="str">
        <f t="shared" si="15"/>
        <v>Incomplete</v>
      </c>
    </row>
    <row r="992" spans="1:17" hidden="1">
      <c r="A992" s="12">
        <v>46070</v>
      </c>
      <c r="B992" s="10">
        <v>4</v>
      </c>
      <c r="Q992" s="10" t="str">
        <f t="shared" si="15"/>
        <v>Incomplete</v>
      </c>
    </row>
    <row r="993" spans="1:17" hidden="1">
      <c r="A993" s="12">
        <v>46070</v>
      </c>
      <c r="B993" s="10">
        <v>5</v>
      </c>
      <c r="Q993" s="10" t="str">
        <f t="shared" si="15"/>
        <v>Incomplete</v>
      </c>
    </row>
    <row r="994" spans="1:17" hidden="1">
      <c r="A994" s="12">
        <v>46070</v>
      </c>
      <c r="B994" s="10">
        <v>6</v>
      </c>
      <c r="Q994" s="10" t="str">
        <f t="shared" si="15"/>
        <v>Incomplete</v>
      </c>
    </row>
    <row r="995" spans="1:17" hidden="1">
      <c r="A995" s="12">
        <v>46070</v>
      </c>
      <c r="B995" s="10">
        <v>7</v>
      </c>
      <c r="Q995" s="10" t="str">
        <f t="shared" si="15"/>
        <v>Incomplete</v>
      </c>
    </row>
    <row r="996" spans="1:17" hidden="1">
      <c r="A996" s="12">
        <v>46070</v>
      </c>
      <c r="B996" s="10">
        <v>8</v>
      </c>
      <c r="Q996" s="10" t="str">
        <f t="shared" si="15"/>
        <v>Incomplete</v>
      </c>
    </row>
    <row r="997" spans="1:17" hidden="1">
      <c r="A997" s="12">
        <v>46070</v>
      </c>
      <c r="B997" s="10">
        <v>9</v>
      </c>
      <c r="Q997" s="10" t="str">
        <f t="shared" si="15"/>
        <v>Incomplete</v>
      </c>
    </row>
    <row r="998" spans="1:17" hidden="1">
      <c r="A998" s="12">
        <v>46070</v>
      </c>
      <c r="B998" s="10">
        <v>10</v>
      </c>
      <c r="Q998" s="10" t="str">
        <f t="shared" si="15"/>
        <v>Incomplete</v>
      </c>
    </row>
    <row r="999" spans="1:17" hidden="1">
      <c r="A999" s="12">
        <v>46070</v>
      </c>
      <c r="B999" s="10">
        <v>11</v>
      </c>
      <c r="Q999" s="10" t="str">
        <f t="shared" si="15"/>
        <v>Incomplete</v>
      </c>
    </row>
    <row r="1000" spans="1:17" hidden="1">
      <c r="A1000" s="12">
        <v>46070</v>
      </c>
      <c r="B1000" s="10">
        <v>12</v>
      </c>
      <c r="Q1000" s="10" t="str">
        <f t="shared" si="15"/>
        <v>Incomplete</v>
      </c>
    </row>
    <row r="1001" spans="1:17" hidden="1">
      <c r="A1001" s="12">
        <v>46070</v>
      </c>
      <c r="B1001" s="10">
        <v>13</v>
      </c>
      <c r="Q1001" s="10" t="str">
        <f t="shared" si="15"/>
        <v>Incomplete</v>
      </c>
    </row>
    <row r="1002" spans="1:17" hidden="1">
      <c r="A1002" s="12">
        <v>46070</v>
      </c>
      <c r="B1002" s="10">
        <v>14</v>
      </c>
      <c r="Q1002" s="10" t="str">
        <f t="shared" si="15"/>
        <v>Incomplete</v>
      </c>
    </row>
    <row r="1003" spans="1:17" hidden="1">
      <c r="A1003" s="12">
        <v>46070</v>
      </c>
      <c r="B1003" s="10">
        <v>15</v>
      </c>
      <c r="Q1003" s="10" t="str">
        <f t="shared" si="15"/>
        <v>Incomplete</v>
      </c>
    </row>
    <row r="1004" spans="1:17" hidden="1">
      <c r="A1004" s="12">
        <v>46070</v>
      </c>
      <c r="B1004" s="10">
        <v>16</v>
      </c>
      <c r="Q1004" s="10" t="str">
        <f t="shared" si="15"/>
        <v>Incomplete</v>
      </c>
    </row>
    <row r="1005" spans="1:17" hidden="1">
      <c r="A1005" s="12">
        <v>46070</v>
      </c>
      <c r="B1005" s="10">
        <v>17</v>
      </c>
      <c r="Q1005" s="10" t="str">
        <f t="shared" si="15"/>
        <v>Incomplete</v>
      </c>
    </row>
    <row r="1006" spans="1:17" hidden="1">
      <c r="A1006" s="12">
        <v>46070</v>
      </c>
      <c r="B1006" s="10">
        <v>18</v>
      </c>
      <c r="Q1006" s="10" t="str">
        <f t="shared" si="15"/>
        <v>Incomplete</v>
      </c>
    </row>
    <row r="1007" spans="1:17" hidden="1">
      <c r="A1007" s="12">
        <v>46070</v>
      </c>
      <c r="B1007" s="10">
        <v>19</v>
      </c>
      <c r="Q1007" s="10" t="str">
        <f t="shared" si="15"/>
        <v>Incomplete</v>
      </c>
    </row>
    <row r="1008" spans="1:17" hidden="1">
      <c r="A1008" s="12">
        <v>46070</v>
      </c>
      <c r="B1008" s="10">
        <v>20</v>
      </c>
      <c r="Q1008" s="10" t="str">
        <f t="shared" si="15"/>
        <v>Incomplete</v>
      </c>
    </row>
    <row r="1009" spans="1:17" hidden="1">
      <c r="A1009" s="12">
        <v>46070</v>
      </c>
      <c r="B1009" s="10">
        <v>21</v>
      </c>
      <c r="Q1009" s="10" t="str">
        <f t="shared" si="15"/>
        <v>Incomplete</v>
      </c>
    </row>
    <row r="1010" spans="1:17" hidden="1">
      <c r="A1010" s="12">
        <v>46071</v>
      </c>
      <c r="B1010" s="10">
        <v>1</v>
      </c>
      <c r="Q1010" s="10" t="str">
        <f t="shared" si="15"/>
        <v>Incomplete</v>
      </c>
    </row>
    <row r="1011" spans="1:17" hidden="1">
      <c r="A1011" s="12">
        <v>46071</v>
      </c>
      <c r="B1011" s="10">
        <v>2</v>
      </c>
      <c r="Q1011" s="10" t="str">
        <f t="shared" si="15"/>
        <v>Incomplete</v>
      </c>
    </row>
    <row r="1012" spans="1:17" hidden="1">
      <c r="A1012" s="12">
        <v>46071</v>
      </c>
      <c r="B1012" s="10">
        <v>3</v>
      </c>
      <c r="Q1012" s="10" t="str">
        <f t="shared" si="15"/>
        <v>Incomplete</v>
      </c>
    </row>
    <row r="1013" spans="1:17" hidden="1">
      <c r="A1013" s="12">
        <v>46071</v>
      </c>
      <c r="B1013" s="10">
        <v>4</v>
      </c>
      <c r="Q1013" s="10" t="str">
        <f t="shared" si="15"/>
        <v>Incomplete</v>
      </c>
    </row>
    <row r="1014" spans="1:17" hidden="1">
      <c r="A1014" s="12">
        <v>46071</v>
      </c>
      <c r="B1014" s="10">
        <v>5</v>
      </c>
      <c r="Q1014" s="10" t="str">
        <f t="shared" si="15"/>
        <v>Incomplete</v>
      </c>
    </row>
    <row r="1015" spans="1:17" hidden="1">
      <c r="A1015" s="12">
        <v>46071</v>
      </c>
      <c r="B1015" s="10">
        <v>6</v>
      </c>
      <c r="Q1015" s="10" t="str">
        <f t="shared" si="15"/>
        <v>Incomplete</v>
      </c>
    </row>
    <row r="1016" spans="1:17" hidden="1">
      <c r="A1016" s="12">
        <v>46071</v>
      </c>
      <c r="B1016" s="10">
        <v>7</v>
      </c>
      <c r="Q1016" s="10" t="str">
        <f t="shared" si="15"/>
        <v>Incomplete</v>
      </c>
    </row>
    <row r="1017" spans="1:17" hidden="1">
      <c r="A1017" s="12">
        <v>46071</v>
      </c>
      <c r="B1017" s="10">
        <v>8</v>
      </c>
      <c r="Q1017" s="10" t="str">
        <f t="shared" si="15"/>
        <v>Incomplete</v>
      </c>
    </row>
    <row r="1018" spans="1:17" hidden="1">
      <c r="A1018" s="12">
        <v>46071</v>
      </c>
      <c r="B1018" s="10">
        <v>9</v>
      </c>
      <c r="Q1018" s="10" t="str">
        <f t="shared" si="15"/>
        <v>Incomplete</v>
      </c>
    </row>
    <row r="1019" spans="1:17" hidden="1">
      <c r="A1019" s="12">
        <v>46071</v>
      </c>
      <c r="B1019" s="10">
        <v>10</v>
      </c>
      <c r="Q1019" s="10" t="str">
        <f t="shared" si="15"/>
        <v>Incomplete</v>
      </c>
    </row>
    <row r="1020" spans="1:17" hidden="1">
      <c r="A1020" s="12">
        <v>46071</v>
      </c>
      <c r="B1020" s="10">
        <v>11</v>
      </c>
      <c r="Q1020" s="10" t="str">
        <f t="shared" si="15"/>
        <v>Incomplete</v>
      </c>
    </row>
    <row r="1021" spans="1:17" hidden="1">
      <c r="A1021" s="12">
        <v>46071</v>
      </c>
      <c r="B1021" s="10">
        <v>12</v>
      </c>
      <c r="Q1021" s="10" t="str">
        <f t="shared" si="15"/>
        <v>Incomplete</v>
      </c>
    </row>
    <row r="1022" spans="1:17" hidden="1">
      <c r="A1022" s="12">
        <v>46071</v>
      </c>
      <c r="B1022" s="10">
        <v>13</v>
      </c>
      <c r="Q1022" s="10" t="str">
        <f t="shared" si="15"/>
        <v>Incomplete</v>
      </c>
    </row>
    <row r="1023" spans="1:17" hidden="1">
      <c r="A1023" s="12">
        <v>46071</v>
      </c>
      <c r="B1023" s="10">
        <v>14</v>
      </c>
      <c r="Q1023" s="10" t="str">
        <f t="shared" si="15"/>
        <v>Incomplete</v>
      </c>
    </row>
    <row r="1024" spans="1:17" hidden="1">
      <c r="A1024" s="12">
        <v>46071</v>
      </c>
      <c r="B1024" s="10">
        <v>15</v>
      </c>
      <c r="Q1024" s="10" t="str">
        <f t="shared" si="15"/>
        <v>Incomplete</v>
      </c>
    </row>
    <row r="1025" spans="1:17" hidden="1">
      <c r="A1025" s="12">
        <v>46071</v>
      </c>
      <c r="B1025" s="10">
        <v>16</v>
      </c>
      <c r="Q1025" s="10" t="str">
        <f t="shared" si="15"/>
        <v>Incomplete</v>
      </c>
    </row>
    <row r="1026" spans="1:17" hidden="1">
      <c r="A1026" s="12">
        <v>46071</v>
      </c>
      <c r="B1026" s="10">
        <v>17</v>
      </c>
      <c r="Q1026" s="10" t="str">
        <f t="shared" ref="Q1026:Q1089" si="16">IF(AND(C1026&lt;&gt;"",J1026&lt;&gt;"",K1026&lt;&gt;"",L1026&lt;&gt;"",O1026="Yes"),"Complete","Incomplete")</f>
        <v>Incomplete</v>
      </c>
    </row>
    <row r="1027" spans="1:17" hidden="1">
      <c r="A1027" s="12">
        <v>46071</v>
      </c>
      <c r="B1027" s="10">
        <v>18</v>
      </c>
      <c r="Q1027" s="10" t="str">
        <f t="shared" si="16"/>
        <v>Incomplete</v>
      </c>
    </row>
    <row r="1028" spans="1:17" hidden="1">
      <c r="A1028" s="12">
        <v>46071</v>
      </c>
      <c r="B1028" s="10">
        <v>19</v>
      </c>
      <c r="Q1028" s="10" t="str">
        <f t="shared" si="16"/>
        <v>Incomplete</v>
      </c>
    </row>
    <row r="1029" spans="1:17" hidden="1">
      <c r="A1029" s="12">
        <v>46071</v>
      </c>
      <c r="B1029" s="10">
        <v>20</v>
      </c>
      <c r="Q1029" s="10" t="str">
        <f t="shared" si="16"/>
        <v>Incomplete</v>
      </c>
    </row>
    <row r="1030" spans="1:17" hidden="1">
      <c r="A1030" s="12">
        <v>46071</v>
      </c>
      <c r="B1030" s="10">
        <v>21</v>
      </c>
      <c r="Q1030" s="10" t="str">
        <f t="shared" si="16"/>
        <v>Incomplete</v>
      </c>
    </row>
    <row r="1031" spans="1:17" hidden="1">
      <c r="A1031" s="12">
        <v>46072</v>
      </c>
      <c r="B1031" s="10">
        <v>1</v>
      </c>
      <c r="Q1031" s="10" t="str">
        <f t="shared" si="16"/>
        <v>Incomplete</v>
      </c>
    </row>
    <row r="1032" spans="1:17" hidden="1">
      <c r="A1032" s="12">
        <v>46072</v>
      </c>
      <c r="B1032" s="10">
        <v>2</v>
      </c>
      <c r="Q1032" s="10" t="str">
        <f t="shared" si="16"/>
        <v>Incomplete</v>
      </c>
    </row>
    <row r="1033" spans="1:17" hidden="1">
      <c r="A1033" s="12">
        <v>46072</v>
      </c>
      <c r="B1033" s="10">
        <v>3</v>
      </c>
      <c r="Q1033" s="10" t="str">
        <f t="shared" si="16"/>
        <v>Incomplete</v>
      </c>
    </row>
    <row r="1034" spans="1:17" hidden="1">
      <c r="A1034" s="12">
        <v>46072</v>
      </c>
      <c r="B1034" s="10">
        <v>4</v>
      </c>
      <c r="Q1034" s="10" t="str">
        <f t="shared" si="16"/>
        <v>Incomplete</v>
      </c>
    </row>
    <row r="1035" spans="1:17" hidden="1">
      <c r="A1035" s="12">
        <v>46072</v>
      </c>
      <c r="B1035" s="10">
        <v>5</v>
      </c>
      <c r="Q1035" s="10" t="str">
        <f t="shared" si="16"/>
        <v>Incomplete</v>
      </c>
    </row>
    <row r="1036" spans="1:17" hidden="1">
      <c r="A1036" s="12">
        <v>46072</v>
      </c>
      <c r="B1036" s="10">
        <v>6</v>
      </c>
      <c r="Q1036" s="10" t="str">
        <f t="shared" si="16"/>
        <v>Incomplete</v>
      </c>
    </row>
    <row r="1037" spans="1:17" hidden="1">
      <c r="A1037" s="12">
        <v>46072</v>
      </c>
      <c r="B1037" s="10">
        <v>7</v>
      </c>
      <c r="Q1037" s="10" t="str">
        <f t="shared" si="16"/>
        <v>Incomplete</v>
      </c>
    </row>
    <row r="1038" spans="1:17" hidden="1">
      <c r="A1038" s="12">
        <v>46072</v>
      </c>
      <c r="B1038" s="10">
        <v>8</v>
      </c>
      <c r="Q1038" s="10" t="str">
        <f t="shared" si="16"/>
        <v>Incomplete</v>
      </c>
    </row>
    <row r="1039" spans="1:17" hidden="1">
      <c r="A1039" s="12">
        <v>46072</v>
      </c>
      <c r="B1039" s="10">
        <v>9</v>
      </c>
      <c r="Q1039" s="10" t="str">
        <f t="shared" si="16"/>
        <v>Incomplete</v>
      </c>
    </row>
    <row r="1040" spans="1:17" hidden="1">
      <c r="A1040" s="12">
        <v>46072</v>
      </c>
      <c r="B1040" s="10">
        <v>10</v>
      </c>
      <c r="Q1040" s="10" t="str">
        <f t="shared" si="16"/>
        <v>Incomplete</v>
      </c>
    </row>
    <row r="1041" spans="1:17" hidden="1">
      <c r="A1041" s="12">
        <v>46072</v>
      </c>
      <c r="B1041" s="10">
        <v>11</v>
      </c>
      <c r="Q1041" s="10" t="str">
        <f t="shared" si="16"/>
        <v>Incomplete</v>
      </c>
    </row>
    <row r="1042" spans="1:17" hidden="1">
      <c r="A1042" s="12">
        <v>46072</v>
      </c>
      <c r="B1042" s="10">
        <v>12</v>
      </c>
      <c r="Q1042" s="10" t="str">
        <f t="shared" si="16"/>
        <v>Incomplete</v>
      </c>
    </row>
    <row r="1043" spans="1:17" hidden="1">
      <c r="A1043" s="12">
        <v>46072</v>
      </c>
      <c r="B1043" s="10">
        <v>13</v>
      </c>
      <c r="Q1043" s="10" t="str">
        <f t="shared" si="16"/>
        <v>Incomplete</v>
      </c>
    </row>
    <row r="1044" spans="1:17" hidden="1">
      <c r="A1044" s="12">
        <v>46072</v>
      </c>
      <c r="B1044" s="10">
        <v>14</v>
      </c>
      <c r="Q1044" s="10" t="str">
        <f t="shared" si="16"/>
        <v>Incomplete</v>
      </c>
    </row>
    <row r="1045" spans="1:17" hidden="1">
      <c r="A1045" s="12">
        <v>46072</v>
      </c>
      <c r="B1045" s="10">
        <v>15</v>
      </c>
      <c r="Q1045" s="10" t="str">
        <f t="shared" si="16"/>
        <v>Incomplete</v>
      </c>
    </row>
    <row r="1046" spans="1:17" hidden="1">
      <c r="A1046" s="12">
        <v>46072</v>
      </c>
      <c r="B1046" s="10">
        <v>16</v>
      </c>
      <c r="Q1046" s="10" t="str">
        <f t="shared" si="16"/>
        <v>Incomplete</v>
      </c>
    </row>
    <row r="1047" spans="1:17" hidden="1">
      <c r="A1047" s="12">
        <v>46072</v>
      </c>
      <c r="B1047" s="10">
        <v>17</v>
      </c>
      <c r="Q1047" s="10" t="str">
        <f t="shared" si="16"/>
        <v>Incomplete</v>
      </c>
    </row>
    <row r="1048" spans="1:17" hidden="1">
      <c r="A1048" s="12">
        <v>46072</v>
      </c>
      <c r="B1048" s="10">
        <v>18</v>
      </c>
      <c r="Q1048" s="10" t="str">
        <f t="shared" si="16"/>
        <v>Incomplete</v>
      </c>
    </row>
    <row r="1049" spans="1:17" hidden="1">
      <c r="A1049" s="12">
        <v>46072</v>
      </c>
      <c r="B1049" s="10">
        <v>19</v>
      </c>
      <c r="Q1049" s="10" t="str">
        <f t="shared" si="16"/>
        <v>Incomplete</v>
      </c>
    </row>
    <row r="1050" spans="1:17" hidden="1">
      <c r="A1050" s="12">
        <v>46072</v>
      </c>
      <c r="B1050" s="10">
        <v>20</v>
      </c>
      <c r="Q1050" s="10" t="str">
        <f t="shared" si="16"/>
        <v>Incomplete</v>
      </c>
    </row>
    <row r="1051" spans="1:17" hidden="1">
      <c r="A1051" s="12">
        <v>46072</v>
      </c>
      <c r="B1051" s="10">
        <v>21</v>
      </c>
      <c r="Q1051" s="10" t="str">
        <f t="shared" si="16"/>
        <v>Incomplete</v>
      </c>
    </row>
    <row r="1052" spans="1:17" hidden="1">
      <c r="A1052" s="12">
        <v>46073</v>
      </c>
      <c r="B1052" s="10">
        <v>1</v>
      </c>
      <c r="Q1052" s="10" t="str">
        <f t="shared" si="16"/>
        <v>Incomplete</v>
      </c>
    </row>
    <row r="1053" spans="1:17" hidden="1">
      <c r="A1053" s="12">
        <v>46073</v>
      </c>
      <c r="B1053" s="10">
        <v>2</v>
      </c>
      <c r="Q1053" s="10" t="str">
        <f t="shared" si="16"/>
        <v>Incomplete</v>
      </c>
    </row>
    <row r="1054" spans="1:17" hidden="1">
      <c r="A1054" s="12">
        <v>46073</v>
      </c>
      <c r="B1054" s="10">
        <v>3</v>
      </c>
      <c r="Q1054" s="10" t="str">
        <f t="shared" si="16"/>
        <v>Incomplete</v>
      </c>
    </row>
    <row r="1055" spans="1:17" hidden="1">
      <c r="A1055" s="12">
        <v>46073</v>
      </c>
      <c r="B1055" s="10">
        <v>4</v>
      </c>
      <c r="Q1055" s="10" t="str">
        <f t="shared" si="16"/>
        <v>Incomplete</v>
      </c>
    </row>
    <row r="1056" spans="1:17" hidden="1">
      <c r="A1056" s="12">
        <v>46073</v>
      </c>
      <c r="B1056" s="10">
        <v>5</v>
      </c>
      <c r="Q1056" s="10" t="str">
        <f t="shared" si="16"/>
        <v>Incomplete</v>
      </c>
    </row>
    <row r="1057" spans="1:17" hidden="1">
      <c r="A1057" s="12">
        <v>46073</v>
      </c>
      <c r="B1057" s="10">
        <v>6</v>
      </c>
      <c r="Q1057" s="10" t="str">
        <f t="shared" si="16"/>
        <v>Incomplete</v>
      </c>
    </row>
    <row r="1058" spans="1:17" hidden="1">
      <c r="A1058" s="12">
        <v>46073</v>
      </c>
      <c r="B1058" s="10">
        <v>7</v>
      </c>
      <c r="Q1058" s="10" t="str">
        <f t="shared" si="16"/>
        <v>Incomplete</v>
      </c>
    </row>
    <row r="1059" spans="1:17" hidden="1">
      <c r="A1059" s="12">
        <v>46073</v>
      </c>
      <c r="B1059" s="10">
        <v>8</v>
      </c>
      <c r="Q1059" s="10" t="str">
        <f t="shared" si="16"/>
        <v>Incomplete</v>
      </c>
    </row>
    <row r="1060" spans="1:17" hidden="1">
      <c r="A1060" s="12">
        <v>46073</v>
      </c>
      <c r="B1060" s="10">
        <v>9</v>
      </c>
      <c r="Q1060" s="10" t="str">
        <f t="shared" si="16"/>
        <v>Incomplete</v>
      </c>
    </row>
    <row r="1061" spans="1:17" hidden="1">
      <c r="A1061" s="12">
        <v>46073</v>
      </c>
      <c r="B1061" s="10">
        <v>10</v>
      </c>
      <c r="Q1061" s="10" t="str">
        <f t="shared" si="16"/>
        <v>Incomplete</v>
      </c>
    </row>
    <row r="1062" spans="1:17" hidden="1">
      <c r="A1062" s="12">
        <v>46073</v>
      </c>
      <c r="B1062" s="10">
        <v>11</v>
      </c>
      <c r="Q1062" s="10" t="str">
        <f t="shared" si="16"/>
        <v>Incomplete</v>
      </c>
    </row>
    <row r="1063" spans="1:17" hidden="1">
      <c r="A1063" s="12">
        <v>46073</v>
      </c>
      <c r="B1063" s="10">
        <v>12</v>
      </c>
      <c r="Q1063" s="10" t="str">
        <f t="shared" si="16"/>
        <v>Incomplete</v>
      </c>
    </row>
    <row r="1064" spans="1:17" hidden="1">
      <c r="A1064" s="12">
        <v>46073</v>
      </c>
      <c r="B1064" s="10">
        <v>13</v>
      </c>
      <c r="Q1064" s="10" t="str">
        <f t="shared" si="16"/>
        <v>Incomplete</v>
      </c>
    </row>
    <row r="1065" spans="1:17" hidden="1">
      <c r="A1065" s="12">
        <v>46073</v>
      </c>
      <c r="B1065" s="10">
        <v>14</v>
      </c>
      <c r="Q1065" s="10" t="str">
        <f t="shared" si="16"/>
        <v>Incomplete</v>
      </c>
    </row>
    <row r="1066" spans="1:17" hidden="1">
      <c r="A1066" s="12">
        <v>46073</v>
      </c>
      <c r="B1066" s="10">
        <v>15</v>
      </c>
      <c r="Q1066" s="10" t="str">
        <f t="shared" si="16"/>
        <v>Incomplete</v>
      </c>
    </row>
    <row r="1067" spans="1:17" hidden="1">
      <c r="A1067" s="12">
        <v>46073</v>
      </c>
      <c r="B1067" s="10">
        <v>16</v>
      </c>
      <c r="Q1067" s="10" t="str">
        <f t="shared" si="16"/>
        <v>Incomplete</v>
      </c>
    </row>
    <row r="1068" spans="1:17" hidden="1">
      <c r="A1068" s="12">
        <v>46073</v>
      </c>
      <c r="B1068" s="10">
        <v>17</v>
      </c>
      <c r="Q1068" s="10" t="str">
        <f t="shared" si="16"/>
        <v>Incomplete</v>
      </c>
    </row>
    <row r="1069" spans="1:17" hidden="1">
      <c r="A1069" s="12">
        <v>46073</v>
      </c>
      <c r="B1069" s="10">
        <v>18</v>
      </c>
      <c r="Q1069" s="10" t="str">
        <f t="shared" si="16"/>
        <v>Incomplete</v>
      </c>
    </row>
    <row r="1070" spans="1:17" hidden="1">
      <c r="A1070" s="12">
        <v>46073</v>
      </c>
      <c r="B1070" s="10">
        <v>19</v>
      </c>
      <c r="Q1070" s="10" t="str">
        <f t="shared" si="16"/>
        <v>Incomplete</v>
      </c>
    </row>
    <row r="1071" spans="1:17" hidden="1">
      <c r="A1071" s="12">
        <v>46073</v>
      </c>
      <c r="B1071" s="10">
        <v>20</v>
      </c>
      <c r="Q1071" s="10" t="str">
        <f t="shared" si="16"/>
        <v>Incomplete</v>
      </c>
    </row>
    <row r="1072" spans="1:17" hidden="1">
      <c r="A1072" s="12">
        <v>46073</v>
      </c>
      <c r="B1072" s="10">
        <v>21</v>
      </c>
      <c r="Q1072" s="10" t="str">
        <f t="shared" si="16"/>
        <v>Incomplete</v>
      </c>
    </row>
    <row r="1073" spans="1:17" hidden="1">
      <c r="A1073" s="12">
        <v>46074</v>
      </c>
      <c r="B1073" s="10">
        <v>1</v>
      </c>
      <c r="Q1073" s="10" t="str">
        <f t="shared" si="16"/>
        <v>Incomplete</v>
      </c>
    </row>
    <row r="1074" spans="1:17" hidden="1">
      <c r="A1074" s="12">
        <v>46074</v>
      </c>
      <c r="B1074" s="10">
        <v>2</v>
      </c>
      <c r="Q1074" s="10" t="str">
        <f t="shared" si="16"/>
        <v>Incomplete</v>
      </c>
    </row>
    <row r="1075" spans="1:17" hidden="1">
      <c r="A1075" s="12">
        <v>46074</v>
      </c>
      <c r="B1075" s="10">
        <v>3</v>
      </c>
      <c r="Q1075" s="10" t="str">
        <f t="shared" si="16"/>
        <v>Incomplete</v>
      </c>
    </row>
    <row r="1076" spans="1:17" hidden="1">
      <c r="A1076" s="12">
        <v>46074</v>
      </c>
      <c r="B1076" s="10">
        <v>4</v>
      </c>
      <c r="Q1076" s="10" t="str">
        <f t="shared" si="16"/>
        <v>Incomplete</v>
      </c>
    </row>
    <row r="1077" spans="1:17" hidden="1">
      <c r="A1077" s="12">
        <v>46074</v>
      </c>
      <c r="B1077" s="10">
        <v>5</v>
      </c>
      <c r="Q1077" s="10" t="str">
        <f t="shared" si="16"/>
        <v>Incomplete</v>
      </c>
    </row>
    <row r="1078" spans="1:17" hidden="1">
      <c r="A1078" s="12">
        <v>46074</v>
      </c>
      <c r="B1078" s="10">
        <v>6</v>
      </c>
      <c r="Q1078" s="10" t="str">
        <f t="shared" si="16"/>
        <v>Incomplete</v>
      </c>
    </row>
    <row r="1079" spans="1:17" hidden="1">
      <c r="A1079" s="12">
        <v>46074</v>
      </c>
      <c r="B1079" s="10">
        <v>7</v>
      </c>
      <c r="Q1079" s="10" t="str">
        <f t="shared" si="16"/>
        <v>Incomplete</v>
      </c>
    </row>
    <row r="1080" spans="1:17" hidden="1">
      <c r="A1080" s="12">
        <v>46074</v>
      </c>
      <c r="B1080" s="10">
        <v>8</v>
      </c>
      <c r="Q1080" s="10" t="str">
        <f t="shared" si="16"/>
        <v>Incomplete</v>
      </c>
    </row>
    <row r="1081" spans="1:17" hidden="1">
      <c r="A1081" s="12">
        <v>46074</v>
      </c>
      <c r="B1081" s="10">
        <v>9</v>
      </c>
      <c r="Q1081" s="10" t="str">
        <f t="shared" si="16"/>
        <v>Incomplete</v>
      </c>
    </row>
    <row r="1082" spans="1:17" hidden="1">
      <c r="A1082" s="12">
        <v>46074</v>
      </c>
      <c r="B1082" s="10">
        <v>10</v>
      </c>
      <c r="Q1082" s="10" t="str">
        <f t="shared" si="16"/>
        <v>Incomplete</v>
      </c>
    </row>
    <row r="1083" spans="1:17" hidden="1">
      <c r="A1083" s="12">
        <v>46074</v>
      </c>
      <c r="B1083" s="10">
        <v>11</v>
      </c>
      <c r="Q1083" s="10" t="str">
        <f t="shared" si="16"/>
        <v>Incomplete</v>
      </c>
    </row>
    <row r="1084" spans="1:17" hidden="1">
      <c r="A1084" s="12">
        <v>46074</v>
      </c>
      <c r="B1084" s="10">
        <v>12</v>
      </c>
      <c r="Q1084" s="10" t="str">
        <f t="shared" si="16"/>
        <v>Incomplete</v>
      </c>
    </row>
    <row r="1085" spans="1:17" hidden="1">
      <c r="A1085" s="12">
        <v>46074</v>
      </c>
      <c r="B1085" s="10">
        <v>13</v>
      </c>
      <c r="Q1085" s="10" t="str">
        <f t="shared" si="16"/>
        <v>Incomplete</v>
      </c>
    </row>
    <row r="1086" spans="1:17" hidden="1">
      <c r="A1086" s="12">
        <v>46074</v>
      </c>
      <c r="B1086" s="10">
        <v>14</v>
      </c>
      <c r="Q1086" s="10" t="str">
        <f t="shared" si="16"/>
        <v>Incomplete</v>
      </c>
    </row>
    <row r="1087" spans="1:17" hidden="1">
      <c r="A1087" s="12">
        <v>46074</v>
      </c>
      <c r="B1087" s="10">
        <v>15</v>
      </c>
      <c r="Q1087" s="10" t="str">
        <f t="shared" si="16"/>
        <v>Incomplete</v>
      </c>
    </row>
    <row r="1088" spans="1:17" hidden="1">
      <c r="A1088" s="12">
        <v>46074</v>
      </c>
      <c r="B1088" s="10">
        <v>16</v>
      </c>
      <c r="Q1088" s="10" t="str">
        <f t="shared" si="16"/>
        <v>Incomplete</v>
      </c>
    </row>
    <row r="1089" spans="1:17" hidden="1">
      <c r="A1089" s="12">
        <v>46074</v>
      </c>
      <c r="B1089" s="10">
        <v>17</v>
      </c>
      <c r="Q1089" s="10" t="str">
        <f t="shared" si="16"/>
        <v>Incomplete</v>
      </c>
    </row>
    <row r="1090" spans="1:17" hidden="1">
      <c r="A1090" s="12">
        <v>46074</v>
      </c>
      <c r="B1090" s="10">
        <v>18</v>
      </c>
      <c r="Q1090" s="10" t="str">
        <f t="shared" ref="Q1090:Q1153" si="17">IF(AND(C1090&lt;&gt;"",J1090&lt;&gt;"",K1090&lt;&gt;"",L1090&lt;&gt;"",O1090="Yes"),"Complete","Incomplete")</f>
        <v>Incomplete</v>
      </c>
    </row>
    <row r="1091" spans="1:17" hidden="1">
      <c r="A1091" s="12">
        <v>46074</v>
      </c>
      <c r="B1091" s="10">
        <v>19</v>
      </c>
      <c r="Q1091" s="10" t="str">
        <f t="shared" si="17"/>
        <v>Incomplete</v>
      </c>
    </row>
    <row r="1092" spans="1:17" hidden="1">
      <c r="A1092" s="12">
        <v>46074</v>
      </c>
      <c r="B1092" s="10">
        <v>20</v>
      </c>
      <c r="Q1092" s="10" t="str">
        <f t="shared" si="17"/>
        <v>Incomplete</v>
      </c>
    </row>
    <row r="1093" spans="1:17" hidden="1">
      <c r="A1093" s="12">
        <v>46074</v>
      </c>
      <c r="B1093" s="10">
        <v>21</v>
      </c>
      <c r="Q1093" s="10" t="str">
        <f t="shared" si="17"/>
        <v>Incomplete</v>
      </c>
    </row>
    <row r="1094" spans="1:17" hidden="1">
      <c r="A1094" s="12">
        <v>46075</v>
      </c>
      <c r="B1094" s="10">
        <v>1</v>
      </c>
      <c r="Q1094" s="10" t="str">
        <f t="shared" si="17"/>
        <v>Incomplete</v>
      </c>
    </row>
    <row r="1095" spans="1:17" hidden="1">
      <c r="A1095" s="12">
        <v>46075</v>
      </c>
      <c r="B1095" s="10">
        <v>2</v>
      </c>
      <c r="Q1095" s="10" t="str">
        <f t="shared" si="17"/>
        <v>Incomplete</v>
      </c>
    </row>
    <row r="1096" spans="1:17" hidden="1">
      <c r="A1096" s="12">
        <v>46075</v>
      </c>
      <c r="B1096" s="10">
        <v>3</v>
      </c>
      <c r="Q1096" s="10" t="str">
        <f t="shared" si="17"/>
        <v>Incomplete</v>
      </c>
    </row>
    <row r="1097" spans="1:17" hidden="1">
      <c r="A1097" s="12">
        <v>46075</v>
      </c>
      <c r="B1097" s="10">
        <v>4</v>
      </c>
      <c r="Q1097" s="10" t="str">
        <f t="shared" si="17"/>
        <v>Incomplete</v>
      </c>
    </row>
    <row r="1098" spans="1:17" hidden="1">
      <c r="A1098" s="12">
        <v>46075</v>
      </c>
      <c r="B1098" s="10">
        <v>5</v>
      </c>
      <c r="Q1098" s="10" t="str">
        <f t="shared" si="17"/>
        <v>Incomplete</v>
      </c>
    </row>
    <row r="1099" spans="1:17" hidden="1">
      <c r="A1099" s="12">
        <v>46075</v>
      </c>
      <c r="B1099" s="10">
        <v>6</v>
      </c>
      <c r="Q1099" s="10" t="str">
        <f t="shared" si="17"/>
        <v>Incomplete</v>
      </c>
    </row>
    <row r="1100" spans="1:17" hidden="1">
      <c r="A1100" s="12">
        <v>46075</v>
      </c>
      <c r="B1100" s="10">
        <v>7</v>
      </c>
      <c r="Q1100" s="10" t="str">
        <f t="shared" si="17"/>
        <v>Incomplete</v>
      </c>
    </row>
    <row r="1101" spans="1:17" hidden="1">
      <c r="A1101" s="12">
        <v>46075</v>
      </c>
      <c r="B1101" s="10">
        <v>8</v>
      </c>
      <c r="Q1101" s="10" t="str">
        <f t="shared" si="17"/>
        <v>Incomplete</v>
      </c>
    </row>
    <row r="1102" spans="1:17" hidden="1">
      <c r="A1102" s="12">
        <v>46075</v>
      </c>
      <c r="B1102" s="10">
        <v>9</v>
      </c>
      <c r="Q1102" s="10" t="str">
        <f t="shared" si="17"/>
        <v>Incomplete</v>
      </c>
    </row>
    <row r="1103" spans="1:17" hidden="1">
      <c r="A1103" s="12">
        <v>46075</v>
      </c>
      <c r="B1103" s="10">
        <v>10</v>
      </c>
      <c r="Q1103" s="10" t="str">
        <f t="shared" si="17"/>
        <v>Incomplete</v>
      </c>
    </row>
    <row r="1104" spans="1:17" hidden="1">
      <c r="A1104" s="12">
        <v>46075</v>
      </c>
      <c r="B1104" s="10">
        <v>11</v>
      </c>
      <c r="Q1104" s="10" t="str">
        <f t="shared" si="17"/>
        <v>Incomplete</v>
      </c>
    </row>
    <row r="1105" spans="1:17" hidden="1">
      <c r="A1105" s="12">
        <v>46075</v>
      </c>
      <c r="B1105" s="10">
        <v>12</v>
      </c>
      <c r="Q1105" s="10" t="str">
        <f t="shared" si="17"/>
        <v>Incomplete</v>
      </c>
    </row>
    <row r="1106" spans="1:17" hidden="1">
      <c r="A1106" s="12">
        <v>46075</v>
      </c>
      <c r="B1106" s="10">
        <v>13</v>
      </c>
      <c r="Q1106" s="10" t="str">
        <f t="shared" si="17"/>
        <v>Incomplete</v>
      </c>
    </row>
    <row r="1107" spans="1:17" hidden="1">
      <c r="A1107" s="12">
        <v>46075</v>
      </c>
      <c r="B1107" s="10">
        <v>14</v>
      </c>
      <c r="Q1107" s="10" t="str">
        <f t="shared" si="17"/>
        <v>Incomplete</v>
      </c>
    </row>
    <row r="1108" spans="1:17" hidden="1">
      <c r="A1108" s="12">
        <v>46075</v>
      </c>
      <c r="B1108" s="10">
        <v>15</v>
      </c>
      <c r="Q1108" s="10" t="str">
        <f t="shared" si="17"/>
        <v>Incomplete</v>
      </c>
    </row>
    <row r="1109" spans="1:17" hidden="1">
      <c r="A1109" s="12">
        <v>46075</v>
      </c>
      <c r="B1109" s="10">
        <v>16</v>
      </c>
      <c r="Q1109" s="10" t="str">
        <f t="shared" si="17"/>
        <v>Incomplete</v>
      </c>
    </row>
    <row r="1110" spans="1:17" hidden="1">
      <c r="A1110" s="12">
        <v>46075</v>
      </c>
      <c r="B1110" s="10">
        <v>17</v>
      </c>
      <c r="Q1110" s="10" t="str">
        <f t="shared" si="17"/>
        <v>Incomplete</v>
      </c>
    </row>
    <row r="1111" spans="1:17" hidden="1">
      <c r="A1111" s="12">
        <v>46075</v>
      </c>
      <c r="B1111" s="10">
        <v>18</v>
      </c>
      <c r="Q1111" s="10" t="str">
        <f t="shared" si="17"/>
        <v>Incomplete</v>
      </c>
    </row>
    <row r="1112" spans="1:17" hidden="1">
      <c r="A1112" s="12">
        <v>46075</v>
      </c>
      <c r="B1112" s="10">
        <v>19</v>
      </c>
      <c r="Q1112" s="10" t="str">
        <f t="shared" si="17"/>
        <v>Incomplete</v>
      </c>
    </row>
    <row r="1113" spans="1:17" hidden="1">
      <c r="A1113" s="12">
        <v>46075</v>
      </c>
      <c r="B1113" s="10">
        <v>20</v>
      </c>
      <c r="Q1113" s="10" t="str">
        <f t="shared" si="17"/>
        <v>Incomplete</v>
      </c>
    </row>
    <row r="1114" spans="1:17" hidden="1">
      <c r="A1114" s="12">
        <v>46075</v>
      </c>
      <c r="B1114" s="10">
        <v>21</v>
      </c>
      <c r="Q1114" s="10" t="str">
        <f t="shared" si="17"/>
        <v>Incomplete</v>
      </c>
    </row>
    <row r="1115" spans="1:17" hidden="1">
      <c r="A1115" s="12">
        <v>46076</v>
      </c>
      <c r="B1115" s="10">
        <v>1</v>
      </c>
      <c r="Q1115" s="10" t="str">
        <f t="shared" si="17"/>
        <v>Incomplete</v>
      </c>
    </row>
    <row r="1116" spans="1:17" hidden="1">
      <c r="A1116" s="12">
        <v>46076</v>
      </c>
      <c r="B1116" s="10">
        <v>2</v>
      </c>
      <c r="Q1116" s="10" t="str">
        <f t="shared" si="17"/>
        <v>Incomplete</v>
      </c>
    </row>
    <row r="1117" spans="1:17" hidden="1">
      <c r="A1117" s="12">
        <v>46076</v>
      </c>
      <c r="B1117" s="10">
        <v>3</v>
      </c>
      <c r="Q1117" s="10" t="str">
        <f t="shared" si="17"/>
        <v>Incomplete</v>
      </c>
    </row>
    <row r="1118" spans="1:17" hidden="1">
      <c r="A1118" s="12">
        <v>46076</v>
      </c>
      <c r="B1118" s="10">
        <v>4</v>
      </c>
      <c r="Q1118" s="10" t="str">
        <f t="shared" si="17"/>
        <v>Incomplete</v>
      </c>
    </row>
    <row r="1119" spans="1:17" hidden="1">
      <c r="A1119" s="12">
        <v>46076</v>
      </c>
      <c r="B1119" s="10">
        <v>5</v>
      </c>
      <c r="Q1119" s="10" t="str">
        <f t="shared" si="17"/>
        <v>Incomplete</v>
      </c>
    </row>
    <row r="1120" spans="1:17" hidden="1">
      <c r="A1120" s="12">
        <v>46076</v>
      </c>
      <c r="B1120" s="10">
        <v>6</v>
      </c>
      <c r="Q1120" s="10" t="str">
        <f t="shared" si="17"/>
        <v>Incomplete</v>
      </c>
    </row>
    <row r="1121" spans="1:17" hidden="1">
      <c r="A1121" s="12">
        <v>46076</v>
      </c>
      <c r="B1121" s="10">
        <v>7</v>
      </c>
      <c r="Q1121" s="10" t="str">
        <f t="shared" si="17"/>
        <v>Incomplete</v>
      </c>
    </row>
    <row r="1122" spans="1:17" hidden="1">
      <c r="A1122" s="12">
        <v>46076</v>
      </c>
      <c r="B1122" s="10">
        <v>8</v>
      </c>
      <c r="Q1122" s="10" t="str">
        <f t="shared" si="17"/>
        <v>Incomplete</v>
      </c>
    </row>
    <row r="1123" spans="1:17" hidden="1">
      <c r="A1123" s="12">
        <v>46076</v>
      </c>
      <c r="B1123" s="10">
        <v>9</v>
      </c>
      <c r="Q1123" s="10" t="str">
        <f t="shared" si="17"/>
        <v>Incomplete</v>
      </c>
    </row>
    <row r="1124" spans="1:17" hidden="1">
      <c r="A1124" s="12">
        <v>46076</v>
      </c>
      <c r="B1124" s="10">
        <v>10</v>
      </c>
      <c r="Q1124" s="10" t="str">
        <f t="shared" si="17"/>
        <v>Incomplete</v>
      </c>
    </row>
    <row r="1125" spans="1:17" hidden="1">
      <c r="A1125" s="12">
        <v>46076</v>
      </c>
      <c r="B1125" s="10">
        <v>11</v>
      </c>
      <c r="Q1125" s="10" t="str">
        <f t="shared" si="17"/>
        <v>Incomplete</v>
      </c>
    </row>
    <row r="1126" spans="1:17" hidden="1">
      <c r="A1126" s="12">
        <v>46076</v>
      </c>
      <c r="B1126" s="10">
        <v>12</v>
      </c>
      <c r="Q1126" s="10" t="str">
        <f t="shared" si="17"/>
        <v>Incomplete</v>
      </c>
    </row>
    <row r="1127" spans="1:17" hidden="1">
      <c r="A1127" s="12">
        <v>46076</v>
      </c>
      <c r="B1127" s="10">
        <v>13</v>
      </c>
      <c r="Q1127" s="10" t="str">
        <f t="shared" si="17"/>
        <v>Incomplete</v>
      </c>
    </row>
    <row r="1128" spans="1:17" hidden="1">
      <c r="A1128" s="12">
        <v>46076</v>
      </c>
      <c r="B1128" s="10">
        <v>14</v>
      </c>
      <c r="Q1128" s="10" t="str">
        <f t="shared" si="17"/>
        <v>Incomplete</v>
      </c>
    </row>
    <row r="1129" spans="1:17" hidden="1">
      <c r="A1129" s="12">
        <v>46076</v>
      </c>
      <c r="B1129" s="10">
        <v>15</v>
      </c>
      <c r="Q1129" s="10" t="str">
        <f t="shared" si="17"/>
        <v>Incomplete</v>
      </c>
    </row>
    <row r="1130" spans="1:17" hidden="1">
      <c r="A1130" s="12">
        <v>46076</v>
      </c>
      <c r="B1130" s="10">
        <v>16</v>
      </c>
      <c r="Q1130" s="10" t="str">
        <f t="shared" si="17"/>
        <v>Incomplete</v>
      </c>
    </row>
    <row r="1131" spans="1:17" hidden="1">
      <c r="A1131" s="12">
        <v>46076</v>
      </c>
      <c r="B1131" s="10">
        <v>17</v>
      </c>
      <c r="Q1131" s="10" t="str">
        <f t="shared" si="17"/>
        <v>Incomplete</v>
      </c>
    </row>
    <row r="1132" spans="1:17" hidden="1">
      <c r="A1132" s="12">
        <v>46076</v>
      </c>
      <c r="B1132" s="10">
        <v>18</v>
      </c>
      <c r="Q1132" s="10" t="str">
        <f t="shared" si="17"/>
        <v>Incomplete</v>
      </c>
    </row>
    <row r="1133" spans="1:17" hidden="1">
      <c r="A1133" s="12">
        <v>46076</v>
      </c>
      <c r="B1133" s="10">
        <v>19</v>
      </c>
      <c r="Q1133" s="10" t="str">
        <f t="shared" si="17"/>
        <v>Incomplete</v>
      </c>
    </row>
    <row r="1134" spans="1:17" hidden="1">
      <c r="A1134" s="12">
        <v>46076</v>
      </c>
      <c r="B1134" s="10">
        <v>20</v>
      </c>
      <c r="Q1134" s="10" t="str">
        <f t="shared" si="17"/>
        <v>Incomplete</v>
      </c>
    </row>
    <row r="1135" spans="1:17" hidden="1">
      <c r="A1135" s="12">
        <v>46076</v>
      </c>
      <c r="B1135" s="10">
        <v>21</v>
      </c>
      <c r="Q1135" s="10" t="str">
        <f t="shared" si="17"/>
        <v>Incomplete</v>
      </c>
    </row>
    <row r="1136" spans="1:17" hidden="1">
      <c r="A1136" s="12">
        <v>46077</v>
      </c>
      <c r="B1136" s="10">
        <v>1</v>
      </c>
      <c r="Q1136" s="10" t="str">
        <f t="shared" si="17"/>
        <v>Incomplete</v>
      </c>
    </row>
    <row r="1137" spans="1:17" hidden="1">
      <c r="A1137" s="12">
        <v>46077</v>
      </c>
      <c r="B1137" s="10">
        <v>2</v>
      </c>
      <c r="Q1137" s="10" t="str">
        <f t="shared" si="17"/>
        <v>Incomplete</v>
      </c>
    </row>
    <row r="1138" spans="1:17" hidden="1">
      <c r="A1138" s="12">
        <v>46077</v>
      </c>
      <c r="B1138" s="10">
        <v>3</v>
      </c>
      <c r="Q1138" s="10" t="str">
        <f t="shared" si="17"/>
        <v>Incomplete</v>
      </c>
    </row>
    <row r="1139" spans="1:17" hidden="1">
      <c r="A1139" s="12">
        <v>46077</v>
      </c>
      <c r="B1139" s="10">
        <v>4</v>
      </c>
      <c r="Q1139" s="10" t="str">
        <f t="shared" si="17"/>
        <v>Incomplete</v>
      </c>
    </row>
    <row r="1140" spans="1:17" hidden="1">
      <c r="A1140" s="12">
        <v>46077</v>
      </c>
      <c r="B1140" s="10">
        <v>5</v>
      </c>
      <c r="Q1140" s="10" t="str">
        <f t="shared" si="17"/>
        <v>Incomplete</v>
      </c>
    </row>
    <row r="1141" spans="1:17" hidden="1">
      <c r="A1141" s="12">
        <v>46077</v>
      </c>
      <c r="B1141" s="10">
        <v>6</v>
      </c>
      <c r="Q1141" s="10" t="str">
        <f t="shared" si="17"/>
        <v>Incomplete</v>
      </c>
    </row>
    <row r="1142" spans="1:17" hidden="1">
      <c r="A1142" s="12">
        <v>46077</v>
      </c>
      <c r="B1142" s="10">
        <v>7</v>
      </c>
      <c r="Q1142" s="10" t="str">
        <f t="shared" si="17"/>
        <v>Incomplete</v>
      </c>
    </row>
    <row r="1143" spans="1:17" hidden="1">
      <c r="A1143" s="12">
        <v>46077</v>
      </c>
      <c r="B1143" s="10">
        <v>8</v>
      </c>
      <c r="Q1143" s="10" t="str">
        <f t="shared" si="17"/>
        <v>Incomplete</v>
      </c>
    </row>
    <row r="1144" spans="1:17" hidden="1">
      <c r="A1144" s="12">
        <v>46077</v>
      </c>
      <c r="B1144" s="10">
        <v>9</v>
      </c>
      <c r="Q1144" s="10" t="str">
        <f t="shared" si="17"/>
        <v>Incomplete</v>
      </c>
    </row>
    <row r="1145" spans="1:17" hidden="1">
      <c r="A1145" s="12">
        <v>46077</v>
      </c>
      <c r="B1145" s="10">
        <v>10</v>
      </c>
      <c r="Q1145" s="10" t="str">
        <f t="shared" si="17"/>
        <v>Incomplete</v>
      </c>
    </row>
    <row r="1146" spans="1:17" hidden="1">
      <c r="A1146" s="12">
        <v>46077</v>
      </c>
      <c r="B1146" s="10">
        <v>11</v>
      </c>
      <c r="Q1146" s="10" t="str">
        <f t="shared" si="17"/>
        <v>Incomplete</v>
      </c>
    </row>
    <row r="1147" spans="1:17" hidden="1">
      <c r="A1147" s="12">
        <v>46077</v>
      </c>
      <c r="B1147" s="10">
        <v>12</v>
      </c>
      <c r="Q1147" s="10" t="str">
        <f t="shared" si="17"/>
        <v>Incomplete</v>
      </c>
    </row>
    <row r="1148" spans="1:17" hidden="1">
      <c r="A1148" s="12">
        <v>46077</v>
      </c>
      <c r="B1148" s="10">
        <v>13</v>
      </c>
      <c r="Q1148" s="10" t="str">
        <f t="shared" si="17"/>
        <v>Incomplete</v>
      </c>
    </row>
    <row r="1149" spans="1:17" hidden="1">
      <c r="A1149" s="12">
        <v>46077</v>
      </c>
      <c r="B1149" s="10">
        <v>14</v>
      </c>
      <c r="Q1149" s="10" t="str">
        <f t="shared" si="17"/>
        <v>Incomplete</v>
      </c>
    </row>
    <row r="1150" spans="1:17" hidden="1">
      <c r="A1150" s="12">
        <v>46077</v>
      </c>
      <c r="B1150" s="10">
        <v>15</v>
      </c>
      <c r="Q1150" s="10" t="str">
        <f t="shared" si="17"/>
        <v>Incomplete</v>
      </c>
    </row>
    <row r="1151" spans="1:17" hidden="1">
      <c r="A1151" s="12">
        <v>46077</v>
      </c>
      <c r="B1151" s="10">
        <v>16</v>
      </c>
      <c r="Q1151" s="10" t="str">
        <f t="shared" si="17"/>
        <v>Incomplete</v>
      </c>
    </row>
    <row r="1152" spans="1:17" hidden="1">
      <c r="A1152" s="12">
        <v>46077</v>
      </c>
      <c r="B1152" s="10">
        <v>17</v>
      </c>
      <c r="Q1152" s="10" t="str">
        <f t="shared" si="17"/>
        <v>Incomplete</v>
      </c>
    </row>
    <row r="1153" spans="1:17" hidden="1">
      <c r="A1153" s="12">
        <v>46077</v>
      </c>
      <c r="B1153" s="10">
        <v>18</v>
      </c>
      <c r="Q1153" s="10" t="str">
        <f t="shared" si="17"/>
        <v>Incomplete</v>
      </c>
    </row>
    <row r="1154" spans="1:17" hidden="1">
      <c r="A1154" s="12">
        <v>46077</v>
      </c>
      <c r="B1154" s="10">
        <v>19</v>
      </c>
      <c r="Q1154" s="10" t="str">
        <f t="shared" ref="Q1154:Q1217" si="18">IF(AND(C1154&lt;&gt;"",J1154&lt;&gt;"",K1154&lt;&gt;"",L1154&lt;&gt;"",O1154="Yes"),"Complete","Incomplete")</f>
        <v>Incomplete</v>
      </c>
    </row>
    <row r="1155" spans="1:17" hidden="1">
      <c r="A1155" s="12">
        <v>46077</v>
      </c>
      <c r="B1155" s="10">
        <v>20</v>
      </c>
      <c r="Q1155" s="10" t="str">
        <f t="shared" si="18"/>
        <v>Incomplete</v>
      </c>
    </row>
    <row r="1156" spans="1:17" hidden="1">
      <c r="A1156" s="12">
        <v>46077</v>
      </c>
      <c r="B1156" s="10">
        <v>21</v>
      </c>
      <c r="Q1156" s="10" t="str">
        <f t="shared" si="18"/>
        <v>Incomplete</v>
      </c>
    </row>
    <row r="1157" spans="1:17" hidden="1">
      <c r="A1157" s="12">
        <v>46078</v>
      </c>
      <c r="B1157" s="10">
        <v>1</v>
      </c>
      <c r="Q1157" s="10" t="str">
        <f t="shared" si="18"/>
        <v>Incomplete</v>
      </c>
    </row>
    <row r="1158" spans="1:17" hidden="1">
      <c r="A1158" s="12">
        <v>46078</v>
      </c>
      <c r="B1158" s="10">
        <v>2</v>
      </c>
      <c r="Q1158" s="10" t="str">
        <f t="shared" si="18"/>
        <v>Incomplete</v>
      </c>
    </row>
    <row r="1159" spans="1:17" hidden="1">
      <c r="A1159" s="12">
        <v>46078</v>
      </c>
      <c r="B1159" s="10">
        <v>3</v>
      </c>
      <c r="Q1159" s="10" t="str">
        <f t="shared" si="18"/>
        <v>Incomplete</v>
      </c>
    </row>
    <row r="1160" spans="1:17" hidden="1">
      <c r="A1160" s="12">
        <v>46078</v>
      </c>
      <c r="B1160" s="10">
        <v>4</v>
      </c>
      <c r="Q1160" s="10" t="str">
        <f t="shared" si="18"/>
        <v>Incomplete</v>
      </c>
    </row>
    <row r="1161" spans="1:17" hidden="1">
      <c r="A1161" s="12">
        <v>46078</v>
      </c>
      <c r="B1161" s="10">
        <v>5</v>
      </c>
      <c r="Q1161" s="10" t="str">
        <f t="shared" si="18"/>
        <v>Incomplete</v>
      </c>
    </row>
    <row r="1162" spans="1:17" hidden="1">
      <c r="A1162" s="12">
        <v>46078</v>
      </c>
      <c r="B1162" s="10">
        <v>6</v>
      </c>
      <c r="Q1162" s="10" t="str">
        <f t="shared" si="18"/>
        <v>Incomplete</v>
      </c>
    </row>
    <row r="1163" spans="1:17" hidden="1">
      <c r="A1163" s="12">
        <v>46078</v>
      </c>
      <c r="B1163" s="10">
        <v>7</v>
      </c>
      <c r="Q1163" s="10" t="str">
        <f t="shared" si="18"/>
        <v>Incomplete</v>
      </c>
    </row>
    <row r="1164" spans="1:17" hidden="1">
      <c r="A1164" s="12">
        <v>46078</v>
      </c>
      <c r="B1164" s="10">
        <v>8</v>
      </c>
      <c r="Q1164" s="10" t="str">
        <f t="shared" si="18"/>
        <v>Incomplete</v>
      </c>
    </row>
    <row r="1165" spans="1:17" hidden="1">
      <c r="A1165" s="12">
        <v>46078</v>
      </c>
      <c r="B1165" s="10">
        <v>9</v>
      </c>
      <c r="Q1165" s="10" t="str">
        <f t="shared" si="18"/>
        <v>Incomplete</v>
      </c>
    </row>
    <row r="1166" spans="1:17" hidden="1">
      <c r="A1166" s="12">
        <v>46078</v>
      </c>
      <c r="B1166" s="10">
        <v>10</v>
      </c>
      <c r="Q1166" s="10" t="str">
        <f t="shared" si="18"/>
        <v>Incomplete</v>
      </c>
    </row>
    <row r="1167" spans="1:17" hidden="1">
      <c r="A1167" s="12">
        <v>46078</v>
      </c>
      <c r="B1167" s="10">
        <v>11</v>
      </c>
      <c r="Q1167" s="10" t="str">
        <f t="shared" si="18"/>
        <v>Incomplete</v>
      </c>
    </row>
    <row r="1168" spans="1:17" hidden="1">
      <c r="A1168" s="12">
        <v>46078</v>
      </c>
      <c r="B1168" s="10">
        <v>12</v>
      </c>
      <c r="Q1168" s="10" t="str">
        <f t="shared" si="18"/>
        <v>Incomplete</v>
      </c>
    </row>
    <row r="1169" spans="1:17" hidden="1">
      <c r="A1169" s="12">
        <v>46078</v>
      </c>
      <c r="B1169" s="10">
        <v>13</v>
      </c>
      <c r="Q1169" s="10" t="str">
        <f t="shared" si="18"/>
        <v>Incomplete</v>
      </c>
    </row>
    <row r="1170" spans="1:17" hidden="1">
      <c r="A1170" s="12">
        <v>46078</v>
      </c>
      <c r="B1170" s="10">
        <v>14</v>
      </c>
      <c r="Q1170" s="10" t="str">
        <f t="shared" si="18"/>
        <v>Incomplete</v>
      </c>
    </row>
    <row r="1171" spans="1:17" hidden="1">
      <c r="A1171" s="12">
        <v>46078</v>
      </c>
      <c r="B1171" s="10">
        <v>15</v>
      </c>
      <c r="Q1171" s="10" t="str">
        <f t="shared" si="18"/>
        <v>Incomplete</v>
      </c>
    </row>
    <row r="1172" spans="1:17" hidden="1">
      <c r="A1172" s="12">
        <v>46078</v>
      </c>
      <c r="B1172" s="10">
        <v>16</v>
      </c>
      <c r="Q1172" s="10" t="str">
        <f t="shared" si="18"/>
        <v>Incomplete</v>
      </c>
    </row>
    <row r="1173" spans="1:17" hidden="1">
      <c r="A1173" s="12">
        <v>46078</v>
      </c>
      <c r="B1173" s="10">
        <v>17</v>
      </c>
      <c r="Q1173" s="10" t="str">
        <f t="shared" si="18"/>
        <v>Incomplete</v>
      </c>
    </row>
    <row r="1174" spans="1:17" hidden="1">
      <c r="A1174" s="12">
        <v>46078</v>
      </c>
      <c r="B1174" s="10">
        <v>18</v>
      </c>
      <c r="Q1174" s="10" t="str">
        <f t="shared" si="18"/>
        <v>Incomplete</v>
      </c>
    </row>
    <row r="1175" spans="1:17" hidden="1">
      <c r="A1175" s="12">
        <v>46078</v>
      </c>
      <c r="B1175" s="10">
        <v>19</v>
      </c>
      <c r="Q1175" s="10" t="str">
        <f t="shared" si="18"/>
        <v>Incomplete</v>
      </c>
    </row>
    <row r="1176" spans="1:17" hidden="1">
      <c r="A1176" s="12">
        <v>46078</v>
      </c>
      <c r="B1176" s="10">
        <v>20</v>
      </c>
      <c r="Q1176" s="10" t="str">
        <f t="shared" si="18"/>
        <v>Incomplete</v>
      </c>
    </row>
    <row r="1177" spans="1:17" hidden="1">
      <c r="A1177" s="12">
        <v>46078</v>
      </c>
      <c r="B1177" s="10">
        <v>21</v>
      </c>
      <c r="Q1177" s="10" t="str">
        <f t="shared" si="18"/>
        <v>Incomplete</v>
      </c>
    </row>
    <row r="1178" spans="1:17" hidden="1">
      <c r="A1178" s="12">
        <v>46079</v>
      </c>
      <c r="B1178" s="10">
        <v>1</v>
      </c>
      <c r="Q1178" s="10" t="str">
        <f t="shared" si="18"/>
        <v>Incomplete</v>
      </c>
    </row>
    <row r="1179" spans="1:17" hidden="1">
      <c r="A1179" s="12">
        <v>46079</v>
      </c>
      <c r="B1179" s="10">
        <v>2</v>
      </c>
      <c r="Q1179" s="10" t="str">
        <f t="shared" si="18"/>
        <v>Incomplete</v>
      </c>
    </row>
    <row r="1180" spans="1:17" hidden="1">
      <c r="A1180" s="12">
        <v>46079</v>
      </c>
      <c r="B1180" s="10">
        <v>3</v>
      </c>
      <c r="Q1180" s="10" t="str">
        <f t="shared" si="18"/>
        <v>Incomplete</v>
      </c>
    </row>
    <row r="1181" spans="1:17" hidden="1">
      <c r="A1181" s="12">
        <v>46079</v>
      </c>
      <c r="B1181" s="10">
        <v>4</v>
      </c>
      <c r="Q1181" s="10" t="str">
        <f t="shared" si="18"/>
        <v>Incomplete</v>
      </c>
    </row>
    <row r="1182" spans="1:17" hidden="1">
      <c r="A1182" s="12">
        <v>46079</v>
      </c>
      <c r="B1182" s="10">
        <v>5</v>
      </c>
      <c r="Q1182" s="10" t="str">
        <f t="shared" si="18"/>
        <v>Incomplete</v>
      </c>
    </row>
    <row r="1183" spans="1:17" hidden="1">
      <c r="A1183" s="12">
        <v>46079</v>
      </c>
      <c r="B1183" s="10">
        <v>6</v>
      </c>
      <c r="Q1183" s="10" t="str">
        <f t="shared" si="18"/>
        <v>Incomplete</v>
      </c>
    </row>
    <row r="1184" spans="1:17" hidden="1">
      <c r="A1184" s="12">
        <v>46079</v>
      </c>
      <c r="B1184" s="10">
        <v>7</v>
      </c>
      <c r="Q1184" s="10" t="str">
        <f t="shared" si="18"/>
        <v>Incomplete</v>
      </c>
    </row>
    <row r="1185" spans="1:17" hidden="1">
      <c r="A1185" s="12">
        <v>46079</v>
      </c>
      <c r="B1185" s="10">
        <v>8</v>
      </c>
      <c r="Q1185" s="10" t="str">
        <f t="shared" si="18"/>
        <v>Incomplete</v>
      </c>
    </row>
    <row r="1186" spans="1:17" hidden="1">
      <c r="A1186" s="12">
        <v>46079</v>
      </c>
      <c r="B1186" s="10">
        <v>9</v>
      </c>
      <c r="Q1186" s="10" t="str">
        <f t="shared" si="18"/>
        <v>Incomplete</v>
      </c>
    </row>
    <row r="1187" spans="1:17" hidden="1">
      <c r="A1187" s="12">
        <v>46079</v>
      </c>
      <c r="B1187" s="10">
        <v>10</v>
      </c>
      <c r="Q1187" s="10" t="str">
        <f t="shared" si="18"/>
        <v>Incomplete</v>
      </c>
    </row>
    <row r="1188" spans="1:17" hidden="1">
      <c r="A1188" s="12">
        <v>46079</v>
      </c>
      <c r="B1188" s="10">
        <v>11</v>
      </c>
      <c r="Q1188" s="10" t="str">
        <f t="shared" si="18"/>
        <v>Incomplete</v>
      </c>
    </row>
    <row r="1189" spans="1:17" hidden="1">
      <c r="A1189" s="12">
        <v>46079</v>
      </c>
      <c r="B1189" s="10">
        <v>12</v>
      </c>
      <c r="Q1189" s="10" t="str">
        <f t="shared" si="18"/>
        <v>Incomplete</v>
      </c>
    </row>
    <row r="1190" spans="1:17" hidden="1">
      <c r="A1190" s="12">
        <v>46079</v>
      </c>
      <c r="B1190" s="10">
        <v>13</v>
      </c>
      <c r="Q1190" s="10" t="str">
        <f t="shared" si="18"/>
        <v>Incomplete</v>
      </c>
    </row>
    <row r="1191" spans="1:17" hidden="1">
      <c r="A1191" s="12">
        <v>46079</v>
      </c>
      <c r="B1191" s="10">
        <v>14</v>
      </c>
      <c r="Q1191" s="10" t="str">
        <f t="shared" si="18"/>
        <v>Incomplete</v>
      </c>
    </row>
    <row r="1192" spans="1:17" hidden="1">
      <c r="A1192" s="12">
        <v>46079</v>
      </c>
      <c r="B1192" s="10">
        <v>15</v>
      </c>
      <c r="Q1192" s="10" t="str">
        <f t="shared" si="18"/>
        <v>Incomplete</v>
      </c>
    </row>
    <row r="1193" spans="1:17" hidden="1">
      <c r="A1193" s="12">
        <v>46079</v>
      </c>
      <c r="B1193" s="10">
        <v>16</v>
      </c>
      <c r="Q1193" s="10" t="str">
        <f t="shared" si="18"/>
        <v>Incomplete</v>
      </c>
    </row>
    <row r="1194" spans="1:17" hidden="1">
      <c r="A1194" s="12">
        <v>46079</v>
      </c>
      <c r="B1194" s="10">
        <v>17</v>
      </c>
      <c r="Q1194" s="10" t="str">
        <f t="shared" si="18"/>
        <v>Incomplete</v>
      </c>
    </row>
    <row r="1195" spans="1:17" hidden="1">
      <c r="A1195" s="12">
        <v>46079</v>
      </c>
      <c r="B1195" s="10">
        <v>18</v>
      </c>
      <c r="Q1195" s="10" t="str">
        <f t="shared" si="18"/>
        <v>Incomplete</v>
      </c>
    </row>
    <row r="1196" spans="1:17" hidden="1">
      <c r="A1196" s="12">
        <v>46079</v>
      </c>
      <c r="B1196" s="10">
        <v>19</v>
      </c>
      <c r="Q1196" s="10" t="str">
        <f t="shared" si="18"/>
        <v>Incomplete</v>
      </c>
    </row>
    <row r="1197" spans="1:17" hidden="1">
      <c r="A1197" s="12">
        <v>46079</v>
      </c>
      <c r="B1197" s="10">
        <v>20</v>
      </c>
      <c r="Q1197" s="10" t="str">
        <f t="shared" si="18"/>
        <v>Incomplete</v>
      </c>
    </row>
    <row r="1198" spans="1:17" hidden="1">
      <c r="A1198" s="12">
        <v>46079</v>
      </c>
      <c r="B1198" s="10">
        <v>21</v>
      </c>
      <c r="Q1198" s="10" t="str">
        <f t="shared" si="18"/>
        <v>Incomplete</v>
      </c>
    </row>
    <row r="1199" spans="1:17" hidden="1">
      <c r="A1199" s="12">
        <v>46080</v>
      </c>
      <c r="B1199" s="10">
        <v>1</v>
      </c>
      <c r="Q1199" s="10" t="str">
        <f t="shared" si="18"/>
        <v>Incomplete</v>
      </c>
    </row>
    <row r="1200" spans="1:17" hidden="1">
      <c r="A1200" s="12">
        <v>46080</v>
      </c>
      <c r="B1200" s="10">
        <v>2</v>
      </c>
      <c r="Q1200" s="10" t="str">
        <f t="shared" si="18"/>
        <v>Incomplete</v>
      </c>
    </row>
    <row r="1201" spans="1:17" hidden="1">
      <c r="A1201" s="12">
        <v>46080</v>
      </c>
      <c r="B1201" s="10">
        <v>3</v>
      </c>
      <c r="Q1201" s="10" t="str">
        <f t="shared" si="18"/>
        <v>Incomplete</v>
      </c>
    </row>
    <row r="1202" spans="1:17" hidden="1">
      <c r="A1202" s="12">
        <v>46080</v>
      </c>
      <c r="B1202" s="10">
        <v>4</v>
      </c>
      <c r="Q1202" s="10" t="str">
        <f t="shared" si="18"/>
        <v>Incomplete</v>
      </c>
    </row>
    <row r="1203" spans="1:17" hidden="1">
      <c r="A1203" s="12">
        <v>46080</v>
      </c>
      <c r="B1203" s="10">
        <v>5</v>
      </c>
      <c r="Q1203" s="10" t="str">
        <f t="shared" si="18"/>
        <v>Incomplete</v>
      </c>
    </row>
    <row r="1204" spans="1:17" hidden="1">
      <c r="A1204" s="12">
        <v>46080</v>
      </c>
      <c r="B1204" s="10">
        <v>6</v>
      </c>
      <c r="Q1204" s="10" t="str">
        <f t="shared" si="18"/>
        <v>Incomplete</v>
      </c>
    </row>
    <row r="1205" spans="1:17" hidden="1">
      <c r="A1205" s="12">
        <v>46080</v>
      </c>
      <c r="B1205" s="10">
        <v>7</v>
      </c>
      <c r="Q1205" s="10" t="str">
        <f t="shared" si="18"/>
        <v>Incomplete</v>
      </c>
    </row>
    <row r="1206" spans="1:17" hidden="1">
      <c r="A1206" s="12">
        <v>46080</v>
      </c>
      <c r="B1206" s="10">
        <v>8</v>
      </c>
      <c r="Q1206" s="10" t="str">
        <f t="shared" si="18"/>
        <v>Incomplete</v>
      </c>
    </row>
    <row r="1207" spans="1:17" hidden="1">
      <c r="A1207" s="12">
        <v>46080</v>
      </c>
      <c r="B1207" s="10">
        <v>9</v>
      </c>
      <c r="Q1207" s="10" t="str">
        <f t="shared" si="18"/>
        <v>Incomplete</v>
      </c>
    </row>
    <row r="1208" spans="1:17" hidden="1">
      <c r="A1208" s="12">
        <v>46080</v>
      </c>
      <c r="B1208" s="10">
        <v>10</v>
      </c>
      <c r="Q1208" s="10" t="str">
        <f t="shared" si="18"/>
        <v>Incomplete</v>
      </c>
    </row>
    <row r="1209" spans="1:17" hidden="1">
      <c r="A1209" s="12">
        <v>46080</v>
      </c>
      <c r="B1209" s="10">
        <v>11</v>
      </c>
      <c r="Q1209" s="10" t="str">
        <f t="shared" si="18"/>
        <v>Incomplete</v>
      </c>
    </row>
    <row r="1210" spans="1:17" hidden="1">
      <c r="A1210" s="12">
        <v>46080</v>
      </c>
      <c r="B1210" s="10">
        <v>12</v>
      </c>
      <c r="Q1210" s="10" t="str">
        <f t="shared" si="18"/>
        <v>Incomplete</v>
      </c>
    </row>
    <row r="1211" spans="1:17" hidden="1">
      <c r="A1211" s="12">
        <v>46080</v>
      </c>
      <c r="B1211" s="10">
        <v>13</v>
      </c>
      <c r="Q1211" s="10" t="str">
        <f t="shared" si="18"/>
        <v>Incomplete</v>
      </c>
    </row>
    <row r="1212" spans="1:17" hidden="1">
      <c r="A1212" s="12">
        <v>46080</v>
      </c>
      <c r="B1212" s="10">
        <v>14</v>
      </c>
      <c r="Q1212" s="10" t="str">
        <f t="shared" si="18"/>
        <v>Incomplete</v>
      </c>
    </row>
    <row r="1213" spans="1:17" hidden="1">
      <c r="A1213" s="12">
        <v>46080</v>
      </c>
      <c r="B1213" s="10">
        <v>15</v>
      </c>
      <c r="Q1213" s="10" t="str">
        <f t="shared" si="18"/>
        <v>Incomplete</v>
      </c>
    </row>
    <row r="1214" spans="1:17" hidden="1">
      <c r="A1214" s="12">
        <v>46080</v>
      </c>
      <c r="B1214" s="10">
        <v>16</v>
      </c>
      <c r="Q1214" s="10" t="str">
        <f t="shared" si="18"/>
        <v>Incomplete</v>
      </c>
    </row>
    <row r="1215" spans="1:17" hidden="1">
      <c r="A1215" s="12">
        <v>46080</v>
      </c>
      <c r="B1215" s="10">
        <v>17</v>
      </c>
      <c r="Q1215" s="10" t="str">
        <f t="shared" si="18"/>
        <v>Incomplete</v>
      </c>
    </row>
    <row r="1216" spans="1:17" hidden="1">
      <c r="A1216" s="12">
        <v>46080</v>
      </c>
      <c r="B1216" s="10">
        <v>18</v>
      </c>
      <c r="Q1216" s="10" t="str">
        <f t="shared" si="18"/>
        <v>Incomplete</v>
      </c>
    </row>
    <row r="1217" spans="1:17" hidden="1">
      <c r="A1217" s="12">
        <v>46080</v>
      </c>
      <c r="B1217" s="10">
        <v>19</v>
      </c>
      <c r="Q1217" s="10" t="str">
        <f t="shared" si="18"/>
        <v>Incomplete</v>
      </c>
    </row>
    <row r="1218" spans="1:17" hidden="1">
      <c r="A1218" s="12">
        <v>46080</v>
      </c>
      <c r="B1218" s="10">
        <v>20</v>
      </c>
      <c r="Q1218" s="10" t="str">
        <f t="shared" ref="Q1218:Q1281" si="19">IF(AND(C1218&lt;&gt;"",J1218&lt;&gt;"",K1218&lt;&gt;"",L1218&lt;&gt;"",O1218="Yes"),"Complete","Incomplete")</f>
        <v>Incomplete</v>
      </c>
    </row>
    <row r="1219" spans="1:17" hidden="1">
      <c r="A1219" s="12">
        <v>46080</v>
      </c>
      <c r="B1219" s="10">
        <v>21</v>
      </c>
      <c r="Q1219" s="10" t="str">
        <f t="shared" si="19"/>
        <v>Incomplete</v>
      </c>
    </row>
    <row r="1220" spans="1:17" hidden="1">
      <c r="A1220" s="12">
        <v>46081</v>
      </c>
      <c r="B1220" s="10">
        <v>1</v>
      </c>
      <c r="Q1220" s="10" t="str">
        <f t="shared" si="19"/>
        <v>Incomplete</v>
      </c>
    </row>
    <row r="1221" spans="1:17" hidden="1">
      <c r="A1221" s="12">
        <v>46081</v>
      </c>
      <c r="B1221" s="10">
        <v>2</v>
      </c>
      <c r="Q1221" s="10" t="str">
        <f t="shared" si="19"/>
        <v>Incomplete</v>
      </c>
    </row>
    <row r="1222" spans="1:17" hidden="1">
      <c r="A1222" s="12">
        <v>46081</v>
      </c>
      <c r="B1222" s="10">
        <v>3</v>
      </c>
      <c r="Q1222" s="10" t="str">
        <f t="shared" si="19"/>
        <v>Incomplete</v>
      </c>
    </row>
    <row r="1223" spans="1:17" hidden="1">
      <c r="A1223" s="12">
        <v>46081</v>
      </c>
      <c r="B1223" s="10">
        <v>4</v>
      </c>
      <c r="Q1223" s="10" t="str">
        <f t="shared" si="19"/>
        <v>Incomplete</v>
      </c>
    </row>
    <row r="1224" spans="1:17" hidden="1">
      <c r="A1224" s="12">
        <v>46081</v>
      </c>
      <c r="B1224" s="10">
        <v>5</v>
      </c>
      <c r="Q1224" s="10" t="str">
        <f t="shared" si="19"/>
        <v>Incomplete</v>
      </c>
    </row>
    <row r="1225" spans="1:17" hidden="1">
      <c r="A1225" s="12">
        <v>46081</v>
      </c>
      <c r="B1225" s="10">
        <v>6</v>
      </c>
      <c r="Q1225" s="10" t="str">
        <f t="shared" si="19"/>
        <v>Incomplete</v>
      </c>
    </row>
    <row r="1226" spans="1:17" hidden="1">
      <c r="A1226" s="12">
        <v>46081</v>
      </c>
      <c r="B1226" s="10">
        <v>7</v>
      </c>
      <c r="Q1226" s="10" t="str">
        <f t="shared" si="19"/>
        <v>Incomplete</v>
      </c>
    </row>
    <row r="1227" spans="1:17" hidden="1">
      <c r="A1227" s="12">
        <v>46081</v>
      </c>
      <c r="B1227" s="10">
        <v>8</v>
      </c>
      <c r="Q1227" s="10" t="str">
        <f t="shared" si="19"/>
        <v>Incomplete</v>
      </c>
    </row>
    <row r="1228" spans="1:17" hidden="1">
      <c r="A1228" s="12">
        <v>46081</v>
      </c>
      <c r="B1228" s="10">
        <v>9</v>
      </c>
      <c r="Q1228" s="10" t="str">
        <f t="shared" si="19"/>
        <v>Incomplete</v>
      </c>
    </row>
    <row r="1229" spans="1:17" hidden="1">
      <c r="A1229" s="12">
        <v>46081</v>
      </c>
      <c r="B1229" s="10">
        <v>10</v>
      </c>
      <c r="Q1229" s="10" t="str">
        <f t="shared" si="19"/>
        <v>Incomplete</v>
      </c>
    </row>
    <row r="1230" spans="1:17" hidden="1">
      <c r="A1230" s="12">
        <v>46081</v>
      </c>
      <c r="B1230" s="10">
        <v>11</v>
      </c>
      <c r="Q1230" s="10" t="str">
        <f t="shared" si="19"/>
        <v>Incomplete</v>
      </c>
    </row>
    <row r="1231" spans="1:17" hidden="1">
      <c r="A1231" s="12">
        <v>46081</v>
      </c>
      <c r="B1231" s="10">
        <v>12</v>
      </c>
      <c r="Q1231" s="10" t="str">
        <f t="shared" si="19"/>
        <v>Incomplete</v>
      </c>
    </row>
    <row r="1232" spans="1:17" hidden="1">
      <c r="A1232" s="12">
        <v>46081</v>
      </c>
      <c r="B1232" s="10">
        <v>13</v>
      </c>
      <c r="Q1232" s="10" t="str">
        <f t="shared" si="19"/>
        <v>Incomplete</v>
      </c>
    </row>
    <row r="1233" spans="1:17" hidden="1">
      <c r="A1233" s="12">
        <v>46081</v>
      </c>
      <c r="B1233" s="10">
        <v>14</v>
      </c>
      <c r="Q1233" s="10" t="str">
        <f t="shared" si="19"/>
        <v>Incomplete</v>
      </c>
    </row>
    <row r="1234" spans="1:17" hidden="1">
      <c r="A1234" s="12">
        <v>46081</v>
      </c>
      <c r="B1234" s="10">
        <v>15</v>
      </c>
      <c r="Q1234" s="10" t="str">
        <f t="shared" si="19"/>
        <v>Incomplete</v>
      </c>
    </row>
    <row r="1235" spans="1:17" hidden="1">
      <c r="A1235" s="12">
        <v>46081</v>
      </c>
      <c r="B1235" s="10">
        <v>16</v>
      </c>
      <c r="Q1235" s="10" t="str">
        <f t="shared" si="19"/>
        <v>Incomplete</v>
      </c>
    </row>
    <row r="1236" spans="1:17" hidden="1">
      <c r="A1236" s="12">
        <v>46081</v>
      </c>
      <c r="B1236" s="10">
        <v>17</v>
      </c>
      <c r="Q1236" s="10" t="str">
        <f t="shared" si="19"/>
        <v>Incomplete</v>
      </c>
    </row>
    <row r="1237" spans="1:17" hidden="1">
      <c r="A1237" s="12">
        <v>46081</v>
      </c>
      <c r="B1237" s="10">
        <v>18</v>
      </c>
      <c r="Q1237" s="10" t="str">
        <f t="shared" si="19"/>
        <v>Incomplete</v>
      </c>
    </row>
    <row r="1238" spans="1:17" hidden="1">
      <c r="A1238" s="12">
        <v>46081</v>
      </c>
      <c r="B1238" s="10">
        <v>19</v>
      </c>
      <c r="Q1238" s="10" t="str">
        <f t="shared" si="19"/>
        <v>Incomplete</v>
      </c>
    </row>
    <row r="1239" spans="1:17" hidden="1">
      <c r="A1239" s="12">
        <v>46081</v>
      </c>
      <c r="B1239" s="10">
        <v>20</v>
      </c>
      <c r="Q1239" s="10" t="str">
        <f t="shared" si="19"/>
        <v>Incomplete</v>
      </c>
    </row>
    <row r="1240" spans="1:17" hidden="1">
      <c r="A1240" s="12">
        <v>46081</v>
      </c>
      <c r="B1240" s="10">
        <v>21</v>
      </c>
      <c r="Q1240" s="10" t="str">
        <f t="shared" si="19"/>
        <v>Incomplete</v>
      </c>
    </row>
    <row r="1241" spans="1:17" hidden="1">
      <c r="A1241" s="12">
        <v>46082</v>
      </c>
      <c r="B1241" s="10">
        <v>1</v>
      </c>
      <c r="Q1241" s="10" t="str">
        <f t="shared" si="19"/>
        <v>Incomplete</v>
      </c>
    </row>
    <row r="1242" spans="1:17" hidden="1">
      <c r="A1242" s="12">
        <v>46082</v>
      </c>
      <c r="B1242" s="10">
        <v>2</v>
      </c>
      <c r="Q1242" s="10" t="str">
        <f t="shared" si="19"/>
        <v>Incomplete</v>
      </c>
    </row>
    <row r="1243" spans="1:17" hidden="1">
      <c r="A1243" s="12">
        <v>46082</v>
      </c>
      <c r="B1243" s="10">
        <v>3</v>
      </c>
      <c r="Q1243" s="10" t="str">
        <f t="shared" si="19"/>
        <v>Incomplete</v>
      </c>
    </row>
    <row r="1244" spans="1:17" hidden="1">
      <c r="A1244" s="12">
        <v>46082</v>
      </c>
      <c r="B1244" s="10">
        <v>4</v>
      </c>
      <c r="Q1244" s="10" t="str">
        <f t="shared" si="19"/>
        <v>Incomplete</v>
      </c>
    </row>
    <row r="1245" spans="1:17" hidden="1">
      <c r="A1245" s="12">
        <v>46082</v>
      </c>
      <c r="B1245" s="10">
        <v>5</v>
      </c>
      <c r="Q1245" s="10" t="str">
        <f t="shared" si="19"/>
        <v>Incomplete</v>
      </c>
    </row>
    <row r="1246" spans="1:17" hidden="1">
      <c r="A1246" s="12">
        <v>46082</v>
      </c>
      <c r="B1246" s="10">
        <v>6</v>
      </c>
      <c r="Q1246" s="10" t="str">
        <f t="shared" si="19"/>
        <v>Incomplete</v>
      </c>
    </row>
    <row r="1247" spans="1:17" hidden="1">
      <c r="A1247" s="12">
        <v>46082</v>
      </c>
      <c r="B1247" s="10">
        <v>7</v>
      </c>
      <c r="Q1247" s="10" t="str">
        <f t="shared" si="19"/>
        <v>Incomplete</v>
      </c>
    </row>
    <row r="1248" spans="1:17" hidden="1">
      <c r="A1248" s="12">
        <v>46082</v>
      </c>
      <c r="B1248" s="10">
        <v>8</v>
      </c>
      <c r="Q1248" s="10" t="str">
        <f t="shared" si="19"/>
        <v>Incomplete</v>
      </c>
    </row>
    <row r="1249" spans="1:17" hidden="1">
      <c r="A1249" s="12">
        <v>46082</v>
      </c>
      <c r="B1249" s="10">
        <v>9</v>
      </c>
      <c r="Q1249" s="10" t="str">
        <f t="shared" si="19"/>
        <v>Incomplete</v>
      </c>
    </row>
    <row r="1250" spans="1:17" hidden="1">
      <c r="A1250" s="12">
        <v>46082</v>
      </c>
      <c r="B1250" s="10">
        <v>10</v>
      </c>
      <c r="Q1250" s="10" t="str">
        <f t="shared" si="19"/>
        <v>Incomplete</v>
      </c>
    </row>
    <row r="1251" spans="1:17" hidden="1">
      <c r="A1251" s="12">
        <v>46082</v>
      </c>
      <c r="B1251" s="10">
        <v>11</v>
      </c>
      <c r="Q1251" s="10" t="str">
        <f t="shared" si="19"/>
        <v>Incomplete</v>
      </c>
    </row>
    <row r="1252" spans="1:17" hidden="1">
      <c r="A1252" s="12">
        <v>46082</v>
      </c>
      <c r="B1252" s="10">
        <v>12</v>
      </c>
      <c r="Q1252" s="10" t="str">
        <f t="shared" si="19"/>
        <v>Incomplete</v>
      </c>
    </row>
    <row r="1253" spans="1:17" hidden="1">
      <c r="A1253" s="12">
        <v>46082</v>
      </c>
      <c r="B1253" s="10">
        <v>13</v>
      </c>
      <c r="Q1253" s="10" t="str">
        <f t="shared" si="19"/>
        <v>Incomplete</v>
      </c>
    </row>
    <row r="1254" spans="1:17" hidden="1">
      <c r="A1254" s="12">
        <v>46082</v>
      </c>
      <c r="B1254" s="10">
        <v>14</v>
      </c>
      <c r="Q1254" s="10" t="str">
        <f t="shared" si="19"/>
        <v>Incomplete</v>
      </c>
    </row>
    <row r="1255" spans="1:17" hidden="1">
      <c r="A1255" s="12">
        <v>46082</v>
      </c>
      <c r="B1255" s="10">
        <v>15</v>
      </c>
      <c r="Q1255" s="10" t="str">
        <f t="shared" si="19"/>
        <v>Incomplete</v>
      </c>
    </row>
    <row r="1256" spans="1:17" hidden="1">
      <c r="A1256" s="12">
        <v>46082</v>
      </c>
      <c r="B1256" s="10">
        <v>16</v>
      </c>
      <c r="Q1256" s="10" t="str">
        <f t="shared" si="19"/>
        <v>Incomplete</v>
      </c>
    </row>
    <row r="1257" spans="1:17" hidden="1">
      <c r="A1257" s="12">
        <v>46082</v>
      </c>
      <c r="B1257" s="10">
        <v>17</v>
      </c>
      <c r="Q1257" s="10" t="str">
        <f t="shared" si="19"/>
        <v>Incomplete</v>
      </c>
    </row>
    <row r="1258" spans="1:17" hidden="1">
      <c r="A1258" s="12">
        <v>46082</v>
      </c>
      <c r="B1258" s="10">
        <v>18</v>
      </c>
      <c r="Q1258" s="10" t="str">
        <f t="shared" si="19"/>
        <v>Incomplete</v>
      </c>
    </row>
    <row r="1259" spans="1:17" hidden="1">
      <c r="A1259" s="12">
        <v>46082</v>
      </c>
      <c r="B1259" s="10">
        <v>19</v>
      </c>
      <c r="Q1259" s="10" t="str">
        <f t="shared" si="19"/>
        <v>Incomplete</v>
      </c>
    </row>
    <row r="1260" spans="1:17" hidden="1">
      <c r="A1260" s="12">
        <v>46082</v>
      </c>
      <c r="B1260" s="10">
        <v>20</v>
      </c>
      <c r="Q1260" s="10" t="str">
        <f t="shared" si="19"/>
        <v>Incomplete</v>
      </c>
    </row>
    <row r="1261" spans="1:17" hidden="1">
      <c r="A1261" s="12">
        <v>46082</v>
      </c>
      <c r="B1261" s="10">
        <v>21</v>
      </c>
      <c r="Q1261" s="10" t="str">
        <f t="shared" si="19"/>
        <v>Incomplete</v>
      </c>
    </row>
    <row r="1262" spans="1:17" hidden="1">
      <c r="A1262" s="12">
        <v>46083</v>
      </c>
      <c r="B1262" s="10">
        <v>1</v>
      </c>
      <c r="Q1262" s="10" t="str">
        <f t="shared" si="19"/>
        <v>Incomplete</v>
      </c>
    </row>
    <row r="1263" spans="1:17" hidden="1">
      <c r="A1263" s="12">
        <v>46083</v>
      </c>
      <c r="B1263" s="10">
        <v>2</v>
      </c>
      <c r="Q1263" s="10" t="str">
        <f t="shared" si="19"/>
        <v>Incomplete</v>
      </c>
    </row>
    <row r="1264" spans="1:17" hidden="1">
      <c r="A1264" s="12">
        <v>46083</v>
      </c>
      <c r="B1264" s="10">
        <v>3</v>
      </c>
      <c r="Q1264" s="10" t="str">
        <f t="shared" si="19"/>
        <v>Incomplete</v>
      </c>
    </row>
    <row r="1265" spans="1:17" hidden="1">
      <c r="A1265" s="12">
        <v>46083</v>
      </c>
      <c r="B1265" s="10">
        <v>4</v>
      </c>
      <c r="Q1265" s="10" t="str">
        <f t="shared" si="19"/>
        <v>Incomplete</v>
      </c>
    </row>
    <row r="1266" spans="1:17" hidden="1">
      <c r="A1266" s="12">
        <v>46083</v>
      </c>
      <c r="B1266" s="10">
        <v>5</v>
      </c>
      <c r="Q1266" s="10" t="str">
        <f t="shared" si="19"/>
        <v>Incomplete</v>
      </c>
    </row>
    <row r="1267" spans="1:17" hidden="1">
      <c r="A1267" s="12">
        <v>46083</v>
      </c>
      <c r="B1267" s="10">
        <v>6</v>
      </c>
      <c r="Q1267" s="10" t="str">
        <f t="shared" si="19"/>
        <v>Incomplete</v>
      </c>
    </row>
    <row r="1268" spans="1:17" hidden="1">
      <c r="A1268" s="12">
        <v>46083</v>
      </c>
      <c r="B1268" s="10">
        <v>7</v>
      </c>
      <c r="Q1268" s="10" t="str">
        <f t="shared" si="19"/>
        <v>Incomplete</v>
      </c>
    </row>
    <row r="1269" spans="1:17" hidden="1">
      <c r="A1269" s="12">
        <v>46083</v>
      </c>
      <c r="B1269" s="10">
        <v>8</v>
      </c>
      <c r="Q1269" s="10" t="str">
        <f t="shared" si="19"/>
        <v>Incomplete</v>
      </c>
    </row>
    <row r="1270" spans="1:17" hidden="1">
      <c r="A1270" s="12">
        <v>46083</v>
      </c>
      <c r="B1270" s="10">
        <v>9</v>
      </c>
      <c r="Q1270" s="10" t="str">
        <f t="shared" si="19"/>
        <v>Incomplete</v>
      </c>
    </row>
    <row r="1271" spans="1:17" hidden="1">
      <c r="A1271" s="12">
        <v>46083</v>
      </c>
      <c r="B1271" s="10">
        <v>10</v>
      </c>
      <c r="Q1271" s="10" t="str">
        <f t="shared" si="19"/>
        <v>Incomplete</v>
      </c>
    </row>
    <row r="1272" spans="1:17" hidden="1">
      <c r="A1272" s="12">
        <v>46083</v>
      </c>
      <c r="B1272" s="10">
        <v>11</v>
      </c>
      <c r="Q1272" s="10" t="str">
        <f t="shared" si="19"/>
        <v>Incomplete</v>
      </c>
    </row>
    <row r="1273" spans="1:17" hidden="1">
      <c r="A1273" s="12">
        <v>46083</v>
      </c>
      <c r="B1273" s="10">
        <v>12</v>
      </c>
      <c r="Q1273" s="10" t="str">
        <f t="shared" si="19"/>
        <v>Incomplete</v>
      </c>
    </row>
    <row r="1274" spans="1:17" hidden="1">
      <c r="A1274" s="12">
        <v>46083</v>
      </c>
      <c r="B1274" s="10">
        <v>13</v>
      </c>
      <c r="Q1274" s="10" t="str">
        <f t="shared" si="19"/>
        <v>Incomplete</v>
      </c>
    </row>
    <row r="1275" spans="1:17" hidden="1">
      <c r="A1275" s="12">
        <v>46083</v>
      </c>
      <c r="B1275" s="10">
        <v>14</v>
      </c>
      <c r="Q1275" s="10" t="str">
        <f t="shared" si="19"/>
        <v>Incomplete</v>
      </c>
    </row>
    <row r="1276" spans="1:17" hidden="1">
      <c r="A1276" s="12">
        <v>46083</v>
      </c>
      <c r="B1276" s="10">
        <v>15</v>
      </c>
      <c r="Q1276" s="10" t="str">
        <f t="shared" si="19"/>
        <v>Incomplete</v>
      </c>
    </row>
    <row r="1277" spans="1:17" hidden="1">
      <c r="A1277" s="12">
        <v>46083</v>
      </c>
      <c r="B1277" s="10">
        <v>16</v>
      </c>
      <c r="Q1277" s="10" t="str">
        <f t="shared" si="19"/>
        <v>Incomplete</v>
      </c>
    </row>
    <row r="1278" spans="1:17" hidden="1">
      <c r="A1278" s="12">
        <v>46083</v>
      </c>
      <c r="B1278" s="10">
        <v>17</v>
      </c>
      <c r="Q1278" s="10" t="str">
        <f t="shared" si="19"/>
        <v>Incomplete</v>
      </c>
    </row>
    <row r="1279" spans="1:17" hidden="1">
      <c r="A1279" s="12">
        <v>46083</v>
      </c>
      <c r="B1279" s="10">
        <v>18</v>
      </c>
      <c r="Q1279" s="10" t="str">
        <f t="shared" si="19"/>
        <v>Incomplete</v>
      </c>
    </row>
    <row r="1280" spans="1:17" hidden="1">
      <c r="A1280" s="12">
        <v>46083</v>
      </c>
      <c r="B1280" s="10">
        <v>19</v>
      </c>
      <c r="Q1280" s="10" t="str">
        <f t="shared" si="19"/>
        <v>Incomplete</v>
      </c>
    </row>
    <row r="1281" spans="1:17" hidden="1">
      <c r="A1281" s="12">
        <v>46083</v>
      </c>
      <c r="B1281" s="10">
        <v>20</v>
      </c>
      <c r="Q1281" s="10" t="str">
        <f t="shared" si="19"/>
        <v>Incomplete</v>
      </c>
    </row>
    <row r="1282" spans="1:17" hidden="1">
      <c r="A1282" s="12">
        <v>46083</v>
      </c>
      <c r="B1282" s="10">
        <v>21</v>
      </c>
      <c r="Q1282" s="10" t="str">
        <f t="shared" ref="Q1282:Q1345" si="20">IF(AND(C1282&lt;&gt;"",J1282&lt;&gt;"",K1282&lt;&gt;"",L1282&lt;&gt;"",O1282="Yes"),"Complete","Incomplete")</f>
        <v>Incomplete</v>
      </c>
    </row>
    <row r="1283" spans="1:17" hidden="1">
      <c r="A1283" s="12">
        <v>46084</v>
      </c>
      <c r="B1283" s="10">
        <v>1</v>
      </c>
      <c r="Q1283" s="10" t="str">
        <f t="shared" si="20"/>
        <v>Incomplete</v>
      </c>
    </row>
    <row r="1284" spans="1:17" hidden="1">
      <c r="A1284" s="12">
        <v>46084</v>
      </c>
      <c r="B1284" s="10">
        <v>2</v>
      </c>
      <c r="Q1284" s="10" t="str">
        <f t="shared" si="20"/>
        <v>Incomplete</v>
      </c>
    </row>
    <row r="1285" spans="1:17" hidden="1">
      <c r="A1285" s="12">
        <v>46084</v>
      </c>
      <c r="B1285" s="10">
        <v>3</v>
      </c>
      <c r="Q1285" s="10" t="str">
        <f t="shared" si="20"/>
        <v>Incomplete</v>
      </c>
    </row>
    <row r="1286" spans="1:17" hidden="1">
      <c r="A1286" s="12">
        <v>46084</v>
      </c>
      <c r="B1286" s="10">
        <v>4</v>
      </c>
      <c r="Q1286" s="10" t="str">
        <f t="shared" si="20"/>
        <v>Incomplete</v>
      </c>
    </row>
    <row r="1287" spans="1:17" hidden="1">
      <c r="A1287" s="12">
        <v>46084</v>
      </c>
      <c r="B1287" s="10">
        <v>5</v>
      </c>
      <c r="Q1287" s="10" t="str">
        <f t="shared" si="20"/>
        <v>Incomplete</v>
      </c>
    </row>
    <row r="1288" spans="1:17" hidden="1">
      <c r="A1288" s="12">
        <v>46084</v>
      </c>
      <c r="B1288" s="10">
        <v>6</v>
      </c>
      <c r="Q1288" s="10" t="str">
        <f t="shared" si="20"/>
        <v>Incomplete</v>
      </c>
    </row>
    <row r="1289" spans="1:17" hidden="1">
      <c r="A1289" s="12">
        <v>46084</v>
      </c>
      <c r="B1289" s="10">
        <v>7</v>
      </c>
      <c r="Q1289" s="10" t="str">
        <f t="shared" si="20"/>
        <v>Incomplete</v>
      </c>
    </row>
    <row r="1290" spans="1:17" hidden="1">
      <c r="A1290" s="12">
        <v>46084</v>
      </c>
      <c r="B1290" s="10">
        <v>8</v>
      </c>
      <c r="Q1290" s="10" t="str">
        <f t="shared" si="20"/>
        <v>Incomplete</v>
      </c>
    </row>
    <row r="1291" spans="1:17" hidden="1">
      <c r="A1291" s="12">
        <v>46084</v>
      </c>
      <c r="B1291" s="10">
        <v>9</v>
      </c>
      <c r="Q1291" s="10" t="str">
        <f t="shared" si="20"/>
        <v>Incomplete</v>
      </c>
    </row>
    <row r="1292" spans="1:17" hidden="1">
      <c r="A1292" s="12">
        <v>46084</v>
      </c>
      <c r="B1292" s="10">
        <v>10</v>
      </c>
      <c r="Q1292" s="10" t="str">
        <f t="shared" si="20"/>
        <v>Incomplete</v>
      </c>
    </row>
    <row r="1293" spans="1:17" hidden="1">
      <c r="A1293" s="12">
        <v>46084</v>
      </c>
      <c r="B1293" s="10">
        <v>11</v>
      </c>
      <c r="Q1293" s="10" t="str">
        <f t="shared" si="20"/>
        <v>Incomplete</v>
      </c>
    </row>
    <row r="1294" spans="1:17" hidden="1">
      <c r="A1294" s="12">
        <v>46084</v>
      </c>
      <c r="B1294" s="10">
        <v>12</v>
      </c>
      <c r="Q1294" s="10" t="str">
        <f t="shared" si="20"/>
        <v>Incomplete</v>
      </c>
    </row>
    <row r="1295" spans="1:17" hidden="1">
      <c r="A1295" s="12">
        <v>46084</v>
      </c>
      <c r="B1295" s="10">
        <v>13</v>
      </c>
      <c r="Q1295" s="10" t="str">
        <f t="shared" si="20"/>
        <v>Incomplete</v>
      </c>
    </row>
    <row r="1296" spans="1:17" hidden="1">
      <c r="A1296" s="12">
        <v>46084</v>
      </c>
      <c r="B1296" s="10">
        <v>14</v>
      </c>
      <c r="Q1296" s="10" t="str">
        <f t="shared" si="20"/>
        <v>Incomplete</v>
      </c>
    </row>
    <row r="1297" spans="1:17" hidden="1">
      <c r="A1297" s="12">
        <v>46084</v>
      </c>
      <c r="B1297" s="10">
        <v>15</v>
      </c>
      <c r="Q1297" s="10" t="str">
        <f t="shared" si="20"/>
        <v>Incomplete</v>
      </c>
    </row>
    <row r="1298" spans="1:17" hidden="1">
      <c r="A1298" s="12">
        <v>46084</v>
      </c>
      <c r="B1298" s="10">
        <v>16</v>
      </c>
      <c r="Q1298" s="10" t="str">
        <f t="shared" si="20"/>
        <v>Incomplete</v>
      </c>
    </row>
    <row r="1299" spans="1:17" hidden="1">
      <c r="A1299" s="12">
        <v>46084</v>
      </c>
      <c r="B1299" s="10">
        <v>17</v>
      </c>
      <c r="Q1299" s="10" t="str">
        <f t="shared" si="20"/>
        <v>Incomplete</v>
      </c>
    </row>
    <row r="1300" spans="1:17" hidden="1">
      <c r="A1300" s="12">
        <v>46084</v>
      </c>
      <c r="B1300" s="10">
        <v>18</v>
      </c>
      <c r="Q1300" s="10" t="str">
        <f t="shared" si="20"/>
        <v>Incomplete</v>
      </c>
    </row>
    <row r="1301" spans="1:17" hidden="1">
      <c r="A1301" s="12">
        <v>46084</v>
      </c>
      <c r="B1301" s="10">
        <v>19</v>
      </c>
      <c r="Q1301" s="10" t="str">
        <f t="shared" si="20"/>
        <v>Incomplete</v>
      </c>
    </row>
    <row r="1302" spans="1:17" hidden="1">
      <c r="A1302" s="12">
        <v>46084</v>
      </c>
      <c r="B1302" s="10">
        <v>20</v>
      </c>
      <c r="Q1302" s="10" t="str">
        <f t="shared" si="20"/>
        <v>Incomplete</v>
      </c>
    </row>
    <row r="1303" spans="1:17" hidden="1">
      <c r="A1303" s="12">
        <v>46084</v>
      </c>
      <c r="B1303" s="10">
        <v>21</v>
      </c>
      <c r="Q1303" s="10" t="str">
        <f t="shared" si="20"/>
        <v>Incomplete</v>
      </c>
    </row>
    <row r="1304" spans="1:17" hidden="1">
      <c r="A1304" s="12">
        <v>46085</v>
      </c>
      <c r="B1304" s="10">
        <v>1</v>
      </c>
      <c r="Q1304" s="10" t="str">
        <f t="shared" si="20"/>
        <v>Incomplete</v>
      </c>
    </row>
    <row r="1305" spans="1:17" hidden="1">
      <c r="A1305" s="12">
        <v>46085</v>
      </c>
      <c r="B1305" s="10">
        <v>2</v>
      </c>
      <c r="Q1305" s="10" t="str">
        <f t="shared" si="20"/>
        <v>Incomplete</v>
      </c>
    </row>
    <row r="1306" spans="1:17" hidden="1">
      <c r="A1306" s="12">
        <v>46085</v>
      </c>
      <c r="B1306" s="10">
        <v>3</v>
      </c>
      <c r="Q1306" s="10" t="str">
        <f t="shared" si="20"/>
        <v>Incomplete</v>
      </c>
    </row>
    <row r="1307" spans="1:17" hidden="1">
      <c r="A1307" s="12">
        <v>46085</v>
      </c>
      <c r="B1307" s="10">
        <v>4</v>
      </c>
      <c r="Q1307" s="10" t="str">
        <f t="shared" si="20"/>
        <v>Incomplete</v>
      </c>
    </row>
    <row r="1308" spans="1:17" hidden="1">
      <c r="A1308" s="12">
        <v>46085</v>
      </c>
      <c r="B1308" s="10">
        <v>5</v>
      </c>
      <c r="Q1308" s="10" t="str">
        <f t="shared" si="20"/>
        <v>Incomplete</v>
      </c>
    </row>
    <row r="1309" spans="1:17" hidden="1">
      <c r="A1309" s="12">
        <v>46085</v>
      </c>
      <c r="B1309" s="10">
        <v>6</v>
      </c>
      <c r="Q1309" s="10" t="str">
        <f t="shared" si="20"/>
        <v>Incomplete</v>
      </c>
    </row>
    <row r="1310" spans="1:17" hidden="1">
      <c r="A1310" s="12">
        <v>46085</v>
      </c>
      <c r="B1310" s="10">
        <v>7</v>
      </c>
      <c r="Q1310" s="10" t="str">
        <f t="shared" si="20"/>
        <v>Incomplete</v>
      </c>
    </row>
    <row r="1311" spans="1:17" hidden="1">
      <c r="A1311" s="12">
        <v>46085</v>
      </c>
      <c r="B1311" s="10">
        <v>8</v>
      </c>
      <c r="Q1311" s="10" t="str">
        <f t="shared" si="20"/>
        <v>Incomplete</v>
      </c>
    </row>
    <row r="1312" spans="1:17" hidden="1">
      <c r="A1312" s="12">
        <v>46085</v>
      </c>
      <c r="B1312" s="10">
        <v>9</v>
      </c>
      <c r="Q1312" s="10" t="str">
        <f t="shared" si="20"/>
        <v>Incomplete</v>
      </c>
    </row>
    <row r="1313" spans="1:17" hidden="1">
      <c r="A1313" s="12">
        <v>46085</v>
      </c>
      <c r="B1313" s="10">
        <v>10</v>
      </c>
      <c r="Q1313" s="10" t="str">
        <f t="shared" si="20"/>
        <v>Incomplete</v>
      </c>
    </row>
    <row r="1314" spans="1:17" hidden="1">
      <c r="A1314" s="12">
        <v>46085</v>
      </c>
      <c r="B1314" s="10">
        <v>11</v>
      </c>
      <c r="Q1314" s="10" t="str">
        <f t="shared" si="20"/>
        <v>Incomplete</v>
      </c>
    </row>
    <row r="1315" spans="1:17" hidden="1">
      <c r="A1315" s="12">
        <v>46085</v>
      </c>
      <c r="B1315" s="10">
        <v>12</v>
      </c>
      <c r="Q1315" s="10" t="str">
        <f t="shared" si="20"/>
        <v>Incomplete</v>
      </c>
    </row>
    <row r="1316" spans="1:17" hidden="1">
      <c r="A1316" s="12">
        <v>46085</v>
      </c>
      <c r="B1316" s="10">
        <v>13</v>
      </c>
      <c r="Q1316" s="10" t="str">
        <f t="shared" si="20"/>
        <v>Incomplete</v>
      </c>
    </row>
    <row r="1317" spans="1:17" hidden="1">
      <c r="A1317" s="12">
        <v>46085</v>
      </c>
      <c r="B1317" s="10">
        <v>14</v>
      </c>
      <c r="Q1317" s="10" t="str">
        <f t="shared" si="20"/>
        <v>Incomplete</v>
      </c>
    </row>
    <row r="1318" spans="1:17" hidden="1">
      <c r="A1318" s="12">
        <v>46085</v>
      </c>
      <c r="B1318" s="10">
        <v>15</v>
      </c>
      <c r="Q1318" s="10" t="str">
        <f t="shared" si="20"/>
        <v>Incomplete</v>
      </c>
    </row>
    <row r="1319" spans="1:17" hidden="1">
      <c r="A1319" s="12">
        <v>46085</v>
      </c>
      <c r="B1319" s="10">
        <v>16</v>
      </c>
      <c r="Q1319" s="10" t="str">
        <f t="shared" si="20"/>
        <v>Incomplete</v>
      </c>
    </row>
    <row r="1320" spans="1:17" hidden="1">
      <c r="A1320" s="12">
        <v>46085</v>
      </c>
      <c r="B1320" s="10">
        <v>17</v>
      </c>
      <c r="Q1320" s="10" t="str">
        <f t="shared" si="20"/>
        <v>Incomplete</v>
      </c>
    </row>
    <row r="1321" spans="1:17" hidden="1">
      <c r="A1321" s="12">
        <v>46085</v>
      </c>
      <c r="B1321" s="10">
        <v>18</v>
      </c>
      <c r="Q1321" s="10" t="str">
        <f t="shared" si="20"/>
        <v>Incomplete</v>
      </c>
    </row>
    <row r="1322" spans="1:17" hidden="1">
      <c r="A1322" s="12">
        <v>46085</v>
      </c>
      <c r="B1322" s="10">
        <v>19</v>
      </c>
      <c r="Q1322" s="10" t="str">
        <f t="shared" si="20"/>
        <v>Incomplete</v>
      </c>
    </row>
    <row r="1323" spans="1:17" hidden="1">
      <c r="A1323" s="12">
        <v>46085</v>
      </c>
      <c r="B1323" s="10">
        <v>20</v>
      </c>
      <c r="Q1323" s="10" t="str">
        <f t="shared" si="20"/>
        <v>Incomplete</v>
      </c>
    </row>
    <row r="1324" spans="1:17" hidden="1">
      <c r="A1324" s="12">
        <v>46085</v>
      </c>
      <c r="B1324" s="10">
        <v>21</v>
      </c>
      <c r="Q1324" s="10" t="str">
        <f t="shared" si="20"/>
        <v>Incomplete</v>
      </c>
    </row>
    <row r="1325" spans="1:17" hidden="1">
      <c r="A1325" s="12">
        <v>46086</v>
      </c>
      <c r="B1325" s="10">
        <v>1</v>
      </c>
      <c r="Q1325" s="10" t="str">
        <f t="shared" si="20"/>
        <v>Incomplete</v>
      </c>
    </row>
    <row r="1326" spans="1:17" hidden="1">
      <c r="A1326" s="12">
        <v>46086</v>
      </c>
      <c r="B1326" s="10">
        <v>2</v>
      </c>
      <c r="Q1326" s="10" t="str">
        <f t="shared" si="20"/>
        <v>Incomplete</v>
      </c>
    </row>
    <row r="1327" spans="1:17" hidden="1">
      <c r="A1327" s="12">
        <v>46086</v>
      </c>
      <c r="B1327" s="10">
        <v>3</v>
      </c>
      <c r="Q1327" s="10" t="str">
        <f t="shared" si="20"/>
        <v>Incomplete</v>
      </c>
    </row>
    <row r="1328" spans="1:17" hidden="1">
      <c r="A1328" s="12">
        <v>46086</v>
      </c>
      <c r="B1328" s="10">
        <v>4</v>
      </c>
      <c r="Q1328" s="10" t="str">
        <f t="shared" si="20"/>
        <v>Incomplete</v>
      </c>
    </row>
    <row r="1329" spans="1:17" hidden="1">
      <c r="A1329" s="12">
        <v>46086</v>
      </c>
      <c r="B1329" s="10">
        <v>5</v>
      </c>
      <c r="Q1329" s="10" t="str">
        <f t="shared" si="20"/>
        <v>Incomplete</v>
      </c>
    </row>
    <row r="1330" spans="1:17" hidden="1">
      <c r="A1330" s="12">
        <v>46086</v>
      </c>
      <c r="B1330" s="10">
        <v>6</v>
      </c>
      <c r="Q1330" s="10" t="str">
        <f t="shared" si="20"/>
        <v>Incomplete</v>
      </c>
    </row>
    <row r="1331" spans="1:17" hidden="1">
      <c r="A1331" s="12">
        <v>46086</v>
      </c>
      <c r="B1331" s="10">
        <v>7</v>
      </c>
      <c r="Q1331" s="10" t="str">
        <f t="shared" si="20"/>
        <v>Incomplete</v>
      </c>
    </row>
    <row r="1332" spans="1:17" hidden="1">
      <c r="A1332" s="12">
        <v>46086</v>
      </c>
      <c r="B1332" s="10">
        <v>8</v>
      </c>
      <c r="Q1332" s="10" t="str">
        <f t="shared" si="20"/>
        <v>Incomplete</v>
      </c>
    </row>
    <row r="1333" spans="1:17" hidden="1">
      <c r="A1333" s="12">
        <v>46086</v>
      </c>
      <c r="B1333" s="10">
        <v>9</v>
      </c>
      <c r="Q1333" s="10" t="str">
        <f t="shared" si="20"/>
        <v>Incomplete</v>
      </c>
    </row>
    <row r="1334" spans="1:17" hidden="1">
      <c r="A1334" s="12">
        <v>46086</v>
      </c>
      <c r="B1334" s="10">
        <v>10</v>
      </c>
      <c r="Q1334" s="10" t="str">
        <f t="shared" si="20"/>
        <v>Incomplete</v>
      </c>
    </row>
    <row r="1335" spans="1:17" hidden="1">
      <c r="A1335" s="12">
        <v>46086</v>
      </c>
      <c r="B1335" s="10">
        <v>11</v>
      </c>
      <c r="Q1335" s="10" t="str">
        <f t="shared" si="20"/>
        <v>Incomplete</v>
      </c>
    </row>
    <row r="1336" spans="1:17" hidden="1">
      <c r="A1336" s="12">
        <v>46086</v>
      </c>
      <c r="B1336" s="10">
        <v>12</v>
      </c>
      <c r="Q1336" s="10" t="str">
        <f t="shared" si="20"/>
        <v>Incomplete</v>
      </c>
    </row>
    <row r="1337" spans="1:17" hidden="1">
      <c r="A1337" s="12">
        <v>46086</v>
      </c>
      <c r="B1337" s="10">
        <v>13</v>
      </c>
      <c r="Q1337" s="10" t="str">
        <f t="shared" si="20"/>
        <v>Incomplete</v>
      </c>
    </row>
    <row r="1338" spans="1:17" hidden="1">
      <c r="A1338" s="12">
        <v>46086</v>
      </c>
      <c r="B1338" s="10">
        <v>14</v>
      </c>
      <c r="Q1338" s="10" t="str">
        <f t="shared" si="20"/>
        <v>Incomplete</v>
      </c>
    </row>
    <row r="1339" spans="1:17" hidden="1">
      <c r="A1339" s="12">
        <v>46086</v>
      </c>
      <c r="B1339" s="10">
        <v>15</v>
      </c>
      <c r="Q1339" s="10" t="str">
        <f t="shared" si="20"/>
        <v>Incomplete</v>
      </c>
    </row>
    <row r="1340" spans="1:17" hidden="1">
      <c r="A1340" s="12">
        <v>46086</v>
      </c>
      <c r="B1340" s="10">
        <v>16</v>
      </c>
      <c r="Q1340" s="10" t="str">
        <f t="shared" si="20"/>
        <v>Incomplete</v>
      </c>
    </row>
    <row r="1341" spans="1:17" hidden="1">
      <c r="A1341" s="12">
        <v>46086</v>
      </c>
      <c r="B1341" s="10">
        <v>17</v>
      </c>
      <c r="Q1341" s="10" t="str">
        <f t="shared" si="20"/>
        <v>Incomplete</v>
      </c>
    </row>
    <row r="1342" spans="1:17" hidden="1">
      <c r="A1342" s="12">
        <v>46086</v>
      </c>
      <c r="B1342" s="10">
        <v>18</v>
      </c>
      <c r="Q1342" s="10" t="str">
        <f t="shared" si="20"/>
        <v>Incomplete</v>
      </c>
    </row>
    <row r="1343" spans="1:17" hidden="1">
      <c r="A1343" s="12">
        <v>46086</v>
      </c>
      <c r="B1343" s="10">
        <v>19</v>
      </c>
      <c r="Q1343" s="10" t="str">
        <f t="shared" si="20"/>
        <v>Incomplete</v>
      </c>
    </row>
    <row r="1344" spans="1:17" hidden="1">
      <c r="A1344" s="12">
        <v>46086</v>
      </c>
      <c r="B1344" s="10">
        <v>20</v>
      </c>
      <c r="Q1344" s="10" t="str">
        <f t="shared" si="20"/>
        <v>Incomplete</v>
      </c>
    </row>
    <row r="1345" spans="1:17" hidden="1">
      <c r="A1345" s="12">
        <v>46086</v>
      </c>
      <c r="B1345" s="10">
        <v>21</v>
      </c>
      <c r="Q1345" s="10" t="str">
        <f t="shared" si="20"/>
        <v>Incomplete</v>
      </c>
    </row>
    <row r="1346" spans="1:17" hidden="1">
      <c r="A1346" s="12">
        <v>46087</v>
      </c>
      <c r="B1346" s="10">
        <v>1</v>
      </c>
      <c r="Q1346" s="10" t="str">
        <f t="shared" ref="Q1346:Q1409" si="21">IF(AND(C1346&lt;&gt;"",J1346&lt;&gt;"",K1346&lt;&gt;"",L1346&lt;&gt;"",O1346="Yes"),"Complete","Incomplete")</f>
        <v>Incomplete</v>
      </c>
    </row>
    <row r="1347" spans="1:17" hidden="1">
      <c r="A1347" s="12">
        <v>46087</v>
      </c>
      <c r="B1347" s="10">
        <v>2</v>
      </c>
      <c r="Q1347" s="10" t="str">
        <f t="shared" si="21"/>
        <v>Incomplete</v>
      </c>
    </row>
    <row r="1348" spans="1:17" hidden="1">
      <c r="A1348" s="12">
        <v>46087</v>
      </c>
      <c r="B1348" s="10">
        <v>3</v>
      </c>
      <c r="Q1348" s="10" t="str">
        <f t="shared" si="21"/>
        <v>Incomplete</v>
      </c>
    </row>
    <row r="1349" spans="1:17" hidden="1">
      <c r="A1349" s="12">
        <v>46087</v>
      </c>
      <c r="B1349" s="10">
        <v>4</v>
      </c>
      <c r="Q1349" s="10" t="str">
        <f t="shared" si="21"/>
        <v>Incomplete</v>
      </c>
    </row>
    <row r="1350" spans="1:17" hidden="1">
      <c r="A1350" s="12">
        <v>46087</v>
      </c>
      <c r="B1350" s="10">
        <v>5</v>
      </c>
      <c r="Q1350" s="10" t="str">
        <f t="shared" si="21"/>
        <v>Incomplete</v>
      </c>
    </row>
    <row r="1351" spans="1:17" hidden="1">
      <c r="A1351" s="12">
        <v>46087</v>
      </c>
      <c r="B1351" s="10">
        <v>6</v>
      </c>
      <c r="Q1351" s="10" t="str">
        <f t="shared" si="21"/>
        <v>Incomplete</v>
      </c>
    </row>
    <row r="1352" spans="1:17" hidden="1">
      <c r="A1352" s="12">
        <v>46087</v>
      </c>
      <c r="B1352" s="10">
        <v>7</v>
      </c>
      <c r="Q1352" s="10" t="str">
        <f t="shared" si="21"/>
        <v>Incomplete</v>
      </c>
    </row>
    <row r="1353" spans="1:17" hidden="1">
      <c r="A1353" s="12">
        <v>46087</v>
      </c>
      <c r="B1353" s="10">
        <v>8</v>
      </c>
      <c r="Q1353" s="10" t="str">
        <f t="shared" si="21"/>
        <v>Incomplete</v>
      </c>
    </row>
    <row r="1354" spans="1:17" hidden="1">
      <c r="A1354" s="12">
        <v>46087</v>
      </c>
      <c r="B1354" s="10">
        <v>9</v>
      </c>
      <c r="Q1354" s="10" t="str">
        <f t="shared" si="21"/>
        <v>Incomplete</v>
      </c>
    </row>
    <row r="1355" spans="1:17" hidden="1">
      <c r="A1355" s="12">
        <v>46087</v>
      </c>
      <c r="B1355" s="10">
        <v>10</v>
      </c>
      <c r="Q1355" s="10" t="str">
        <f t="shared" si="21"/>
        <v>Incomplete</v>
      </c>
    </row>
    <row r="1356" spans="1:17" hidden="1">
      <c r="A1356" s="12">
        <v>46087</v>
      </c>
      <c r="B1356" s="10">
        <v>11</v>
      </c>
      <c r="Q1356" s="10" t="str">
        <f t="shared" si="21"/>
        <v>Incomplete</v>
      </c>
    </row>
    <row r="1357" spans="1:17" hidden="1">
      <c r="A1357" s="12">
        <v>46087</v>
      </c>
      <c r="B1357" s="10">
        <v>12</v>
      </c>
      <c r="Q1357" s="10" t="str">
        <f t="shared" si="21"/>
        <v>Incomplete</v>
      </c>
    </row>
    <row r="1358" spans="1:17" hidden="1">
      <c r="A1358" s="12">
        <v>46087</v>
      </c>
      <c r="B1358" s="10">
        <v>13</v>
      </c>
      <c r="Q1358" s="10" t="str">
        <f t="shared" si="21"/>
        <v>Incomplete</v>
      </c>
    </row>
    <row r="1359" spans="1:17" hidden="1">
      <c r="A1359" s="12">
        <v>46087</v>
      </c>
      <c r="B1359" s="10">
        <v>14</v>
      </c>
      <c r="Q1359" s="10" t="str">
        <f t="shared" si="21"/>
        <v>Incomplete</v>
      </c>
    </row>
    <row r="1360" spans="1:17" hidden="1">
      <c r="A1360" s="12">
        <v>46087</v>
      </c>
      <c r="B1360" s="10">
        <v>15</v>
      </c>
      <c r="Q1360" s="10" t="str">
        <f t="shared" si="21"/>
        <v>Incomplete</v>
      </c>
    </row>
    <row r="1361" spans="1:17" hidden="1">
      <c r="A1361" s="12">
        <v>46087</v>
      </c>
      <c r="B1361" s="10">
        <v>16</v>
      </c>
      <c r="Q1361" s="10" t="str">
        <f t="shared" si="21"/>
        <v>Incomplete</v>
      </c>
    </row>
    <row r="1362" spans="1:17" hidden="1">
      <c r="A1362" s="12">
        <v>46087</v>
      </c>
      <c r="B1362" s="10">
        <v>17</v>
      </c>
      <c r="Q1362" s="10" t="str">
        <f t="shared" si="21"/>
        <v>Incomplete</v>
      </c>
    </row>
    <row r="1363" spans="1:17" hidden="1">
      <c r="A1363" s="12">
        <v>46087</v>
      </c>
      <c r="B1363" s="10">
        <v>18</v>
      </c>
      <c r="Q1363" s="10" t="str">
        <f t="shared" si="21"/>
        <v>Incomplete</v>
      </c>
    </row>
    <row r="1364" spans="1:17" hidden="1">
      <c r="A1364" s="12">
        <v>46087</v>
      </c>
      <c r="B1364" s="10">
        <v>19</v>
      </c>
      <c r="Q1364" s="10" t="str">
        <f t="shared" si="21"/>
        <v>Incomplete</v>
      </c>
    </row>
    <row r="1365" spans="1:17" hidden="1">
      <c r="A1365" s="12">
        <v>46087</v>
      </c>
      <c r="B1365" s="10">
        <v>20</v>
      </c>
      <c r="Q1365" s="10" t="str">
        <f t="shared" si="21"/>
        <v>Incomplete</v>
      </c>
    </row>
    <row r="1366" spans="1:17" hidden="1">
      <c r="A1366" s="12">
        <v>46087</v>
      </c>
      <c r="B1366" s="10">
        <v>21</v>
      </c>
      <c r="Q1366" s="10" t="str">
        <f t="shared" si="21"/>
        <v>Incomplete</v>
      </c>
    </row>
    <row r="1367" spans="1:17" hidden="1">
      <c r="A1367" s="12">
        <v>46088</v>
      </c>
      <c r="B1367" s="10">
        <v>1</v>
      </c>
      <c r="Q1367" s="10" t="str">
        <f t="shared" si="21"/>
        <v>Incomplete</v>
      </c>
    </row>
    <row r="1368" spans="1:17" hidden="1">
      <c r="A1368" s="12">
        <v>46088</v>
      </c>
      <c r="B1368" s="10">
        <v>2</v>
      </c>
      <c r="Q1368" s="10" t="str">
        <f t="shared" si="21"/>
        <v>Incomplete</v>
      </c>
    </row>
    <row r="1369" spans="1:17" hidden="1">
      <c r="A1369" s="12">
        <v>46088</v>
      </c>
      <c r="B1369" s="10">
        <v>3</v>
      </c>
      <c r="Q1369" s="10" t="str">
        <f t="shared" si="21"/>
        <v>Incomplete</v>
      </c>
    </row>
    <row r="1370" spans="1:17" hidden="1">
      <c r="A1370" s="12">
        <v>46088</v>
      </c>
      <c r="B1370" s="10">
        <v>4</v>
      </c>
      <c r="Q1370" s="10" t="str">
        <f t="shared" si="21"/>
        <v>Incomplete</v>
      </c>
    </row>
    <row r="1371" spans="1:17" hidden="1">
      <c r="A1371" s="12">
        <v>46088</v>
      </c>
      <c r="B1371" s="10">
        <v>5</v>
      </c>
      <c r="Q1371" s="10" t="str">
        <f t="shared" si="21"/>
        <v>Incomplete</v>
      </c>
    </row>
    <row r="1372" spans="1:17" hidden="1">
      <c r="A1372" s="12">
        <v>46088</v>
      </c>
      <c r="B1372" s="10">
        <v>6</v>
      </c>
      <c r="Q1372" s="10" t="str">
        <f t="shared" si="21"/>
        <v>Incomplete</v>
      </c>
    </row>
    <row r="1373" spans="1:17" hidden="1">
      <c r="A1373" s="12">
        <v>46088</v>
      </c>
      <c r="B1373" s="10">
        <v>7</v>
      </c>
      <c r="Q1373" s="10" t="str">
        <f t="shared" si="21"/>
        <v>Incomplete</v>
      </c>
    </row>
    <row r="1374" spans="1:17" hidden="1">
      <c r="A1374" s="12">
        <v>46088</v>
      </c>
      <c r="B1374" s="10">
        <v>8</v>
      </c>
      <c r="Q1374" s="10" t="str">
        <f t="shared" si="21"/>
        <v>Incomplete</v>
      </c>
    </row>
    <row r="1375" spans="1:17" hidden="1">
      <c r="A1375" s="12">
        <v>46088</v>
      </c>
      <c r="B1375" s="10">
        <v>9</v>
      </c>
      <c r="Q1375" s="10" t="str">
        <f t="shared" si="21"/>
        <v>Incomplete</v>
      </c>
    </row>
    <row r="1376" spans="1:17" hidden="1">
      <c r="A1376" s="12">
        <v>46088</v>
      </c>
      <c r="B1376" s="10">
        <v>10</v>
      </c>
      <c r="Q1376" s="10" t="str">
        <f t="shared" si="21"/>
        <v>Incomplete</v>
      </c>
    </row>
    <row r="1377" spans="1:17" hidden="1">
      <c r="A1377" s="12">
        <v>46088</v>
      </c>
      <c r="B1377" s="10">
        <v>11</v>
      </c>
      <c r="Q1377" s="10" t="str">
        <f t="shared" si="21"/>
        <v>Incomplete</v>
      </c>
    </row>
    <row r="1378" spans="1:17" hidden="1">
      <c r="A1378" s="12">
        <v>46088</v>
      </c>
      <c r="B1378" s="10">
        <v>12</v>
      </c>
      <c r="Q1378" s="10" t="str">
        <f t="shared" si="21"/>
        <v>Incomplete</v>
      </c>
    </row>
    <row r="1379" spans="1:17" hidden="1">
      <c r="A1379" s="12">
        <v>46088</v>
      </c>
      <c r="B1379" s="10">
        <v>13</v>
      </c>
      <c r="Q1379" s="10" t="str">
        <f t="shared" si="21"/>
        <v>Incomplete</v>
      </c>
    </row>
    <row r="1380" spans="1:17" hidden="1">
      <c r="A1380" s="12">
        <v>46088</v>
      </c>
      <c r="B1380" s="10">
        <v>14</v>
      </c>
      <c r="Q1380" s="10" t="str">
        <f t="shared" si="21"/>
        <v>Incomplete</v>
      </c>
    </row>
    <row r="1381" spans="1:17" hidden="1">
      <c r="A1381" s="12">
        <v>46088</v>
      </c>
      <c r="B1381" s="10">
        <v>15</v>
      </c>
      <c r="Q1381" s="10" t="str">
        <f t="shared" si="21"/>
        <v>Incomplete</v>
      </c>
    </row>
    <row r="1382" spans="1:17" hidden="1">
      <c r="A1382" s="12">
        <v>46088</v>
      </c>
      <c r="B1382" s="10">
        <v>16</v>
      </c>
      <c r="Q1382" s="10" t="str">
        <f t="shared" si="21"/>
        <v>Incomplete</v>
      </c>
    </row>
    <row r="1383" spans="1:17" hidden="1">
      <c r="A1383" s="12">
        <v>46088</v>
      </c>
      <c r="B1383" s="10">
        <v>17</v>
      </c>
      <c r="Q1383" s="10" t="str">
        <f t="shared" si="21"/>
        <v>Incomplete</v>
      </c>
    </row>
    <row r="1384" spans="1:17" hidden="1">
      <c r="A1384" s="12">
        <v>46088</v>
      </c>
      <c r="B1384" s="10">
        <v>18</v>
      </c>
      <c r="Q1384" s="10" t="str">
        <f t="shared" si="21"/>
        <v>Incomplete</v>
      </c>
    </row>
    <row r="1385" spans="1:17" hidden="1">
      <c r="A1385" s="12">
        <v>46088</v>
      </c>
      <c r="B1385" s="10">
        <v>19</v>
      </c>
      <c r="Q1385" s="10" t="str">
        <f t="shared" si="21"/>
        <v>Incomplete</v>
      </c>
    </row>
    <row r="1386" spans="1:17" hidden="1">
      <c r="A1386" s="12">
        <v>46088</v>
      </c>
      <c r="B1386" s="10">
        <v>20</v>
      </c>
      <c r="Q1386" s="10" t="str">
        <f t="shared" si="21"/>
        <v>Incomplete</v>
      </c>
    </row>
    <row r="1387" spans="1:17" hidden="1">
      <c r="A1387" s="12">
        <v>46088</v>
      </c>
      <c r="B1387" s="10">
        <v>21</v>
      </c>
      <c r="Q1387" s="10" t="str">
        <f t="shared" si="21"/>
        <v>Incomplete</v>
      </c>
    </row>
    <row r="1388" spans="1:17" hidden="1">
      <c r="A1388" s="12">
        <v>46089</v>
      </c>
      <c r="B1388" s="10">
        <v>1</v>
      </c>
      <c r="Q1388" s="10" t="str">
        <f t="shared" si="21"/>
        <v>Incomplete</v>
      </c>
    </row>
    <row r="1389" spans="1:17" hidden="1">
      <c r="A1389" s="12">
        <v>46089</v>
      </c>
      <c r="B1389" s="10">
        <v>2</v>
      </c>
      <c r="Q1389" s="10" t="str">
        <f t="shared" si="21"/>
        <v>Incomplete</v>
      </c>
    </row>
    <row r="1390" spans="1:17" hidden="1">
      <c r="A1390" s="12">
        <v>46089</v>
      </c>
      <c r="B1390" s="10">
        <v>3</v>
      </c>
      <c r="Q1390" s="10" t="str">
        <f t="shared" si="21"/>
        <v>Incomplete</v>
      </c>
    </row>
    <row r="1391" spans="1:17" hidden="1">
      <c r="A1391" s="12">
        <v>46089</v>
      </c>
      <c r="B1391" s="10">
        <v>4</v>
      </c>
      <c r="Q1391" s="10" t="str">
        <f t="shared" si="21"/>
        <v>Incomplete</v>
      </c>
    </row>
    <row r="1392" spans="1:17" hidden="1">
      <c r="A1392" s="12">
        <v>46089</v>
      </c>
      <c r="B1392" s="10">
        <v>5</v>
      </c>
      <c r="Q1392" s="10" t="str">
        <f t="shared" si="21"/>
        <v>Incomplete</v>
      </c>
    </row>
    <row r="1393" spans="1:17" hidden="1">
      <c r="A1393" s="12">
        <v>46089</v>
      </c>
      <c r="B1393" s="10">
        <v>6</v>
      </c>
      <c r="Q1393" s="10" t="str">
        <f t="shared" si="21"/>
        <v>Incomplete</v>
      </c>
    </row>
    <row r="1394" spans="1:17" hidden="1">
      <c r="A1394" s="12">
        <v>46089</v>
      </c>
      <c r="B1394" s="10">
        <v>7</v>
      </c>
      <c r="Q1394" s="10" t="str">
        <f t="shared" si="21"/>
        <v>Incomplete</v>
      </c>
    </row>
    <row r="1395" spans="1:17" hidden="1">
      <c r="A1395" s="12">
        <v>46089</v>
      </c>
      <c r="B1395" s="10">
        <v>8</v>
      </c>
      <c r="Q1395" s="10" t="str">
        <f t="shared" si="21"/>
        <v>Incomplete</v>
      </c>
    </row>
    <row r="1396" spans="1:17" hidden="1">
      <c r="A1396" s="12">
        <v>46089</v>
      </c>
      <c r="B1396" s="10">
        <v>9</v>
      </c>
      <c r="Q1396" s="10" t="str">
        <f t="shared" si="21"/>
        <v>Incomplete</v>
      </c>
    </row>
    <row r="1397" spans="1:17" hidden="1">
      <c r="A1397" s="12">
        <v>46089</v>
      </c>
      <c r="B1397" s="10">
        <v>10</v>
      </c>
      <c r="Q1397" s="10" t="str">
        <f t="shared" si="21"/>
        <v>Incomplete</v>
      </c>
    </row>
    <row r="1398" spans="1:17" hidden="1">
      <c r="A1398" s="12">
        <v>46089</v>
      </c>
      <c r="B1398" s="10">
        <v>11</v>
      </c>
      <c r="Q1398" s="10" t="str">
        <f t="shared" si="21"/>
        <v>Incomplete</v>
      </c>
    </row>
    <row r="1399" spans="1:17" hidden="1">
      <c r="A1399" s="12">
        <v>46089</v>
      </c>
      <c r="B1399" s="10">
        <v>12</v>
      </c>
      <c r="Q1399" s="10" t="str">
        <f t="shared" si="21"/>
        <v>Incomplete</v>
      </c>
    </row>
    <row r="1400" spans="1:17" hidden="1">
      <c r="A1400" s="12">
        <v>46089</v>
      </c>
      <c r="B1400" s="10">
        <v>13</v>
      </c>
      <c r="Q1400" s="10" t="str">
        <f t="shared" si="21"/>
        <v>Incomplete</v>
      </c>
    </row>
    <row r="1401" spans="1:17" hidden="1">
      <c r="A1401" s="12">
        <v>46089</v>
      </c>
      <c r="B1401" s="10">
        <v>14</v>
      </c>
      <c r="Q1401" s="10" t="str">
        <f t="shared" si="21"/>
        <v>Incomplete</v>
      </c>
    </row>
    <row r="1402" spans="1:17" hidden="1">
      <c r="A1402" s="12">
        <v>46089</v>
      </c>
      <c r="B1402" s="10">
        <v>15</v>
      </c>
      <c r="Q1402" s="10" t="str">
        <f t="shared" si="21"/>
        <v>Incomplete</v>
      </c>
    </row>
    <row r="1403" spans="1:17" hidden="1">
      <c r="A1403" s="12">
        <v>46089</v>
      </c>
      <c r="B1403" s="10">
        <v>16</v>
      </c>
      <c r="Q1403" s="10" t="str">
        <f t="shared" si="21"/>
        <v>Incomplete</v>
      </c>
    </row>
    <row r="1404" spans="1:17" hidden="1">
      <c r="A1404" s="12">
        <v>46089</v>
      </c>
      <c r="B1404" s="10">
        <v>17</v>
      </c>
      <c r="Q1404" s="10" t="str">
        <f t="shared" si="21"/>
        <v>Incomplete</v>
      </c>
    </row>
    <row r="1405" spans="1:17" hidden="1">
      <c r="A1405" s="12">
        <v>46089</v>
      </c>
      <c r="B1405" s="10">
        <v>18</v>
      </c>
      <c r="Q1405" s="10" t="str">
        <f t="shared" si="21"/>
        <v>Incomplete</v>
      </c>
    </row>
    <row r="1406" spans="1:17" hidden="1">
      <c r="A1406" s="12">
        <v>46089</v>
      </c>
      <c r="B1406" s="10">
        <v>19</v>
      </c>
      <c r="Q1406" s="10" t="str">
        <f t="shared" si="21"/>
        <v>Incomplete</v>
      </c>
    </row>
    <row r="1407" spans="1:17" hidden="1">
      <c r="A1407" s="12">
        <v>46089</v>
      </c>
      <c r="B1407" s="10">
        <v>20</v>
      </c>
      <c r="Q1407" s="10" t="str">
        <f t="shared" si="21"/>
        <v>Incomplete</v>
      </c>
    </row>
    <row r="1408" spans="1:17" hidden="1">
      <c r="A1408" s="12">
        <v>46089</v>
      </c>
      <c r="B1408" s="10">
        <v>21</v>
      </c>
      <c r="Q1408" s="10" t="str">
        <f t="shared" si="21"/>
        <v>Incomplete</v>
      </c>
    </row>
    <row r="1409" spans="1:17" hidden="1">
      <c r="A1409" s="12">
        <v>46090</v>
      </c>
      <c r="B1409" s="10">
        <v>1</v>
      </c>
      <c r="Q1409" s="10" t="str">
        <f t="shared" si="21"/>
        <v>Incomplete</v>
      </c>
    </row>
    <row r="1410" spans="1:17" hidden="1">
      <c r="A1410" s="12">
        <v>46090</v>
      </c>
      <c r="B1410" s="10">
        <v>2</v>
      </c>
      <c r="Q1410" s="10" t="str">
        <f t="shared" ref="Q1410:Q1473" si="22">IF(AND(C1410&lt;&gt;"",J1410&lt;&gt;"",K1410&lt;&gt;"",L1410&lt;&gt;"",O1410="Yes"),"Complete","Incomplete")</f>
        <v>Incomplete</v>
      </c>
    </row>
    <row r="1411" spans="1:17" hidden="1">
      <c r="A1411" s="12">
        <v>46090</v>
      </c>
      <c r="B1411" s="10">
        <v>3</v>
      </c>
      <c r="Q1411" s="10" t="str">
        <f t="shared" si="22"/>
        <v>Incomplete</v>
      </c>
    </row>
    <row r="1412" spans="1:17" hidden="1">
      <c r="A1412" s="12">
        <v>46090</v>
      </c>
      <c r="B1412" s="10">
        <v>4</v>
      </c>
      <c r="Q1412" s="10" t="str">
        <f t="shared" si="22"/>
        <v>Incomplete</v>
      </c>
    </row>
    <row r="1413" spans="1:17" hidden="1">
      <c r="A1413" s="12">
        <v>46090</v>
      </c>
      <c r="B1413" s="10">
        <v>5</v>
      </c>
      <c r="Q1413" s="10" t="str">
        <f t="shared" si="22"/>
        <v>Incomplete</v>
      </c>
    </row>
    <row r="1414" spans="1:17" hidden="1">
      <c r="A1414" s="12">
        <v>46090</v>
      </c>
      <c r="B1414" s="10">
        <v>6</v>
      </c>
      <c r="Q1414" s="10" t="str">
        <f t="shared" si="22"/>
        <v>Incomplete</v>
      </c>
    </row>
    <row r="1415" spans="1:17" hidden="1">
      <c r="A1415" s="12">
        <v>46090</v>
      </c>
      <c r="B1415" s="10">
        <v>7</v>
      </c>
      <c r="Q1415" s="10" t="str">
        <f t="shared" si="22"/>
        <v>Incomplete</v>
      </c>
    </row>
    <row r="1416" spans="1:17" hidden="1">
      <c r="A1416" s="12">
        <v>46090</v>
      </c>
      <c r="B1416" s="10">
        <v>8</v>
      </c>
      <c r="Q1416" s="10" t="str">
        <f t="shared" si="22"/>
        <v>Incomplete</v>
      </c>
    </row>
    <row r="1417" spans="1:17" hidden="1">
      <c r="A1417" s="12">
        <v>46090</v>
      </c>
      <c r="B1417" s="10">
        <v>9</v>
      </c>
      <c r="Q1417" s="10" t="str">
        <f t="shared" si="22"/>
        <v>Incomplete</v>
      </c>
    </row>
    <row r="1418" spans="1:17" hidden="1">
      <c r="A1418" s="12">
        <v>46090</v>
      </c>
      <c r="B1418" s="10">
        <v>10</v>
      </c>
      <c r="Q1418" s="10" t="str">
        <f t="shared" si="22"/>
        <v>Incomplete</v>
      </c>
    </row>
    <row r="1419" spans="1:17" hidden="1">
      <c r="A1419" s="12">
        <v>46090</v>
      </c>
      <c r="B1419" s="10">
        <v>11</v>
      </c>
      <c r="Q1419" s="10" t="str">
        <f t="shared" si="22"/>
        <v>Incomplete</v>
      </c>
    </row>
    <row r="1420" spans="1:17" hidden="1">
      <c r="A1420" s="12">
        <v>46090</v>
      </c>
      <c r="B1420" s="10">
        <v>12</v>
      </c>
      <c r="Q1420" s="10" t="str">
        <f t="shared" si="22"/>
        <v>Incomplete</v>
      </c>
    </row>
    <row r="1421" spans="1:17" hidden="1">
      <c r="A1421" s="12">
        <v>46090</v>
      </c>
      <c r="B1421" s="10">
        <v>13</v>
      </c>
      <c r="Q1421" s="10" t="str">
        <f t="shared" si="22"/>
        <v>Incomplete</v>
      </c>
    </row>
    <row r="1422" spans="1:17" hidden="1">
      <c r="A1422" s="12">
        <v>46090</v>
      </c>
      <c r="B1422" s="10">
        <v>14</v>
      </c>
      <c r="Q1422" s="10" t="str">
        <f t="shared" si="22"/>
        <v>Incomplete</v>
      </c>
    </row>
    <row r="1423" spans="1:17" hidden="1">
      <c r="A1423" s="12">
        <v>46090</v>
      </c>
      <c r="B1423" s="10">
        <v>15</v>
      </c>
      <c r="Q1423" s="10" t="str">
        <f t="shared" si="22"/>
        <v>Incomplete</v>
      </c>
    </row>
    <row r="1424" spans="1:17" hidden="1">
      <c r="A1424" s="12">
        <v>46090</v>
      </c>
      <c r="B1424" s="10">
        <v>16</v>
      </c>
      <c r="Q1424" s="10" t="str">
        <f t="shared" si="22"/>
        <v>Incomplete</v>
      </c>
    </row>
    <row r="1425" spans="1:17" hidden="1">
      <c r="A1425" s="12">
        <v>46090</v>
      </c>
      <c r="B1425" s="10">
        <v>17</v>
      </c>
      <c r="Q1425" s="10" t="str">
        <f t="shared" si="22"/>
        <v>Incomplete</v>
      </c>
    </row>
    <row r="1426" spans="1:17" hidden="1">
      <c r="A1426" s="12">
        <v>46090</v>
      </c>
      <c r="B1426" s="10">
        <v>18</v>
      </c>
      <c r="Q1426" s="10" t="str">
        <f t="shared" si="22"/>
        <v>Incomplete</v>
      </c>
    </row>
    <row r="1427" spans="1:17" hidden="1">
      <c r="A1427" s="12">
        <v>46090</v>
      </c>
      <c r="B1427" s="10">
        <v>19</v>
      </c>
      <c r="Q1427" s="10" t="str">
        <f t="shared" si="22"/>
        <v>Incomplete</v>
      </c>
    </row>
    <row r="1428" spans="1:17" hidden="1">
      <c r="A1428" s="12">
        <v>46090</v>
      </c>
      <c r="B1428" s="10">
        <v>20</v>
      </c>
      <c r="Q1428" s="10" t="str">
        <f t="shared" si="22"/>
        <v>Incomplete</v>
      </c>
    </row>
    <row r="1429" spans="1:17" hidden="1">
      <c r="A1429" s="12">
        <v>46090</v>
      </c>
      <c r="B1429" s="10">
        <v>21</v>
      </c>
      <c r="Q1429" s="10" t="str">
        <f t="shared" si="22"/>
        <v>Incomplete</v>
      </c>
    </row>
    <row r="1430" spans="1:17" hidden="1">
      <c r="A1430" s="12">
        <v>46091</v>
      </c>
      <c r="B1430" s="10">
        <v>1</v>
      </c>
      <c r="Q1430" s="10" t="str">
        <f t="shared" si="22"/>
        <v>Incomplete</v>
      </c>
    </row>
    <row r="1431" spans="1:17" hidden="1">
      <c r="A1431" s="12">
        <v>46091</v>
      </c>
      <c r="B1431" s="10">
        <v>2</v>
      </c>
      <c r="Q1431" s="10" t="str">
        <f t="shared" si="22"/>
        <v>Incomplete</v>
      </c>
    </row>
    <row r="1432" spans="1:17" hidden="1">
      <c r="A1432" s="12">
        <v>46091</v>
      </c>
      <c r="B1432" s="10">
        <v>3</v>
      </c>
      <c r="Q1432" s="10" t="str">
        <f t="shared" si="22"/>
        <v>Incomplete</v>
      </c>
    </row>
    <row r="1433" spans="1:17" hidden="1">
      <c r="A1433" s="12">
        <v>46091</v>
      </c>
      <c r="B1433" s="10">
        <v>4</v>
      </c>
      <c r="Q1433" s="10" t="str">
        <f t="shared" si="22"/>
        <v>Incomplete</v>
      </c>
    </row>
    <row r="1434" spans="1:17" hidden="1">
      <c r="A1434" s="12">
        <v>46091</v>
      </c>
      <c r="B1434" s="10">
        <v>5</v>
      </c>
      <c r="Q1434" s="10" t="str">
        <f t="shared" si="22"/>
        <v>Incomplete</v>
      </c>
    </row>
    <row r="1435" spans="1:17" hidden="1">
      <c r="A1435" s="12">
        <v>46091</v>
      </c>
      <c r="B1435" s="10">
        <v>6</v>
      </c>
      <c r="Q1435" s="10" t="str">
        <f t="shared" si="22"/>
        <v>Incomplete</v>
      </c>
    </row>
    <row r="1436" spans="1:17" hidden="1">
      <c r="A1436" s="12">
        <v>46091</v>
      </c>
      <c r="B1436" s="10">
        <v>7</v>
      </c>
      <c r="Q1436" s="10" t="str">
        <f t="shared" si="22"/>
        <v>Incomplete</v>
      </c>
    </row>
    <row r="1437" spans="1:17" hidden="1">
      <c r="A1437" s="12">
        <v>46091</v>
      </c>
      <c r="B1437" s="10">
        <v>8</v>
      </c>
      <c r="Q1437" s="10" t="str">
        <f t="shared" si="22"/>
        <v>Incomplete</v>
      </c>
    </row>
    <row r="1438" spans="1:17" hidden="1">
      <c r="A1438" s="12">
        <v>46091</v>
      </c>
      <c r="B1438" s="10">
        <v>9</v>
      </c>
      <c r="Q1438" s="10" t="str">
        <f t="shared" si="22"/>
        <v>Incomplete</v>
      </c>
    </row>
    <row r="1439" spans="1:17" hidden="1">
      <c r="A1439" s="12">
        <v>46091</v>
      </c>
      <c r="B1439" s="10">
        <v>10</v>
      </c>
      <c r="Q1439" s="10" t="str">
        <f t="shared" si="22"/>
        <v>Incomplete</v>
      </c>
    </row>
    <row r="1440" spans="1:17" hidden="1">
      <c r="A1440" s="12">
        <v>46091</v>
      </c>
      <c r="B1440" s="10">
        <v>11</v>
      </c>
      <c r="Q1440" s="10" t="str">
        <f t="shared" si="22"/>
        <v>Incomplete</v>
      </c>
    </row>
    <row r="1441" spans="1:17" hidden="1">
      <c r="A1441" s="12">
        <v>46091</v>
      </c>
      <c r="B1441" s="10">
        <v>12</v>
      </c>
      <c r="Q1441" s="10" t="str">
        <f t="shared" si="22"/>
        <v>Incomplete</v>
      </c>
    </row>
    <row r="1442" spans="1:17" hidden="1">
      <c r="A1442" s="12">
        <v>46091</v>
      </c>
      <c r="B1442" s="10">
        <v>13</v>
      </c>
      <c r="Q1442" s="10" t="str">
        <f t="shared" si="22"/>
        <v>Incomplete</v>
      </c>
    </row>
    <row r="1443" spans="1:17" hidden="1">
      <c r="A1443" s="12">
        <v>46091</v>
      </c>
      <c r="B1443" s="10">
        <v>14</v>
      </c>
      <c r="Q1443" s="10" t="str">
        <f t="shared" si="22"/>
        <v>Incomplete</v>
      </c>
    </row>
    <row r="1444" spans="1:17" hidden="1">
      <c r="A1444" s="12">
        <v>46091</v>
      </c>
      <c r="B1444" s="10">
        <v>15</v>
      </c>
      <c r="Q1444" s="10" t="str">
        <f t="shared" si="22"/>
        <v>Incomplete</v>
      </c>
    </row>
    <row r="1445" spans="1:17" hidden="1">
      <c r="A1445" s="12">
        <v>46091</v>
      </c>
      <c r="B1445" s="10">
        <v>16</v>
      </c>
      <c r="Q1445" s="10" t="str">
        <f t="shared" si="22"/>
        <v>Incomplete</v>
      </c>
    </row>
    <row r="1446" spans="1:17" hidden="1">
      <c r="A1446" s="12">
        <v>46091</v>
      </c>
      <c r="B1446" s="10">
        <v>17</v>
      </c>
      <c r="Q1446" s="10" t="str">
        <f t="shared" si="22"/>
        <v>Incomplete</v>
      </c>
    </row>
    <row r="1447" spans="1:17" hidden="1">
      <c r="A1447" s="12">
        <v>46091</v>
      </c>
      <c r="B1447" s="10">
        <v>18</v>
      </c>
      <c r="Q1447" s="10" t="str">
        <f t="shared" si="22"/>
        <v>Incomplete</v>
      </c>
    </row>
    <row r="1448" spans="1:17" hidden="1">
      <c r="A1448" s="12">
        <v>46091</v>
      </c>
      <c r="B1448" s="10">
        <v>19</v>
      </c>
      <c r="Q1448" s="10" t="str">
        <f t="shared" si="22"/>
        <v>Incomplete</v>
      </c>
    </row>
    <row r="1449" spans="1:17" hidden="1">
      <c r="A1449" s="12">
        <v>46091</v>
      </c>
      <c r="B1449" s="10">
        <v>20</v>
      </c>
      <c r="Q1449" s="10" t="str">
        <f t="shared" si="22"/>
        <v>Incomplete</v>
      </c>
    </row>
    <row r="1450" spans="1:17" hidden="1">
      <c r="A1450" s="12">
        <v>46091</v>
      </c>
      <c r="B1450" s="10">
        <v>21</v>
      </c>
      <c r="Q1450" s="10" t="str">
        <f t="shared" si="22"/>
        <v>Incomplete</v>
      </c>
    </row>
    <row r="1451" spans="1:17" hidden="1">
      <c r="A1451" s="12">
        <v>46092</v>
      </c>
      <c r="B1451" s="10">
        <v>1</v>
      </c>
      <c r="Q1451" s="10" t="str">
        <f t="shared" si="22"/>
        <v>Incomplete</v>
      </c>
    </row>
    <row r="1452" spans="1:17" hidden="1">
      <c r="A1452" s="12">
        <v>46092</v>
      </c>
      <c r="B1452" s="10">
        <v>2</v>
      </c>
      <c r="Q1452" s="10" t="str">
        <f t="shared" si="22"/>
        <v>Incomplete</v>
      </c>
    </row>
    <row r="1453" spans="1:17" hidden="1">
      <c r="A1453" s="12">
        <v>46092</v>
      </c>
      <c r="B1453" s="10">
        <v>3</v>
      </c>
      <c r="Q1453" s="10" t="str">
        <f t="shared" si="22"/>
        <v>Incomplete</v>
      </c>
    </row>
    <row r="1454" spans="1:17" hidden="1">
      <c r="A1454" s="12">
        <v>46092</v>
      </c>
      <c r="B1454" s="10">
        <v>4</v>
      </c>
      <c r="Q1454" s="10" t="str">
        <f t="shared" si="22"/>
        <v>Incomplete</v>
      </c>
    </row>
    <row r="1455" spans="1:17" hidden="1">
      <c r="A1455" s="12">
        <v>46092</v>
      </c>
      <c r="B1455" s="10">
        <v>5</v>
      </c>
      <c r="Q1455" s="10" t="str">
        <f t="shared" si="22"/>
        <v>Incomplete</v>
      </c>
    </row>
    <row r="1456" spans="1:17" hidden="1">
      <c r="A1456" s="12">
        <v>46092</v>
      </c>
      <c r="B1456" s="10">
        <v>6</v>
      </c>
      <c r="Q1456" s="10" t="str">
        <f t="shared" si="22"/>
        <v>Incomplete</v>
      </c>
    </row>
    <row r="1457" spans="1:17" hidden="1">
      <c r="A1457" s="12">
        <v>46092</v>
      </c>
      <c r="B1457" s="10">
        <v>7</v>
      </c>
      <c r="Q1457" s="10" t="str">
        <f t="shared" si="22"/>
        <v>Incomplete</v>
      </c>
    </row>
    <row r="1458" spans="1:17" hidden="1">
      <c r="A1458" s="12">
        <v>46092</v>
      </c>
      <c r="B1458" s="10">
        <v>8</v>
      </c>
      <c r="Q1458" s="10" t="str">
        <f t="shared" si="22"/>
        <v>Incomplete</v>
      </c>
    </row>
    <row r="1459" spans="1:17" hidden="1">
      <c r="A1459" s="12">
        <v>46092</v>
      </c>
      <c r="B1459" s="10">
        <v>9</v>
      </c>
      <c r="Q1459" s="10" t="str">
        <f t="shared" si="22"/>
        <v>Incomplete</v>
      </c>
    </row>
    <row r="1460" spans="1:17" hidden="1">
      <c r="A1460" s="12">
        <v>46092</v>
      </c>
      <c r="B1460" s="10">
        <v>10</v>
      </c>
      <c r="Q1460" s="10" t="str">
        <f t="shared" si="22"/>
        <v>Incomplete</v>
      </c>
    </row>
    <row r="1461" spans="1:17" hidden="1">
      <c r="A1461" s="12">
        <v>46092</v>
      </c>
      <c r="B1461" s="10">
        <v>11</v>
      </c>
      <c r="Q1461" s="10" t="str">
        <f t="shared" si="22"/>
        <v>Incomplete</v>
      </c>
    </row>
    <row r="1462" spans="1:17" hidden="1">
      <c r="A1462" s="12">
        <v>46092</v>
      </c>
      <c r="B1462" s="10">
        <v>12</v>
      </c>
      <c r="Q1462" s="10" t="str">
        <f t="shared" si="22"/>
        <v>Incomplete</v>
      </c>
    </row>
    <row r="1463" spans="1:17" hidden="1">
      <c r="A1463" s="12">
        <v>46092</v>
      </c>
      <c r="B1463" s="10">
        <v>13</v>
      </c>
      <c r="Q1463" s="10" t="str">
        <f t="shared" si="22"/>
        <v>Incomplete</v>
      </c>
    </row>
    <row r="1464" spans="1:17" hidden="1">
      <c r="A1464" s="12">
        <v>46092</v>
      </c>
      <c r="B1464" s="10">
        <v>14</v>
      </c>
      <c r="Q1464" s="10" t="str">
        <f t="shared" si="22"/>
        <v>Incomplete</v>
      </c>
    </row>
    <row r="1465" spans="1:17" hidden="1">
      <c r="A1465" s="12">
        <v>46092</v>
      </c>
      <c r="B1465" s="10">
        <v>15</v>
      </c>
      <c r="Q1465" s="10" t="str">
        <f t="shared" si="22"/>
        <v>Incomplete</v>
      </c>
    </row>
    <row r="1466" spans="1:17" hidden="1">
      <c r="A1466" s="12">
        <v>46092</v>
      </c>
      <c r="B1466" s="10">
        <v>16</v>
      </c>
      <c r="Q1466" s="10" t="str">
        <f t="shared" si="22"/>
        <v>Incomplete</v>
      </c>
    </row>
    <row r="1467" spans="1:17" hidden="1">
      <c r="A1467" s="12">
        <v>46092</v>
      </c>
      <c r="B1467" s="10">
        <v>17</v>
      </c>
      <c r="Q1467" s="10" t="str">
        <f t="shared" si="22"/>
        <v>Incomplete</v>
      </c>
    </row>
    <row r="1468" spans="1:17" hidden="1">
      <c r="A1468" s="12">
        <v>46092</v>
      </c>
      <c r="B1468" s="10">
        <v>18</v>
      </c>
      <c r="Q1468" s="10" t="str">
        <f t="shared" si="22"/>
        <v>Incomplete</v>
      </c>
    </row>
    <row r="1469" spans="1:17" hidden="1">
      <c r="A1469" s="12">
        <v>46092</v>
      </c>
      <c r="B1469" s="10">
        <v>19</v>
      </c>
      <c r="Q1469" s="10" t="str">
        <f t="shared" si="22"/>
        <v>Incomplete</v>
      </c>
    </row>
    <row r="1470" spans="1:17" hidden="1">
      <c r="A1470" s="12">
        <v>46092</v>
      </c>
      <c r="B1470" s="10">
        <v>20</v>
      </c>
      <c r="Q1470" s="10" t="str">
        <f t="shared" si="22"/>
        <v>Incomplete</v>
      </c>
    </row>
    <row r="1471" spans="1:17" hidden="1">
      <c r="A1471" s="12">
        <v>46092</v>
      </c>
      <c r="B1471" s="10">
        <v>21</v>
      </c>
      <c r="Q1471" s="10" t="str">
        <f t="shared" si="22"/>
        <v>Incomplete</v>
      </c>
    </row>
    <row r="1472" spans="1:17" hidden="1">
      <c r="A1472" s="12">
        <v>46093</v>
      </c>
      <c r="B1472" s="10">
        <v>1</v>
      </c>
      <c r="Q1472" s="10" t="str">
        <f t="shared" si="22"/>
        <v>Incomplete</v>
      </c>
    </row>
    <row r="1473" spans="1:17" hidden="1">
      <c r="A1473" s="12">
        <v>46093</v>
      </c>
      <c r="B1473" s="10">
        <v>2</v>
      </c>
      <c r="Q1473" s="10" t="str">
        <f t="shared" si="22"/>
        <v>Incomplete</v>
      </c>
    </row>
    <row r="1474" spans="1:17" hidden="1">
      <c r="A1474" s="12">
        <v>46093</v>
      </c>
      <c r="B1474" s="10">
        <v>3</v>
      </c>
      <c r="Q1474" s="10" t="str">
        <f t="shared" ref="Q1474:Q1537" si="23">IF(AND(C1474&lt;&gt;"",J1474&lt;&gt;"",K1474&lt;&gt;"",L1474&lt;&gt;"",O1474="Yes"),"Complete","Incomplete")</f>
        <v>Incomplete</v>
      </c>
    </row>
    <row r="1475" spans="1:17" hidden="1">
      <c r="A1475" s="12">
        <v>46093</v>
      </c>
      <c r="B1475" s="10">
        <v>4</v>
      </c>
      <c r="Q1475" s="10" t="str">
        <f t="shared" si="23"/>
        <v>Incomplete</v>
      </c>
    </row>
    <row r="1476" spans="1:17" hidden="1">
      <c r="A1476" s="12">
        <v>46093</v>
      </c>
      <c r="B1476" s="10">
        <v>5</v>
      </c>
      <c r="Q1476" s="10" t="str">
        <f t="shared" si="23"/>
        <v>Incomplete</v>
      </c>
    </row>
    <row r="1477" spans="1:17" hidden="1">
      <c r="A1477" s="12">
        <v>46093</v>
      </c>
      <c r="B1477" s="10">
        <v>6</v>
      </c>
      <c r="Q1477" s="10" t="str">
        <f t="shared" si="23"/>
        <v>Incomplete</v>
      </c>
    </row>
    <row r="1478" spans="1:17" hidden="1">
      <c r="A1478" s="12">
        <v>46093</v>
      </c>
      <c r="B1478" s="10">
        <v>7</v>
      </c>
      <c r="Q1478" s="10" t="str">
        <f t="shared" si="23"/>
        <v>Incomplete</v>
      </c>
    </row>
    <row r="1479" spans="1:17" hidden="1">
      <c r="A1479" s="12">
        <v>46093</v>
      </c>
      <c r="B1479" s="10">
        <v>8</v>
      </c>
      <c r="Q1479" s="10" t="str">
        <f t="shared" si="23"/>
        <v>Incomplete</v>
      </c>
    </row>
    <row r="1480" spans="1:17" hidden="1">
      <c r="A1480" s="12">
        <v>46093</v>
      </c>
      <c r="B1480" s="10">
        <v>9</v>
      </c>
      <c r="Q1480" s="10" t="str">
        <f t="shared" si="23"/>
        <v>Incomplete</v>
      </c>
    </row>
    <row r="1481" spans="1:17" hidden="1">
      <c r="A1481" s="12">
        <v>46093</v>
      </c>
      <c r="B1481" s="10">
        <v>10</v>
      </c>
      <c r="Q1481" s="10" t="str">
        <f t="shared" si="23"/>
        <v>Incomplete</v>
      </c>
    </row>
    <row r="1482" spans="1:17" hidden="1">
      <c r="A1482" s="12">
        <v>46093</v>
      </c>
      <c r="B1482" s="10">
        <v>11</v>
      </c>
      <c r="Q1482" s="10" t="str">
        <f t="shared" si="23"/>
        <v>Incomplete</v>
      </c>
    </row>
    <row r="1483" spans="1:17" hidden="1">
      <c r="A1483" s="12">
        <v>46093</v>
      </c>
      <c r="B1483" s="10">
        <v>12</v>
      </c>
      <c r="Q1483" s="10" t="str">
        <f t="shared" si="23"/>
        <v>Incomplete</v>
      </c>
    </row>
    <row r="1484" spans="1:17" hidden="1">
      <c r="A1484" s="12">
        <v>46093</v>
      </c>
      <c r="B1484" s="10">
        <v>13</v>
      </c>
      <c r="Q1484" s="10" t="str">
        <f t="shared" si="23"/>
        <v>Incomplete</v>
      </c>
    </row>
    <row r="1485" spans="1:17" hidden="1">
      <c r="A1485" s="12">
        <v>46093</v>
      </c>
      <c r="B1485" s="10">
        <v>14</v>
      </c>
      <c r="Q1485" s="10" t="str">
        <f t="shared" si="23"/>
        <v>Incomplete</v>
      </c>
    </row>
    <row r="1486" spans="1:17" hidden="1">
      <c r="A1486" s="12">
        <v>46093</v>
      </c>
      <c r="B1486" s="10">
        <v>15</v>
      </c>
      <c r="Q1486" s="10" t="str">
        <f t="shared" si="23"/>
        <v>Incomplete</v>
      </c>
    </row>
    <row r="1487" spans="1:17" hidden="1">
      <c r="A1487" s="12">
        <v>46093</v>
      </c>
      <c r="B1487" s="10">
        <v>16</v>
      </c>
      <c r="Q1487" s="10" t="str">
        <f t="shared" si="23"/>
        <v>Incomplete</v>
      </c>
    </row>
    <row r="1488" spans="1:17" hidden="1">
      <c r="A1488" s="12">
        <v>46093</v>
      </c>
      <c r="B1488" s="10">
        <v>17</v>
      </c>
      <c r="Q1488" s="10" t="str">
        <f t="shared" si="23"/>
        <v>Incomplete</v>
      </c>
    </row>
    <row r="1489" spans="1:17" hidden="1">
      <c r="A1489" s="12">
        <v>46093</v>
      </c>
      <c r="B1489" s="10">
        <v>18</v>
      </c>
      <c r="Q1489" s="10" t="str">
        <f t="shared" si="23"/>
        <v>Incomplete</v>
      </c>
    </row>
    <row r="1490" spans="1:17" hidden="1">
      <c r="A1490" s="12">
        <v>46093</v>
      </c>
      <c r="B1490" s="10">
        <v>19</v>
      </c>
      <c r="Q1490" s="10" t="str">
        <f t="shared" si="23"/>
        <v>Incomplete</v>
      </c>
    </row>
    <row r="1491" spans="1:17" hidden="1">
      <c r="A1491" s="12">
        <v>46093</v>
      </c>
      <c r="B1491" s="10">
        <v>20</v>
      </c>
      <c r="Q1491" s="10" t="str">
        <f t="shared" si="23"/>
        <v>Incomplete</v>
      </c>
    </row>
    <row r="1492" spans="1:17" hidden="1">
      <c r="A1492" s="12">
        <v>46093</v>
      </c>
      <c r="B1492" s="10">
        <v>21</v>
      </c>
      <c r="Q1492" s="10" t="str">
        <f t="shared" si="23"/>
        <v>Incomplete</v>
      </c>
    </row>
    <row r="1493" spans="1:17" hidden="1">
      <c r="A1493" s="12">
        <v>46094</v>
      </c>
      <c r="B1493" s="10">
        <v>1</v>
      </c>
      <c r="Q1493" s="10" t="str">
        <f t="shared" si="23"/>
        <v>Incomplete</v>
      </c>
    </row>
    <row r="1494" spans="1:17" hidden="1">
      <c r="A1494" s="12">
        <v>46094</v>
      </c>
      <c r="B1494" s="10">
        <v>2</v>
      </c>
      <c r="Q1494" s="10" t="str">
        <f t="shared" si="23"/>
        <v>Incomplete</v>
      </c>
    </row>
    <row r="1495" spans="1:17" hidden="1">
      <c r="A1495" s="12">
        <v>46094</v>
      </c>
      <c r="B1495" s="10">
        <v>3</v>
      </c>
      <c r="Q1495" s="10" t="str">
        <f t="shared" si="23"/>
        <v>Incomplete</v>
      </c>
    </row>
    <row r="1496" spans="1:17" hidden="1">
      <c r="A1496" s="12">
        <v>46094</v>
      </c>
      <c r="B1496" s="10">
        <v>4</v>
      </c>
      <c r="Q1496" s="10" t="str">
        <f t="shared" si="23"/>
        <v>Incomplete</v>
      </c>
    </row>
    <row r="1497" spans="1:17" hidden="1">
      <c r="A1497" s="12">
        <v>46094</v>
      </c>
      <c r="B1497" s="10">
        <v>5</v>
      </c>
      <c r="Q1497" s="10" t="str">
        <f t="shared" si="23"/>
        <v>Incomplete</v>
      </c>
    </row>
    <row r="1498" spans="1:17" hidden="1">
      <c r="A1498" s="12">
        <v>46094</v>
      </c>
      <c r="B1498" s="10">
        <v>6</v>
      </c>
      <c r="Q1498" s="10" t="str">
        <f t="shared" si="23"/>
        <v>Incomplete</v>
      </c>
    </row>
    <row r="1499" spans="1:17" hidden="1">
      <c r="A1499" s="12">
        <v>46094</v>
      </c>
      <c r="B1499" s="10">
        <v>7</v>
      </c>
      <c r="Q1499" s="10" t="str">
        <f t="shared" si="23"/>
        <v>Incomplete</v>
      </c>
    </row>
    <row r="1500" spans="1:17" hidden="1">
      <c r="A1500" s="12">
        <v>46094</v>
      </c>
      <c r="B1500" s="10">
        <v>8</v>
      </c>
      <c r="Q1500" s="10" t="str">
        <f t="shared" si="23"/>
        <v>Incomplete</v>
      </c>
    </row>
    <row r="1501" spans="1:17" hidden="1">
      <c r="A1501" s="12">
        <v>46094</v>
      </c>
      <c r="B1501" s="10">
        <v>9</v>
      </c>
      <c r="Q1501" s="10" t="str">
        <f t="shared" si="23"/>
        <v>Incomplete</v>
      </c>
    </row>
    <row r="1502" spans="1:17" hidden="1">
      <c r="A1502" s="12">
        <v>46094</v>
      </c>
      <c r="B1502" s="10">
        <v>10</v>
      </c>
      <c r="Q1502" s="10" t="str">
        <f t="shared" si="23"/>
        <v>Incomplete</v>
      </c>
    </row>
    <row r="1503" spans="1:17" hidden="1">
      <c r="A1503" s="12">
        <v>46094</v>
      </c>
      <c r="B1503" s="10">
        <v>11</v>
      </c>
      <c r="Q1503" s="10" t="str">
        <f t="shared" si="23"/>
        <v>Incomplete</v>
      </c>
    </row>
    <row r="1504" spans="1:17" hidden="1">
      <c r="A1504" s="12">
        <v>46094</v>
      </c>
      <c r="B1504" s="10">
        <v>12</v>
      </c>
      <c r="Q1504" s="10" t="str">
        <f t="shared" si="23"/>
        <v>Incomplete</v>
      </c>
    </row>
    <row r="1505" spans="1:17" hidden="1">
      <c r="A1505" s="12">
        <v>46094</v>
      </c>
      <c r="B1505" s="10">
        <v>13</v>
      </c>
      <c r="Q1505" s="10" t="str">
        <f t="shared" si="23"/>
        <v>Incomplete</v>
      </c>
    </row>
    <row r="1506" spans="1:17" hidden="1">
      <c r="A1506" s="12">
        <v>46094</v>
      </c>
      <c r="B1506" s="10">
        <v>14</v>
      </c>
      <c r="Q1506" s="10" t="str">
        <f t="shared" si="23"/>
        <v>Incomplete</v>
      </c>
    </row>
    <row r="1507" spans="1:17" hidden="1">
      <c r="A1507" s="12">
        <v>46094</v>
      </c>
      <c r="B1507" s="10">
        <v>15</v>
      </c>
      <c r="Q1507" s="10" t="str">
        <f t="shared" si="23"/>
        <v>Incomplete</v>
      </c>
    </row>
    <row r="1508" spans="1:17" hidden="1">
      <c r="A1508" s="12">
        <v>46094</v>
      </c>
      <c r="B1508" s="10">
        <v>16</v>
      </c>
      <c r="Q1508" s="10" t="str">
        <f t="shared" si="23"/>
        <v>Incomplete</v>
      </c>
    </row>
    <row r="1509" spans="1:17" hidden="1">
      <c r="A1509" s="12">
        <v>46094</v>
      </c>
      <c r="B1509" s="10">
        <v>17</v>
      </c>
      <c r="Q1509" s="10" t="str">
        <f t="shared" si="23"/>
        <v>Incomplete</v>
      </c>
    </row>
    <row r="1510" spans="1:17" hidden="1">
      <c r="A1510" s="12">
        <v>46094</v>
      </c>
      <c r="B1510" s="10">
        <v>18</v>
      </c>
      <c r="Q1510" s="10" t="str">
        <f t="shared" si="23"/>
        <v>Incomplete</v>
      </c>
    </row>
    <row r="1511" spans="1:17" hidden="1">
      <c r="A1511" s="12">
        <v>46094</v>
      </c>
      <c r="B1511" s="10">
        <v>19</v>
      </c>
      <c r="Q1511" s="10" t="str">
        <f t="shared" si="23"/>
        <v>Incomplete</v>
      </c>
    </row>
    <row r="1512" spans="1:17" hidden="1">
      <c r="A1512" s="12">
        <v>46094</v>
      </c>
      <c r="B1512" s="10">
        <v>20</v>
      </c>
      <c r="Q1512" s="10" t="str">
        <f t="shared" si="23"/>
        <v>Incomplete</v>
      </c>
    </row>
    <row r="1513" spans="1:17" hidden="1">
      <c r="A1513" s="12">
        <v>46094</v>
      </c>
      <c r="B1513" s="10">
        <v>21</v>
      </c>
      <c r="Q1513" s="10" t="str">
        <f t="shared" si="23"/>
        <v>Incomplete</v>
      </c>
    </row>
    <row r="1514" spans="1:17" hidden="1">
      <c r="A1514" s="12">
        <v>46095</v>
      </c>
      <c r="B1514" s="10">
        <v>1</v>
      </c>
      <c r="Q1514" s="10" t="str">
        <f t="shared" si="23"/>
        <v>Incomplete</v>
      </c>
    </row>
    <row r="1515" spans="1:17" hidden="1">
      <c r="A1515" s="12">
        <v>46095</v>
      </c>
      <c r="B1515" s="10">
        <v>2</v>
      </c>
      <c r="Q1515" s="10" t="str">
        <f t="shared" si="23"/>
        <v>Incomplete</v>
      </c>
    </row>
    <row r="1516" spans="1:17" hidden="1">
      <c r="A1516" s="12">
        <v>46095</v>
      </c>
      <c r="B1516" s="10">
        <v>3</v>
      </c>
      <c r="Q1516" s="10" t="str">
        <f t="shared" si="23"/>
        <v>Incomplete</v>
      </c>
    </row>
    <row r="1517" spans="1:17" hidden="1">
      <c r="A1517" s="12">
        <v>46095</v>
      </c>
      <c r="B1517" s="10">
        <v>4</v>
      </c>
      <c r="Q1517" s="10" t="str">
        <f t="shared" si="23"/>
        <v>Incomplete</v>
      </c>
    </row>
    <row r="1518" spans="1:17" hidden="1">
      <c r="A1518" s="12">
        <v>46095</v>
      </c>
      <c r="B1518" s="10">
        <v>5</v>
      </c>
      <c r="Q1518" s="10" t="str">
        <f t="shared" si="23"/>
        <v>Incomplete</v>
      </c>
    </row>
    <row r="1519" spans="1:17" hidden="1">
      <c r="A1519" s="12">
        <v>46095</v>
      </c>
      <c r="B1519" s="10">
        <v>6</v>
      </c>
      <c r="Q1519" s="10" t="str">
        <f t="shared" si="23"/>
        <v>Incomplete</v>
      </c>
    </row>
    <row r="1520" spans="1:17" hidden="1">
      <c r="A1520" s="12">
        <v>46095</v>
      </c>
      <c r="B1520" s="10">
        <v>7</v>
      </c>
      <c r="Q1520" s="10" t="str">
        <f t="shared" si="23"/>
        <v>Incomplete</v>
      </c>
    </row>
    <row r="1521" spans="1:17" hidden="1">
      <c r="A1521" s="12">
        <v>46095</v>
      </c>
      <c r="B1521" s="10">
        <v>8</v>
      </c>
      <c r="Q1521" s="10" t="str">
        <f t="shared" si="23"/>
        <v>Incomplete</v>
      </c>
    </row>
    <row r="1522" spans="1:17" hidden="1">
      <c r="A1522" s="12">
        <v>46095</v>
      </c>
      <c r="B1522" s="10">
        <v>9</v>
      </c>
      <c r="Q1522" s="10" t="str">
        <f t="shared" si="23"/>
        <v>Incomplete</v>
      </c>
    </row>
    <row r="1523" spans="1:17" hidden="1">
      <c r="A1523" s="12">
        <v>46095</v>
      </c>
      <c r="B1523" s="10">
        <v>10</v>
      </c>
      <c r="Q1523" s="10" t="str">
        <f t="shared" si="23"/>
        <v>Incomplete</v>
      </c>
    </row>
    <row r="1524" spans="1:17" hidden="1">
      <c r="A1524" s="12">
        <v>46095</v>
      </c>
      <c r="B1524" s="10">
        <v>11</v>
      </c>
      <c r="Q1524" s="10" t="str">
        <f t="shared" si="23"/>
        <v>Incomplete</v>
      </c>
    </row>
    <row r="1525" spans="1:17" hidden="1">
      <c r="A1525" s="12">
        <v>46095</v>
      </c>
      <c r="B1525" s="10">
        <v>12</v>
      </c>
      <c r="Q1525" s="10" t="str">
        <f t="shared" si="23"/>
        <v>Incomplete</v>
      </c>
    </row>
    <row r="1526" spans="1:17" hidden="1">
      <c r="A1526" s="12">
        <v>46095</v>
      </c>
      <c r="B1526" s="10">
        <v>13</v>
      </c>
      <c r="Q1526" s="10" t="str">
        <f t="shared" si="23"/>
        <v>Incomplete</v>
      </c>
    </row>
    <row r="1527" spans="1:17" hidden="1">
      <c r="A1527" s="12">
        <v>46095</v>
      </c>
      <c r="B1527" s="10">
        <v>14</v>
      </c>
      <c r="Q1527" s="10" t="str">
        <f t="shared" si="23"/>
        <v>Incomplete</v>
      </c>
    </row>
    <row r="1528" spans="1:17" hidden="1">
      <c r="A1528" s="12">
        <v>46095</v>
      </c>
      <c r="B1528" s="10">
        <v>15</v>
      </c>
      <c r="Q1528" s="10" t="str">
        <f t="shared" si="23"/>
        <v>Incomplete</v>
      </c>
    </row>
    <row r="1529" spans="1:17" hidden="1">
      <c r="A1529" s="12">
        <v>46095</v>
      </c>
      <c r="B1529" s="10">
        <v>16</v>
      </c>
      <c r="Q1529" s="10" t="str">
        <f t="shared" si="23"/>
        <v>Incomplete</v>
      </c>
    </row>
    <row r="1530" spans="1:17" hidden="1">
      <c r="A1530" s="12">
        <v>46095</v>
      </c>
      <c r="B1530" s="10">
        <v>17</v>
      </c>
      <c r="Q1530" s="10" t="str">
        <f t="shared" si="23"/>
        <v>Incomplete</v>
      </c>
    </row>
    <row r="1531" spans="1:17" hidden="1">
      <c r="A1531" s="12">
        <v>46095</v>
      </c>
      <c r="B1531" s="10">
        <v>18</v>
      </c>
      <c r="Q1531" s="10" t="str">
        <f t="shared" si="23"/>
        <v>Incomplete</v>
      </c>
    </row>
    <row r="1532" spans="1:17" hidden="1">
      <c r="A1532" s="12">
        <v>46095</v>
      </c>
      <c r="B1532" s="10">
        <v>19</v>
      </c>
      <c r="Q1532" s="10" t="str">
        <f t="shared" si="23"/>
        <v>Incomplete</v>
      </c>
    </row>
    <row r="1533" spans="1:17" hidden="1">
      <c r="A1533" s="12">
        <v>46095</v>
      </c>
      <c r="B1533" s="10">
        <v>20</v>
      </c>
      <c r="Q1533" s="10" t="str">
        <f t="shared" si="23"/>
        <v>Incomplete</v>
      </c>
    </row>
    <row r="1534" spans="1:17" hidden="1">
      <c r="A1534" s="12">
        <v>46095</v>
      </c>
      <c r="B1534" s="10">
        <v>21</v>
      </c>
      <c r="Q1534" s="10" t="str">
        <f t="shared" si="23"/>
        <v>Incomplete</v>
      </c>
    </row>
    <row r="1535" spans="1:17" hidden="1">
      <c r="A1535" s="12">
        <v>46096</v>
      </c>
      <c r="B1535" s="10">
        <v>1</v>
      </c>
      <c r="Q1535" s="10" t="str">
        <f t="shared" si="23"/>
        <v>Incomplete</v>
      </c>
    </row>
    <row r="1536" spans="1:17" hidden="1">
      <c r="A1536" s="12">
        <v>46096</v>
      </c>
      <c r="B1536" s="10">
        <v>2</v>
      </c>
      <c r="Q1536" s="10" t="str">
        <f t="shared" si="23"/>
        <v>Incomplete</v>
      </c>
    </row>
    <row r="1537" spans="1:17" hidden="1">
      <c r="A1537" s="12">
        <v>46096</v>
      </c>
      <c r="B1537" s="10">
        <v>3</v>
      </c>
      <c r="Q1537" s="10" t="str">
        <f t="shared" si="23"/>
        <v>Incomplete</v>
      </c>
    </row>
    <row r="1538" spans="1:17" hidden="1">
      <c r="A1538" s="12">
        <v>46096</v>
      </c>
      <c r="B1538" s="10">
        <v>4</v>
      </c>
      <c r="Q1538" s="10" t="str">
        <f t="shared" ref="Q1538:Q1601" si="24">IF(AND(C1538&lt;&gt;"",J1538&lt;&gt;"",K1538&lt;&gt;"",L1538&lt;&gt;"",O1538="Yes"),"Complete","Incomplete")</f>
        <v>Incomplete</v>
      </c>
    </row>
    <row r="1539" spans="1:17" hidden="1">
      <c r="A1539" s="12">
        <v>46096</v>
      </c>
      <c r="B1539" s="10">
        <v>5</v>
      </c>
      <c r="Q1539" s="10" t="str">
        <f t="shared" si="24"/>
        <v>Incomplete</v>
      </c>
    </row>
    <row r="1540" spans="1:17" hidden="1">
      <c r="A1540" s="12">
        <v>46096</v>
      </c>
      <c r="B1540" s="10">
        <v>6</v>
      </c>
      <c r="Q1540" s="10" t="str">
        <f t="shared" si="24"/>
        <v>Incomplete</v>
      </c>
    </row>
    <row r="1541" spans="1:17" hidden="1">
      <c r="A1541" s="12">
        <v>46096</v>
      </c>
      <c r="B1541" s="10">
        <v>7</v>
      </c>
      <c r="Q1541" s="10" t="str">
        <f t="shared" si="24"/>
        <v>Incomplete</v>
      </c>
    </row>
    <row r="1542" spans="1:17" hidden="1">
      <c r="A1542" s="12">
        <v>46096</v>
      </c>
      <c r="B1542" s="10">
        <v>8</v>
      </c>
      <c r="Q1542" s="10" t="str">
        <f t="shared" si="24"/>
        <v>Incomplete</v>
      </c>
    </row>
    <row r="1543" spans="1:17" hidden="1">
      <c r="A1543" s="12">
        <v>46096</v>
      </c>
      <c r="B1543" s="10">
        <v>9</v>
      </c>
      <c r="Q1543" s="10" t="str">
        <f t="shared" si="24"/>
        <v>Incomplete</v>
      </c>
    </row>
    <row r="1544" spans="1:17" hidden="1">
      <c r="A1544" s="12">
        <v>46096</v>
      </c>
      <c r="B1544" s="10">
        <v>10</v>
      </c>
      <c r="Q1544" s="10" t="str">
        <f t="shared" si="24"/>
        <v>Incomplete</v>
      </c>
    </row>
    <row r="1545" spans="1:17" hidden="1">
      <c r="A1545" s="12">
        <v>46096</v>
      </c>
      <c r="B1545" s="10">
        <v>11</v>
      </c>
      <c r="Q1545" s="10" t="str">
        <f t="shared" si="24"/>
        <v>Incomplete</v>
      </c>
    </row>
    <row r="1546" spans="1:17" hidden="1">
      <c r="A1546" s="12">
        <v>46096</v>
      </c>
      <c r="B1546" s="10">
        <v>12</v>
      </c>
      <c r="Q1546" s="10" t="str">
        <f t="shared" si="24"/>
        <v>Incomplete</v>
      </c>
    </row>
    <row r="1547" spans="1:17" hidden="1">
      <c r="A1547" s="12">
        <v>46096</v>
      </c>
      <c r="B1547" s="10">
        <v>13</v>
      </c>
      <c r="Q1547" s="10" t="str">
        <f t="shared" si="24"/>
        <v>Incomplete</v>
      </c>
    </row>
    <row r="1548" spans="1:17" hidden="1">
      <c r="A1548" s="12">
        <v>46096</v>
      </c>
      <c r="B1548" s="10">
        <v>14</v>
      </c>
      <c r="Q1548" s="10" t="str">
        <f t="shared" si="24"/>
        <v>Incomplete</v>
      </c>
    </row>
    <row r="1549" spans="1:17" hidden="1">
      <c r="A1549" s="12">
        <v>46096</v>
      </c>
      <c r="B1549" s="10">
        <v>15</v>
      </c>
      <c r="Q1549" s="10" t="str">
        <f t="shared" si="24"/>
        <v>Incomplete</v>
      </c>
    </row>
    <row r="1550" spans="1:17" hidden="1">
      <c r="A1550" s="12">
        <v>46096</v>
      </c>
      <c r="B1550" s="10">
        <v>16</v>
      </c>
      <c r="Q1550" s="10" t="str">
        <f t="shared" si="24"/>
        <v>Incomplete</v>
      </c>
    </row>
    <row r="1551" spans="1:17" hidden="1">
      <c r="A1551" s="12">
        <v>46096</v>
      </c>
      <c r="B1551" s="10">
        <v>17</v>
      </c>
      <c r="Q1551" s="10" t="str">
        <f t="shared" si="24"/>
        <v>Incomplete</v>
      </c>
    </row>
    <row r="1552" spans="1:17" hidden="1">
      <c r="A1552" s="12">
        <v>46096</v>
      </c>
      <c r="B1552" s="10">
        <v>18</v>
      </c>
      <c r="Q1552" s="10" t="str">
        <f t="shared" si="24"/>
        <v>Incomplete</v>
      </c>
    </row>
    <row r="1553" spans="1:17" hidden="1">
      <c r="A1553" s="12">
        <v>46096</v>
      </c>
      <c r="B1553" s="10">
        <v>19</v>
      </c>
      <c r="Q1553" s="10" t="str">
        <f t="shared" si="24"/>
        <v>Incomplete</v>
      </c>
    </row>
    <row r="1554" spans="1:17" hidden="1">
      <c r="A1554" s="12">
        <v>46096</v>
      </c>
      <c r="B1554" s="10">
        <v>20</v>
      </c>
      <c r="Q1554" s="10" t="str">
        <f t="shared" si="24"/>
        <v>Incomplete</v>
      </c>
    </row>
    <row r="1555" spans="1:17" hidden="1">
      <c r="A1555" s="12">
        <v>46096</v>
      </c>
      <c r="B1555" s="10">
        <v>21</v>
      </c>
      <c r="Q1555" s="10" t="str">
        <f t="shared" si="24"/>
        <v>Incomplete</v>
      </c>
    </row>
    <row r="1556" spans="1:17" hidden="1">
      <c r="A1556" s="12">
        <v>46097</v>
      </c>
      <c r="B1556" s="10">
        <v>1</v>
      </c>
      <c r="Q1556" s="10" t="str">
        <f t="shared" si="24"/>
        <v>Incomplete</v>
      </c>
    </row>
    <row r="1557" spans="1:17" hidden="1">
      <c r="A1557" s="12">
        <v>46097</v>
      </c>
      <c r="B1557" s="10">
        <v>2</v>
      </c>
      <c r="Q1557" s="10" t="str">
        <f t="shared" si="24"/>
        <v>Incomplete</v>
      </c>
    </row>
    <row r="1558" spans="1:17" hidden="1">
      <c r="A1558" s="12">
        <v>46097</v>
      </c>
      <c r="B1558" s="10">
        <v>3</v>
      </c>
      <c r="Q1558" s="10" t="str">
        <f t="shared" si="24"/>
        <v>Incomplete</v>
      </c>
    </row>
    <row r="1559" spans="1:17" hidden="1">
      <c r="A1559" s="12">
        <v>46097</v>
      </c>
      <c r="B1559" s="10">
        <v>4</v>
      </c>
      <c r="Q1559" s="10" t="str">
        <f t="shared" si="24"/>
        <v>Incomplete</v>
      </c>
    </row>
    <row r="1560" spans="1:17" hidden="1">
      <c r="A1560" s="12">
        <v>46097</v>
      </c>
      <c r="B1560" s="10">
        <v>5</v>
      </c>
      <c r="Q1560" s="10" t="str">
        <f t="shared" si="24"/>
        <v>Incomplete</v>
      </c>
    </row>
    <row r="1561" spans="1:17" hidden="1">
      <c r="A1561" s="12">
        <v>46097</v>
      </c>
      <c r="B1561" s="10">
        <v>6</v>
      </c>
      <c r="Q1561" s="10" t="str">
        <f t="shared" si="24"/>
        <v>Incomplete</v>
      </c>
    </row>
    <row r="1562" spans="1:17" hidden="1">
      <c r="A1562" s="12">
        <v>46097</v>
      </c>
      <c r="B1562" s="10">
        <v>7</v>
      </c>
      <c r="Q1562" s="10" t="str">
        <f t="shared" si="24"/>
        <v>Incomplete</v>
      </c>
    </row>
    <row r="1563" spans="1:17" hidden="1">
      <c r="A1563" s="12">
        <v>46097</v>
      </c>
      <c r="B1563" s="10">
        <v>8</v>
      </c>
      <c r="Q1563" s="10" t="str">
        <f t="shared" si="24"/>
        <v>Incomplete</v>
      </c>
    </row>
    <row r="1564" spans="1:17" hidden="1">
      <c r="A1564" s="12">
        <v>46097</v>
      </c>
      <c r="B1564" s="10">
        <v>9</v>
      </c>
      <c r="Q1564" s="10" t="str">
        <f t="shared" si="24"/>
        <v>Incomplete</v>
      </c>
    </row>
    <row r="1565" spans="1:17" hidden="1">
      <c r="A1565" s="12">
        <v>46097</v>
      </c>
      <c r="B1565" s="10">
        <v>10</v>
      </c>
      <c r="Q1565" s="10" t="str">
        <f t="shared" si="24"/>
        <v>Incomplete</v>
      </c>
    </row>
    <row r="1566" spans="1:17" hidden="1">
      <c r="A1566" s="12">
        <v>46097</v>
      </c>
      <c r="B1566" s="10">
        <v>11</v>
      </c>
      <c r="Q1566" s="10" t="str">
        <f t="shared" si="24"/>
        <v>Incomplete</v>
      </c>
    </row>
    <row r="1567" spans="1:17" hidden="1">
      <c r="A1567" s="12">
        <v>46097</v>
      </c>
      <c r="B1567" s="10">
        <v>12</v>
      </c>
      <c r="Q1567" s="10" t="str">
        <f t="shared" si="24"/>
        <v>Incomplete</v>
      </c>
    </row>
    <row r="1568" spans="1:17" hidden="1">
      <c r="A1568" s="12">
        <v>46097</v>
      </c>
      <c r="B1568" s="10">
        <v>13</v>
      </c>
      <c r="Q1568" s="10" t="str">
        <f t="shared" si="24"/>
        <v>Incomplete</v>
      </c>
    </row>
    <row r="1569" spans="1:17" hidden="1">
      <c r="A1569" s="12">
        <v>46097</v>
      </c>
      <c r="B1569" s="10">
        <v>14</v>
      </c>
      <c r="Q1569" s="10" t="str">
        <f t="shared" si="24"/>
        <v>Incomplete</v>
      </c>
    </row>
    <row r="1570" spans="1:17" hidden="1">
      <c r="A1570" s="12">
        <v>46097</v>
      </c>
      <c r="B1570" s="10">
        <v>15</v>
      </c>
      <c r="Q1570" s="10" t="str">
        <f t="shared" si="24"/>
        <v>Incomplete</v>
      </c>
    </row>
    <row r="1571" spans="1:17" hidden="1">
      <c r="A1571" s="12">
        <v>46097</v>
      </c>
      <c r="B1571" s="10">
        <v>16</v>
      </c>
      <c r="Q1571" s="10" t="str">
        <f t="shared" si="24"/>
        <v>Incomplete</v>
      </c>
    </row>
    <row r="1572" spans="1:17" hidden="1">
      <c r="A1572" s="12">
        <v>46097</v>
      </c>
      <c r="B1572" s="10">
        <v>17</v>
      </c>
      <c r="Q1572" s="10" t="str">
        <f t="shared" si="24"/>
        <v>Incomplete</v>
      </c>
    </row>
    <row r="1573" spans="1:17" hidden="1">
      <c r="A1573" s="12">
        <v>46097</v>
      </c>
      <c r="B1573" s="10">
        <v>18</v>
      </c>
      <c r="Q1573" s="10" t="str">
        <f t="shared" si="24"/>
        <v>Incomplete</v>
      </c>
    </row>
    <row r="1574" spans="1:17" hidden="1">
      <c r="A1574" s="12">
        <v>46097</v>
      </c>
      <c r="B1574" s="10">
        <v>19</v>
      </c>
      <c r="Q1574" s="10" t="str">
        <f t="shared" si="24"/>
        <v>Incomplete</v>
      </c>
    </row>
    <row r="1575" spans="1:17" hidden="1">
      <c r="A1575" s="12">
        <v>46097</v>
      </c>
      <c r="B1575" s="10">
        <v>20</v>
      </c>
      <c r="Q1575" s="10" t="str">
        <f t="shared" si="24"/>
        <v>Incomplete</v>
      </c>
    </row>
    <row r="1576" spans="1:17" hidden="1">
      <c r="A1576" s="12">
        <v>46097</v>
      </c>
      <c r="B1576" s="10">
        <v>21</v>
      </c>
      <c r="Q1576" s="10" t="str">
        <f t="shared" si="24"/>
        <v>Incomplete</v>
      </c>
    </row>
    <row r="1577" spans="1:17" hidden="1">
      <c r="A1577" s="12">
        <v>46098</v>
      </c>
      <c r="B1577" s="10">
        <v>1</v>
      </c>
      <c r="Q1577" s="10" t="str">
        <f t="shared" si="24"/>
        <v>Incomplete</v>
      </c>
    </row>
    <row r="1578" spans="1:17" hidden="1">
      <c r="A1578" s="12">
        <v>46098</v>
      </c>
      <c r="B1578" s="10">
        <v>2</v>
      </c>
      <c r="Q1578" s="10" t="str">
        <f t="shared" si="24"/>
        <v>Incomplete</v>
      </c>
    </row>
    <row r="1579" spans="1:17" hidden="1">
      <c r="A1579" s="12">
        <v>46098</v>
      </c>
      <c r="B1579" s="10">
        <v>3</v>
      </c>
      <c r="Q1579" s="10" t="str">
        <f t="shared" si="24"/>
        <v>Incomplete</v>
      </c>
    </row>
    <row r="1580" spans="1:17" hidden="1">
      <c r="A1580" s="12">
        <v>46098</v>
      </c>
      <c r="B1580" s="10">
        <v>4</v>
      </c>
      <c r="Q1580" s="10" t="str">
        <f t="shared" si="24"/>
        <v>Incomplete</v>
      </c>
    </row>
    <row r="1581" spans="1:17" hidden="1">
      <c r="A1581" s="12">
        <v>46098</v>
      </c>
      <c r="B1581" s="10">
        <v>5</v>
      </c>
      <c r="Q1581" s="10" t="str">
        <f t="shared" si="24"/>
        <v>Incomplete</v>
      </c>
    </row>
    <row r="1582" spans="1:17" hidden="1">
      <c r="A1582" s="12">
        <v>46098</v>
      </c>
      <c r="B1582" s="10">
        <v>6</v>
      </c>
      <c r="Q1582" s="10" t="str">
        <f t="shared" si="24"/>
        <v>Incomplete</v>
      </c>
    </row>
    <row r="1583" spans="1:17" hidden="1">
      <c r="A1583" s="12">
        <v>46098</v>
      </c>
      <c r="B1583" s="10">
        <v>7</v>
      </c>
      <c r="Q1583" s="10" t="str">
        <f t="shared" si="24"/>
        <v>Incomplete</v>
      </c>
    </row>
    <row r="1584" spans="1:17" hidden="1">
      <c r="A1584" s="12">
        <v>46098</v>
      </c>
      <c r="B1584" s="10">
        <v>8</v>
      </c>
      <c r="Q1584" s="10" t="str">
        <f t="shared" si="24"/>
        <v>Incomplete</v>
      </c>
    </row>
    <row r="1585" spans="1:17" hidden="1">
      <c r="A1585" s="12">
        <v>46098</v>
      </c>
      <c r="B1585" s="10">
        <v>9</v>
      </c>
      <c r="Q1585" s="10" t="str">
        <f t="shared" si="24"/>
        <v>Incomplete</v>
      </c>
    </row>
    <row r="1586" spans="1:17" hidden="1">
      <c r="A1586" s="12">
        <v>46098</v>
      </c>
      <c r="B1586" s="10">
        <v>10</v>
      </c>
      <c r="Q1586" s="10" t="str">
        <f t="shared" si="24"/>
        <v>Incomplete</v>
      </c>
    </row>
    <row r="1587" spans="1:17" hidden="1">
      <c r="A1587" s="12">
        <v>46098</v>
      </c>
      <c r="B1587" s="10">
        <v>11</v>
      </c>
      <c r="Q1587" s="10" t="str">
        <f t="shared" si="24"/>
        <v>Incomplete</v>
      </c>
    </row>
    <row r="1588" spans="1:17" hidden="1">
      <c r="A1588" s="12">
        <v>46098</v>
      </c>
      <c r="B1588" s="10">
        <v>12</v>
      </c>
      <c r="Q1588" s="10" t="str">
        <f t="shared" si="24"/>
        <v>Incomplete</v>
      </c>
    </row>
    <row r="1589" spans="1:17" hidden="1">
      <c r="A1589" s="12">
        <v>46098</v>
      </c>
      <c r="B1589" s="10">
        <v>13</v>
      </c>
      <c r="Q1589" s="10" t="str">
        <f t="shared" si="24"/>
        <v>Incomplete</v>
      </c>
    </row>
    <row r="1590" spans="1:17" hidden="1">
      <c r="A1590" s="12">
        <v>46098</v>
      </c>
      <c r="B1590" s="10">
        <v>14</v>
      </c>
      <c r="Q1590" s="10" t="str">
        <f t="shared" si="24"/>
        <v>Incomplete</v>
      </c>
    </row>
    <row r="1591" spans="1:17" hidden="1">
      <c r="A1591" s="12">
        <v>46098</v>
      </c>
      <c r="B1591" s="10">
        <v>15</v>
      </c>
      <c r="Q1591" s="10" t="str">
        <f t="shared" si="24"/>
        <v>Incomplete</v>
      </c>
    </row>
    <row r="1592" spans="1:17" hidden="1">
      <c r="A1592" s="12">
        <v>46098</v>
      </c>
      <c r="B1592" s="10">
        <v>16</v>
      </c>
      <c r="Q1592" s="10" t="str">
        <f t="shared" si="24"/>
        <v>Incomplete</v>
      </c>
    </row>
    <row r="1593" spans="1:17" hidden="1">
      <c r="A1593" s="12">
        <v>46098</v>
      </c>
      <c r="B1593" s="10">
        <v>17</v>
      </c>
      <c r="Q1593" s="10" t="str">
        <f t="shared" si="24"/>
        <v>Incomplete</v>
      </c>
    </row>
    <row r="1594" spans="1:17" hidden="1">
      <c r="A1594" s="12">
        <v>46098</v>
      </c>
      <c r="B1594" s="10">
        <v>18</v>
      </c>
      <c r="Q1594" s="10" t="str">
        <f t="shared" si="24"/>
        <v>Incomplete</v>
      </c>
    </row>
    <row r="1595" spans="1:17" hidden="1">
      <c r="A1595" s="12">
        <v>46098</v>
      </c>
      <c r="B1595" s="10">
        <v>19</v>
      </c>
      <c r="Q1595" s="10" t="str">
        <f t="shared" si="24"/>
        <v>Incomplete</v>
      </c>
    </row>
    <row r="1596" spans="1:17" hidden="1">
      <c r="A1596" s="12">
        <v>46098</v>
      </c>
      <c r="B1596" s="10">
        <v>20</v>
      </c>
      <c r="Q1596" s="10" t="str">
        <f t="shared" si="24"/>
        <v>Incomplete</v>
      </c>
    </row>
    <row r="1597" spans="1:17" hidden="1">
      <c r="A1597" s="12">
        <v>46098</v>
      </c>
      <c r="B1597" s="10">
        <v>21</v>
      </c>
      <c r="Q1597" s="10" t="str">
        <f t="shared" si="24"/>
        <v>Incomplete</v>
      </c>
    </row>
    <row r="1598" spans="1:17" hidden="1">
      <c r="A1598" s="12">
        <v>46099</v>
      </c>
      <c r="B1598" s="10">
        <v>1</v>
      </c>
      <c r="Q1598" s="10" t="str">
        <f t="shared" si="24"/>
        <v>Incomplete</v>
      </c>
    </row>
    <row r="1599" spans="1:17" hidden="1">
      <c r="A1599" s="12">
        <v>46099</v>
      </c>
      <c r="B1599" s="10">
        <v>2</v>
      </c>
      <c r="Q1599" s="10" t="str">
        <f t="shared" si="24"/>
        <v>Incomplete</v>
      </c>
    </row>
    <row r="1600" spans="1:17" hidden="1">
      <c r="A1600" s="12">
        <v>46099</v>
      </c>
      <c r="B1600" s="10">
        <v>3</v>
      </c>
      <c r="Q1600" s="10" t="str">
        <f t="shared" si="24"/>
        <v>Incomplete</v>
      </c>
    </row>
    <row r="1601" spans="1:17" hidden="1">
      <c r="A1601" s="12">
        <v>46099</v>
      </c>
      <c r="B1601" s="10">
        <v>4</v>
      </c>
      <c r="Q1601" s="10" t="str">
        <f t="shared" si="24"/>
        <v>Incomplete</v>
      </c>
    </row>
    <row r="1602" spans="1:17" hidden="1">
      <c r="A1602" s="12">
        <v>46099</v>
      </c>
      <c r="B1602" s="10">
        <v>5</v>
      </c>
      <c r="Q1602" s="10" t="str">
        <f t="shared" ref="Q1602:Q1665" si="25">IF(AND(C1602&lt;&gt;"",J1602&lt;&gt;"",K1602&lt;&gt;"",L1602&lt;&gt;"",O1602="Yes"),"Complete","Incomplete")</f>
        <v>Incomplete</v>
      </c>
    </row>
    <row r="1603" spans="1:17" hidden="1">
      <c r="A1603" s="12">
        <v>46099</v>
      </c>
      <c r="B1603" s="10">
        <v>6</v>
      </c>
      <c r="Q1603" s="10" t="str">
        <f t="shared" si="25"/>
        <v>Incomplete</v>
      </c>
    </row>
    <row r="1604" spans="1:17" hidden="1">
      <c r="A1604" s="12">
        <v>46099</v>
      </c>
      <c r="B1604" s="10">
        <v>7</v>
      </c>
      <c r="Q1604" s="10" t="str">
        <f t="shared" si="25"/>
        <v>Incomplete</v>
      </c>
    </row>
    <row r="1605" spans="1:17" hidden="1">
      <c r="A1605" s="12">
        <v>46099</v>
      </c>
      <c r="B1605" s="10">
        <v>8</v>
      </c>
      <c r="Q1605" s="10" t="str">
        <f t="shared" si="25"/>
        <v>Incomplete</v>
      </c>
    </row>
    <row r="1606" spans="1:17" hidden="1">
      <c r="A1606" s="12">
        <v>46099</v>
      </c>
      <c r="B1606" s="10">
        <v>9</v>
      </c>
      <c r="Q1606" s="10" t="str">
        <f t="shared" si="25"/>
        <v>Incomplete</v>
      </c>
    </row>
    <row r="1607" spans="1:17" hidden="1">
      <c r="A1607" s="12">
        <v>46099</v>
      </c>
      <c r="B1607" s="10">
        <v>10</v>
      </c>
      <c r="Q1607" s="10" t="str">
        <f t="shared" si="25"/>
        <v>Incomplete</v>
      </c>
    </row>
    <row r="1608" spans="1:17" hidden="1">
      <c r="A1608" s="12">
        <v>46099</v>
      </c>
      <c r="B1608" s="10">
        <v>11</v>
      </c>
      <c r="Q1608" s="10" t="str">
        <f t="shared" si="25"/>
        <v>Incomplete</v>
      </c>
    </row>
    <row r="1609" spans="1:17" hidden="1">
      <c r="A1609" s="12">
        <v>46099</v>
      </c>
      <c r="B1609" s="10">
        <v>12</v>
      </c>
      <c r="Q1609" s="10" t="str">
        <f t="shared" si="25"/>
        <v>Incomplete</v>
      </c>
    </row>
    <row r="1610" spans="1:17" hidden="1">
      <c r="A1610" s="12">
        <v>46099</v>
      </c>
      <c r="B1610" s="10">
        <v>13</v>
      </c>
      <c r="Q1610" s="10" t="str">
        <f t="shared" si="25"/>
        <v>Incomplete</v>
      </c>
    </row>
    <row r="1611" spans="1:17" hidden="1">
      <c r="A1611" s="12">
        <v>46099</v>
      </c>
      <c r="B1611" s="10">
        <v>14</v>
      </c>
      <c r="Q1611" s="10" t="str">
        <f t="shared" si="25"/>
        <v>Incomplete</v>
      </c>
    </row>
    <row r="1612" spans="1:17" hidden="1">
      <c r="A1612" s="12">
        <v>46099</v>
      </c>
      <c r="B1612" s="10">
        <v>15</v>
      </c>
      <c r="Q1612" s="10" t="str">
        <f t="shared" si="25"/>
        <v>Incomplete</v>
      </c>
    </row>
    <row r="1613" spans="1:17" hidden="1">
      <c r="A1613" s="12">
        <v>46099</v>
      </c>
      <c r="B1613" s="10">
        <v>16</v>
      </c>
      <c r="Q1613" s="10" t="str">
        <f t="shared" si="25"/>
        <v>Incomplete</v>
      </c>
    </row>
    <row r="1614" spans="1:17" hidden="1">
      <c r="A1614" s="12">
        <v>46099</v>
      </c>
      <c r="B1614" s="10">
        <v>17</v>
      </c>
      <c r="Q1614" s="10" t="str">
        <f t="shared" si="25"/>
        <v>Incomplete</v>
      </c>
    </row>
    <row r="1615" spans="1:17" hidden="1">
      <c r="A1615" s="12">
        <v>46099</v>
      </c>
      <c r="B1615" s="10">
        <v>18</v>
      </c>
      <c r="Q1615" s="10" t="str">
        <f t="shared" si="25"/>
        <v>Incomplete</v>
      </c>
    </row>
    <row r="1616" spans="1:17" hidden="1">
      <c r="A1616" s="12">
        <v>46099</v>
      </c>
      <c r="B1616" s="10">
        <v>19</v>
      </c>
      <c r="Q1616" s="10" t="str">
        <f t="shared" si="25"/>
        <v>Incomplete</v>
      </c>
    </row>
    <row r="1617" spans="1:17" hidden="1">
      <c r="A1617" s="12">
        <v>46099</v>
      </c>
      <c r="B1617" s="10">
        <v>20</v>
      </c>
      <c r="Q1617" s="10" t="str">
        <f t="shared" si="25"/>
        <v>Incomplete</v>
      </c>
    </row>
    <row r="1618" spans="1:17" hidden="1">
      <c r="A1618" s="12">
        <v>46099</v>
      </c>
      <c r="B1618" s="10">
        <v>21</v>
      </c>
      <c r="Q1618" s="10" t="str">
        <f t="shared" si="25"/>
        <v>Incomplete</v>
      </c>
    </row>
    <row r="1619" spans="1:17" hidden="1">
      <c r="A1619" s="12">
        <v>46100</v>
      </c>
      <c r="B1619" s="10">
        <v>1</v>
      </c>
      <c r="Q1619" s="10" t="str">
        <f t="shared" si="25"/>
        <v>Incomplete</v>
      </c>
    </row>
    <row r="1620" spans="1:17" hidden="1">
      <c r="A1620" s="12">
        <v>46100</v>
      </c>
      <c r="B1620" s="10">
        <v>2</v>
      </c>
      <c r="Q1620" s="10" t="str">
        <f t="shared" si="25"/>
        <v>Incomplete</v>
      </c>
    </row>
    <row r="1621" spans="1:17" hidden="1">
      <c r="A1621" s="12">
        <v>46100</v>
      </c>
      <c r="B1621" s="10">
        <v>3</v>
      </c>
      <c r="Q1621" s="10" t="str">
        <f t="shared" si="25"/>
        <v>Incomplete</v>
      </c>
    </row>
    <row r="1622" spans="1:17" hidden="1">
      <c r="A1622" s="12">
        <v>46100</v>
      </c>
      <c r="B1622" s="10">
        <v>4</v>
      </c>
      <c r="Q1622" s="10" t="str">
        <f t="shared" si="25"/>
        <v>Incomplete</v>
      </c>
    </row>
    <row r="1623" spans="1:17" hidden="1">
      <c r="A1623" s="12">
        <v>46100</v>
      </c>
      <c r="B1623" s="10">
        <v>5</v>
      </c>
      <c r="Q1623" s="10" t="str">
        <f t="shared" si="25"/>
        <v>Incomplete</v>
      </c>
    </row>
    <row r="1624" spans="1:17" hidden="1">
      <c r="A1624" s="12">
        <v>46100</v>
      </c>
      <c r="B1624" s="10">
        <v>6</v>
      </c>
      <c r="Q1624" s="10" t="str">
        <f t="shared" si="25"/>
        <v>Incomplete</v>
      </c>
    </row>
    <row r="1625" spans="1:17" hidden="1">
      <c r="A1625" s="12">
        <v>46100</v>
      </c>
      <c r="B1625" s="10">
        <v>7</v>
      </c>
      <c r="Q1625" s="10" t="str">
        <f t="shared" si="25"/>
        <v>Incomplete</v>
      </c>
    </row>
    <row r="1626" spans="1:17" hidden="1">
      <c r="A1626" s="12">
        <v>46100</v>
      </c>
      <c r="B1626" s="10">
        <v>8</v>
      </c>
      <c r="Q1626" s="10" t="str">
        <f t="shared" si="25"/>
        <v>Incomplete</v>
      </c>
    </row>
    <row r="1627" spans="1:17" hidden="1">
      <c r="A1627" s="12">
        <v>46100</v>
      </c>
      <c r="B1627" s="10">
        <v>9</v>
      </c>
      <c r="Q1627" s="10" t="str">
        <f t="shared" si="25"/>
        <v>Incomplete</v>
      </c>
    </row>
    <row r="1628" spans="1:17" hidden="1">
      <c r="A1628" s="12">
        <v>46100</v>
      </c>
      <c r="B1628" s="10">
        <v>10</v>
      </c>
      <c r="Q1628" s="10" t="str">
        <f t="shared" si="25"/>
        <v>Incomplete</v>
      </c>
    </row>
    <row r="1629" spans="1:17" hidden="1">
      <c r="A1629" s="12">
        <v>46100</v>
      </c>
      <c r="B1629" s="10">
        <v>11</v>
      </c>
      <c r="Q1629" s="10" t="str">
        <f t="shared" si="25"/>
        <v>Incomplete</v>
      </c>
    </row>
    <row r="1630" spans="1:17" hidden="1">
      <c r="A1630" s="12">
        <v>46100</v>
      </c>
      <c r="B1630" s="10">
        <v>12</v>
      </c>
      <c r="Q1630" s="10" t="str">
        <f t="shared" si="25"/>
        <v>Incomplete</v>
      </c>
    </row>
    <row r="1631" spans="1:17" hidden="1">
      <c r="A1631" s="12">
        <v>46100</v>
      </c>
      <c r="B1631" s="10">
        <v>13</v>
      </c>
      <c r="Q1631" s="10" t="str">
        <f t="shared" si="25"/>
        <v>Incomplete</v>
      </c>
    </row>
    <row r="1632" spans="1:17" hidden="1">
      <c r="A1632" s="12">
        <v>46100</v>
      </c>
      <c r="B1632" s="10">
        <v>14</v>
      </c>
      <c r="Q1632" s="10" t="str">
        <f t="shared" si="25"/>
        <v>Incomplete</v>
      </c>
    </row>
    <row r="1633" spans="1:17" hidden="1">
      <c r="A1633" s="12">
        <v>46100</v>
      </c>
      <c r="B1633" s="10">
        <v>15</v>
      </c>
      <c r="Q1633" s="10" t="str">
        <f t="shared" si="25"/>
        <v>Incomplete</v>
      </c>
    </row>
    <row r="1634" spans="1:17" hidden="1">
      <c r="A1634" s="12">
        <v>46100</v>
      </c>
      <c r="B1634" s="10">
        <v>16</v>
      </c>
      <c r="Q1634" s="10" t="str">
        <f t="shared" si="25"/>
        <v>Incomplete</v>
      </c>
    </row>
    <row r="1635" spans="1:17" hidden="1">
      <c r="A1635" s="12">
        <v>46100</v>
      </c>
      <c r="B1635" s="10">
        <v>17</v>
      </c>
      <c r="Q1635" s="10" t="str">
        <f t="shared" si="25"/>
        <v>Incomplete</v>
      </c>
    </row>
    <row r="1636" spans="1:17" hidden="1">
      <c r="A1636" s="12">
        <v>46100</v>
      </c>
      <c r="B1636" s="10">
        <v>18</v>
      </c>
      <c r="Q1636" s="10" t="str">
        <f t="shared" si="25"/>
        <v>Incomplete</v>
      </c>
    </row>
    <row r="1637" spans="1:17" hidden="1">
      <c r="A1637" s="12">
        <v>46100</v>
      </c>
      <c r="B1637" s="10">
        <v>19</v>
      </c>
      <c r="Q1637" s="10" t="str">
        <f t="shared" si="25"/>
        <v>Incomplete</v>
      </c>
    </row>
    <row r="1638" spans="1:17" hidden="1">
      <c r="A1638" s="12">
        <v>46100</v>
      </c>
      <c r="B1638" s="10">
        <v>20</v>
      </c>
      <c r="Q1638" s="10" t="str">
        <f t="shared" si="25"/>
        <v>Incomplete</v>
      </c>
    </row>
    <row r="1639" spans="1:17" hidden="1">
      <c r="A1639" s="12">
        <v>46100</v>
      </c>
      <c r="B1639" s="10">
        <v>21</v>
      </c>
      <c r="Q1639" s="10" t="str">
        <f t="shared" si="25"/>
        <v>Incomplete</v>
      </c>
    </row>
    <row r="1640" spans="1:17" hidden="1">
      <c r="A1640" s="12">
        <v>46101</v>
      </c>
      <c r="B1640" s="10">
        <v>1</v>
      </c>
      <c r="Q1640" s="10" t="str">
        <f t="shared" si="25"/>
        <v>Incomplete</v>
      </c>
    </row>
    <row r="1641" spans="1:17" hidden="1">
      <c r="A1641" s="12">
        <v>46101</v>
      </c>
      <c r="B1641" s="10">
        <v>2</v>
      </c>
      <c r="Q1641" s="10" t="str">
        <f t="shared" si="25"/>
        <v>Incomplete</v>
      </c>
    </row>
    <row r="1642" spans="1:17" hidden="1">
      <c r="A1642" s="12">
        <v>46101</v>
      </c>
      <c r="B1642" s="10">
        <v>3</v>
      </c>
      <c r="Q1642" s="10" t="str">
        <f t="shared" si="25"/>
        <v>Incomplete</v>
      </c>
    </row>
    <row r="1643" spans="1:17" hidden="1">
      <c r="A1643" s="12">
        <v>46101</v>
      </c>
      <c r="B1643" s="10">
        <v>4</v>
      </c>
      <c r="Q1643" s="10" t="str">
        <f t="shared" si="25"/>
        <v>Incomplete</v>
      </c>
    </row>
    <row r="1644" spans="1:17" hidden="1">
      <c r="A1644" s="12">
        <v>46101</v>
      </c>
      <c r="B1644" s="10">
        <v>5</v>
      </c>
      <c r="Q1644" s="10" t="str">
        <f t="shared" si="25"/>
        <v>Incomplete</v>
      </c>
    </row>
    <row r="1645" spans="1:17" hidden="1">
      <c r="A1645" s="12">
        <v>46101</v>
      </c>
      <c r="B1645" s="10">
        <v>6</v>
      </c>
      <c r="Q1645" s="10" t="str">
        <f t="shared" si="25"/>
        <v>Incomplete</v>
      </c>
    </row>
    <row r="1646" spans="1:17" hidden="1">
      <c r="A1646" s="12">
        <v>46101</v>
      </c>
      <c r="B1646" s="10">
        <v>7</v>
      </c>
      <c r="Q1646" s="10" t="str">
        <f t="shared" si="25"/>
        <v>Incomplete</v>
      </c>
    </row>
    <row r="1647" spans="1:17" hidden="1">
      <c r="A1647" s="12">
        <v>46101</v>
      </c>
      <c r="B1647" s="10">
        <v>8</v>
      </c>
      <c r="Q1647" s="10" t="str">
        <f t="shared" si="25"/>
        <v>Incomplete</v>
      </c>
    </row>
    <row r="1648" spans="1:17" hidden="1">
      <c r="A1648" s="12">
        <v>46101</v>
      </c>
      <c r="B1648" s="10">
        <v>9</v>
      </c>
      <c r="Q1648" s="10" t="str">
        <f t="shared" si="25"/>
        <v>Incomplete</v>
      </c>
    </row>
    <row r="1649" spans="1:17" hidden="1">
      <c r="A1649" s="12">
        <v>46101</v>
      </c>
      <c r="B1649" s="10">
        <v>10</v>
      </c>
      <c r="Q1649" s="10" t="str">
        <f t="shared" si="25"/>
        <v>Incomplete</v>
      </c>
    </row>
    <row r="1650" spans="1:17" hidden="1">
      <c r="A1650" s="12">
        <v>46101</v>
      </c>
      <c r="B1650" s="10">
        <v>11</v>
      </c>
      <c r="Q1650" s="10" t="str">
        <f t="shared" si="25"/>
        <v>Incomplete</v>
      </c>
    </row>
    <row r="1651" spans="1:17" hidden="1">
      <c r="A1651" s="12">
        <v>46101</v>
      </c>
      <c r="B1651" s="10">
        <v>12</v>
      </c>
      <c r="Q1651" s="10" t="str">
        <f t="shared" si="25"/>
        <v>Incomplete</v>
      </c>
    </row>
    <row r="1652" spans="1:17" hidden="1">
      <c r="A1652" s="12">
        <v>46101</v>
      </c>
      <c r="B1652" s="10">
        <v>13</v>
      </c>
      <c r="Q1652" s="10" t="str">
        <f t="shared" si="25"/>
        <v>Incomplete</v>
      </c>
    </row>
    <row r="1653" spans="1:17" hidden="1">
      <c r="A1653" s="12">
        <v>46101</v>
      </c>
      <c r="B1653" s="10">
        <v>14</v>
      </c>
      <c r="Q1653" s="10" t="str">
        <f t="shared" si="25"/>
        <v>Incomplete</v>
      </c>
    </row>
    <row r="1654" spans="1:17" hidden="1">
      <c r="A1654" s="12">
        <v>46101</v>
      </c>
      <c r="B1654" s="10">
        <v>15</v>
      </c>
      <c r="Q1654" s="10" t="str">
        <f t="shared" si="25"/>
        <v>Incomplete</v>
      </c>
    </row>
    <row r="1655" spans="1:17" hidden="1">
      <c r="A1655" s="12">
        <v>46101</v>
      </c>
      <c r="B1655" s="10">
        <v>16</v>
      </c>
      <c r="Q1655" s="10" t="str">
        <f t="shared" si="25"/>
        <v>Incomplete</v>
      </c>
    </row>
    <row r="1656" spans="1:17" hidden="1">
      <c r="A1656" s="12">
        <v>46101</v>
      </c>
      <c r="B1656" s="10">
        <v>17</v>
      </c>
      <c r="Q1656" s="10" t="str">
        <f t="shared" si="25"/>
        <v>Incomplete</v>
      </c>
    </row>
    <row r="1657" spans="1:17" hidden="1">
      <c r="A1657" s="12">
        <v>46101</v>
      </c>
      <c r="B1657" s="10">
        <v>18</v>
      </c>
      <c r="Q1657" s="10" t="str">
        <f t="shared" si="25"/>
        <v>Incomplete</v>
      </c>
    </row>
    <row r="1658" spans="1:17" hidden="1">
      <c r="A1658" s="12">
        <v>46101</v>
      </c>
      <c r="B1658" s="10">
        <v>19</v>
      </c>
      <c r="Q1658" s="10" t="str">
        <f t="shared" si="25"/>
        <v>Incomplete</v>
      </c>
    </row>
    <row r="1659" spans="1:17" hidden="1">
      <c r="A1659" s="12">
        <v>46101</v>
      </c>
      <c r="B1659" s="10">
        <v>20</v>
      </c>
      <c r="Q1659" s="10" t="str">
        <f t="shared" si="25"/>
        <v>Incomplete</v>
      </c>
    </row>
    <row r="1660" spans="1:17" hidden="1">
      <c r="A1660" s="12">
        <v>46101</v>
      </c>
      <c r="B1660" s="10">
        <v>21</v>
      </c>
      <c r="Q1660" s="10" t="str">
        <f t="shared" si="25"/>
        <v>Incomplete</v>
      </c>
    </row>
    <row r="1661" spans="1:17" hidden="1">
      <c r="A1661" s="12">
        <v>46102</v>
      </c>
      <c r="B1661" s="10">
        <v>1</v>
      </c>
      <c r="Q1661" s="10" t="str">
        <f t="shared" si="25"/>
        <v>Incomplete</v>
      </c>
    </row>
    <row r="1662" spans="1:17" hidden="1">
      <c r="A1662" s="12">
        <v>46102</v>
      </c>
      <c r="B1662" s="10">
        <v>2</v>
      </c>
      <c r="Q1662" s="10" t="str">
        <f t="shared" si="25"/>
        <v>Incomplete</v>
      </c>
    </row>
    <row r="1663" spans="1:17" hidden="1">
      <c r="A1663" s="12">
        <v>46102</v>
      </c>
      <c r="B1663" s="10">
        <v>3</v>
      </c>
      <c r="Q1663" s="10" t="str">
        <f t="shared" si="25"/>
        <v>Incomplete</v>
      </c>
    </row>
    <row r="1664" spans="1:17" hidden="1">
      <c r="A1664" s="12">
        <v>46102</v>
      </c>
      <c r="B1664" s="10">
        <v>4</v>
      </c>
      <c r="Q1664" s="10" t="str">
        <f t="shared" si="25"/>
        <v>Incomplete</v>
      </c>
    </row>
    <row r="1665" spans="1:17" hidden="1">
      <c r="A1665" s="12">
        <v>46102</v>
      </c>
      <c r="B1665" s="10">
        <v>5</v>
      </c>
      <c r="Q1665" s="10" t="str">
        <f t="shared" si="25"/>
        <v>Incomplete</v>
      </c>
    </row>
    <row r="1666" spans="1:17" hidden="1">
      <c r="A1666" s="12">
        <v>46102</v>
      </c>
      <c r="B1666" s="10">
        <v>6</v>
      </c>
      <c r="Q1666" s="10" t="str">
        <f t="shared" ref="Q1666:Q1729" si="26">IF(AND(C1666&lt;&gt;"",J1666&lt;&gt;"",K1666&lt;&gt;"",L1666&lt;&gt;"",O1666="Yes"),"Complete","Incomplete")</f>
        <v>Incomplete</v>
      </c>
    </row>
    <row r="1667" spans="1:17" hidden="1">
      <c r="A1667" s="12">
        <v>46102</v>
      </c>
      <c r="B1667" s="10">
        <v>7</v>
      </c>
      <c r="Q1667" s="10" t="str">
        <f t="shared" si="26"/>
        <v>Incomplete</v>
      </c>
    </row>
    <row r="1668" spans="1:17" hidden="1">
      <c r="A1668" s="12">
        <v>46102</v>
      </c>
      <c r="B1668" s="10">
        <v>8</v>
      </c>
      <c r="Q1668" s="10" t="str">
        <f t="shared" si="26"/>
        <v>Incomplete</v>
      </c>
    </row>
    <row r="1669" spans="1:17" hidden="1">
      <c r="A1669" s="12">
        <v>46102</v>
      </c>
      <c r="B1669" s="10">
        <v>9</v>
      </c>
      <c r="Q1669" s="10" t="str">
        <f t="shared" si="26"/>
        <v>Incomplete</v>
      </c>
    </row>
    <row r="1670" spans="1:17" hidden="1">
      <c r="A1670" s="12">
        <v>46102</v>
      </c>
      <c r="B1670" s="10">
        <v>10</v>
      </c>
      <c r="Q1670" s="10" t="str">
        <f t="shared" si="26"/>
        <v>Incomplete</v>
      </c>
    </row>
    <row r="1671" spans="1:17" hidden="1">
      <c r="A1671" s="12">
        <v>46102</v>
      </c>
      <c r="B1671" s="10">
        <v>11</v>
      </c>
      <c r="Q1671" s="10" t="str">
        <f t="shared" si="26"/>
        <v>Incomplete</v>
      </c>
    </row>
    <row r="1672" spans="1:17" hidden="1">
      <c r="A1672" s="12">
        <v>46102</v>
      </c>
      <c r="B1672" s="10">
        <v>12</v>
      </c>
      <c r="Q1672" s="10" t="str">
        <f t="shared" si="26"/>
        <v>Incomplete</v>
      </c>
    </row>
    <row r="1673" spans="1:17" hidden="1">
      <c r="A1673" s="12">
        <v>46102</v>
      </c>
      <c r="B1673" s="10">
        <v>13</v>
      </c>
      <c r="Q1673" s="10" t="str">
        <f t="shared" si="26"/>
        <v>Incomplete</v>
      </c>
    </row>
    <row r="1674" spans="1:17" hidden="1">
      <c r="A1674" s="12">
        <v>46102</v>
      </c>
      <c r="B1674" s="10">
        <v>14</v>
      </c>
      <c r="Q1674" s="10" t="str">
        <f t="shared" si="26"/>
        <v>Incomplete</v>
      </c>
    </row>
    <row r="1675" spans="1:17" hidden="1">
      <c r="A1675" s="12">
        <v>46102</v>
      </c>
      <c r="B1675" s="10">
        <v>15</v>
      </c>
      <c r="Q1675" s="10" t="str">
        <f t="shared" si="26"/>
        <v>Incomplete</v>
      </c>
    </row>
    <row r="1676" spans="1:17" hidden="1">
      <c r="A1676" s="12">
        <v>46102</v>
      </c>
      <c r="B1676" s="10">
        <v>16</v>
      </c>
      <c r="Q1676" s="10" t="str">
        <f t="shared" si="26"/>
        <v>Incomplete</v>
      </c>
    </row>
    <row r="1677" spans="1:17" hidden="1">
      <c r="A1677" s="12">
        <v>46102</v>
      </c>
      <c r="B1677" s="10">
        <v>17</v>
      </c>
      <c r="Q1677" s="10" t="str">
        <f t="shared" si="26"/>
        <v>Incomplete</v>
      </c>
    </row>
    <row r="1678" spans="1:17" hidden="1">
      <c r="A1678" s="12">
        <v>46102</v>
      </c>
      <c r="B1678" s="10">
        <v>18</v>
      </c>
      <c r="Q1678" s="10" t="str">
        <f t="shared" si="26"/>
        <v>Incomplete</v>
      </c>
    </row>
    <row r="1679" spans="1:17" hidden="1">
      <c r="A1679" s="12">
        <v>46102</v>
      </c>
      <c r="B1679" s="10">
        <v>19</v>
      </c>
      <c r="Q1679" s="10" t="str">
        <f t="shared" si="26"/>
        <v>Incomplete</v>
      </c>
    </row>
    <row r="1680" spans="1:17" hidden="1">
      <c r="A1680" s="12">
        <v>46102</v>
      </c>
      <c r="B1680" s="10">
        <v>20</v>
      </c>
      <c r="Q1680" s="10" t="str">
        <f t="shared" si="26"/>
        <v>Incomplete</v>
      </c>
    </row>
    <row r="1681" spans="1:17" hidden="1">
      <c r="A1681" s="12">
        <v>46102</v>
      </c>
      <c r="B1681" s="10">
        <v>21</v>
      </c>
      <c r="Q1681" s="10" t="str">
        <f t="shared" si="26"/>
        <v>Incomplete</v>
      </c>
    </row>
    <row r="1682" spans="1:17" hidden="1">
      <c r="A1682" s="12">
        <v>46103</v>
      </c>
      <c r="B1682" s="10">
        <v>1</v>
      </c>
      <c r="Q1682" s="10" t="str">
        <f t="shared" si="26"/>
        <v>Incomplete</v>
      </c>
    </row>
    <row r="1683" spans="1:17" hidden="1">
      <c r="A1683" s="12">
        <v>46103</v>
      </c>
      <c r="B1683" s="10">
        <v>2</v>
      </c>
      <c r="Q1683" s="10" t="str">
        <f t="shared" si="26"/>
        <v>Incomplete</v>
      </c>
    </row>
    <row r="1684" spans="1:17" hidden="1">
      <c r="A1684" s="12">
        <v>46103</v>
      </c>
      <c r="B1684" s="10">
        <v>3</v>
      </c>
      <c r="Q1684" s="10" t="str">
        <f t="shared" si="26"/>
        <v>Incomplete</v>
      </c>
    </row>
    <row r="1685" spans="1:17" hidden="1">
      <c r="A1685" s="12">
        <v>46103</v>
      </c>
      <c r="B1685" s="10">
        <v>4</v>
      </c>
      <c r="Q1685" s="10" t="str">
        <f t="shared" si="26"/>
        <v>Incomplete</v>
      </c>
    </row>
    <row r="1686" spans="1:17" hidden="1">
      <c r="A1686" s="12">
        <v>46103</v>
      </c>
      <c r="B1686" s="10">
        <v>5</v>
      </c>
      <c r="Q1686" s="10" t="str">
        <f t="shared" si="26"/>
        <v>Incomplete</v>
      </c>
    </row>
    <row r="1687" spans="1:17" hidden="1">
      <c r="A1687" s="12">
        <v>46103</v>
      </c>
      <c r="B1687" s="10">
        <v>6</v>
      </c>
      <c r="Q1687" s="10" t="str">
        <f t="shared" si="26"/>
        <v>Incomplete</v>
      </c>
    </row>
    <row r="1688" spans="1:17" hidden="1">
      <c r="A1688" s="12">
        <v>46103</v>
      </c>
      <c r="B1688" s="10">
        <v>7</v>
      </c>
      <c r="Q1688" s="10" t="str">
        <f t="shared" si="26"/>
        <v>Incomplete</v>
      </c>
    </row>
    <row r="1689" spans="1:17" hidden="1">
      <c r="A1689" s="12">
        <v>46103</v>
      </c>
      <c r="B1689" s="10">
        <v>8</v>
      </c>
      <c r="Q1689" s="10" t="str">
        <f t="shared" si="26"/>
        <v>Incomplete</v>
      </c>
    </row>
    <row r="1690" spans="1:17" hidden="1">
      <c r="A1690" s="12">
        <v>46103</v>
      </c>
      <c r="B1690" s="10">
        <v>9</v>
      </c>
      <c r="Q1690" s="10" t="str">
        <f t="shared" si="26"/>
        <v>Incomplete</v>
      </c>
    </row>
    <row r="1691" spans="1:17" hidden="1">
      <c r="A1691" s="12">
        <v>46103</v>
      </c>
      <c r="B1691" s="10">
        <v>10</v>
      </c>
      <c r="Q1691" s="10" t="str">
        <f t="shared" si="26"/>
        <v>Incomplete</v>
      </c>
    </row>
    <row r="1692" spans="1:17" hidden="1">
      <c r="A1692" s="12">
        <v>46103</v>
      </c>
      <c r="B1692" s="10">
        <v>11</v>
      </c>
      <c r="Q1692" s="10" t="str">
        <f t="shared" si="26"/>
        <v>Incomplete</v>
      </c>
    </row>
    <row r="1693" spans="1:17" hidden="1">
      <c r="A1693" s="12">
        <v>46103</v>
      </c>
      <c r="B1693" s="10">
        <v>12</v>
      </c>
      <c r="Q1693" s="10" t="str">
        <f t="shared" si="26"/>
        <v>Incomplete</v>
      </c>
    </row>
    <row r="1694" spans="1:17" hidden="1">
      <c r="A1694" s="12">
        <v>46103</v>
      </c>
      <c r="B1694" s="10">
        <v>13</v>
      </c>
      <c r="Q1694" s="10" t="str">
        <f t="shared" si="26"/>
        <v>Incomplete</v>
      </c>
    </row>
    <row r="1695" spans="1:17" hidden="1">
      <c r="A1695" s="12">
        <v>46103</v>
      </c>
      <c r="B1695" s="10">
        <v>14</v>
      </c>
      <c r="Q1695" s="10" t="str">
        <f t="shared" si="26"/>
        <v>Incomplete</v>
      </c>
    </row>
    <row r="1696" spans="1:17" hidden="1">
      <c r="A1696" s="12">
        <v>46103</v>
      </c>
      <c r="B1696" s="10">
        <v>15</v>
      </c>
      <c r="Q1696" s="10" t="str">
        <f t="shared" si="26"/>
        <v>Incomplete</v>
      </c>
    </row>
    <row r="1697" spans="1:17" hidden="1">
      <c r="A1697" s="12">
        <v>46103</v>
      </c>
      <c r="B1697" s="10">
        <v>16</v>
      </c>
      <c r="Q1697" s="10" t="str">
        <f t="shared" si="26"/>
        <v>Incomplete</v>
      </c>
    </row>
    <row r="1698" spans="1:17" hidden="1">
      <c r="A1698" s="12">
        <v>46103</v>
      </c>
      <c r="B1698" s="10">
        <v>17</v>
      </c>
      <c r="Q1698" s="10" t="str">
        <f t="shared" si="26"/>
        <v>Incomplete</v>
      </c>
    </row>
    <row r="1699" spans="1:17" hidden="1">
      <c r="A1699" s="12">
        <v>46103</v>
      </c>
      <c r="B1699" s="10">
        <v>18</v>
      </c>
      <c r="Q1699" s="10" t="str">
        <f t="shared" si="26"/>
        <v>Incomplete</v>
      </c>
    </row>
    <row r="1700" spans="1:17" hidden="1">
      <c r="A1700" s="12">
        <v>46103</v>
      </c>
      <c r="B1700" s="10">
        <v>19</v>
      </c>
      <c r="Q1700" s="10" t="str">
        <f t="shared" si="26"/>
        <v>Incomplete</v>
      </c>
    </row>
    <row r="1701" spans="1:17" hidden="1">
      <c r="A1701" s="12">
        <v>46103</v>
      </c>
      <c r="B1701" s="10">
        <v>20</v>
      </c>
      <c r="Q1701" s="10" t="str">
        <f t="shared" si="26"/>
        <v>Incomplete</v>
      </c>
    </row>
    <row r="1702" spans="1:17" hidden="1">
      <c r="A1702" s="12">
        <v>46103</v>
      </c>
      <c r="B1702" s="10">
        <v>21</v>
      </c>
      <c r="Q1702" s="10" t="str">
        <f t="shared" si="26"/>
        <v>Incomplete</v>
      </c>
    </row>
    <row r="1703" spans="1:17" hidden="1">
      <c r="A1703" s="12">
        <v>46104</v>
      </c>
      <c r="B1703" s="10">
        <v>1</v>
      </c>
      <c r="Q1703" s="10" t="str">
        <f t="shared" si="26"/>
        <v>Incomplete</v>
      </c>
    </row>
    <row r="1704" spans="1:17" hidden="1">
      <c r="A1704" s="12">
        <v>46104</v>
      </c>
      <c r="B1704" s="10">
        <v>2</v>
      </c>
      <c r="Q1704" s="10" t="str">
        <f t="shared" si="26"/>
        <v>Incomplete</v>
      </c>
    </row>
    <row r="1705" spans="1:17" hidden="1">
      <c r="A1705" s="12">
        <v>46104</v>
      </c>
      <c r="B1705" s="10">
        <v>3</v>
      </c>
      <c r="Q1705" s="10" t="str">
        <f t="shared" si="26"/>
        <v>Incomplete</v>
      </c>
    </row>
    <row r="1706" spans="1:17" hidden="1">
      <c r="A1706" s="12">
        <v>46104</v>
      </c>
      <c r="B1706" s="10">
        <v>4</v>
      </c>
      <c r="Q1706" s="10" t="str">
        <f t="shared" si="26"/>
        <v>Incomplete</v>
      </c>
    </row>
    <row r="1707" spans="1:17" hidden="1">
      <c r="A1707" s="12">
        <v>46104</v>
      </c>
      <c r="B1707" s="10">
        <v>5</v>
      </c>
      <c r="Q1707" s="10" t="str">
        <f t="shared" si="26"/>
        <v>Incomplete</v>
      </c>
    </row>
    <row r="1708" spans="1:17" hidden="1">
      <c r="A1708" s="12">
        <v>46104</v>
      </c>
      <c r="B1708" s="10">
        <v>6</v>
      </c>
      <c r="Q1708" s="10" t="str">
        <f t="shared" si="26"/>
        <v>Incomplete</v>
      </c>
    </row>
    <row r="1709" spans="1:17" hidden="1">
      <c r="A1709" s="12">
        <v>46104</v>
      </c>
      <c r="B1709" s="10">
        <v>7</v>
      </c>
      <c r="Q1709" s="10" t="str">
        <f t="shared" si="26"/>
        <v>Incomplete</v>
      </c>
    </row>
    <row r="1710" spans="1:17" hidden="1">
      <c r="A1710" s="12">
        <v>46104</v>
      </c>
      <c r="B1710" s="10">
        <v>8</v>
      </c>
      <c r="Q1710" s="10" t="str">
        <f t="shared" si="26"/>
        <v>Incomplete</v>
      </c>
    </row>
    <row r="1711" spans="1:17" hidden="1">
      <c r="A1711" s="12">
        <v>46104</v>
      </c>
      <c r="B1711" s="10">
        <v>9</v>
      </c>
      <c r="Q1711" s="10" t="str">
        <f t="shared" si="26"/>
        <v>Incomplete</v>
      </c>
    </row>
    <row r="1712" spans="1:17" hidden="1">
      <c r="A1712" s="12">
        <v>46104</v>
      </c>
      <c r="B1712" s="10">
        <v>10</v>
      </c>
      <c r="Q1712" s="10" t="str">
        <f t="shared" si="26"/>
        <v>Incomplete</v>
      </c>
    </row>
    <row r="1713" spans="1:17" hidden="1">
      <c r="A1713" s="12">
        <v>46104</v>
      </c>
      <c r="B1713" s="10">
        <v>11</v>
      </c>
      <c r="Q1713" s="10" t="str">
        <f t="shared" si="26"/>
        <v>Incomplete</v>
      </c>
    </row>
    <row r="1714" spans="1:17" hidden="1">
      <c r="A1714" s="12">
        <v>46104</v>
      </c>
      <c r="B1714" s="10">
        <v>12</v>
      </c>
      <c r="Q1714" s="10" t="str">
        <f t="shared" si="26"/>
        <v>Incomplete</v>
      </c>
    </row>
    <row r="1715" spans="1:17" hidden="1">
      <c r="A1715" s="12">
        <v>46104</v>
      </c>
      <c r="B1715" s="10">
        <v>13</v>
      </c>
      <c r="Q1715" s="10" t="str">
        <f t="shared" si="26"/>
        <v>Incomplete</v>
      </c>
    </row>
    <row r="1716" spans="1:17" hidden="1">
      <c r="A1716" s="12">
        <v>46104</v>
      </c>
      <c r="B1716" s="10">
        <v>14</v>
      </c>
      <c r="Q1716" s="10" t="str">
        <f t="shared" si="26"/>
        <v>Incomplete</v>
      </c>
    </row>
    <row r="1717" spans="1:17" hidden="1">
      <c r="A1717" s="12">
        <v>46104</v>
      </c>
      <c r="B1717" s="10">
        <v>15</v>
      </c>
      <c r="Q1717" s="10" t="str">
        <f t="shared" si="26"/>
        <v>Incomplete</v>
      </c>
    </row>
    <row r="1718" spans="1:17" hidden="1">
      <c r="A1718" s="12">
        <v>46104</v>
      </c>
      <c r="B1718" s="10">
        <v>16</v>
      </c>
      <c r="Q1718" s="10" t="str">
        <f t="shared" si="26"/>
        <v>Incomplete</v>
      </c>
    </row>
    <row r="1719" spans="1:17" hidden="1">
      <c r="A1719" s="12">
        <v>46104</v>
      </c>
      <c r="B1719" s="10">
        <v>17</v>
      </c>
      <c r="Q1719" s="10" t="str">
        <f t="shared" si="26"/>
        <v>Incomplete</v>
      </c>
    </row>
    <row r="1720" spans="1:17" hidden="1">
      <c r="A1720" s="12">
        <v>46104</v>
      </c>
      <c r="B1720" s="10">
        <v>18</v>
      </c>
      <c r="Q1720" s="10" t="str">
        <f t="shared" si="26"/>
        <v>Incomplete</v>
      </c>
    </row>
    <row r="1721" spans="1:17" hidden="1">
      <c r="A1721" s="12">
        <v>46104</v>
      </c>
      <c r="B1721" s="10">
        <v>19</v>
      </c>
      <c r="Q1721" s="10" t="str">
        <f t="shared" si="26"/>
        <v>Incomplete</v>
      </c>
    </row>
    <row r="1722" spans="1:17" hidden="1">
      <c r="A1722" s="12">
        <v>46104</v>
      </c>
      <c r="B1722" s="10">
        <v>20</v>
      </c>
      <c r="Q1722" s="10" t="str">
        <f t="shared" si="26"/>
        <v>Incomplete</v>
      </c>
    </row>
    <row r="1723" spans="1:17" hidden="1">
      <c r="A1723" s="12">
        <v>46104</v>
      </c>
      <c r="B1723" s="10">
        <v>21</v>
      </c>
      <c r="Q1723" s="10" t="str">
        <f t="shared" si="26"/>
        <v>Incomplete</v>
      </c>
    </row>
    <row r="1724" spans="1:17" hidden="1">
      <c r="A1724" s="12">
        <v>46105</v>
      </c>
      <c r="B1724" s="10">
        <v>1</v>
      </c>
      <c r="Q1724" s="10" t="str">
        <f t="shared" si="26"/>
        <v>Incomplete</v>
      </c>
    </row>
    <row r="1725" spans="1:17" hidden="1">
      <c r="A1725" s="12">
        <v>46105</v>
      </c>
      <c r="B1725" s="10">
        <v>2</v>
      </c>
      <c r="Q1725" s="10" t="str">
        <f t="shared" si="26"/>
        <v>Incomplete</v>
      </c>
    </row>
    <row r="1726" spans="1:17" hidden="1">
      <c r="A1726" s="12">
        <v>46105</v>
      </c>
      <c r="B1726" s="10">
        <v>3</v>
      </c>
      <c r="Q1726" s="10" t="str">
        <f t="shared" si="26"/>
        <v>Incomplete</v>
      </c>
    </row>
    <row r="1727" spans="1:17" hidden="1">
      <c r="A1727" s="12">
        <v>46105</v>
      </c>
      <c r="B1727" s="10">
        <v>4</v>
      </c>
      <c r="Q1727" s="10" t="str">
        <f t="shared" si="26"/>
        <v>Incomplete</v>
      </c>
    </row>
    <row r="1728" spans="1:17" hidden="1">
      <c r="A1728" s="12">
        <v>46105</v>
      </c>
      <c r="B1728" s="10">
        <v>5</v>
      </c>
      <c r="Q1728" s="10" t="str">
        <f t="shared" si="26"/>
        <v>Incomplete</v>
      </c>
    </row>
    <row r="1729" spans="1:17" hidden="1">
      <c r="A1729" s="12">
        <v>46105</v>
      </c>
      <c r="B1729" s="10">
        <v>6</v>
      </c>
      <c r="Q1729" s="10" t="str">
        <f t="shared" si="26"/>
        <v>Incomplete</v>
      </c>
    </row>
    <row r="1730" spans="1:17" hidden="1">
      <c r="A1730" s="12">
        <v>46105</v>
      </c>
      <c r="B1730" s="10">
        <v>7</v>
      </c>
      <c r="Q1730" s="10" t="str">
        <f t="shared" ref="Q1730:Q1793" si="27">IF(AND(C1730&lt;&gt;"",J1730&lt;&gt;"",K1730&lt;&gt;"",L1730&lt;&gt;"",O1730="Yes"),"Complete","Incomplete")</f>
        <v>Incomplete</v>
      </c>
    </row>
    <row r="1731" spans="1:17" hidden="1">
      <c r="A1731" s="12">
        <v>46105</v>
      </c>
      <c r="B1731" s="10">
        <v>8</v>
      </c>
      <c r="Q1731" s="10" t="str">
        <f t="shared" si="27"/>
        <v>Incomplete</v>
      </c>
    </row>
    <row r="1732" spans="1:17" hidden="1">
      <c r="A1732" s="12">
        <v>46105</v>
      </c>
      <c r="B1732" s="10">
        <v>9</v>
      </c>
      <c r="Q1732" s="10" t="str">
        <f t="shared" si="27"/>
        <v>Incomplete</v>
      </c>
    </row>
    <row r="1733" spans="1:17" hidden="1">
      <c r="A1733" s="12">
        <v>46105</v>
      </c>
      <c r="B1733" s="10">
        <v>10</v>
      </c>
      <c r="Q1733" s="10" t="str">
        <f t="shared" si="27"/>
        <v>Incomplete</v>
      </c>
    </row>
    <row r="1734" spans="1:17" hidden="1">
      <c r="A1734" s="12">
        <v>46105</v>
      </c>
      <c r="B1734" s="10">
        <v>11</v>
      </c>
      <c r="Q1734" s="10" t="str">
        <f t="shared" si="27"/>
        <v>Incomplete</v>
      </c>
    </row>
    <row r="1735" spans="1:17" hidden="1">
      <c r="A1735" s="12">
        <v>46105</v>
      </c>
      <c r="B1735" s="10">
        <v>12</v>
      </c>
      <c r="Q1735" s="10" t="str">
        <f t="shared" si="27"/>
        <v>Incomplete</v>
      </c>
    </row>
    <row r="1736" spans="1:17" hidden="1">
      <c r="A1736" s="12">
        <v>46105</v>
      </c>
      <c r="B1736" s="10">
        <v>13</v>
      </c>
      <c r="Q1736" s="10" t="str">
        <f t="shared" si="27"/>
        <v>Incomplete</v>
      </c>
    </row>
    <row r="1737" spans="1:17" hidden="1">
      <c r="A1737" s="12">
        <v>46105</v>
      </c>
      <c r="B1737" s="10">
        <v>14</v>
      </c>
      <c r="Q1737" s="10" t="str">
        <f t="shared" si="27"/>
        <v>Incomplete</v>
      </c>
    </row>
    <row r="1738" spans="1:17" hidden="1">
      <c r="A1738" s="12">
        <v>46105</v>
      </c>
      <c r="B1738" s="10">
        <v>15</v>
      </c>
      <c r="Q1738" s="10" t="str">
        <f t="shared" si="27"/>
        <v>Incomplete</v>
      </c>
    </row>
    <row r="1739" spans="1:17" hidden="1">
      <c r="A1739" s="12">
        <v>46105</v>
      </c>
      <c r="B1739" s="10">
        <v>16</v>
      </c>
      <c r="Q1739" s="10" t="str">
        <f t="shared" si="27"/>
        <v>Incomplete</v>
      </c>
    </row>
    <row r="1740" spans="1:17" hidden="1">
      <c r="A1740" s="12">
        <v>46105</v>
      </c>
      <c r="B1740" s="10">
        <v>17</v>
      </c>
      <c r="Q1740" s="10" t="str">
        <f t="shared" si="27"/>
        <v>Incomplete</v>
      </c>
    </row>
    <row r="1741" spans="1:17" hidden="1">
      <c r="A1741" s="12">
        <v>46105</v>
      </c>
      <c r="B1741" s="10">
        <v>18</v>
      </c>
      <c r="Q1741" s="10" t="str">
        <f t="shared" si="27"/>
        <v>Incomplete</v>
      </c>
    </row>
    <row r="1742" spans="1:17" hidden="1">
      <c r="A1742" s="12">
        <v>46105</v>
      </c>
      <c r="B1742" s="10">
        <v>19</v>
      </c>
      <c r="Q1742" s="10" t="str">
        <f t="shared" si="27"/>
        <v>Incomplete</v>
      </c>
    </row>
    <row r="1743" spans="1:17" hidden="1">
      <c r="A1743" s="12">
        <v>46105</v>
      </c>
      <c r="B1743" s="10">
        <v>20</v>
      </c>
      <c r="Q1743" s="10" t="str">
        <f t="shared" si="27"/>
        <v>Incomplete</v>
      </c>
    </row>
    <row r="1744" spans="1:17" hidden="1">
      <c r="A1744" s="12">
        <v>46105</v>
      </c>
      <c r="B1744" s="10">
        <v>21</v>
      </c>
      <c r="Q1744" s="10" t="str">
        <f t="shared" si="27"/>
        <v>Incomplete</v>
      </c>
    </row>
    <row r="1745" spans="1:17" hidden="1">
      <c r="A1745" s="12">
        <v>46106</v>
      </c>
      <c r="B1745" s="10">
        <v>1</v>
      </c>
      <c r="Q1745" s="10" t="str">
        <f t="shared" si="27"/>
        <v>Incomplete</v>
      </c>
    </row>
    <row r="1746" spans="1:17" hidden="1">
      <c r="A1746" s="12">
        <v>46106</v>
      </c>
      <c r="B1746" s="10">
        <v>2</v>
      </c>
      <c r="Q1746" s="10" t="str">
        <f t="shared" si="27"/>
        <v>Incomplete</v>
      </c>
    </row>
    <row r="1747" spans="1:17" hidden="1">
      <c r="A1747" s="12">
        <v>46106</v>
      </c>
      <c r="B1747" s="10">
        <v>3</v>
      </c>
      <c r="Q1747" s="10" t="str">
        <f t="shared" si="27"/>
        <v>Incomplete</v>
      </c>
    </row>
    <row r="1748" spans="1:17" hidden="1">
      <c r="A1748" s="12">
        <v>46106</v>
      </c>
      <c r="B1748" s="10">
        <v>4</v>
      </c>
      <c r="Q1748" s="10" t="str">
        <f t="shared" si="27"/>
        <v>Incomplete</v>
      </c>
    </row>
    <row r="1749" spans="1:17" hidden="1">
      <c r="A1749" s="12">
        <v>46106</v>
      </c>
      <c r="B1749" s="10">
        <v>5</v>
      </c>
      <c r="Q1749" s="10" t="str">
        <f t="shared" si="27"/>
        <v>Incomplete</v>
      </c>
    </row>
    <row r="1750" spans="1:17" hidden="1">
      <c r="A1750" s="12">
        <v>46106</v>
      </c>
      <c r="B1750" s="10">
        <v>6</v>
      </c>
      <c r="Q1750" s="10" t="str">
        <f t="shared" si="27"/>
        <v>Incomplete</v>
      </c>
    </row>
    <row r="1751" spans="1:17" hidden="1">
      <c r="A1751" s="12">
        <v>46106</v>
      </c>
      <c r="B1751" s="10">
        <v>7</v>
      </c>
      <c r="Q1751" s="10" t="str">
        <f t="shared" si="27"/>
        <v>Incomplete</v>
      </c>
    </row>
    <row r="1752" spans="1:17" hidden="1">
      <c r="A1752" s="12">
        <v>46106</v>
      </c>
      <c r="B1752" s="10">
        <v>8</v>
      </c>
      <c r="Q1752" s="10" t="str">
        <f t="shared" si="27"/>
        <v>Incomplete</v>
      </c>
    </row>
    <row r="1753" spans="1:17" hidden="1">
      <c r="A1753" s="12">
        <v>46106</v>
      </c>
      <c r="B1753" s="10">
        <v>9</v>
      </c>
      <c r="Q1753" s="10" t="str">
        <f t="shared" si="27"/>
        <v>Incomplete</v>
      </c>
    </row>
    <row r="1754" spans="1:17" hidden="1">
      <c r="A1754" s="12">
        <v>46106</v>
      </c>
      <c r="B1754" s="10">
        <v>10</v>
      </c>
      <c r="Q1754" s="10" t="str">
        <f t="shared" si="27"/>
        <v>Incomplete</v>
      </c>
    </row>
    <row r="1755" spans="1:17" hidden="1">
      <c r="A1755" s="12">
        <v>46106</v>
      </c>
      <c r="B1755" s="10">
        <v>11</v>
      </c>
      <c r="Q1755" s="10" t="str">
        <f t="shared" si="27"/>
        <v>Incomplete</v>
      </c>
    </row>
    <row r="1756" spans="1:17" hidden="1">
      <c r="A1756" s="12">
        <v>46106</v>
      </c>
      <c r="B1756" s="10">
        <v>12</v>
      </c>
      <c r="Q1756" s="10" t="str">
        <f t="shared" si="27"/>
        <v>Incomplete</v>
      </c>
    </row>
    <row r="1757" spans="1:17" hidden="1">
      <c r="A1757" s="12">
        <v>46106</v>
      </c>
      <c r="B1757" s="10">
        <v>13</v>
      </c>
      <c r="Q1757" s="10" t="str">
        <f t="shared" si="27"/>
        <v>Incomplete</v>
      </c>
    </row>
    <row r="1758" spans="1:17" hidden="1">
      <c r="A1758" s="12">
        <v>46106</v>
      </c>
      <c r="B1758" s="10">
        <v>14</v>
      </c>
      <c r="Q1758" s="10" t="str">
        <f t="shared" si="27"/>
        <v>Incomplete</v>
      </c>
    </row>
    <row r="1759" spans="1:17" hidden="1">
      <c r="A1759" s="12">
        <v>46106</v>
      </c>
      <c r="B1759" s="10">
        <v>15</v>
      </c>
      <c r="Q1759" s="10" t="str">
        <f t="shared" si="27"/>
        <v>Incomplete</v>
      </c>
    </row>
    <row r="1760" spans="1:17" hidden="1">
      <c r="A1760" s="12">
        <v>46106</v>
      </c>
      <c r="B1760" s="10">
        <v>16</v>
      </c>
      <c r="Q1760" s="10" t="str">
        <f t="shared" si="27"/>
        <v>Incomplete</v>
      </c>
    </row>
    <row r="1761" spans="1:17" hidden="1">
      <c r="A1761" s="12">
        <v>46106</v>
      </c>
      <c r="B1761" s="10">
        <v>17</v>
      </c>
      <c r="Q1761" s="10" t="str">
        <f t="shared" si="27"/>
        <v>Incomplete</v>
      </c>
    </row>
    <row r="1762" spans="1:17" hidden="1">
      <c r="A1762" s="12">
        <v>46106</v>
      </c>
      <c r="B1762" s="10">
        <v>18</v>
      </c>
      <c r="Q1762" s="10" t="str">
        <f t="shared" si="27"/>
        <v>Incomplete</v>
      </c>
    </row>
    <row r="1763" spans="1:17" hidden="1">
      <c r="A1763" s="12">
        <v>46106</v>
      </c>
      <c r="B1763" s="10">
        <v>19</v>
      </c>
      <c r="Q1763" s="10" t="str">
        <f t="shared" si="27"/>
        <v>Incomplete</v>
      </c>
    </row>
    <row r="1764" spans="1:17" hidden="1">
      <c r="A1764" s="12">
        <v>46106</v>
      </c>
      <c r="B1764" s="10">
        <v>20</v>
      </c>
      <c r="Q1764" s="10" t="str">
        <f t="shared" si="27"/>
        <v>Incomplete</v>
      </c>
    </row>
    <row r="1765" spans="1:17" hidden="1">
      <c r="A1765" s="12">
        <v>46106</v>
      </c>
      <c r="B1765" s="10">
        <v>21</v>
      </c>
      <c r="Q1765" s="10" t="str">
        <f t="shared" si="27"/>
        <v>Incomplete</v>
      </c>
    </row>
    <row r="1766" spans="1:17" hidden="1">
      <c r="A1766" s="12">
        <v>46107</v>
      </c>
      <c r="B1766" s="10">
        <v>1</v>
      </c>
      <c r="Q1766" s="10" t="str">
        <f t="shared" si="27"/>
        <v>Incomplete</v>
      </c>
    </row>
    <row r="1767" spans="1:17" hidden="1">
      <c r="A1767" s="12">
        <v>46107</v>
      </c>
      <c r="B1767" s="10">
        <v>2</v>
      </c>
      <c r="Q1767" s="10" t="str">
        <f t="shared" si="27"/>
        <v>Incomplete</v>
      </c>
    </row>
    <row r="1768" spans="1:17" hidden="1">
      <c r="A1768" s="12">
        <v>46107</v>
      </c>
      <c r="B1768" s="10">
        <v>3</v>
      </c>
      <c r="Q1768" s="10" t="str">
        <f t="shared" si="27"/>
        <v>Incomplete</v>
      </c>
    </row>
    <row r="1769" spans="1:17" hidden="1">
      <c r="A1769" s="12">
        <v>46107</v>
      </c>
      <c r="B1769" s="10">
        <v>4</v>
      </c>
      <c r="Q1769" s="10" t="str">
        <f t="shared" si="27"/>
        <v>Incomplete</v>
      </c>
    </row>
    <row r="1770" spans="1:17" hidden="1">
      <c r="A1770" s="12">
        <v>46107</v>
      </c>
      <c r="B1770" s="10">
        <v>5</v>
      </c>
      <c r="Q1770" s="10" t="str">
        <f t="shared" si="27"/>
        <v>Incomplete</v>
      </c>
    </row>
    <row r="1771" spans="1:17" hidden="1">
      <c r="A1771" s="12">
        <v>46107</v>
      </c>
      <c r="B1771" s="10">
        <v>6</v>
      </c>
      <c r="Q1771" s="10" t="str">
        <f t="shared" si="27"/>
        <v>Incomplete</v>
      </c>
    </row>
    <row r="1772" spans="1:17" hidden="1">
      <c r="A1772" s="12">
        <v>46107</v>
      </c>
      <c r="B1772" s="10">
        <v>7</v>
      </c>
      <c r="Q1772" s="10" t="str">
        <f t="shared" si="27"/>
        <v>Incomplete</v>
      </c>
    </row>
    <row r="1773" spans="1:17" hidden="1">
      <c r="A1773" s="12">
        <v>46107</v>
      </c>
      <c r="B1773" s="10">
        <v>8</v>
      </c>
      <c r="Q1773" s="10" t="str">
        <f t="shared" si="27"/>
        <v>Incomplete</v>
      </c>
    </row>
    <row r="1774" spans="1:17" hidden="1">
      <c r="A1774" s="12">
        <v>46107</v>
      </c>
      <c r="B1774" s="10">
        <v>9</v>
      </c>
      <c r="Q1774" s="10" t="str">
        <f t="shared" si="27"/>
        <v>Incomplete</v>
      </c>
    </row>
    <row r="1775" spans="1:17" hidden="1">
      <c r="A1775" s="12">
        <v>46107</v>
      </c>
      <c r="B1775" s="10">
        <v>10</v>
      </c>
      <c r="Q1775" s="10" t="str">
        <f t="shared" si="27"/>
        <v>Incomplete</v>
      </c>
    </row>
    <row r="1776" spans="1:17" hidden="1">
      <c r="A1776" s="12">
        <v>46107</v>
      </c>
      <c r="B1776" s="10">
        <v>11</v>
      </c>
      <c r="Q1776" s="10" t="str">
        <f t="shared" si="27"/>
        <v>Incomplete</v>
      </c>
    </row>
    <row r="1777" spans="1:17" hidden="1">
      <c r="A1777" s="12">
        <v>46107</v>
      </c>
      <c r="B1777" s="10">
        <v>12</v>
      </c>
      <c r="Q1777" s="10" t="str">
        <f t="shared" si="27"/>
        <v>Incomplete</v>
      </c>
    </row>
    <row r="1778" spans="1:17" hidden="1">
      <c r="A1778" s="12">
        <v>46107</v>
      </c>
      <c r="B1778" s="10">
        <v>13</v>
      </c>
      <c r="Q1778" s="10" t="str">
        <f t="shared" si="27"/>
        <v>Incomplete</v>
      </c>
    </row>
    <row r="1779" spans="1:17" hidden="1">
      <c r="A1779" s="12">
        <v>46107</v>
      </c>
      <c r="B1779" s="10">
        <v>14</v>
      </c>
      <c r="Q1779" s="10" t="str">
        <f t="shared" si="27"/>
        <v>Incomplete</v>
      </c>
    </row>
    <row r="1780" spans="1:17" hidden="1">
      <c r="A1780" s="12">
        <v>46107</v>
      </c>
      <c r="B1780" s="10">
        <v>15</v>
      </c>
      <c r="Q1780" s="10" t="str">
        <f t="shared" si="27"/>
        <v>Incomplete</v>
      </c>
    </row>
    <row r="1781" spans="1:17" hidden="1">
      <c r="A1781" s="12">
        <v>46107</v>
      </c>
      <c r="B1781" s="10">
        <v>16</v>
      </c>
      <c r="Q1781" s="10" t="str">
        <f t="shared" si="27"/>
        <v>Incomplete</v>
      </c>
    </row>
    <row r="1782" spans="1:17" hidden="1">
      <c r="A1782" s="12">
        <v>46107</v>
      </c>
      <c r="B1782" s="10">
        <v>17</v>
      </c>
      <c r="Q1782" s="10" t="str">
        <f t="shared" si="27"/>
        <v>Incomplete</v>
      </c>
    </row>
    <row r="1783" spans="1:17" hidden="1">
      <c r="A1783" s="12">
        <v>46107</v>
      </c>
      <c r="B1783" s="10">
        <v>18</v>
      </c>
      <c r="Q1783" s="10" t="str">
        <f t="shared" si="27"/>
        <v>Incomplete</v>
      </c>
    </row>
    <row r="1784" spans="1:17" hidden="1">
      <c r="A1784" s="12">
        <v>46107</v>
      </c>
      <c r="B1784" s="10">
        <v>19</v>
      </c>
      <c r="Q1784" s="10" t="str">
        <f t="shared" si="27"/>
        <v>Incomplete</v>
      </c>
    </row>
    <row r="1785" spans="1:17" hidden="1">
      <c r="A1785" s="12">
        <v>46107</v>
      </c>
      <c r="B1785" s="10">
        <v>20</v>
      </c>
      <c r="Q1785" s="10" t="str">
        <f t="shared" si="27"/>
        <v>Incomplete</v>
      </c>
    </row>
    <row r="1786" spans="1:17" hidden="1">
      <c r="A1786" s="12">
        <v>46107</v>
      </c>
      <c r="B1786" s="10">
        <v>21</v>
      </c>
      <c r="Q1786" s="10" t="str">
        <f t="shared" si="27"/>
        <v>Incomplete</v>
      </c>
    </row>
    <row r="1787" spans="1:17" hidden="1">
      <c r="A1787" s="12">
        <v>46108</v>
      </c>
      <c r="B1787" s="10">
        <v>1</v>
      </c>
      <c r="Q1787" s="10" t="str">
        <f t="shared" si="27"/>
        <v>Incomplete</v>
      </c>
    </row>
    <row r="1788" spans="1:17" hidden="1">
      <c r="A1788" s="12">
        <v>46108</v>
      </c>
      <c r="B1788" s="10">
        <v>2</v>
      </c>
      <c r="Q1788" s="10" t="str">
        <f t="shared" si="27"/>
        <v>Incomplete</v>
      </c>
    </row>
    <row r="1789" spans="1:17" hidden="1">
      <c r="A1789" s="12">
        <v>46108</v>
      </c>
      <c r="B1789" s="10">
        <v>3</v>
      </c>
      <c r="Q1789" s="10" t="str">
        <f t="shared" si="27"/>
        <v>Incomplete</v>
      </c>
    </row>
    <row r="1790" spans="1:17" hidden="1">
      <c r="A1790" s="12">
        <v>46108</v>
      </c>
      <c r="B1790" s="10">
        <v>4</v>
      </c>
      <c r="Q1790" s="10" t="str">
        <f t="shared" si="27"/>
        <v>Incomplete</v>
      </c>
    </row>
    <row r="1791" spans="1:17" hidden="1">
      <c r="A1791" s="12">
        <v>46108</v>
      </c>
      <c r="B1791" s="10">
        <v>5</v>
      </c>
      <c r="Q1791" s="10" t="str">
        <f t="shared" si="27"/>
        <v>Incomplete</v>
      </c>
    </row>
    <row r="1792" spans="1:17" hidden="1">
      <c r="A1792" s="12">
        <v>46108</v>
      </c>
      <c r="B1792" s="10">
        <v>6</v>
      </c>
      <c r="Q1792" s="10" t="str">
        <f t="shared" si="27"/>
        <v>Incomplete</v>
      </c>
    </row>
    <row r="1793" spans="1:17" hidden="1">
      <c r="A1793" s="12">
        <v>46108</v>
      </c>
      <c r="B1793" s="10">
        <v>7</v>
      </c>
      <c r="Q1793" s="10" t="str">
        <f t="shared" si="27"/>
        <v>Incomplete</v>
      </c>
    </row>
    <row r="1794" spans="1:17" hidden="1">
      <c r="A1794" s="12">
        <v>46108</v>
      </c>
      <c r="B1794" s="10">
        <v>8</v>
      </c>
      <c r="Q1794" s="10" t="str">
        <f t="shared" ref="Q1794:Q1857" si="28">IF(AND(C1794&lt;&gt;"",J1794&lt;&gt;"",K1794&lt;&gt;"",L1794&lt;&gt;"",O1794="Yes"),"Complete","Incomplete")</f>
        <v>Incomplete</v>
      </c>
    </row>
    <row r="1795" spans="1:17" hidden="1">
      <c r="A1795" s="12">
        <v>46108</v>
      </c>
      <c r="B1795" s="10">
        <v>9</v>
      </c>
      <c r="Q1795" s="10" t="str">
        <f t="shared" si="28"/>
        <v>Incomplete</v>
      </c>
    </row>
    <row r="1796" spans="1:17" hidden="1">
      <c r="A1796" s="12">
        <v>46108</v>
      </c>
      <c r="B1796" s="10">
        <v>10</v>
      </c>
      <c r="Q1796" s="10" t="str">
        <f t="shared" si="28"/>
        <v>Incomplete</v>
      </c>
    </row>
    <row r="1797" spans="1:17" hidden="1">
      <c r="A1797" s="12">
        <v>46108</v>
      </c>
      <c r="B1797" s="10">
        <v>11</v>
      </c>
      <c r="Q1797" s="10" t="str">
        <f t="shared" si="28"/>
        <v>Incomplete</v>
      </c>
    </row>
    <row r="1798" spans="1:17" hidden="1">
      <c r="A1798" s="12">
        <v>46108</v>
      </c>
      <c r="B1798" s="10">
        <v>12</v>
      </c>
      <c r="Q1798" s="10" t="str">
        <f t="shared" si="28"/>
        <v>Incomplete</v>
      </c>
    </row>
    <row r="1799" spans="1:17" hidden="1">
      <c r="A1799" s="12">
        <v>46108</v>
      </c>
      <c r="B1799" s="10">
        <v>13</v>
      </c>
      <c r="Q1799" s="10" t="str">
        <f t="shared" si="28"/>
        <v>Incomplete</v>
      </c>
    </row>
    <row r="1800" spans="1:17" hidden="1">
      <c r="A1800" s="12">
        <v>46108</v>
      </c>
      <c r="B1800" s="10">
        <v>14</v>
      </c>
      <c r="Q1800" s="10" t="str">
        <f t="shared" si="28"/>
        <v>Incomplete</v>
      </c>
    </row>
    <row r="1801" spans="1:17" hidden="1">
      <c r="A1801" s="12">
        <v>46108</v>
      </c>
      <c r="B1801" s="10">
        <v>15</v>
      </c>
      <c r="Q1801" s="10" t="str">
        <f t="shared" si="28"/>
        <v>Incomplete</v>
      </c>
    </row>
    <row r="1802" spans="1:17" hidden="1">
      <c r="A1802" s="12">
        <v>46108</v>
      </c>
      <c r="B1802" s="10">
        <v>16</v>
      </c>
      <c r="Q1802" s="10" t="str">
        <f t="shared" si="28"/>
        <v>Incomplete</v>
      </c>
    </row>
    <row r="1803" spans="1:17" hidden="1">
      <c r="A1803" s="12">
        <v>46108</v>
      </c>
      <c r="B1803" s="10">
        <v>17</v>
      </c>
      <c r="Q1803" s="10" t="str">
        <f t="shared" si="28"/>
        <v>Incomplete</v>
      </c>
    </row>
    <row r="1804" spans="1:17" hidden="1">
      <c r="A1804" s="12">
        <v>46108</v>
      </c>
      <c r="B1804" s="10">
        <v>18</v>
      </c>
      <c r="Q1804" s="10" t="str">
        <f t="shared" si="28"/>
        <v>Incomplete</v>
      </c>
    </row>
    <row r="1805" spans="1:17" hidden="1">
      <c r="A1805" s="12">
        <v>46108</v>
      </c>
      <c r="B1805" s="10">
        <v>19</v>
      </c>
      <c r="Q1805" s="10" t="str">
        <f t="shared" si="28"/>
        <v>Incomplete</v>
      </c>
    </row>
    <row r="1806" spans="1:17" hidden="1">
      <c r="A1806" s="12">
        <v>46108</v>
      </c>
      <c r="B1806" s="10">
        <v>20</v>
      </c>
      <c r="Q1806" s="10" t="str">
        <f t="shared" si="28"/>
        <v>Incomplete</v>
      </c>
    </row>
    <row r="1807" spans="1:17" hidden="1">
      <c r="A1807" s="12">
        <v>46108</v>
      </c>
      <c r="B1807" s="10">
        <v>21</v>
      </c>
      <c r="Q1807" s="10" t="str">
        <f t="shared" si="28"/>
        <v>Incomplete</v>
      </c>
    </row>
    <row r="1808" spans="1:17" hidden="1">
      <c r="A1808" s="12">
        <v>46109</v>
      </c>
      <c r="B1808" s="10">
        <v>1</v>
      </c>
      <c r="Q1808" s="10" t="str">
        <f t="shared" si="28"/>
        <v>Incomplete</v>
      </c>
    </row>
    <row r="1809" spans="1:17" hidden="1">
      <c r="A1809" s="12">
        <v>46109</v>
      </c>
      <c r="B1809" s="10">
        <v>2</v>
      </c>
      <c r="Q1809" s="10" t="str">
        <f t="shared" si="28"/>
        <v>Incomplete</v>
      </c>
    </row>
    <row r="1810" spans="1:17" hidden="1">
      <c r="A1810" s="12">
        <v>46109</v>
      </c>
      <c r="B1810" s="10">
        <v>3</v>
      </c>
      <c r="Q1810" s="10" t="str">
        <f t="shared" si="28"/>
        <v>Incomplete</v>
      </c>
    </row>
    <row r="1811" spans="1:17" hidden="1">
      <c r="A1811" s="12">
        <v>46109</v>
      </c>
      <c r="B1811" s="10">
        <v>4</v>
      </c>
      <c r="Q1811" s="10" t="str">
        <f t="shared" si="28"/>
        <v>Incomplete</v>
      </c>
    </row>
    <row r="1812" spans="1:17" hidden="1">
      <c r="A1812" s="12">
        <v>46109</v>
      </c>
      <c r="B1812" s="10">
        <v>5</v>
      </c>
      <c r="Q1812" s="10" t="str">
        <f t="shared" si="28"/>
        <v>Incomplete</v>
      </c>
    </row>
    <row r="1813" spans="1:17" hidden="1">
      <c r="A1813" s="12">
        <v>46109</v>
      </c>
      <c r="B1813" s="10">
        <v>6</v>
      </c>
      <c r="Q1813" s="10" t="str">
        <f t="shared" si="28"/>
        <v>Incomplete</v>
      </c>
    </row>
    <row r="1814" spans="1:17" hidden="1">
      <c r="A1814" s="12">
        <v>46109</v>
      </c>
      <c r="B1814" s="10">
        <v>7</v>
      </c>
      <c r="Q1814" s="10" t="str">
        <f t="shared" si="28"/>
        <v>Incomplete</v>
      </c>
    </row>
    <row r="1815" spans="1:17" hidden="1">
      <c r="A1815" s="12">
        <v>46109</v>
      </c>
      <c r="B1815" s="10">
        <v>8</v>
      </c>
      <c r="Q1815" s="10" t="str">
        <f t="shared" si="28"/>
        <v>Incomplete</v>
      </c>
    </row>
    <row r="1816" spans="1:17" hidden="1">
      <c r="A1816" s="12">
        <v>46109</v>
      </c>
      <c r="B1816" s="10">
        <v>9</v>
      </c>
      <c r="Q1816" s="10" t="str">
        <f t="shared" si="28"/>
        <v>Incomplete</v>
      </c>
    </row>
    <row r="1817" spans="1:17" hidden="1">
      <c r="A1817" s="12">
        <v>46109</v>
      </c>
      <c r="B1817" s="10">
        <v>10</v>
      </c>
      <c r="Q1817" s="10" t="str">
        <f t="shared" si="28"/>
        <v>Incomplete</v>
      </c>
    </row>
    <row r="1818" spans="1:17" hidden="1">
      <c r="A1818" s="12">
        <v>46109</v>
      </c>
      <c r="B1818" s="10">
        <v>11</v>
      </c>
      <c r="Q1818" s="10" t="str">
        <f t="shared" si="28"/>
        <v>Incomplete</v>
      </c>
    </row>
    <row r="1819" spans="1:17" hidden="1">
      <c r="A1819" s="12">
        <v>46109</v>
      </c>
      <c r="B1819" s="10">
        <v>12</v>
      </c>
      <c r="Q1819" s="10" t="str">
        <f t="shared" si="28"/>
        <v>Incomplete</v>
      </c>
    </row>
    <row r="1820" spans="1:17" hidden="1">
      <c r="A1820" s="12">
        <v>46109</v>
      </c>
      <c r="B1820" s="10">
        <v>13</v>
      </c>
      <c r="Q1820" s="10" t="str">
        <f t="shared" si="28"/>
        <v>Incomplete</v>
      </c>
    </row>
    <row r="1821" spans="1:17" hidden="1">
      <c r="A1821" s="12">
        <v>46109</v>
      </c>
      <c r="B1821" s="10">
        <v>14</v>
      </c>
      <c r="Q1821" s="10" t="str">
        <f t="shared" si="28"/>
        <v>Incomplete</v>
      </c>
    </row>
    <row r="1822" spans="1:17" hidden="1">
      <c r="A1822" s="12">
        <v>46109</v>
      </c>
      <c r="B1822" s="10">
        <v>15</v>
      </c>
      <c r="Q1822" s="10" t="str">
        <f t="shared" si="28"/>
        <v>Incomplete</v>
      </c>
    </row>
    <row r="1823" spans="1:17" hidden="1">
      <c r="A1823" s="12">
        <v>46109</v>
      </c>
      <c r="B1823" s="10">
        <v>16</v>
      </c>
      <c r="Q1823" s="10" t="str">
        <f t="shared" si="28"/>
        <v>Incomplete</v>
      </c>
    </row>
    <row r="1824" spans="1:17" hidden="1">
      <c r="A1824" s="12">
        <v>46109</v>
      </c>
      <c r="B1824" s="10">
        <v>17</v>
      </c>
      <c r="Q1824" s="10" t="str">
        <f t="shared" si="28"/>
        <v>Incomplete</v>
      </c>
    </row>
    <row r="1825" spans="1:17" hidden="1">
      <c r="A1825" s="12">
        <v>46109</v>
      </c>
      <c r="B1825" s="10">
        <v>18</v>
      </c>
      <c r="Q1825" s="10" t="str">
        <f t="shared" si="28"/>
        <v>Incomplete</v>
      </c>
    </row>
    <row r="1826" spans="1:17" hidden="1">
      <c r="A1826" s="12">
        <v>46109</v>
      </c>
      <c r="B1826" s="10">
        <v>19</v>
      </c>
      <c r="Q1826" s="10" t="str">
        <f t="shared" si="28"/>
        <v>Incomplete</v>
      </c>
    </row>
    <row r="1827" spans="1:17" hidden="1">
      <c r="A1827" s="12">
        <v>46109</v>
      </c>
      <c r="B1827" s="10">
        <v>20</v>
      </c>
      <c r="Q1827" s="10" t="str">
        <f t="shared" si="28"/>
        <v>Incomplete</v>
      </c>
    </row>
    <row r="1828" spans="1:17" hidden="1">
      <c r="A1828" s="12">
        <v>46109</v>
      </c>
      <c r="B1828" s="10">
        <v>21</v>
      </c>
      <c r="Q1828" s="10" t="str">
        <f t="shared" si="28"/>
        <v>Incomplete</v>
      </c>
    </row>
    <row r="1829" spans="1:17" hidden="1">
      <c r="A1829" s="12">
        <v>46110</v>
      </c>
      <c r="B1829" s="10">
        <v>1</v>
      </c>
      <c r="Q1829" s="10" t="str">
        <f t="shared" si="28"/>
        <v>Incomplete</v>
      </c>
    </row>
    <row r="1830" spans="1:17" hidden="1">
      <c r="A1830" s="12">
        <v>46110</v>
      </c>
      <c r="B1830" s="10">
        <v>2</v>
      </c>
      <c r="Q1830" s="10" t="str">
        <f t="shared" si="28"/>
        <v>Incomplete</v>
      </c>
    </row>
    <row r="1831" spans="1:17" hidden="1">
      <c r="A1831" s="12">
        <v>46110</v>
      </c>
      <c r="B1831" s="10">
        <v>3</v>
      </c>
      <c r="Q1831" s="10" t="str">
        <f t="shared" si="28"/>
        <v>Incomplete</v>
      </c>
    </row>
    <row r="1832" spans="1:17" hidden="1">
      <c r="A1832" s="12">
        <v>46110</v>
      </c>
      <c r="B1832" s="10">
        <v>4</v>
      </c>
      <c r="Q1832" s="10" t="str">
        <f t="shared" si="28"/>
        <v>Incomplete</v>
      </c>
    </row>
    <row r="1833" spans="1:17" hidden="1">
      <c r="A1833" s="12">
        <v>46110</v>
      </c>
      <c r="B1833" s="10">
        <v>5</v>
      </c>
      <c r="Q1833" s="10" t="str">
        <f t="shared" si="28"/>
        <v>Incomplete</v>
      </c>
    </row>
    <row r="1834" spans="1:17" hidden="1">
      <c r="A1834" s="12">
        <v>46110</v>
      </c>
      <c r="B1834" s="10">
        <v>6</v>
      </c>
      <c r="Q1834" s="10" t="str">
        <f t="shared" si="28"/>
        <v>Incomplete</v>
      </c>
    </row>
    <row r="1835" spans="1:17" hidden="1">
      <c r="A1835" s="12">
        <v>46110</v>
      </c>
      <c r="B1835" s="10">
        <v>7</v>
      </c>
      <c r="Q1835" s="10" t="str">
        <f t="shared" si="28"/>
        <v>Incomplete</v>
      </c>
    </row>
    <row r="1836" spans="1:17" hidden="1">
      <c r="A1836" s="12">
        <v>46110</v>
      </c>
      <c r="B1836" s="10">
        <v>8</v>
      </c>
      <c r="Q1836" s="10" t="str">
        <f t="shared" si="28"/>
        <v>Incomplete</v>
      </c>
    </row>
    <row r="1837" spans="1:17" hidden="1">
      <c r="A1837" s="12">
        <v>46110</v>
      </c>
      <c r="B1837" s="10">
        <v>9</v>
      </c>
      <c r="Q1837" s="10" t="str">
        <f t="shared" si="28"/>
        <v>Incomplete</v>
      </c>
    </row>
    <row r="1838" spans="1:17" hidden="1">
      <c r="A1838" s="12">
        <v>46110</v>
      </c>
      <c r="B1838" s="10">
        <v>10</v>
      </c>
      <c r="Q1838" s="10" t="str">
        <f t="shared" si="28"/>
        <v>Incomplete</v>
      </c>
    </row>
    <row r="1839" spans="1:17" hidden="1">
      <c r="A1839" s="12">
        <v>46110</v>
      </c>
      <c r="B1839" s="10">
        <v>11</v>
      </c>
      <c r="Q1839" s="10" t="str">
        <f t="shared" si="28"/>
        <v>Incomplete</v>
      </c>
    </row>
    <row r="1840" spans="1:17" hidden="1">
      <c r="A1840" s="12">
        <v>46110</v>
      </c>
      <c r="B1840" s="10">
        <v>12</v>
      </c>
      <c r="Q1840" s="10" t="str">
        <f t="shared" si="28"/>
        <v>Incomplete</v>
      </c>
    </row>
    <row r="1841" spans="1:17" hidden="1">
      <c r="A1841" s="12">
        <v>46110</v>
      </c>
      <c r="B1841" s="10">
        <v>13</v>
      </c>
      <c r="Q1841" s="10" t="str">
        <f t="shared" si="28"/>
        <v>Incomplete</v>
      </c>
    </row>
    <row r="1842" spans="1:17" hidden="1">
      <c r="A1842" s="12">
        <v>46110</v>
      </c>
      <c r="B1842" s="10">
        <v>14</v>
      </c>
      <c r="Q1842" s="10" t="str">
        <f t="shared" si="28"/>
        <v>Incomplete</v>
      </c>
    </row>
    <row r="1843" spans="1:17" hidden="1">
      <c r="A1843" s="12">
        <v>46110</v>
      </c>
      <c r="B1843" s="10">
        <v>15</v>
      </c>
      <c r="Q1843" s="10" t="str">
        <f t="shared" si="28"/>
        <v>Incomplete</v>
      </c>
    </row>
    <row r="1844" spans="1:17" hidden="1">
      <c r="A1844" s="12">
        <v>46110</v>
      </c>
      <c r="B1844" s="10">
        <v>16</v>
      </c>
      <c r="Q1844" s="10" t="str">
        <f t="shared" si="28"/>
        <v>Incomplete</v>
      </c>
    </row>
    <row r="1845" spans="1:17" hidden="1">
      <c r="A1845" s="12">
        <v>46110</v>
      </c>
      <c r="B1845" s="10">
        <v>17</v>
      </c>
      <c r="Q1845" s="10" t="str">
        <f t="shared" si="28"/>
        <v>Incomplete</v>
      </c>
    </row>
    <row r="1846" spans="1:17" hidden="1">
      <c r="A1846" s="12">
        <v>46110</v>
      </c>
      <c r="B1846" s="10">
        <v>18</v>
      </c>
      <c r="Q1846" s="10" t="str">
        <f t="shared" si="28"/>
        <v>Incomplete</v>
      </c>
    </row>
    <row r="1847" spans="1:17" hidden="1">
      <c r="A1847" s="12">
        <v>46110</v>
      </c>
      <c r="B1847" s="10">
        <v>19</v>
      </c>
      <c r="Q1847" s="10" t="str">
        <f t="shared" si="28"/>
        <v>Incomplete</v>
      </c>
    </row>
    <row r="1848" spans="1:17" hidden="1">
      <c r="A1848" s="12">
        <v>46110</v>
      </c>
      <c r="B1848" s="10">
        <v>20</v>
      </c>
      <c r="Q1848" s="10" t="str">
        <f t="shared" si="28"/>
        <v>Incomplete</v>
      </c>
    </row>
    <row r="1849" spans="1:17" hidden="1">
      <c r="A1849" s="12">
        <v>46110</v>
      </c>
      <c r="B1849" s="10">
        <v>21</v>
      </c>
      <c r="Q1849" s="10" t="str">
        <f t="shared" si="28"/>
        <v>Incomplete</v>
      </c>
    </row>
    <row r="1850" spans="1:17" hidden="1">
      <c r="A1850" s="12">
        <v>46111</v>
      </c>
      <c r="B1850" s="10">
        <v>1</v>
      </c>
      <c r="Q1850" s="10" t="str">
        <f t="shared" si="28"/>
        <v>Incomplete</v>
      </c>
    </row>
    <row r="1851" spans="1:17" hidden="1">
      <c r="A1851" s="12">
        <v>46111</v>
      </c>
      <c r="B1851" s="10">
        <v>2</v>
      </c>
      <c r="Q1851" s="10" t="str">
        <f t="shared" si="28"/>
        <v>Incomplete</v>
      </c>
    </row>
    <row r="1852" spans="1:17" hidden="1">
      <c r="A1852" s="12">
        <v>46111</v>
      </c>
      <c r="B1852" s="10">
        <v>3</v>
      </c>
      <c r="Q1852" s="10" t="str">
        <f t="shared" si="28"/>
        <v>Incomplete</v>
      </c>
    </row>
    <row r="1853" spans="1:17" hidden="1">
      <c r="A1853" s="12">
        <v>46111</v>
      </c>
      <c r="B1853" s="10">
        <v>4</v>
      </c>
      <c r="Q1853" s="10" t="str">
        <f t="shared" si="28"/>
        <v>Incomplete</v>
      </c>
    </row>
    <row r="1854" spans="1:17" hidden="1">
      <c r="A1854" s="12">
        <v>46111</v>
      </c>
      <c r="B1854" s="10">
        <v>5</v>
      </c>
      <c r="Q1854" s="10" t="str">
        <f t="shared" si="28"/>
        <v>Incomplete</v>
      </c>
    </row>
    <row r="1855" spans="1:17" hidden="1">
      <c r="A1855" s="12">
        <v>46111</v>
      </c>
      <c r="B1855" s="10">
        <v>6</v>
      </c>
      <c r="Q1855" s="10" t="str">
        <f t="shared" si="28"/>
        <v>Incomplete</v>
      </c>
    </row>
    <row r="1856" spans="1:17" hidden="1">
      <c r="A1856" s="12">
        <v>46111</v>
      </c>
      <c r="B1856" s="10">
        <v>7</v>
      </c>
      <c r="Q1856" s="10" t="str">
        <f t="shared" si="28"/>
        <v>Incomplete</v>
      </c>
    </row>
    <row r="1857" spans="1:17" hidden="1">
      <c r="A1857" s="12">
        <v>46111</v>
      </c>
      <c r="B1857" s="10">
        <v>8</v>
      </c>
      <c r="Q1857" s="10" t="str">
        <f t="shared" si="28"/>
        <v>Incomplete</v>
      </c>
    </row>
    <row r="1858" spans="1:17" hidden="1">
      <c r="A1858" s="12">
        <v>46111</v>
      </c>
      <c r="B1858" s="10">
        <v>9</v>
      </c>
      <c r="Q1858" s="10" t="str">
        <f t="shared" ref="Q1858:Q1921" si="29">IF(AND(C1858&lt;&gt;"",J1858&lt;&gt;"",K1858&lt;&gt;"",L1858&lt;&gt;"",O1858="Yes"),"Complete","Incomplete")</f>
        <v>Incomplete</v>
      </c>
    </row>
    <row r="1859" spans="1:17" hidden="1">
      <c r="A1859" s="12">
        <v>46111</v>
      </c>
      <c r="B1859" s="10">
        <v>10</v>
      </c>
      <c r="Q1859" s="10" t="str">
        <f t="shared" si="29"/>
        <v>Incomplete</v>
      </c>
    </row>
    <row r="1860" spans="1:17" hidden="1">
      <c r="A1860" s="12">
        <v>46111</v>
      </c>
      <c r="B1860" s="10">
        <v>11</v>
      </c>
      <c r="Q1860" s="10" t="str">
        <f t="shared" si="29"/>
        <v>Incomplete</v>
      </c>
    </row>
    <row r="1861" spans="1:17" hidden="1">
      <c r="A1861" s="12">
        <v>46111</v>
      </c>
      <c r="B1861" s="10">
        <v>12</v>
      </c>
      <c r="Q1861" s="10" t="str">
        <f t="shared" si="29"/>
        <v>Incomplete</v>
      </c>
    </row>
    <row r="1862" spans="1:17" hidden="1">
      <c r="A1862" s="12">
        <v>46111</v>
      </c>
      <c r="B1862" s="10">
        <v>13</v>
      </c>
      <c r="Q1862" s="10" t="str">
        <f t="shared" si="29"/>
        <v>Incomplete</v>
      </c>
    </row>
    <row r="1863" spans="1:17" hidden="1">
      <c r="A1863" s="12">
        <v>46111</v>
      </c>
      <c r="B1863" s="10">
        <v>14</v>
      </c>
      <c r="Q1863" s="10" t="str">
        <f t="shared" si="29"/>
        <v>Incomplete</v>
      </c>
    </row>
    <row r="1864" spans="1:17" hidden="1">
      <c r="A1864" s="12">
        <v>46111</v>
      </c>
      <c r="B1864" s="10">
        <v>15</v>
      </c>
      <c r="Q1864" s="10" t="str">
        <f t="shared" si="29"/>
        <v>Incomplete</v>
      </c>
    </row>
    <row r="1865" spans="1:17" hidden="1">
      <c r="A1865" s="12">
        <v>46111</v>
      </c>
      <c r="B1865" s="10">
        <v>16</v>
      </c>
      <c r="Q1865" s="10" t="str">
        <f t="shared" si="29"/>
        <v>Incomplete</v>
      </c>
    </row>
    <row r="1866" spans="1:17" hidden="1">
      <c r="A1866" s="12">
        <v>46111</v>
      </c>
      <c r="B1866" s="10">
        <v>17</v>
      </c>
      <c r="Q1866" s="10" t="str">
        <f t="shared" si="29"/>
        <v>Incomplete</v>
      </c>
    </row>
    <row r="1867" spans="1:17" hidden="1">
      <c r="A1867" s="12">
        <v>46111</v>
      </c>
      <c r="B1867" s="10">
        <v>18</v>
      </c>
      <c r="Q1867" s="10" t="str">
        <f t="shared" si="29"/>
        <v>Incomplete</v>
      </c>
    </row>
    <row r="1868" spans="1:17" hidden="1">
      <c r="A1868" s="12">
        <v>46111</v>
      </c>
      <c r="B1868" s="10">
        <v>19</v>
      </c>
      <c r="Q1868" s="10" t="str">
        <f t="shared" si="29"/>
        <v>Incomplete</v>
      </c>
    </row>
    <row r="1869" spans="1:17" hidden="1">
      <c r="A1869" s="12">
        <v>46111</v>
      </c>
      <c r="B1869" s="10">
        <v>20</v>
      </c>
      <c r="Q1869" s="10" t="str">
        <f t="shared" si="29"/>
        <v>Incomplete</v>
      </c>
    </row>
    <row r="1870" spans="1:17" hidden="1">
      <c r="A1870" s="12">
        <v>46111</v>
      </c>
      <c r="B1870" s="10">
        <v>21</v>
      </c>
      <c r="Q1870" s="10" t="str">
        <f t="shared" si="29"/>
        <v>Incomplete</v>
      </c>
    </row>
    <row r="1871" spans="1:17" hidden="1">
      <c r="A1871" s="12">
        <v>46112</v>
      </c>
      <c r="B1871" s="10">
        <v>1</v>
      </c>
      <c r="Q1871" s="10" t="str">
        <f t="shared" si="29"/>
        <v>Incomplete</v>
      </c>
    </row>
    <row r="1872" spans="1:17" hidden="1">
      <c r="A1872" s="12">
        <v>46112</v>
      </c>
      <c r="B1872" s="10">
        <v>2</v>
      </c>
      <c r="Q1872" s="10" t="str">
        <f t="shared" si="29"/>
        <v>Incomplete</v>
      </c>
    </row>
    <row r="1873" spans="1:17" hidden="1">
      <c r="A1873" s="12">
        <v>46112</v>
      </c>
      <c r="B1873" s="10">
        <v>3</v>
      </c>
      <c r="Q1873" s="10" t="str">
        <f t="shared" si="29"/>
        <v>Incomplete</v>
      </c>
    </row>
    <row r="1874" spans="1:17" hidden="1">
      <c r="A1874" s="12">
        <v>46112</v>
      </c>
      <c r="B1874" s="10">
        <v>4</v>
      </c>
      <c r="Q1874" s="10" t="str">
        <f t="shared" si="29"/>
        <v>Incomplete</v>
      </c>
    </row>
    <row r="1875" spans="1:17" hidden="1">
      <c r="A1875" s="12">
        <v>46112</v>
      </c>
      <c r="B1875" s="10">
        <v>5</v>
      </c>
      <c r="Q1875" s="10" t="str">
        <f t="shared" si="29"/>
        <v>Incomplete</v>
      </c>
    </row>
    <row r="1876" spans="1:17" hidden="1">
      <c r="A1876" s="12">
        <v>46112</v>
      </c>
      <c r="B1876" s="10">
        <v>6</v>
      </c>
      <c r="Q1876" s="10" t="str">
        <f t="shared" si="29"/>
        <v>Incomplete</v>
      </c>
    </row>
    <row r="1877" spans="1:17" hidden="1">
      <c r="A1877" s="12">
        <v>46112</v>
      </c>
      <c r="B1877" s="10">
        <v>7</v>
      </c>
      <c r="Q1877" s="10" t="str">
        <f t="shared" si="29"/>
        <v>Incomplete</v>
      </c>
    </row>
    <row r="1878" spans="1:17" hidden="1">
      <c r="A1878" s="12">
        <v>46112</v>
      </c>
      <c r="B1878" s="10">
        <v>8</v>
      </c>
      <c r="Q1878" s="10" t="str">
        <f t="shared" si="29"/>
        <v>Incomplete</v>
      </c>
    </row>
    <row r="1879" spans="1:17" hidden="1">
      <c r="A1879" s="12">
        <v>46112</v>
      </c>
      <c r="B1879" s="10">
        <v>9</v>
      </c>
      <c r="Q1879" s="10" t="str">
        <f t="shared" si="29"/>
        <v>Incomplete</v>
      </c>
    </row>
    <row r="1880" spans="1:17" hidden="1">
      <c r="A1880" s="12">
        <v>46112</v>
      </c>
      <c r="B1880" s="10">
        <v>10</v>
      </c>
      <c r="Q1880" s="10" t="str">
        <f t="shared" si="29"/>
        <v>Incomplete</v>
      </c>
    </row>
    <row r="1881" spans="1:17" hidden="1">
      <c r="A1881" s="12">
        <v>46112</v>
      </c>
      <c r="B1881" s="10">
        <v>11</v>
      </c>
      <c r="Q1881" s="10" t="str">
        <f t="shared" si="29"/>
        <v>Incomplete</v>
      </c>
    </row>
    <row r="1882" spans="1:17" hidden="1">
      <c r="A1882" s="12">
        <v>46112</v>
      </c>
      <c r="B1882" s="10">
        <v>12</v>
      </c>
      <c r="Q1882" s="10" t="str">
        <f t="shared" si="29"/>
        <v>Incomplete</v>
      </c>
    </row>
    <row r="1883" spans="1:17" hidden="1">
      <c r="A1883" s="12">
        <v>46112</v>
      </c>
      <c r="B1883" s="10">
        <v>13</v>
      </c>
      <c r="Q1883" s="10" t="str">
        <f t="shared" si="29"/>
        <v>Incomplete</v>
      </c>
    </row>
    <row r="1884" spans="1:17" hidden="1">
      <c r="A1884" s="12">
        <v>46112</v>
      </c>
      <c r="B1884" s="10">
        <v>14</v>
      </c>
      <c r="Q1884" s="10" t="str">
        <f t="shared" si="29"/>
        <v>Incomplete</v>
      </c>
    </row>
    <row r="1885" spans="1:17" hidden="1">
      <c r="A1885" s="12">
        <v>46112</v>
      </c>
      <c r="B1885" s="10">
        <v>15</v>
      </c>
      <c r="Q1885" s="10" t="str">
        <f t="shared" si="29"/>
        <v>Incomplete</v>
      </c>
    </row>
    <row r="1886" spans="1:17" hidden="1">
      <c r="A1886" s="12">
        <v>46112</v>
      </c>
      <c r="B1886" s="10">
        <v>16</v>
      </c>
      <c r="Q1886" s="10" t="str">
        <f t="shared" si="29"/>
        <v>Incomplete</v>
      </c>
    </row>
    <row r="1887" spans="1:17" hidden="1">
      <c r="A1887" s="12">
        <v>46112</v>
      </c>
      <c r="B1887" s="10">
        <v>17</v>
      </c>
      <c r="Q1887" s="10" t="str">
        <f t="shared" si="29"/>
        <v>Incomplete</v>
      </c>
    </row>
    <row r="1888" spans="1:17" hidden="1">
      <c r="A1888" s="12">
        <v>46112</v>
      </c>
      <c r="B1888" s="10">
        <v>18</v>
      </c>
      <c r="Q1888" s="10" t="str">
        <f t="shared" si="29"/>
        <v>Incomplete</v>
      </c>
    </row>
    <row r="1889" spans="1:17" hidden="1">
      <c r="A1889" s="12">
        <v>46112</v>
      </c>
      <c r="B1889" s="10">
        <v>19</v>
      </c>
      <c r="Q1889" s="10" t="str">
        <f t="shared" si="29"/>
        <v>Incomplete</v>
      </c>
    </row>
    <row r="1890" spans="1:17" hidden="1">
      <c r="A1890" s="12">
        <v>46112</v>
      </c>
      <c r="B1890" s="10">
        <v>20</v>
      </c>
      <c r="Q1890" s="10" t="str">
        <f t="shared" si="29"/>
        <v>Incomplete</v>
      </c>
    </row>
    <row r="1891" spans="1:17" hidden="1">
      <c r="A1891" s="12">
        <v>46112</v>
      </c>
      <c r="B1891" s="10">
        <v>21</v>
      </c>
      <c r="Q1891" s="10" t="str">
        <f t="shared" si="29"/>
        <v>Incomplete</v>
      </c>
    </row>
    <row r="1892" spans="1:17" hidden="1">
      <c r="A1892" s="12">
        <v>46113</v>
      </c>
      <c r="B1892" s="10">
        <v>1</v>
      </c>
      <c r="Q1892" s="10" t="str">
        <f t="shared" si="29"/>
        <v>Incomplete</v>
      </c>
    </row>
    <row r="1893" spans="1:17" hidden="1">
      <c r="A1893" s="12">
        <v>46113</v>
      </c>
      <c r="B1893" s="10">
        <v>2</v>
      </c>
      <c r="Q1893" s="10" t="str">
        <f t="shared" si="29"/>
        <v>Incomplete</v>
      </c>
    </row>
    <row r="1894" spans="1:17" hidden="1">
      <c r="A1894" s="12">
        <v>46113</v>
      </c>
      <c r="B1894" s="10">
        <v>3</v>
      </c>
      <c r="Q1894" s="10" t="str">
        <f t="shared" si="29"/>
        <v>Incomplete</v>
      </c>
    </row>
    <row r="1895" spans="1:17" hidden="1">
      <c r="A1895" s="12">
        <v>46113</v>
      </c>
      <c r="B1895" s="10">
        <v>4</v>
      </c>
      <c r="Q1895" s="10" t="str">
        <f t="shared" si="29"/>
        <v>Incomplete</v>
      </c>
    </row>
    <row r="1896" spans="1:17" hidden="1">
      <c r="A1896" s="12">
        <v>46113</v>
      </c>
      <c r="B1896" s="10">
        <v>5</v>
      </c>
      <c r="Q1896" s="10" t="str">
        <f t="shared" si="29"/>
        <v>Incomplete</v>
      </c>
    </row>
    <row r="1897" spans="1:17" hidden="1">
      <c r="A1897" s="12">
        <v>46113</v>
      </c>
      <c r="B1897" s="10">
        <v>6</v>
      </c>
      <c r="Q1897" s="10" t="str">
        <f t="shared" si="29"/>
        <v>Incomplete</v>
      </c>
    </row>
    <row r="1898" spans="1:17" hidden="1">
      <c r="A1898" s="12">
        <v>46113</v>
      </c>
      <c r="B1898" s="10">
        <v>7</v>
      </c>
      <c r="Q1898" s="10" t="str">
        <f t="shared" si="29"/>
        <v>Incomplete</v>
      </c>
    </row>
    <row r="1899" spans="1:17" hidden="1">
      <c r="A1899" s="12">
        <v>46113</v>
      </c>
      <c r="B1899" s="10">
        <v>8</v>
      </c>
      <c r="Q1899" s="10" t="str">
        <f t="shared" si="29"/>
        <v>Incomplete</v>
      </c>
    </row>
    <row r="1900" spans="1:17" hidden="1">
      <c r="A1900" s="12">
        <v>46113</v>
      </c>
      <c r="B1900" s="10">
        <v>9</v>
      </c>
      <c r="Q1900" s="10" t="str">
        <f t="shared" si="29"/>
        <v>Incomplete</v>
      </c>
    </row>
    <row r="1901" spans="1:17" hidden="1">
      <c r="A1901" s="12">
        <v>46113</v>
      </c>
      <c r="B1901" s="10">
        <v>10</v>
      </c>
      <c r="Q1901" s="10" t="str">
        <f t="shared" si="29"/>
        <v>Incomplete</v>
      </c>
    </row>
    <row r="1902" spans="1:17" hidden="1">
      <c r="A1902" s="12">
        <v>46113</v>
      </c>
      <c r="B1902" s="10">
        <v>11</v>
      </c>
      <c r="Q1902" s="10" t="str">
        <f t="shared" si="29"/>
        <v>Incomplete</v>
      </c>
    </row>
    <row r="1903" spans="1:17" hidden="1">
      <c r="A1903" s="12">
        <v>46113</v>
      </c>
      <c r="B1903" s="10">
        <v>12</v>
      </c>
      <c r="Q1903" s="10" t="str">
        <f t="shared" si="29"/>
        <v>Incomplete</v>
      </c>
    </row>
    <row r="1904" spans="1:17" hidden="1">
      <c r="A1904" s="12">
        <v>46113</v>
      </c>
      <c r="B1904" s="10">
        <v>13</v>
      </c>
      <c r="Q1904" s="10" t="str">
        <f t="shared" si="29"/>
        <v>Incomplete</v>
      </c>
    </row>
    <row r="1905" spans="1:17" hidden="1">
      <c r="A1905" s="12">
        <v>46113</v>
      </c>
      <c r="B1905" s="10">
        <v>14</v>
      </c>
      <c r="Q1905" s="10" t="str">
        <f t="shared" si="29"/>
        <v>Incomplete</v>
      </c>
    </row>
    <row r="1906" spans="1:17" hidden="1">
      <c r="A1906" s="12">
        <v>46113</v>
      </c>
      <c r="B1906" s="10">
        <v>15</v>
      </c>
      <c r="Q1906" s="10" t="str">
        <f t="shared" si="29"/>
        <v>Incomplete</v>
      </c>
    </row>
    <row r="1907" spans="1:17" hidden="1">
      <c r="A1907" s="12">
        <v>46113</v>
      </c>
      <c r="B1907" s="10">
        <v>16</v>
      </c>
      <c r="Q1907" s="10" t="str">
        <f t="shared" si="29"/>
        <v>Incomplete</v>
      </c>
    </row>
    <row r="1908" spans="1:17" hidden="1">
      <c r="A1908" s="12">
        <v>46113</v>
      </c>
      <c r="B1908" s="10">
        <v>17</v>
      </c>
      <c r="Q1908" s="10" t="str">
        <f t="shared" si="29"/>
        <v>Incomplete</v>
      </c>
    </row>
    <row r="1909" spans="1:17" hidden="1">
      <c r="A1909" s="12">
        <v>46113</v>
      </c>
      <c r="B1909" s="10">
        <v>18</v>
      </c>
      <c r="Q1909" s="10" t="str">
        <f t="shared" si="29"/>
        <v>Incomplete</v>
      </c>
    </row>
    <row r="1910" spans="1:17" hidden="1">
      <c r="A1910" s="12">
        <v>46113</v>
      </c>
      <c r="B1910" s="10">
        <v>19</v>
      </c>
      <c r="Q1910" s="10" t="str">
        <f t="shared" si="29"/>
        <v>Incomplete</v>
      </c>
    </row>
    <row r="1911" spans="1:17" hidden="1">
      <c r="A1911" s="12">
        <v>46113</v>
      </c>
      <c r="B1911" s="10">
        <v>20</v>
      </c>
      <c r="Q1911" s="10" t="str">
        <f t="shared" si="29"/>
        <v>Incomplete</v>
      </c>
    </row>
    <row r="1912" spans="1:17" hidden="1">
      <c r="A1912" s="12">
        <v>46113</v>
      </c>
      <c r="B1912" s="10">
        <v>21</v>
      </c>
      <c r="Q1912" s="10" t="str">
        <f t="shared" si="29"/>
        <v>Incomplete</v>
      </c>
    </row>
    <row r="1913" spans="1:17" hidden="1">
      <c r="A1913" s="12">
        <v>46114</v>
      </c>
      <c r="B1913" s="10">
        <v>1</v>
      </c>
      <c r="Q1913" s="10" t="str">
        <f t="shared" si="29"/>
        <v>Incomplete</v>
      </c>
    </row>
    <row r="1914" spans="1:17" hidden="1">
      <c r="A1914" s="12">
        <v>46114</v>
      </c>
      <c r="B1914" s="10">
        <v>2</v>
      </c>
      <c r="Q1914" s="10" t="str">
        <f t="shared" si="29"/>
        <v>Incomplete</v>
      </c>
    </row>
    <row r="1915" spans="1:17" hidden="1">
      <c r="A1915" s="12">
        <v>46114</v>
      </c>
      <c r="B1915" s="10">
        <v>3</v>
      </c>
      <c r="Q1915" s="10" t="str">
        <f t="shared" si="29"/>
        <v>Incomplete</v>
      </c>
    </row>
    <row r="1916" spans="1:17" hidden="1">
      <c r="A1916" s="12">
        <v>46114</v>
      </c>
      <c r="B1916" s="10">
        <v>4</v>
      </c>
      <c r="Q1916" s="10" t="str">
        <f t="shared" si="29"/>
        <v>Incomplete</v>
      </c>
    </row>
    <row r="1917" spans="1:17" hidden="1">
      <c r="A1917" s="12">
        <v>46114</v>
      </c>
      <c r="B1917" s="10">
        <v>5</v>
      </c>
      <c r="Q1917" s="10" t="str">
        <f t="shared" si="29"/>
        <v>Incomplete</v>
      </c>
    </row>
    <row r="1918" spans="1:17" hidden="1">
      <c r="A1918" s="12">
        <v>46114</v>
      </c>
      <c r="B1918" s="10">
        <v>6</v>
      </c>
      <c r="Q1918" s="10" t="str">
        <f t="shared" si="29"/>
        <v>Incomplete</v>
      </c>
    </row>
    <row r="1919" spans="1:17" hidden="1">
      <c r="A1919" s="12">
        <v>46114</v>
      </c>
      <c r="B1919" s="10">
        <v>7</v>
      </c>
      <c r="Q1919" s="10" t="str">
        <f t="shared" si="29"/>
        <v>Incomplete</v>
      </c>
    </row>
    <row r="1920" spans="1:17" hidden="1">
      <c r="A1920" s="12">
        <v>46114</v>
      </c>
      <c r="B1920" s="10">
        <v>8</v>
      </c>
      <c r="Q1920" s="10" t="str">
        <f t="shared" si="29"/>
        <v>Incomplete</v>
      </c>
    </row>
    <row r="1921" spans="1:17" hidden="1">
      <c r="A1921" s="12">
        <v>46114</v>
      </c>
      <c r="B1921" s="10">
        <v>9</v>
      </c>
      <c r="Q1921" s="10" t="str">
        <f t="shared" si="29"/>
        <v>Incomplete</v>
      </c>
    </row>
    <row r="1922" spans="1:17" hidden="1">
      <c r="A1922" s="12">
        <v>46114</v>
      </c>
      <c r="B1922" s="10">
        <v>10</v>
      </c>
      <c r="Q1922" s="10" t="str">
        <f t="shared" ref="Q1922:Q1985" si="30">IF(AND(C1922&lt;&gt;"",J1922&lt;&gt;"",K1922&lt;&gt;"",L1922&lt;&gt;"",O1922="Yes"),"Complete","Incomplete")</f>
        <v>Incomplete</v>
      </c>
    </row>
    <row r="1923" spans="1:17" hidden="1">
      <c r="A1923" s="12">
        <v>46114</v>
      </c>
      <c r="B1923" s="10">
        <v>11</v>
      </c>
      <c r="Q1923" s="10" t="str">
        <f t="shared" si="30"/>
        <v>Incomplete</v>
      </c>
    </row>
    <row r="1924" spans="1:17" hidden="1">
      <c r="A1924" s="12">
        <v>46114</v>
      </c>
      <c r="B1924" s="10">
        <v>12</v>
      </c>
      <c r="Q1924" s="10" t="str">
        <f t="shared" si="30"/>
        <v>Incomplete</v>
      </c>
    </row>
    <row r="1925" spans="1:17" hidden="1">
      <c r="A1925" s="12">
        <v>46114</v>
      </c>
      <c r="B1925" s="10">
        <v>13</v>
      </c>
      <c r="Q1925" s="10" t="str">
        <f t="shared" si="30"/>
        <v>Incomplete</v>
      </c>
    </row>
    <row r="1926" spans="1:17" hidden="1">
      <c r="A1926" s="12">
        <v>46114</v>
      </c>
      <c r="B1926" s="10">
        <v>14</v>
      </c>
      <c r="Q1926" s="10" t="str">
        <f t="shared" si="30"/>
        <v>Incomplete</v>
      </c>
    </row>
    <row r="1927" spans="1:17" hidden="1">
      <c r="A1927" s="12">
        <v>46114</v>
      </c>
      <c r="B1927" s="10">
        <v>15</v>
      </c>
      <c r="Q1927" s="10" t="str">
        <f t="shared" si="30"/>
        <v>Incomplete</v>
      </c>
    </row>
    <row r="1928" spans="1:17" hidden="1">
      <c r="A1928" s="12">
        <v>46114</v>
      </c>
      <c r="B1928" s="10">
        <v>16</v>
      </c>
      <c r="Q1928" s="10" t="str">
        <f t="shared" si="30"/>
        <v>Incomplete</v>
      </c>
    </row>
    <row r="1929" spans="1:17" hidden="1">
      <c r="A1929" s="12">
        <v>46114</v>
      </c>
      <c r="B1929" s="10">
        <v>17</v>
      </c>
      <c r="Q1929" s="10" t="str">
        <f t="shared" si="30"/>
        <v>Incomplete</v>
      </c>
    </row>
    <row r="1930" spans="1:17" hidden="1">
      <c r="A1930" s="12">
        <v>46114</v>
      </c>
      <c r="B1930" s="10">
        <v>18</v>
      </c>
      <c r="Q1930" s="10" t="str">
        <f t="shared" si="30"/>
        <v>Incomplete</v>
      </c>
    </row>
    <row r="1931" spans="1:17" hidden="1">
      <c r="A1931" s="12">
        <v>46114</v>
      </c>
      <c r="B1931" s="10">
        <v>19</v>
      </c>
      <c r="Q1931" s="10" t="str">
        <f t="shared" si="30"/>
        <v>Incomplete</v>
      </c>
    </row>
    <row r="1932" spans="1:17" hidden="1">
      <c r="A1932" s="12">
        <v>46114</v>
      </c>
      <c r="B1932" s="10">
        <v>20</v>
      </c>
      <c r="Q1932" s="10" t="str">
        <f t="shared" si="30"/>
        <v>Incomplete</v>
      </c>
    </row>
    <row r="1933" spans="1:17" hidden="1">
      <c r="A1933" s="12">
        <v>46114</v>
      </c>
      <c r="B1933" s="10">
        <v>21</v>
      </c>
      <c r="Q1933" s="10" t="str">
        <f t="shared" si="30"/>
        <v>Incomplete</v>
      </c>
    </row>
    <row r="1934" spans="1:17" hidden="1">
      <c r="A1934" s="12">
        <v>46115</v>
      </c>
      <c r="B1934" s="10">
        <v>1</v>
      </c>
      <c r="Q1934" s="10" t="str">
        <f t="shared" si="30"/>
        <v>Incomplete</v>
      </c>
    </row>
    <row r="1935" spans="1:17" hidden="1">
      <c r="A1935" s="12">
        <v>46115</v>
      </c>
      <c r="B1935" s="10">
        <v>2</v>
      </c>
      <c r="Q1935" s="10" t="str">
        <f t="shared" si="30"/>
        <v>Incomplete</v>
      </c>
    </row>
    <row r="1936" spans="1:17" hidden="1">
      <c r="A1936" s="12">
        <v>46115</v>
      </c>
      <c r="B1936" s="10">
        <v>3</v>
      </c>
      <c r="Q1936" s="10" t="str">
        <f t="shared" si="30"/>
        <v>Incomplete</v>
      </c>
    </row>
    <row r="1937" spans="1:17" hidden="1">
      <c r="A1937" s="12">
        <v>46115</v>
      </c>
      <c r="B1937" s="10">
        <v>4</v>
      </c>
      <c r="Q1937" s="10" t="str">
        <f t="shared" si="30"/>
        <v>Incomplete</v>
      </c>
    </row>
    <row r="1938" spans="1:17" hidden="1">
      <c r="A1938" s="12">
        <v>46115</v>
      </c>
      <c r="B1938" s="10">
        <v>5</v>
      </c>
      <c r="Q1938" s="10" t="str">
        <f t="shared" si="30"/>
        <v>Incomplete</v>
      </c>
    </row>
    <row r="1939" spans="1:17" hidden="1">
      <c r="A1939" s="12">
        <v>46115</v>
      </c>
      <c r="B1939" s="10">
        <v>6</v>
      </c>
      <c r="Q1939" s="10" t="str">
        <f t="shared" si="30"/>
        <v>Incomplete</v>
      </c>
    </row>
    <row r="1940" spans="1:17" hidden="1">
      <c r="A1940" s="12">
        <v>46115</v>
      </c>
      <c r="B1940" s="10">
        <v>7</v>
      </c>
      <c r="Q1940" s="10" t="str">
        <f t="shared" si="30"/>
        <v>Incomplete</v>
      </c>
    </row>
    <row r="1941" spans="1:17" hidden="1">
      <c r="A1941" s="12">
        <v>46115</v>
      </c>
      <c r="B1941" s="10">
        <v>8</v>
      </c>
      <c r="Q1941" s="10" t="str">
        <f t="shared" si="30"/>
        <v>Incomplete</v>
      </c>
    </row>
    <row r="1942" spans="1:17" hidden="1">
      <c r="A1942" s="12">
        <v>46115</v>
      </c>
      <c r="B1942" s="10">
        <v>9</v>
      </c>
      <c r="Q1942" s="10" t="str">
        <f t="shared" si="30"/>
        <v>Incomplete</v>
      </c>
    </row>
    <row r="1943" spans="1:17" hidden="1">
      <c r="A1943" s="12">
        <v>46115</v>
      </c>
      <c r="B1943" s="10">
        <v>10</v>
      </c>
      <c r="Q1943" s="10" t="str">
        <f t="shared" si="30"/>
        <v>Incomplete</v>
      </c>
    </row>
    <row r="1944" spans="1:17" hidden="1">
      <c r="A1944" s="12">
        <v>46115</v>
      </c>
      <c r="B1944" s="10">
        <v>11</v>
      </c>
      <c r="Q1944" s="10" t="str">
        <f t="shared" si="30"/>
        <v>Incomplete</v>
      </c>
    </row>
    <row r="1945" spans="1:17" hidden="1">
      <c r="A1945" s="12">
        <v>46115</v>
      </c>
      <c r="B1945" s="10">
        <v>12</v>
      </c>
      <c r="Q1945" s="10" t="str">
        <f t="shared" si="30"/>
        <v>Incomplete</v>
      </c>
    </row>
    <row r="1946" spans="1:17" hidden="1">
      <c r="A1946" s="12">
        <v>46115</v>
      </c>
      <c r="B1946" s="10">
        <v>13</v>
      </c>
      <c r="Q1946" s="10" t="str">
        <f t="shared" si="30"/>
        <v>Incomplete</v>
      </c>
    </row>
    <row r="1947" spans="1:17" hidden="1">
      <c r="A1947" s="12">
        <v>46115</v>
      </c>
      <c r="B1947" s="10">
        <v>14</v>
      </c>
      <c r="Q1947" s="10" t="str">
        <f t="shared" si="30"/>
        <v>Incomplete</v>
      </c>
    </row>
    <row r="1948" spans="1:17" hidden="1">
      <c r="A1948" s="12">
        <v>46115</v>
      </c>
      <c r="B1948" s="10">
        <v>15</v>
      </c>
      <c r="Q1948" s="10" t="str">
        <f t="shared" si="30"/>
        <v>Incomplete</v>
      </c>
    </row>
    <row r="1949" spans="1:17" hidden="1">
      <c r="A1949" s="12">
        <v>46115</v>
      </c>
      <c r="B1949" s="10">
        <v>16</v>
      </c>
      <c r="Q1949" s="10" t="str">
        <f t="shared" si="30"/>
        <v>Incomplete</v>
      </c>
    </row>
    <row r="1950" spans="1:17" hidden="1">
      <c r="A1950" s="12">
        <v>46115</v>
      </c>
      <c r="B1950" s="10">
        <v>17</v>
      </c>
      <c r="Q1950" s="10" t="str">
        <f t="shared" si="30"/>
        <v>Incomplete</v>
      </c>
    </row>
    <row r="1951" spans="1:17" hidden="1">
      <c r="A1951" s="12">
        <v>46115</v>
      </c>
      <c r="B1951" s="10">
        <v>18</v>
      </c>
      <c r="Q1951" s="10" t="str">
        <f t="shared" si="30"/>
        <v>Incomplete</v>
      </c>
    </row>
    <row r="1952" spans="1:17" hidden="1">
      <c r="A1952" s="12">
        <v>46115</v>
      </c>
      <c r="B1952" s="10">
        <v>19</v>
      </c>
      <c r="Q1952" s="10" t="str">
        <f t="shared" si="30"/>
        <v>Incomplete</v>
      </c>
    </row>
    <row r="1953" spans="1:17" hidden="1">
      <c r="A1953" s="12">
        <v>46115</v>
      </c>
      <c r="B1953" s="10">
        <v>20</v>
      </c>
      <c r="Q1953" s="10" t="str">
        <f t="shared" si="30"/>
        <v>Incomplete</v>
      </c>
    </row>
    <row r="1954" spans="1:17" hidden="1">
      <c r="A1954" s="12">
        <v>46115</v>
      </c>
      <c r="B1954" s="10">
        <v>21</v>
      </c>
      <c r="Q1954" s="10" t="str">
        <f t="shared" si="30"/>
        <v>Incomplete</v>
      </c>
    </row>
    <row r="1955" spans="1:17" hidden="1">
      <c r="A1955" s="12">
        <v>46116</v>
      </c>
      <c r="B1955" s="10">
        <v>1</v>
      </c>
      <c r="Q1955" s="10" t="str">
        <f t="shared" si="30"/>
        <v>Incomplete</v>
      </c>
    </row>
    <row r="1956" spans="1:17" hidden="1">
      <c r="A1956" s="12">
        <v>46116</v>
      </c>
      <c r="B1956" s="10">
        <v>2</v>
      </c>
      <c r="Q1956" s="10" t="str">
        <f t="shared" si="30"/>
        <v>Incomplete</v>
      </c>
    </row>
    <row r="1957" spans="1:17" hidden="1">
      <c r="A1957" s="12">
        <v>46116</v>
      </c>
      <c r="B1957" s="10">
        <v>3</v>
      </c>
      <c r="Q1957" s="10" t="str">
        <f t="shared" si="30"/>
        <v>Incomplete</v>
      </c>
    </row>
    <row r="1958" spans="1:17" hidden="1">
      <c r="A1958" s="12">
        <v>46116</v>
      </c>
      <c r="B1958" s="10">
        <v>4</v>
      </c>
      <c r="Q1958" s="10" t="str">
        <f t="shared" si="30"/>
        <v>Incomplete</v>
      </c>
    </row>
    <row r="1959" spans="1:17" hidden="1">
      <c r="A1959" s="12">
        <v>46116</v>
      </c>
      <c r="B1959" s="10">
        <v>5</v>
      </c>
      <c r="Q1959" s="10" t="str">
        <f t="shared" si="30"/>
        <v>Incomplete</v>
      </c>
    </row>
    <row r="1960" spans="1:17" hidden="1">
      <c r="A1960" s="12">
        <v>46116</v>
      </c>
      <c r="B1960" s="10">
        <v>6</v>
      </c>
      <c r="Q1960" s="10" t="str">
        <f t="shared" si="30"/>
        <v>Incomplete</v>
      </c>
    </row>
    <row r="1961" spans="1:17" hidden="1">
      <c r="A1961" s="12">
        <v>46116</v>
      </c>
      <c r="B1961" s="10">
        <v>7</v>
      </c>
      <c r="Q1961" s="10" t="str">
        <f t="shared" si="30"/>
        <v>Incomplete</v>
      </c>
    </row>
    <row r="1962" spans="1:17" hidden="1">
      <c r="A1962" s="12">
        <v>46116</v>
      </c>
      <c r="B1962" s="10">
        <v>8</v>
      </c>
      <c r="Q1962" s="10" t="str">
        <f t="shared" si="30"/>
        <v>Incomplete</v>
      </c>
    </row>
    <row r="1963" spans="1:17" hidden="1">
      <c r="A1963" s="12">
        <v>46116</v>
      </c>
      <c r="B1963" s="10">
        <v>9</v>
      </c>
      <c r="Q1963" s="10" t="str">
        <f t="shared" si="30"/>
        <v>Incomplete</v>
      </c>
    </row>
    <row r="1964" spans="1:17" hidden="1">
      <c r="A1964" s="12">
        <v>46116</v>
      </c>
      <c r="B1964" s="10">
        <v>10</v>
      </c>
      <c r="Q1964" s="10" t="str">
        <f t="shared" si="30"/>
        <v>Incomplete</v>
      </c>
    </row>
    <row r="1965" spans="1:17" hidden="1">
      <c r="A1965" s="12">
        <v>46116</v>
      </c>
      <c r="B1965" s="10">
        <v>11</v>
      </c>
      <c r="Q1965" s="10" t="str">
        <f t="shared" si="30"/>
        <v>Incomplete</v>
      </c>
    </row>
    <row r="1966" spans="1:17" hidden="1">
      <c r="A1966" s="12">
        <v>46116</v>
      </c>
      <c r="B1966" s="10">
        <v>12</v>
      </c>
      <c r="Q1966" s="10" t="str">
        <f t="shared" si="30"/>
        <v>Incomplete</v>
      </c>
    </row>
    <row r="1967" spans="1:17" hidden="1">
      <c r="A1967" s="12">
        <v>46116</v>
      </c>
      <c r="B1967" s="10">
        <v>13</v>
      </c>
      <c r="Q1967" s="10" t="str">
        <f t="shared" si="30"/>
        <v>Incomplete</v>
      </c>
    </row>
    <row r="1968" spans="1:17" hidden="1">
      <c r="A1968" s="12">
        <v>46116</v>
      </c>
      <c r="B1968" s="10">
        <v>14</v>
      </c>
      <c r="Q1968" s="10" t="str">
        <f t="shared" si="30"/>
        <v>Incomplete</v>
      </c>
    </row>
    <row r="1969" spans="1:17" hidden="1">
      <c r="A1969" s="12">
        <v>46116</v>
      </c>
      <c r="B1969" s="10">
        <v>15</v>
      </c>
      <c r="Q1969" s="10" t="str">
        <f t="shared" si="30"/>
        <v>Incomplete</v>
      </c>
    </row>
    <row r="1970" spans="1:17" hidden="1">
      <c r="A1970" s="12">
        <v>46116</v>
      </c>
      <c r="B1970" s="10">
        <v>16</v>
      </c>
      <c r="Q1970" s="10" t="str">
        <f t="shared" si="30"/>
        <v>Incomplete</v>
      </c>
    </row>
    <row r="1971" spans="1:17" hidden="1">
      <c r="A1971" s="12">
        <v>46116</v>
      </c>
      <c r="B1971" s="10">
        <v>17</v>
      </c>
      <c r="Q1971" s="10" t="str">
        <f t="shared" si="30"/>
        <v>Incomplete</v>
      </c>
    </row>
    <row r="1972" spans="1:17" hidden="1">
      <c r="A1972" s="12">
        <v>46116</v>
      </c>
      <c r="B1972" s="10">
        <v>18</v>
      </c>
      <c r="Q1972" s="10" t="str">
        <f t="shared" si="30"/>
        <v>Incomplete</v>
      </c>
    </row>
    <row r="1973" spans="1:17" hidden="1">
      <c r="A1973" s="12">
        <v>46116</v>
      </c>
      <c r="B1973" s="10">
        <v>19</v>
      </c>
      <c r="Q1973" s="10" t="str">
        <f t="shared" si="30"/>
        <v>Incomplete</v>
      </c>
    </row>
    <row r="1974" spans="1:17" hidden="1">
      <c r="A1974" s="12">
        <v>46116</v>
      </c>
      <c r="B1974" s="10">
        <v>20</v>
      </c>
      <c r="Q1974" s="10" t="str">
        <f t="shared" si="30"/>
        <v>Incomplete</v>
      </c>
    </row>
    <row r="1975" spans="1:17" hidden="1">
      <c r="A1975" s="12">
        <v>46116</v>
      </c>
      <c r="B1975" s="10">
        <v>21</v>
      </c>
      <c r="Q1975" s="10" t="str">
        <f t="shared" si="30"/>
        <v>Incomplete</v>
      </c>
    </row>
    <row r="1976" spans="1:17" hidden="1">
      <c r="A1976" s="12">
        <v>46117</v>
      </c>
      <c r="B1976" s="10">
        <v>1</v>
      </c>
      <c r="Q1976" s="10" t="str">
        <f t="shared" si="30"/>
        <v>Incomplete</v>
      </c>
    </row>
    <row r="1977" spans="1:17" hidden="1">
      <c r="A1977" s="12">
        <v>46117</v>
      </c>
      <c r="B1977" s="10">
        <v>2</v>
      </c>
      <c r="Q1977" s="10" t="str">
        <f t="shared" si="30"/>
        <v>Incomplete</v>
      </c>
    </row>
    <row r="1978" spans="1:17" hidden="1">
      <c r="A1978" s="12">
        <v>46117</v>
      </c>
      <c r="B1978" s="10">
        <v>3</v>
      </c>
      <c r="Q1978" s="10" t="str">
        <f t="shared" si="30"/>
        <v>Incomplete</v>
      </c>
    </row>
    <row r="1979" spans="1:17" hidden="1">
      <c r="A1979" s="12">
        <v>46117</v>
      </c>
      <c r="B1979" s="10">
        <v>4</v>
      </c>
      <c r="Q1979" s="10" t="str">
        <f t="shared" si="30"/>
        <v>Incomplete</v>
      </c>
    </row>
    <row r="1980" spans="1:17" hidden="1">
      <c r="A1980" s="12">
        <v>46117</v>
      </c>
      <c r="B1980" s="10">
        <v>5</v>
      </c>
      <c r="Q1980" s="10" t="str">
        <f t="shared" si="30"/>
        <v>Incomplete</v>
      </c>
    </row>
    <row r="1981" spans="1:17" hidden="1">
      <c r="A1981" s="12">
        <v>46117</v>
      </c>
      <c r="B1981" s="10">
        <v>6</v>
      </c>
      <c r="Q1981" s="10" t="str">
        <f t="shared" si="30"/>
        <v>Incomplete</v>
      </c>
    </row>
    <row r="1982" spans="1:17" hidden="1">
      <c r="A1982" s="12">
        <v>46117</v>
      </c>
      <c r="B1982" s="10">
        <v>7</v>
      </c>
      <c r="Q1982" s="10" t="str">
        <f t="shared" si="30"/>
        <v>Incomplete</v>
      </c>
    </row>
    <row r="1983" spans="1:17" hidden="1">
      <c r="A1983" s="12">
        <v>46117</v>
      </c>
      <c r="B1983" s="10">
        <v>8</v>
      </c>
      <c r="Q1983" s="10" t="str">
        <f t="shared" si="30"/>
        <v>Incomplete</v>
      </c>
    </row>
    <row r="1984" spans="1:17" hidden="1">
      <c r="A1984" s="12">
        <v>46117</v>
      </c>
      <c r="B1984" s="10">
        <v>9</v>
      </c>
      <c r="Q1984" s="10" t="str">
        <f t="shared" si="30"/>
        <v>Incomplete</v>
      </c>
    </row>
    <row r="1985" spans="1:17" hidden="1">
      <c r="A1985" s="12">
        <v>46117</v>
      </c>
      <c r="B1985" s="10">
        <v>10</v>
      </c>
      <c r="Q1985" s="10" t="str">
        <f t="shared" si="30"/>
        <v>Incomplete</v>
      </c>
    </row>
    <row r="1986" spans="1:17" hidden="1">
      <c r="A1986" s="12">
        <v>46117</v>
      </c>
      <c r="B1986" s="10">
        <v>11</v>
      </c>
      <c r="Q1986" s="10" t="str">
        <f t="shared" ref="Q1986:Q2049" si="31">IF(AND(C1986&lt;&gt;"",J1986&lt;&gt;"",K1986&lt;&gt;"",L1986&lt;&gt;"",O1986="Yes"),"Complete","Incomplete")</f>
        <v>Incomplete</v>
      </c>
    </row>
    <row r="1987" spans="1:17" hidden="1">
      <c r="A1987" s="12">
        <v>46117</v>
      </c>
      <c r="B1987" s="10">
        <v>12</v>
      </c>
      <c r="Q1987" s="10" t="str">
        <f t="shared" si="31"/>
        <v>Incomplete</v>
      </c>
    </row>
    <row r="1988" spans="1:17" hidden="1">
      <c r="A1988" s="12">
        <v>46117</v>
      </c>
      <c r="B1988" s="10">
        <v>13</v>
      </c>
      <c r="Q1988" s="10" t="str">
        <f t="shared" si="31"/>
        <v>Incomplete</v>
      </c>
    </row>
    <row r="1989" spans="1:17" hidden="1">
      <c r="A1989" s="12">
        <v>46117</v>
      </c>
      <c r="B1989" s="10">
        <v>14</v>
      </c>
      <c r="Q1989" s="10" t="str">
        <f t="shared" si="31"/>
        <v>Incomplete</v>
      </c>
    </row>
    <row r="1990" spans="1:17" hidden="1">
      <c r="A1990" s="12">
        <v>46117</v>
      </c>
      <c r="B1990" s="10">
        <v>15</v>
      </c>
      <c r="Q1990" s="10" t="str">
        <f t="shared" si="31"/>
        <v>Incomplete</v>
      </c>
    </row>
    <row r="1991" spans="1:17" hidden="1">
      <c r="A1991" s="12">
        <v>46117</v>
      </c>
      <c r="B1991" s="10">
        <v>16</v>
      </c>
      <c r="Q1991" s="10" t="str">
        <f t="shared" si="31"/>
        <v>Incomplete</v>
      </c>
    </row>
    <row r="1992" spans="1:17" hidden="1">
      <c r="A1992" s="12">
        <v>46117</v>
      </c>
      <c r="B1992" s="10">
        <v>17</v>
      </c>
      <c r="Q1992" s="10" t="str">
        <f t="shared" si="31"/>
        <v>Incomplete</v>
      </c>
    </row>
    <row r="1993" spans="1:17" hidden="1">
      <c r="A1993" s="12">
        <v>46117</v>
      </c>
      <c r="B1993" s="10">
        <v>18</v>
      </c>
      <c r="Q1993" s="10" t="str">
        <f t="shared" si="31"/>
        <v>Incomplete</v>
      </c>
    </row>
    <row r="1994" spans="1:17" hidden="1">
      <c r="A1994" s="12">
        <v>46117</v>
      </c>
      <c r="B1994" s="10">
        <v>19</v>
      </c>
      <c r="Q1994" s="10" t="str">
        <f t="shared" si="31"/>
        <v>Incomplete</v>
      </c>
    </row>
    <row r="1995" spans="1:17" hidden="1">
      <c r="A1995" s="12">
        <v>46117</v>
      </c>
      <c r="B1995" s="10">
        <v>20</v>
      </c>
      <c r="Q1995" s="10" t="str">
        <f t="shared" si="31"/>
        <v>Incomplete</v>
      </c>
    </row>
    <row r="1996" spans="1:17" hidden="1">
      <c r="A1996" s="12">
        <v>46117</v>
      </c>
      <c r="B1996" s="10">
        <v>21</v>
      </c>
      <c r="Q1996" s="10" t="str">
        <f t="shared" si="31"/>
        <v>Incomplete</v>
      </c>
    </row>
    <row r="1997" spans="1:17" hidden="1">
      <c r="A1997" s="12">
        <v>46118</v>
      </c>
      <c r="B1997" s="10">
        <v>1</v>
      </c>
      <c r="Q1997" s="10" t="str">
        <f t="shared" si="31"/>
        <v>Incomplete</v>
      </c>
    </row>
    <row r="1998" spans="1:17" hidden="1">
      <c r="A1998" s="12">
        <v>46118</v>
      </c>
      <c r="B1998" s="10">
        <v>2</v>
      </c>
      <c r="Q1998" s="10" t="str">
        <f t="shared" si="31"/>
        <v>Incomplete</v>
      </c>
    </row>
    <row r="1999" spans="1:17" hidden="1">
      <c r="A1999" s="12">
        <v>46118</v>
      </c>
      <c r="B1999" s="10">
        <v>3</v>
      </c>
      <c r="Q1999" s="10" t="str">
        <f t="shared" si="31"/>
        <v>Incomplete</v>
      </c>
    </row>
    <row r="2000" spans="1:17" hidden="1">
      <c r="A2000" s="12">
        <v>46118</v>
      </c>
      <c r="B2000" s="10">
        <v>4</v>
      </c>
      <c r="Q2000" s="10" t="str">
        <f t="shared" si="31"/>
        <v>Incomplete</v>
      </c>
    </row>
    <row r="2001" spans="1:17" hidden="1">
      <c r="A2001" s="12">
        <v>46118</v>
      </c>
      <c r="B2001" s="10">
        <v>5</v>
      </c>
      <c r="Q2001" s="10" t="str">
        <f t="shared" si="31"/>
        <v>Incomplete</v>
      </c>
    </row>
    <row r="2002" spans="1:17" hidden="1">
      <c r="A2002" s="12">
        <v>46118</v>
      </c>
      <c r="B2002" s="10">
        <v>6</v>
      </c>
      <c r="Q2002" s="10" t="str">
        <f t="shared" si="31"/>
        <v>Incomplete</v>
      </c>
    </row>
    <row r="2003" spans="1:17" hidden="1">
      <c r="A2003" s="12">
        <v>46118</v>
      </c>
      <c r="B2003" s="10">
        <v>7</v>
      </c>
      <c r="Q2003" s="10" t="str">
        <f t="shared" si="31"/>
        <v>Incomplete</v>
      </c>
    </row>
    <row r="2004" spans="1:17" hidden="1">
      <c r="A2004" s="12">
        <v>46118</v>
      </c>
      <c r="B2004" s="10">
        <v>8</v>
      </c>
      <c r="Q2004" s="10" t="str">
        <f t="shared" si="31"/>
        <v>Incomplete</v>
      </c>
    </row>
    <row r="2005" spans="1:17" hidden="1">
      <c r="A2005" s="12">
        <v>46118</v>
      </c>
      <c r="B2005" s="10">
        <v>9</v>
      </c>
      <c r="Q2005" s="10" t="str">
        <f t="shared" si="31"/>
        <v>Incomplete</v>
      </c>
    </row>
    <row r="2006" spans="1:17" hidden="1">
      <c r="A2006" s="12">
        <v>46118</v>
      </c>
      <c r="B2006" s="10">
        <v>10</v>
      </c>
      <c r="Q2006" s="10" t="str">
        <f t="shared" si="31"/>
        <v>Incomplete</v>
      </c>
    </row>
    <row r="2007" spans="1:17" hidden="1">
      <c r="A2007" s="12">
        <v>46118</v>
      </c>
      <c r="B2007" s="10">
        <v>11</v>
      </c>
      <c r="Q2007" s="10" t="str">
        <f t="shared" si="31"/>
        <v>Incomplete</v>
      </c>
    </row>
    <row r="2008" spans="1:17" hidden="1">
      <c r="A2008" s="12">
        <v>46118</v>
      </c>
      <c r="B2008" s="10">
        <v>12</v>
      </c>
      <c r="Q2008" s="10" t="str">
        <f t="shared" si="31"/>
        <v>Incomplete</v>
      </c>
    </row>
    <row r="2009" spans="1:17" hidden="1">
      <c r="A2009" s="12">
        <v>46118</v>
      </c>
      <c r="B2009" s="10">
        <v>13</v>
      </c>
      <c r="Q2009" s="10" t="str">
        <f t="shared" si="31"/>
        <v>Incomplete</v>
      </c>
    </row>
    <row r="2010" spans="1:17" hidden="1">
      <c r="A2010" s="12">
        <v>46118</v>
      </c>
      <c r="B2010" s="10">
        <v>14</v>
      </c>
      <c r="Q2010" s="10" t="str">
        <f t="shared" si="31"/>
        <v>Incomplete</v>
      </c>
    </row>
    <row r="2011" spans="1:17" hidden="1">
      <c r="A2011" s="12">
        <v>46118</v>
      </c>
      <c r="B2011" s="10">
        <v>15</v>
      </c>
      <c r="Q2011" s="10" t="str">
        <f t="shared" si="31"/>
        <v>Incomplete</v>
      </c>
    </row>
    <row r="2012" spans="1:17" hidden="1">
      <c r="A2012" s="12">
        <v>46118</v>
      </c>
      <c r="B2012" s="10">
        <v>16</v>
      </c>
      <c r="Q2012" s="10" t="str">
        <f t="shared" si="31"/>
        <v>Incomplete</v>
      </c>
    </row>
    <row r="2013" spans="1:17" hidden="1">
      <c r="A2013" s="12">
        <v>46118</v>
      </c>
      <c r="B2013" s="10">
        <v>17</v>
      </c>
      <c r="Q2013" s="10" t="str">
        <f t="shared" si="31"/>
        <v>Incomplete</v>
      </c>
    </row>
    <row r="2014" spans="1:17" hidden="1">
      <c r="A2014" s="12">
        <v>46118</v>
      </c>
      <c r="B2014" s="10">
        <v>18</v>
      </c>
      <c r="Q2014" s="10" t="str">
        <f t="shared" si="31"/>
        <v>Incomplete</v>
      </c>
    </row>
    <row r="2015" spans="1:17" hidden="1">
      <c r="A2015" s="12">
        <v>46118</v>
      </c>
      <c r="B2015" s="10">
        <v>19</v>
      </c>
      <c r="Q2015" s="10" t="str">
        <f t="shared" si="31"/>
        <v>Incomplete</v>
      </c>
    </row>
    <row r="2016" spans="1:17" hidden="1">
      <c r="A2016" s="12">
        <v>46118</v>
      </c>
      <c r="B2016" s="10">
        <v>20</v>
      </c>
      <c r="Q2016" s="10" t="str">
        <f t="shared" si="31"/>
        <v>Incomplete</v>
      </c>
    </row>
    <row r="2017" spans="1:17" hidden="1">
      <c r="A2017" s="12">
        <v>46118</v>
      </c>
      <c r="B2017" s="10">
        <v>21</v>
      </c>
      <c r="Q2017" s="10" t="str">
        <f t="shared" si="31"/>
        <v>Incomplete</v>
      </c>
    </row>
    <row r="2018" spans="1:17" hidden="1">
      <c r="A2018" s="12">
        <v>46119</v>
      </c>
      <c r="B2018" s="10">
        <v>1</v>
      </c>
      <c r="Q2018" s="10" t="str">
        <f t="shared" si="31"/>
        <v>Incomplete</v>
      </c>
    </row>
    <row r="2019" spans="1:17" hidden="1">
      <c r="A2019" s="12">
        <v>46119</v>
      </c>
      <c r="B2019" s="10">
        <v>2</v>
      </c>
      <c r="Q2019" s="10" t="str">
        <f t="shared" si="31"/>
        <v>Incomplete</v>
      </c>
    </row>
    <row r="2020" spans="1:17" hidden="1">
      <c r="A2020" s="12">
        <v>46119</v>
      </c>
      <c r="B2020" s="10">
        <v>3</v>
      </c>
      <c r="Q2020" s="10" t="str">
        <f t="shared" si="31"/>
        <v>Incomplete</v>
      </c>
    </row>
    <row r="2021" spans="1:17" hidden="1">
      <c r="A2021" s="12">
        <v>46119</v>
      </c>
      <c r="B2021" s="10">
        <v>4</v>
      </c>
      <c r="Q2021" s="10" t="str">
        <f t="shared" si="31"/>
        <v>Incomplete</v>
      </c>
    </row>
    <row r="2022" spans="1:17" hidden="1">
      <c r="A2022" s="12">
        <v>46119</v>
      </c>
      <c r="B2022" s="10">
        <v>5</v>
      </c>
      <c r="Q2022" s="10" t="str">
        <f t="shared" si="31"/>
        <v>Incomplete</v>
      </c>
    </row>
    <row r="2023" spans="1:17" hidden="1">
      <c r="A2023" s="12">
        <v>46119</v>
      </c>
      <c r="B2023" s="10">
        <v>6</v>
      </c>
      <c r="Q2023" s="10" t="str">
        <f t="shared" si="31"/>
        <v>Incomplete</v>
      </c>
    </row>
    <row r="2024" spans="1:17" hidden="1">
      <c r="A2024" s="12">
        <v>46119</v>
      </c>
      <c r="B2024" s="10">
        <v>7</v>
      </c>
      <c r="Q2024" s="10" t="str">
        <f t="shared" si="31"/>
        <v>Incomplete</v>
      </c>
    </row>
    <row r="2025" spans="1:17" hidden="1">
      <c r="A2025" s="12">
        <v>46119</v>
      </c>
      <c r="B2025" s="10">
        <v>8</v>
      </c>
      <c r="Q2025" s="10" t="str">
        <f t="shared" si="31"/>
        <v>Incomplete</v>
      </c>
    </row>
    <row r="2026" spans="1:17" hidden="1">
      <c r="A2026" s="12">
        <v>46119</v>
      </c>
      <c r="B2026" s="10">
        <v>9</v>
      </c>
      <c r="Q2026" s="10" t="str">
        <f t="shared" si="31"/>
        <v>Incomplete</v>
      </c>
    </row>
    <row r="2027" spans="1:17" hidden="1">
      <c r="A2027" s="12">
        <v>46119</v>
      </c>
      <c r="B2027" s="10">
        <v>10</v>
      </c>
      <c r="Q2027" s="10" t="str">
        <f t="shared" si="31"/>
        <v>Incomplete</v>
      </c>
    </row>
    <row r="2028" spans="1:17" hidden="1">
      <c r="A2028" s="12">
        <v>46119</v>
      </c>
      <c r="B2028" s="10">
        <v>11</v>
      </c>
      <c r="Q2028" s="10" t="str">
        <f t="shared" si="31"/>
        <v>Incomplete</v>
      </c>
    </row>
    <row r="2029" spans="1:17" hidden="1">
      <c r="A2029" s="12">
        <v>46119</v>
      </c>
      <c r="B2029" s="10">
        <v>12</v>
      </c>
      <c r="Q2029" s="10" t="str">
        <f t="shared" si="31"/>
        <v>Incomplete</v>
      </c>
    </row>
    <row r="2030" spans="1:17" hidden="1">
      <c r="A2030" s="12">
        <v>46119</v>
      </c>
      <c r="B2030" s="10">
        <v>13</v>
      </c>
      <c r="Q2030" s="10" t="str">
        <f t="shared" si="31"/>
        <v>Incomplete</v>
      </c>
    </row>
    <row r="2031" spans="1:17" hidden="1">
      <c r="A2031" s="12">
        <v>46119</v>
      </c>
      <c r="B2031" s="10">
        <v>14</v>
      </c>
      <c r="Q2031" s="10" t="str">
        <f t="shared" si="31"/>
        <v>Incomplete</v>
      </c>
    </row>
    <row r="2032" spans="1:17" hidden="1">
      <c r="A2032" s="12">
        <v>46119</v>
      </c>
      <c r="B2032" s="10">
        <v>15</v>
      </c>
      <c r="Q2032" s="10" t="str">
        <f t="shared" si="31"/>
        <v>Incomplete</v>
      </c>
    </row>
    <row r="2033" spans="1:17" hidden="1">
      <c r="A2033" s="12">
        <v>46119</v>
      </c>
      <c r="B2033" s="10">
        <v>16</v>
      </c>
      <c r="Q2033" s="10" t="str">
        <f t="shared" si="31"/>
        <v>Incomplete</v>
      </c>
    </row>
    <row r="2034" spans="1:17" hidden="1">
      <c r="A2034" s="12">
        <v>46119</v>
      </c>
      <c r="B2034" s="10">
        <v>17</v>
      </c>
      <c r="Q2034" s="10" t="str">
        <f t="shared" si="31"/>
        <v>Incomplete</v>
      </c>
    </row>
    <row r="2035" spans="1:17" hidden="1">
      <c r="A2035" s="12">
        <v>46119</v>
      </c>
      <c r="B2035" s="10">
        <v>18</v>
      </c>
      <c r="Q2035" s="10" t="str">
        <f t="shared" si="31"/>
        <v>Incomplete</v>
      </c>
    </row>
    <row r="2036" spans="1:17" hidden="1">
      <c r="A2036" s="12">
        <v>46119</v>
      </c>
      <c r="B2036" s="10">
        <v>19</v>
      </c>
      <c r="Q2036" s="10" t="str">
        <f t="shared" si="31"/>
        <v>Incomplete</v>
      </c>
    </row>
    <row r="2037" spans="1:17" hidden="1">
      <c r="A2037" s="12">
        <v>46119</v>
      </c>
      <c r="B2037" s="10">
        <v>20</v>
      </c>
      <c r="Q2037" s="10" t="str">
        <f t="shared" si="31"/>
        <v>Incomplete</v>
      </c>
    </row>
    <row r="2038" spans="1:17" hidden="1">
      <c r="A2038" s="12">
        <v>46119</v>
      </c>
      <c r="B2038" s="10">
        <v>21</v>
      </c>
      <c r="Q2038" s="10" t="str">
        <f t="shared" si="31"/>
        <v>Incomplete</v>
      </c>
    </row>
    <row r="2039" spans="1:17" hidden="1">
      <c r="A2039" s="12">
        <v>46120</v>
      </c>
      <c r="B2039" s="10">
        <v>1</v>
      </c>
      <c r="Q2039" s="10" t="str">
        <f t="shared" si="31"/>
        <v>Incomplete</v>
      </c>
    </row>
    <row r="2040" spans="1:17" hidden="1">
      <c r="A2040" s="12">
        <v>46120</v>
      </c>
      <c r="B2040" s="10">
        <v>2</v>
      </c>
      <c r="Q2040" s="10" t="str">
        <f t="shared" si="31"/>
        <v>Incomplete</v>
      </c>
    </row>
    <row r="2041" spans="1:17" hidden="1">
      <c r="A2041" s="12">
        <v>46120</v>
      </c>
      <c r="B2041" s="10">
        <v>3</v>
      </c>
      <c r="Q2041" s="10" t="str">
        <f t="shared" si="31"/>
        <v>Incomplete</v>
      </c>
    </row>
    <row r="2042" spans="1:17" hidden="1">
      <c r="A2042" s="12">
        <v>46120</v>
      </c>
      <c r="B2042" s="10">
        <v>4</v>
      </c>
      <c r="Q2042" s="10" t="str">
        <f t="shared" si="31"/>
        <v>Incomplete</v>
      </c>
    </row>
    <row r="2043" spans="1:17" hidden="1">
      <c r="A2043" s="12">
        <v>46120</v>
      </c>
      <c r="B2043" s="10">
        <v>5</v>
      </c>
      <c r="Q2043" s="10" t="str">
        <f t="shared" si="31"/>
        <v>Incomplete</v>
      </c>
    </row>
    <row r="2044" spans="1:17" hidden="1">
      <c r="A2044" s="12">
        <v>46120</v>
      </c>
      <c r="B2044" s="10">
        <v>6</v>
      </c>
      <c r="Q2044" s="10" t="str">
        <f t="shared" si="31"/>
        <v>Incomplete</v>
      </c>
    </row>
    <row r="2045" spans="1:17" hidden="1">
      <c r="A2045" s="12">
        <v>46120</v>
      </c>
      <c r="B2045" s="10">
        <v>7</v>
      </c>
      <c r="Q2045" s="10" t="str">
        <f t="shared" si="31"/>
        <v>Incomplete</v>
      </c>
    </row>
    <row r="2046" spans="1:17" hidden="1">
      <c r="A2046" s="12">
        <v>46120</v>
      </c>
      <c r="B2046" s="10">
        <v>8</v>
      </c>
      <c r="Q2046" s="10" t="str">
        <f t="shared" si="31"/>
        <v>Incomplete</v>
      </c>
    </row>
    <row r="2047" spans="1:17" hidden="1">
      <c r="A2047" s="12">
        <v>46120</v>
      </c>
      <c r="B2047" s="10">
        <v>9</v>
      </c>
      <c r="Q2047" s="10" t="str">
        <f t="shared" si="31"/>
        <v>Incomplete</v>
      </c>
    </row>
    <row r="2048" spans="1:17" hidden="1">
      <c r="A2048" s="12">
        <v>46120</v>
      </c>
      <c r="B2048" s="10">
        <v>10</v>
      </c>
      <c r="Q2048" s="10" t="str">
        <f t="shared" si="31"/>
        <v>Incomplete</v>
      </c>
    </row>
    <row r="2049" spans="1:17" hidden="1">
      <c r="A2049" s="12">
        <v>46120</v>
      </c>
      <c r="B2049" s="10">
        <v>11</v>
      </c>
      <c r="Q2049" s="10" t="str">
        <f t="shared" si="31"/>
        <v>Incomplete</v>
      </c>
    </row>
    <row r="2050" spans="1:17" hidden="1">
      <c r="A2050" s="12">
        <v>46120</v>
      </c>
      <c r="B2050" s="10">
        <v>12</v>
      </c>
      <c r="Q2050" s="10" t="str">
        <f t="shared" ref="Q2050:Q2113" si="32">IF(AND(C2050&lt;&gt;"",J2050&lt;&gt;"",K2050&lt;&gt;"",L2050&lt;&gt;"",O2050="Yes"),"Complete","Incomplete")</f>
        <v>Incomplete</v>
      </c>
    </row>
    <row r="2051" spans="1:17" hidden="1">
      <c r="A2051" s="12">
        <v>46120</v>
      </c>
      <c r="B2051" s="10">
        <v>13</v>
      </c>
      <c r="Q2051" s="10" t="str">
        <f t="shared" si="32"/>
        <v>Incomplete</v>
      </c>
    </row>
    <row r="2052" spans="1:17" hidden="1">
      <c r="A2052" s="12">
        <v>46120</v>
      </c>
      <c r="B2052" s="10">
        <v>14</v>
      </c>
      <c r="Q2052" s="10" t="str">
        <f t="shared" si="32"/>
        <v>Incomplete</v>
      </c>
    </row>
    <row r="2053" spans="1:17" hidden="1">
      <c r="A2053" s="12">
        <v>46120</v>
      </c>
      <c r="B2053" s="10">
        <v>15</v>
      </c>
      <c r="Q2053" s="10" t="str">
        <f t="shared" si="32"/>
        <v>Incomplete</v>
      </c>
    </row>
    <row r="2054" spans="1:17" hidden="1">
      <c r="A2054" s="12">
        <v>46120</v>
      </c>
      <c r="B2054" s="10">
        <v>16</v>
      </c>
      <c r="Q2054" s="10" t="str">
        <f t="shared" si="32"/>
        <v>Incomplete</v>
      </c>
    </row>
    <row r="2055" spans="1:17" hidden="1">
      <c r="A2055" s="12">
        <v>46120</v>
      </c>
      <c r="B2055" s="10">
        <v>17</v>
      </c>
      <c r="Q2055" s="10" t="str">
        <f t="shared" si="32"/>
        <v>Incomplete</v>
      </c>
    </row>
    <row r="2056" spans="1:17" hidden="1">
      <c r="A2056" s="12">
        <v>46120</v>
      </c>
      <c r="B2056" s="10">
        <v>18</v>
      </c>
      <c r="Q2056" s="10" t="str">
        <f t="shared" si="32"/>
        <v>Incomplete</v>
      </c>
    </row>
    <row r="2057" spans="1:17" hidden="1">
      <c r="A2057" s="12">
        <v>46120</v>
      </c>
      <c r="B2057" s="10">
        <v>19</v>
      </c>
      <c r="Q2057" s="10" t="str">
        <f t="shared" si="32"/>
        <v>Incomplete</v>
      </c>
    </row>
    <row r="2058" spans="1:17" hidden="1">
      <c r="A2058" s="12">
        <v>46120</v>
      </c>
      <c r="B2058" s="10">
        <v>20</v>
      </c>
      <c r="Q2058" s="10" t="str">
        <f t="shared" si="32"/>
        <v>Incomplete</v>
      </c>
    </row>
    <row r="2059" spans="1:17" hidden="1">
      <c r="A2059" s="12">
        <v>46120</v>
      </c>
      <c r="B2059" s="10">
        <v>21</v>
      </c>
      <c r="Q2059" s="10" t="str">
        <f t="shared" si="32"/>
        <v>Incomplete</v>
      </c>
    </row>
    <row r="2060" spans="1:17" hidden="1">
      <c r="A2060" s="12">
        <v>46121</v>
      </c>
      <c r="B2060" s="10">
        <v>1</v>
      </c>
      <c r="Q2060" s="10" t="str">
        <f t="shared" si="32"/>
        <v>Incomplete</v>
      </c>
    </row>
    <row r="2061" spans="1:17" hidden="1">
      <c r="A2061" s="12">
        <v>46121</v>
      </c>
      <c r="B2061" s="10">
        <v>2</v>
      </c>
      <c r="Q2061" s="10" t="str">
        <f t="shared" si="32"/>
        <v>Incomplete</v>
      </c>
    </row>
    <row r="2062" spans="1:17" hidden="1">
      <c r="A2062" s="12">
        <v>46121</v>
      </c>
      <c r="B2062" s="10">
        <v>3</v>
      </c>
      <c r="Q2062" s="10" t="str">
        <f t="shared" si="32"/>
        <v>Incomplete</v>
      </c>
    </row>
    <row r="2063" spans="1:17" hidden="1">
      <c r="A2063" s="12">
        <v>46121</v>
      </c>
      <c r="B2063" s="10">
        <v>4</v>
      </c>
      <c r="Q2063" s="10" t="str">
        <f t="shared" si="32"/>
        <v>Incomplete</v>
      </c>
    </row>
    <row r="2064" spans="1:17" hidden="1">
      <c r="A2064" s="12">
        <v>46121</v>
      </c>
      <c r="B2064" s="10">
        <v>5</v>
      </c>
      <c r="Q2064" s="10" t="str">
        <f t="shared" si="32"/>
        <v>Incomplete</v>
      </c>
    </row>
    <row r="2065" spans="1:17" hidden="1">
      <c r="A2065" s="12">
        <v>46121</v>
      </c>
      <c r="B2065" s="10">
        <v>6</v>
      </c>
      <c r="Q2065" s="10" t="str">
        <f t="shared" si="32"/>
        <v>Incomplete</v>
      </c>
    </row>
    <row r="2066" spans="1:17" hidden="1">
      <c r="A2066" s="12">
        <v>46121</v>
      </c>
      <c r="B2066" s="10">
        <v>7</v>
      </c>
      <c r="Q2066" s="10" t="str">
        <f t="shared" si="32"/>
        <v>Incomplete</v>
      </c>
    </row>
    <row r="2067" spans="1:17" hidden="1">
      <c r="A2067" s="12">
        <v>46121</v>
      </c>
      <c r="B2067" s="10">
        <v>8</v>
      </c>
      <c r="Q2067" s="10" t="str">
        <f t="shared" si="32"/>
        <v>Incomplete</v>
      </c>
    </row>
    <row r="2068" spans="1:17" hidden="1">
      <c r="A2068" s="12">
        <v>46121</v>
      </c>
      <c r="B2068" s="10">
        <v>9</v>
      </c>
      <c r="Q2068" s="10" t="str">
        <f t="shared" si="32"/>
        <v>Incomplete</v>
      </c>
    </row>
    <row r="2069" spans="1:17" hidden="1">
      <c r="A2069" s="12">
        <v>46121</v>
      </c>
      <c r="B2069" s="10">
        <v>10</v>
      </c>
      <c r="Q2069" s="10" t="str">
        <f t="shared" si="32"/>
        <v>Incomplete</v>
      </c>
    </row>
    <row r="2070" spans="1:17" hidden="1">
      <c r="A2070" s="12">
        <v>46121</v>
      </c>
      <c r="B2070" s="10">
        <v>11</v>
      </c>
      <c r="Q2070" s="10" t="str">
        <f t="shared" si="32"/>
        <v>Incomplete</v>
      </c>
    </row>
    <row r="2071" spans="1:17" hidden="1">
      <c r="A2071" s="12">
        <v>46121</v>
      </c>
      <c r="B2071" s="10">
        <v>12</v>
      </c>
      <c r="Q2071" s="10" t="str">
        <f t="shared" si="32"/>
        <v>Incomplete</v>
      </c>
    </row>
    <row r="2072" spans="1:17" hidden="1">
      <c r="A2072" s="12">
        <v>46121</v>
      </c>
      <c r="B2072" s="10">
        <v>13</v>
      </c>
      <c r="Q2072" s="10" t="str">
        <f t="shared" si="32"/>
        <v>Incomplete</v>
      </c>
    </row>
    <row r="2073" spans="1:17" hidden="1">
      <c r="A2073" s="12">
        <v>46121</v>
      </c>
      <c r="B2073" s="10">
        <v>14</v>
      </c>
      <c r="Q2073" s="10" t="str">
        <f t="shared" si="32"/>
        <v>Incomplete</v>
      </c>
    </row>
    <row r="2074" spans="1:17" hidden="1">
      <c r="A2074" s="12">
        <v>46121</v>
      </c>
      <c r="B2074" s="10">
        <v>15</v>
      </c>
      <c r="Q2074" s="10" t="str">
        <f t="shared" si="32"/>
        <v>Incomplete</v>
      </c>
    </row>
    <row r="2075" spans="1:17" hidden="1">
      <c r="A2075" s="12">
        <v>46121</v>
      </c>
      <c r="B2075" s="10">
        <v>16</v>
      </c>
      <c r="Q2075" s="10" t="str">
        <f t="shared" si="32"/>
        <v>Incomplete</v>
      </c>
    </row>
    <row r="2076" spans="1:17" hidden="1">
      <c r="A2076" s="12">
        <v>46121</v>
      </c>
      <c r="B2076" s="10">
        <v>17</v>
      </c>
      <c r="Q2076" s="10" t="str">
        <f t="shared" si="32"/>
        <v>Incomplete</v>
      </c>
    </row>
    <row r="2077" spans="1:17" hidden="1">
      <c r="A2077" s="12">
        <v>46121</v>
      </c>
      <c r="B2077" s="10">
        <v>18</v>
      </c>
      <c r="Q2077" s="10" t="str">
        <f t="shared" si="32"/>
        <v>Incomplete</v>
      </c>
    </row>
    <row r="2078" spans="1:17" hidden="1">
      <c r="A2078" s="12">
        <v>46121</v>
      </c>
      <c r="B2078" s="10">
        <v>19</v>
      </c>
      <c r="Q2078" s="10" t="str">
        <f t="shared" si="32"/>
        <v>Incomplete</v>
      </c>
    </row>
    <row r="2079" spans="1:17" hidden="1">
      <c r="A2079" s="12">
        <v>46121</v>
      </c>
      <c r="B2079" s="10">
        <v>20</v>
      </c>
      <c r="Q2079" s="10" t="str">
        <f t="shared" si="32"/>
        <v>Incomplete</v>
      </c>
    </row>
    <row r="2080" spans="1:17" hidden="1">
      <c r="A2080" s="12">
        <v>46121</v>
      </c>
      <c r="B2080" s="10">
        <v>21</v>
      </c>
      <c r="Q2080" s="10" t="str">
        <f t="shared" si="32"/>
        <v>Incomplete</v>
      </c>
    </row>
    <row r="2081" spans="1:17" hidden="1">
      <c r="A2081" s="12">
        <v>46122</v>
      </c>
      <c r="B2081" s="10">
        <v>1</v>
      </c>
      <c r="Q2081" s="10" t="str">
        <f t="shared" si="32"/>
        <v>Incomplete</v>
      </c>
    </row>
    <row r="2082" spans="1:17" hidden="1">
      <c r="A2082" s="12">
        <v>46122</v>
      </c>
      <c r="B2082" s="10">
        <v>2</v>
      </c>
      <c r="Q2082" s="10" t="str">
        <f t="shared" si="32"/>
        <v>Incomplete</v>
      </c>
    </row>
    <row r="2083" spans="1:17" hidden="1">
      <c r="A2083" s="12">
        <v>46122</v>
      </c>
      <c r="B2083" s="10">
        <v>3</v>
      </c>
      <c r="Q2083" s="10" t="str">
        <f t="shared" si="32"/>
        <v>Incomplete</v>
      </c>
    </row>
    <row r="2084" spans="1:17" hidden="1">
      <c r="A2084" s="12">
        <v>46122</v>
      </c>
      <c r="B2084" s="10">
        <v>4</v>
      </c>
      <c r="Q2084" s="10" t="str">
        <f t="shared" si="32"/>
        <v>Incomplete</v>
      </c>
    </row>
    <row r="2085" spans="1:17" hidden="1">
      <c r="A2085" s="12">
        <v>46122</v>
      </c>
      <c r="B2085" s="10">
        <v>5</v>
      </c>
      <c r="Q2085" s="10" t="str">
        <f t="shared" si="32"/>
        <v>Incomplete</v>
      </c>
    </row>
    <row r="2086" spans="1:17" hidden="1">
      <c r="A2086" s="12">
        <v>46122</v>
      </c>
      <c r="B2086" s="10">
        <v>6</v>
      </c>
      <c r="Q2086" s="10" t="str">
        <f t="shared" si="32"/>
        <v>Incomplete</v>
      </c>
    </row>
    <row r="2087" spans="1:17" hidden="1">
      <c r="A2087" s="12">
        <v>46122</v>
      </c>
      <c r="B2087" s="10">
        <v>7</v>
      </c>
      <c r="Q2087" s="10" t="str">
        <f t="shared" si="32"/>
        <v>Incomplete</v>
      </c>
    </row>
    <row r="2088" spans="1:17" hidden="1">
      <c r="A2088" s="12">
        <v>46122</v>
      </c>
      <c r="B2088" s="10">
        <v>8</v>
      </c>
      <c r="Q2088" s="10" t="str">
        <f t="shared" si="32"/>
        <v>Incomplete</v>
      </c>
    </row>
    <row r="2089" spans="1:17" hidden="1">
      <c r="A2089" s="12">
        <v>46122</v>
      </c>
      <c r="B2089" s="10">
        <v>9</v>
      </c>
      <c r="Q2089" s="10" t="str">
        <f t="shared" si="32"/>
        <v>Incomplete</v>
      </c>
    </row>
    <row r="2090" spans="1:17" hidden="1">
      <c r="A2090" s="12">
        <v>46122</v>
      </c>
      <c r="B2090" s="10">
        <v>10</v>
      </c>
      <c r="Q2090" s="10" t="str">
        <f t="shared" si="32"/>
        <v>Incomplete</v>
      </c>
    </row>
    <row r="2091" spans="1:17" hidden="1">
      <c r="A2091" s="12">
        <v>46122</v>
      </c>
      <c r="B2091" s="10">
        <v>11</v>
      </c>
      <c r="Q2091" s="10" t="str">
        <f t="shared" si="32"/>
        <v>Incomplete</v>
      </c>
    </row>
    <row r="2092" spans="1:17" hidden="1">
      <c r="A2092" s="12">
        <v>46122</v>
      </c>
      <c r="B2092" s="10">
        <v>12</v>
      </c>
      <c r="Q2092" s="10" t="str">
        <f t="shared" si="32"/>
        <v>Incomplete</v>
      </c>
    </row>
    <row r="2093" spans="1:17" hidden="1">
      <c r="A2093" s="12">
        <v>46122</v>
      </c>
      <c r="B2093" s="10">
        <v>13</v>
      </c>
      <c r="Q2093" s="10" t="str">
        <f t="shared" si="32"/>
        <v>Incomplete</v>
      </c>
    </row>
    <row r="2094" spans="1:17" hidden="1">
      <c r="A2094" s="12">
        <v>46122</v>
      </c>
      <c r="B2094" s="10">
        <v>14</v>
      </c>
      <c r="Q2094" s="10" t="str">
        <f t="shared" si="32"/>
        <v>Incomplete</v>
      </c>
    </row>
    <row r="2095" spans="1:17" hidden="1">
      <c r="A2095" s="12">
        <v>46122</v>
      </c>
      <c r="B2095" s="10">
        <v>15</v>
      </c>
      <c r="Q2095" s="10" t="str">
        <f t="shared" si="32"/>
        <v>Incomplete</v>
      </c>
    </row>
    <row r="2096" spans="1:17" hidden="1">
      <c r="A2096" s="12">
        <v>46122</v>
      </c>
      <c r="B2096" s="10">
        <v>16</v>
      </c>
      <c r="Q2096" s="10" t="str">
        <f t="shared" si="32"/>
        <v>Incomplete</v>
      </c>
    </row>
    <row r="2097" spans="1:17" hidden="1">
      <c r="A2097" s="12">
        <v>46122</v>
      </c>
      <c r="B2097" s="10">
        <v>17</v>
      </c>
      <c r="Q2097" s="10" t="str">
        <f t="shared" si="32"/>
        <v>Incomplete</v>
      </c>
    </row>
    <row r="2098" spans="1:17" hidden="1">
      <c r="A2098" s="12">
        <v>46122</v>
      </c>
      <c r="B2098" s="10">
        <v>18</v>
      </c>
      <c r="Q2098" s="10" t="str">
        <f t="shared" si="32"/>
        <v>Incomplete</v>
      </c>
    </row>
    <row r="2099" spans="1:17" hidden="1">
      <c r="A2099" s="12">
        <v>46122</v>
      </c>
      <c r="B2099" s="10">
        <v>19</v>
      </c>
      <c r="Q2099" s="10" t="str">
        <f t="shared" si="32"/>
        <v>Incomplete</v>
      </c>
    </row>
    <row r="2100" spans="1:17" hidden="1">
      <c r="A2100" s="12">
        <v>46122</v>
      </c>
      <c r="B2100" s="10">
        <v>20</v>
      </c>
      <c r="Q2100" s="10" t="str">
        <f t="shared" si="32"/>
        <v>Incomplete</v>
      </c>
    </row>
    <row r="2101" spans="1:17" hidden="1">
      <c r="A2101" s="12">
        <v>46122</v>
      </c>
      <c r="B2101" s="10">
        <v>21</v>
      </c>
      <c r="Q2101" s="10" t="str">
        <f t="shared" si="32"/>
        <v>Incomplete</v>
      </c>
    </row>
    <row r="2102" spans="1:17" hidden="1">
      <c r="A2102" s="12">
        <v>46123</v>
      </c>
      <c r="B2102" s="10">
        <v>1</v>
      </c>
      <c r="Q2102" s="10" t="str">
        <f t="shared" si="32"/>
        <v>Incomplete</v>
      </c>
    </row>
    <row r="2103" spans="1:17" hidden="1">
      <c r="A2103" s="12">
        <v>46123</v>
      </c>
      <c r="B2103" s="10">
        <v>2</v>
      </c>
      <c r="Q2103" s="10" t="str">
        <f t="shared" si="32"/>
        <v>Incomplete</v>
      </c>
    </row>
    <row r="2104" spans="1:17" hidden="1">
      <c r="A2104" s="12">
        <v>46123</v>
      </c>
      <c r="B2104" s="10">
        <v>3</v>
      </c>
      <c r="Q2104" s="10" t="str">
        <f t="shared" si="32"/>
        <v>Incomplete</v>
      </c>
    </row>
    <row r="2105" spans="1:17" hidden="1">
      <c r="A2105" s="12">
        <v>46123</v>
      </c>
      <c r="B2105" s="10">
        <v>4</v>
      </c>
      <c r="Q2105" s="10" t="str">
        <f t="shared" si="32"/>
        <v>Incomplete</v>
      </c>
    </row>
    <row r="2106" spans="1:17" hidden="1">
      <c r="A2106" s="12">
        <v>46123</v>
      </c>
      <c r="B2106" s="10">
        <v>5</v>
      </c>
      <c r="Q2106" s="10" t="str">
        <f t="shared" si="32"/>
        <v>Incomplete</v>
      </c>
    </row>
    <row r="2107" spans="1:17" hidden="1">
      <c r="A2107" s="12">
        <v>46123</v>
      </c>
      <c r="B2107" s="10">
        <v>6</v>
      </c>
      <c r="Q2107" s="10" t="str">
        <f t="shared" si="32"/>
        <v>Incomplete</v>
      </c>
    </row>
    <row r="2108" spans="1:17" hidden="1">
      <c r="A2108" s="12">
        <v>46123</v>
      </c>
      <c r="B2108" s="10">
        <v>7</v>
      </c>
      <c r="Q2108" s="10" t="str">
        <f t="shared" si="32"/>
        <v>Incomplete</v>
      </c>
    </row>
    <row r="2109" spans="1:17" hidden="1">
      <c r="A2109" s="12">
        <v>46123</v>
      </c>
      <c r="B2109" s="10">
        <v>8</v>
      </c>
      <c r="Q2109" s="10" t="str">
        <f t="shared" si="32"/>
        <v>Incomplete</v>
      </c>
    </row>
    <row r="2110" spans="1:17" hidden="1">
      <c r="A2110" s="12">
        <v>46123</v>
      </c>
      <c r="B2110" s="10">
        <v>9</v>
      </c>
      <c r="Q2110" s="10" t="str">
        <f t="shared" si="32"/>
        <v>Incomplete</v>
      </c>
    </row>
    <row r="2111" spans="1:17" hidden="1">
      <c r="A2111" s="12">
        <v>46123</v>
      </c>
      <c r="B2111" s="10">
        <v>10</v>
      </c>
      <c r="Q2111" s="10" t="str">
        <f t="shared" si="32"/>
        <v>Incomplete</v>
      </c>
    </row>
    <row r="2112" spans="1:17" hidden="1">
      <c r="A2112" s="12">
        <v>46123</v>
      </c>
      <c r="B2112" s="10">
        <v>11</v>
      </c>
      <c r="Q2112" s="10" t="str">
        <f t="shared" si="32"/>
        <v>Incomplete</v>
      </c>
    </row>
    <row r="2113" spans="1:17" hidden="1">
      <c r="A2113" s="12">
        <v>46123</v>
      </c>
      <c r="B2113" s="10">
        <v>12</v>
      </c>
      <c r="Q2113" s="10" t="str">
        <f t="shared" si="32"/>
        <v>Incomplete</v>
      </c>
    </row>
    <row r="2114" spans="1:17" hidden="1">
      <c r="A2114" s="12">
        <v>46123</v>
      </c>
      <c r="B2114" s="10">
        <v>13</v>
      </c>
      <c r="Q2114" s="10" t="str">
        <f t="shared" ref="Q2114:Q2177" si="33">IF(AND(C2114&lt;&gt;"",J2114&lt;&gt;"",K2114&lt;&gt;"",L2114&lt;&gt;"",O2114="Yes"),"Complete","Incomplete")</f>
        <v>Incomplete</v>
      </c>
    </row>
    <row r="2115" spans="1:17" hidden="1">
      <c r="A2115" s="12">
        <v>46123</v>
      </c>
      <c r="B2115" s="10">
        <v>14</v>
      </c>
      <c r="Q2115" s="10" t="str">
        <f t="shared" si="33"/>
        <v>Incomplete</v>
      </c>
    </row>
    <row r="2116" spans="1:17" hidden="1">
      <c r="A2116" s="12">
        <v>46123</v>
      </c>
      <c r="B2116" s="10">
        <v>15</v>
      </c>
      <c r="Q2116" s="10" t="str">
        <f t="shared" si="33"/>
        <v>Incomplete</v>
      </c>
    </row>
    <row r="2117" spans="1:17" hidden="1">
      <c r="A2117" s="12">
        <v>46123</v>
      </c>
      <c r="B2117" s="10">
        <v>16</v>
      </c>
      <c r="Q2117" s="10" t="str">
        <f t="shared" si="33"/>
        <v>Incomplete</v>
      </c>
    </row>
    <row r="2118" spans="1:17" hidden="1">
      <c r="A2118" s="12">
        <v>46123</v>
      </c>
      <c r="B2118" s="10">
        <v>17</v>
      </c>
      <c r="Q2118" s="10" t="str">
        <f t="shared" si="33"/>
        <v>Incomplete</v>
      </c>
    </row>
    <row r="2119" spans="1:17" hidden="1">
      <c r="A2119" s="12">
        <v>46123</v>
      </c>
      <c r="B2119" s="10">
        <v>18</v>
      </c>
      <c r="Q2119" s="10" t="str">
        <f t="shared" si="33"/>
        <v>Incomplete</v>
      </c>
    </row>
    <row r="2120" spans="1:17" hidden="1">
      <c r="A2120" s="12">
        <v>46123</v>
      </c>
      <c r="B2120" s="10">
        <v>19</v>
      </c>
      <c r="Q2120" s="10" t="str">
        <f t="shared" si="33"/>
        <v>Incomplete</v>
      </c>
    </row>
    <row r="2121" spans="1:17" hidden="1">
      <c r="A2121" s="12">
        <v>46123</v>
      </c>
      <c r="B2121" s="10">
        <v>20</v>
      </c>
      <c r="Q2121" s="10" t="str">
        <f t="shared" si="33"/>
        <v>Incomplete</v>
      </c>
    </row>
    <row r="2122" spans="1:17" hidden="1">
      <c r="A2122" s="12">
        <v>46123</v>
      </c>
      <c r="B2122" s="10">
        <v>21</v>
      </c>
      <c r="Q2122" s="10" t="str">
        <f t="shared" si="33"/>
        <v>Incomplete</v>
      </c>
    </row>
    <row r="2123" spans="1:17" hidden="1">
      <c r="A2123" s="12">
        <v>46124</v>
      </c>
      <c r="B2123" s="10">
        <v>1</v>
      </c>
      <c r="Q2123" s="10" t="str">
        <f t="shared" si="33"/>
        <v>Incomplete</v>
      </c>
    </row>
    <row r="2124" spans="1:17" hidden="1">
      <c r="A2124" s="12">
        <v>46124</v>
      </c>
      <c r="B2124" s="10">
        <v>2</v>
      </c>
      <c r="Q2124" s="10" t="str">
        <f t="shared" si="33"/>
        <v>Incomplete</v>
      </c>
    </row>
    <row r="2125" spans="1:17" hidden="1">
      <c r="A2125" s="12">
        <v>46124</v>
      </c>
      <c r="B2125" s="10">
        <v>3</v>
      </c>
      <c r="Q2125" s="10" t="str">
        <f t="shared" si="33"/>
        <v>Incomplete</v>
      </c>
    </row>
    <row r="2126" spans="1:17" hidden="1">
      <c r="A2126" s="12">
        <v>46124</v>
      </c>
      <c r="B2126" s="10">
        <v>4</v>
      </c>
      <c r="Q2126" s="10" t="str">
        <f t="shared" si="33"/>
        <v>Incomplete</v>
      </c>
    </row>
    <row r="2127" spans="1:17" hidden="1">
      <c r="A2127" s="12">
        <v>46124</v>
      </c>
      <c r="B2127" s="10">
        <v>5</v>
      </c>
      <c r="Q2127" s="10" t="str">
        <f t="shared" si="33"/>
        <v>Incomplete</v>
      </c>
    </row>
    <row r="2128" spans="1:17" hidden="1">
      <c r="A2128" s="12">
        <v>46124</v>
      </c>
      <c r="B2128" s="10">
        <v>6</v>
      </c>
      <c r="Q2128" s="10" t="str">
        <f t="shared" si="33"/>
        <v>Incomplete</v>
      </c>
    </row>
    <row r="2129" spans="1:17" hidden="1">
      <c r="A2129" s="12">
        <v>46124</v>
      </c>
      <c r="B2129" s="10">
        <v>7</v>
      </c>
      <c r="Q2129" s="10" t="str">
        <f t="shared" si="33"/>
        <v>Incomplete</v>
      </c>
    </row>
    <row r="2130" spans="1:17" hidden="1">
      <c r="A2130" s="12">
        <v>46124</v>
      </c>
      <c r="B2130" s="10">
        <v>8</v>
      </c>
      <c r="Q2130" s="10" t="str">
        <f t="shared" si="33"/>
        <v>Incomplete</v>
      </c>
    </row>
    <row r="2131" spans="1:17" hidden="1">
      <c r="A2131" s="12">
        <v>46124</v>
      </c>
      <c r="B2131" s="10">
        <v>9</v>
      </c>
      <c r="Q2131" s="10" t="str">
        <f t="shared" si="33"/>
        <v>Incomplete</v>
      </c>
    </row>
    <row r="2132" spans="1:17" hidden="1">
      <c r="A2132" s="12">
        <v>46124</v>
      </c>
      <c r="B2132" s="10">
        <v>10</v>
      </c>
      <c r="Q2132" s="10" t="str">
        <f t="shared" si="33"/>
        <v>Incomplete</v>
      </c>
    </row>
    <row r="2133" spans="1:17" hidden="1">
      <c r="A2133" s="12">
        <v>46124</v>
      </c>
      <c r="B2133" s="10">
        <v>11</v>
      </c>
      <c r="Q2133" s="10" t="str">
        <f t="shared" si="33"/>
        <v>Incomplete</v>
      </c>
    </row>
    <row r="2134" spans="1:17" hidden="1">
      <c r="A2134" s="12">
        <v>46124</v>
      </c>
      <c r="B2134" s="10">
        <v>12</v>
      </c>
      <c r="Q2134" s="10" t="str">
        <f t="shared" si="33"/>
        <v>Incomplete</v>
      </c>
    </row>
    <row r="2135" spans="1:17" hidden="1">
      <c r="A2135" s="12">
        <v>46124</v>
      </c>
      <c r="B2135" s="10">
        <v>13</v>
      </c>
      <c r="Q2135" s="10" t="str">
        <f t="shared" si="33"/>
        <v>Incomplete</v>
      </c>
    </row>
    <row r="2136" spans="1:17" hidden="1">
      <c r="A2136" s="12">
        <v>46124</v>
      </c>
      <c r="B2136" s="10">
        <v>14</v>
      </c>
      <c r="Q2136" s="10" t="str">
        <f t="shared" si="33"/>
        <v>Incomplete</v>
      </c>
    </row>
    <row r="2137" spans="1:17" hidden="1">
      <c r="A2137" s="12">
        <v>46124</v>
      </c>
      <c r="B2137" s="10">
        <v>15</v>
      </c>
      <c r="Q2137" s="10" t="str">
        <f t="shared" si="33"/>
        <v>Incomplete</v>
      </c>
    </row>
    <row r="2138" spans="1:17" hidden="1">
      <c r="A2138" s="12">
        <v>46124</v>
      </c>
      <c r="B2138" s="10">
        <v>16</v>
      </c>
      <c r="Q2138" s="10" t="str">
        <f t="shared" si="33"/>
        <v>Incomplete</v>
      </c>
    </row>
    <row r="2139" spans="1:17" hidden="1">
      <c r="A2139" s="12">
        <v>46124</v>
      </c>
      <c r="B2139" s="10">
        <v>17</v>
      </c>
      <c r="Q2139" s="10" t="str">
        <f t="shared" si="33"/>
        <v>Incomplete</v>
      </c>
    </row>
    <row r="2140" spans="1:17" hidden="1">
      <c r="A2140" s="12">
        <v>46124</v>
      </c>
      <c r="B2140" s="10">
        <v>18</v>
      </c>
      <c r="Q2140" s="10" t="str">
        <f t="shared" si="33"/>
        <v>Incomplete</v>
      </c>
    </row>
    <row r="2141" spans="1:17" hidden="1">
      <c r="A2141" s="12">
        <v>46124</v>
      </c>
      <c r="B2141" s="10">
        <v>19</v>
      </c>
      <c r="Q2141" s="10" t="str">
        <f t="shared" si="33"/>
        <v>Incomplete</v>
      </c>
    </row>
    <row r="2142" spans="1:17" hidden="1">
      <c r="A2142" s="12">
        <v>46124</v>
      </c>
      <c r="B2142" s="10">
        <v>20</v>
      </c>
      <c r="Q2142" s="10" t="str">
        <f t="shared" si="33"/>
        <v>Incomplete</v>
      </c>
    </row>
    <row r="2143" spans="1:17" hidden="1">
      <c r="A2143" s="12">
        <v>46124</v>
      </c>
      <c r="B2143" s="10">
        <v>21</v>
      </c>
      <c r="Q2143" s="10" t="str">
        <f t="shared" si="33"/>
        <v>Incomplete</v>
      </c>
    </row>
    <row r="2144" spans="1:17" hidden="1">
      <c r="A2144" s="12">
        <v>46125</v>
      </c>
      <c r="B2144" s="10">
        <v>1</v>
      </c>
      <c r="Q2144" s="10" t="str">
        <f t="shared" si="33"/>
        <v>Incomplete</v>
      </c>
    </row>
    <row r="2145" spans="1:17" hidden="1">
      <c r="A2145" s="12">
        <v>46125</v>
      </c>
      <c r="B2145" s="10">
        <v>2</v>
      </c>
      <c r="Q2145" s="10" t="str">
        <f t="shared" si="33"/>
        <v>Incomplete</v>
      </c>
    </row>
    <row r="2146" spans="1:17" hidden="1">
      <c r="A2146" s="12">
        <v>46125</v>
      </c>
      <c r="B2146" s="10">
        <v>3</v>
      </c>
      <c r="Q2146" s="10" t="str">
        <f t="shared" si="33"/>
        <v>Incomplete</v>
      </c>
    </row>
    <row r="2147" spans="1:17" hidden="1">
      <c r="A2147" s="12">
        <v>46125</v>
      </c>
      <c r="B2147" s="10">
        <v>4</v>
      </c>
      <c r="Q2147" s="10" t="str">
        <f t="shared" si="33"/>
        <v>Incomplete</v>
      </c>
    </row>
    <row r="2148" spans="1:17" hidden="1">
      <c r="A2148" s="12">
        <v>46125</v>
      </c>
      <c r="B2148" s="10">
        <v>5</v>
      </c>
      <c r="Q2148" s="10" t="str">
        <f t="shared" si="33"/>
        <v>Incomplete</v>
      </c>
    </row>
    <row r="2149" spans="1:17" hidden="1">
      <c r="A2149" s="12">
        <v>46125</v>
      </c>
      <c r="B2149" s="10">
        <v>6</v>
      </c>
      <c r="Q2149" s="10" t="str">
        <f t="shared" si="33"/>
        <v>Incomplete</v>
      </c>
    </row>
    <row r="2150" spans="1:17" hidden="1">
      <c r="A2150" s="12">
        <v>46125</v>
      </c>
      <c r="B2150" s="10">
        <v>7</v>
      </c>
      <c r="Q2150" s="10" t="str">
        <f t="shared" si="33"/>
        <v>Incomplete</v>
      </c>
    </row>
    <row r="2151" spans="1:17" hidden="1">
      <c r="A2151" s="12">
        <v>46125</v>
      </c>
      <c r="B2151" s="10">
        <v>8</v>
      </c>
      <c r="Q2151" s="10" t="str">
        <f t="shared" si="33"/>
        <v>Incomplete</v>
      </c>
    </row>
    <row r="2152" spans="1:17" hidden="1">
      <c r="A2152" s="12">
        <v>46125</v>
      </c>
      <c r="B2152" s="10">
        <v>9</v>
      </c>
      <c r="Q2152" s="10" t="str">
        <f t="shared" si="33"/>
        <v>Incomplete</v>
      </c>
    </row>
    <row r="2153" spans="1:17" hidden="1">
      <c r="A2153" s="12">
        <v>46125</v>
      </c>
      <c r="B2153" s="10">
        <v>10</v>
      </c>
      <c r="Q2153" s="10" t="str">
        <f t="shared" si="33"/>
        <v>Incomplete</v>
      </c>
    </row>
    <row r="2154" spans="1:17" hidden="1">
      <c r="A2154" s="12">
        <v>46125</v>
      </c>
      <c r="B2154" s="10">
        <v>11</v>
      </c>
      <c r="Q2154" s="10" t="str">
        <f t="shared" si="33"/>
        <v>Incomplete</v>
      </c>
    </row>
    <row r="2155" spans="1:17" hidden="1">
      <c r="A2155" s="12">
        <v>46125</v>
      </c>
      <c r="B2155" s="10">
        <v>12</v>
      </c>
      <c r="Q2155" s="10" t="str">
        <f t="shared" si="33"/>
        <v>Incomplete</v>
      </c>
    </row>
    <row r="2156" spans="1:17" hidden="1">
      <c r="A2156" s="12">
        <v>46125</v>
      </c>
      <c r="B2156" s="10">
        <v>13</v>
      </c>
      <c r="Q2156" s="10" t="str">
        <f t="shared" si="33"/>
        <v>Incomplete</v>
      </c>
    </row>
    <row r="2157" spans="1:17" hidden="1">
      <c r="A2157" s="12">
        <v>46125</v>
      </c>
      <c r="B2157" s="10">
        <v>14</v>
      </c>
      <c r="Q2157" s="10" t="str">
        <f t="shared" si="33"/>
        <v>Incomplete</v>
      </c>
    </row>
    <row r="2158" spans="1:17" hidden="1">
      <c r="A2158" s="12">
        <v>46125</v>
      </c>
      <c r="B2158" s="10">
        <v>15</v>
      </c>
      <c r="Q2158" s="10" t="str">
        <f t="shared" si="33"/>
        <v>Incomplete</v>
      </c>
    </row>
    <row r="2159" spans="1:17" hidden="1">
      <c r="A2159" s="12">
        <v>46125</v>
      </c>
      <c r="B2159" s="10">
        <v>16</v>
      </c>
      <c r="Q2159" s="10" t="str">
        <f t="shared" si="33"/>
        <v>Incomplete</v>
      </c>
    </row>
    <row r="2160" spans="1:17" hidden="1">
      <c r="A2160" s="12">
        <v>46125</v>
      </c>
      <c r="B2160" s="10">
        <v>17</v>
      </c>
      <c r="Q2160" s="10" t="str">
        <f t="shared" si="33"/>
        <v>Incomplete</v>
      </c>
    </row>
    <row r="2161" spans="1:17" hidden="1">
      <c r="A2161" s="12">
        <v>46125</v>
      </c>
      <c r="B2161" s="10">
        <v>18</v>
      </c>
      <c r="Q2161" s="10" t="str">
        <f t="shared" si="33"/>
        <v>Incomplete</v>
      </c>
    </row>
    <row r="2162" spans="1:17" hidden="1">
      <c r="A2162" s="12">
        <v>46125</v>
      </c>
      <c r="B2162" s="10">
        <v>19</v>
      </c>
      <c r="Q2162" s="10" t="str">
        <f t="shared" si="33"/>
        <v>Incomplete</v>
      </c>
    </row>
    <row r="2163" spans="1:17" hidden="1">
      <c r="A2163" s="12">
        <v>46125</v>
      </c>
      <c r="B2163" s="10">
        <v>20</v>
      </c>
      <c r="Q2163" s="10" t="str">
        <f t="shared" si="33"/>
        <v>Incomplete</v>
      </c>
    </row>
    <row r="2164" spans="1:17" hidden="1">
      <c r="A2164" s="12">
        <v>46125</v>
      </c>
      <c r="B2164" s="10">
        <v>21</v>
      </c>
      <c r="Q2164" s="10" t="str">
        <f t="shared" si="33"/>
        <v>Incomplete</v>
      </c>
    </row>
    <row r="2165" spans="1:17" hidden="1">
      <c r="A2165" s="12">
        <v>46126</v>
      </c>
      <c r="B2165" s="10">
        <v>1</v>
      </c>
      <c r="Q2165" s="10" t="str">
        <f t="shared" si="33"/>
        <v>Incomplete</v>
      </c>
    </row>
    <row r="2166" spans="1:17" hidden="1">
      <c r="A2166" s="12">
        <v>46126</v>
      </c>
      <c r="B2166" s="10">
        <v>2</v>
      </c>
      <c r="Q2166" s="10" t="str">
        <f t="shared" si="33"/>
        <v>Incomplete</v>
      </c>
    </row>
    <row r="2167" spans="1:17" hidden="1">
      <c r="A2167" s="12">
        <v>46126</v>
      </c>
      <c r="B2167" s="10">
        <v>3</v>
      </c>
      <c r="Q2167" s="10" t="str">
        <f t="shared" si="33"/>
        <v>Incomplete</v>
      </c>
    </row>
    <row r="2168" spans="1:17" hidden="1">
      <c r="A2168" s="12">
        <v>46126</v>
      </c>
      <c r="B2168" s="10">
        <v>4</v>
      </c>
      <c r="Q2168" s="10" t="str">
        <f t="shared" si="33"/>
        <v>Incomplete</v>
      </c>
    </row>
    <row r="2169" spans="1:17" hidden="1">
      <c r="A2169" s="12">
        <v>46126</v>
      </c>
      <c r="B2169" s="10">
        <v>5</v>
      </c>
      <c r="Q2169" s="10" t="str">
        <f t="shared" si="33"/>
        <v>Incomplete</v>
      </c>
    </row>
    <row r="2170" spans="1:17" hidden="1">
      <c r="A2170" s="12">
        <v>46126</v>
      </c>
      <c r="B2170" s="10">
        <v>6</v>
      </c>
      <c r="Q2170" s="10" t="str">
        <f t="shared" si="33"/>
        <v>Incomplete</v>
      </c>
    </row>
    <row r="2171" spans="1:17" hidden="1">
      <c r="A2171" s="12">
        <v>46126</v>
      </c>
      <c r="B2171" s="10">
        <v>7</v>
      </c>
      <c r="Q2171" s="10" t="str">
        <f t="shared" si="33"/>
        <v>Incomplete</v>
      </c>
    </row>
    <row r="2172" spans="1:17" hidden="1">
      <c r="A2172" s="12">
        <v>46126</v>
      </c>
      <c r="B2172" s="10">
        <v>8</v>
      </c>
      <c r="Q2172" s="10" t="str">
        <f t="shared" si="33"/>
        <v>Incomplete</v>
      </c>
    </row>
    <row r="2173" spans="1:17" hidden="1">
      <c r="A2173" s="12">
        <v>46126</v>
      </c>
      <c r="B2173" s="10">
        <v>9</v>
      </c>
      <c r="Q2173" s="10" t="str">
        <f t="shared" si="33"/>
        <v>Incomplete</v>
      </c>
    </row>
    <row r="2174" spans="1:17" hidden="1">
      <c r="A2174" s="12">
        <v>46126</v>
      </c>
      <c r="B2174" s="10">
        <v>10</v>
      </c>
      <c r="Q2174" s="10" t="str">
        <f t="shared" si="33"/>
        <v>Incomplete</v>
      </c>
    </row>
    <row r="2175" spans="1:17" hidden="1">
      <c r="A2175" s="12">
        <v>46126</v>
      </c>
      <c r="B2175" s="10">
        <v>11</v>
      </c>
      <c r="Q2175" s="10" t="str">
        <f t="shared" si="33"/>
        <v>Incomplete</v>
      </c>
    </row>
    <row r="2176" spans="1:17" hidden="1">
      <c r="A2176" s="12">
        <v>46126</v>
      </c>
      <c r="B2176" s="10">
        <v>12</v>
      </c>
      <c r="Q2176" s="10" t="str">
        <f t="shared" si="33"/>
        <v>Incomplete</v>
      </c>
    </row>
    <row r="2177" spans="1:17" hidden="1">
      <c r="A2177" s="12">
        <v>46126</v>
      </c>
      <c r="B2177" s="10">
        <v>13</v>
      </c>
      <c r="Q2177" s="10" t="str">
        <f t="shared" si="33"/>
        <v>Incomplete</v>
      </c>
    </row>
    <row r="2178" spans="1:17" hidden="1">
      <c r="A2178" s="12">
        <v>46126</v>
      </c>
      <c r="B2178" s="10">
        <v>14</v>
      </c>
      <c r="Q2178" s="10" t="str">
        <f t="shared" ref="Q2178:Q2241" si="34">IF(AND(C2178&lt;&gt;"",J2178&lt;&gt;"",K2178&lt;&gt;"",L2178&lt;&gt;"",O2178="Yes"),"Complete","Incomplete")</f>
        <v>Incomplete</v>
      </c>
    </row>
    <row r="2179" spans="1:17" hidden="1">
      <c r="A2179" s="12">
        <v>46126</v>
      </c>
      <c r="B2179" s="10">
        <v>15</v>
      </c>
      <c r="Q2179" s="10" t="str">
        <f t="shared" si="34"/>
        <v>Incomplete</v>
      </c>
    </row>
    <row r="2180" spans="1:17" hidden="1">
      <c r="A2180" s="12">
        <v>46126</v>
      </c>
      <c r="B2180" s="10">
        <v>16</v>
      </c>
      <c r="Q2180" s="10" t="str">
        <f t="shared" si="34"/>
        <v>Incomplete</v>
      </c>
    </row>
    <row r="2181" spans="1:17" hidden="1">
      <c r="A2181" s="12">
        <v>46126</v>
      </c>
      <c r="B2181" s="10">
        <v>17</v>
      </c>
      <c r="Q2181" s="10" t="str">
        <f t="shared" si="34"/>
        <v>Incomplete</v>
      </c>
    </row>
    <row r="2182" spans="1:17" hidden="1">
      <c r="A2182" s="12">
        <v>46126</v>
      </c>
      <c r="B2182" s="10">
        <v>18</v>
      </c>
      <c r="Q2182" s="10" t="str">
        <f t="shared" si="34"/>
        <v>Incomplete</v>
      </c>
    </row>
    <row r="2183" spans="1:17" hidden="1">
      <c r="A2183" s="12">
        <v>46126</v>
      </c>
      <c r="B2183" s="10">
        <v>19</v>
      </c>
      <c r="Q2183" s="10" t="str">
        <f t="shared" si="34"/>
        <v>Incomplete</v>
      </c>
    </row>
    <row r="2184" spans="1:17" hidden="1">
      <c r="A2184" s="12">
        <v>46126</v>
      </c>
      <c r="B2184" s="10">
        <v>20</v>
      </c>
      <c r="Q2184" s="10" t="str">
        <f t="shared" si="34"/>
        <v>Incomplete</v>
      </c>
    </row>
    <row r="2185" spans="1:17" hidden="1">
      <c r="A2185" s="12">
        <v>46126</v>
      </c>
      <c r="B2185" s="10">
        <v>21</v>
      </c>
      <c r="Q2185" s="10" t="str">
        <f t="shared" si="34"/>
        <v>Incomplete</v>
      </c>
    </row>
    <row r="2186" spans="1:17" hidden="1">
      <c r="A2186" s="12">
        <v>46127</v>
      </c>
      <c r="B2186" s="10">
        <v>1</v>
      </c>
      <c r="Q2186" s="10" t="str">
        <f t="shared" si="34"/>
        <v>Incomplete</v>
      </c>
    </row>
    <row r="2187" spans="1:17" hidden="1">
      <c r="A2187" s="12">
        <v>46127</v>
      </c>
      <c r="B2187" s="10">
        <v>2</v>
      </c>
      <c r="Q2187" s="10" t="str">
        <f t="shared" si="34"/>
        <v>Incomplete</v>
      </c>
    </row>
    <row r="2188" spans="1:17" hidden="1">
      <c r="A2188" s="12">
        <v>46127</v>
      </c>
      <c r="B2188" s="10">
        <v>3</v>
      </c>
      <c r="Q2188" s="10" t="str">
        <f t="shared" si="34"/>
        <v>Incomplete</v>
      </c>
    </row>
    <row r="2189" spans="1:17" hidden="1">
      <c r="A2189" s="12">
        <v>46127</v>
      </c>
      <c r="B2189" s="10">
        <v>4</v>
      </c>
      <c r="Q2189" s="10" t="str">
        <f t="shared" si="34"/>
        <v>Incomplete</v>
      </c>
    </row>
    <row r="2190" spans="1:17" hidden="1">
      <c r="A2190" s="12">
        <v>46127</v>
      </c>
      <c r="B2190" s="10">
        <v>5</v>
      </c>
      <c r="Q2190" s="10" t="str">
        <f t="shared" si="34"/>
        <v>Incomplete</v>
      </c>
    </row>
    <row r="2191" spans="1:17" hidden="1">
      <c r="A2191" s="12">
        <v>46127</v>
      </c>
      <c r="B2191" s="10">
        <v>6</v>
      </c>
      <c r="Q2191" s="10" t="str">
        <f t="shared" si="34"/>
        <v>Incomplete</v>
      </c>
    </row>
    <row r="2192" spans="1:17" hidden="1">
      <c r="A2192" s="12">
        <v>46127</v>
      </c>
      <c r="B2192" s="10">
        <v>7</v>
      </c>
      <c r="Q2192" s="10" t="str">
        <f t="shared" si="34"/>
        <v>Incomplete</v>
      </c>
    </row>
    <row r="2193" spans="1:17" hidden="1">
      <c r="A2193" s="12">
        <v>46127</v>
      </c>
      <c r="B2193" s="10">
        <v>8</v>
      </c>
      <c r="Q2193" s="10" t="str">
        <f t="shared" si="34"/>
        <v>Incomplete</v>
      </c>
    </row>
    <row r="2194" spans="1:17" hidden="1">
      <c r="A2194" s="12">
        <v>46127</v>
      </c>
      <c r="B2194" s="10">
        <v>9</v>
      </c>
      <c r="Q2194" s="10" t="str">
        <f t="shared" si="34"/>
        <v>Incomplete</v>
      </c>
    </row>
    <row r="2195" spans="1:17" hidden="1">
      <c r="A2195" s="12">
        <v>46127</v>
      </c>
      <c r="B2195" s="10">
        <v>10</v>
      </c>
      <c r="Q2195" s="10" t="str">
        <f t="shared" si="34"/>
        <v>Incomplete</v>
      </c>
    </row>
    <row r="2196" spans="1:17" hidden="1">
      <c r="A2196" s="12">
        <v>46127</v>
      </c>
      <c r="B2196" s="10">
        <v>11</v>
      </c>
      <c r="Q2196" s="10" t="str">
        <f t="shared" si="34"/>
        <v>Incomplete</v>
      </c>
    </row>
    <row r="2197" spans="1:17" hidden="1">
      <c r="A2197" s="12">
        <v>46127</v>
      </c>
      <c r="B2197" s="10">
        <v>12</v>
      </c>
      <c r="Q2197" s="10" t="str">
        <f t="shared" si="34"/>
        <v>Incomplete</v>
      </c>
    </row>
    <row r="2198" spans="1:17" hidden="1">
      <c r="A2198" s="12">
        <v>46127</v>
      </c>
      <c r="B2198" s="10">
        <v>13</v>
      </c>
      <c r="Q2198" s="10" t="str">
        <f t="shared" si="34"/>
        <v>Incomplete</v>
      </c>
    </row>
    <row r="2199" spans="1:17" hidden="1">
      <c r="A2199" s="12">
        <v>46127</v>
      </c>
      <c r="B2199" s="10">
        <v>14</v>
      </c>
      <c r="Q2199" s="10" t="str">
        <f t="shared" si="34"/>
        <v>Incomplete</v>
      </c>
    </row>
    <row r="2200" spans="1:17" hidden="1">
      <c r="A2200" s="12">
        <v>46127</v>
      </c>
      <c r="B2200" s="10">
        <v>15</v>
      </c>
      <c r="Q2200" s="10" t="str">
        <f t="shared" si="34"/>
        <v>Incomplete</v>
      </c>
    </row>
    <row r="2201" spans="1:17" hidden="1">
      <c r="A2201" s="12">
        <v>46127</v>
      </c>
      <c r="B2201" s="10">
        <v>16</v>
      </c>
      <c r="Q2201" s="10" t="str">
        <f t="shared" si="34"/>
        <v>Incomplete</v>
      </c>
    </row>
    <row r="2202" spans="1:17" hidden="1">
      <c r="A2202" s="12">
        <v>46127</v>
      </c>
      <c r="B2202" s="10">
        <v>17</v>
      </c>
      <c r="Q2202" s="10" t="str">
        <f t="shared" si="34"/>
        <v>Incomplete</v>
      </c>
    </row>
    <row r="2203" spans="1:17" hidden="1">
      <c r="A2203" s="12">
        <v>46127</v>
      </c>
      <c r="B2203" s="10">
        <v>18</v>
      </c>
      <c r="Q2203" s="10" t="str">
        <f t="shared" si="34"/>
        <v>Incomplete</v>
      </c>
    </row>
    <row r="2204" spans="1:17" hidden="1">
      <c r="A2204" s="12">
        <v>46127</v>
      </c>
      <c r="B2204" s="10">
        <v>19</v>
      </c>
      <c r="Q2204" s="10" t="str">
        <f t="shared" si="34"/>
        <v>Incomplete</v>
      </c>
    </row>
    <row r="2205" spans="1:17" hidden="1">
      <c r="A2205" s="12">
        <v>46127</v>
      </c>
      <c r="B2205" s="10">
        <v>20</v>
      </c>
      <c r="Q2205" s="10" t="str">
        <f t="shared" si="34"/>
        <v>Incomplete</v>
      </c>
    </row>
    <row r="2206" spans="1:17" hidden="1">
      <c r="A2206" s="12">
        <v>46127</v>
      </c>
      <c r="B2206" s="10">
        <v>21</v>
      </c>
      <c r="Q2206" s="10" t="str">
        <f t="shared" si="34"/>
        <v>Incomplete</v>
      </c>
    </row>
    <row r="2207" spans="1:17" hidden="1">
      <c r="A2207" s="12">
        <v>46128</v>
      </c>
      <c r="B2207" s="10">
        <v>1</v>
      </c>
      <c r="Q2207" s="10" t="str">
        <f t="shared" si="34"/>
        <v>Incomplete</v>
      </c>
    </row>
    <row r="2208" spans="1:17" hidden="1">
      <c r="A2208" s="12">
        <v>46128</v>
      </c>
      <c r="B2208" s="10">
        <v>2</v>
      </c>
      <c r="Q2208" s="10" t="str">
        <f t="shared" si="34"/>
        <v>Incomplete</v>
      </c>
    </row>
    <row r="2209" spans="1:17" hidden="1">
      <c r="A2209" s="12">
        <v>46128</v>
      </c>
      <c r="B2209" s="10">
        <v>3</v>
      </c>
      <c r="Q2209" s="10" t="str">
        <f t="shared" si="34"/>
        <v>Incomplete</v>
      </c>
    </row>
    <row r="2210" spans="1:17" hidden="1">
      <c r="A2210" s="12">
        <v>46128</v>
      </c>
      <c r="B2210" s="10">
        <v>4</v>
      </c>
      <c r="Q2210" s="10" t="str">
        <f t="shared" si="34"/>
        <v>Incomplete</v>
      </c>
    </row>
    <row r="2211" spans="1:17" hidden="1">
      <c r="A2211" s="12">
        <v>46128</v>
      </c>
      <c r="B2211" s="10">
        <v>5</v>
      </c>
      <c r="Q2211" s="10" t="str">
        <f t="shared" si="34"/>
        <v>Incomplete</v>
      </c>
    </row>
    <row r="2212" spans="1:17" hidden="1">
      <c r="A2212" s="12">
        <v>46128</v>
      </c>
      <c r="B2212" s="10">
        <v>6</v>
      </c>
      <c r="Q2212" s="10" t="str">
        <f t="shared" si="34"/>
        <v>Incomplete</v>
      </c>
    </row>
    <row r="2213" spans="1:17" hidden="1">
      <c r="A2213" s="12">
        <v>46128</v>
      </c>
      <c r="B2213" s="10">
        <v>7</v>
      </c>
      <c r="Q2213" s="10" t="str">
        <f t="shared" si="34"/>
        <v>Incomplete</v>
      </c>
    </row>
    <row r="2214" spans="1:17" hidden="1">
      <c r="A2214" s="12">
        <v>46128</v>
      </c>
      <c r="B2214" s="10">
        <v>8</v>
      </c>
      <c r="Q2214" s="10" t="str">
        <f t="shared" si="34"/>
        <v>Incomplete</v>
      </c>
    </row>
    <row r="2215" spans="1:17" hidden="1">
      <c r="A2215" s="12">
        <v>46128</v>
      </c>
      <c r="B2215" s="10">
        <v>9</v>
      </c>
      <c r="Q2215" s="10" t="str">
        <f t="shared" si="34"/>
        <v>Incomplete</v>
      </c>
    </row>
    <row r="2216" spans="1:17" hidden="1">
      <c r="A2216" s="12">
        <v>46128</v>
      </c>
      <c r="B2216" s="10">
        <v>10</v>
      </c>
      <c r="Q2216" s="10" t="str">
        <f t="shared" si="34"/>
        <v>Incomplete</v>
      </c>
    </row>
    <row r="2217" spans="1:17" hidden="1">
      <c r="A2217" s="12">
        <v>46128</v>
      </c>
      <c r="B2217" s="10">
        <v>11</v>
      </c>
      <c r="Q2217" s="10" t="str">
        <f t="shared" si="34"/>
        <v>Incomplete</v>
      </c>
    </row>
    <row r="2218" spans="1:17" hidden="1">
      <c r="A2218" s="12">
        <v>46128</v>
      </c>
      <c r="B2218" s="10">
        <v>12</v>
      </c>
      <c r="Q2218" s="10" t="str">
        <f t="shared" si="34"/>
        <v>Incomplete</v>
      </c>
    </row>
    <row r="2219" spans="1:17" hidden="1">
      <c r="A2219" s="12">
        <v>46128</v>
      </c>
      <c r="B2219" s="10">
        <v>13</v>
      </c>
      <c r="Q2219" s="10" t="str">
        <f t="shared" si="34"/>
        <v>Incomplete</v>
      </c>
    </row>
    <row r="2220" spans="1:17" hidden="1">
      <c r="A2220" s="12">
        <v>46128</v>
      </c>
      <c r="B2220" s="10">
        <v>14</v>
      </c>
      <c r="Q2220" s="10" t="str">
        <f t="shared" si="34"/>
        <v>Incomplete</v>
      </c>
    </row>
    <row r="2221" spans="1:17" hidden="1">
      <c r="A2221" s="12">
        <v>46128</v>
      </c>
      <c r="B2221" s="10">
        <v>15</v>
      </c>
      <c r="Q2221" s="10" t="str">
        <f t="shared" si="34"/>
        <v>Incomplete</v>
      </c>
    </row>
    <row r="2222" spans="1:17" hidden="1">
      <c r="A2222" s="12">
        <v>46128</v>
      </c>
      <c r="B2222" s="10">
        <v>16</v>
      </c>
      <c r="Q2222" s="10" t="str">
        <f t="shared" si="34"/>
        <v>Incomplete</v>
      </c>
    </row>
    <row r="2223" spans="1:17" hidden="1">
      <c r="A2223" s="12">
        <v>46128</v>
      </c>
      <c r="B2223" s="10">
        <v>17</v>
      </c>
      <c r="Q2223" s="10" t="str">
        <f t="shared" si="34"/>
        <v>Incomplete</v>
      </c>
    </row>
    <row r="2224" spans="1:17" hidden="1">
      <c r="A2224" s="12">
        <v>46128</v>
      </c>
      <c r="B2224" s="10">
        <v>18</v>
      </c>
      <c r="Q2224" s="10" t="str">
        <f t="shared" si="34"/>
        <v>Incomplete</v>
      </c>
    </row>
    <row r="2225" spans="1:17" hidden="1">
      <c r="A2225" s="12">
        <v>46128</v>
      </c>
      <c r="B2225" s="10">
        <v>19</v>
      </c>
      <c r="Q2225" s="10" t="str">
        <f t="shared" si="34"/>
        <v>Incomplete</v>
      </c>
    </row>
    <row r="2226" spans="1:17" hidden="1">
      <c r="A2226" s="12">
        <v>46128</v>
      </c>
      <c r="B2226" s="10">
        <v>20</v>
      </c>
      <c r="Q2226" s="10" t="str">
        <f t="shared" si="34"/>
        <v>Incomplete</v>
      </c>
    </row>
    <row r="2227" spans="1:17" hidden="1">
      <c r="A2227" s="12">
        <v>46128</v>
      </c>
      <c r="B2227" s="10">
        <v>21</v>
      </c>
      <c r="Q2227" s="10" t="str">
        <f t="shared" si="34"/>
        <v>Incomplete</v>
      </c>
    </row>
    <row r="2228" spans="1:17" hidden="1">
      <c r="A2228" s="12">
        <v>46129</v>
      </c>
      <c r="B2228" s="10">
        <v>1</v>
      </c>
      <c r="Q2228" s="10" t="str">
        <f t="shared" si="34"/>
        <v>Incomplete</v>
      </c>
    </row>
    <row r="2229" spans="1:17" hidden="1">
      <c r="A2229" s="12">
        <v>46129</v>
      </c>
      <c r="B2229" s="10">
        <v>2</v>
      </c>
      <c r="Q2229" s="10" t="str">
        <f t="shared" si="34"/>
        <v>Incomplete</v>
      </c>
    </row>
    <row r="2230" spans="1:17" hidden="1">
      <c r="A2230" s="12">
        <v>46129</v>
      </c>
      <c r="B2230" s="10">
        <v>3</v>
      </c>
      <c r="Q2230" s="10" t="str">
        <f t="shared" si="34"/>
        <v>Incomplete</v>
      </c>
    </row>
    <row r="2231" spans="1:17" hidden="1">
      <c r="A2231" s="12">
        <v>46129</v>
      </c>
      <c r="B2231" s="10">
        <v>4</v>
      </c>
      <c r="Q2231" s="10" t="str">
        <f t="shared" si="34"/>
        <v>Incomplete</v>
      </c>
    </row>
    <row r="2232" spans="1:17" hidden="1">
      <c r="A2232" s="12">
        <v>46129</v>
      </c>
      <c r="B2232" s="10">
        <v>5</v>
      </c>
      <c r="Q2232" s="10" t="str">
        <f t="shared" si="34"/>
        <v>Incomplete</v>
      </c>
    </row>
    <row r="2233" spans="1:17" hidden="1">
      <c r="A2233" s="12">
        <v>46129</v>
      </c>
      <c r="B2233" s="10">
        <v>6</v>
      </c>
      <c r="Q2233" s="10" t="str">
        <f t="shared" si="34"/>
        <v>Incomplete</v>
      </c>
    </row>
    <row r="2234" spans="1:17" hidden="1">
      <c r="A2234" s="12">
        <v>46129</v>
      </c>
      <c r="B2234" s="10">
        <v>7</v>
      </c>
      <c r="Q2234" s="10" t="str">
        <f t="shared" si="34"/>
        <v>Incomplete</v>
      </c>
    </row>
    <row r="2235" spans="1:17" hidden="1">
      <c r="A2235" s="12">
        <v>46129</v>
      </c>
      <c r="B2235" s="10">
        <v>8</v>
      </c>
      <c r="Q2235" s="10" t="str">
        <f t="shared" si="34"/>
        <v>Incomplete</v>
      </c>
    </row>
    <row r="2236" spans="1:17" hidden="1">
      <c r="A2236" s="12">
        <v>46129</v>
      </c>
      <c r="B2236" s="10">
        <v>9</v>
      </c>
      <c r="Q2236" s="10" t="str">
        <f t="shared" si="34"/>
        <v>Incomplete</v>
      </c>
    </row>
    <row r="2237" spans="1:17" hidden="1">
      <c r="A2237" s="12">
        <v>46129</v>
      </c>
      <c r="B2237" s="10">
        <v>10</v>
      </c>
      <c r="Q2237" s="10" t="str">
        <f t="shared" si="34"/>
        <v>Incomplete</v>
      </c>
    </row>
    <row r="2238" spans="1:17" hidden="1">
      <c r="A2238" s="12">
        <v>46129</v>
      </c>
      <c r="B2238" s="10">
        <v>11</v>
      </c>
      <c r="Q2238" s="10" t="str">
        <f t="shared" si="34"/>
        <v>Incomplete</v>
      </c>
    </row>
    <row r="2239" spans="1:17" hidden="1">
      <c r="A2239" s="12">
        <v>46129</v>
      </c>
      <c r="B2239" s="10">
        <v>12</v>
      </c>
      <c r="Q2239" s="10" t="str">
        <f t="shared" si="34"/>
        <v>Incomplete</v>
      </c>
    </row>
    <row r="2240" spans="1:17" hidden="1">
      <c r="A2240" s="12">
        <v>46129</v>
      </c>
      <c r="B2240" s="10">
        <v>13</v>
      </c>
      <c r="Q2240" s="10" t="str">
        <f t="shared" si="34"/>
        <v>Incomplete</v>
      </c>
    </row>
    <row r="2241" spans="1:17" hidden="1">
      <c r="A2241" s="12">
        <v>46129</v>
      </c>
      <c r="B2241" s="10">
        <v>14</v>
      </c>
      <c r="Q2241" s="10" t="str">
        <f t="shared" si="34"/>
        <v>Incomplete</v>
      </c>
    </row>
    <row r="2242" spans="1:17" hidden="1">
      <c r="A2242" s="12">
        <v>46129</v>
      </c>
      <c r="B2242" s="10">
        <v>15</v>
      </c>
      <c r="Q2242" s="10" t="str">
        <f t="shared" ref="Q2242:Q2305" si="35">IF(AND(C2242&lt;&gt;"",J2242&lt;&gt;"",K2242&lt;&gt;"",L2242&lt;&gt;"",O2242="Yes"),"Complete","Incomplete")</f>
        <v>Incomplete</v>
      </c>
    </row>
    <row r="2243" spans="1:17" hidden="1">
      <c r="A2243" s="12">
        <v>46129</v>
      </c>
      <c r="B2243" s="10">
        <v>16</v>
      </c>
      <c r="Q2243" s="10" t="str">
        <f t="shared" si="35"/>
        <v>Incomplete</v>
      </c>
    </row>
    <row r="2244" spans="1:17" hidden="1">
      <c r="A2244" s="12">
        <v>46129</v>
      </c>
      <c r="B2244" s="10">
        <v>17</v>
      </c>
      <c r="Q2244" s="10" t="str">
        <f t="shared" si="35"/>
        <v>Incomplete</v>
      </c>
    </row>
    <row r="2245" spans="1:17" hidden="1">
      <c r="A2245" s="12">
        <v>46129</v>
      </c>
      <c r="B2245" s="10">
        <v>18</v>
      </c>
      <c r="Q2245" s="10" t="str">
        <f t="shared" si="35"/>
        <v>Incomplete</v>
      </c>
    </row>
    <row r="2246" spans="1:17" hidden="1">
      <c r="A2246" s="12">
        <v>46129</v>
      </c>
      <c r="B2246" s="10">
        <v>19</v>
      </c>
      <c r="Q2246" s="10" t="str">
        <f t="shared" si="35"/>
        <v>Incomplete</v>
      </c>
    </row>
    <row r="2247" spans="1:17" hidden="1">
      <c r="A2247" s="12">
        <v>46129</v>
      </c>
      <c r="B2247" s="10">
        <v>20</v>
      </c>
      <c r="Q2247" s="10" t="str">
        <f t="shared" si="35"/>
        <v>Incomplete</v>
      </c>
    </row>
    <row r="2248" spans="1:17" hidden="1">
      <c r="A2248" s="12">
        <v>46129</v>
      </c>
      <c r="B2248" s="10">
        <v>21</v>
      </c>
      <c r="Q2248" s="10" t="str">
        <f t="shared" si="35"/>
        <v>Incomplete</v>
      </c>
    </row>
    <row r="2249" spans="1:17" hidden="1">
      <c r="A2249" s="12">
        <v>46130</v>
      </c>
      <c r="B2249" s="10">
        <v>1</v>
      </c>
      <c r="Q2249" s="10" t="str">
        <f t="shared" si="35"/>
        <v>Incomplete</v>
      </c>
    </row>
    <row r="2250" spans="1:17" hidden="1">
      <c r="A2250" s="12">
        <v>46130</v>
      </c>
      <c r="B2250" s="10">
        <v>2</v>
      </c>
      <c r="Q2250" s="10" t="str">
        <f t="shared" si="35"/>
        <v>Incomplete</v>
      </c>
    </row>
    <row r="2251" spans="1:17" hidden="1">
      <c r="A2251" s="12">
        <v>46130</v>
      </c>
      <c r="B2251" s="10">
        <v>3</v>
      </c>
      <c r="Q2251" s="10" t="str">
        <f t="shared" si="35"/>
        <v>Incomplete</v>
      </c>
    </row>
    <row r="2252" spans="1:17" hidden="1">
      <c r="A2252" s="12">
        <v>46130</v>
      </c>
      <c r="B2252" s="10">
        <v>4</v>
      </c>
      <c r="Q2252" s="10" t="str">
        <f t="shared" si="35"/>
        <v>Incomplete</v>
      </c>
    </row>
    <row r="2253" spans="1:17" hidden="1">
      <c r="A2253" s="12">
        <v>46130</v>
      </c>
      <c r="B2253" s="10">
        <v>5</v>
      </c>
      <c r="Q2253" s="10" t="str">
        <f t="shared" si="35"/>
        <v>Incomplete</v>
      </c>
    </row>
    <row r="2254" spans="1:17" hidden="1">
      <c r="A2254" s="12">
        <v>46130</v>
      </c>
      <c r="B2254" s="10">
        <v>6</v>
      </c>
      <c r="Q2254" s="10" t="str">
        <f t="shared" si="35"/>
        <v>Incomplete</v>
      </c>
    </row>
    <row r="2255" spans="1:17" hidden="1">
      <c r="A2255" s="12">
        <v>46130</v>
      </c>
      <c r="B2255" s="10">
        <v>7</v>
      </c>
      <c r="Q2255" s="10" t="str">
        <f t="shared" si="35"/>
        <v>Incomplete</v>
      </c>
    </row>
    <row r="2256" spans="1:17" hidden="1">
      <c r="A2256" s="12">
        <v>46130</v>
      </c>
      <c r="B2256" s="10">
        <v>8</v>
      </c>
      <c r="Q2256" s="10" t="str">
        <f t="shared" si="35"/>
        <v>Incomplete</v>
      </c>
    </row>
    <row r="2257" spans="1:17" hidden="1">
      <c r="A2257" s="12">
        <v>46130</v>
      </c>
      <c r="B2257" s="10">
        <v>9</v>
      </c>
      <c r="Q2257" s="10" t="str">
        <f t="shared" si="35"/>
        <v>Incomplete</v>
      </c>
    </row>
    <row r="2258" spans="1:17" hidden="1">
      <c r="A2258" s="12">
        <v>46130</v>
      </c>
      <c r="B2258" s="10">
        <v>10</v>
      </c>
      <c r="Q2258" s="10" t="str">
        <f t="shared" si="35"/>
        <v>Incomplete</v>
      </c>
    </row>
    <row r="2259" spans="1:17" hidden="1">
      <c r="A2259" s="12">
        <v>46130</v>
      </c>
      <c r="B2259" s="10">
        <v>11</v>
      </c>
      <c r="Q2259" s="10" t="str">
        <f t="shared" si="35"/>
        <v>Incomplete</v>
      </c>
    </row>
    <row r="2260" spans="1:17" hidden="1">
      <c r="A2260" s="12">
        <v>46130</v>
      </c>
      <c r="B2260" s="10">
        <v>12</v>
      </c>
      <c r="Q2260" s="10" t="str">
        <f t="shared" si="35"/>
        <v>Incomplete</v>
      </c>
    </row>
    <row r="2261" spans="1:17" hidden="1">
      <c r="A2261" s="12">
        <v>46130</v>
      </c>
      <c r="B2261" s="10">
        <v>13</v>
      </c>
      <c r="Q2261" s="10" t="str">
        <f t="shared" si="35"/>
        <v>Incomplete</v>
      </c>
    </row>
    <row r="2262" spans="1:17" hidden="1">
      <c r="A2262" s="12">
        <v>46130</v>
      </c>
      <c r="B2262" s="10">
        <v>14</v>
      </c>
      <c r="Q2262" s="10" t="str">
        <f t="shared" si="35"/>
        <v>Incomplete</v>
      </c>
    </row>
    <row r="2263" spans="1:17" hidden="1">
      <c r="A2263" s="12">
        <v>46130</v>
      </c>
      <c r="B2263" s="10">
        <v>15</v>
      </c>
      <c r="Q2263" s="10" t="str">
        <f t="shared" si="35"/>
        <v>Incomplete</v>
      </c>
    </row>
    <row r="2264" spans="1:17" hidden="1">
      <c r="A2264" s="12">
        <v>46130</v>
      </c>
      <c r="B2264" s="10">
        <v>16</v>
      </c>
      <c r="Q2264" s="10" t="str">
        <f t="shared" si="35"/>
        <v>Incomplete</v>
      </c>
    </row>
    <row r="2265" spans="1:17" hidden="1">
      <c r="A2265" s="12">
        <v>46130</v>
      </c>
      <c r="B2265" s="10">
        <v>17</v>
      </c>
      <c r="Q2265" s="10" t="str">
        <f t="shared" si="35"/>
        <v>Incomplete</v>
      </c>
    </row>
    <row r="2266" spans="1:17" hidden="1">
      <c r="A2266" s="12">
        <v>46130</v>
      </c>
      <c r="B2266" s="10">
        <v>18</v>
      </c>
      <c r="Q2266" s="10" t="str">
        <f t="shared" si="35"/>
        <v>Incomplete</v>
      </c>
    </row>
    <row r="2267" spans="1:17" hidden="1">
      <c r="A2267" s="12">
        <v>46130</v>
      </c>
      <c r="B2267" s="10">
        <v>19</v>
      </c>
      <c r="Q2267" s="10" t="str">
        <f t="shared" si="35"/>
        <v>Incomplete</v>
      </c>
    </row>
    <row r="2268" spans="1:17" hidden="1">
      <c r="A2268" s="12">
        <v>46130</v>
      </c>
      <c r="B2268" s="10">
        <v>20</v>
      </c>
      <c r="Q2268" s="10" t="str">
        <f t="shared" si="35"/>
        <v>Incomplete</v>
      </c>
    </row>
    <row r="2269" spans="1:17" hidden="1">
      <c r="A2269" s="12">
        <v>46130</v>
      </c>
      <c r="B2269" s="10">
        <v>21</v>
      </c>
      <c r="Q2269" s="10" t="str">
        <f t="shared" si="35"/>
        <v>Incomplete</v>
      </c>
    </row>
    <row r="2270" spans="1:17" hidden="1">
      <c r="A2270" s="12">
        <v>46131</v>
      </c>
      <c r="B2270" s="10">
        <v>1</v>
      </c>
      <c r="Q2270" s="10" t="str">
        <f t="shared" si="35"/>
        <v>Incomplete</v>
      </c>
    </row>
    <row r="2271" spans="1:17" hidden="1">
      <c r="A2271" s="12">
        <v>46131</v>
      </c>
      <c r="B2271" s="10">
        <v>2</v>
      </c>
      <c r="Q2271" s="10" t="str">
        <f t="shared" si="35"/>
        <v>Incomplete</v>
      </c>
    </row>
    <row r="2272" spans="1:17" hidden="1">
      <c r="A2272" s="12">
        <v>46131</v>
      </c>
      <c r="B2272" s="10">
        <v>3</v>
      </c>
      <c r="Q2272" s="10" t="str">
        <f t="shared" si="35"/>
        <v>Incomplete</v>
      </c>
    </row>
    <row r="2273" spans="1:17" hidden="1">
      <c r="A2273" s="12">
        <v>46131</v>
      </c>
      <c r="B2273" s="10">
        <v>4</v>
      </c>
      <c r="Q2273" s="10" t="str">
        <f t="shared" si="35"/>
        <v>Incomplete</v>
      </c>
    </row>
    <row r="2274" spans="1:17" hidden="1">
      <c r="A2274" s="12">
        <v>46131</v>
      </c>
      <c r="B2274" s="10">
        <v>5</v>
      </c>
      <c r="Q2274" s="10" t="str">
        <f t="shared" si="35"/>
        <v>Incomplete</v>
      </c>
    </row>
    <row r="2275" spans="1:17" hidden="1">
      <c r="A2275" s="12">
        <v>46131</v>
      </c>
      <c r="B2275" s="10">
        <v>6</v>
      </c>
      <c r="Q2275" s="10" t="str">
        <f t="shared" si="35"/>
        <v>Incomplete</v>
      </c>
    </row>
    <row r="2276" spans="1:17" hidden="1">
      <c r="A2276" s="12">
        <v>46131</v>
      </c>
      <c r="B2276" s="10">
        <v>7</v>
      </c>
      <c r="Q2276" s="10" t="str">
        <f t="shared" si="35"/>
        <v>Incomplete</v>
      </c>
    </row>
    <row r="2277" spans="1:17" hidden="1">
      <c r="A2277" s="12">
        <v>46131</v>
      </c>
      <c r="B2277" s="10">
        <v>8</v>
      </c>
      <c r="Q2277" s="10" t="str">
        <f t="shared" si="35"/>
        <v>Incomplete</v>
      </c>
    </row>
    <row r="2278" spans="1:17" hidden="1">
      <c r="A2278" s="12">
        <v>46131</v>
      </c>
      <c r="B2278" s="10">
        <v>9</v>
      </c>
      <c r="Q2278" s="10" t="str">
        <f t="shared" si="35"/>
        <v>Incomplete</v>
      </c>
    </row>
    <row r="2279" spans="1:17" hidden="1">
      <c r="A2279" s="12">
        <v>46131</v>
      </c>
      <c r="B2279" s="10">
        <v>10</v>
      </c>
      <c r="Q2279" s="10" t="str">
        <f t="shared" si="35"/>
        <v>Incomplete</v>
      </c>
    </row>
    <row r="2280" spans="1:17" hidden="1">
      <c r="A2280" s="12">
        <v>46131</v>
      </c>
      <c r="B2280" s="10">
        <v>11</v>
      </c>
      <c r="Q2280" s="10" t="str">
        <f t="shared" si="35"/>
        <v>Incomplete</v>
      </c>
    </row>
    <row r="2281" spans="1:17" hidden="1">
      <c r="A2281" s="12">
        <v>46131</v>
      </c>
      <c r="B2281" s="10">
        <v>12</v>
      </c>
      <c r="Q2281" s="10" t="str">
        <f t="shared" si="35"/>
        <v>Incomplete</v>
      </c>
    </row>
    <row r="2282" spans="1:17" hidden="1">
      <c r="A2282" s="12">
        <v>46131</v>
      </c>
      <c r="B2282" s="10">
        <v>13</v>
      </c>
      <c r="Q2282" s="10" t="str">
        <f t="shared" si="35"/>
        <v>Incomplete</v>
      </c>
    </row>
    <row r="2283" spans="1:17" hidden="1">
      <c r="A2283" s="12">
        <v>46131</v>
      </c>
      <c r="B2283" s="10">
        <v>14</v>
      </c>
      <c r="Q2283" s="10" t="str">
        <f t="shared" si="35"/>
        <v>Incomplete</v>
      </c>
    </row>
    <row r="2284" spans="1:17" hidden="1">
      <c r="A2284" s="12">
        <v>46131</v>
      </c>
      <c r="B2284" s="10">
        <v>15</v>
      </c>
      <c r="Q2284" s="10" t="str">
        <f t="shared" si="35"/>
        <v>Incomplete</v>
      </c>
    </row>
    <row r="2285" spans="1:17" hidden="1">
      <c r="A2285" s="12">
        <v>46131</v>
      </c>
      <c r="B2285" s="10">
        <v>16</v>
      </c>
      <c r="Q2285" s="10" t="str">
        <f t="shared" si="35"/>
        <v>Incomplete</v>
      </c>
    </row>
    <row r="2286" spans="1:17" hidden="1">
      <c r="A2286" s="12">
        <v>46131</v>
      </c>
      <c r="B2286" s="10">
        <v>17</v>
      </c>
      <c r="Q2286" s="10" t="str">
        <f t="shared" si="35"/>
        <v>Incomplete</v>
      </c>
    </row>
    <row r="2287" spans="1:17" hidden="1">
      <c r="A2287" s="12">
        <v>46131</v>
      </c>
      <c r="B2287" s="10">
        <v>18</v>
      </c>
      <c r="Q2287" s="10" t="str">
        <f t="shared" si="35"/>
        <v>Incomplete</v>
      </c>
    </row>
    <row r="2288" spans="1:17" hidden="1">
      <c r="A2288" s="12">
        <v>46131</v>
      </c>
      <c r="B2288" s="10">
        <v>19</v>
      </c>
      <c r="Q2288" s="10" t="str">
        <f t="shared" si="35"/>
        <v>Incomplete</v>
      </c>
    </row>
    <row r="2289" spans="1:17" hidden="1">
      <c r="A2289" s="12">
        <v>46131</v>
      </c>
      <c r="B2289" s="10">
        <v>20</v>
      </c>
      <c r="Q2289" s="10" t="str">
        <f t="shared" si="35"/>
        <v>Incomplete</v>
      </c>
    </row>
    <row r="2290" spans="1:17" hidden="1">
      <c r="A2290" s="12">
        <v>46131</v>
      </c>
      <c r="B2290" s="10">
        <v>21</v>
      </c>
      <c r="Q2290" s="10" t="str">
        <f t="shared" si="35"/>
        <v>Incomplete</v>
      </c>
    </row>
    <row r="2291" spans="1:17" hidden="1">
      <c r="A2291" s="12">
        <v>46132</v>
      </c>
      <c r="B2291" s="10">
        <v>1</v>
      </c>
      <c r="Q2291" s="10" t="str">
        <f t="shared" si="35"/>
        <v>Incomplete</v>
      </c>
    </row>
    <row r="2292" spans="1:17" hidden="1">
      <c r="A2292" s="12">
        <v>46132</v>
      </c>
      <c r="B2292" s="10">
        <v>2</v>
      </c>
      <c r="Q2292" s="10" t="str">
        <f t="shared" si="35"/>
        <v>Incomplete</v>
      </c>
    </row>
    <row r="2293" spans="1:17" hidden="1">
      <c r="A2293" s="12">
        <v>46132</v>
      </c>
      <c r="B2293" s="10">
        <v>3</v>
      </c>
      <c r="Q2293" s="10" t="str">
        <f t="shared" si="35"/>
        <v>Incomplete</v>
      </c>
    </row>
    <row r="2294" spans="1:17" hidden="1">
      <c r="A2294" s="12">
        <v>46132</v>
      </c>
      <c r="B2294" s="10">
        <v>4</v>
      </c>
      <c r="Q2294" s="10" t="str">
        <f t="shared" si="35"/>
        <v>Incomplete</v>
      </c>
    </row>
    <row r="2295" spans="1:17" hidden="1">
      <c r="A2295" s="12">
        <v>46132</v>
      </c>
      <c r="B2295" s="10">
        <v>5</v>
      </c>
      <c r="Q2295" s="10" t="str">
        <f t="shared" si="35"/>
        <v>Incomplete</v>
      </c>
    </row>
    <row r="2296" spans="1:17" hidden="1">
      <c r="A2296" s="12">
        <v>46132</v>
      </c>
      <c r="B2296" s="10">
        <v>6</v>
      </c>
      <c r="Q2296" s="10" t="str">
        <f t="shared" si="35"/>
        <v>Incomplete</v>
      </c>
    </row>
    <row r="2297" spans="1:17" hidden="1">
      <c r="A2297" s="12">
        <v>46132</v>
      </c>
      <c r="B2297" s="10">
        <v>7</v>
      </c>
      <c r="Q2297" s="10" t="str">
        <f t="shared" si="35"/>
        <v>Incomplete</v>
      </c>
    </row>
    <row r="2298" spans="1:17" hidden="1">
      <c r="A2298" s="12">
        <v>46132</v>
      </c>
      <c r="B2298" s="10">
        <v>8</v>
      </c>
      <c r="Q2298" s="10" t="str">
        <f t="shared" si="35"/>
        <v>Incomplete</v>
      </c>
    </row>
    <row r="2299" spans="1:17" hidden="1">
      <c r="A2299" s="12">
        <v>46132</v>
      </c>
      <c r="B2299" s="10">
        <v>9</v>
      </c>
      <c r="Q2299" s="10" t="str">
        <f t="shared" si="35"/>
        <v>Incomplete</v>
      </c>
    </row>
    <row r="2300" spans="1:17" hidden="1">
      <c r="A2300" s="12">
        <v>46132</v>
      </c>
      <c r="B2300" s="10">
        <v>10</v>
      </c>
      <c r="Q2300" s="10" t="str">
        <f t="shared" si="35"/>
        <v>Incomplete</v>
      </c>
    </row>
    <row r="2301" spans="1:17" hidden="1">
      <c r="A2301" s="12">
        <v>46132</v>
      </c>
      <c r="B2301" s="10">
        <v>11</v>
      </c>
      <c r="Q2301" s="10" t="str">
        <f t="shared" si="35"/>
        <v>Incomplete</v>
      </c>
    </row>
    <row r="2302" spans="1:17" hidden="1">
      <c r="A2302" s="12">
        <v>46132</v>
      </c>
      <c r="B2302" s="10">
        <v>12</v>
      </c>
      <c r="Q2302" s="10" t="str">
        <f t="shared" si="35"/>
        <v>Incomplete</v>
      </c>
    </row>
    <row r="2303" spans="1:17" hidden="1">
      <c r="A2303" s="12">
        <v>46132</v>
      </c>
      <c r="B2303" s="10">
        <v>13</v>
      </c>
      <c r="Q2303" s="10" t="str">
        <f t="shared" si="35"/>
        <v>Incomplete</v>
      </c>
    </row>
    <row r="2304" spans="1:17" hidden="1">
      <c r="A2304" s="12">
        <v>46132</v>
      </c>
      <c r="B2304" s="10">
        <v>14</v>
      </c>
      <c r="Q2304" s="10" t="str">
        <f t="shared" si="35"/>
        <v>Incomplete</v>
      </c>
    </row>
    <row r="2305" spans="1:17" hidden="1">
      <c r="A2305" s="12">
        <v>46132</v>
      </c>
      <c r="B2305" s="10">
        <v>15</v>
      </c>
      <c r="Q2305" s="10" t="str">
        <f t="shared" si="35"/>
        <v>Incomplete</v>
      </c>
    </row>
    <row r="2306" spans="1:17" hidden="1">
      <c r="A2306" s="12">
        <v>46132</v>
      </c>
      <c r="B2306" s="10">
        <v>16</v>
      </c>
      <c r="Q2306" s="10" t="str">
        <f t="shared" ref="Q2306:Q2369" si="36">IF(AND(C2306&lt;&gt;"",J2306&lt;&gt;"",K2306&lt;&gt;"",L2306&lt;&gt;"",O2306="Yes"),"Complete","Incomplete")</f>
        <v>Incomplete</v>
      </c>
    </row>
    <row r="2307" spans="1:17" hidden="1">
      <c r="A2307" s="12">
        <v>46132</v>
      </c>
      <c r="B2307" s="10">
        <v>17</v>
      </c>
      <c r="Q2307" s="10" t="str">
        <f t="shared" si="36"/>
        <v>Incomplete</v>
      </c>
    </row>
    <row r="2308" spans="1:17" hidden="1">
      <c r="A2308" s="12">
        <v>46132</v>
      </c>
      <c r="B2308" s="10">
        <v>18</v>
      </c>
      <c r="Q2308" s="10" t="str">
        <f t="shared" si="36"/>
        <v>Incomplete</v>
      </c>
    </row>
    <row r="2309" spans="1:17" hidden="1">
      <c r="A2309" s="12">
        <v>46132</v>
      </c>
      <c r="B2309" s="10">
        <v>19</v>
      </c>
      <c r="Q2309" s="10" t="str">
        <f t="shared" si="36"/>
        <v>Incomplete</v>
      </c>
    </row>
    <row r="2310" spans="1:17" hidden="1">
      <c r="A2310" s="12">
        <v>46132</v>
      </c>
      <c r="B2310" s="10">
        <v>20</v>
      </c>
      <c r="Q2310" s="10" t="str">
        <f t="shared" si="36"/>
        <v>Incomplete</v>
      </c>
    </row>
    <row r="2311" spans="1:17" hidden="1">
      <c r="A2311" s="12">
        <v>46132</v>
      </c>
      <c r="B2311" s="10">
        <v>21</v>
      </c>
      <c r="Q2311" s="10" t="str">
        <f t="shared" si="36"/>
        <v>Incomplete</v>
      </c>
    </row>
    <row r="2312" spans="1:17" hidden="1">
      <c r="A2312" s="12">
        <v>46133</v>
      </c>
      <c r="B2312" s="10">
        <v>1</v>
      </c>
      <c r="Q2312" s="10" t="str">
        <f t="shared" si="36"/>
        <v>Incomplete</v>
      </c>
    </row>
    <row r="2313" spans="1:17" hidden="1">
      <c r="A2313" s="12">
        <v>46133</v>
      </c>
      <c r="B2313" s="10">
        <v>2</v>
      </c>
      <c r="Q2313" s="10" t="str">
        <f t="shared" si="36"/>
        <v>Incomplete</v>
      </c>
    </row>
    <row r="2314" spans="1:17" hidden="1">
      <c r="A2314" s="12">
        <v>46133</v>
      </c>
      <c r="B2314" s="10">
        <v>3</v>
      </c>
      <c r="Q2314" s="10" t="str">
        <f t="shared" si="36"/>
        <v>Incomplete</v>
      </c>
    </row>
    <row r="2315" spans="1:17" hidden="1">
      <c r="A2315" s="12">
        <v>46133</v>
      </c>
      <c r="B2315" s="10">
        <v>4</v>
      </c>
      <c r="Q2315" s="10" t="str">
        <f t="shared" si="36"/>
        <v>Incomplete</v>
      </c>
    </row>
    <row r="2316" spans="1:17" hidden="1">
      <c r="A2316" s="12">
        <v>46133</v>
      </c>
      <c r="B2316" s="10">
        <v>5</v>
      </c>
      <c r="Q2316" s="10" t="str">
        <f t="shared" si="36"/>
        <v>Incomplete</v>
      </c>
    </row>
    <row r="2317" spans="1:17" hidden="1">
      <c r="A2317" s="12">
        <v>46133</v>
      </c>
      <c r="B2317" s="10">
        <v>6</v>
      </c>
      <c r="Q2317" s="10" t="str">
        <f t="shared" si="36"/>
        <v>Incomplete</v>
      </c>
    </row>
    <row r="2318" spans="1:17" hidden="1">
      <c r="A2318" s="12">
        <v>46133</v>
      </c>
      <c r="B2318" s="10">
        <v>7</v>
      </c>
      <c r="Q2318" s="10" t="str">
        <f t="shared" si="36"/>
        <v>Incomplete</v>
      </c>
    </row>
    <row r="2319" spans="1:17" hidden="1">
      <c r="A2319" s="12">
        <v>46133</v>
      </c>
      <c r="B2319" s="10">
        <v>8</v>
      </c>
      <c r="Q2319" s="10" t="str">
        <f t="shared" si="36"/>
        <v>Incomplete</v>
      </c>
    </row>
    <row r="2320" spans="1:17" hidden="1">
      <c r="A2320" s="12">
        <v>46133</v>
      </c>
      <c r="B2320" s="10">
        <v>9</v>
      </c>
      <c r="Q2320" s="10" t="str">
        <f t="shared" si="36"/>
        <v>Incomplete</v>
      </c>
    </row>
    <row r="2321" spans="1:17" hidden="1">
      <c r="A2321" s="12">
        <v>46133</v>
      </c>
      <c r="B2321" s="10">
        <v>10</v>
      </c>
      <c r="Q2321" s="10" t="str">
        <f t="shared" si="36"/>
        <v>Incomplete</v>
      </c>
    </row>
    <row r="2322" spans="1:17" hidden="1">
      <c r="A2322" s="12">
        <v>46133</v>
      </c>
      <c r="B2322" s="10">
        <v>11</v>
      </c>
      <c r="Q2322" s="10" t="str">
        <f t="shared" si="36"/>
        <v>Incomplete</v>
      </c>
    </row>
    <row r="2323" spans="1:17" hidden="1">
      <c r="A2323" s="12">
        <v>46133</v>
      </c>
      <c r="B2323" s="10">
        <v>12</v>
      </c>
      <c r="Q2323" s="10" t="str">
        <f t="shared" si="36"/>
        <v>Incomplete</v>
      </c>
    </row>
    <row r="2324" spans="1:17" hidden="1">
      <c r="A2324" s="12">
        <v>46133</v>
      </c>
      <c r="B2324" s="10">
        <v>13</v>
      </c>
      <c r="Q2324" s="10" t="str">
        <f t="shared" si="36"/>
        <v>Incomplete</v>
      </c>
    </row>
    <row r="2325" spans="1:17" hidden="1">
      <c r="A2325" s="12">
        <v>46133</v>
      </c>
      <c r="B2325" s="10">
        <v>14</v>
      </c>
      <c r="Q2325" s="10" t="str">
        <f t="shared" si="36"/>
        <v>Incomplete</v>
      </c>
    </row>
    <row r="2326" spans="1:17" hidden="1">
      <c r="A2326" s="12">
        <v>46133</v>
      </c>
      <c r="B2326" s="10">
        <v>15</v>
      </c>
      <c r="Q2326" s="10" t="str">
        <f t="shared" si="36"/>
        <v>Incomplete</v>
      </c>
    </row>
    <row r="2327" spans="1:17" hidden="1">
      <c r="A2327" s="12">
        <v>46133</v>
      </c>
      <c r="B2327" s="10">
        <v>16</v>
      </c>
      <c r="Q2327" s="10" t="str">
        <f t="shared" si="36"/>
        <v>Incomplete</v>
      </c>
    </row>
    <row r="2328" spans="1:17" hidden="1">
      <c r="A2328" s="12">
        <v>46133</v>
      </c>
      <c r="B2328" s="10">
        <v>17</v>
      </c>
      <c r="Q2328" s="10" t="str">
        <f t="shared" si="36"/>
        <v>Incomplete</v>
      </c>
    </row>
    <row r="2329" spans="1:17" hidden="1">
      <c r="A2329" s="12">
        <v>46133</v>
      </c>
      <c r="B2329" s="10">
        <v>18</v>
      </c>
      <c r="Q2329" s="10" t="str">
        <f t="shared" si="36"/>
        <v>Incomplete</v>
      </c>
    </row>
    <row r="2330" spans="1:17" hidden="1">
      <c r="A2330" s="12">
        <v>46133</v>
      </c>
      <c r="B2330" s="10">
        <v>19</v>
      </c>
      <c r="Q2330" s="10" t="str">
        <f t="shared" si="36"/>
        <v>Incomplete</v>
      </c>
    </row>
    <row r="2331" spans="1:17" hidden="1">
      <c r="A2331" s="12">
        <v>46133</v>
      </c>
      <c r="B2331" s="10">
        <v>20</v>
      </c>
      <c r="Q2331" s="10" t="str">
        <f t="shared" si="36"/>
        <v>Incomplete</v>
      </c>
    </row>
    <row r="2332" spans="1:17" hidden="1">
      <c r="A2332" s="12">
        <v>46133</v>
      </c>
      <c r="B2332" s="10">
        <v>21</v>
      </c>
      <c r="Q2332" s="10" t="str">
        <f t="shared" si="36"/>
        <v>Incomplete</v>
      </c>
    </row>
    <row r="2333" spans="1:17" hidden="1">
      <c r="A2333" s="12">
        <v>46134</v>
      </c>
      <c r="B2333" s="10">
        <v>1</v>
      </c>
      <c r="Q2333" s="10" t="str">
        <f t="shared" si="36"/>
        <v>Incomplete</v>
      </c>
    </row>
    <row r="2334" spans="1:17" hidden="1">
      <c r="A2334" s="12">
        <v>46134</v>
      </c>
      <c r="B2334" s="10">
        <v>2</v>
      </c>
      <c r="Q2334" s="10" t="str">
        <f t="shared" si="36"/>
        <v>Incomplete</v>
      </c>
    </row>
    <row r="2335" spans="1:17" hidden="1">
      <c r="A2335" s="12">
        <v>46134</v>
      </c>
      <c r="B2335" s="10">
        <v>3</v>
      </c>
      <c r="Q2335" s="10" t="str">
        <f t="shared" si="36"/>
        <v>Incomplete</v>
      </c>
    </row>
    <row r="2336" spans="1:17" hidden="1">
      <c r="A2336" s="12">
        <v>46134</v>
      </c>
      <c r="B2336" s="10">
        <v>4</v>
      </c>
      <c r="Q2336" s="10" t="str">
        <f t="shared" si="36"/>
        <v>Incomplete</v>
      </c>
    </row>
    <row r="2337" spans="1:17" hidden="1">
      <c r="A2337" s="12">
        <v>46134</v>
      </c>
      <c r="B2337" s="10">
        <v>5</v>
      </c>
      <c r="Q2337" s="10" t="str">
        <f t="shared" si="36"/>
        <v>Incomplete</v>
      </c>
    </row>
    <row r="2338" spans="1:17" hidden="1">
      <c r="A2338" s="12">
        <v>46134</v>
      </c>
      <c r="B2338" s="10">
        <v>6</v>
      </c>
      <c r="Q2338" s="10" t="str">
        <f t="shared" si="36"/>
        <v>Incomplete</v>
      </c>
    </row>
    <row r="2339" spans="1:17" hidden="1">
      <c r="A2339" s="12">
        <v>46134</v>
      </c>
      <c r="B2339" s="10">
        <v>7</v>
      </c>
      <c r="Q2339" s="10" t="str">
        <f t="shared" si="36"/>
        <v>Incomplete</v>
      </c>
    </row>
    <row r="2340" spans="1:17" hidden="1">
      <c r="A2340" s="12">
        <v>46134</v>
      </c>
      <c r="B2340" s="10">
        <v>8</v>
      </c>
      <c r="Q2340" s="10" t="str">
        <f t="shared" si="36"/>
        <v>Incomplete</v>
      </c>
    </row>
    <row r="2341" spans="1:17" hidden="1">
      <c r="A2341" s="12">
        <v>46134</v>
      </c>
      <c r="B2341" s="10">
        <v>9</v>
      </c>
      <c r="Q2341" s="10" t="str">
        <f t="shared" si="36"/>
        <v>Incomplete</v>
      </c>
    </row>
    <row r="2342" spans="1:17" hidden="1">
      <c r="A2342" s="12">
        <v>46134</v>
      </c>
      <c r="B2342" s="10">
        <v>10</v>
      </c>
      <c r="Q2342" s="10" t="str">
        <f t="shared" si="36"/>
        <v>Incomplete</v>
      </c>
    </row>
    <row r="2343" spans="1:17" hidden="1">
      <c r="A2343" s="12">
        <v>46134</v>
      </c>
      <c r="B2343" s="10">
        <v>11</v>
      </c>
      <c r="Q2343" s="10" t="str">
        <f t="shared" si="36"/>
        <v>Incomplete</v>
      </c>
    </row>
    <row r="2344" spans="1:17" hidden="1">
      <c r="A2344" s="12">
        <v>46134</v>
      </c>
      <c r="B2344" s="10">
        <v>12</v>
      </c>
      <c r="Q2344" s="10" t="str">
        <f t="shared" si="36"/>
        <v>Incomplete</v>
      </c>
    </row>
    <row r="2345" spans="1:17" hidden="1">
      <c r="A2345" s="12">
        <v>46134</v>
      </c>
      <c r="B2345" s="10">
        <v>13</v>
      </c>
      <c r="Q2345" s="10" t="str">
        <f t="shared" si="36"/>
        <v>Incomplete</v>
      </c>
    </row>
    <row r="2346" spans="1:17" hidden="1">
      <c r="A2346" s="12">
        <v>46134</v>
      </c>
      <c r="B2346" s="10">
        <v>14</v>
      </c>
      <c r="Q2346" s="10" t="str">
        <f t="shared" si="36"/>
        <v>Incomplete</v>
      </c>
    </row>
    <row r="2347" spans="1:17" hidden="1">
      <c r="A2347" s="12">
        <v>46134</v>
      </c>
      <c r="B2347" s="10">
        <v>15</v>
      </c>
      <c r="Q2347" s="10" t="str">
        <f t="shared" si="36"/>
        <v>Incomplete</v>
      </c>
    </row>
    <row r="2348" spans="1:17" hidden="1">
      <c r="A2348" s="12">
        <v>46134</v>
      </c>
      <c r="B2348" s="10">
        <v>16</v>
      </c>
      <c r="Q2348" s="10" t="str">
        <f t="shared" si="36"/>
        <v>Incomplete</v>
      </c>
    </row>
    <row r="2349" spans="1:17" hidden="1">
      <c r="A2349" s="12">
        <v>46134</v>
      </c>
      <c r="B2349" s="10">
        <v>17</v>
      </c>
      <c r="Q2349" s="10" t="str">
        <f t="shared" si="36"/>
        <v>Incomplete</v>
      </c>
    </row>
    <row r="2350" spans="1:17" hidden="1">
      <c r="A2350" s="12">
        <v>46134</v>
      </c>
      <c r="B2350" s="10">
        <v>18</v>
      </c>
      <c r="Q2350" s="10" t="str">
        <f t="shared" si="36"/>
        <v>Incomplete</v>
      </c>
    </row>
    <row r="2351" spans="1:17" hidden="1">
      <c r="A2351" s="12">
        <v>46134</v>
      </c>
      <c r="B2351" s="10">
        <v>19</v>
      </c>
      <c r="Q2351" s="10" t="str">
        <f t="shared" si="36"/>
        <v>Incomplete</v>
      </c>
    </row>
    <row r="2352" spans="1:17" hidden="1">
      <c r="A2352" s="12">
        <v>46134</v>
      </c>
      <c r="B2352" s="10">
        <v>20</v>
      </c>
      <c r="Q2352" s="10" t="str">
        <f t="shared" si="36"/>
        <v>Incomplete</v>
      </c>
    </row>
    <row r="2353" spans="1:17" hidden="1">
      <c r="A2353" s="12">
        <v>46134</v>
      </c>
      <c r="B2353" s="10">
        <v>21</v>
      </c>
      <c r="Q2353" s="10" t="str">
        <f t="shared" si="36"/>
        <v>Incomplete</v>
      </c>
    </row>
    <row r="2354" spans="1:17" hidden="1">
      <c r="A2354" s="12">
        <v>46135</v>
      </c>
      <c r="B2354" s="10">
        <v>1</v>
      </c>
      <c r="Q2354" s="10" t="str">
        <f t="shared" si="36"/>
        <v>Incomplete</v>
      </c>
    </row>
    <row r="2355" spans="1:17" hidden="1">
      <c r="A2355" s="12">
        <v>46135</v>
      </c>
      <c r="B2355" s="10">
        <v>2</v>
      </c>
      <c r="Q2355" s="10" t="str">
        <f t="shared" si="36"/>
        <v>Incomplete</v>
      </c>
    </row>
    <row r="2356" spans="1:17" hidden="1">
      <c r="A2356" s="12">
        <v>46135</v>
      </c>
      <c r="B2356" s="10">
        <v>3</v>
      </c>
      <c r="Q2356" s="10" t="str">
        <f t="shared" si="36"/>
        <v>Incomplete</v>
      </c>
    </row>
    <row r="2357" spans="1:17" hidden="1">
      <c r="A2357" s="12">
        <v>46135</v>
      </c>
      <c r="B2357" s="10">
        <v>4</v>
      </c>
      <c r="Q2357" s="10" t="str">
        <f t="shared" si="36"/>
        <v>Incomplete</v>
      </c>
    </row>
    <row r="2358" spans="1:17" hidden="1">
      <c r="A2358" s="12">
        <v>46135</v>
      </c>
      <c r="B2358" s="10">
        <v>5</v>
      </c>
      <c r="Q2358" s="10" t="str">
        <f t="shared" si="36"/>
        <v>Incomplete</v>
      </c>
    </row>
    <row r="2359" spans="1:17" hidden="1">
      <c r="A2359" s="12">
        <v>46135</v>
      </c>
      <c r="B2359" s="10">
        <v>6</v>
      </c>
      <c r="Q2359" s="10" t="str">
        <f t="shared" si="36"/>
        <v>Incomplete</v>
      </c>
    </row>
    <row r="2360" spans="1:17" hidden="1">
      <c r="A2360" s="12">
        <v>46135</v>
      </c>
      <c r="B2360" s="10">
        <v>7</v>
      </c>
      <c r="Q2360" s="10" t="str">
        <f t="shared" si="36"/>
        <v>Incomplete</v>
      </c>
    </row>
    <row r="2361" spans="1:17" hidden="1">
      <c r="A2361" s="12">
        <v>46135</v>
      </c>
      <c r="B2361" s="10">
        <v>8</v>
      </c>
      <c r="Q2361" s="10" t="str">
        <f t="shared" si="36"/>
        <v>Incomplete</v>
      </c>
    </row>
    <row r="2362" spans="1:17" hidden="1">
      <c r="A2362" s="12">
        <v>46135</v>
      </c>
      <c r="B2362" s="10">
        <v>9</v>
      </c>
      <c r="Q2362" s="10" t="str">
        <f t="shared" si="36"/>
        <v>Incomplete</v>
      </c>
    </row>
    <row r="2363" spans="1:17" hidden="1">
      <c r="A2363" s="12">
        <v>46135</v>
      </c>
      <c r="B2363" s="10">
        <v>10</v>
      </c>
      <c r="Q2363" s="10" t="str">
        <f t="shared" si="36"/>
        <v>Incomplete</v>
      </c>
    </row>
    <row r="2364" spans="1:17" hidden="1">
      <c r="A2364" s="12">
        <v>46135</v>
      </c>
      <c r="B2364" s="10">
        <v>11</v>
      </c>
      <c r="Q2364" s="10" t="str">
        <f t="shared" si="36"/>
        <v>Incomplete</v>
      </c>
    </row>
    <row r="2365" spans="1:17" hidden="1">
      <c r="A2365" s="12">
        <v>46135</v>
      </c>
      <c r="B2365" s="10">
        <v>12</v>
      </c>
      <c r="Q2365" s="10" t="str">
        <f t="shared" si="36"/>
        <v>Incomplete</v>
      </c>
    </row>
    <row r="2366" spans="1:17" hidden="1">
      <c r="A2366" s="12">
        <v>46135</v>
      </c>
      <c r="B2366" s="10">
        <v>13</v>
      </c>
      <c r="Q2366" s="10" t="str">
        <f t="shared" si="36"/>
        <v>Incomplete</v>
      </c>
    </row>
    <row r="2367" spans="1:17" hidden="1">
      <c r="A2367" s="12">
        <v>46135</v>
      </c>
      <c r="B2367" s="10">
        <v>14</v>
      </c>
      <c r="Q2367" s="10" t="str">
        <f t="shared" si="36"/>
        <v>Incomplete</v>
      </c>
    </row>
    <row r="2368" spans="1:17" hidden="1">
      <c r="A2368" s="12">
        <v>46135</v>
      </c>
      <c r="B2368" s="10">
        <v>15</v>
      </c>
      <c r="Q2368" s="10" t="str">
        <f t="shared" si="36"/>
        <v>Incomplete</v>
      </c>
    </row>
    <row r="2369" spans="1:17" hidden="1">
      <c r="A2369" s="12">
        <v>46135</v>
      </c>
      <c r="B2369" s="10">
        <v>16</v>
      </c>
      <c r="Q2369" s="10" t="str">
        <f t="shared" si="36"/>
        <v>Incomplete</v>
      </c>
    </row>
    <row r="2370" spans="1:17" hidden="1">
      <c r="A2370" s="12">
        <v>46135</v>
      </c>
      <c r="B2370" s="10">
        <v>17</v>
      </c>
      <c r="Q2370" s="10" t="str">
        <f t="shared" ref="Q2370:Q2433" si="37">IF(AND(C2370&lt;&gt;"",J2370&lt;&gt;"",K2370&lt;&gt;"",L2370&lt;&gt;"",O2370="Yes"),"Complete","Incomplete")</f>
        <v>Incomplete</v>
      </c>
    </row>
    <row r="2371" spans="1:17" hidden="1">
      <c r="A2371" s="12">
        <v>46135</v>
      </c>
      <c r="B2371" s="10">
        <v>18</v>
      </c>
      <c r="Q2371" s="10" t="str">
        <f t="shared" si="37"/>
        <v>Incomplete</v>
      </c>
    </row>
    <row r="2372" spans="1:17" hidden="1">
      <c r="A2372" s="12">
        <v>46135</v>
      </c>
      <c r="B2372" s="10">
        <v>19</v>
      </c>
      <c r="Q2372" s="10" t="str">
        <f t="shared" si="37"/>
        <v>Incomplete</v>
      </c>
    </row>
    <row r="2373" spans="1:17" hidden="1">
      <c r="A2373" s="12">
        <v>46135</v>
      </c>
      <c r="B2373" s="10">
        <v>20</v>
      </c>
      <c r="Q2373" s="10" t="str">
        <f t="shared" si="37"/>
        <v>Incomplete</v>
      </c>
    </row>
    <row r="2374" spans="1:17" hidden="1">
      <c r="A2374" s="12">
        <v>46135</v>
      </c>
      <c r="B2374" s="10">
        <v>21</v>
      </c>
      <c r="Q2374" s="10" t="str">
        <f t="shared" si="37"/>
        <v>Incomplete</v>
      </c>
    </row>
    <row r="2375" spans="1:17" hidden="1">
      <c r="A2375" s="12">
        <v>46136</v>
      </c>
      <c r="B2375" s="10">
        <v>1</v>
      </c>
      <c r="Q2375" s="10" t="str">
        <f t="shared" si="37"/>
        <v>Incomplete</v>
      </c>
    </row>
    <row r="2376" spans="1:17" hidden="1">
      <c r="A2376" s="12">
        <v>46136</v>
      </c>
      <c r="B2376" s="10">
        <v>2</v>
      </c>
      <c r="Q2376" s="10" t="str">
        <f t="shared" si="37"/>
        <v>Incomplete</v>
      </c>
    </row>
    <row r="2377" spans="1:17" hidden="1">
      <c r="A2377" s="12">
        <v>46136</v>
      </c>
      <c r="B2377" s="10">
        <v>3</v>
      </c>
      <c r="Q2377" s="10" t="str">
        <f t="shared" si="37"/>
        <v>Incomplete</v>
      </c>
    </row>
    <row r="2378" spans="1:17" hidden="1">
      <c r="A2378" s="12">
        <v>46136</v>
      </c>
      <c r="B2378" s="10">
        <v>4</v>
      </c>
      <c r="Q2378" s="10" t="str">
        <f t="shared" si="37"/>
        <v>Incomplete</v>
      </c>
    </row>
    <row r="2379" spans="1:17" hidden="1">
      <c r="A2379" s="12">
        <v>46136</v>
      </c>
      <c r="B2379" s="10">
        <v>5</v>
      </c>
      <c r="Q2379" s="10" t="str">
        <f t="shared" si="37"/>
        <v>Incomplete</v>
      </c>
    </row>
    <row r="2380" spans="1:17" hidden="1">
      <c r="A2380" s="12">
        <v>46136</v>
      </c>
      <c r="B2380" s="10">
        <v>6</v>
      </c>
      <c r="Q2380" s="10" t="str">
        <f t="shared" si="37"/>
        <v>Incomplete</v>
      </c>
    </row>
    <row r="2381" spans="1:17" hidden="1">
      <c r="A2381" s="12">
        <v>46136</v>
      </c>
      <c r="B2381" s="10">
        <v>7</v>
      </c>
      <c r="Q2381" s="10" t="str">
        <f t="shared" si="37"/>
        <v>Incomplete</v>
      </c>
    </row>
    <row r="2382" spans="1:17" hidden="1">
      <c r="A2382" s="12">
        <v>46136</v>
      </c>
      <c r="B2382" s="10">
        <v>8</v>
      </c>
      <c r="Q2382" s="10" t="str">
        <f t="shared" si="37"/>
        <v>Incomplete</v>
      </c>
    </row>
    <row r="2383" spans="1:17" hidden="1">
      <c r="A2383" s="12">
        <v>46136</v>
      </c>
      <c r="B2383" s="10">
        <v>9</v>
      </c>
      <c r="Q2383" s="10" t="str">
        <f t="shared" si="37"/>
        <v>Incomplete</v>
      </c>
    </row>
    <row r="2384" spans="1:17" hidden="1">
      <c r="A2384" s="12">
        <v>46136</v>
      </c>
      <c r="B2384" s="10">
        <v>10</v>
      </c>
      <c r="Q2384" s="10" t="str">
        <f t="shared" si="37"/>
        <v>Incomplete</v>
      </c>
    </row>
    <row r="2385" spans="1:17" hidden="1">
      <c r="A2385" s="12">
        <v>46136</v>
      </c>
      <c r="B2385" s="10">
        <v>11</v>
      </c>
      <c r="Q2385" s="10" t="str">
        <f t="shared" si="37"/>
        <v>Incomplete</v>
      </c>
    </row>
    <row r="2386" spans="1:17" hidden="1">
      <c r="A2386" s="12">
        <v>46136</v>
      </c>
      <c r="B2386" s="10">
        <v>12</v>
      </c>
      <c r="Q2386" s="10" t="str">
        <f t="shared" si="37"/>
        <v>Incomplete</v>
      </c>
    </row>
    <row r="2387" spans="1:17" hidden="1">
      <c r="A2387" s="12">
        <v>46136</v>
      </c>
      <c r="B2387" s="10">
        <v>13</v>
      </c>
      <c r="Q2387" s="10" t="str">
        <f t="shared" si="37"/>
        <v>Incomplete</v>
      </c>
    </row>
    <row r="2388" spans="1:17" hidden="1">
      <c r="A2388" s="12">
        <v>46136</v>
      </c>
      <c r="B2388" s="10">
        <v>14</v>
      </c>
      <c r="Q2388" s="10" t="str">
        <f t="shared" si="37"/>
        <v>Incomplete</v>
      </c>
    </row>
    <row r="2389" spans="1:17" hidden="1">
      <c r="A2389" s="12">
        <v>46136</v>
      </c>
      <c r="B2389" s="10">
        <v>15</v>
      </c>
      <c r="Q2389" s="10" t="str">
        <f t="shared" si="37"/>
        <v>Incomplete</v>
      </c>
    </row>
    <row r="2390" spans="1:17" hidden="1">
      <c r="A2390" s="12">
        <v>46136</v>
      </c>
      <c r="B2390" s="10">
        <v>16</v>
      </c>
      <c r="Q2390" s="10" t="str">
        <f t="shared" si="37"/>
        <v>Incomplete</v>
      </c>
    </row>
    <row r="2391" spans="1:17" hidden="1">
      <c r="A2391" s="12">
        <v>46136</v>
      </c>
      <c r="B2391" s="10">
        <v>17</v>
      </c>
      <c r="Q2391" s="10" t="str">
        <f t="shared" si="37"/>
        <v>Incomplete</v>
      </c>
    </row>
    <row r="2392" spans="1:17" hidden="1">
      <c r="A2392" s="12">
        <v>46136</v>
      </c>
      <c r="B2392" s="10">
        <v>18</v>
      </c>
      <c r="Q2392" s="10" t="str">
        <f t="shared" si="37"/>
        <v>Incomplete</v>
      </c>
    </row>
    <row r="2393" spans="1:17" hidden="1">
      <c r="A2393" s="12">
        <v>46136</v>
      </c>
      <c r="B2393" s="10">
        <v>19</v>
      </c>
      <c r="Q2393" s="10" t="str">
        <f t="shared" si="37"/>
        <v>Incomplete</v>
      </c>
    </row>
    <row r="2394" spans="1:17" hidden="1">
      <c r="A2394" s="12">
        <v>46136</v>
      </c>
      <c r="B2394" s="10">
        <v>20</v>
      </c>
      <c r="Q2394" s="10" t="str">
        <f t="shared" si="37"/>
        <v>Incomplete</v>
      </c>
    </row>
    <row r="2395" spans="1:17" hidden="1">
      <c r="A2395" s="12">
        <v>46136</v>
      </c>
      <c r="B2395" s="10">
        <v>21</v>
      </c>
      <c r="Q2395" s="10" t="str">
        <f t="shared" si="37"/>
        <v>Incomplete</v>
      </c>
    </row>
    <row r="2396" spans="1:17" hidden="1">
      <c r="A2396" s="12">
        <v>46137</v>
      </c>
      <c r="B2396" s="10">
        <v>1</v>
      </c>
      <c r="Q2396" s="10" t="str">
        <f t="shared" si="37"/>
        <v>Incomplete</v>
      </c>
    </row>
    <row r="2397" spans="1:17" hidden="1">
      <c r="A2397" s="12">
        <v>46137</v>
      </c>
      <c r="B2397" s="10">
        <v>2</v>
      </c>
      <c r="Q2397" s="10" t="str">
        <f t="shared" si="37"/>
        <v>Incomplete</v>
      </c>
    </row>
    <row r="2398" spans="1:17" hidden="1">
      <c r="A2398" s="12">
        <v>46137</v>
      </c>
      <c r="B2398" s="10">
        <v>3</v>
      </c>
      <c r="Q2398" s="10" t="str">
        <f t="shared" si="37"/>
        <v>Incomplete</v>
      </c>
    </row>
    <row r="2399" spans="1:17" hidden="1">
      <c r="A2399" s="12">
        <v>46137</v>
      </c>
      <c r="B2399" s="10">
        <v>4</v>
      </c>
      <c r="Q2399" s="10" t="str">
        <f t="shared" si="37"/>
        <v>Incomplete</v>
      </c>
    </row>
    <row r="2400" spans="1:17" hidden="1">
      <c r="A2400" s="12">
        <v>46137</v>
      </c>
      <c r="B2400" s="10">
        <v>5</v>
      </c>
      <c r="Q2400" s="10" t="str">
        <f t="shared" si="37"/>
        <v>Incomplete</v>
      </c>
    </row>
    <row r="2401" spans="1:17" hidden="1">
      <c r="A2401" s="12">
        <v>46137</v>
      </c>
      <c r="B2401" s="10">
        <v>6</v>
      </c>
      <c r="Q2401" s="10" t="str">
        <f t="shared" si="37"/>
        <v>Incomplete</v>
      </c>
    </row>
    <row r="2402" spans="1:17" hidden="1">
      <c r="A2402" s="12">
        <v>46137</v>
      </c>
      <c r="B2402" s="10">
        <v>7</v>
      </c>
      <c r="Q2402" s="10" t="str">
        <f t="shared" si="37"/>
        <v>Incomplete</v>
      </c>
    </row>
    <row r="2403" spans="1:17" hidden="1">
      <c r="A2403" s="12">
        <v>46137</v>
      </c>
      <c r="B2403" s="10">
        <v>8</v>
      </c>
      <c r="Q2403" s="10" t="str">
        <f t="shared" si="37"/>
        <v>Incomplete</v>
      </c>
    </row>
    <row r="2404" spans="1:17" hidden="1">
      <c r="A2404" s="12">
        <v>46137</v>
      </c>
      <c r="B2404" s="10">
        <v>9</v>
      </c>
      <c r="Q2404" s="10" t="str">
        <f t="shared" si="37"/>
        <v>Incomplete</v>
      </c>
    </row>
    <row r="2405" spans="1:17" hidden="1">
      <c r="A2405" s="12">
        <v>46137</v>
      </c>
      <c r="B2405" s="10">
        <v>10</v>
      </c>
      <c r="Q2405" s="10" t="str">
        <f t="shared" si="37"/>
        <v>Incomplete</v>
      </c>
    </row>
    <row r="2406" spans="1:17" hidden="1">
      <c r="A2406" s="12">
        <v>46137</v>
      </c>
      <c r="B2406" s="10">
        <v>11</v>
      </c>
      <c r="Q2406" s="10" t="str">
        <f t="shared" si="37"/>
        <v>Incomplete</v>
      </c>
    </row>
    <row r="2407" spans="1:17" hidden="1">
      <c r="A2407" s="12">
        <v>46137</v>
      </c>
      <c r="B2407" s="10">
        <v>12</v>
      </c>
      <c r="Q2407" s="10" t="str">
        <f t="shared" si="37"/>
        <v>Incomplete</v>
      </c>
    </row>
    <row r="2408" spans="1:17" hidden="1">
      <c r="A2408" s="12">
        <v>46137</v>
      </c>
      <c r="B2408" s="10">
        <v>13</v>
      </c>
      <c r="Q2408" s="10" t="str">
        <f t="shared" si="37"/>
        <v>Incomplete</v>
      </c>
    </row>
    <row r="2409" spans="1:17" hidden="1">
      <c r="A2409" s="12">
        <v>46137</v>
      </c>
      <c r="B2409" s="10">
        <v>14</v>
      </c>
      <c r="Q2409" s="10" t="str">
        <f t="shared" si="37"/>
        <v>Incomplete</v>
      </c>
    </row>
    <row r="2410" spans="1:17" hidden="1">
      <c r="A2410" s="12">
        <v>46137</v>
      </c>
      <c r="B2410" s="10">
        <v>15</v>
      </c>
      <c r="Q2410" s="10" t="str">
        <f t="shared" si="37"/>
        <v>Incomplete</v>
      </c>
    </row>
    <row r="2411" spans="1:17" hidden="1">
      <c r="A2411" s="12">
        <v>46137</v>
      </c>
      <c r="B2411" s="10">
        <v>16</v>
      </c>
      <c r="Q2411" s="10" t="str">
        <f t="shared" si="37"/>
        <v>Incomplete</v>
      </c>
    </row>
    <row r="2412" spans="1:17" hidden="1">
      <c r="A2412" s="12">
        <v>46137</v>
      </c>
      <c r="B2412" s="10">
        <v>17</v>
      </c>
      <c r="Q2412" s="10" t="str">
        <f t="shared" si="37"/>
        <v>Incomplete</v>
      </c>
    </row>
    <row r="2413" spans="1:17" hidden="1">
      <c r="A2413" s="12">
        <v>46137</v>
      </c>
      <c r="B2413" s="10">
        <v>18</v>
      </c>
      <c r="Q2413" s="10" t="str">
        <f t="shared" si="37"/>
        <v>Incomplete</v>
      </c>
    </row>
    <row r="2414" spans="1:17" hidden="1">
      <c r="A2414" s="12">
        <v>46137</v>
      </c>
      <c r="B2414" s="10">
        <v>19</v>
      </c>
      <c r="Q2414" s="10" t="str">
        <f t="shared" si="37"/>
        <v>Incomplete</v>
      </c>
    </row>
    <row r="2415" spans="1:17" hidden="1">
      <c r="A2415" s="12">
        <v>46137</v>
      </c>
      <c r="B2415" s="10">
        <v>20</v>
      </c>
      <c r="Q2415" s="10" t="str">
        <f t="shared" si="37"/>
        <v>Incomplete</v>
      </c>
    </row>
    <row r="2416" spans="1:17" hidden="1">
      <c r="A2416" s="12">
        <v>46137</v>
      </c>
      <c r="B2416" s="10">
        <v>21</v>
      </c>
      <c r="Q2416" s="10" t="str">
        <f t="shared" si="37"/>
        <v>Incomplete</v>
      </c>
    </row>
    <row r="2417" spans="1:17" hidden="1">
      <c r="A2417" s="12">
        <v>46138</v>
      </c>
      <c r="B2417" s="10">
        <v>1</v>
      </c>
      <c r="Q2417" s="10" t="str">
        <f t="shared" si="37"/>
        <v>Incomplete</v>
      </c>
    </row>
    <row r="2418" spans="1:17" hidden="1">
      <c r="A2418" s="12">
        <v>46138</v>
      </c>
      <c r="B2418" s="10">
        <v>2</v>
      </c>
      <c r="Q2418" s="10" t="str">
        <f t="shared" si="37"/>
        <v>Incomplete</v>
      </c>
    </row>
    <row r="2419" spans="1:17" hidden="1">
      <c r="A2419" s="12">
        <v>46138</v>
      </c>
      <c r="B2419" s="10">
        <v>3</v>
      </c>
      <c r="Q2419" s="10" t="str">
        <f t="shared" si="37"/>
        <v>Incomplete</v>
      </c>
    </row>
    <row r="2420" spans="1:17" hidden="1">
      <c r="A2420" s="12">
        <v>46138</v>
      </c>
      <c r="B2420" s="10">
        <v>4</v>
      </c>
      <c r="Q2420" s="10" t="str">
        <f t="shared" si="37"/>
        <v>Incomplete</v>
      </c>
    </row>
    <row r="2421" spans="1:17" hidden="1">
      <c r="A2421" s="12">
        <v>46138</v>
      </c>
      <c r="B2421" s="10">
        <v>5</v>
      </c>
      <c r="Q2421" s="10" t="str">
        <f t="shared" si="37"/>
        <v>Incomplete</v>
      </c>
    </row>
    <row r="2422" spans="1:17" hidden="1">
      <c r="A2422" s="12">
        <v>46138</v>
      </c>
      <c r="B2422" s="10">
        <v>6</v>
      </c>
      <c r="Q2422" s="10" t="str">
        <f t="shared" si="37"/>
        <v>Incomplete</v>
      </c>
    </row>
    <row r="2423" spans="1:17" hidden="1">
      <c r="A2423" s="12">
        <v>46138</v>
      </c>
      <c r="B2423" s="10">
        <v>7</v>
      </c>
      <c r="Q2423" s="10" t="str">
        <f t="shared" si="37"/>
        <v>Incomplete</v>
      </c>
    </row>
    <row r="2424" spans="1:17" hidden="1">
      <c r="A2424" s="12">
        <v>46138</v>
      </c>
      <c r="B2424" s="10">
        <v>8</v>
      </c>
      <c r="Q2424" s="10" t="str">
        <f t="shared" si="37"/>
        <v>Incomplete</v>
      </c>
    </row>
    <row r="2425" spans="1:17" hidden="1">
      <c r="A2425" s="12">
        <v>46138</v>
      </c>
      <c r="B2425" s="10">
        <v>9</v>
      </c>
      <c r="Q2425" s="10" t="str">
        <f t="shared" si="37"/>
        <v>Incomplete</v>
      </c>
    </row>
    <row r="2426" spans="1:17" hidden="1">
      <c r="A2426" s="12">
        <v>46138</v>
      </c>
      <c r="B2426" s="10">
        <v>10</v>
      </c>
      <c r="Q2426" s="10" t="str">
        <f t="shared" si="37"/>
        <v>Incomplete</v>
      </c>
    </row>
    <row r="2427" spans="1:17" hidden="1">
      <c r="A2427" s="12">
        <v>46138</v>
      </c>
      <c r="B2427" s="10">
        <v>11</v>
      </c>
      <c r="Q2427" s="10" t="str">
        <f t="shared" si="37"/>
        <v>Incomplete</v>
      </c>
    </row>
    <row r="2428" spans="1:17" hidden="1">
      <c r="A2428" s="12">
        <v>46138</v>
      </c>
      <c r="B2428" s="10">
        <v>12</v>
      </c>
      <c r="Q2428" s="10" t="str">
        <f t="shared" si="37"/>
        <v>Incomplete</v>
      </c>
    </row>
    <row r="2429" spans="1:17" hidden="1">
      <c r="A2429" s="12">
        <v>46138</v>
      </c>
      <c r="B2429" s="10">
        <v>13</v>
      </c>
      <c r="Q2429" s="10" t="str">
        <f t="shared" si="37"/>
        <v>Incomplete</v>
      </c>
    </row>
    <row r="2430" spans="1:17" hidden="1">
      <c r="A2430" s="12">
        <v>46138</v>
      </c>
      <c r="B2430" s="10">
        <v>14</v>
      </c>
      <c r="Q2430" s="10" t="str">
        <f t="shared" si="37"/>
        <v>Incomplete</v>
      </c>
    </row>
    <row r="2431" spans="1:17" hidden="1">
      <c r="A2431" s="12">
        <v>46138</v>
      </c>
      <c r="B2431" s="10">
        <v>15</v>
      </c>
      <c r="Q2431" s="10" t="str">
        <f t="shared" si="37"/>
        <v>Incomplete</v>
      </c>
    </row>
    <row r="2432" spans="1:17" hidden="1">
      <c r="A2432" s="12">
        <v>46138</v>
      </c>
      <c r="B2432" s="10">
        <v>16</v>
      </c>
      <c r="Q2432" s="10" t="str">
        <f t="shared" si="37"/>
        <v>Incomplete</v>
      </c>
    </row>
    <row r="2433" spans="1:17" hidden="1">
      <c r="A2433" s="12">
        <v>46138</v>
      </c>
      <c r="B2433" s="10">
        <v>17</v>
      </c>
      <c r="Q2433" s="10" t="str">
        <f t="shared" si="37"/>
        <v>Incomplete</v>
      </c>
    </row>
    <row r="2434" spans="1:17" hidden="1">
      <c r="A2434" s="12">
        <v>46138</v>
      </c>
      <c r="B2434" s="10">
        <v>18</v>
      </c>
      <c r="Q2434" s="10" t="str">
        <f t="shared" ref="Q2434:Q2497" si="38">IF(AND(C2434&lt;&gt;"",J2434&lt;&gt;"",K2434&lt;&gt;"",L2434&lt;&gt;"",O2434="Yes"),"Complete","Incomplete")</f>
        <v>Incomplete</v>
      </c>
    </row>
    <row r="2435" spans="1:17" hidden="1">
      <c r="A2435" s="12">
        <v>46138</v>
      </c>
      <c r="B2435" s="10">
        <v>19</v>
      </c>
      <c r="Q2435" s="10" t="str">
        <f t="shared" si="38"/>
        <v>Incomplete</v>
      </c>
    </row>
    <row r="2436" spans="1:17" hidden="1">
      <c r="A2436" s="12">
        <v>46138</v>
      </c>
      <c r="B2436" s="10">
        <v>20</v>
      </c>
      <c r="Q2436" s="10" t="str">
        <f t="shared" si="38"/>
        <v>Incomplete</v>
      </c>
    </row>
    <row r="2437" spans="1:17" hidden="1">
      <c r="A2437" s="12">
        <v>46138</v>
      </c>
      <c r="B2437" s="10">
        <v>21</v>
      </c>
      <c r="Q2437" s="10" t="str">
        <f t="shared" si="38"/>
        <v>Incomplete</v>
      </c>
    </row>
    <row r="2438" spans="1:17" hidden="1">
      <c r="A2438" s="12">
        <v>46139</v>
      </c>
      <c r="B2438" s="10">
        <v>1</v>
      </c>
      <c r="Q2438" s="10" t="str">
        <f t="shared" si="38"/>
        <v>Incomplete</v>
      </c>
    </row>
    <row r="2439" spans="1:17" hidden="1">
      <c r="A2439" s="12">
        <v>46139</v>
      </c>
      <c r="B2439" s="10">
        <v>2</v>
      </c>
      <c r="Q2439" s="10" t="str">
        <f t="shared" si="38"/>
        <v>Incomplete</v>
      </c>
    </row>
    <row r="2440" spans="1:17" hidden="1">
      <c r="A2440" s="12">
        <v>46139</v>
      </c>
      <c r="B2440" s="10">
        <v>3</v>
      </c>
      <c r="Q2440" s="10" t="str">
        <f t="shared" si="38"/>
        <v>Incomplete</v>
      </c>
    </row>
    <row r="2441" spans="1:17" hidden="1">
      <c r="A2441" s="12">
        <v>46139</v>
      </c>
      <c r="B2441" s="10">
        <v>4</v>
      </c>
      <c r="Q2441" s="10" t="str">
        <f t="shared" si="38"/>
        <v>Incomplete</v>
      </c>
    </row>
    <row r="2442" spans="1:17" hidden="1">
      <c r="A2442" s="12">
        <v>46139</v>
      </c>
      <c r="B2442" s="10">
        <v>5</v>
      </c>
      <c r="Q2442" s="10" t="str">
        <f t="shared" si="38"/>
        <v>Incomplete</v>
      </c>
    </row>
    <row r="2443" spans="1:17" hidden="1">
      <c r="A2443" s="12">
        <v>46139</v>
      </c>
      <c r="B2443" s="10">
        <v>6</v>
      </c>
      <c r="Q2443" s="10" t="str">
        <f t="shared" si="38"/>
        <v>Incomplete</v>
      </c>
    </row>
    <row r="2444" spans="1:17" hidden="1">
      <c r="A2444" s="12">
        <v>46139</v>
      </c>
      <c r="B2444" s="10">
        <v>7</v>
      </c>
      <c r="Q2444" s="10" t="str">
        <f t="shared" si="38"/>
        <v>Incomplete</v>
      </c>
    </row>
    <row r="2445" spans="1:17" hidden="1">
      <c r="A2445" s="12">
        <v>46139</v>
      </c>
      <c r="B2445" s="10">
        <v>8</v>
      </c>
      <c r="Q2445" s="10" t="str">
        <f t="shared" si="38"/>
        <v>Incomplete</v>
      </c>
    </row>
    <row r="2446" spans="1:17" hidden="1">
      <c r="A2446" s="12">
        <v>46139</v>
      </c>
      <c r="B2446" s="10">
        <v>9</v>
      </c>
      <c r="Q2446" s="10" t="str">
        <f t="shared" si="38"/>
        <v>Incomplete</v>
      </c>
    </row>
    <row r="2447" spans="1:17" hidden="1">
      <c r="A2447" s="12">
        <v>46139</v>
      </c>
      <c r="B2447" s="10">
        <v>10</v>
      </c>
      <c r="Q2447" s="10" t="str">
        <f t="shared" si="38"/>
        <v>Incomplete</v>
      </c>
    </row>
    <row r="2448" spans="1:17" hidden="1">
      <c r="A2448" s="12">
        <v>46139</v>
      </c>
      <c r="B2448" s="10">
        <v>11</v>
      </c>
      <c r="Q2448" s="10" t="str">
        <f t="shared" si="38"/>
        <v>Incomplete</v>
      </c>
    </row>
    <row r="2449" spans="1:17" hidden="1">
      <c r="A2449" s="12">
        <v>46139</v>
      </c>
      <c r="B2449" s="10">
        <v>12</v>
      </c>
      <c r="Q2449" s="10" t="str">
        <f t="shared" si="38"/>
        <v>Incomplete</v>
      </c>
    </row>
    <row r="2450" spans="1:17" hidden="1">
      <c r="A2450" s="12">
        <v>46139</v>
      </c>
      <c r="B2450" s="10">
        <v>13</v>
      </c>
      <c r="Q2450" s="10" t="str">
        <f t="shared" si="38"/>
        <v>Incomplete</v>
      </c>
    </row>
    <row r="2451" spans="1:17" hidden="1">
      <c r="A2451" s="12">
        <v>46139</v>
      </c>
      <c r="B2451" s="10">
        <v>14</v>
      </c>
      <c r="Q2451" s="10" t="str">
        <f t="shared" si="38"/>
        <v>Incomplete</v>
      </c>
    </row>
    <row r="2452" spans="1:17" hidden="1">
      <c r="A2452" s="12">
        <v>46139</v>
      </c>
      <c r="B2452" s="10">
        <v>15</v>
      </c>
      <c r="Q2452" s="10" t="str">
        <f t="shared" si="38"/>
        <v>Incomplete</v>
      </c>
    </row>
    <row r="2453" spans="1:17" hidden="1">
      <c r="A2453" s="12">
        <v>46139</v>
      </c>
      <c r="B2453" s="10">
        <v>16</v>
      </c>
      <c r="Q2453" s="10" t="str">
        <f t="shared" si="38"/>
        <v>Incomplete</v>
      </c>
    </row>
    <row r="2454" spans="1:17" hidden="1">
      <c r="A2454" s="12">
        <v>46139</v>
      </c>
      <c r="B2454" s="10">
        <v>17</v>
      </c>
      <c r="Q2454" s="10" t="str">
        <f t="shared" si="38"/>
        <v>Incomplete</v>
      </c>
    </row>
    <row r="2455" spans="1:17" hidden="1">
      <c r="A2455" s="12">
        <v>46139</v>
      </c>
      <c r="B2455" s="10">
        <v>18</v>
      </c>
      <c r="Q2455" s="10" t="str">
        <f t="shared" si="38"/>
        <v>Incomplete</v>
      </c>
    </row>
    <row r="2456" spans="1:17" hidden="1">
      <c r="A2456" s="12">
        <v>46139</v>
      </c>
      <c r="B2456" s="10">
        <v>19</v>
      </c>
      <c r="Q2456" s="10" t="str">
        <f t="shared" si="38"/>
        <v>Incomplete</v>
      </c>
    </row>
    <row r="2457" spans="1:17" hidden="1">
      <c r="A2457" s="12">
        <v>46139</v>
      </c>
      <c r="B2457" s="10">
        <v>20</v>
      </c>
      <c r="Q2457" s="10" t="str">
        <f t="shared" si="38"/>
        <v>Incomplete</v>
      </c>
    </row>
    <row r="2458" spans="1:17" hidden="1">
      <c r="A2458" s="12">
        <v>46139</v>
      </c>
      <c r="B2458" s="10">
        <v>21</v>
      </c>
      <c r="Q2458" s="10" t="str">
        <f t="shared" si="38"/>
        <v>Incomplete</v>
      </c>
    </row>
    <row r="2459" spans="1:17" hidden="1">
      <c r="A2459" s="12">
        <v>46140</v>
      </c>
      <c r="B2459" s="10">
        <v>1</v>
      </c>
      <c r="Q2459" s="10" t="str">
        <f t="shared" si="38"/>
        <v>Incomplete</v>
      </c>
    </row>
    <row r="2460" spans="1:17" hidden="1">
      <c r="A2460" s="12">
        <v>46140</v>
      </c>
      <c r="B2460" s="10">
        <v>2</v>
      </c>
      <c r="Q2460" s="10" t="str">
        <f t="shared" si="38"/>
        <v>Incomplete</v>
      </c>
    </row>
    <row r="2461" spans="1:17" hidden="1">
      <c r="A2461" s="12">
        <v>46140</v>
      </c>
      <c r="B2461" s="10">
        <v>3</v>
      </c>
      <c r="Q2461" s="10" t="str">
        <f t="shared" si="38"/>
        <v>Incomplete</v>
      </c>
    </row>
    <row r="2462" spans="1:17" hidden="1">
      <c r="A2462" s="12">
        <v>46140</v>
      </c>
      <c r="B2462" s="10">
        <v>4</v>
      </c>
      <c r="Q2462" s="10" t="str">
        <f t="shared" si="38"/>
        <v>Incomplete</v>
      </c>
    </row>
    <row r="2463" spans="1:17" hidden="1">
      <c r="A2463" s="12">
        <v>46140</v>
      </c>
      <c r="B2463" s="10">
        <v>5</v>
      </c>
      <c r="Q2463" s="10" t="str">
        <f t="shared" si="38"/>
        <v>Incomplete</v>
      </c>
    </row>
    <row r="2464" spans="1:17" hidden="1">
      <c r="A2464" s="12">
        <v>46140</v>
      </c>
      <c r="B2464" s="10">
        <v>6</v>
      </c>
      <c r="Q2464" s="10" t="str">
        <f t="shared" si="38"/>
        <v>Incomplete</v>
      </c>
    </row>
    <row r="2465" spans="1:17" hidden="1">
      <c r="A2465" s="12">
        <v>46140</v>
      </c>
      <c r="B2465" s="10">
        <v>7</v>
      </c>
      <c r="Q2465" s="10" t="str">
        <f t="shared" si="38"/>
        <v>Incomplete</v>
      </c>
    </row>
    <row r="2466" spans="1:17" hidden="1">
      <c r="A2466" s="12">
        <v>46140</v>
      </c>
      <c r="B2466" s="10">
        <v>8</v>
      </c>
      <c r="Q2466" s="10" t="str">
        <f t="shared" si="38"/>
        <v>Incomplete</v>
      </c>
    </row>
    <row r="2467" spans="1:17" hidden="1">
      <c r="A2467" s="12">
        <v>46140</v>
      </c>
      <c r="B2467" s="10">
        <v>9</v>
      </c>
      <c r="Q2467" s="10" t="str">
        <f t="shared" si="38"/>
        <v>Incomplete</v>
      </c>
    </row>
    <row r="2468" spans="1:17" hidden="1">
      <c r="A2468" s="12">
        <v>46140</v>
      </c>
      <c r="B2468" s="10">
        <v>10</v>
      </c>
      <c r="Q2468" s="10" t="str">
        <f t="shared" si="38"/>
        <v>Incomplete</v>
      </c>
    </row>
    <row r="2469" spans="1:17" hidden="1">
      <c r="A2469" s="12">
        <v>46140</v>
      </c>
      <c r="B2469" s="10">
        <v>11</v>
      </c>
      <c r="Q2469" s="10" t="str">
        <f t="shared" si="38"/>
        <v>Incomplete</v>
      </c>
    </row>
    <row r="2470" spans="1:17" hidden="1">
      <c r="A2470" s="12">
        <v>46140</v>
      </c>
      <c r="B2470" s="10">
        <v>12</v>
      </c>
      <c r="Q2470" s="10" t="str">
        <f t="shared" si="38"/>
        <v>Incomplete</v>
      </c>
    </row>
    <row r="2471" spans="1:17" hidden="1">
      <c r="A2471" s="12">
        <v>46140</v>
      </c>
      <c r="B2471" s="10">
        <v>13</v>
      </c>
      <c r="Q2471" s="10" t="str">
        <f t="shared" si="38"/>
        <v>Incomplete</v>
      </c>
    </row>
    <row r="2472" spans="1:17" hidden="1">
      <c r="A2472" s="12">
        <v>46140</v>
      </c>
      <c r="B2472" s="10">
        <v>14</v>
      </c>
      <c r="Q2472" s="10" t="str">
        <f t="shared" si="38"/>
        <v>Incomplete</v>
      </c>
    </row>
    <row r="2473" spans="1:17" hidden="1">
      <c r="A2473" s="12">
        <v>46140</v>
      </c>
      <c r="B2473" s="10">
        <v>15</v>
      </c>
      <c r="Q2473" s="10" t="str">
        <f t="shared" si="38"/>
        <v>Incomplete</v>
      </c>
    </row>
    <row r="2474" spans="1:17" hidden="1">
      <c r="A2474" s="12">
        <v>46140</v>
      </c>
      <c r="B2474" s="10">
        <v>16</v>
      </c>
      <c r="Q2474" s="10" t="str">
        <f t="shared" si="38"/>
        <v>Incomplete</v>
      </c>
    </row>
    <row r="2475" spans="1:17" hidden="1">
      <c r="A2475" s="12">
        <v>46140</v>
      </c>
      <c r="B2475" s="10">
        <v>17</v>
      </c>
      <c r="Q2475" s="10" t="str">
        <f t="shared" si="38"/>
        <v>Incomplete</v>
      </c>
    </row>
    <row r="2476" spans="1:17" hidden="1">
      <c r="A2476" s="12">
        <v>46140</v>
      </c>
      <c r="B2476" s="10">
        <v>18</v>
      </c>
      <c r="Q2476" s="10" t="str">
        <f t="shared" si="38"/>
        <v>Incomplete</v>
      </c>
    </row>
    <row r="2477" spans="1:17" hidden="1">
      <c r="A2477" s="12">
        <v>46140</v>
      </c>
      <c r="B2477" s="10">
        <v>19</v>
      </c>
      <c r="Q2477" s="10" t="str">
        <f t="shared" si="38"/>
        <v>Incomplete</v>
      </c>
    </row>
    <row r="2478" spans="1:17" hidden="1">
      <c r="A2478" s="12">
        <v>46140</v>
      </c>
      <c r="B2478" s="10">
        <v>20</v>
      </c>
      <c r="Q2478" s="10" t="str">
        <f t="shared" si="38"/>
        <v>Incomplete</v>
      </c>
    </row>
    <row r="2479" spans="1:17" hidden="1">
      <c r="A2479" s="12">
        <v>46140</v>
      </c>
      <c r="B2479" s="10">
        <v>21</v>
      </c>
      <c r="Q2479" s="10" t="str">
        <f t="shared" si="38"/>
        <v>Incomplete</v>
      </c>
    </row>
    <row r="2480" spans="1:17" hidden="1">
      <c r="A2480" s="12">
        <v>46141</v>
      </c>
      <c r="B2480" s="10">
        <v>1</v>
      </c>
      <c r="Q2480" s="10" t="str">
        <f t="shared" si="38"/>
        <v>Incomplete</v>
      </c>
    </row>
    <row r="2481" spans="1:17" hidden="1">
      <c r="A2481" s="12">
        <v>46141</v>
      </c>
      <c r="B2481" s="10">
        <v>2</v>
      </c>
      <c r="Q2481" s="10" t="str">
        <f t="shared" si="38"/>
        <v>Incomplete</v>
      </c>
    </row>
    <row r="2482" spans="1:17" hidden="1">
      <c r="A2482" s="12">
        <v>46141</v>
      </c>
      <c r="B2482" s="10">
        <v>3</v>
      </c>
      <c r="Q2482" s="10" t="str">
        <f t="shared" si="38"/>
        <v>Incomplete</v>
      </c>
    </row>
    <row r="2483" spans="1:17" hidden="1">
      <c r="A2483" s="12">
        <v>46141</v>
      </c>
      <c r="B2483" s="10">
        <v>4</v>
      </c>
      <c r="Q2483" s="10" t="str">
        <f t="shared" si="38"/>
        <v>Incomplete</v>
      </c>
    </row>
    <row r="2484" spans="1:17" hidden="1">
      <c r="A2484" s="12">
        <v>46141</v>
      </c>
      <c r="B2484" s="10">
        <v>5</v>
      </c>
      <c r="Q2484" s="10" t="str">
        <f t="shared" si="38"/>
        <v>Incomplete</v>
      </c>
    </row>
    <row r="2485" spans="1:17" hidden="1">
      <c r="A2485" s="12">
        <v>46141</v>
      </c>
      <c r="B2485" s="10">
        <v>6</v>
      </c>
      <c r="Q2485" s="10" t="str">
        <f t="shared" si="38"/>
        <v>Incomplete</v>
      </c>
    </row>
    <row r="2486" spans="1:17" hidden="1">
      <c r="A2486" s="12">
        <v>46141</v>
      </c>
      <c r="B2486" s="10">
        <v>7</v>
      </c>
      <c r="Q2486" s="10" t="str">
        <f t="shared" si="38"/>
        <v>Incomplete</v>
      </c>
    </row>
    <row r="2487" spans="1:17" hidden="1">
      <c r="A2487" s="12">
        <v>46141</v>
      </c>
      <c r="B2487" s="10">
        <v>8</v>
      </c>
      <c r="Q2487" s="10" t="str">
        <f t="shared" si="38"/>
        <v>Incomplete</v>
      </c>
    </row>
    <row r="2488" spans="1:17" hidden="1">
      <c r="A2488" s="12">
        <v>46141</v>
      </c>
      <c r="B2488" s="10">
        <v>9</v>
      </c>
      <c r="Q2488" s="10" t="str">
        <f t="shared" si="38"/>
        <v>Incomplete</v>
      </c>
    </row>
    <row r="2489" spans="1:17" hidden="1">
      <c r="A2489" s="12">
        <v>46141</v>
      </c>
      <c r="B2489" s="10">
        <v>10</v>
      </c>
      <c r="Q2489" s="10" t="str">
        <f t="shared" si="38"/>
        <v>Incomplete</v>
      </c>
    </row>
    <row r="2490" spans="1:17" hidden="1">
      <c r="A2490" s="12">
        <v>46141</v>
      </c>
      <c r="B2490" s="10">
        <v>11</v>
      </c>
      <c r="Q2490" s="10" t="str">
        <f t="shared" si="38"/>
        <v>Incomplete</v>
      </c>
    </row>
    <row r="2491" spans="1:17" hidden="1">
      <c r="A2491" s="12">
        <v>46141</v>
      </c>
      <c r="B2491" s="10">
        <v>12</v>
      </c>
      <c r="Q2491" s="10" t="str">
        <f t="shared" si="38"/>
        <v>Incomplete</v>
      </c>
    </row>
    <row r="2492" spans="1:17" hidden="1">
      <c r="A2492" s="12">
        <v>46141</v>
      </c>
      <c r="B2492" s="10">
        <v>13</v>
      </c>
      <c r="Q2492" s="10" t="str">
        <f t="shared" si="38"/>
        <v>Incomplete</v>
      </c>
    </row>
    <row r="2493" spans="1:17" hidden="1">
      <c r="A2493" s="12">
        <v>46141</v>
      </c>
      <c r="B2493" s="10">
        <v>14</v>
      </c>
      <c r="Q2493" s="10" t="str">
        <f t="shared" si="38"/>
        <v>Incomplete</v>
      </c>
    </row>
    <row r="2494" spans="1:17" hidden="1">
      <c r="A2494" s="12">
        <v>46141</v>
      </c>
      <c r="B2494" s="10">
        <v>15</v>
      </c>
      <c r="Q2494" s="10" t="str">
        <f t="shared" si="38"/>
        <v>Incomplete</v>
      </c>
    </row>
    <row r="2495" spans="1:17" hidden="1">
      <c r="A2495" s="12">
        <v>46141</v>
      </c>
      <c r="B2495" s="10">
        <v>16</v>
      </c>
      <c r="Q2495" s="10" t="str">
        <f t="shared" si="38"/>
        <v>Incomplete</v>
      </c>
    </row>
    <row r="2496" spans="1:17" hidden="1">
      <c r="A2496" s="12">
        <v>46141</v>
      </c>
      <c r="B2496" s="10">
        <v>17</v>
      </c>
      <c r="Q2496" s="10" t="str">
        <f t="shared" si="38"/>
        <v>Incomplete</v>
      </c>
    </row>
    <row r="2497" spans="1:17" hidden="1">
      <c r="A2497" s="12">
        <v>46141</v>
      </c>
      <c r="B2497" s="10">
        <v>18</v>
      </c>
      <c r="Q2497" s="10" t="str">
        <f t="shared" si="38"/>
        <v>Incomplete</v>
      </c>
    </row>
    <row r="2498" spans="1:17" hidden="1">
      <c r="A2498" s="12">
        <v>46141</v>
      </c>
      <c r="B2498" s="10">
        <v>19</v>
      </c>
      <c r="Q2498" s="10" t="str">
        <f t="shared" ref="Q2498:Q2561" si="39">IF(AND(C2498&lt;&gt;"",J2498&lt;&gt;"",K2498&lt;&gt;"",L2498&lt;&gt;"",O2498="Yes"),"Complete","Incomplete")</f>
        <v>Incomplete</v>
      </c>
    </row>
    <row r="2499" spans="1:17" hidden="1">
      <c r="A2499" s="12">
        <v>46141</v>
      </c>
      <c r="B2499" s="10">
        <v>20</v>
      </c>
      <c r="Q2499" s="10" t="str">
        <f t="shared" si="39"/>
        <v>Incomplete</v>
      </c>
    </row>
    <row r="2500" spans="1:17" hidden="1">
      <c r="A2500" s="12">
        <v>46141</v>
      </c>
      <c r="B2500" s="10">
        <v>21</v>
      </c>
      <c r="Q2500" s="10" t="str">
        <f t="shared" si="39"/>
        <v>Incomplete</v>
      </c>
    </row>
    <row r="2501" spans="1:17" hidden="1">
      <c r="A2501" s="12">
        <v>46142</v>
      </c>
      <c r="B2501" s="10">
        <v>1</v>
      </c>
      <c r="Q2501" s="10" t="str">
        <f t="shared" si="39"/>
        <v>Incomplete</v>
      </c>
    </row>
    <row r="2502" spans="1:17" hidden="1">
      <c r="A2502" s="12">
        <v>46142</v>
      </c>
      <c r="B2502" s="10">
        <v>2</v>
      </c>
      <c r="Q2502" s="10" t="str">
        <f t="shared" si="39"/>
        <v>Incomplete</v>
      </c>
    </row>
    <row r="2503" spans="1:17" hidden="1">
      <c r="A2503" s="12">
        <v>46142</v>
      </c>
      <c r="B2503" s="10">
        <v>3</v>
      </c>
      <c r="Q2503" s="10" t="str">
        <f t="shared" si="39"/>
        <v>Incomplete</v>
      </c>
    </row>
    <row r="2504" spans="1:17" hidden="1">
      <c r="A2504" s="12">
        <v>46142</v>
      </c>
      <c r="B2504" s="10">
        <v>4</v>
      </c>
      <c r="Q2504" s="10" t="str">
        <f t="shared" si="39"/>
        <v>Incomplete</v>
      </c>
    </row>
    <row r="2505" spans="1:17" hidden="1">
      <c r="A2505" s="12">
        <v>46142</v>
      </c>
      <c r="B2505" s="10">
        <v>5</v>
      </c>
      <c r="Q2505" s="10" t="str">
        <f t="shared" si="39"/>
        <v>Incomplete</v>
      </c>
    </row>
    <row r="2506" spans="1:17" hidden="1">
      <c r="A2506" s="12">
        <v>46142</v>
      </c>
      <c r="B2506" s="10">
        <v>6</v>
      </c>
      <c r="Q2506" s="10" t="str">
        <f t="shared" si="39"/>
        <v>Incomplete</v>
      </c>
    </row>
    <row r="2507" spans="1:17" hidden="1">
      <c r="A2507" s="12">
        <v>46142</v>
      </c>
      <c r="B2507" s="10">
        <v>7</v>
      </c>
      <c r="Q2507" s="10" t="str">
        <f t="shared" si="39"/>
        <v>Incomplete</v>
      </c>
    </row>
    <row r="2508" spans="1:17" hidden="1">
      <c r="A2508" s="12">
        <v>46142</v>
      </c>
      <c r="B2508" s="10">
        <v>8</v>
      </c>
      <c r="Q2508" s="10" t="str">
        <f t="shared" si="39"/>
        <v>Incomplete</v>
      </c>
    </row>
    <row r="2509" spans="1:17" hidden="1">
      <c r="A2509" s="12">
        <v>46142</v>
      </c>
      <c r="B2509" s="10">
        <v>9</v>
      </c>
      <c r="Q2509" s="10" t="str">
        <f t="shared" si="39"/>
        <v>Incomplete</v>
      </c>
    </row>
    <row r="2510" spans="1:17" hidden="1">
      <c r="A2510" s="12">
        <v>46142</v>
      </c>
      <c r="B2510" s="10">
        <v>10</v>
      </c>
      <c r="Q2510" s="10" t="str">
        <f t="shared" si="39"/>
        <v>Incomplete</v>
      </c>
    </row>
    <row r="2511" spans="1:17" hidden="1">
      <c r="A2511" s="12">
        <v>46142</v>
      </c>
      <c r="B2511" s="10">
        <v>11</v>
      </c>
      <c r="Q2511" s="10" t="str">
        <f t="shared" si="39"/>
        <v>Incomplete</v>
      </c>
    </row>
    <row r="2512" spans="1:17" hidden="1">
      <c r="A2512" s="12">
        <v>46142</v>
      </c>
      <c r="B2512" s="10">
        <v>12</v>
      </c>
      <c r="Q2512" s="10" t="str">
        <f t="shared" si="39"/>
        <v>Incomplete</v>
      </c>
    </row>
    <row r="2513" spans="1:17" hidden="1">
      <c r="A2513" s="12">
        <v>46142</v>
      </c>
      <c r="B2513" s="10">
        <v>13</v>
      </c>
      <c r="Q2513" s="10" t="str">
        <f t="shared" si="39"/>
        <v>Incomplete</v>
      </c>
    </row>
    <row r="2514" spans="1:17" hidden="1">
      <c r="A2514" s="12">
        <v>46142</v>
      </c>
      <c r="B2514" s="10">
        <v>14</v>
      </c>
      <c r="Q2514" s="10" t="str">
        <f t="shared" si="39"/>
        <v>Incomplete</v>
      </c>
    </row>
    <row r="2515" spans="1:17" hidden="1">
      <c r="A2515" s="12">
        <v>46142</v>
      </c>
      <c r="B2515" s="10">
        <v>15</v>
      </c>
      <c r="Q2515" s="10" t="str">
        <f t="shared" si="39"/>
        <v>Incomplete</v>
      </c>
    </row>
    <row r="2516" spans="1:17" hidden="1">
      <c r="A2516" s="12">
        <v>46142</v>
      </c>
      <c r="B2516" s="10">
        <v>16</v>
      </c>
      <c r="Q2516" s="10" t="str">
        <f t="shared" si="39"/>
        <v>Incomplete</v>
      </c>
    </row>
    <row r="2517" spans="1:17" hidden="1">
      <c r="A2517" s="12">
        <v>46142</v>
      </c>
      <c r="B2517" s="10">
        <v>17</v>
      </c>
      <c r="Q2517" s="10" t="str">
        <f t="shared" si="39"/>
        <v>Incomplete</v>
      </c>
    </row>
    <row r="2518" spans="1:17" hidden="1">
      <c r="A2518" s="12">
        <v>46142</v>
      </c>
      <c r="B2518" s="10">
        <v>18</v>
      </c>
      <c r="Q2518" s="10" t="str">
        <f t="shared" si="39"/>
        <v>Incomplete</v>
      </c>
    </row>
    <row r="2519" spans="1:17" hidden="1">
      <c r="A2519" s="12">
        <v>46142</v>
      </c>
      <c r="B2519" s="10">
        <v>19</v>
      </c>
      <c r="Q2519" s="10" t="str">
        <f t="shared" si="39"/>
        <v>Incomplete</v>
      </c>
    </row>
    <row r="2520" spans="1:17" hidden="1">
      <c r="A2520" s="12">
        <v>46142</v>
      </c>
      <c r="B2520" s="10">
        <v>20</v>
      </c>
      <c r="Q2520" s="10" t="str">
        <f t="shared" si="39"/>
        <v>Incomplete</v>
      </c>
    </row>
    <row r="2521" spans="1:17" hidden="1">
      <c r="A2521" s="12">
        <v>46142</v>
      </c>
      <c r="B2521" s="10">
        <v>21</v>
      </c>
      <c r="Q2521" s="10" t="str">
        <f t="shared" si="39"/>
        <v>Incomplete</v>
      </c>
    </row>
    <row r="2522" spans="1:17" hidden="1">
      <c r="A2522" s="12">
        <v>46143</v>
      </c>
      <c r="B2522" s="10">
        <v>1</v>
      </c>
      <c r="Q2522" s="10" t="str">
        <f t="shared" si="39"/>
        <v>Incomplete</v>
      </c>
    </row>
    <row r="2523" spans="1:17" hidden="1">
      <c r="A2523" s="12">
        <v>46143</v>
      </c>
      <c r="B2523" s="10">
        <v>2</v>
      </c>
      <c r="Q2523" s="10" t="str">
        <f t="shared" si="39"/>
        <v>Incomplete</v>
      </c>
    </row>
    <row r="2524" spans="1:17" hidden="1">
      <c r="A2524" s="12">
        <v>46143</v>
      </c>
      <c r="B2524" s="10">
        <v>3</v>
      </c>
      <c r="Q2524" s="10" t="str">
        <f t="shared" si="39"/>
        <v>Incomplete</v>
      </c>
    </row>
    <row r="2525" spans="1:17" hidden="1">
      <c r="A2525" s="12">
        <v>46143</v>
      </c>
      <c r="B2525" s="10">
        <v>4</v>
      </c>
      <c r="Q2525" s="10" t="str">
        <f t="shared" si="39"/>
        <v>Incomplete</v>
      </c>
    </row>
    <row r="2526" spans="1:17" hidden="1">
      <c r="A2526" s="12">
        <v>46143</v>
      </c>
      <c r="B2526" s="10">
        <v>5</v>
      </c>
      <c r="Q2526" s="10" t="str">
        <f t="shared" si="39"/>
        <v>Incomplete</v>
      </c>
    </row>
    <row r="2527" spans="1:17" hidden="1">
      <c r="A2527" s="12">
        <v>46143</v>
      </c>
      <c r="B2527" s="10">
        <v>6</v>
      </c>
      <c r="Q2527" s="10" t="str">
        <f t="shared" si="39"/>
        <v>Incomplete</v>
      </c>
    </row>
    <row r="2528" spans="1:17" hidden="1">
      <c r="A2528" s="12">
        <v>46143</v>
      </c>
      <c r="B2528" s="10">
        <v>7</v>
      </c>
      <c r="Q2528" s="10" t="str">
        <f t="shared" si="39"/>
        <v>Incomplete</v>
      </c>
    </row>
    <row r="2529" spans="1:17" hidden="1">
      <c r="A2529" s="12">
        <v>46143</v>
      </c>
      <c r="B2529" s="10">
        <v>8</v>
      </c>
      <c r="Q2529" s="10" t="str">
        <f t="shared" si="39"/>
        <v>Incomplete</v>
      </c>
    </row>
    <row r="2530" spans="1:17" hidden="1">
      <c r="A2530" s="12">
        <v>46143</v>
      </c>
      <c r="B2530" s="10">
        <v>9</v>
      </c>
      <c r="Q2530" s="10" t="str">
        <f t="shared" si="39"/>
        <v>Incomplete</v>
      </c>
    </row>
    <row r="2531" spans="1:17" hidden="1">
      <c r="A2531" s="12">
        <v>46143</v>
      </c>
      <c r="B2531" s="10">
        <v>10</v>
      </c>
      <c r="Q2531" s="10" t="str">
        <f t="shared" si="39"/>
        <v>Incomplete</v>
      </c>
    </row>
    <row r="2532" spans="1:17" hidden="1">
      <c r="A2532" s="12">
        <v>46143</v>
      </c>
      <c r="B2532" s="10">
        <v>11</v>
      </c>
      <c r="Q2532" s="10" t="str">
        <f t="shared" si="39"/>
        <v>Incomplete</v>
      </c>
    </row>
    <row r="2533" spans="1:17" hidden="1">
      <c r="A2533" s="12">
        <v>46143</v>
      </c>
      <c r="B2533" s="10">
        <v>12</v>
      </c>
      <c r="Q2533" s="10" t="str">
        <f t="shared" si="39"/>
        <v>Incomplete</v>
      </c>
    </row>
    <row r="2534" spans="1:17" hidden="1">
      <c r="A2534" s="12">
        <v>46143</v>
      </c>
      <c r="B2534" s="10">
        <v>13</v>
      </c>
      <c r="Q2534" s="10" t="str">
        <f t="shared" si="39"/>
        <v>Incomplete</v>
      </c>
    </row>
    <row r="2535" spans="1:17" hidden="1">
      <c r="A2535" s="12">
        <v>46143</v>
      </c>
      <c r="B2535" s="10">
        <v>14</v>
      </c>
      <c r="Q2535" s="10" t="str">
        <f t="shared" si="39"/>
        <v>Incomplete</v>
      </c>
    </row>
    <row r="2536" spans="1:17" hidden="1">
      <c r="A2536" s="12">
        <v>46143</v>
      </c>
      <c r="B2536" s="10">
        <v>15</v>
      </c>
      <c r="Q2536" s="10" t="str">
        <f t="shared" si="39"/>
        <v>Incomplete</v>
      </c>
    </row>
    <row r="2537" spans="1:17" hidden="1">
      <c r="A2537" s="12">
        <v>46143</v>
      </c>
      <c r="B2537" s="10">
        <v>16</v>
      </c>
      <c r="Q2537" s="10" t="str">
        <f t="shared" si="39"/>
        <v>Incomplete</v>
      </c>
    </row>
    <row r="2538" spans="1:17" hidden="1">
      <c r="A2538" s="12">
        <v>46143</v>
      </c>
      <c r="B2538" s="10">
        <v>17</v>
      </c>
      <c r="Q2538" s="10" t="str">
        <f t="shared" si="39"/>
        <v>Incomplete</v>
      </c>
    </row>
    <row r="2539" spans="1:17" hidden="1">
      <c r="A2539" s="12">
        <v>46143</v>
      </c>
      <c r="B2539" s="10">
        <v>18</v>
      </c>
      <c r="Q2539" s="10" t="str">
        <f t="shared" si="39"/>
        <v>Incomplete</v>
      </c>
    </row>
    <row r="2540" spans="1:17" hidden="1">
      <c r="A2540" s="12">
        <v>46143</v>
      </c>
      <c r="B2540" s="10">
        <v>19</v>
      </c>
      <c r="Q2540" s="10" t="str">
        <f t="shared" si="39"/>
        <v>Incomplete</v>
      </c>
    </row>
    <row r="2541" spans="1:17" hidden="1">
      <c r="A2541" s="12">
        <v>46143</v>
      </c>
      <c r="B2541" s="10">
        <v>20</v>
      </c>
      <c r="Q2541" s="10" t="str">
        <f t="shared" si="39"/>
        <v>Incomplete</v>
      </c>
    </row>
    <row r="2542" spans="1:17" hidden="1">
      <c r="A2542" s="12">
        <v>46143</v>
      </c>
      <c r="B2542" s="10">
        <v>21</v>
      </c>
      <c r="Q2542" s="10" t="str">
        <f t="shared" si="39"/>
        <v>Incomplete</v>
      </c>
    </row>
    <row r="2543" spans="1:17" hidden="1">
      <c r="A2543" s="12">
        <v>46144</v>
      </c>
      <c r="B2543" s="10">
        <v>1</v>
      </c>
      <c r="Q2543" s="10" t="str">
        <f t="shared" si="39"/>
        <v>Incomplete</v>
      </c>
    </row>
    <row r="2544" spans="1:17" hidden="1">
      <c r="A2544" s="12">
        <v>46144</v>
      </c>
      <c r="B2544" s="10">
        <v>2</v>
      </c>
      <c r="Q2544" s="10" t="str">
        <f t="shared" si="39"/>
        <v>Incomplete</v>
      </c>
    </row>
    <row r="2545" spans="1:17" hidden="1">
      <c r="A2545" s="12">
        <v>46144</v>
      </c>
      <c r="B2545" s="10">
        <v>3</v>
      </c>
      <c r="Q2545" s="10" t="str">
        <f t="shared" si="39"/>
        <v>Incomplete</v>
      </c>
    </row>
    <row r="2546" spans="1:17" hidden="1">
      <c r="A2546" s="12">
        <v>46144</v>
      </c>
      <c r="B2546" s="10">
        <v>4</v>
      </c>
      <c r="Q2546" s="10" t="str">
        <f t="shared" si="39"/>
        <v>Incomplete</v>
      </c>
    </row>
    <row r="2547" spans="1:17" hidden="1">
      <c r="A2547" s="12">
        <v>46144</v>
      </c>
      <c r="B2547" s="10">
        <v>5</v>
      </c>
      <c r="Q2547" s="10" t="str">
        <f t="shared" si="39"/>
        <v>Incomplete</v>
      </c>
    </row>
    <row r="2548" spans="1:17" hidden="1">
      <c r="A2548" s="12">
        <v>46144</v>
      </c>
      <c r="B2548" s="10">
        <v>6</v>
      </c>
      <c r="Q2548" s="10" t="str">
        <f t="shared" si="39"/>
        <v>Incomplete</v>
      </c>
    </row>
    <row r="2549" spans="1:17" hidden="1">
      <c r="A2549" s="12">
        <v>46144</v>
      </c>
      <c r="B2549" s="10">
        <v>7</v>
      </c>
      <c r="Q2549" s="10" t="str">
        <f t="shared" si="39"/>
        <v>Incomplete</v>
      </c>
    </row>
    <row r="2550" spans="1:17" hidden="1">
      <c r="A2550" s="12">
        <v>46144</v>
      </c>
      <c r="B2550" s="10">
        <v>8</v>
      </c>
      <c r="Q2550" s="10" t="str">
        <f t="shared" si="39"/>
        <v>Incomplete</v>
      </c>
    </row>
    <row r="2551" spans="1:17" hidden="1">
      <c r="A2551" s="12">
        <v>46144</v>
      </c>
      <c r="B2551" s="10">
        <v>9</v>
      </c>
      <c r="Q2551" s="10" t="str">
        <f t="shared" si="39"/>
        <v>Incomplete</v>
      </c>
    </row>
    <row r="2552" spans="1:17" hidden="1">
      <c r="A2552" s="12">
        <v>46144</v>
      </c>
      <c r="B2552" s="10">
        <v>10</v>
      </c>
      <c r="Q2552" s="10" t="str">
        <f t="shared" si="39"/>
        <v>Incomplete</v>
      </c>
    </row>
    <row r="2553" spans="1:17" hidden="1">
      <c r="A2553" s="12">
        <v>46144</v>
      </c>
      <c r="B2553" s="10">
        <v>11</v>
      </c>
      <c r="Q2553" s="10" t="str">
        <f t="shared" si="39"/>
        <v>Incomplete</v>
      </c>
    </row>
    <row r="2554" spans="1:17" hidden="1">
      <c r="A2554" s="12">
        <v>46144</v>
      </c>
      <c r="B2554" s="10">
        <v>12</v>
      </c>
      <c r="Q2554" s="10" t="str">
        <f t="shared" si="39"/>
        <v>Incomplete</v>
      </c>
    </row>
    <row r="2555" spans="1:17" hidden="1">
      <c r="A2555" s="12">
        <v>46144</v>
      </c>
      <c r="B2555" s="10">
        <v>13</v>
      </c>
      <c r="Q2555" s="10" t="str">
        <f t="shared" si="39"/>
        <v>Incomplete</v>
      </c>
    </row>
    <row r="2556" spans="1:17" hidden="1">
      <c r="A2556" s="12">
        <v>46144</v>
      </c>
      <c r="B2556" s="10">
        <v>14</v>
      </c>
      <c r="Q2556" s="10" t="str">
        <f t="shared" si="39"/>
        <v>Incomplete</v>
      </c>
    </row>
    <row r="2557" spans="1:17" hidden="1">
      <c r="A2557" s="12">
        <v>46144</v>
      </c>
      <c r="B2557" s="10">
        <v>15</v>
      </c>
      <c r="Q2557" s="10" t="str">
        <f t="shared" si="39"/>
        <v>Incomplete</v>
      </c>
    </row>
    <row r="2558" spans="1:17" hidden="1">
      <c r="A2558" s="12">
        <v>46144</v>
      </c>
      <c r="B2558" s="10">
        <v>16</v>
      </c>
      <c r="Q2558" s="10" t="str">
        <f t="shared" si="39"/>
        <v>Incomplete</v>
      </c>
    </row>
    <row r="2559" spans="1:17" hidden="1">
      <c r="A2559" s="12">
        <v>46144</v>
      </c>
      <c r="B2559" s="10">
        <v>17</v>
      </c>
      <c r="Q2559" s="10" t="str">
        <f t="shared" si="39"/>
        <v>Incomplete</v>
      </c>
    </row>
    <row r="2560" spans="1:17" hidden="1">
      <c r="A2560" s="12">
        <v>46144</v>
      </c>
      <c r="B2560" s="10">
        <v>18</v>
      </c>
      <c r="Q2560" s="10" t="str">
        <f t="shared" si="39"/>
        <v>Incomplete</v>
      </c>
    </row>
    <row r="2561" spans="1:17" hidden="1">
      <c r="A2561" s="12">
        <v>46144</v>
      </c>
      <c r="B2561" s="10">
        <v>19</v>
      </c>
      <c r="Q2561" s="10" t="str">
        <f t="shared" si="39"/>
        <v>Incomplete</v>
      </c>
    </row>
    <row r="2562" spans="1:17" hidden="1">
      <c r="A2562" s="12">
        <v>46144</v>
      </c>
      <c r="B2562" s="10">
        <v>20</v>
      </c>
      <c r="Q2562" s="10" t="str">
        <f t="shared" ref="Q2562:Q2625" si="40">IF(AND(C2562&lt;&gt;"",J2562&lt;&gt;"",K2562&lt;&gt;"",L2562&lt;&gt;"",O2562="Yes"),"Complete","Incomplete")</f>
        <v>Incomplete</v>
      </c>
    </row>
    <row r="2563" spans="1:17" hidden="1">
      <c r="A2563" s="12">
        <v>46144</v>
      </c>
      <c r="B2563" s="10">
        <v>21</v>
      </c>
      <c r="Q2563" s="10" t="str">
        <f t="shared" si="40"/>
        <v>Incomplete</v>
      </c>
    </row>
    <row r="2564" spans="1:17" hidden="1">
      <c r="A2564" s="12">
        <v>46145</v>
      </c>
      <c r="B2564" s="10">
        <v>1</v>
      </c>
      <c r="Q2564" s="10" t="str">
        <f t="shared" si="40"/>
        <v>Incomplete</v>
      </c>
    </row>
    <row r="2565" spans="1:17" hidden="1">
      <c r="A2565" s="12">
        <v>46145</v>
      </c>
      <c r="B2565" s="10">
        <v>2</v>
      </c>
      <c r="Q2565" s="10" t="str">
        <f t="shared" si="40"/>
        <v>Incomplete</v>
      </c>
    </row>
    <row r="2566" spans="1:17" hidden="1">
      <c r="A2566" s="12">
        <v>46145</v>
      </c>
      <c r="B2566" s="10">
        <v>3</v>
      </c>
      <c r="Q2566" s="10" t="str">
        <f t="shared" si="40"/>
        <v>Incomplete</v>
      </c>
    </row>
    <row r="2567" spans="1:17" hidden="1">
      <c r="A2567" s="12">
        <v>46145</v>
      </c>
      <c r="B2567" s="10">
        <v>4</v>
      </c>
      <c r="Q2567" s="10" t="str">
        <f t="shared" si="40"/>
        <v>Incomplete</v>
      </c>
    </row>
    <row r="2568" spans="1:17" hidden="1">
      <c r="A2568" s="12">
        <v>46145</v>
      </c>
      <c r="B2568" s="10">
        <v>5</v>
      </c>
      <c r="Q2568" s="10" t="str">
        <f t="shared" si="40"/>
        <v>Incomplete</v>
      </c>
    </row>
    <row r="2569" spans="1:17" hidden="1">
      <c r="A2569" s="12">
        <v>46145</v>
      </c>
      <c r="B2569" s="10">
        <v>6</v>
      </c>
      <c r="Q2569" s="10" t="str">
        <f t="shared" si="40"/>
        <v>Incomplete</v>
      </c>
    </row>
    <row r="2570" spans="1:17" hidden="1">
      <c r="A2570" s="12">
        <v>46145</v>
      </c>
      <c r="B2570" s="10">
        <v>7</v>
      </c>
      <c r="Q2570" s="10" t="str">
        <f t="shared" si="40"/>
        <v>Incomplete</v>
      </c>
    </row>
    <row r="2571" spans="1:17" hidden="1">
      <c r="A2571" s="12">
        <v>46145</v>
      </c>
      <c r="B2571" s="10">
        <v>8</v>
      </c>
      <c r="Q2571" s="10" t="str">
        <f t="shared" si="40"/>
        <v>Incomplete</v>
      </c>
    </row>
    <row r="2572" spans="1:17" hidden="1">
      <c r="A2572" s="12">
        <v>46145</v>
      </c>
      <c r="B2572" s="10">
        <v>9</v>
      </c>
      <c r="Q2572" s="10" t="str">
        <f t="shared" si="40"/>
        <v>Incomplete</v>
      </c>
    </row>
    <row r="2573" spans="1:17" hidden="1">
      <c r="A2573" s="12">
        <v>46145</v>
      </c>
      <c r="B2573" s="10">
        <v>10</v>
      </c>
      <c r="Q2573" s="10" t="str">
        <f t="shared" si="40"/>
        <v>Incomplete</v>
      </c>
    </row>
    <row r="2574" spans="1:17" hidden="1">
      <c r="A2574" s="12">
        <v>46145</v>
      </c>
      <c r="B2574" s="10">
        <v>11</v>
      </c>
      <c r="Q2574" s="10" t="str">
        <f t="shared" si="40"/>
        <v>Incomplete</v>
      </c>
    </row>
    <row r="2575" spans="1:17" hidden="1">
      <c r="A2575" s="12">
        <v>46145</v>
      </c>
      <c r="B2575" s="10">
        <v>12</v>
      </c>
      <c r="Q2575" s="10" t="str">
        <f t="shared" si="40"/>
        <v>Incomplete</v>
      </c>
    </row>
    <row r="2576" spans="1:17" hidden="1">
      <c r="A2576" s="12">
        <v>46145</v>
      </c>
      <c r="B2576" s="10">
        <v>13</v>
      </c>
      <c r="Q2576" s="10" t="str">
        <f t="shared" si="40"/>
        <v>Incomplete</v>
      </c>
    </row>
    <row r="2577" spans="1:17" hidden="1">
      <c r="A2577" s="12">
        <v>46145</v>
      </c>
      <c r="B2577" s="10">
        <v>14</v>
      </c>
      <c r="Q2577" s="10" t="str">
        <f t="shared" si="40"/>
        <v>Incomplete</v>
      </c>
    </row>
    <row r="2578" spans="1:17" hidden="1">
      <c r="A2578" s="12">
        <v>46145</v>
      </c>
      <c r="B2578" s="10">
        <v>15</v>
      </c>
      <c r="Q2578" s="10" t="str">
        <f t="shared" si="40"/>
        <v>Incomplete</v>
      </c>
    </row>
    <row r="2579" spans="1:17" hidden="1">
      <c r="A2579" s="12">
        <v>46145</v>
      </c>
      <c r="B2579" s="10">
        <v>16</v>
      </c>
      <c r="Q2579" s="10" t="str">
        <f t="shared" si="40"/>
        <v>Incomplete</v>
      </c>
    </row>
    <row r="2580" spans="1:17" hidden="1">
      <c r="A2580" s="12">
        <v>46145</v>
      </c>
      <c r="B2580" s="10">
        <v>17</v>
      </c>
      <c r="Q2580" s="10" t="str">
        <f t="shared" si="40"/>
        <v>Incomplete</v>
      </c>
    </row>
    <row r="2581" spans="1:17" hidden="1">
      <c r="A2581" s="12">
        <v>46145</v>
      </c>
      <c r="B2581" s="10">
        <v>18</v>
      </c>
      <c r="Q2581" s="10" t="str">
        <f t="shared" si="40"/>
        <v>Incomplete</v>
      </c>
    </row>
    <row r="2582" spans="1:17" hidden="1">
      <c r="A2582" s="12">
        <v>46145</v>
      </c>
      <c r="B2582" s="10">
        <v>19</v>
      </c>
      <c r="Q2582" s="10" t="str">
        <f t="shared" si="40"/>
        <v>Incomplete</v>
      </c>
    </row>
    <row r="2583" spans="1:17" hidden="1">
      <c r="A2583" s="12">
        <v>46145</v>
      </c>
      <c r="B2583" s="10">
        <v>20</v>
      </c>
      <c r="Q2583" s="10" t="str">
        <f t="shared" si="40"/>
        <v>Incomplete</v>
      </c>
    </row>
    <row r="2584" spans="1:17" hidden="1">
      <c r="A2584" s="12">
        <v>46145</v>
      </c>
      <c r="B2584" s="10">
        <v>21</v>
      </c>
      <c r="Q2584" s="10" t="str">
        <f t="shared" si="40"/>
        <v>Incomplete</v>
      </c>
    </row>
    <row r="2585" spans="1:17" hidden="1">
      <c r="A2585" s="12">
        <v>46146</v>
      </c>
      <c r="B2585" s="10">
        <v>1</v>
      </c>
      <c r="Q2585" s="10" t="str">
        <f t="shared" si="40"/>
        <v>Incomplete</v>
      </c>
    </row>
    <row r="2586" spans="1:17" hidden="1">
      <c r="A2586" s="12">
        <v>46146</v>
      </c>
      <c r="B2586" s="10">
        <v>2</v>
      </c>
      <c r="Q2586" s="10" t="str">
        <f t="shared" si="40"/>
        <v>Incomplete</v>
      </c>
    </row>
    <row r="2587" spans="1:17" hidden="1">
      <c r="A2587" s="12">
        <v>46146</v>
      </c>
      <c r="B2587" s="10">
        <v>3</v>
      </c>
      <c r="Q2587" s="10" t="str">
        <f t="shared" si="40"/>
        <v>Incomplete</v>
      </c>
    </row>
    <row r="2588" spans="1:17" hidden="1">
      <c r="A2588" s="12">
        <v>46146</v>
      </c>
      <c r="B2588" s="10">
        <v>4</v>
      </c>
      <c r="Q2588" s="10" t="str">
        <f t="shared" si="40"/>
        <v>Incomplete</v>
      </c>
    </row>
    <row r="2589" spans="1:17" hidden="1">
      <c r="A2589" s="12">
        <v>46146</v>
      </c>
      <c r="B2589" s="10">
        <v>5</v>
      </c>
      <c r="Q2589" s="10" t="str">
        <f t="shared" si="40"/>
        <v>Incomplete</v>
      </c>
    </row>
    <row r="2590" spans="1:17" hidden="1">
      <c r="A2590" s="12">
        <v>46146</v>
      </c>
      <c r="B2590" s="10">
        <v>6</v>
      </c>
      <c r="Q2590" s="10" t="str">
        <f t="shared" si="40"/>
        <v>Incomplete</v>
      </c>
    </row>
    <row r="2591" spans="1:17" hidden="1">
      <c r="A2591" s="12">
        <v>46146</v>
      </c>
      <c r="B2591" s="10">
        <v>7</v>
      </c>
      <c r="Q2591" s="10" t="str">
        <f t="shared" si="40"/>
        <v>Incomplete</v>
      </c>
    </row>
    <row r="2592" spans="1:17" hidden="1">
      <c r="A2592" s="12">
        <v>46146</v>
      </c>
      <c r="B2592" s="10">
        <v>8</v>
      </c>
      <c r="Q2592" s="10" t="str">
        <f t="shared" si="40"/>
        <v>Incomplete</v>
      </c>
    </row>
    <row r="2593" spans="1:17" hidden="1">
      <c r="A2593" s="12">
        <v>46146</v>
      </c>
      <c r="B2593" s="10">
        <v>9</v>
      </c>
      <c r="Q2593" s="10" t="str">
        <f t="shared" si="40"/>
        <v>Incomplete</v>
      </c>
    </row>
    <row r="2594" spans="1:17" hidden="1">
      <c r="A2594" s="12">
        <v>46146</v>
      </c>
      <c r="B2594" s="10">
        <v>10</v>
      </c>
      <c r="Q2594" s="10" t="str">
        <f t="shared" si="40"/>
        <v>Incomplete</v>
      </c>
    </row>
    <row r="2595" spans="1:17" hidden="1">
      <c r="A2595" s="12">
        <v>46146</v>
      </c>
      <c r="B2595" s="10">
        <v>11</v>
      </c>
      <c r="Q2595" s="10" t="str">
        <f t="shared" si="40"/>
        <v>Incomplete</v>
      </c>
    </row>
    <row r="2596" spans="1:17" hidden="1">
      <c r="A2596" s="12">
        <v>46146</v>
      </c>
      <c r="B2596" s="10">
        <v>12</v>
      </c>
      <c r="Q2596" s="10" t="str">
        <f t="shared" si="40"/>
        <v>Incomplete</v>
      </c>
    </row>
    <row r="2597" spans="1:17" hidden="1">
      <c r="A2597" s="12">
        <v>46146</v>
      </c>
      <c r="B2597" s="10">
        <v>13</v>
      </c>
      <c r="Q2597" s="10" t="str">
        <f t="shared" si="40"/>
        <v>Incomplete</v>
      </c>
    </row>
    <row r="2598" spans="1:17" hidden="1">
      <c r="A2598" s="12">
        <v>46146</v>
      </c>
      <c r="B2598" s="10">
        <v>14</v>
      </c>
      <c r="Q2598" s="10" t="str">
        <f t="shared" si="40"/>
        <v>Incomplete</v>
      </c>
    </row>
    <row r="2599" spans="1:17" hidden="1">
      <c r="A2599" s="12">
        <v>46146</v>
      </c>
      <c r="B2599" s="10">
        <v>15</v>
      </c>
      <c r="Q2599" s="10" t="str">
        <f t="shared" si="40"/>
        <v>Incomplete</v>
      </c>
    </row>
    <row r="2600" spans="1:17" hidden="1">
      <c r="A2600" s="12">
        <v>46146</v>
      </c>
      <c r="B2600" s="10">
        <v>16</v>
      </c>
      <c r="Q2600" s="10" t="str">
        <f t="shared" si="40"/>
        <v>Incomplete</v>
      </c>
    </row>
    <row r="2601" spans="1:17" hidden="1">
      <c r="A2601" s="12">
        <v>46146</v>
      </c>
      <c r="B2601" s="10">
        <v>17</v>
      </c>
      <c r="Q2601" s="10" t="str">
        <f t="shared" si="40"/>
        <v>Incomplete</v>
      </c>
    </row>
    <row r="2602" spans="1:17" hidden="1">
      <c r="A2602" s="12">
        <v>46146</v>
      </c>
      <c r="B2602" s="10">
        <v>18</v>
      </c>
      <c r="Q2602" s="10" t="str">
        <f t="shared" si="40"/>
        <v>Incomplete</v>
      </c>
    </row>
    <row r="2603" spans="1:17" hidden="1">
      <c r="A2603" s="12">
        <v>46146</v>
      </c>
      <c r="B2603" s="10">
        <v>19</v>
      </c>
      <c r="Q2603" s="10" t="str">
        <f t="shared" si="40"/>
        <v>Incomplete</v>
      </c>
    </row>
    <row r="2604" spans="1:17" hidden="1">
      <c r="A2604" s="12">
        <v>46146</v>
      </c>
      <c r="B2604" s="10">
        <v>20</v>
      </c>
      <c r="Q2604" s="10" t="str">
        <f t="shared" si="40"/>
        <v>Incomplete</v>
      </c>
    </row>
    <row r="2605" spans="1:17" hidden="1">
      <c r="A2605" s="12">
        <v>46146</v>
      </c>
      <c r="B2605" s="10">
        <v>21</v>
      </c>
      <c r="Q2605" s="10" t="str">
        <f t="shared" si="40"/>
        <v>Incomplete</v>
      </c>
    </row>
    <row r="2606" spans="1:17" hidden="1">
      <c r="A2606" s="12">
        <v>46147</v>
      </c>
      <c r="B2606" s="10">
        <v>1</v>
      </c>
      <c r="Q2606" s="10" t="str">
        <f t="shared" si="40"/>
        <v>Incomplete</v>
      </c>
    </row>
    <row r="2607" spans="1:17" hidden="1">
      <c r="A2607" s="12">
        <v>46147</v>
      </c>
      <c r="B2607" s="10">
        <v>2</v>
      </c>
      <c r="Q2607" s="10" t="str">
        <f t="shared" si="40"/>
        <v>Incomplete</v>
      </c>
    </row>
    <row r="2608" spans="1:17" hidden="1">
      <c r="A2608" s="12">
        <v>46147</v>
      </c>
      <c r="B2608" s="10">
        <v>3</v>
      </c>
      <c r="Q2608" s="10" t="str">
        <f t="shared" si="40"/>
        <v>Incomplete</v>
      </c>
    </row>
    <row r="2609" spans="1:17" hidden="1">
      <c r="A2609" s="12">
        <v>46147</v>
      </c>
      <c r="B2609" s="10">
        <v>4</v>
      </c>
      <c r="Q2609" s="10" t="str">
        <f t="shared" si="40"/>
        <v>Incomplete</v>
      </c>
    </row>
    <row r="2610" spans="1:17" hidden="1">
      <c r="A2610" s="12">
        <v>46147</v>
      </c>
      <c r="B2610" s="10">
        <v>5</v>
      </c>
      <c r="Q2610" s="10" t="str">
        <f t="shared" si="40"/>
        <v>Incomplete</v>
      </c>
    </row>
    <row r="2611" spans="1:17" hidden="1">
      <c r="A2611" s="12">
        <v>46147</v>
      </c>
      <c r="B2611" s="10">
        <v>6</v>
      </c>
      <c r="Q2611" s="10" t="str">
        <f t="shared" si="40"/>
        <v>Incomplete</v>
      </c>
    </row>
    <row r="2612" spans="1:17" hidden="1">
      <c r="A2612" s="12">
        <v>46147</v>
      </c>
      <c r="B2612" s="10">
        <v>7</v>
      </c>
      <c r="Q2612" s="10" t="str">
        <f t="shared" si="40"/>
        <v>Incomplete</v>
      </c>
    </row>
    <row r="2613" spans="1:17" hidden="1">
      <c r="A2613" s="12">
        <v>46147</v>
      </c>
      <c r="B2613" s="10">
        <v>8</v>
      </c>
      <c r="Q2613" s="10" t="str">
        <f t="shared" si="40"/>
        <v>Incomplete</v>
      </c>
    </row>
    <row r="2614" spans="1:17" hidden="1">
      <c r="A2614" s="12">
        <v>46147</v>
      </c>
      <c r="B2614" s="10">
        <v>9</v>
      </c>
      <c r="Q2614" s="10" t="str">
        <f t="shared" si="40"/>
        <v>Incomplete</v>
      </c>
    </row>
    <row r="2615" spans="1:17" hidden="1">
      <c r="A2615" s="12">
        <v>46147</v>
      </c>
      <c r="B2615" s="10">
        <v>10</v>
      </c>
      <c r="Q2615" s="10" t="str">
        <f t="shared" si="40"/>
        <v>Incomplete</v>
      </c>
    </row>
    <row r="2616" spans="1:17" hidden="1">
      <c r="A2616" s="12">
        <v>46147</v>
      </c>
      <c r="B2616" s="10">
        <v>11</v>
      </c>
      <c r="Q2616" s="10" t="str">
        <f t="shared" si="40"/>
        <v>Incomplete</v>
      </c>
    </row>
    <row r="2617" spans="1:17" hidden="1">
      <c r="A2617" s="12">
        <v>46147</v>
      </c>
      <c r="B2617" s="10">
        <v>12</v>
      </c>
      <c r="Q2617" s="10" t="str">
        <f t="shared" si="40"/>
        <v>Incomplete</v>
      </c>
    </row>
    <row r="2618" spans="1:17" hidden="1">
      <c r="A2618" s="12">
        <v>46147</v>
      </c>
      <c r="B2618" s="10">
        <v>13</v>
      </c>
      <c r="Q2618" s="10" t="str">
        <f t="shared" si="40"/>
        <v>Incomplete</v>
      </c>
    </row>
    <row r="2619" spans="1:17" hidden="1">
      <c r="A2619" s="12">
        <v>46147</v>
      </c>
      <c r="B2619" s="10">
        <v>14</v>
      </c>
      <c r="Q2619" s="10" t="str">
        <f t="shared" si="40"/>
        <v>Incomplete</v>
      </c>
    </row>
    <row r="2620" spans="1:17" hidden="1">
      <c r="A2620" s="12">
        <v>46147</v>
      </c>
      <c r="B2620" s="10">
        <v>15</v>
      </c>
      <c r="Q2620" s="10" t="str">
        <f t="shared" si="40"/>
        <v>Incomplete</v>
      </c>
    </row>
    <row r="2621" spans="1:17" hidden="1">
      <c r="A2621" s="12">
        <v>46147</v>
      </c>
      <c r="B2621" s="10">
        <v>16</v>
      </c>
      <c r="Q2621" s="10" t="str">
        <f t="shared" si="40"/>
        <v>Incomplete</v>
      </c>
    </row>
    <row r="2622" spans="1:17" hidden="1">
      <c r="A2622" s="12">
        <v>46147</v>
      </c>
      <c r="B2622" s="10">
        <v>17</v>
      </c>
      <c r="Q2622" s="10" t="str">
        <f t="shared" si="40"/>
        <v>Incomplete</v>
      </c>
    </row>
    <row r="2623" spans="1:17" hidden="1">
      <c r="A2623" s="12">
        <v>46147</v>
      </c>
      <c r="B2623" s="10">
        <v>18</v>
      </c>
      <c r="Q2623" s="10" t="str">
        <f t="shared" si="40"/>
        <v>Incomplete</v>
      </c>
    </row>
    <row r="2624" spans="1:17" hidden="1">
      <c r="A2624" s="12">
        <v>46147</v>
      </c>
      <c r="B2624" s="10">
        <v>19</v>
      </c>
      <c r="Q2624" s="10" t="str">
        <f t="shared" si="40"/>
        <v>Incomplete</v>
      </c>
    </row>
    <row r="2625" spans="1:17" hidden="1">
      <c r="A2625" s="12">
        <v>46147</v>
      </c>
      <c r="B2625" s="10">
        <v>20</v>
      </c>
      <c r="Q2625" s="10" t="str">
        <f t="shared" si="40"/>
        <v>Incomplete</v>
      </c>
    </row>
    <row r="2626" spans="1:17" hidden="1">
      <c r="A2626" s="12">
        <v>46147</v>
      </c>
      <c r="B2626" s="10">
        <v>21</v>
      </c>
      <c r="Q2626" s="10" t="str">
        <f t="shared" ref="Q2626:Q2689" si="41">IF(AND(C2626&lt;&gt;"",J2626&lt;&gt;"",K2626&lt;&gt;"",L2626&lt;&gt;"",O2626="Yes"),"Complete","Incomplete")</f>
        <v>Incomplete</v>
      </c>
    </row>
    <row r="2627" spans="1:17" hidden="1">
      <c r="A2627" s="12">
        <v>46148</v>
      </c>
      <c r="B2627" s="10">
        <v>1</v>
      </c>
      <c r="Q2627" s="10" t="str">
        <f t="shared" si="41"/>
        <v>Incomplete</v>
      </c>
    </row>
    <row r="2628" spans="1:17" hidden="1">
      <c r="A2628" s="12">
        <v>46148</v>
      </c>
      <c r="B2628" s="10">
        <v>2</v>
      </c>
      <c r="Q2628" s="10" t="str">
        <f t="shared" si="41"/>
        <v>Incomplete</v>
      </c>
    </row>
    <row r="2629" spans="1:17" hidden="1">
      <c r="A2629" s="12">
        <v>46148</v>
      </c>
      <c r="B2629" s="10">
        <v>3</v>
      </c>
      <c r="Q2629" s="10" t="str">
        <f t="shared" si="41"/>
        <v>Incomplete</v>
      </c>
    </row>
    <row r="2630" spans="1:17" hidden="1">
      <c r="A2630" s="12">
        <v>46148</v>
      </c>
      <c r="B2630" s="10">
        <v>4</v>
      </c>
      <c r="Q2630" s="10" t="str">
        <f t="shared" si="41"/>
        <v>Incomplete</v>
      </c>
    </row>
    <row r="2631" spans="1:17" hidden="1">
      <c r="A2631" s="12">
        <v>46148</v>
      </c>
      <c r="B2631" s="10">
        <v>5</v>
      </c>
      <c r="Q2631" s="10" t="str">
        <f t="shared" si="41"/>
        <v>Incomplete</v>
      </c>
    </row>
    <row r="2632" spans="1:17" hidden="1">
      <c r="A2632" s="12">
        <v>46148</v>
      </c>
      <c r="B2632" s="10">
        <v>6</v>
      </c>
      <c r="Q2632" s="10" t="str">
        <f t="shared" si="41"/>
        <v>Incomplete</v>
      </c>
    </row>
    <row r="2633" spans="1:17" hidden="1">
      <c r="A2633" s="12">
        <v>46148</v>
      </c>
      <c r="B2633" s="10">
        <v>7</v>
      </c>
      <c r="Q2633" s="10" t="str">
        <f t="shared" si="41"/>
        <v>Incomplete</v>
      </c>
    </row>
    <row r="2634" spans="1:17" hidden="1">
      <c r="A2634" s="12">
        <v>46148</v>
      </c>
      <c r="B2634" s="10">
        <v>8</v>
      </c>
      <c r="Q2634" s="10" t="str">
        <f t="shared" si="41"/>
        <v>Incomplete</v>
      </c>
    </row>
    <row r="2635" spans="1:17" hidden="1">
      <c r="A2635" s="12">
        <v>46148</v>
      </c>
      <c r="B2635" s="10">
        <v>9</v>
      </c>
      <c r="Q2635" s="10" t="str">
        <f t="shared" si="41"/>
        <v>Incomplete</v>
      </c>
    </row>
    <row r="2636" spans="1:17" hidden="1">
      <c r="A2636" s="12">
        <v>46148</v>
      </c>
      <c r="B2636" s="10">
        <v>10</v>
      </c>
      <c r="Q2636" s="10" t="str">
        <f t="shared" si="41"/>
        <v>Incomplete</v>
      </c>
    </row>
    <row r="2637" spans="1:17" hidden="1">
      <c r="A2637" s="12">
        <v>46148</v>
      </c>
      <c r="B2637" s="10">
        <v>11</v>
      </c>
      <c r="Q2637" s="10" t="str">
        <f t="shared" si="41"/>
        <v>Incomplete</v>
      </c>
    </row>
    <row r="2638" spans="1:17" hidden="1">
      <c r="A2638" s="12">
        <v>46148</v>
      </c>
      <c r="B2638" s="10">
        <v>12</v>
      </c>
      <c r="Q2638" s="10" t="str">
        <f t="shared" si="41"/>
        <v>Incomplete</v>
      </c>
    </row>
    <row r="2639" spans="1:17" hidden="1">
      <c r="A2639" s="12">
        <v>46148</v>
      </c>
      <c r="B2639" s="10">
        <v>13</v>
      </c>
      <c r="Q2639" s="10" t="str">
        <f t="shared" si="41"/>
        <v>Incomplete</v>
      </c>
    </row>
    <row r="2640" spans="1:17" hidden="1">
      <c r="A2640" s="12">
        <v>46148</v>
      </c>
      <c r="B2640" s="10">
        <v>14</v>
      </c>
      <c r="Q2640" s="10" t="str">
        <f t="shared" si="41"/>
        <v>Incomplete</v>
      </c>
    </row>
    <row r="2641" spans="1:17" hidden="1">
      <c r="A2641" s="12">
        <v>46148</v>
      </c>
      <c r="B2641" s="10">
        <v>15</v>
      </c>
      <c r="Q2641" s="10" t="str">
        <f t="shared" si="41"/>
        <v>Incomplete</v>
      </c>
    </row>
    <row r="2642" spans="1:17" hidden="1">
      <c r="A2642" s="12">
        <v>46148</v>
      </c>
      <c r="B2642" s="10">
        <v>16</v>
      </c>
      <c r="Q2642" s="10" t="str">
        <f t="shared" si="41"/>
        <v>Incomplete</v>
      </c>
    </row>
    <row r="2643" spans="1:17" hidden="1">
      <c r="A2643" s="12">
        <v>46148</v>
      </c>
      <c r="B2643" s="10">
        <v>17</v>
      </c>
      <c r="Q2643" s="10" t="str">
        <f t="shared" si="41"/>
        <v>Incomplete</v>
      </c>
    </row>
    <row r="2644" spans="1:17" hidden="1">
      <c r="A2644" s="12">
        <v>46148</v>
      </c>
      <c r="B2644" s="10">
        <v>18</v>
      </c>
      <c r="Q2644" s="10" t="str">
        <f t="shared" si="41"/>
        <v>Incomplete</v>
      </c>
    </row>
    <row r="2645" spans="1:17" hidden="1">
      <c r="A2645" s="12">
        <v>46148</v>
      </c>
      <c r="B2645" s="10">
        <v>19</v>
      </c>
      <c r="Q2645" s="10" t="str">
        <f t="shared" si="41"/>
        <v>Incomplete</v>
      </c>
    </row>
    <row r="2646" spans="1:17" hidden="1">
      <c r="A2646" s="12">
        <v>46148</v>
      </c>
      <c r="B2646" s="10">
        <v>20</v>
      </c>
      <c r="Q2646" s="10" t="str">
        <f t="shared" si="41"/>
        <v>Incomplete</v>
      </c>
    </row>
    <row r="2647" spans="1:17" hidden="1">
      <c r="A2647" s="12">
        <v>46148</v>
      </c>
      <c r="B2647" s="10">
        <v>21</v>
      </c>
      <c r="Q2647" s="10" t="str">
        <f t="shared" si="41"/>
        <v>Incomplete</v>
      </c>
    </row>
    <row r="2648" spans="1:17" hidden="1">
      <c r="A2648" s="12">
        <v>46149</v>
      </c>
      <c r="B2648" s="10">
        <v>1</v>
      </c>
      <c r="Q2648" s="10" t="str">
        <f t="shared" si="41"/>
        <v>Incomplete</v>
      </c>
    </row>
    <row r="2649" spans="1:17" hidden="1">
      <c r="A2649" s="12">
        <v>46149</v>
      </c>
      <c r="B2649" s="10">
        <v>2</v>
      </c>
      <c r="Q2649" s="10" t="str">
        <f t="shared" si="41"/>
        <v>Incomplete</v>
      </c>
    </row>
    <row r="2650" spans="1:17" hidden="1">
      <c r="A2650" s="12">
        <v>46149</v>
      </c>
      <c r="B2650" s="10">
        <v>3</v>
      </c>
      <c r="Q2650" s="10" t="str">
        <f t="shared" si="41"/>
        <v>Incomplete</v>
      </c>
    </row>
    <row r="2651" spans="1:17" hidden="1">
      <c r="A2651" s="12">
        <v>46149</v>
      </c>
      <c r="B2651" s="10">
        <v>4</v>
      </c>
      <c r="Q2651" s="10" t="str">
        <f t="shared" si="41"/>
        <v>Incomplete</v>
      </c>
    </row>
    <row r="2652" spans="1:17" hidden="1">
      <c r="A2652" s="12">
        <v>46149</v>
      </c>
      <c r="B2652" s="10">
        <v>5</v>
      </c>
      <c r="Q2652" s="10" t="str">
        <f t="shared" si="41"/>
        <v>Incomplete</v>
      </c>
    </row>
    <row r="2653" spans="1:17" hidden="1">
      <c r="A2653" s="12">
        <v>46149</v>
      </c>
      <c r="B2653" s="10">
        <v>6</v>
      </c>
      <c r="Q2653" s="10" t="str">
        <f t="shared" si="41"/>
        <v>Incomplete</v>
      </c>
    </row>
    <row r="2654" spans="1:17" hidden="1">
      <c r="A2654" s="12">
        <v>46149</v>
      </c>
      <c r="B2654" s="10">
        <v>7</v>
      </c>
      <c r="Q2654" s="10" t="str">
        <f t="shared" si="41"/>
        <v>Incomplete</v>
      </c>
    </row>
    <row r="2655" spans="1:17" hidden="1">
      <c r="A2655" s="12">
        <v>46149</v>
      </c>
      <c r="B2655" s="10">
        <v>8</v>
      </c>
      <c r="Q2655" s="10" t="str">
        <f t="shared" si="41"/>
        <v>Incomplete</v>
      </c>
    </row>
    <row r="2656" spans="1:17" hidden="1">
      <c r="A2656" s="12">
        <v>46149</v>
      </c>
      <c r="B2656" s="10">
        <v>9</v>
      </c>
      <c r="Q2656" s="10" t="str">
        <f t="shared" si="41"/>
        <v>Incomplete</v>
      </c>
    </row>
    <row r="2657" spans="1:17" hidden="1">
      <c r="A2657" s="12">
        <v>46149</v>
      </c>
      <c r="B2657" s="10">
        <v>10</v>
      </c>
      <c r="Q2657" s="10" t="str">
        <f t="shared" si="41"/>
        <v>Incomplete</v>
      </c>
    </row>
    <row r="2658" spans="1:17" hidden="1">
      <c r="A2658" s="12">
        <v>46149</v>
      </c>
      <c r="B2658" s="10">
        <v>11</v>
      </c>
      <c r="Q2658" s="10" t="str">
        <f t="shared" si="41"/>
        <v>Incomplete</v>
      </c>
    </row>
    <row r="2659" spans="1:17" hidden="1">
      <c r="A2659" s="12">
        <v>46149</v>
      </c>
      <c r="B2659" s="10">
        <v>12</v>
      </c>
      <c r="Q2659" s="10" t="str">
        <f t="shared" si="41"/>
        <v>Incomplete</v>
      </c>
    </row>
    <row r="2660" spans="1:17" hidden="1">
      <c r="A2660" s="12">
        <v>46149</v>
      </c>
      <c r="B2660" s="10">
        <v>13</v>
      </c>
      <c r="Q2660" s="10" t="str">
        <f t="shared" si="41"/>
        <v>Incomplete</v>
      </c>
    </row>
    <row r="2661" spans="1:17" hidden="1">
      <c r="A2661" s="12">
        <v>46149</v>
      </c>
      <c r="B2661" s="10">
        <v>14</v>
      </c>
      <c r="Q2661" s="10" t="str">
        <f t="shared" si="41"/>
        <v>Incomplete</v>
      </c>
    </row>
    <row r="2662" spans="1:17" hidden="1">
      <c r="A2662" s="12">
        <v>46149</v>
      </c>
      <c r="B2662" s="10">
        <v>15</v>
      </c>
      <c r="Q2662" s="10" t="str">
        <f t="shared" si="41"/>
        <v>Incomplete</v>
      </c>
    </row>
    <row r="2663" spans="1:17" hidden="1">
      <c r="A2663" s="12">
        <v>46149</v>
      </c>
      <c r="B2663" s="10">
        <v>16</v>
      </c>
      <c r="Q2663" s="10" t="str">
        <f t="shared" si="41"/>
        <v>Incomplete</v>
      </c>
    </row>
    <row r="2664" spans="1:17" hidden="1">
      <c r="A2664" s="12">
        <v>46149</v>
      </c>
      <c r="B2664" s="10">
        <v>17</v>
      </c>
      <c r="Q2664" s="10" t="str">
        <f t="shared" si="41"/>
        <v>Incomplete</v>
      </c>
    </row>
    <row r="2665" spans="1:17" hidden="1">
      <c r="A2665" s="12">
        <v>46149</v>
      </c>
      <c r="B2665" s="10">
        <v>18</v>
      </c>
      <c r="Q2665" s="10" t="str">
        <f t="shared" si="41"/>
        <v>Incomplete</v>
      </c>
    </row>
    <row r="2666" spans="1:17" hidden="1">
      <c r="A2666" s="12">
        <v>46149</v>
      </c>
      <c r="B2666" s="10">
        <v>19</v>
      </c>
      <c r="Q2666" s="10" t="str">
        <f t="shared" si="41"/>
        <v>Incomplete</v>
      </c>
    </row>
    <row r="2667" spans="1:17" hidden="1">
      <c r="A2667" s="12">
        <v>46149</v>
      </c>
      <c r="B2667" s="10">
        <v>20</v>
      </c>
      <c r="Q2667" s="10" t="str">
        <f t="shared" si="41"/>
        <v>Incomplete</v>
      </c>
    </row>
    <row r="2668" spans="1:17" hidden="1">
      <c r="A2668" s="12">
        <v>46149</v>
      </c>
      <c r="B2668" s="10">
        <v>21</v>
      </c>
      <c r="Q2668" s="10" t="str">
        <f t="shared" si="41"/>
        <v>Incomplete</v>
      </c>
    </row>
    <row r="2669" spans="1:17" hidden="1">
      <c r="A2669" s="12">
        <v>46150</v>
      </c>
      <c r="B2669" s="10">
        <v>1</v>
      </c>
      <c r="Q2669" s="10" t="str">
        <f t="shared" si="41"/>
        <v>Incomplete</v>
      </c>
    </row>
    <row r="2670" spans="1:17" hidden="1">
      <c r="A2670" s="12">
        <v>46150</v>
      </c>
      <c r="B2670" s="10">
        <v>2</v>
      </c>
      <c r="Q2670" s="10" t="str">
        <f t="shared" si="41"/>
        <v>Incomplete</v>
      </c>
    </row>
    <row r="2671" spans="1:17" hidden="1">
      <c r="A2671" s="12">
        <v>46150</v>
      </c>
      <c r="B2671" s="10">
        <v>3</v>
      </c>
      <c r="Q2671" s="10" t="str">
        <f t="shared" si="41"/>
        <v>Incomplete</v>
      </c>
    </row>
    <row r="2672" spans="1:17" hidden="1">
      <c r="A2672" s="12">
        <v>46150</v>
      </c>
      <c r="B2672" s="10">
        <v>4</v>
      </c>
      <c r="Q2672" s="10" t="str">
        <f t="shared" si="41"/>
        <v>Incomplete</v>
      </c>
    </row>
    <row r="2673" spans="1:17" hidden="1">
      <c r="A2673" s="12">
        <v>46150</v>
      </c>
      <c r="B2673" s="10">
        <v>5</v>
      </c>
      <c r="Q2673" s="10" t="str">
        <f t="shared" si="41"/>
        <v>Incomplete</v>
      </c>
    </row>
    <row r="2674" spans="1:17" hidden="1">
      <c r="A2674" s="12">
        <v>46150</v>
      </c>
      <c r="B2674" s="10">
        <v>6</v>
      </c>
      <c r="Q2674" s="10" t="str">
        <f t="shared" si="41"/>
        <v>Incomplete</v>
      </c>
    </row>
    <row r="2675" spans="1:17" hidden="1">
      <c r="A2675" s="12">
        <v>46150</v>
      </c>
      <c r="B2675" s="10">
        <v>7</v>
      </c>
      <c r="Q2675" s="10" t="str">
        <f t="shared" si="41"/>
        <v>Incomplete</v>
      </c>
    </row>
    <row r="2676" spans="1:17" hidden="1">
      <c r="A2676" s="12">
        <v>46150</v>
      </c>
      <c r="B2676" s="10">
        <v>8</v>
      </c>
      <c r="Q2676" s="10" t="str">
        <f t="shared" si="41"/>
        <v>Incomplete</v>
      </c>
    </row>
    <row r="2677" spans="1:17" hidden="1">
      <c r="A2677" s="12">
        <v>46150</v>
      </c>
      <c r="B2677" s="10">
        <v>9</v>
      </c>
      <c r="Q2677" s="10" t="str">
        <f t="shared" si="41"/>
        <v>Incomplete</v>
      </c>
    </row>
    <row r="2678" spans="1:17" hidden="1">
      <c r="A2678" s="12">
        <v>46150</v>
      </c>
      <c r="B2678" s="10">
        <v>10</v>
      </c>
      <c r="Q2678" s="10" t="str">
        <f t="shared" si="41"/>
        <v>Incomplete</v>
      </c>
    </row>
    <row r="2679" spans="1:17" hidden="1">
      <c r="A2679" s="12">
        <v>46150</v>
      </c>
      <c r="B2679" s="10">
        <v>11</v>
      </c>
      <c r="Q2679" s="10" t="str">
        <f t="shared" si="41"/>
        <v>Incomplete</v>
      </c>
    </row>
    <row r="2680" spans="1:17" hidden="1">
      <c r="A2680" s="12">
        <v>46150</v>
      </c>
      <c r="B2680" s="10">
        <v>12</v>
      </c>
      <c r="Q2680" s="10" t="str">
        <f t="shared" si="41"/>
        <v>Incomplete</v>
      </c>
    </row>
    <row r="2681" spans="1:17" hidden="1">
      <c r="A2681" s="12">
        <v>46150</v>
      </c>
      <c r="B2681" s="10">
        <v>13</v>
      </c>
      <c r="Q2681" s="10" t="str">
        <f t="shared" si="41"/>
        <v>Incomplete</v>
      </c>
    </row>
    <row r="2682" spans="1:17" hidden="1">
      <c r="A2682" s="12">
        <v>46150</v>
      </c>
      <c r="B2682" s="10">
        <v>14</v>
      </c>
      <c r="Q2682" s="10" t="str">
        <f t="shared" si="41"/>
        <v>Incomplete</v>
      </c>
    </row>
    <row r="2683" spans="1:17" hidden="1">
      <c r="A2683" s="12">
        <v>46150</v>
      </c>
      <c r="B2683" s="10">
        <v>15</v>
      </c>
      <c r="Q2683" s="10" t="str">
        <f t="shared" si="41"/>
        <v>Incomplete</v>
      </c>
    </row>
    <row r="2684" spans="1:17" hidden="1">
      <c r="A2684" s="12">
        <v>46150</v>
      </c>
      <c r="B2684" s="10">
        <v>16</v>
      </c>
      <c r="Q2684" s="10" t="str">
        <f t="shared" si="41"/>
        <v>Incomplete</v>
      </c>
    </row>
    <row r="2685" spans="1:17" hidden="1">
      <c r="A2685" s="12">
        <v>46150</v>
      </c>
      <c r="B2685" s="10">
        <v>17</v>
      </c>
      <c r="Q2685" s="10" t="str">
        <f t="shared" si="41"/>
        <v>Incomplete</v>
      </c>
    </row>
    <row r="2686" spans="1:17" hidden="1">
      <c r="A2686" s="12">
        <v>46150</v>
      </c>
      <c r="B2686" s="10">
        <v>18</v>
      </c>
      <c r="Q2686" s="10" t="str">
        <f t="shared" si="41"/>
        <v>Incomplete</v>
      </c>
    </row>
    <row r="2687" spans="1:17" hidden="1">
      <c r="A2687" s="12">
        <v>46150</v>
      </c>
      <c r="B2687" s="10">
        <v>19</v>
      </c>
      <c r="Q2687" s="10" t="str">
        <f t="shared" si="41"/>
        <v>Incomplete</v>
      </c>
    </row>
    <row r="2688" spans="1:17" hidden="1">
      <c r="A2688" s="12">
        <v>46150</v>
      </c>
      <c r="B2688" s="10">
        <v>20</v>
      </c>
      <c r="Q2688" s="10" t="str">
        <f t="shared" si="41"/>
        <v>Incomplete</v>
      </c>
    </row>
    <row r="2689" spans="1:17" hidden="1">
      <c r="A2689" s="12">
        <v>46150</v>
      </c>
      <c r="B2689" s="10">
        <v>21</v>
      </c>
      <c r="Q2689" s="10" t="str">
        <f t="shared" si="41"/>
        <v>Incomplete</v>
      </c>
    </row>
    <row r="2690" spans="1:17" hidden="1">
      <c r="A2690" s="12">
        <v>46151</v>
      </c>
      <c r="B2690" s="10">
        <v>1</v>
      </c>
      <c r="Q2690" s="10" t="str">
        <f t="shared" ref="Q2690:Q2753" si="42">IF(AND(C2690&lt;&gt;"",J2690&lt;&gt;"",K2690&lt;&gt;"",L2690&lt;&gt;"",O2690="Yes"),"Complete","Incomplete")</f>
        <v>Incomplete</v>
      </c>
    </row>
    <row r="2691" spans="1:17" hidden="1">
      <c r="A2691" s="12">
        <v>46151</v>
      </c>
      <c r="B2691" s="10">
        <v>2</v>
      </c>
      <c r="Q2691" s="10" t="str">
        <f t="shared" si="42"/>
        <v>Incomplete</v>
      </c>
    </row>
    <row r="2692" spans="1:17" hidden="1">
      <c r="A2692" s="12">
        <v>46151</v>
      </c>
      <c r="B2692" s="10">
        <v>3</v>
      </c>
      <c r="Q2692" s="10" t="str">
        <f t="shared" si="42"/>
        <v>Incomplete</v>
      </c>
    </row>
    <row r="2693" spans="1:17" hidden="1">
      <c r="A2693" s="12">
        <v>46151</v>
      </c>
      <c r="B2693" s="10">
        <v>4</v>
      </c>
      <c r="Q2693" s="10" t="str">
        <f t="shared" si="42"/>
        <v>Incomplete</v>
      </c>
    </row>
    <row r="2694" spans="1:17" hidden="1">
      <c r="A2694" s="12">
        <v>46151</v>
      </c>
      <c r="B2694" s="10">
        <v>5</v>
      </c>
      <c r="Q2694" s="10" t="str">
        <f t="shared" si="42"/>
        <v>Incomplete</v>
      </c>
    </row>
    <row r="2695" spans="1:17" hidden="1">
      <c r="A2695" s="12">
        <v>46151</v>
      </c>
      <c r="B2695" s="10">
        <v>6</v>
      </c>
      <c r="Q2695" s="10" t="str">
        <f t="shared" si="42"/>
        <v>Incomplete</v>
      </c>
    </row>
    <row r="2696" spans="1:17" hidden="1">
      <c r="A2696" s="12">
        <v>46151</v>
      </c>
      <c r="B2696" s="10">
        <v>7</v>
      </c>
      <c r="Q2696" s="10" t="str">
        <f t="shared" si="42"/>
        <v>Incomplete</v>
      </c>
    </row>
    <row r="2697" spans="1:17" hidden="1">
      <c r="A2697" s="12">
        <v>46151</v>
      </c>
      <c r="B2697" s="10">
        <v>8</v>
      </c>
      <c r="Q2697" s="10" t="str">
        <f t="shared" si="42"/>
        <v>Incomplete</v>
      </c>
    </row>
    <row r="2698" spans="1:17" hidden="1">
      <c r="A2698" s="12">
        <v>46151</v>
      </c>
      <c r="B2698" s="10">
        <v>9</v>
      </c>
      <c r="Q2698" s="10" t="str">
        <f t="shared" si="42"/>
        <v>Incomplete</v>
      </c>
    </row>
    <row r="2699" spans="1:17" hidden="1">
      <c r="A2699" s="12">
        <v>46151</v>
      </c>
      <c r="B2699" s="10">
        <v>10</v>
      </c>
      <c r="Q2699" s="10" t="str">
        <f t="shared" si="42"/>
        <v>Incomplete</v>
      </c>
    </row>
    <row r="2700" spans="1:17" hidden="1">
      <c r="A2700" s="12">
        <v>46151</v>
      </c>
      <c r="B2700" s="10">
        <v>11</v>
      </c>
      <c r="Q2700" s="10" t="str">
        <f t="shared" si="42"/>
        <v>Incomplete</v>
      </c>
    </row>
    <row r="2701" spans="1:17" hidden="1">
      <c r="A2701" s="12">
        <v>46151</v>
      </c>
      <c r="B2701" s="10">
        <v>12</v>
      </c>
      <c r="Q2701" s="10" t="str">
        <f t="shared" si="42"/>
        <v>Incomplete</v>
      </c>
    </row>
    <row r="2702" spans="1:17" hidden="1">
      <c r="A2702" s="12">
        <v>46151</v>
      </c>
      <c r="B2702" s="10">
        <v>13</v>
      </c>
      <c r="Q2702" s="10" t="str">
        <f t="shared" si="42"/>
        <v>Incomplete</v>
      </c>
    </row>
    <row r="2703" spans="1:17" hidden="1">
      <c r="A2703" s="12">
        <v>46151</v>
      </c>
      <c r="B2703" s="10">
        <v>14</v>
      </c>
      <c r="Q2703" s="10" t="str">
        <f t="shared" si="42"/>
        <v>Incomplete</v>
      </c>
    </row>
    <row r="2704" spans="1:17" hidden="1">
      <c r="A2704" s="12">
        <v>46151</v>
      </c>
      <c r="B2704" s="10">
        <v>15</v>
      </c>
      <c r="Q2704" s="10" t="str">
        <f t="shared" si="42"/>
        <v>Incomplete</v>
      </c>
    </row>
    <row r="2705" spans="1:17" hidden="1">
      <c r="A2705" s="12">
        <v>46151</v>
      </c>
      <c r="B2705" s="10">
        <v>16</v>
      </c>
      <c r="Q2705" s="10" t="str">
        <f t="shared" si="42"/>
        <v>Incomplete</v>
      </c>
    </row>
    <row r="2706" spans="1:17" hidden="1">
      <c r="A2706" s="12">
        <v>46151</v>
      </c>
      <c r="B2706" s="10">
        <v>17</v>
      </c>
      <c r="Q2706" s="10" t="str">
        <f t="shared" si="42"/>
        <v>Incomplete</v>
      </c>
    </row>
    <row r="2707" spans="1:17" hidden="1">
      <c r="A2707" s="12">
        <v>46151</v>
      </c>
      <c r="B2707" s="10">
        <v>18</v>
      </c>
      <c r="Q2707" s="10" t="str">
        <f t="shared" si="42"/>
        <v>Incomplete</v>
      </c>
    </row>
    <row r="2708" spans="1:17" hidden="1">
      <c r="A2708" s="12">
        <v>46151</v>
      </c>
      <c r="B2708" s="10">
        <v>19</v>
      </c>
      <c r="Q2708" s="10" t="str">
        <f t="shared" si="42"/>
        <v>Incomplete</v>
      </c>
    </row>
    <row r="2709" spans="1:17" hidden="1">
      <c r="A2709" s="12">
        <v>46151</v>
      </c>
      <c r="B2709" s="10">
        <v>20</v>
      </c>
      <c r="Q2709" s="10" t="str">
        <f t="shared" si="42"/>
        <v>Incomplete</v>
      </c>
    </row>
    <row r="2710" spans="1:17" hidden="1">
      <c r="A2710" s="12">
        <v>46151</v>
      </c>
      <c r="B2710" s="10">
        <v>21</v>
      </c>
      <c r="Q2710" s="10" t="str">
        <f t="shared" si="42"/>
        <v>Incomplete</v>
      </c>
    </row>
    <row r="2711" spans="1:17" hidden="1">
      <c r="A2711" s="12">
        <v>46152</v>
      </c>
      <c r="B2711" s="10">
        <v>1</v>
      </c>
      <c r="Q2711" s="10" t="str">
        <f t="shared" si="42"/>
        <v>Incomplete</v>
      </c>
    </row>
    <row r="2712" spans="1:17" hidden="1">
      <c r="A2712" s="12">
        <v>46152</v>
      </c>
      <c r="B2712" s="10">
        <v>2</v>
      </c>
      <c r="Q2712" s="10" t="str">
        <f t="shared" si="42"/>
        <v>Incomplete</v>
      </c>
    </row>
    <row r="2713" spans="1:17" hidden="1">
      <c r="A2713" s="12">
        <v>46152</v>
      </c>
      <c r="B2713" s="10">
        <v>3</v>
      </c>
      <c r="Q2713" s="10" t="str">
        <f t="shared" si="42"/>
        <v>Incomplete</v>
      </c>
    </row>
    <row r="2714" spans="1:17" hidden="1">
      <c r="A2714" s="12">
        <v>46152</v>
      </c>
      <c r="B2714" s="10">
        <v>4</v>
      </c>
      <c r="Q2714" s="10" t="str">
        <f t="shared" si="42"/>
        <v>Incomplete</v>
      </c>
    </row>
    <row r="2715" spans="1:17" hidden="1">
      <c r="A2715" s="12">
        <v>46152</v>
      </c>
      <c r="B2715" s="10">
        <v>5</v>
      </c>
      <c r="Q2715" s="10" t="str">
        <f t="shared" si="42"/>
        <v>Incomplete</v>
      </c>
    </row>
    <row r="2716" spans="1:17" hidden="1">
      <c r="A2716" s="12">
        <v>46152</v>
      </c>
      <c r="B2716" s="10">
        <v>6</v>
      </c>
      <c r="Q2716" s="10" t="str">
        <f t="shared" si="42"/>
        <v>Incomplete</v>
      </c>
    </row>
    <row r="2717" spans="1:17" hidden="1">
      <c r="A2717" s="12">
        <v>46152</v>
      </c>
      <c r="B2717" s="10">
        <v>7</v>
      </c>
      <c r="Q2717" s="10" t="str">
        <f t="shared" si="42"/>
        <v>Incomplete</v>
      </c>
    </row>
    <row r="2718" spans="1:17" hidden="1">
      <c r="A2718" s="12">
        <v>46152</v>
      </c>
      <c r="B2718" s="10">
        <v>8</v>
      </c>
      <c r="Q2718" s="10" t="str">
        <f t="shared" si="42"/>
        <v>Incomplete</v>
      </c>
    </row>
    <row r="2719" spans="1:17" hidden="1">
      <c r="A2719" s="12">
        <v>46152</v>
      </c>
      <c r="B2719" s="10">
        <v>9</v>
      </c>
      <c r="Q2719" s="10" t="str">
        <f t="shared" si="42"/>
        <v>Incomplete</v>
      </c>
    </row>
    <row r="2720" spans="1:17" hidden="1">
      <c r="A2720" s="12">
        <v>46152</v>
      </c>
      <c r="B2720" s="10">
        <v>10</v>
      </c>
      <c r="Q2720" s="10" t="str">
        <f t="shared" si="42"/>
        <v>Incomplete</v>
      </c>
    </row>
    <row r="2721" spans="1:17" hidden="1">
      <c r="A2721" s="12">
        <v>46152</v>
      </c>
      <c r="B2721" s="10">
        <v>11</v>
      </c>
      <c r="Q2721" s="10" t="str">
        <f t="shared" si="42"/>
        <v>Incomplete</v>
      </c>
    </row>
    <row r="2722" spans="1:17" hidden="1">
      <c r="A2722" s="12">
        <v>46152</v>
      </c>
      <c r="B2722" s="10">
        <v>12</v>
      </c>
      <c r="Q2722" s="10" t="str">
        <f t="shared" si="42"/>
        <v>Incomplete</v>
      </c>
    </row>
    <row r="2723" spans="1:17" hidden="1">
      <c r="A2723" s="12">
        <v>46152</v>
      </c>
      <c r="B2723" s="10">
        <v>13</v>
      </c>
      <c r="Q2723" s="10" t="str">
        <f t="shared" si="42"/>
        <v>Incomplete</v>
      </c>
    </row>
    <row r="2724" spans="1:17" hidden="1">
      <c r="A2724" s="12">
        <v>46152</v>
      </c>
      <c r="B2724" s="10">
        <v>14</v>
      </c>
      <c r="Q2724" s="10" t="str">
        <f t="shared" si="42"/>
        <v>Incomplete</v>
      </c>
    </row>
    <row r="2725" spans="1:17" hidden="1">
      <c r="A2725" s="12">
        <v>46152</v>
      </c>
      <c r="B2725" s="10">
        <v>15</v>
      </c>
      <c r="Q2725" s="10" t="str">
        <f t="shared" si="42"/>
        <v>Incomplete</v>
      </c>
    </row>
    <row r="2726" spans="1:17" hidden="1">
      <c r="A2726" s="12">
        <v>46152</v>
      </c>
      <c r="B2726" s="10">
        <v>16</v>
      </c>
      <c r="Q2726" s="10" t="str">
        <f t="shared" si="42"/>
        <v>Incomplete</v>
      </c>
    </row>
    <row r="2727" spans="1:17" hidden="1">
      <c r="A2727" s="12">
        <v>46152</v>
      </c>
      <c r="B2727" s="10">
        <v>17</v>
      </c>
      <c r="Q2727" s="10" t="str">
        <f t="shared" si="42"/>
        <v>Incomplete</v>
      </c>
    </row>
    <row r="2728" spans="1:17" hidden="1">
      <c r="A2728" s="12">
        <v>46152</v>
      </c>
      <c r="B2728" s="10">
        <v>18</v>
      </c>
      <c r="Q2728" s="10" t="str">
        <f t="shared" si="42"/>
        <v>Incomplete</v>
      </c>
    </row>
    <row r="2729" spans="1:17" hidden="1">
      <c r="A2729" s="12">
        <v>46152</v>
      </c>
      <c r="B2729" s="10">
        <v>19</v>
      </c>
      <c r="Q2729" s="10" t="str">
        <f t="shared" si="42"/>
        <v>Incomplete</v>
      </c>
    </row>
    <row r="2730" spans="1:17" hidden="1">
      <c r="A2730" s="12">
        <v>46152</v>
      </c>
      <c r="B2730" s="10">
        <v>20</v>
      </c>
      <c r="Q2730" s="10" t="str">
        <f t="shared" si="42"/>
        <v>Incomplete</v>
      </c>
    </row>
    <row r="2731" spans="1:17" hidden="1">
      <c r="A2731" s="12">
        <v>46152</v>
      </c>
      <c r="B2731" s="10">
        <v>21</v>
      </c>
      <c r="Q2731" s="10" t="str">
        <f t="shared" si="42"/>
        <v>Incomplete</v>
      </c>
    </row>
    <row r="2732" spans="1:17" hidden="1">
      <c r="A2732" s="12">
        <v>46153</v>
      </c>
      <c r="B2732" s="10">
        <v>1</v>
      </c>
      <c r="Q2732" s="10" t="str">
        <f t="shared" si="42"/>
        <v>Incomplete</v>
      </c>
    </row>
    <row r="2733" spans="1:17" hidden="1">
      <c r="A2733" s="12">
        <v>46153</v>
      </c>
      <c r="B2733" s="10">
        <v>2</v>
      </c>
      <c r="Q2733" s="10" t="str">
        <f t="shared" si="42"/>
        <v>Incomplete</v>
      </c>
    </row>
    <row r="2734" spans="1:17" hidden="1">
      <c r="A2734" s="12">
        <v>46153</v>
      </c>
      <c r="B2734" s="10">
        <v>3</v>
      </c>
      <c r="Q2734" s="10" t="str">
        <f t="shared" si="42"/>
        <v>Incomplete</v>
      </c>
    </row>
    <row r="2735" spans="1:17" hidden="1">
      <c r="A2735" s="12">
        <v>46153</v>
      </c>
      <c r="B2735" s="10">
        <v>4</v>
      </c>
      <c r="Q2735" s="10" t="str">
        <f t="shared" si="42"/>
        <v>Incomplete</v>
      </c>
    </row>
    <row r="2736" spans="1:17" hidden="1">
      <c r="A2736" s="12">
        <v>46153</v>
      </c>
      <c r="B2736" s="10">
        <v>5</v>
      </c>
      <c r="Q2736" s="10" t="str">
        <f t="shared" si="42"/>
        <v>Incomplete</v>
      </c>
    </row>
    <row r="2737" spans="1:17" hidden="1">
      <c r="A2737" s="12">
        <v>46153</v>
      </c>
      <c r="B2737" s="10">
        <v>6</v>
      </c>
      <c r="Q2737" s="10" t="str">
        <f t="shared" si="42"/>
        <v>Incomplete</v>
      </c>
    </row>
    <row r="2738" spans="1:17" hidden="1">
      <c r="A2738" s="12">
        <v>46153</v>
      </c>
      <c r="B2738" s="10">
        <v>7</v>
      </c>
      <c r="Q2738" s="10" t="str">
        <f t="shared" si="42"/>
        <v>Incomplete</v>
      </c>
    </row>
    <row r="2739" spans="1:17" hidden="1">
      <c r="A2739" s="12">
        <v>46153</v>
      </c>
      <c r="B2739" s="10">
        <v>8</v>
      </c>
      <c r="Q2739" s="10" t="str">
        <f t="shared" si="42"/>
        <v>Incomplete</v>
      </c>
    </row>
    <row r="2740" spans="1:17" hidden="1">
      <c r="A2740" s="12">
        <v>46153</v>
      </c>
      <c r="B2740" s="10">
        <v>9</v>
      </c>
      <c r="Q2740" s="10" t="str">
        <f t="shared" si="42"/>
        <v>Incomplete</v>
      </c>
    </row>
    <row r="2741" spans="1:17" hidden="1">
      <c r="A2741" s="12">
        <v>46153</v>
      </c>
      <c r="B2741" s="10">
        <v>10</v>
      </c>
      <c r="Q2741" s="10" t="str">
        <f t="shared" si="42"/>
        <v>Incomplete</v>
      </c>
    </row>
    <row r="2742" spans="1:17" hidden="1">
      <c r="A2742" s="12">
        <v>46153</v>
      </c>
      <c r="B2742" s="10">
        <v>11</v>
      </c>
      <c r="Q2742" s="10" t="str">
        <f t="shared" si="42"/>
        <v>Incomplete</v>
      </c>
    </row>
    <row r="2743" spans="1:17" hidden="1">
      <c r="A2743" s="12">
        <v>46153</v>
      </c>
      <c r="B2743" s="10">
        <v>12</v>
      </c>
      <c r="Q2743" s="10" t="str">
        <f t="shared" si="42"/>
        <v>Incomplete</v>
      </c>
    </row>
    <row r="2744" spans="1:17" hidden="1">
      <c r="A2744" s="12">
        <v>46153</v>
      </c>
      <c r="B2744" s="10">
        <v>13</v>
      </c>
      <c r="Q2744" s="10" t="str">
        <f t="shared" si="42"/>
        <v>Incomplete</v>
      </c>
    </row>
    <row r="2745" spans="1:17" hidden="1">
      <c r="A2745" s="12">
        <v>46153</v>
      </c>
      <c r="B2745" s="10">
        <v>14</v>
      </c>
      <c r="Q2745" s="10" t="str">
        <f t="shared" si="42"/>
        <v>Incomplete</v>
      </c>
    </row>
    <row r="2746" spans="1:17" hidden="1">
      <c r="A2746" s="12">
        <v>46153</v>
      </c>
      <c r="B2746" s="10">
        <v>15</v>
      </c>
      <c r="Q2746" s="10" t="str">
        <f t="shared" si="42"/>
        <v>Incomplete</v>
      </c>
    </row>
    <row r="2747" spans="1:17" hidden="1">
      <c r="A2747" s="12">
        <v>46153</v>
      </c>
      <c r="B2747" s="10">
        <v>16</v>
      </c>
      <c r="Q2747" s="10" t="str">
        <f t="shared" si="42"/>
        <v>Incomplete</v>
      </c>
    </row>
    <row r="2748" spans="1:17" hidden="1">
      <c r="A2748" s="12">
        <v>46153</v>
      </c>
      <c r="B2748" s="10">
        <v>17</v>
      </c>
      <c r="Q2748" s="10" t="str">
        <f t="shared" si="42"/>
        <v>Incomplete</v>
      </c>
    </row>
    <row r="2749" spans="1:17" hidden="1">
      <c r="A2749" s="12">
        <v>46153</v>
      </c>
      <c r="B2749" s="10">
        <v>18</v>
      </c>
      <c r="Q2749" s="10" t="str">
        <f t="shared" si="42"/>
        <v>Incomplete</v>
      </c>
    </row>
    <row r="2750" spans="1:17" hidden="1">
      <c r="A2750" s="12">
        <v>46153</v>
      </c>
      <c r="B2750" s="10">
        <v>19</v>
      </c>
      <c r="Q2750" s="10" t="str">
        <f t="shared" si="42"/>
        <v>Incomplete</v>
      </c>
    </row>
    <row r="2751" spans="1:17" hidden="1">
      <c r="A2751" s="12">
        <v>46153</v>
      </c>
      <c r="B2751" s="10">
        <v>20</v>
      </c>
      <c r="Q2751" s="10" t="str">
        <f t="shared" si="42"/>
        <v>Incomplete</v>
      </c>
    </row>
    <row r="2752" spans="1:17" hidden="1">
      <c r="A2752" s="12">
        <v>46153</v>
      </c>
      <c r="B2752" s="10">
        <v>21</v>
      </c>
      <c r="Q2752" s="10" t="str">
        <f t="shared" si="42"/>
        <v>Incomplete</v>
      </c>
    </row>
    <row r="2753" spans="1:17" hidden="1">
      <c r="A2753" s="12">
        <v>46154</v>
      </c>
      <c r="B2753" s="10">
        <v>1</v>
      </c>
      <c r="Q2753" s="10" t="str">
        <f t="shared" si="42"/>
        <v>Incomplete</v>
      </c>
    </row>
    <row r="2754" spans="1:17" hidden="1">
      <c r="A2754" s="12">
        <v>46154</v>
      </c>
      <c r="B2754" s="10">
        <v>2</v>
      </c>
      <c r="Q2754" s="10" t="str">
        <f t="shared" ref="Q2754:Q2817" si="43">IF(AND(C2754&lt;&gt;"",J2754&lt;&gt;"",K2754&lt;&gt;"",L2754&lt;&gt;"",O2754="Yes"),"Complete","Incomplete")</f>
        <v>Incomplete</v>
      </c>
    </row>
    <row r="2755" spans="1:17" hidden="1">
      <c r="A2755" s="12">
        <v>46154</v>
      </c>
      <c r="B2755" s="10">
        <v>3</v>
      </c>
      <c r="Q2755" s="10" t="str">
        <f t="shared" si="43"/>
        <v>Incomplete</v>
      </c>
    </row>
    <row r="2756" spans="1:17" hidden="1">
      <c r="A2756" s="12">
        <v>46154</v>
      </c>
      <c r="B2756" s="10">
        <v>4</v>
      </c>
      <c r="Q2756" s="10" t="str">
        <f t="shared" si="43"/>
        <v>Incomplete</v>
      </c>
    </row>
    <row r="2757" spans="1:17" hidden="1">
      <c r="A2757" s="12">
        <v>46154</v>
      </c>
      <c r="B2757" s="10">
        <v>5</v>
      </c>
      <c r="Q2757" s="10" t="str">
        <f t="shared" si="43"/>
        <v>Incomplete</v>
      </c>
    </row>
    <row r="2758" spans="1:17" hidden="1">
      <c r="A2758" s="12">
        <v>46154</v>
      </c>
      <c r="B2758" s="10">
        <v>6</v>
      </c>
      <c r="Q2758" s="10" t="str">
        <f t="shared" si="43"/>
        <v>Incomplete</v>
      </c>
    </row>
    <row r="2759" spans="1:17" hidden="1">
      <c r="A2759" s="12">
        <v>46154</v>
      </c>
      <c r="B2759" s="10">
        <v>7</v>
      </c>
      <c r="Q2759" s="10" t="str">
        <f t="shared" si="43"/>
        <v>Incomplete</v>
      </c>
    </row>
    <row r="2760" spans="1:17" hidden="1">
      <c r="A2760" s="12">
        <v>46154</v>
      </c>
      <c r="B2760" s="10">
        <v>8</v>
      </c>
      <c r="Q2760" s="10" t="str">
        <f t="shared" si="43"/>
        <v>Incomplete</v>
      </c>
    </row>
    <row r="2761" spans="1:17" hidden="1">
      <c r="A2761" s="12">
        <v>46154</v>
      </c>
      <c r="B2761" s="10">
        <v>9</v>
      </c>
      <c r="Q2761" s="10" t="str">
        <f t="shared" si="43"/>
        <v>Incomplete</v>
      </c>
    </row>
    <row r="2762" spans="1:17" hidden="1">
      <c r="A2762" s="12">
        <v>46154</v>
      </c>
      <c r="B2762" s="10">
        <v>10</v>
      </c>
      <c r="Q2762" s="10" t="str">
        <f t="shared" si="43"/>
        <v>Incomplete</v>
      </c>
    </row>
    <row r="2763" spans="1:17" hidden="1">
      <c r="A2763" s="12">
        <v>46154</v>
      </c>
      <c r="B2763" s="10">
        <v>11</v>
      </c>
      <c r="Q2763" s="10" t="str">
        <f t="shared" si="43"/>
        <v>Incomplete</v>
      </c>
    </row>
    <row r="2764" spans="1:17" hidden="1">
      <c r="A2764" s="12">
        <v>46154</v>
      </c>
      <c r="B2764" s="10">
        <v>12</v>
      </c>
      <c r="Q2764" s="10" t="str">
        <f t="shared" si="43"/>
        <v>Incomplete</v>
      </c>
    </row>
    <row r="2765" spans="1:17" hidden="1">
      <c r="A2765" s="12">
        <v>46154</v>
      </c>
      <c r="B2765" s="10">
        <v>13</v>
      </c>
      <c r="Q2765" s="10" t="str">
        <f t="shared" si="43"/>
        <v>Incomplete</v>
      </c>
    </row>
    <row r="2766" spans="1:17" hidden="1">
      <c r="A2766" s="12">
        <v>46154</v>
      </c>
      <c r="B2766" s="10">
        <v>14</v>
      </c>
      <c r="Q2766" s="10" t="str">
        <f t="shared" si="43"/>
        <v>Incomplete</v>
      </c>
    </row>
    <row r="2767" spans="1:17" hidden="1">
      <c r="A2767" s="12">
        <v>46154</v>
      </c>
      <c r="B2767" s="10">
        <v>15</v>
      </c>
      <c r="Q2767" s="10" t="str">
        <f t="shared" si="43"/>
        <v>Incomplete</v>
      </c>
    </row>
    <row r="2768" spans="1:17" hidden="1">
      <c r="A2768" s="12">
        <v>46154</v>
      </c>
      <c r="B2768" s="10">
        <v>16</v>
      </c>
      <c r="Q2768" s="10" t="str">
        <f t="shared" si="43"/>
        <v>Incomplete</v>
      </c>
    </row>
    <row r="2769" spans="1:17" hidden="1">
      <c r="A2769" s="12">
        <v>46154</v>
      </c>
      <c r="B2769" s="10">
        <v>17</v>
      </c>
      <c r="Q2769" s="10" t="str">
        <f t="shared" si="43"/>
        <v>Incomplete</v>
      </c>
    </row>
    <row r="2770" spans="1:17" hidden="1">
      <c r="A2770" s="12">
        <v>46154</v>
      </c>
      <c r="B2770" s="10">
        <v>18</v>
      </c>
      <c r="Q2770" s="10" t="str">
        <f t="shared" si="43"/>
        <v>Incomplete</v>
      </c>
    </row>
    <row r="2771" spans="1:17" hidden="1">
      <c r="A2771" s="12">
        <v>46154</v>
      </c>
      <c r="B2771" s="10">
        <v>19</v>
      </c>
      <c r="Q2771" s="10" t="str">
        <f t="shared" si="43"/>
        <v>Incomplete</v>
      </c>
    </row>
    <row r="2772" spans="1:17" hidden="1">
      <c r="A2772" s="12">
        <v>46154</v>
      </c>
      <c r="B2772" s="10">
        <v>20</v>
      </c>
      <c r="Q2772" s="10" t="str">
        <f t="shared" si="43"/>
        <v>Incomplete</v>
      </c>
    </row>
    <row r="2773" spans="1:17" hidden="1">
      <c r="A2773" s="12">
        <v>46154</v>
      </c>
      <c r="B2773" s="10">
        <v>21</v>
      </c>
      <c r="Q2773" s="10" t="str">
        <f t="shared" si="43"/>
        <v>Incomplete</v>
      </c>
    </row>
    <row r="2774" spans="1:17" hidden="1">
      <c r="A2774" s="12">
        <v>46155</v>
      </c>
      <c r="B2774" s="10">
        <v>1</v>
      </c>
      <c r="Q2774" s="10" t="str">
        <f t="shared" si="43"/>
        <v>Incomplete</v>
      </c>
    </row>
    <row r="2775" spans="1:17" hidden="1">
      <c r="A2775" s="12">
        <v>46155</v>
      </c>
      <c r="B2775" s="10">
        <v>2</v>
      </c>
      <c r="Q2775" s="10" t="str">
        <f t="shared" si="43"/>
        <v>Incomplete</v>
      </c>
    </row>
    <row r="2776" spans="1:17" hidden="1">
      <c r="A2776" s="12">
        <v>46155</v>
      </c>
      <c r="B2776" s="10">
        <v>3</v>
      </c>
      <c r="Q2776" s="10" t="str">
        <f t="shared" si="43"/>
        <v>Incomplete</v>
      </c>
    </row>
    <row r="2777" spans="1:17" hidden="1">
      <c r="A2777" s="12">
        <v>46155</v>
      </c>
      <c r="B2777" s="10">
        <v>4</v>
      </c>
      <c r="Q2777" s="10" t="str">
        <f t="shared" si="43"/>
        <v>Incomplete</v>
      </c>
    </row>
    <row r="2778" spans="1:17" hidden="1">
      <c r="A2778" s="12">
        <v>46155</v>
      </c>
      <c r="B2778" s="10">
        <v>5</v>
      </c>
      <c r="Q2778" s="10" t="str">
        <f t="shared" si="43"/>
        <v>Incomplete</v>
      </c>
    </row>
    <row r="2779" spans="1:17" hidden="1">
      <c r="A2779" s="12">
        <v>46155</v>
      </c>
      <c r="B2779" s="10">
        <v>6</v>
      </c>
      <c r="Q2779" s="10" t="str">
        <f t="shared" si="43"/>
        <v>Incomplete</v>
      </c>
    </row>
    <row r="2780" spans="1:17" hidden="1">
      <c r="A2780" s="12">
        <v>46155</v>
      </c>
      <c r="B2780" s="10">
        <v>7</v>
      </c>
      <c r="Q2780" s="10" t="str">
        <f t="shared" si="43"/>
        <v>Incomplete</v>
      </c>
    </row>
    <row r="2781" spans="1:17" hidden="1">
      <c r="A2781" s="12">
        <v>46155</v>
      </c>
      <c r="B2781" s="10">
        <v>8</v>
      </c>
      <c r="Q2781" s="10" t="str">
        <f t="shared" si="43"/>
        <v>Incomplete</v>
      </c>
    </row>
    <row r="2782" spans="1:17" hidden="1">
      <c r="A2782" s="12">
        <v>46155</v>
      </c>
      <c r="B2782" s="10">
        <v>9</v>
      </c>
      <c r="Q2782" s="10" t="str">
        <f t="shared" si="43"/>
        <v>Incomplete</v>
      </c>
    </row>
    <row r="2783" spans="1:17" hidden="1">
      <c r="A2783" s="12">
        <v>46155</v>
      </c>
      <c r="B2783" s="10">
        <v>10</v>
      </c>
      <c r="Q2783" s="10" t="str">
        <f t="shared" si="43"/>
        <v>Incomplete</v>
      </c>
    </row>
    <row r="2784" spans="1:17" hidden="1">
      <c r="A2784" s="12">
        <v>46155</v>
      </c>
      <c r="B2784" s="10">
        <v>11</v>
      </c>
      <c r="Q2784" s="10" t="str">
        <f t="shared" si="43"/>
        <v>Incomplete</v>
      </c>
    </row>
    <row r="2785" spans="1:17" hidden="1">
      <c r="A2785" s="12">
        <v>46155</v>
      </c>
      <c r="B2785" s="10">
        <v>12</v>
      </c>
      <c r="Q2785" s="10" t="str">
        <f t="shared" si="43"/>
        <v>Incomplete</v>
      </c>
    </row>
    <row r="2786" spans="1:17" hidden="1">
      <c r="A2786" s="12">
        <v>46155</v>
      </c>
      <c r="B2786" s="10">
        <v>13</v>
      </c>
      <c r="Q2786" s="10" t="str">
        <f t="shared" si="43"/>
        <v>Incomplete</v>
      </c>
    </row>
    <row r="2787" spans="1:17" hidden="1">
      <c r="A2787" s="12">
        <v>46155</v>
      </c>
      <c r="B2787" s="10">
        <v>14</v>
      </c>
      <c r="Q2787" s="10" t="str">
        <f t="shared" si="43"/>
        <v>Incomplete</v>
      </c>
    </row>
    <row r="2788" spans="1:17" hidden="1">
      <c r="A2788" s="12">
        <v>46155</v>
      </c>
      <c r="B2788" s="10">
        <v>15</v>
      </c>
      <c r="Q2788" s="10" t="str">
        <f t="shared" si="43"/>
        <v>Incomplete</v>
      </c>
    </row>
    <row r="2789" spans="1:17" hidden="1">
      <c r="A2789" s="12">
        <v>46155</v>
      </c>
      <c r="B2789" s="10">
        <v>16</v>
      </c>
      <c r="Q2789" s="10" t="str">
        <f t="shared" si="43"/>
        <v>Incomplete</v>
      </c>
    </row>
    <row r="2790" spans="1:17" hidden="1">
      <c r="A2790" s="12">
        <v>46155</v>
      </c>
      <c r="B2790" s="10">
        <v>17</v>
      </c>
      <c r="Q2790" s="10" t="str">
        <f t="shared" si="43"/>
        <v>Incomplete</v>
      </c>
    </row>
    <row r="2791" spans="1:17" hidden="1">
      <c r="A2791" s="12">
        <v>46155</v>
      </c>
      <c r="B2791" s="10">
        <v>18</v>
      </c>
      <c r="Q2791" s="10" t="str">
        <f t="shared" si="43"/>
        <v>Incomplete</v>
      </c>
    </row>
    <row r="2792" spans="1:17" hidden="1">
      <c r="A2792" s="12">
        <v>46155</v>
      </c>
      <c r="B2792" s="10">
        <v>19</v>
      </c>
      <c r="Q2792" s="10" t="str">
        <f t="shared" si="43"/>
        <v>Incomplete</v>
      </c>
    </row>
    <row r="2793" spans="1:17" hidden="1">
      <c r="A2793" s="12">
        <v>46155</v>
      </c>
      <c r="B2793" s="10">
        <v>20</v>
      </c>
      <c r="Q2793" s="10" t="str">
        <f t="shared" si="43"/>
        <v>Incomplete</v>
      </c>
    </row>
    <row r="2794" spans="1:17" hidden="1">
      <c r="A2794" s="12">
        <v>46155</v>
      </c>
      <c r="B2794" s="10">
        <v>21</v>
      </c>
      <c r="Q2794" s="10" t="str">
        <f t="shared" si="43"/>
        <v>Incomplete</v>
      </c>
    </row>
    <row r="2795" spans="1:17" hidden="1">
      <c r="A2795" s="12">
        <v>46156</v>
      </c>
      <c r="B2795" s="10">
        <v>1</v>
      </c>
      <c r="Q2795" s="10" t="str">
        <f t="shared" si="43"/>
        <v>Incomplete</v>
      </c>
    </row>
    <row r="2796" spans="1:17" hidden="1">
      <c r="A2796" s="12">
        <v>46156</v>
      </c>
      <c r="B2796" s="10">
        <v>2</v>
      </c>
      <c r="Q2796" s="10" t="str">
        <f t="shared" si="43"/>
        <v>Incomplete</v>
      </c>
    </row>
    <row r="2797" spans="1:17" hidden="1">
      <c r="A2797" s="12">
        <v>46156</v>
      </c>
      <c r="B2797" s="10">
        <v>3</v>
      </c>
      <c r="Q2797" s="10" t="str">
        <f t="shared" si="43"/>
        <v>Incomplete</v>
      </c>
    </row>
    <row r="2798" spans="1:17" hidden="1">
      <c r="A2798" s="12">
        <v>46156</v>
      </c>
      <c r="B2798" s="10">
        <v>4</v>
      </c>
      <c r="Q2798" s="10" t="str">
        <f t="shared" si="43"/>
        <v>Incomplete</v>
      </c>
    </row>
    <row r="2799" spans="1:17" hidden="1">
      <c r="A2799" s="12">
        <v>46156</v>
      </c>
      <c r="B2799" s="10">
        <v>5</v>
      </c>
      <c r="Q2799" s="10" t="str">
        <f t="shared" si="43"/>
        <v>Incomplete</v>
      </c>
    </row>
    <row r="2800" spans="1:17" hidden="1">
      <c r="A2800" s="12">
        <v>46156</v>
      </c>
      <c r="B2800" s="10">
        <v>6</v>
      </c>
      <c r="Q2800" s="10" t="str">
        <f t="shared" si="43"/>
        <v>Incomplete</v>
      </c>
    </row>
    <row r="2801" spans="1:17" hidden="1">
      <c r="A2801" s="12">
        <v>46156</v>
      </c>
      <c r="B2801" s="10">
        <v>7</v>
      </c>
      <c r="Q2801" s="10" t="str">
        <f t="shared" si="43"/>
        <v>Incomplete</v>
      </c>
    </row>
    <row r="2802" spans="1:17" hidden="1">
      <c r="A2802" s="12">
        <v>46156</v>
      </c>
      <c r="B2802" s="10">
        <v>8</v>
      </c>
      <c r="Q2802" s="10" t="str">
        <f t="shared" si="43"/>
        <v>Incomplete</v>
      </c>
    </row>
    <row r="2803" spans="1:17" hidden="1">
      <c r="A2803" s="12">
        <v>46156</v>
      </c>
      <c r="B2803" s="10">
        <v>9</v>
      </c>
      <c r="Q2803" s="10" t="str">
        <f t="shared" si="43"/>
        <v>Incomplete</v>
      </c>
    </row>
    <row r="2804" spans="1:17" hidden="1">
      <c r="A2804" s="12">
        <v>46156</v>
      </c>
      <c r="B2804" s="10">
        <v>10</v>
      </c>
      <c r="Q2804" s="10" t="str">
        <f t="shared" si="43"/>
        <v>Incomplete</v>
      </c>
    </row>
    <row r="2805" spans="1:17" hidden="1">
      <c r="A2805" s="12">
        <v>46156</v>
      </c>
      <c r="B2805" s="10">
        <v>11</v>
      </c>
      <c r="Q2805" s="10" t="str">
        <f t="shared" si="43"/>
        <v>Incomplete</v>
      </c>
    </row>
    <row r="2806" spans="1:17" hidden="1">
      <c r="A2806" s="12">
        <v>46156</v>
      </c>
      <c r="B2806" s="10">
        <v>12</v>
      </c>
      <c r="Q2806" s="10" t="str">
        <f t="shared" si="43"/>
        <v>Incomplete</v>
      </c>
    </row>
    <row r="2807" spans="1:17" hidden="1">
      <c r="A2807" s="12">
        <v>46156</v>
      </c>
      <c r="B2807" s="10">
        <v>13</v>
      </c>
      <c r="Q2807" s="10" t="str">
        <f t="shared" si="43"/>
        <v>Incomplete</v>
      </c>
    </row>
    <row r="2808" spans="1:17" hidden="1">
      <c r="A2808" s="12">
        <v>46156</v>
      </c>
      <c r="B2808" s="10">
        <v>14</v>
      </c>
      <c r="Q2808" s="10" t="str">
        <f t="shared" si="43"/>
        <v>Incomplete</v>
      </c>
    </row>
    <row r="2809" spans="1:17" hidden="1">
      <c r="A2809" s="12">
        <v>46156</v>
      </c>
      <c r="B2809" s="10">
        <v>15</v>
      </c>
      <c r="Q2809" s="10" t="str">
        <f t="shared" si="43"/>
        <v>Incomplete</v>
      </c>
    </row>
    <row r="2810" spans="1:17" hidden="1">
      <c r="A2810" s="12">
        <v>46156</v>
      </c>
      <c r="B2810" s="10">
        <v>16</v>
      </c>
      <c r="Q2810" s="10" t="str">
        <f t="shared" si="43"/>
        <v>Incomplete</v>
      </c>
    </row>
    <row r="2811" spans="1:17" hidden="1">
      <c r="A2811" s="12">
        <v>46156</v>
      </c>
      <c r="B2811" s="10">
        <v>17</v>
      </c>
      <c r="Q2811" s="10" t="str">
        <f t="shared" si="43"/>
        <v>Incomplete</v>
      </c>
    </row>
    <row r="2812" spans="1:17" hidden="1">
      <c r="A2812" s="12">
        <v>46156</v>
      </c>
      <c r="B2812" s="10">
        <v>18</v>
      </c>
      <c r="Q2812" s="10" t="str">
        <f t="shared" si="43"/>
        <v>Incomplete</v>
      </c>
    </row>
    <row r="2813" spans="1:17" hidden="1">
      <c r="A2813" s="12">
        <v>46156</v>
      </c>
      <c r="B2813" s="10">
        <v>19</v>
      </c>
      <c r="Q2813" s="10" t="str">
        <f t="shared" si="43"/>
        <v>Incomplete</v>
      </c>
    </row>
    <row r="2814" spans="1:17" hidden="1">
      <c r="A2814" s="12">
        <v>46156</v>
      </c>
      <c r="B2814" s="10">
        <v>20</v>
      </c>
      <c r="Q2814" s="10" t="str">
        <f t="shared" si="43"/>
        <v>Incomplete</v>
      </c>
    </row>
    <row r="2815" spans="1:17" hidden="1">
      <c r="A2815" s="12">
        <v>46156</v>
      </c>
      <c r="B2815" s="10">
        <v>21</v>
      </c>
      <c r="Q2815" s="10" t="str">
        <f t="shared" si="43"/>
        <v>Incomplete</v>
      </c>
    </row>
    <row r="2816" spans="1:17" hidden="1">
      <c r="A2816" s="12">
        <v>46157</v>
      </c>
      <c r="B2816" s="10">
        <v>1</v>
      </c>
      <c r="Q2816" s="10" t="str">
        <f t="shared" si="43"/>
        <v>Incomplete</v>
      </c>
    </row>
    <row r="2817" spans="1:17" hidden="1">
      <c r="A2817" s="12">
        <v>46157</v>
      </c>
      <c r="B2817" s="10">
        <v>2</v>
      </c>
      <c r="Q2817" s="10" t="str">
        <f t="shared" si="43"/>
        <v>Incomplete</v>
      </c>
    </row>
    <row r="2818" spans="1:17" hidden="1">
      <c r="A2818" s="12">
        <v>46157</v>
      </c>
      <c r="B2818" s="10">
        <v>3</v>
      </c>
      <c r="Q2818" s="10" t="str">
        <f t="shared" ref="Q2818:Q2881" si="44">IF(AND(C2818&lt;&gt;"",J2818&lt;&gt;"",K2818&lt;&gt;"",L2818&lt;&gt;"",O2818="Yes"),"Complete","Incomplete")</f>
        <v>Incomplete</v>
      </c>
    </row>
    <row r="2819" spans="1:17" hidden="1">
      <c r="A2819" s="12">
        <v>46157</v>
      </c>
      <c r="B2819" s="10">
        <v>4</v>
      </c>
      <c r="Q2819" s="10" t="str">
        <f t="shared" si="44"/>
        <v>Incomplete</v>
      </c>
    </row>
    <row r="2820" spans="1:17" hidden="1">
      <c r="A2820" s="12">
        <v>46157</v>
      </c>
      <c r="B2820" s="10">
        <v>5</v>
      </c>
      <c r="Q2820" s="10" t="str">
        <f t="shared" si="44"/>
        <v>Incomplete</v>
      </c>
    </row>
    <row r="2821" spans="1:17" hidden="1">
      <c r="A2821" s="12">
        <v>46157</v>
      </c>
      <c r="B2821" s="10">
        <v>6</v>
      </c>
      <c r="Q2821" s="10" t="str">
        <f t="shared" si="44"/>
        <v>Incomplete</v>
      </c>
    </row>
    <row r="2822" spans="1:17" hidden="1">
      <c r="A2822" s="12">
        <v>46157</v>
      </c>
      <c r="B2822" s="10">
        <v>7</v>
      </c>
      <c r="Q2822" s="10" t="str">
        <f t="shared" si="44"/>
        <v>Incomplete</v>
      </c>
    </row>
    <row r="2823" spans="1:17" hidden="1">
      <c r="A2823" s="12">
        <v>46157</v>
      </c>
      <c r="B2823" s="10">
        <v>8</v>
      </c>
      <c r="Q2823" s="10" t="str">
        <f t="shared" si="44"/>
        <v>Incomplete</v>
      </c>
    </row>
    <row r="2824" spans="1:17" hidden="1">
      <c r="A2824" s="12">
        <v>46157</v>
      </c>
      <c r="B2824" s="10">
        <v>9</v>
      </c>
      <c r="Q2824" s="10" t="str">
        <f t="shared" si="44"/>
        <v>Incomplete</v>
      </c>
    </row>
    <row r="2825" spans="1:17" hidden="1">
      <c r="A2825" s="12">
        <v>46157</v>
      </c>
      <c r="B2825" s="10">
        <v>10</v>
      </c>
      <c r="Q2825" s="10" t="str">
        <f t="shared" si="44"/>
        <v>Incomplete</v>
      </c>
    </row>
    <row r="2826" spans="1:17" hidden="1">
      <c r="A2826" s="12">
        <v>46157</v>
      </c>
      <c r="B2826" s="10">
        <v>11</v>
      </c>
      <c r="Q2826" s="10" t="str">
        <f t="shared" si="44"/>
        <v>Incomplete</v>
      </c>
    </row>
    <row r="2827" spans="1:17" hidden="1">
      <c r="A2827" s="12">
        <v>46157</v>
      </c>
      <c r="B2827" s="10">
        <v>12</v>
      </c>
      <c r="Q2827" s="10" t="str">
        <f t="shared" si="44"/>
        <v>Incomplete</v>
      </c>
    </row>
    <row r="2828" spans="1:17" hidden="1">
      <c r="A2828" s="12">
        <v>46157</v>
      </c>
      <c r="B2828" s="10">
        <v>13</v>
      </c>
      <c r="Q2828" s="10" t="str">
        <f t="shared" si="44"/>
        <v>Incomplete</v>
      </c>
    </row>
    <row r="2829" spans="1:17" hidden="1">
      <c r="A2829" s="12">
        <v>46157</v>
      </c>
      <c r="B2829" s="10">
        <v>14</v>
      </c>
      <c r="Q2829" s="10" t="str">
        <f t="shared" si="44"/>
        <v>Incomplete</v>
      </c>
    </row>
    <row r="2830" spans="1:17" hidden="1">
      <c r="A2830" s="12">
        <v>46157</v>
      </c>
      <c r="B2830" s="10">
        <v>15</v>
      </c>
      <c r="Q2830" s="10" t="str">
        <f t="shared" si="44"/>
        <v>Incomplete</v>
      </c>
    </row>
    <row r="2831" spans="1:17" hidden="1">
      <c r="A2831" s="12">
        <v>46157</v>
      </c>
      <c r="B2831" s="10">
        <v>16</v>
      </c>
      <c r="Q2831" s="10" t="str">
        <f t="shared" si="44"/>
        <v>Incomplete</v>
      </c>
    </row>
    <row r="2832" spans="1:17" hidden="1">
      <c r="A2832" s="12">
        <v>46157</v>
      </c>
      <c r="B2832" s="10">
        <v>17</v>
      </c>
      <c r="Q2832" s="10" t="str">
        <f t="shared" si="44"/>
        <v>Incomplete</v>
      </c>
    </row>
    <row r="2833" spans="1:17" hidden="1">
      <c r="A2833" s="12">
        <v>46157</v>
      </c>
      <c r="B2833" s="10">
        <v>18</v>
      </c>
      <c r="Q2833" s="10" t="str">
        <f t="shared" si="44"/>
        <v>Incomplete</v>
      </c>
    </row>
    <row r="2834" spans="1:17" hidden="1">
      <c r="A2834" s="12">
        <v>46157</v>
      </c>
      <c r="B2834" s="10">
        <v>19</v>
      </c>
      <c r="Q2834" s="10" t="str">
        <f t="shared" si="44"/>
        <v>Incomplete</v>
      </c>
    </row>
    <row r="2835" spans="1:17" hidden="1">
      <c r="A2835" s="12">
        <v>46157</v>
      </c>
      <c r="B2835" s="10">
        <v>20</v>
      </c>
      <c r="Q2835" s="10" t="str">
        <f t="shared" si="44"/>
        <v>Incomplete</v>
      </c>
    </row>
    <row r="2836" spans="1:17" hidden="1">
      <c r="A2836" s="12">
        <v>46157</v>
      </c>
      <c r="B2836" s="10">
        <v>21</v>
      </c>
      <c r="Q2836" s="10" t="str">
        <f t="shared" si="44"/>
        <v>Incomplete</v>
      </c>
    </row>
    <row r="2837" spans="1:17" hidden="1">
      <c r="A2837" s="12">
        <v>46158</v>
      </c>
      <c r="B2837" s="10">
        <v>1</v>
      </c>
      <c r="Q2837" s="10" t="str">
        <f t="shared" si="44"/>
        <v>Incomplete</v>
      </c>
    </row>
    <row r="2838" spans="1:17" hidden="1">
      <c r="A2838" s="12">
        <v>46158</v>
      </c>
      <c r="B2838" s="10">
        <v>2</v>
      </c>
      <c r="Q2838" s="10" t="str">
        <f t="shared" si="44"/>
        <v>Incomplete</v>
      </c>
    </row>
    <row r="2839" spans="1:17" hidden="1">
      <c r="A2839" s="12">
        <v>46158</v>
      </c>
      <c r="B2839" s="10">
        <v>3</v>
      </c>
      <c r="Q2839" s="10" t="str">
        <f t="shared" si="44"/>
        <v>Incomplete</v>
      </c>
    </row>
    <row r="2840" spans="1:17" hidden="1">
      <c r="A2840" s="12">
        <v>46158</v>
      </c>
      <c r="B2840" s="10">
        <v>4</v>
      </c>
      <c r="Q2840" s="10" t="str">
        <f t="shared" si="44"/>
        <v>Incomplete</v>
      </c>
    </row>
    <row r="2841" spans="1:17" hidden="1">
      <c r="A2841" s="12">
        <v>46158</v>
      </c>
      <c r="B2841" s="10">
        <v>5</v>
      </c>
      <c r="Q2841" s="10" t="str">
        <f t="shared" si="44"/>
        <v>Incomplete</v>
      </c>
    </row>
    <row r="2842" spans="1:17" hidden="1">
      <c r="A2842" s="12">
        <v>46158</v>
      </c>
      <c r="B2842" s="10">
        <v>6</v>
      </c>
      <c r="Q2842" s="10" t="str">
        <f t="shared" si="44"/>
        <v>Incomplete</v>
      </c>
    </row>
    <row r="2843" spans="1:17" hidden="1">
      <c r="A2843" s="12">
        <v>46158</v>
      </c>
      <c r="B2843" s="10">
        <v>7</v>
      </c>
      <c r="Q2843" s="10" t="str">
        <f t="shared" si="44"/>
        <v>Incomplete</v>
      </c>
    </row>
    <row r="2844" spans="1:17" hidden="1">
      <c r="A2844" s="12">
        <v>46158</v>
      </c>
      <c r="B2844" s="10">
        <v>8</v>
      </c>
      <c r="Q2844" s="10" t="str">
        <f t="shared" si="44"/>
        <v>Incomplete</v>
      </c>
    </row>
    <row r="2845" spans="1:17" hidden="1">
      <c r="A2845" s="12">
        <v>46158</v>
      </c>
      <c r="B2845" s="10">
        <v>9</v>
      </c>
      <c r="Q2845" s="10" t="str">
        <f t="shared" si="44"/>
        <v>Incomplete</v>
      </c>
    </row>
    <row r="2846" spans="1:17" hidden="1">
      <c r="A2846" s="12">
        <v>46158</v>
      </c>
      <c r="B2846" s="10">
        <v>10</v>
      </c>
      <c r="Q2846" s="10" t="str">
        <f t="shared" si="44"/>
        <v>Incomplete</v>
      </c>
    </row>
    <row r="2847" spans="1:17" hidden="1">
      <c r="A2847" s="12">
        <v>46158</v>
      </c>
      <c r="B2847" s="10">
        <v>11</v>
      </c>
      <c r="Q2847" s="10" t="str">
        <f t="shared" si="44"/>
        <v>Incomplete</v>
      </c>
    </row>
    <row r="2848" spans="1:17" hidden="1">
      <c r="A2848" s="12">
        <v>46158</v>
      </c>
      <c r="B2848" s="10">
        <v>12</v>
      </c>
      <c r="Q2848" s="10" t="str">
        <f t="shared" si="44"/>
        <v>Incomplete</v>
      </c>
    </row>
    <row r="2849" spans="1:17" hidden="1">
      <c r="A2849" s="12">
        <v>46158</v>
      </c>
      <c r="B2849" s="10">
        <v>13</v>
      </c>
      <c r="Q2849" s="10" t="str">
        <f t="shared" si="44"/>
        <v>Incomplete</v>
      </c>
    </row>
    <row r="2850" spans="1:17" hidden="1">
      <c r="A2850" s="12">
        <v>46158</v>
      </c>
      <c r="B2850" s="10">
        <v>14</v>
      </c>
      <c r="Q2850" s="10" t="str">
        <f t="shared" si="44"/>
        <v>Incomplete</v>
      </c>
    </row>
    <row r="2851" spans="1:17" hidden="1">
      <c r="A2851" s="12">
        <v>46158</v>
      </c>
      <c r="B2851" s="10">
        <v>15</v>
      </c>
      <c r="Q2851" s="10" t="str">
        <f t="shared" si="44"/>
        <v>Incomplete</v>
      </c>
    </row>
    <row r="2852" spans="1:17" hidden="1">
      <c r="A2852" s="12">
        <v>46158</v>
      </c>
      <c r="B2852" s="10">
        <v>16</v>
      </c>
      <c r="Q2852" s="10" t="str">
        <f t="shared" si="44"/>
        <v>Incomplete</v>
      </c>
    </row>
    <row r="2853" spans="1:17" hidden="1">
      <c r="A2853" s="12">
        <v>46158</v>
      </c>
      <c r="B2853" s="10">
        <v>17</v>
      </c>
      <c r="Q2853" s="10" t="str">
        <f t="shared" si="44"/>
        <v>Incomplete</v>
      </c>
    </row>
    <row r="2854" spans="1:17" hidden="1">
      <c r="A2854" s="12">
        <v>46158</v>
      </c>
      <c r="B2854" s="10">
        <v>18</v>
      </c>
      <c r="Q2854" s="10" t="str">
        <f t="shared" si="44"/>
        <v>Incomplete</v>
      </c>
    </row>
    <row r="2855" spans="1:17" hidden="1">
      <c r="A2855" s="12">
        <v>46158</v>
      </c>
      <c r="B2855" s="10">
        <v>19</v>
      </c>
      <c r="Q2855" s="10" t="str">
        <f t="shared" si="44"/>
        <v>Incomplete</v>
      </c>
    </row>
    <row r="2856" spans="1:17" hidden="1">
      <c r="A2856" s="12">
        <v>46158</v>
      </c>
      <c r="B2856" s="10">
        <v>20</v>
      </c>
      <c r="Q2856" s="10" t="str">
        <f t="shared" si="44"/>
        <v>Incomplete</v>
      </c>
    </row>
    <row r="2857" spans="1:17" hidden="1">
      <c r="A2857" s="12">
        <v>46158</v>
      </c>
      <c r="B2857" s="10">
        <v>21</v>
      </c>
      <c r="Q2857" s="10" t="str">
        <f t="shared" si="44"/>
        <v>Incomplete</v>
      </c>
    </row>
    <row r="2858" spans="1:17" hidden="1">
      <c r="A2858" s="12">
        <v>46159</v>
      </c>
      <c r="B2858" s="10">
        <v>1</v>
      </c>
      <c r="Q2858" s="10" t="str">
        <f t="shared" si="44"/>
        <v>Incomplete</v>
      </c>
    </row>
    <row r="2859" spans="1:17" hidden="1">
      <c r="A2859" s="12">
        <v>46159</v>
      </c>
      <c r="B2859" s="10">
        <v>2</v>
      </c>
      <c r="Q2859" s="10" t="str">
        <f t="shared" si="44"/>
        <v>Incomplete</v>
      </c>
    </row>
    <row r="2860" spans="1:17" hidden="1">
      <c r="A2860" s="12">
        <v>46159</v>
      </c>
      <c r="B2860" s="10">
        <v>3</v>
      </c>
      <c r="Q2860" s="10" t="str">
        <f t="shared" si="44"/>
        <v>Incomplete</v>
      </c>
    </row>
    <row r="2861" spans="1:17" hidden="1">
      <c r="A2861" s="12">
        <v>46159</v>
      </c>
      <c r="B2861" s="10">
        <v>4</v>
      </c>
      <c r="Q2861" s="10" t="str">
        <f t="shared" si="44"/>
        <v>Incomplete</v>
      </c>
    </row>
    <row r="2862" spans="1:17" hidden="1">
      <c r="A2862" s="12">
        <v>46159</v>
      </c>
      <c r="B2862" s="10">
        <v>5</v>
      </c>
      <c r="Q2862" s="10" t="str">
        <f t="shared" si="44"/>
        <v>Incomplete</v>
      </c>
    </row>
    <row r="2863" spans="1:17" hidden="1">
      <c r="A2863" s="12">
        <v>46159</v>
      </c>
      <c r="B2863" s="10">
        <v>6</v>
      </c>
      <c r="Q2863" s="10" t="str">
        <f t="shared" si="44"/>
        <v>Incomplete</v>
      </c>
    </row>
    <row r="2864" spans="1:17" hidden="1">
      <c r="A2864" s="12">
        <v>46159</v>
      </c>
      <c r="B2864" s="10">
        <v>7</v>
      </c>
      <c r="Q2864" s="10" t="str">
        <f t="shared" si="44"/>
        <v>Incomplete</v>
      </c>
    </row>
    <row r="2865" spans="1:17" hidden="1">
      <c r="A2865" s="12">
        <v>46159</v>
      </c>
      <c r="B2865" s="10">
        <v>8</v>
      </c>
      <c r="Q2865" s="10" t="str">
        <f t="shared" si="44"/>
        <v>Incomplete</v>
      </c>
    </row>
    <row r="2866" spans="1:17" hidden="1">
      <c r="A2866" s="12">
        <v>46159</v>
      </c>
      <c r="B2866" s="10">
        <v>9</v>
      </c>
      <c r="Q2866" s="10" t="str">
        <f t="shared" si="44"/>
        <v>Incomplete</v>
      </c>
    </row>
    <row r="2867" spans="1:17" hidden="1">
      <c r="A2867" s="12">
        <v>46159</v>
      </c>
      <c r="B2867" s="10">
        <v>10</v>
      </c>
      <c r="Q2867" s="10" t="str">
        <f t="shared" si="44"/>
        <v>Incomplete</v>
      </c>
    </row>
    <row r="2868" spans="1:17" hidden="1">
      <c r="A2868" s="12">
        <v>46159</v>
      </c>
      <c r="B2868" s="10">
        <v>11</v>
      </c>
      <c r="Q2868" s="10" t="str">
        <f t="shared" si="44"/>
        <v>Incomplete</v>
      </c>
    </row>
    <row r="2869" spans="1:17" hidden="1">
      <c r="A2869" s="12">
        <v>46159</v>
      </c>
      <c r="B2869" s="10">
        <v>12</v>
      </c>
      <c r="Q2869" s="10" t="str">
        <f t="shared" si="44"/>
        <v>Incomplete</v>
      </c>
    </row>
    <row r="2870" spans="1:17" hidden="1">
      <c r="A2870" s="12">
        <v>46159</v>
      </c>
      <c r="B2870" s="10">
        <v>13</v>
      </c>
      <c r="Q2870" s="10" t="str">
        <f t="shared" si="44"/>
        <v>Incomplete</v>
      </c>
    </row>
    <row r="2871" spans="1:17" hidden="1">
      <c r="A2871" s="12">
        <v>46159</v>
      </c>
      <c r="B2871" s="10">
        <v>14</v>
      </c>
      <c r="Q2871" s="10" t="str">
        <f t="shared" si="44"/>
        <v>Incomplete</v>
      </c>
    </row>
    <row r="2872" spans="1:17" hidden="1">
      <c r="A2872" s="12">
        <v>46159</v>
      </c>
      <c r="B2872" s="10">
        <v>15</v>
      </c>
      <c r="Q2872" s="10" t="str">
        <f t="shared" si="44"/>
        <v>Incomplete</v>
      </c>
    </row>
    <row r="2873" spans="1:17" hidden="1">
      <c r="A2873" s="12">
        <v>46159</v>
      </c>
      <c r="B2873" s="10">
        <v>16</v>
      </c>
      <c r="Q2873" s="10" t="str">
        <f t="shared" si="44"/>
        <v>Incomplete</v>
      </c>
    </row>
    <row r="2874" spans="1:17" hidden="1">
      <c r="A2874" s="12">
        <v>46159</v>
      </c>
      <c r="B2874" s="10">
        <v>17</v>
      </c>
      <c r="Q2874" s="10" t="str">
        <f t="shared" si="44"/>
        <v>Incomplete</v>
      </c>
    </row>
    <row r="2875" spans="1:17" hidden="1">
      <c r="A2875" s="12">
        <v>46159</v>
      </c>
      <c r="B2875" s="10">
        <v>18</v>
      </c>
      <c r="Q2875" s="10" t="str">
        <f t="shared" si="44"/>
        <v>Incomplete</v>
      </c>
    </row>
    <row r="2876" spans="1:17" hidden="1">
      <c r="A2876" s="12">
        <v>46159</v>
      </c>
      <c r="B2876" s="10">
        <v>19</v>
      </c>
      <c r="Q2876" s="10" t="str">
        <f t="shared" si="44"/>
        <v>Incomplete</v>
      </c>
    </row>
    <row r="2877" spans="1:17" hidden="1">
      <c r="A2877" s="12">
        <v>46159</v>
      </c>
      <c r="B2877" s="10">
        <v>20</v>
      </c>
      <c r="Q2877" s="10" t="str">
        <f t="shared" si="44"/>
        <v>Incomplete</v>
      </c>
    </row>
    <row r="2878" spans="1:17" hidden="1">
      <c r="A2878" s="12">
        <v>46159</v>
      </c>
      <c r="B2878" s="10">
        <v>21</v>
      </c>
      <c r="Q2878" s="10" t="str">
        <f t="shared" si="44"/>
        <v>Incomplete</v>
      </c>
    </row>
    <row r="2879" spans="1:17" hidden="1">
      <c r="A2879" s="12">
        <v>46160</v>
      </c>
      <c r="B2879" s="10">
        <v>1</v>
      </c>
      <c r="Q2879" s="10" t="str">
        <f t="shared" si="44"/>
        <v>Incomplete</v>
      </c>
    </row>
    <row r="2880" spans="1:17" hidden="1">
      <c r="A2880" s="12">
        <v>46160</v>
      </c>
      <c r="B2880" s="10">
        <v>2</v>
      </c>
      <c r="Q2880" s="10" t="str">
        <f t="shared" si="44"/>
        <v>Incomplete</v>
      </c>
    </row>
    <row r="2881" spans="1:17" hidden="1">
      <c r="A2881" s="12">
        <v>46160</v>
      </c>
      <c r="B2881" s="10">
        <v>3</v>
      </c>
      <c r="Q2881" s="10" t="str">
        <f t="shared" si="44"/>
        <v>Incomplete</v>
      </c>
    </row>
    <row r="2882" spans="1:17" hidden="1">
      <c r="A2882" s="12">
        <v>46160</v>
      </c>
      <c r="B2882" s="10">
        <v>4</v>
      </c>
      <c r="Q2882" s="10" t="str">
        <f t="shared" ref="Q2882:Q2945" si="45">IF(AND(C2882&lt;&gt;"",J2882&lt;&gt;"",K2882&lt;&gt;"",L2882&lt;&gt;"",O2882="Yes"),"Complete","Incomplete")</f>
        <v>Incomplete</v>
      </c>
    </row>
    <row r="2883" spans="1:17" hidden="1">
      <c r="A2883" s="12">
        <v>46160</v>
      </c>
      <c r="B2883" s="10">
        <v>5</v>
      </c>
      <c r="Q2883" s="10" t="str">
        <f t="shared" si="45"/>
        <v>Incomplete</v>
      </c>
    </row>
    <row r="2884" spans="1:17" hidden="1">
      <c r="A2884" s="12">
        <v>46160</v>
      </c>
      <c r="B2884" s="10">
        <v>6</v>
      </c>
      <c r="Q2884" s="10" t="str">
        <f t="shared" si="45"/>
        <v>Incomplete</v>
      </c>
    </row>
    <row r="2885" spans="1:17" hidden="1">
      <c r="A2885" s="12">
        <v>46160</v>
      </c>
      <c r="B2885" s="10">
        <v>7</v>
      </c>
      <c r="Q2885" s="10" t="str">
        <f t="shared" si="45"/>
        <v>Incomplete</v>
      </c>
    </row>
    <row r="2886" spans="1:17" hidden="1">
      <c r="A2886" s="12">
        <v>46160</v>
      </c>
      <c r="B2886" s="10">
        <v>8</v>
      </c>
      <c r="Q2886" s="10" t="str">
        <f t="shared" si="45"/>
        <v>Incomplete</v>
      </c>
    </row>
    <row r="2887" spans="1:17" hidden="1">
      <c r="A2887" s="12">
        <v>46160</v>
      </c>
      <c r="B2887" s="10">
        <v>9</v>
      </c>
      <c r="Q2887" s="10" t="str">
        <f t="shared" si="45"/>
        <v>Incomplete</v>
      </c>
    </row>
    <row r="2888" spans="1:17" hidden="1">
      <c r="A2888" s="12">
        <v>46160</v>
      </c>
      <c r="B2888" s="10">
        <v>10</v>
      </c>
      <c r="Q2888" s="10" t="str">
        <f t="shared" si="45"/>
        <v>Incomplete</v>
      </c>
    </row>
    <row r="2889" spans="1:17" hidden="1">
      <c r="A2889" s="12">
        <v>46160</v>
      </c>
      <c r="B2889" s="10">
        <v>11</v>
      </c>
      <c r="Q2889" s="10" t="str">
        <f t="shared" si="45"/>
        <v>Incomplete</v>
      </c>
    </row>
    <row r="2890" spans="1:17" hidden="1">
      <c r="A2890" s="12">
        <v>46160</v>
      </c>
      <c r="B2890" s="10">
        <v>12</v>
      </c>
      <c r="Q2890" s="10" t="str">
        <f t="shared" si="45"/>
        <v>Incomplete</v>
      </c>
    </row>
    <row r="2891" spans="1:17" hidden="1">
      <c r="A2891" s="12">
        <v>46160</v>
      </c>
      <c r="B2891" s="10">
        <v>13</v>
      </c>
      <c r="Q2891" s="10" t="str">
        <f t="shared" si="45"/>
        <v>Incomplete</v>
      </c>
    </row>
    <row r="2892" spans="1:17" hidden="1">
      <c r="A2892" s="12">
        <v>46160</v>
      </c>
      <c r="B2892" s="10">
        <v>14</v>
      </c>
      <c r="Q2892" s="10" t="str">
        <f t="shared" si="45"/>
        <v>Incomplete</v>
      </c>
    </row>
    <row r="2893" spans="1:17" hidden="1">
      <c r="A2893" s="12">
        <v>46160</v>
      </c>
      <c r="B2893" s="10">
        <v>15</v>
      </c>
      <c r="Q2893" s="10" t="str">
        <f t="shared" si="45"/>
        <v>Incomplete</v>
      </c>
    </row>
    <row r="2894" spans="1:17" hidden="1">
      <c r="A2894" s="12">
        <v>46160</v>
      </c>
      <c r="B2894" s="10">
        <v>16</v>
      </c>
      <c r="Q2894" s="10" t="str">
        <f t="shared" si="45"/>
        <v>Incomplete</v>
      </c>
    </row>
    <row r="2895" spans="1:17" hidden="1">
      <c r="A2895" s="12">
        <v>46160</v>
      </c>
      <c r="B2895" s="10">
        <v>17</v>
      </c>
      <c r="Q2895" s="10" t="str">
        <f t="shared" si="45"/>
        <v>Incomplete</v>
      </c>
    </row>
    <row r="2896" spans="1:17" hidden="1">
      <c r="A2896" s="12">
        <v>46160</v>
      </c>
      <c r="B2896" s="10">
        <v>18</v>
      </c>
      <c r="Q2896" s="10" t="str">
        <f t="shared" si="45"/>
        <v>Incomplete</v>
      </c>
    </row>
    <row r="2897" spans="1:17" hidden="1">
      <c r="A2897" s="12">
        <v>46160</v>
      </c>
      <c r="B2897" s="10">
        <v>19</v>
      </c>
      <c r="Q2897" s="10" t="str">
        <f t="shared" si="45"/>
        <v>Incomplete</v>
      </c>
    </row>
    <row r="2898" spans="1:17" hidden="1">
      <c r="A2898" s="12">
        <v>46160</v>
      </c>
      <c r="B2898" s="10">
        <v>20</v>
      </c>
      <c r="Q2898" s="10" t="str">
        <f t="shared" si="45"/>
        <v>Incomplete</v>
      </c>
    </row>
    <row r="2899" spans="1:17" hidden="1">
      <c r="A2899" s="12">
        <v>46160</v>
      </c>
      <c r="B2899" s="10">
        <v>21</v>
      </c>
      <c r="Q2899" s="10" t="str">
        <f t="shared" si="45"/>
        <v>Incomplete</v>
      </c>
    </row>
    <row r="2900" spans="1:17" hidden="1">
      <c r="A2900" s="12">
        <v>46161</v>
      </c>
      <c r="B2900" s="10">
        <v>1</v>
      </c>
      <c r="Q2900" s="10" t="str">
        <f t="shared" si="45"/>
        <v>Incomplete</v>
      </c>
    </row>
    <row r="2901" spans="1:17" hidden="1">
      <c r="A2901" s="12">
        <v>46161</v>
      </c>
      <c r="B2901" s="10">
        <v>2</v>
      </c>
      <c r="Q2901" s="10" t="str">
        <f t="shared" si="45"/>
        <v>Incomplete</v>
      </c>
    </row>
    <row r="2902" spans="1:17" hidden="1">
      <c r="A2902" s="12">
        <v>46161</v>
      </c>
      <c r="B2902" s="10">
        <v>3</v>
      </c>
      <c r="Q2902" s="10" t="str">
        <f t="shared" si="45"/>
        <v>Incomplete</v>
      </c>
    </row>
    <row r="2903" spans="1:17" hidden="1">
      <c r="A2903" s="12">
        <v>46161</v>
      </c>
      <c r="B2903" s="10">
        <v>4</v>
      </c>
      <c r="Q2903" s="10" t="str">
        <f t="shared" si="45"/>
        <v>Incomplete</v>
      </c>
    </row>
    <row r="2904" spans="1:17" hidden="1">
      <c r="A2904" s="12">
        <v>46161</v>
      </c>
      <c r="B2904" s="10">
        <v>5</v>
      </c>
      <c r="Q2904" s="10" t="str">
        <f t="shared" si="45"/>
        <v>Incomplete</v>
      </c>
    </row>
    <row r="2905" spans="1:17" hidden="1">
      <c r="A2905" s="12">
        <v>46161</v>
      </c>
      <c r="B2905" s="10">
        <v>6</v>
      </c>
      <c r="Q2905" s="10" t="str">
        <f t="shared" si="45"/>
        <v>Incomplete</v>
      </c>
    </row>
    <row r="2906" spans="1:17" hidden="1">
      <c r="A2906" s="12">
        <v>46161</v>
      </c>
      <c r="B2906" s="10">
        <v>7</v>
      </c>
      <c r="Q2906" s="10" t="str">
        <f t="shared" si="45"/>
        <v>Incomplete</v>
      </c>
    </row>
    <row r="2907" spans="1:17" hidden="1">
      <c r="A2907" s="12">
        <v>46161</v>
      </c>
      <c r="B2907" s="10">
        <v>8</v>
      </c>
      <c r="Q2907" s="10" t="str">
        <f t="shared" si="45"/>
        <v>Incomplete</v>
      </c>
    </row>
    <row r="2908" spans="1:17" hidden="1">
      <c r="A2908" s="12">
        <v>46161</v>
      </c>
      <c r="B2908" s="10">
        <v>9</v>
      </c>
      <c r="Q2908" s="10" t="str">
        <f t="shared" si="45"/>
        <v>Incomplete</v>
      </c>
    </row>
    <row r="2909" spans="1:17" hidden="1">
      <c r="A2909" s="12">
        <v>46161</v>
      </c>
      <c r="B2909" s="10">
        <v>10</v>
      </c>
      <c r="Q2909" s="10" t="str">
        <f t="shared" si="45"/>
        <v>Incomplete</v>
      </c>
    </row>
    <row r="2910" spans="1:17" hidden="1">
      <c r="A2910" s="12">
        <v>46161</v>
      </c>
      <c r="B2910" s="10">
        <v>11</v>
      </c>
      <c r="Q2910" s="10" t="str">
        <f t="shared" si="45"/>
        <v>Incomplete</v>
      </c>
    </row>
    <row r="2911" spans="1:17" hidden="1">
      <c r="A2911" s="12">
        <v>46161</v>
      </c>
      <c r="B2911" s="10">
        <v>12</v>
      </c>
      <c r="Q2911" s="10" t="str">
        <f t="shared" si="45"/>
        <v>Incomplete</v>
      </c>
    </row>
    <row r="2912" spans="1:17" hidden="1">
      <c r="A2912" s="12">
        <v>46161</v>
      </c>
      <c r="B2912" s="10">
        <v>13</v>
      </c>
      <c r="Q2912" s="10" t="str">
        <f t="shared" si="45"/>
        <v>Incomplete</v>
      </c>
    </row>
    <row r="2913" spans="1:17" hidden="1">
      <c r="A2913" s="12">
        <v>46161</v>
      </c>
      <c r="B2913" s="10">
        <v>14</v>
      </c>
      <c r="Q2913" s="10" t="str">
        <f t="shared" si="45"/>
        <v>Incomplete</v>
      </c>
    </row>
    <row r="2914" spans="1:17" hidden="1">
      <c r="A2914" s="12">
        <v>46161</v>
      </c>
      <c r="B2914" s="10">
        <v>15</v>
      </c>
      <c r="Q2914" s="10" t="str">
        <f t="shared" si="45"/>
        <v>Incomplete</v>
      </c>
    </row>
    <row r="2915" spans="1:17" hidden="1">
      <c r="A2915" s="12">
        <v>46161</v>
      </c>
      <c r="B2915" s="10">
        <v>16</v>
      </c>
      <c r="Q2915" s="10" t="str">
        <f t="shared" si="45"/>
        <v>Incomplete</v>
      </c>
    </row>
    <row r="2916" spans="1:17" hidden="1">
      <c r="A2916" s="12">
        <v>46161</v>
      </c>
      <c r="B2916" s="10">
        <v>17</v>
      </c>
      <c r="Q2916" s="10" t="str">
        <f t="shared" si="45"/>
        <v>Incomplete</v>
      </c>
    </row>
    <row r="2917" spans="1:17" hidden="1">
      <c r="A2917" s="12">
        <v>46161</v>
      </c>
      <c r="B2917" s="10">
        <v>18</v>
      </c>
      <c r="Q2917" s="10" t="str">
        <f t="shared" si="45"/>
        <v>Incomplete</v>
      </c>
    </row>
    <row r="2918" spans="1:17" hidden="1">
      <c r="A2918" s="12">
        <v>46161</v>
      </c>
      <c r="B2918" s="10">
        <v>19</v>
      </c>
      <c r="Q2918" s="10" t="str">
        <f t="shared" si="45"/>
        <v>Incomplete</v>
      </c>
    </row>
    <row r="2919" spans="1:17" hidden="1">
      <c r="A2919" s="12">
        <v>46161</v>
      </c>
      <c r="B2919" s="10">
        <v>20</v>
      </c>
      <c r="Q2919" s="10" t="str">
        <f t="shared" si="45"/>
        <v>Incomplete</v>
      </c>
    </row>
    <row r="2920" spans="1:17" hidden="1">
      <c r="A2920" s="12">
        <v>46161</v>
      </c>
      <c r="B2920" s="10">
        <v>21</v>
      </c>
      <c r="Q2920" s="10" t="str">
        <f t="shared" si="45"/>
        <v>Incomplete</v>
      </c>
    </row>
    <row r="2921" spans="1:17" hidden="1">
      <c r="A2921" s="12">
        <v>46162</v>
      </c>
      <c r="B2921" s="10">
        <v>1</v>
      </c>
      <c r="Q2921" s="10" t="str">
        <f t="shared" si="45"/>
        <v>Incomplete</v>
      </c>
    </row>
    <row r="2922" spans="1:17" hidden="1">
      <c r="A2922" s="12">
        <v>46162</v>
      </c>
      <c r="B2922" s="10">
        <v>2</v>
      </c>
      <c r="Q2922" s="10" t="str">
        <f t="shared" si="45"/>
        <v>Incomplete</v>
      </c>
    </row>
    <row r="2923" spans="1:17" hidden="1">
      <c r="A2923" s="12">
        <v>46162</v>
      </c>
      <c r="B2923" s="10">
        <v>3</v>
      </c>
      <c r="Q2923" s="10" t="str">
        <f t="shared" si="45"/>
        <v>Incomplete</v>
      </c>
    </row>
    <row r="2924" spans="1:17" hidden="1">
      <c r="A2924" s="12">
        <v>46162</v>
      </c>
      <c r="B2924" s="10">
        <v>4</v>
      </c>
      <c r="Q2924" s="10" t="str">
        <f t="shared" si="45"/>
        <v>Incomplete</v>
      </c>
    </row>
    <row r="2925" spans="1:17" hidden="1">
      <c r="A2925" s="12">
        <v>46162</v>
      </c>
      <c r="B2925" s="10">
        <v>5</v>
      </c>
      <c r="Q2925" s="10" t="str">
        <f t="shared" si="45"/>
        <v>Incomplete</v>
      </c>
    </row>
    <row r="2926" spans="1:17" hidden="1">
      <c r="A2926" s="12">
        <v>46162</v>
      </c>
      <c r="B2926" s="10">
        <v>6</v>
      </c>
      <c r="Q2926" s="10" t="str">
        <f t="shared" si="45"/>
        <v>Incomplete</v>
      </c>
    </row>
    <row r="2927" spans="1:17" hidden="1">
      <c r="A2927" s="12">
        <v>46162</v>
      </c>
      <c r="B2927" s="10">
        <v>7</v>
      </c>
      <c r="Q2927" s="10" t="str">
        <f t="shared" si="45"/>
        <v>Incomplete</v>
      </c>
    </row>
    <row r="2928" spans="1:17" hidden="1">
      <c r="A2928" s="12">
        <v>46162</v>
      </c>
      <c r="B2928" s="10">
        <v>8</v>
      </c>
      <c r="Q2928" s="10" t="str">
        <f t="shared" si="45"/>
        <v>Incomplete</v>
      </c>
    </row>
    <row r="2929" spans="1:17" hidden="1">
      <c r="A2929" s="12">
        <v>46162</v>
      </c>
      <c r="B2929" s="10">
        <v>9</v>
      </c>
      <c r="Q2929" s="10" t="str">
        <f t="shared" si="45"/>
        <v>Incomplete</v>
      </c>
    </row>
    <row r="2930" spans="1:17" hidden="1">
      <c r="A2930" s="12">
        <v>46162</v>
      </c>
      <c r="B2930" s="10">
        <v>10</v>
      </c>
      <c r="Q2930" s="10" t="str">
        <f t="shared" si="45"/>
        <v>Incomplete</v>
      </c>
    </row>
    <row r="2931" spans="1:17" hidden="1">
      <c r="A2931" s="12">
        <v>46162</v>
      </c>
      <c r="B2931" s="10">
        <v>11</v>
      </c>
      <c r="Q2931" s="10" t="str">
        <f t="shared" si="45"/>
        <v>Incomplete</v>
      </c>
    </row>
    <row r="2932" spans="1:17" hidden="1">
      <c r="A2932" s="12">
        <v>46162</v>
      </c>
      <c r="B2932" s="10">
        <v>12</v>
      </c>
      <c r="Q2932" s="10" t="str">
        <f t="shared" si="45"/>
        <v>Incomplete</v>
      </c>
    </row>
    <row r="2933" spans="1:17" hidden="1">
      <c r="A2933" s="12">
        <v>46162</v>
      </c>
      <c r="B2933" s="10">
        <v>13</v>
      </c>
      <c r="Q2933" s="10" t="str">
        <f t="shared" si="45"/>
        <v>Incomplete</v>
      </c>
    </row>
    <row r="2934" spans="1:17" hidden="1">
      <c r="A2934" s="12">
        <v>46162</v>
      </c>
      <c r="B2934" s="10">
        <v>14</v>
      </c>
      <c r="Q2934" s="10" t="str">
        <f t="shared" si="45"/>
        <v>Incomplete</v>
      </c>
    </row>
    <row r="2935" spans="1:17" hidden="1">
      <c r="A2935" s="12">
        <v>46162</v>
      </c>
      <c r="B2935" s="10">
        <v>15</v>
      </c>
      <c r="Q2935" s="10" t="str">
        <f t="shared" si="45"/>
        <v>Incomplete</v>
      </c>
    </row>
    <row r="2936" spans="1:17" hidden="1">
      <c r="A2936" s="12">
        <v>46162</v>
      </c>
      <c r="B2936" s="10">
        <v>16</v>
      </c>
      <c r="Q2936" s="10" t="str">
        <f t="shared" si="45"/>
        <v>Incomplete</v>
      </c>
    </row>
    <row r="2937" spans="1:17" hidden="1">
      <c r="A2937" s="12">
        <v>46162</v>
      </c>
      <c r="B2937" s="10">
        <v>17</v>
      </c>
      <c r="Q2937" s="10" t="str">
        <f t="shared" si="45"/>
        <v>Incomplete</v>
      </c>
    </row>
    <row r="2938" spans="1:17" hidden="1">
      <c r="A2938" s="12">
        <v>46162</v>
      </c>
      <c r="B2938" s="10">
        <v>18</v>
      </c>
      <c r="Q2938" s="10" t="str">
        <f t="shared" si="45"/>
        <v>Incomplete</v>
      </c>
    </row>
    <row r="2939" spans="1:17" hidden="1">
      <c r="A2939" s="12">
        <v>46162</v>
      </c>
      <c r="B2939" s="10">
        <v>19</v>
      </c>
      <c r="Q2939" s="10" t="str">
        <f t="shared" si="45"/>
        <v>Incomplete</v>
      </c>
    </row>
    <row r="2940" spans="1:17" hidden="1">
      <c r="A2940" s="12">
        <v>46162</v>
      </c>
      <c r="B2940" s="10">
        <v>20</v>
      </c>
      <c r="Q2940" s="10" t="str">
        <f t="shared" si="45"/>
        <v>Incomplete</v>
      </c>
    </row>
    <row r="2941" spans="1:17" hidden="1">
      <c r="A2941" s="12">
        <v>46162</v>
      </c>
      <c r="B2941" s="10">
        <v>21</v>
      </c>
      <c r="Q2941" s="10" t="str">
        <f t="shared" si="45"/>
        <v>Incomplete</v>
      </c>
    </row>
    <row r="2942" spans="1:17" hidden="1">
      <c r="A2942" s="12">
        <v>46163</v>
      </c>
      <c r="B2942" s="10">
        <v>1</v>
      </c>
      <c r="Q2942" s="10" t="str">
        <f t="shared" si="45"/>
        <v>Incomplete</v>
      </c>
    </row>
    <row r="2943" spans="1:17" hidden="1">
      <c r="A2943" s="12">
        <v>46163</v>
      </c>
      <c r="B2943" s="10">
        <v>2</v>
      </c>
      <c r="Q2943" s="10" t="str">
        <f t="shared" si="45"/>
        <v>Incomplete</v>
      </c>
    </row>
    <row r="2944" spans="1:17" hidden="1">
      <c r="A2944" s="12">
        <v>46163</v>
      </c>
      <c r="B2944" s="10">
        <v>3</v>
      </c>
      <c r="Q2944" s="10" t="str">
        <f t="shared" si="45"/>
        <v>Incomplete</v>
      </c>
    </row>
    <row r="2945" spans="1:17" hidden="1">
      <c r="A2945" s="12">
        <v>46163</v>
      </c>
      <c r="B2945" s="10">
        <v>4</v>
      </c>
      <c r="Q2945" s="10" t="str">
        <f t="shared" si="45"/>
        <v>Incomplete</v>
      </c>
    </row>
    <row r="2946" spans="1:17" hidden="1">
      <c r="A2946" s="12">
        <v>46163</v>
      </c>
      <c r="B2946" s="10">
        <v>5</v>
      </c>
      <c r="Q2946" s="10" t="str">
        <f t="shared" ref="Q2946:Q3009" si="46">IF(AND(C2946&lt;&gt;"",J2946&lt;&gt;"",K2946&lt;&gt;"",L2946&lt;&gt;"",O2946="Yes"),"Complete","Incomplete")</f>
        <v>Incomplete</v>
      </c>
    </row>
    <row r="2947" spans="1:17" hidden="1">
      <c r="A2947" s="12">
        <v>46163</v>
      </c>
      <c r="B2947" s="10">
        <v>6</v>
      </c>
      <c r="Q2947" s="10" t="str">
        <f t="shared" si="46"/>
        <v>Incomplete</v>
      </c>
    </row>
    <row r="2948" spans="1:17" hidden="1">
      <c r="A2948" s="12">
        <v>46163</v>
      </c>
      <c r="B2948" s="10">
        <v>7</v>
      </c>
      <c r="Q2948" s="10" t="str">
        <f t="shared" si="46"/>
        <v>Incomplete</v>
      </c>
    </row>
    <row r="2949" spans="1:17" hidden="1">
      <c r="A2949" s="12">
        <v>46163</v>
      </c>
      <c r="B2949" s="10">
        <v>8</v>
      </c>
      <c r="Q2949" s="10" t="str">
        <f t="shared" si="46"/>
        <v>Incomplete</v>
      </c>
    </row>
    <row r="2950" spans="1:17" hidden="1">
      <c r="A2950" s="12">
        <v>46163</v>
      </c>
      <c r="B2950" s="10">
        <v>9</v>
      </c>
      <c r="Q2950" s="10" t="str">
        <f t="shared" si="46"/>
        <v>Incomplete</v>
      </c>
    </row>
    <row r="2951" spans="1:17" hidden="1">
      <c r="A2951" s="12">
        <v>46163</v>
      </c>
      <c r="B2951" s="10">
        <v>10</v>
      </c>
      <c r="Q2951" s="10" t="str">
        <f t="shared" si="46"/>
        <v>Incomplete</v>
      </c>
    </row>
    <row r="2952" spans="1:17" hidden="1">
      <c r="A2952" s="12">
        <v>46163</v>
      </c>
      <c r="B2952" s="10">
        <v>11</v>
      </c>
      <c r="Q2952" s="10" t="str">
        <f t="shared" si="46"/>
        <v>Incomplete</v>
      </c>
    </row>
    <row r="2953" spans="1:17" hidden="1">
      <c r="A2953" s="12">
        <v>46163</v>
      </c>
      <c r="B2953" s="10">
        <v>12</v>
      </c>
      <c r="Q2953" s="10" t="str">
        <f t="shared" si="46"/>
        <v>Incomplete</v>
      </c>
    </row>
    <row r="2954" spans="1:17" hidden="1">
      <c r="A2954" s="12">
        <v>46163</v>
      </c>
      <c r="B2954" s="10">
        <v>13</v>
      </c>
      <c r="Q2954" s="10" t="str">
        <f t="shared" si="46"/>
        <v>Incomplete</v>
      </c>
    </row>
    <row r="2955" spans="1:17" hidden="1">
      <c r="A2955" s="12">
        <v>46163</v>
      </c>
      <c r="B2955" s="10">
        <v>14</v>
      </c>
      <c r="Q2955" s="10" t="str">
        <f t="shared" si="46"/>
        <v>Incomplete</v>
      </c>
    </row>
    <row r="2956" spans="1:17" hidden="1">
      <c r="A2956" s="12">
        <v>46163</v>
      </c>
      <c r="B2956" s="10">
        <v>15</v>
      </c>
      <c r="Q2956" s="10" t="str">
        <f t="shared" si="46"/>
        <v>Incomplete</v>
      </c>
    </row>
    <row r="2957" spans="1:17" hidden="1">
      <c r="A2957" s="12">
        <v>46163</v>
      </c>
      <c r="B2957" s="10">
        <v>16</v>
      </c>
      <c r="Q2957" s="10" t="str">
        <f t="shared" si="46"/>
        <v>Incomplete</v>
      </c>
    </row>
    <row r="2958" spans="1:17" hidden="1">
      <c r="A2958" s="12">
        <v>46163</v>
      </c>
      <c r="B2958" s="10">
        <v>17</v>
      </c>
      <c r="Q2958" s="10" t="str">
        <f t="shared" si="46"/>
        <v>Incomplete</v>
      </c>
    </row>
    <row r="2959" spans="1:17" hidden="1">
      <c r="A2959" s="12">
        <v>46163</v>
      </c>
      <c r="B2959" s="10">
        <v>18</v>
      </c>
      <c r="Q2959" s="10" t="str">
        <f t="shared" si="46"/>
        <v>Incomplete</v>
      </c>
    </row>
    <row r="2960" spans="1:17" hidden="1">
      <c r="A2960" s="12">
        <v>46163</v>
      </c>
      <c r="B2960" s="10">
        <v>19</v>
      </c>
      <c r="Q2960" s="10" t="str">
        <f t="shared" si="46"/>
        <v>Incomplete</v>
      </c>
    </row>
    <row r="2961" spans="1:17" hidden="1">
      <c r="A2961" s="12">
        <v>46163</v>
      </c>
      <c r="B2961" s="10">
        <v>20</v>
      </c>
      <c r="Q2961" s="10" t="str">
        <f t="shared" si="46"/>
        <v>Incomplete</v>
      </c>
    </row>
    <row r="2962" spans="1:17" hidden="1">
      <c r="A2962" s="12">
        <v>46163</v>
      </c>
      <c r="B2962" s="10">
        <v>21</v>
      </c>
      <c r="Q2962" s="10" t="str">
        <f t="shared" si="46"/>
        <v>Incomplete</v>
      </c>
    </row>
    <row r="2963" spans="1:17" hidden="1">
      <c r="A2963" s="12">
        <v>46164</v>
      </c>
      <c r="B2963" s="10">
        <v>1</v>
      </c>
      <c r="Q2963" s="10" t="str">
        <f t="shared" si="46"/>
        <v>Incomplete</v>
      </c>
    </row>
    <row r="2964" spans="1:17" hidden="1">
      <c r="A2964" s="12">
        <v>46164</v>
      </c>
      <c r="B2964" s="10">
        <v>2</v>
      </c>
      <c r="Q2964" s="10" t="str">
        <f t="shared" si="46"/>
        <v>Incomplete</v>
      </c>
    </row>
    <row r="2965" spans="1:17" hidden="1">
      <c r="A2965" s="12">
        <v>46164</v>
      </c>
      <c r="B2965" s="10">
        <v>3</v>
      </c>
      <c r="Q2965" s="10" t="str">
        <f t="shared" si="46"/>
        <v>Incomplete</v>
      </c>
    </row>
    <row r="2966" spans="1:17" hidden="1">
      <c r="A2966" s="12">
        <v>46164</v>
      </c>
      <c r="B2966" s="10">
        <v>4</v>
      </c>
      <c r="Q2966" s="10" t="str">
        <f t="shared" si="46"/>
        <v>Incomplete</v>
      </c>
    </row>
    <row r="2967" spans="1:17" hidden="1">
      <c r="A2967" s="12">
        <v>46164</v>
      </c>
      <c r="B2967" s="10">
        <v>5</v>
      </c>
      <c r="Q2967" s="10" t="str">
        <f t="shared" si="46"/>
        <v>Incomplete</v>
      </c>
    </row>
    <row r="2968" spans="1:17" hidden="1">
      <c r="A2968" s="12">
        <v>46164</v>
      </c>
      <c r="B2968" s="10">
        <v>6</v>
      </c>
      <c r="Q2968" s="10" t="str">
        <f t="shared" si="46"/>
        <v>Incomplete</v>
      </c>
    </row>
    <row r="2969" spans="1:17" hidden="1">
      <c r="A2969" s="12">
        <v>46164</v>
      </c>
      <c r="B2969" s="10">
        <v>7</v>
      </c>
      <c r="Q2969" s="10" t="str">
        <f t="shared" si="46"/>
        <v>Incomplete</v>
      </c>
    </row>
    <row r="2970" spans="1:17" hidden="1">
      <c r="A2970" s="12">
        <v>46164</v>
      </c>
      <c r="B2970" s="10">
        <v>8</v>
      </c>
      <c r="Q2970" s="10" t="str">
        <f t="shared" si="46"/>
        <v>Incomplete</v>
      </c>
    </row>
    <row r="2971" spans="1:17" hidden="1">
      <c r="A2971" s="12">
        <v>46164</v>
      </c>
      <c r="B2971" s="10">
        <v>9</v>
      </c>
      <c r="Q2971" s="10" t="str">
        <f t="shared" si="46"/>
        <v>Incomplete</v>
      </c>
    </row>
    <row r="2972" spans="1:17" hidden="1">
      <c r="A2972" s="12">
        <v>46164</v>
      </c>
      <c r="B2972" s="10">
        <v>10</v>
      </c>
      <c r="Q2972" s="10" t="str">
        <f t="shared" si="46"/>
        <v>Incomplete</v>
      </c>
    </row>
    <row r="2973" spans="1:17" hidden="1">
      <c r="A2973" s="12">
        <v>46164</v>
      </c>
      <c r="B2973" s="10">
        <v>11</v>
      </c>
      <c r="Q2973" s="10" t="str">
        <f t="shared" si="46"/>
        <v>Incomplete</v>
      </c>
    </row>
    <row r="2974" spans="1:17" hidden="1">
      <c r="A2974" s="12">
        <v>46164</v>
      </c>
      <c r="B2974" s="10">
        <v>12</v>
      </c>
      <c r="Q2974" s="10" t="str">
        <f t="shared" si="46"/>
        <v>Incomplete</v>
      </c>
    </row>
    <row r="2975" spans="1:17" hidden="1">
      <c r="A2975" s="12">
        <v>46164</v>
      </c>
      <c r="B2975" s="10">
        <v>13</v>
      </c>
      <c r="Q2975" s="10" t="str">
        <f t="shared" si="46"/>
        <v>Incomplete</v>
      </c>
    </row>
    <row r="2976" spans="1:17" hidden="1">
      <c r="A2976" s="12">
        <v>46164</v>
      </c>
      <c r="B2976" s="10">
        <v>14</v>
      </c>
      <c r="Q2976" s="10" t="str">
        <f t="shared" si="46"/>
        <v>Incomplete</v>
      </c>
    </row>
    <row r="2977" spans="1:17" hidden="1">
      <c r="A2977" s="12">
        <v>46164</v>
      </c>
      <c r="B2977" s="10">
        <v>15</v>
      </c>
      <c r="Q2977" s="10" t="str">
        <f t="shared" si="46"/>
        <v>Incomplete</v>
      </c>
    </row>
    <row r="2978" spans="1:17" hidden="1">
      <c r="A2978" s="12">
        <v>46164</v>
      </c>
      <c r="B2978" s="10">
        <v>16</v>
      </c>
      <c r="Q2978" s="10" t="str">
        <f t="shared" si="46"/>
        <v>Incomplete</v>
      </c>
    </row>
    <row r="2979" spans="1:17" hidden="1">
      <c r="A2979" s="12">
        <v>46164</v>
      </c>
      <c r="B2979" s="10">
        <v>17</v>
      </c>
      <c r="Q2979" s="10" t="str">
        <f t="shared" si="46"/>
        <v>Incomplete</v>
      </c>
    </row>
    <row r="2980" spans="1:17" hidden="1">
      <c r="A2980" s="12">
        <v>46164</v>
      </c>
      <c r="B2980" s="10">
        <v>18</v>
      </c>
      <c r="Q2980" s="10" t="str">
        <f t="shared" si="46"/>
        <v>Incomplete</v>
      </c>
    </row>
    <row r="2981" spans="1:17" hidden="1">
      <c r="A2981" s="12">
        <v>46164</v>
      </c>
      <c r="B2981" s="10">
        <v>19</v>
      </c>
      <c r="Q2981" s="10" t="str">
        <f t="shared" si="46"/>
        <v>Incomplete</v>
      </c>
    </row>
    <row r="2982" spans="1:17" hidden="1">
      <c r="A2982" s="12">
        <v>46164</v>
      </c>
      <c r="B2982" s="10">
        <v>20</v>
      </c>
      <c r="Q2982" s="10" t="str">
        <f t="shared" si="46"/>
        <v>Incomplete</v>
      </c>
    </row>
    <row r="2983" spans="1:17" hidden="1">
      <c r="A2983" s="12">
        <v>46164</v>
      </c>
      <c r="B2983" s="10">
        <v>21</v>
      </c>
      <c r="Q2983" s="10" t="str">
        <f t="shared" si="46"/>
        <v>Incomplete</v>
      </c>
    </row>
    <row r="2984" spans="1:17" hidden="1">
      <c r="A2984" s="12">
        <v>46165</v>
      </c>
      <c r="B2984" s="10">
        <v>1</v>
      </c>
      <c r="Q2984" s="10" t="str">
        <f t="shared" si="46"/>
        <v>Incomplete</v>
      </c>
    </row>
    <row r="2985" spans="1:17" hidden="1">
      <c r="A2985" s="12">
        <v>46165</v>
      </c>
      <c r="B2985" s="10">
        <v>2</v>
      </c>
      <c r="Q2985" s="10" t="str">
        <f t="shared" si="46"/>
        <v>Incomplete</v>
      </c>
    </row>
    <row r="2986" spans="1:17" hidden="1">
      <c r="A2986" s="12">
        <v>46165</v>
      </c>
      <c r="B2986" s="10">
        <v>3</v>
      </c>
      <c r="Q2986" s="10" t="str">
        <f t="shared" si="46"/>
        <v>Incomplete</v>
      </c>
    </row>
    <row r="2987" spans="1:17" hidden="1">
      <c r="A2987" s="12">
        <v>46165</v>
      </c>
      <c r="B2987" s="10">
        <v>4</v>
      </c>
      <c r="Q2987" s="10" t="str">
        <f t="shared" si="46"/>
        <v>Incomplete</v>
      </c>
    </row>
    <row r="2988" spans="1:17" hidden="1">
      <c r="A2988" s="12">
        <v>46165</v>
      </c>
      <c r="B2988" s="10">
        <v>5</v>
      </c>
      <c r="Q2988" s="10" t="str">
        <f t="shared" si="46"/>
        <v>Incomplete</v>
      </c>
    </row>
    <row r="2989" spans="1:17" hidden="1">
      <c r="A2989" s="12">
        <v>46165</v>
      </c>
      <c r="B2989" s="10">
        <v>6</v>
      </c>
      <c r="Q2989" s="10" t="str">
        <f t="shared" si="46"/>
        <v>Incomplete</v>
      </c>
    </row>
    <row r="2990" spans="1:17" hidden="1">
      <c r="A2990" s="12">
        <v>46165</v>
      </c>
      <c r="B2990" s="10">
        <v>7</v>
      </c>
      <c r="Q2990" s="10" t="str">
        <f t="shared" si="46"/>
        <v>Incomplete</v>
      </c>
    </row>
    <row r="2991" spans="1:17" hidden="1">
      <c r="A2991" s="12">
        <v>46165</v>
      </c>
      <c r="B2991" s="10">
        <v>8</v>
      </c>
      <c r="Q2991" s="10" t="str">
        <f t="shared" si="46"/>
        <v>Incomplete</v>
      </c>
    </row>
    <row r="2992" spans="1:17" hidden="1">
      <c r="A2992" s="12">
        <v>46165</v>
      </c>
      <c r="B2992" s="10">
        <v>9</v>
      </c>
      <c r="Q2992" s="10" t="str">
        <f t="shared" si="46"/>
        <v>Incomplete</v>
      </c>
    </row>
    <row r="2993" spans="1:17" hidden="1">
      <c r="A2993" s="12">
        <v>46165</v>
      </c>
      <c r="B2993" s="10">
        <v>10</v>
      </c>
      <c r="Q2993" s="10" t="str">
        <f t="shared" si="46"/>
        <v>Incomplete</v>
      </c>
    </row>
    <row r="2994" spans="1:17" hidden="1">
      <c r="A2994" s="12">
        <v>46165</v>
      </c>
      <c r="B2994" s="10">
        <v>11</v>
      </c>
      <c r="Q2994" s="10" t="str">
        <f t="shared" si="46"/>
        <v>Incomplete</v>
      </c>
    </row>
    <row r="2995" spans="1:17" hidden="1">
      <c r="A2995" s="12">
        <v>46165</v>
      </c>
      <c r="B2995" s="10">
        <v>12</v>
      </c>
      <c r="Q2995" s="10" t="str">
        <f t="shared" si="46"/>
        <v>Incomplete</v>
      </c>
    </row>
    <row r="2996" spans="1:17" hidden="1">
      <c r="A2996" s="12">
        <v>46165</v>
      </c>
      <c r="B2996" s="10">
        <v>13</v>
      </c>
      <c r="Q2996" s="10" t="str">
        <f t="shared" si="46"/>
        <v>Incomplete</v>
      </c>
    </row>
    <row r="2997" spans="1:17" hidden="1">
      <c r="A2997" s="12">
        <v>46165</v>
      </c>
      <c r="B2997" s="10">
        <v>14</v>
      </c>
      <c r="Q2997" s="10" t="str">
        <f t="shared" si="46"/>
        <v>Incomplete</v>
      </c>
    </row>
    <row r="2998" spans="1:17" hidden="1">
      <c r="A2998" s="12">
        <v>46165</v>
      </c>
      <c r="B2998" s="10">
        <v>15</v>
      </c>
      <c r="Q2998" s="10" t="str">
        <f t="shared" si="46"/>
        <v>Incomplete</v>
      </c>
    </row>
    <row r="2999" spans="1:17" hidden="1">
      <c r="A2999" s="12">
        <v>46165</v>
      </c>
      <c r="B2999" s="10">
        <v>16</v>
      </c>
      <c r="Q2999" s="10" t="str">
        <f t="shared" si="46"/>
        <v>Incomplete</v>
      </c>
    </row>
    <row r="3000" spans="1:17" hidden="1">
      <c r="A3000" s="12">
        <v>46165</v>
      </c>
      <c r="B3000" s="10">
        <v>17</v>
      </c>
      <c r="Q3000" s="10" t="str">
        <f t="shared" si="46"/>
        <v>Incomplete</v>
      </c>
    </row>
    <row r="3001" spans="1:17" hidden="1">
      <c r="A3001" s="12">
        <v>46165</v>
      </c>
      <c r="B3001" s="10">
        <v>18</v>
      </c>
      <c r="Q3001" s="10" t="str">
        <f t="shared" si="46"/>
        <v>Incomplete</v>
      </c>
    </row>
    <row r="3002" spans="1:17" hidden="1">
      <c r="A3002" s="12">
        <v>46165</v>
      </c>
      <c r="B3002" s="10">
        <v>19</v>
      </c>
      <c r="Q3002" s="10" t="str">
        <f t="shared" si="46"/>
        <v>Incomplete</v>
      </c>
    </row>
    <row r="3003" spans="1:17" hidden="1">
      <c r="A3003" s="12">
        <v>46165</v>
      </c>
      <c r="B3003" s="10">
        <v>20</v>
      </c>
      <c r="Q3003" s="10" t="str">
        <f t="shared" si="46"/>
        <v>Incomplete</v>
      </c>
    </row>
    <row r="3004" spans="1:17" hidden="1">
      <c r="A3004" s="12">
        <v>46165</v>
      </c>
      <c r="B3004" s="10">
        <v>21</v>
      </c>
      <c r="Q3004" s="10" t="str">
        <f t="shared" si="46"/>
        <v>Incomplete</v>
      </c>
    </row>
    <row r="3005" spans="1:17" hidden="1">
      <c r="A3005" s="12">
        <v>46166</v>
      </c>
      <c r="B3005" s="10">
        <v>1</v>
      </c>
      <c r="Q3005" s="10" t="str">
        <f t="shared" si="46"/>
        <v>Incomplete</v>
      </c>
    </row>
    <row r="3006" spans="1:17" hidden="1">
      <c r="A3006" s="12">
        <v>46166</v>
      </c>
      <c r="B3006" s="10">
        <v>2</v>
      </c>
      <c r="Q3006" s="10" t="str">
        <f t="shared" si="46"/>
        <v>Incomplete</v>
      </c>
    </row>
    <row r="3007" spans="1:17" hidden="1">
      <c r="A3007" s="12">
        <v>46166</v>
      </c>
      <c r="B3007" s="10">
        <v>3</v>
      </c>
      <c r="Q3007" s="10" t="str">
        <f t="shared" si="46"/>
        <v>Incomplete</v>
      </c>
    </row>
    <row r="3008" spans="1:17" hidden="1">
      <c r="A3008" s="12">
        <v>46166</v>
      </c>
      <c r="B3008" s="10">
        <v>4</v>
      </c>
      <c r="Q3008" s="10" t="str">
        <f t="shared" si="46"/>
        <v>Incomplete</v>
      </c>
    </row>
    <row r="3009" spans="1:17" hidden="1">
      <c r="A3009" s="12">
        <v>46166</v>
      </c>
      <c r="B3009" s="10">
        <v>5</v>
      </c>
      <c r="Q3009" s="10" t="str">
        <f t="shared" si="46"/>
        <v>Incomplete</v>
      </c>
    </row>
    <row r="3010" spans="1:17" hidden="1">
      <c r="A3010" s="12">
        <v>46166</v>
      </c>
      <c r="B3010" s="10">
        <v>6</v>
      </c>
      <c r="Q3010" s="10" t="str">
        <f t="shared" ref="Q3010:Q3073" si="47">IF(AND(C3010&lt;&gt;"",J3010&lt;&gt;"",K3010&lt;&gt;"",L3010&lt;&gt;"",O3010="Yes"),"Complete","Incomplete")</f>
        <v>Incomplete</v>
      </c>
    </row>
    <row r="3011" spans="1:17" hidden="1">
      <c r="A3011" s="12">
        <v>46166</v>
      </c>
      <c r="B3011" s="10">
        <v>7</v>
      </c>
      <c r="Q3011" s="10" t="str">
        <f t="shared" si="47"/>
        <v>Incomplete</v>
      </c>
    </row>
    <row r="3012" spans="1:17" hidden="1">
      <c r="A3012" s="12">
        <v>46166</v>
      </c>
      <c r="B3012" s="10">
        <v>8</v>
      </c>
      <c r="Q3012" s="10" t="str">
        <f t="shared" si="47"/>
        <v>Incomplete</v>
      </c>
    </row>
    <row r="3013" spans="1:17" hidden="1">
      <c r="A3013" s="12">
        <v>46166</v>
      </c>
      <c r="B3013" s="10">
        <v>9</v>
      </c>
      <c r="Q3013" s="10" t="str">
        <f t="shared" si="47"/>
        <v>Incomplete</v>
      </c>
    </row>
    <row r="3014" spans="1:17" hidden="1">
      <c r="A3014" s="12">
        <v>46166</v>
      </c>
      <c r="B3014" s="10">
        <v>10</v>
      </c>
      <c r="Q3014" s="10" t="str">
        <f t="shared" si="47"/>
        <v>Incomplete</v>
      </c>
    </row>
    <row r="3015" spans="1:17" hidden="1">
      <c r="A3015" s="12">
        <v>46166</v>
      </c>
      <c r="B3015" s="10">
        <v>11</v>
      </c>
      <c r="Q3015" s="10" t="str">
        <f t="shared" si="47"/>
        <v>Incomplete</v>
      </c>
    </row>
    <row r="3016" spans="1:17" hidden="1">
      <c r="A3016" s="12">
        <v>46166</v>
      </c>
      <c r="B3016" s="10">
        <v>12</v>
      </c>
      <c r="Q3016" s="10" t="str">
        <f t="shared" si="47"/>
        <v>Incomplete</v>
      </c>
    </row>
    <row r="3017" spans="1:17" hidden="1">
      <c r="A3017" s="12">
        <v>46166</v>
      </c>
      <c r="B3017" s="10">
        <v>13</v>
      </c>
      <c r="Q3017" s="10" t="str">
        <f t="shared" si="47"/>
        <v>Incomplete</v>
      </c>
    </row>
    <row r="3018" spans="1:17" hidden="1">
      <c r="A3018" s="12">
        <v>46166</v>
      </c>
      <c r="B3018" s="10">
        <v>14</v>
      </c>
      <c r="Q3018" s="10" t="str">
        <f t="shared" si="47"/>
        <v>Incomplete</v>
      </c>
    </row>
    <row r="3019" spans="1:17" hidden="1">
      <c r="A3019" s="12">
        <v>46166</v>
      </c>
      <c r="B3019" s="10">
        <v>15</v>
      </c>
      <c r="Q3019" s="10" t="str">
        <f t="shared" si="47"/>
        <v>Incomplete</v>
      </c>
    </row>
    <row r="3020" spans="1:17" hidden="1">
      <c r="A3020" s="12">
        <v>46166</v>
      </c>
      <c r="B3020" s="10">
        <v>16</v>
      </c>
      <c r="Q3020" s="10" t="str">
        <f t="shared" si="47"/>
        <v>Incomplete</v>
      </c>
    </row>
    <row r="3021" spans="1:17" hidden="1">
      <c r="A3021" s="12">
        <v>46166</v>
      </c>
      <c r="B3021" s="10">
        <v>17</v>
      </c>
      <c r="Q3021" s="10" t="str">
        <f t="shared" si="47"/>
        <v>Incomplete</v>
      </c>
    </row>
    <row r="3022" spans="1:17" hidden="1">
      <c r="A3022" s="12">
        <v>46166</v>
      </c>
      <c r="B3022" s="10">
        <v>18</v>
      </c>
      <c r="Q3022" s="10" t="str">
        <f t="shared" si="47"/>
        <v>Incomplete</v>
      </c>
    </row>
    <row r="3023" spans="1:17" hidden="1">
      <c r="A3023" s="12">
        <v>46166</v>
      </c>
      <c r="B3023" s="10">
        <v>19</v>
      </c>
      <c r="Q3023" s="10" t="str">
        <f t="shared" si="47"/>
        <v>Incomplete</v>
      </c>
    </row>
    <row r="3024" spans="1:17" hidden="1">
      <c r="A3024" s="12">
        <v>46166</v>
      </c>
      <c r="B3024" s="10">
        <v>20</v>
      </c>
      <c r="Q3024" s="10" t="str">
        <f t="shared" si="47"/>
        <v>Incomplete</v>
      </c>
    </row>
    <row r="3025" spans="1:17" hidden="1">
      <c r="A3025" s="12">
        <v>46166</v>
      </c>
      <c r="B3025" s="10">
        <v>21</v>
      </c>
      <c r="Q3025" s="10" t="str">
        <f t="shared" si="47"/>
        <v>Incomplete</v>
      </c>
    </row>
    <row r="3026" spans="1:17" hidden="1">
      <c r="A3026" s="12">
        <v>46167</v>
      </c>
      <c r="B3026" s="10">
        <v>1</v>
      </c>
      <c r="Q3026" s="10" t="str">
        <f t="shared" si="47"/>
        <v>Incomplete</v>
      </c>
    </row>
    <row r="3027" spans="1:17" hidden="1">
      <c r="A3027" s="12">
        <v>46167</v>
      </c>
      <c r="B3027" s="10">
        <v>2</v>
      </c>
      <c r="Q3027" s="10" t="str">
        <f t="shared" si="47"/>
        <v>Incomplete</v>
      </c>
    </row>
    <row r="3028" spans="1:17" hidden="1">
      <c r="A3028" s="12">
        <v>46167</v>
      </c>
      <c r="B3028" s="10">
        <v>3</v>
      </c>
      <c r="Q3028" s="10" t="str">
        <f t="shared" si="47"/>
        <v>Incomplete</v>
      </c>
    </row>
    <row r="3029" spans="1:17" hidden="1">
      <c r="A3029" s="12">
        <v>46167</v>
      </c>
      <c r="B3029" s="10">
        <v>4</v>
      </c>
      <c r="Q3029" s="10" t="str">
        <f t="shared" si="47"/>
        <v>Incomplete</v>
      </c>
    </row>
    <row r="3030" spans="1:17" hidden="1">
      <c r="A3030" s="12">
        <v>46167</v>
      </c>
      <c r="B3030" s="10">
        <v>5</v>
      </c>
      <c r="Q3030" s="10" t="str">
        <f t="shared" si="47"/>
        <v>Incomplete</v>
      </c>
    </row>
    <row r="3031" spans="1:17" hidden="1">
      <c r="A3031" s="12">
        <v>46167</v>
      </c>
      <c r="B3031" s="10">
        <v>6</v>
      </c>
      <c r="Q3031" s="10" t="str">
        <f t="shared" si="47"/>
        <v>Incomplete</v>
      </c>
    </row>
    <row r="3032" spans="1:17" hidden="1">
      <c r="A3032" s="12">
        <v>46167</v>
      </c>
      <c r="B3032" s="10">
        <v>7</v>
      </c>
      <c r="Q3032" s="10" t="str">
        <f t="shared" si="47"/>
        <v>Incomplete</v>
      </c>
    </row>
    <row r="3033" spans="1:17" hidden="1">
      <c r="A3033" s="12">
        <v>46167</v>
      </c>
      <c r="B3033" s="10">
        <v>8</v>
      </c>
      <c r="Q3033" s="10" t="str">
        <f t="shared" si="47"/>
        <v>Incomplete</v>
      </c>
    </row>
    <row r="3034" spans="1:17" hidden="1">
      <c r="A3034" s="12">
        <v>46167</v>
      </c>
      <c r="B3034" s="10">
        <v>9</v>
      </c>
      <c r="Q3034" s="10" t="str">
        <f t="shared" si="47"/>
        <v>Incomplete</v>
      </c>
    </row>
    <row r="3035" spans="1:17" hidden="1">
      <c r="A3035" s="12">
        <v>46167</v>
      </c>
      <c r="B3035" s="10">
        <v>10</v>
      </c>
      <c r="Q3035" s="10" t="str">
        <f t="shared" si="47"/>
        <v>Incomplete</v>
      </c>
    </row>
    <row r="3036" spans="1:17" hidden="1">
      <c r="A3036" s="12">
        <v>46167</v>
      </c>
      <c r="B3036" s="10">
        <v>11</v>
      </c>
      <c r="Q3036" s="10" t="str">
        <f t="shared" si="47"/>
        <v>Incomplete</v>
      </c>
    </row>
    <row r="3037" spans="1:17" hidden="1">
      <c r="A3037" s="12">
        <v>46167</v>
      </c>
      <c r="B3037" s="10">
        <v>12</v>
      </c>
      <c r="Q3037" s="10" t="str">
        <f t="shared" si="47"/>
        <v>Incomplete</v>
      </c>
    </row>
    <row r="3038" spans="1:17" hidden="1">
      <c r="A3038" s="12">
        <v>46167</v>
      </c>
      <c r="B3038" s="10">
        <v>13</v>
      </c>
      <c r="Q3038" s="10" t="str">
        <f t="shared" si="47"/>
        <v>Incomplete</v>
      </c>
    </row>
    <row r="3039" spans="1:17" hidden="1">
      <c r="A3039" s="12">
        <v>46167</v>
      </c>
      <c r="B3039" s="10">
        <v>14</v>
      </c>
      <c r="Q3039" s="10" t="str">
        <f t="shared" si="47"/>
        <v>Incomplete</v>
      </c>
    </row>
    <row r="3040" spans="1:17" hidden="1">
      <c r="A3040" s="12">
        <v>46167</v>
      </c>
      <c r="B3040" s="10">
        <v>15</v>
      </c>
      <c r="Q3040" s="10" t="str">
        <f t="shared" si="47"/>
        <v>Incomplete</v>
      </c>
    </row>
    <row r="3041" spans="1:17" hidden="1">
      <c r="A3041" s="12">
        <v>46167</v>
      </c>
      <c r="B3041" s="10">
        <v>16</v>
      </c>
      <c r="Q3041" s="10" t="str">
        <f t="shared" si="47"/>
        <v>Incomplete</v>
      </c>
    </row>
    <row r="3042" spans="1:17" hidden="1">
      <c r="A3042" s="12">
        <v>46167</v>
      </c>
      <c r="B3042" s="10">
        <v>17</v>
      </c>
      <c r="Q3042" s="10" t="str">
        <f t="shared" si="47"/>
        <v>Incomplete</v>
      </c>
    </row>
    <row r="3043" spans="1:17" hidden="1">
      <c r="A3043" s="12">
        <v>46167</v>
      </c>
      <c r="B3043" s="10">
        <v>18</v>
      </c>
      <c r="Q3043" s="10" t="str">
        <f t="shared" si="47"/>
        <v>Incomplete</v>
      </c>
    </row>
    <row r="3044" spans="1:17" hidden="1">
      <c r="A3044" s="12">
        <v>46167</v>
      </c>
      <c r="B3044" s="10">
        <v>19</v>
      </c>
      <c r="Q3044" s="10" t="str">
        <f t="shared" si="47"/>
        <v>Incomplete</v>
      </c>
    </row>
    <row r="3045" spans="1:17" hidden="1">
      <c r="A3045" s="12">
        <v>46167</v>
      </c>
      <c r="B3045" s="10">
        <v>20</v>
      </c>
      <c r="Q3045" s="10" t="str">
        <f t="shared" si="47"/>
        <v>Incomplete</v>
      </c>
    </row>
    <row r="3046" spans="1:17" hidden="1">
      <c r="A3046" s="12">
        <v>46167</v>
      </c>
      <c r="B3046" s="10">
        <v>21</v>
      </c>
      <c r="Q3046" s="10" t="str">
        <f t="shared" si="47"/>
        <v>Incomplete</v>
      </c>
    </row>
    <row r="3047" spans="1:17" hidden="1">
      <c r="A3047" s="12">
        <v>46168</v>
      </c>
      <c r="B3047" s="10">
        <v>1</v>
      </c>
      <c r="Q3047" s="10" t="str">
        <f t="shared" si="47"/>
        <v>Incomplete</v>
      </c>
    </row>
    <row r="3048" spans="1:17" hidden="1">
      <c r="A3048" s="12">
        <v>46168</v>
      </c>
      <c r="B3048" s="10">
        <v>2</v>
      </c>
      <c r="Q3048" s="10" t="str">
        <f t="shared" si="47"/>
        <v>Incomplete</v>
      </c>
    </row>
    <row r="3049" spans="1:17" hidden="1">
      <c r="A3049" s="12">
        <v>46168</v>
      </c>
      <c r="B3049" s="10">
        <v>3</v>
      </c>
      <c r="Q3049" s="10" t="str">
        <f t="shared" si="47"/>
        <v>Incomplete</v>
      </c>
    </row>
    <row r="3050" spans="1:17" hidden="1">
      <c r="A3050" s="12">
        <v>46168</v>
      </c>
      <c r="B3050" s="10">
        <v>4</v>
      </c>
      <c r="Q3050" s="10" t="str">
        <f t="shared" si="47"/>
        <v>Incomplete</v>
      </c>
    </row>
    <row r="3051" spans="1:17" hidden="1">
      <c r="A3051" s="12">
        <v>46168</v>
      </c>
      <c r="B3051" s="10">
        <v>5</v>
      </c>
      <c r="Q3051" s="10" t="str">
        <f t="shared" si="47"/>
        <v>Incomplete</v>
      </c>
    </row>
    <row r="3052" spans="1:17" hidden="1">
      <c r="A3052" s="12">
        <v>46168</v>
      </c>
      <c r="B3052" s="10">
        <v>6</v>
      </c>
      <c r="Q3052" s="10" t="str">
        <f t="shared" si="47"/>
        <v>Incomplete</v>
      </c>
    </row>
    <row r="3053" spans="1:17" hidden="1">
      <c r="A3053" s="12">
        <v>46168</v>
      </c>
      <c r="B3053" s="10">
        <v>7</v>
      </c>
      <c r="Q3053" s="10" t="str">
        <f t="shared" si="47"/>
        <v>Incomplete</v>
      </c>
    </row>
    <row r="3054" spans="1:17" hidden="1">
      <c r="A3054" s="12">
        <v>46168</v>
      </c>
      <c r="B3054" s="10">
        <v>8</v>
      </c>
      <c r="Q3054" s="10" t="str">
        <f t="shared" si="47"/>
        <v>Incomplete</v>
      </c>
    </row>
    <row r="3055" spans="1:17" hidden="1">
      <c r="A3055" s="12">
        <v>46168</v>
      </c>
      <c r="B3055" s="10">
        <v>9</v>
      </c>
      <c r="Q3055" s="10" t="str">
        <f t="shared" si="47"/>
        <v>Incomplete</v>
      </c>
    </row>
    <row r="3056" spans="1:17" hidden="1">
      <c r="A3056" s="12">
        <v>46168</v>
      </c>
      <c r="B3056" s="10">
        <v>10</v>
      </c>
      <c r="Q3056" s="10" t="str">
        <f t="shared" si="47"/>
        <v>Incomplete</v>
      </c>
    </row>
    <row r="3057" spans="1:17" hidden="1">
      <c r="A3057" s="12">
        <v>46168</v>
      </c>
      <c r="B3057" s="10">
        <v>11</v>
      </c>
      <c r="Q3057" s="10" t="str">
        <f t="shared" si="47"/>
        <v>Incomplete</v>
      </c>
    </row>
    <row r="3058" spans="1:17" hidden="1">
      <c r="A3058" s="12">
        <v>46168</v>
      </c>
      <c r="B3058" s="10">
        <v>12</v>
      </c>
      <c r="Q3058" s="10" t="str">
        <f t="shared" si="47"/>
        <v>Incomplete</v>
      </c>
    </row>
    <row r="3059" spans="1:17" hidden="1">
      <c r="A3059" s="12">
        <v>46168</v>
      </c>
      <c r="B3059" s="10">
        <v>13</v>
      </c>
      <c r="Q3059" s="10" t="str">
        <f t="shared" si="47"/>
        <v>Incomplete</v>
      </c>
    </row>
    <row r="3060" spans="1:17" hidden="1">
      <c r="A3060" s="12">
        <v>46168</v>
      </c>
      <c r="B3060" s="10">
        <v>14</v>
      </c>
      <c r="Q3060" s="10" t="str">
        <f t="shared" si="47"/>
        <v>Incomplete</v>
      </c>
    </row>
    <row r="3061" spans="1:17" hidden="1">
      <c r="A3061" s="12">
        <v>46168</v>
      </c>
      <c r="B3061" s="10">
        <v>15</v>
      </c>
      <c r="Q3061" s="10" t="str">
        <f t="shared" si="47"/>
        <v>Incomplete</v>
      </c>
    </row>
    <row r="3062" spans="1:17" hidden="1">
      <c r="A3062" s="12">
        <v>46168</v>
      </c>
      <c r="B3062" s="10">
        <v>16</v>
      </c>
      <c r="Q3062" s="10" t="str">
        <f t="shared" si="47"/>
        <v>Incomplete</v>
      </c>
    </row>
    <row r="3063" spans="1:17" hidden="1">
      <c r="A3063" s="12">
        <v>46168</v>
      </c>
      <c r="B3063" s="10">
        <v>17</v>
      </c>
      <c r="Q3063" s="10" t="str">
        <f t="shared" si="47"/>
        <v>Incomplete</v>
      </c>
    </row>
    <row r="3064" spans="1:17" hidden="1">
      <c r="A3064" s="12">
        <v>46168</v>
      </c>
      <c r="B3064" s="10">
        <v>18</v>
      </c>
      <c r="Q3064" s="10" t="str">
        <f t="shared" si="47"/>
        <v>Incomplete</v>
      </c>
    </row>
    <row r="3065" spans="1:17" hidden="1">
      <c r="A3065" s="12">
        <v>46168</v>
      </c>
      <c r="B3065" s="10">
        <v>19</v>
      </c>
      <c r="Q3065" s="10" t="str">
        <f t="shared" si="47"/>
        <v>Incomplete</v>
      </c>
    </row>
    <row r="3066" spans="1:17" hidden="1">
      <c r="A3066" s="12">
        <v>46168</v>
      </c>
      <c r="B3066" s="10">
        <v>20</v>
      </c>
      <c r="Q3066" s="10" t="str">
        <f t="shared" si="47"/>
        <v>Incomplete</v>
      </c>
    </row>
    <row r="3067" spans="1:17" hidden="1">
      <c r="A3067" s="12">
        <v>46168</v>
      </c>
      <c r="B3067" s="10">
        <v>21</v>
      </c>
      <c r="Q3067" s="10" t="str">
        <f t="shared" si="47"/>
        <v>Incomplete</v>
      </c>
    </row>
    <row r="3068" spans="1:17" hidden="1">
      <c r="A3068" s="12">
        <v>46169</v>
      </c>
      <c r="B3068" s="10">
        <v>1</v>
      </c>
      <c r="Q3068" s="10" t="str">
        <f t="shared" si="47"/>
        <v>Incomplete</v>
      </c>
    </row>
    <row r="3069" spans="1:17" hidden="1">
      <c r="A3069" s="12">
        <v>46169</v>
      </c>
      <c r="B3069" s="10">
        <v>2</v>
      </c>
      <c r="Q3069" s="10" t="str">
        <f t="shared" si="47"/>
        <v>Incomplete</v>
      </c>
    </row>
    <row r="3070" spans="1:17" hidden="1">
      <c r="A3070" s="12">
        <v>46169</v>
      </c>
      <c r="B3070" s="10">
        <v>3</v>
      </c>
      <c r="Q3070" s="10" t="str">
        <f t="shared" si="47"/>
        <v>Incomplete</v>
      </c>
    </row>
    <row r="3071" spans="1:17" hidden="1">
      <c r="A3071" s="12">
        <v>46169</v>
      </c>
      <c r="B3071" s="10">
        <v>4</v>
      </c>
      <c r="Q3071" s="10" t="str">
        <f t="shared" si="47"/>
        <v>Incomplete</v>
      </c>
    </row>
    <row r="3072" spans="1:17" hidden="1">
      <c r="A3072" s="12">
        <v>46169</v>
      </c>
      <c r="B3072" s="10">
        <v>5</v>
      </c>
      <c r="Q3072" s="10" t="str">
        <f t="shared" si="47"/>
        <v>Incomplete</v>
      </c>
    </row>
    <row r="3073" spans="1:17" hidden="1">
      <c r="A3073" s="12">
        <v>46169</v>
      </c>
      <c r="B3073" s="10">
        <v>6</v>
      </c>
      <c r="Q3073" s="10" t="str">
        <f t="shared" si="47"/>
        <v>Incomplete</v>
      </c>
    </row>
    <row r="3074" spans="1:17" hidden="1">
      <c r="A3074" s="12">
        <v>46169</v>
      </c>
      <c r="B3074" s="10">
        <v>7</v>
      </c>
      <c r="Q3074" s="10" t="str">
        <f t="shared" ref="Q3074:Q3137" si="48">IF(AND(C3074&lt;&gt;"",J3074&lt;&gt;"",K3074&lt;&gt;"",L3074&lt;&gt;"",O3074="Yes"),"Complete","Incomplete")</f>
        <v>Incomplete</v>
      </c>
    </row>
    <row r="3075" spans="1:17" hidden="1">
      <c r="A3075" s="12">
        <v>46169</v>
      </c>
      <c r="B3075" s="10">
        <v>8</v>
      </c>
      <c r="Q3075" s="10" t="str">
        <f t="shared" si="48"/>
        <v>Incomplete</v>
      </c>
    </row>
    <row r="3076" spans="1:17" hidden="1">
      <c r="A3076" s="12">
        <v>46169</v>
      </c>
      <c r="B3076" s="10">
        <v>9</v>
      </c>
      <c r="Q3076" s="10" t="str">
        <f t="shared" si="48"/>
        <v>Incomplete</v>
      </c>
    </row>
    <row r="3077" spans="1:17" hidden="1">
      <c r="A3077" s="12">
        <v>46169</v>
      </c>
      <c r="B3077" s="10">
        <v>10</v>
      </c>
      <c r="Q3077" s="10" t="str">
        <f t="shared" si="48"/>
        <v>Incomplete</v>
      </c>
    </row>
    <row r="3078" spans="1:17" hidden="1">
      <c r="A3078" s="12">
        <v>46169</v>
      </c>
      <c r="B3078" s="10">
        <v>11</v>
      </c>
      <c r="Q3078" s="10" t="str">
        <f t="shared" si="48"/>
        <v>Incomplete</v>
      </c>
    </row>
    <row r="3079" spans="1:17" hidden="1">
      <c r="A3079" s="12">
        <v>46169</v>
      </c>
      <c r="B3079" s="10">
        <v>12</v>
      </c>
      <c r="Q3079" s="10" t="str">
        <f t="shared" si="48"/>
        <v>Incomplete</v>
      </c>
    </row>
    <row r="3080" spans="1:17" hidden="1">
      <c r="A3080" s="12">
        <v>46169</v>
      </c>
      <c r="B3080" s="10">
        <v>13</v>
      </c>
      <c r="Q3080" s="10" t="str">
        <f t="shared" si="48"/>
        <v>Incomplete</v>
      </c>
    </row>
    <row r="3081" spans="1:17" hidden="1">
      <c r="A3081" s="12">
        <v>46169</v>
      </c>
      <c r="B3081" s="10">
        <v>14</v>
      </c>
      <c r="Q3081" s="10" t="str">
        <f t="shared" si="48"/>
        <v>Incomplete</v>
      </c>
    </row>
    <row r="3082" spans="1:17" hidden="1">
      <c r="A3082" s="12">
        <v>46169</v>
      </c>
      <c r="B3082" s="10">
        <v>15</v>
      </c>
      <c r="Q3082" s="10" t="str">
        <f t="shared" si="48"/>
        <v>Incomplete</v>
      </c>
    </row>
    <row r="3083" spans="1:17" hidden="1">
      <c r="A3083" s="12">
        <v>46169</v>
      </c>
      <c r="B3083" s="10">
        <v>16</v>
      </c>
      <c r="Q3083" s="10" t="str">
        <f t="shared" si="48"/>
        <v>Incomplete</v>
      </c>
    </row>
    <row r="3084" spans="1:17" hidden="1">
      <c r="A3084" s="12">
        <v>46169</v>
      </c>
      <c r="B3084" s="10">
        <v>17</v>
      </c>
      <c r="Q3084" s="10" t="str">
        <f t="shared" si="48"/>
        <v>Incomplete</v>
      </c>
    </row>
    <row r="3085" spans="1:17" hidden="1">
      <c r="A3085" s="12">
        <v>46169</v>
      </c>
      <c r="B3085" s="10">
        <v>18</v>
      </c>
      <c r="Q3085" s="10" t="str">
        <f t="shared" si="48"/>
        <v>Incomplete</v>
      </c>
    </row>
    <row r="3086" spans="1:17" hidden="1">
      <c r="A3086" s="12">
        <v>46169</v>
      </c>
      <c r="B3086" s="10">
        <v>19</v>
      </c>
      <c r="Q3086" s="10" t="str">
        <f t="shared" si="48"/>
        <v>Incomplete</v>
      </c>
    </row>
    <row r="3087" spans="1:17" hidden="1">
      <c r="A3087" s="12">
        <v>46169</v>
      </c>
      <c r="B3087" s="10">
        <v>20</v>
      </c>
      <c r="Q3087" s="10" t="str">
        <f t="shared" si="48"/>
        <v>Incomplete</v>
      </c>
    </row>
    <row r="3088" spans="1:17" hidden="1">
      <c r="A3088" s="12">
        <v>46169</v>
      </c>
      <c r="B3088" s="10">
        <v>21</v>
      </c>
      <c r="Q3088" s="10" t="str">
        <f t="shared" si="48"/>
        <v>Incomplete</v>
      </c>
    </row>
    <row r="3089" spans="1:17" hidden="1">
      <c r="A3089" s="12">
        <v>46170</v>
      </c>
      <c r="B3089" s="10">
        <v>1</v>
      </c>
      <c r="Q3089" s="10" t="str">
        <f t="shared" si="48"/>
        <v>Incomplete</v>
      </c>
    </row>
    <row r="3090" spans="1:17" hidden="1">
      <c r="A3090" s="12">
        <v>46170</v>
      </c>
      <c r="B3090" s="10">
        <v>2</v>
      </c>
      <c r="Q3090" s="10" t="str">
        <f t="shared" si="48"/>
        <v>Incomplete</v>
      </c>
    </row>
    <row r="3091" spans="1:17" hidden="1">
      <c r="A3091" s="12">
        <v>46170</v>
      </c>
      <c r="B3091" s="10">
        <v>3</v>
      </c>
      <c r="Q3091" s="10" t="str">
        <f t="shared" si="48"/>
        <v>Incomplete</v>
      </c>
    </row>
    <row r="3092" spans="1:17" hidden="1">
      <c r="A3092" s="12">
        <v>46170</v>
      </c>
      <c r="B3092" s="10">
        <v>4</v>
      </c>
      <c r="Q3092" s="10" t="str">
        <f t="shared" si="48"/>
        <v>Incomplete</v>
      </c>
    </row>
    <row r="3093" spans="1:17" hidden="1">
      <c r="A3093" s="12">
        <v>46170</v>
      </c>
      <c r="B3093" s="10">
        <v>5</v>
      </c>
      <c r="Q3093" s="10" t="str">
        <f t="shared" si="48"/>
        <v>Incomplete</v>
      </c>
    </row>
    <row r="3094" spans="1:17" hidden="1">
      <c r="A3094" s="12">
        <v>46170</v>
      </c>
      <c r="B3094" s="10">
        <v>6</v>
      </c>
      <c r="Q3094" s="10" t="str">
        <f t="shared" si="48"/>
        <v>Incomplete</v>
      </c>
    </row>
    <row r="3095" spans="1:17" hidden="1">
      <c r="A3095" s="12">
        <v>46170</v>
      </c>
      <c r="B3095" s="10">
        <v>7</v>
      </c>
      <c r="Q3095" s="10" t="str">
        <f t="shared" si="48"/>
        <v>Incomplete</v>
      </c>
    </row>
    <row r="3096" spans="1:17" hidden="1">
      <c r="A3096" s="12">
        <v>46170</v>
      </c>
      <c r="B3096" s="10">
        <v>8</v>
      </c>
      <c r="Q3096" s="10" t="str">
        <f t="shared" si="48"/>
        <v>Incomplete</v>
      </c>
    </row>
    <row r="3097" spans="1:17" hidden="1">
      <c r="A3097" s="12">
        <v>46170</v>
      </c>
      <c r="B3097" s="10">
        <v>9</v>
      </c>
      <c r="Q3097" s="10" t="str">
        <f t="shared" si="48"/>
        <v>Incomplete</v>
      </c>
    </row>
    <row r="3098" spans="1:17" hidden="1">
      <c r="A3098" s="12">
        <v>46170</v>
      </c>
      <c r="B3098" s="10">
        <v>10</v>
      </c>
      <c r="Q3098" s="10" t="str">
        <f t="shared" si="48"/>
        <v>Incomplete</v>
      </c>
    </row>
    <row r="3099" spans="1:17" hidden="1">
      <c r="A3099" s="12">
        <v>46170</v>
      </c>
      <c r="B3099" s="10">
        <v>11</v>
      </c>
      <c r="Q3099" s="10" t="str">
        <f t="shared" si="48"/>
        <v>Incomplete</v>
      </c>
    </row>
    <row r="3100" spans="1:17" hidden="1">
      <c r="A3100" s="12">
        <v>46170</v>
      </c>
      <c r="B3100" s="10">
        <v>12</v>
      </c>
      <c r="Q3100" s="10" t="str">
        <f t="shared" si="48"/>
        <v>Incomplete</v>
      </c>
    </row>
    <row r="3101" spans="1:17" hidden="1">
      <c r="A3101" s="12">
        <v>46170</v>
      </c>
      <c r="B3101" s="10">
        <v>13</v>
      </c>
      <c r="Q3101" s="10" t="str">
        <f t="shared" si="48"/>
        <v>Incomplete</v>
      </c>
    </row>
    <row r="3102" spans="1:17" hidden="1">
      <c r="A3102" s="12">
        <v>46170</v>
      </c>
      <c r="B3102" s="10">
        <v>14</v>
      </c>
      <c r="Q3102" s="10" t="str">
        <f t="shared" si="48"/>
        <v>Incomplete</v>
      </c>
    </row>
    <row r="3103" spans="1:17" hidden="1">
      <c r="A3103" s="12">
        <v>46170</v>
      </c>
      <c r="B3103" s="10">
        <v>15</v>
      </c>
      <c r="Q3103" s="10" t="str">
        <f t="shared" si="48"/>
        <v>Incomplete</v>
      </c>
    </row>
    <row r="3104" spans="1:17" hidden="1">
      <c r="A3104" s="12">
        <v>46170</v>
      </c>
      <c r="B3104" s="10">
        <v>16</v>
      </c>
      <c r="Q3104" s="10" t="str">
        <f t="shared" si="48"/>
        <v>Incomplete</v>
      </c>
    </row>
    <row r="3105" spans="1:17" hidden="1">
      <c r="A3105" s="12">
        <v>46170</v>
      </c>
      <c r="B3105" s="10">
        <v>17</v>
      </c>
      <c r="Q3105" s="10" t="str">
        <f t="shared" si="48"/>
        <v>Incomplete</v>
      </c>
    </row>
    <row r="3106" spans="1:17" hidden="1">
      <c r="A3106" s="12">
        <v>46170</v>
      </c>
      <c r="B3106" s="10">
        <v>18</v>
      </c>
      <c r="Q3106" s="10" t="str">
        <f t="shared" si="48"/>
        <v>Incomplete</v>
      </c>
    </row>
    <row r="3107" spans="1:17" hidden="1">
      <c r="A3107" s="12">
        <v>46170</v>
      </c>
      <c r="B3107" s="10">
        <v>19</v>
      </c>
      <c r="Q3107" s="10" t="str">
        <f t="shared" si="48"/>
        <v>Incomplete</v>
      </c>
    </row>
    <row r="3108" spans="1:17" hidden="1">
      <c r="A3108" s="12">
        <v>46170</v>
      </c>
      <c r="B3108" s="10">
        <v>20</v>
      </c>
      <c r="Q3108" s="10" t="str">
        <f t="shared" si="48"/>
        <v>Incomplete</v>
      </c>
    </row>
    <row r="3109" spans="1:17" hidden="1">
      <c r="A3109" s="12">
        <v>46170</v>
      </c>
      <c r="B3109" s="10">
        <v>21</v>
      </c>
      <c r="Q3109" s="10" t="str">
        <f t="shared" si="48"/>
        <v>Incomplete</v>
      </c>
    </row>
    <row r="3110" spans="1:17" hidden="1">
      <c r="A3110" s="12">
        <v>46171</v>
      </c>
      <c r="B3110" s="10">
        <v>1</v>
      </c>
      <c r="Q3110" s="10" t="str">
        <f t="shared" si="48"/>
        <v>Incomplete</v>
      </c>
    </row>
    <row r="3111" spans="1:17" hidden="1">
      <c r="A3111" s="12">
        <v>46171</v>
      </c>
      <c r="B3111" s="10">
        <v>2</v>
      </c>
      <c r="Q3111" s="10" t="str">
        <f t="shared" si="48"/>
        <v>Incomplete</v>
      </c>
    </row>
    <row r="3112" spans="1:17" hidden="1">
      <c r="A3112" s="12">
        <v>46171</v>
      </c>
      <c r="B3112" s="10">
        <v>3</v>
      </c>
      <c r="Q3112" s="10" t="str">
        <f t="shared" si="48"/>
        <v>Incomplete</v>
      </c>
    </row>
    <row r="3113" spans="1:17" hidden="1">
      <c r="A3113" s="12">
        <v>46171</v>
      </c>
      <c r="B3113" s="10">
        <v>4</v>
      </c>
      <c r="Q3113" s="10" t="str">
        <f t="shared" si="48"/>
        <v>Incomplete</v>
      </c>
    </row>
    <row r="3114" spans="1:17" hidden="1">
      <c r="A3114" s="12">
        <v>46171</v>
      </c>
      <c r="B3114" s="10">
        <v>5</v>
      </c>
      <c r="Q3114" s="10" t="str">
        <f t="shared" si="48"/>
        <v>Incomplete</v>
      </c>
    </row>
    <row r="3115" spans="1:17" hidden="1">
      <c r="A3115" s="12">
        <v>46171</v>
      </c>
      <c r="B3115" s="10">
        <v>6</v>
      </c>
      <c r="Q3115" s="10" t="str">
        <f t="shared" si="48"/>
        <v>Incomplete</v>
      </c>
    </row>
    <row r="3116" spans="1:17" hidden="1">
      <c r="A3116" s="12">
        <v>46171</v>
      </c>
      <c r="B3116" s="10">
        <v>7</v>
      </c>
      <c r="Q3116" s="10" t="str">
        <f t="shared" si="48"/>
        <v>Incomplete</v>
      </c>
    </row>
    <row r="3117" spans="1:17" hidden="1">
      <c r="A3117" s="12">
        <v>46171</v>
      </c>
      <c r="B3117" s="10">
        <v>8</v>
      </c>
      <c r="Q3117" s="10" t="str">
        <f t="shared" si="48"/>
        <v>Incomplete</v>
      </c>
    </row>
    <row r="3118" spans="1:17" hidden="1">
      <c r="A3118" s="12">
        <v>46171</v>
      </c>
      <c r="B3118" s="10">
        <v>9</v>
      </c>
      <c r="Q3118" s="10" t="str">
        <f t="shared" si="48"/>
        <v>Incomplete</v>
      </c>
    </row>
    <row r="3119" spans="1:17" hidden="1">
      <c r="A3119" s="12">
        <v>46171</v>
      </c>
      <c r="B3119" s="10">
        <v>10</v>
      </c>
      <c r="Q3119" s="10" t="str">
        <f t="shared" si="48"/>
        <v>Incomplete</v>
      </c>
    </row>
    <row r="3120" spans="1:17" hidden="1">
      <c r="A3120" s="12">
        <v>46171</v>
      </c>
      <c r="B3120" s="10">
        <v>11</v>
      </c>
      <c r="Q3120" s="10" t="str">
        <f t="shared" si="48"/>
        <v>Incomplete</v>
      </c>
    </row>
    <row r="3121" spans="1:17" hidden="1">
      <c r="A3121" s="12">
        <v>46171</v>
      </c>
      <c r="B3121" s="10">
        <v>12</v>
      </c>
      <c r="Q3121" s="10" t="str">
        <f t="shared" si="48"/>
        <v>Incomplete</v>
      </c>
    </row>
    <row r="3122" spans="1:17" hidden="1">
      <c r="A3122" s="12">
        <v>46171</v>
      </c>
      <c r="B3122" s="10">
        <v>13</v>
      </c>
      <c r="Q3122" s="10" t="str">
        <f t="shared" si="48"/>
        <v>Incomplete</v>
      </c>
    </row>
    <row r="3123" spans="1:17" hidden="1">
      <c r="A3123" s="12">
        <v>46171</v>
      </c>
      <c r="B3123" s="10">
        <v>14</v>
      </c>
      <c r="Q3123" s="10" t="str">
        <f t="shared" si="48"/>
        <v>Incomplete</v>
      </c>
    </row>
    <row r="3124" spans="1:17" hidden="1">
      <c r="A3124" s="12">
        <v>46171</v>
      </c>
      <c r="B3124" s="10">
        <v>15</v>
      </c>
      <c r="Q3124" s="10" t="str">
        <f t="shared" si="48"/>
        <v>Incomplete</v>
      </c>
    </row>
    <row r="3125" spans="1:17" hidden="1">
      <c r="A3125" s="12">
        <v>46171</v>
      </c>
      <c r="B3125" s="10">
        <v>16</v>
      </c>
      <c r="Q3125" s="10" t="str">
        <f t="shared" si="48"/>
        <v>Incomplete</v>
      </c>
    </row>
    <row r="3126" spans="1:17" hidden="1">
      <c r="A3126" s="12">
        <v>46171</v>
      </c>
      <c r="B3126" s="10">
        <v>17</v>
      </c>
      <c r="Q3126" s="10" t="str">
        <f t="shared" si="48"/>
        <v>Incomplete</v>
      </c>
    </row>
    <row r="3127" spans="1:17" hidden="1">
      <c r="A3127" s="12">
        <v>46171</v>
      </c>
      <c r="B3127" s="10">
        <v>18</v>
      </c>
      <c r="Q3127" s="10" t="str">
        <f t="shared" si="48"/>
        <v>Incomplete</v>
      </c>
    </row>
    <row r="3128" spans="1:17" hidden="1">
      <c r="A3128" s="12">
        <v>46171</v>
      </c>
      <c r="B3128" s="10">
        <v>19</v>
      </c>
      <c r="Q3128" s="10" t="str">
        <f t="shared" si="48"/>
        <v>Incomplete</v>
      </c>
    </row>
    <row r="3129" spans="1:17" hidden="1">
      <c r="A3129" s="12">
        <v>46171</v>
      </c>
      <c r="B3129" s="10">
        <v>20</v>
      </c>
      <c r="Q3129" s="10" t="str">
        <f t="shared" si="48"/>
        <v>Incomplete</v>
      </c>
    </row>
    <row r="3130" spans="1:17" hidden="1">
      <c r="A3130" s="12">
        <v>46171</v>
      </c>
      <c r="B3130" s="10">
        <v>21</v>
      </c>
      <c r="Q3130" s="10" t="str">
        <f t="shared" si="48"/>
        <v>Incomplete</v>
      </c>
    </row>
    <row r="3131" spans="1:17" hidden="1">
      <c r="A3131" s="12">
        <v>46172</v>
      </c>
      <c r="B3131" s="10">
        <v>1</v>
      </c>
      <c r="Q3131" s="10" t="str">
        <f t="shared" si="48"/>
        <v>Incomplete</v>
      </c>
    </row>
    <row r="3132" spans="1:17" hidden="1">
      <c r="A3132" s="12">
        <v>46172</v>
      </c>
      <c r="B3132" s="10">
        <v>2</v>
      </c>
      <c r="Q3132" s="10" t="str">
        <f t="shared" si="48"/>
        <v>Incomplete</v>
      </c>
    </row>
    <row r="3133" spans="1:17" hidden="1">
      <c r="A3133" s="12">
        <v>46172</v>
      </c>
      <c r="B3133" s="10">
        <v>3</v>
      </c>
      <c r="Q3133" s="10" t="str">
        <f t="shared" si="48"/>
        <v>Incomplete</v>
      </c>
    </row>
    <row r="3134" spans="1:17" hidden="1">
      <c r="A3134" s="12">
        <v>46172</v>
      </c>
      <c r="B3134" s="10">
        <v>4</v>
      </c>
      <c r="Q3134" s="10" t="str">
        <f t="shared" si="48"/>
        <v>Incomplete</v>
      </c>
    </row>
    <row r="3135" spans="1:17" hidden="1">
      <c r="A3135" s="12">
        <v>46172</v>
      </c>
      <c r="B3135" s="10">
        <v>5</v>
      </c>
      <c r="Q3135" s="10" t="str">
        <f t="shared" si="48"/>
        <v>Incomplete</v>
      </c>
    </row>
    <row r="3136" spans="1:17" hidden="1">
      <c r="A3136" s="12">
        <v>46172</v>
      </c>
      <c r="B3136" s="10">
        <v>6</v>
      </c>
      <c r="Q3136" s="10" t="str">
        <f t="shared" si="48"/>
        <v>Incomplete</v>
      </c>
    </row>
    <row r="3137" spans="1:17" hidden="1">
      <c r="A3137" s="12">
        <v>46172</v>
      </c>
      <c r="B3137" s="10">
        <v>7</v>
      </c>
      <c r="Q3137" s="10" t="str">
        <f t="shared" si="48"/>
        <v>Incomplete</v>
      </c>
    </row>
    <row r="3138" spans="1:17" hidden="1">
      <c r="A3138" s="12">
        <v>46172</v>
      </c>
      <c r="B3138" s="10">
        <v>8</v>
      </c>
      <c r="Q3138" s="10" t="str">
        <f t="shared" ref="Q3138:Q3201" si="49">IF(AND(C3138&lt;&gt;"",J3138&lt;&gt;"",K3138&lt;&gt;"",L3138&lt;&gt;"",O3138="Yes"),"Complete","Incomplete")</f>
        <v>Incomplete</v>
      </c>
    </row>
    <row r="3139" spans="1:17" hidden="1">
      <c r="A3139" s="12">
        <v>46172</v>
      </c>
      <c r="B3139" s="10">
        <v>9</v>
      </c>
      <c r="Q3139" s="10" t="str">
        <f t="shared" si="49"/>
        <v>Incomplete</v>
      </c>
    </row>
    <row r="3140" spans="1:17" hidden="1">
      <c r="A3140" s="12">
        <v>46172</v>
      </c>
      <c r="B3140" s="10">
        <v>10</v>
      </c>
      <c r="Q3140" s="10" t="str">
        <f t="shared" si="49"/>
        <v>Incomplete</v>
      </c>
    </row>
    <row r="3141" spans="1:17" hidden="1">
      <c r="A3141" s="12">
        <v>46172</v>
      </c>
      <c r="B3141" s="10">
        <v>11</v>
      </c>
      <c r="Q3141" s="10" t="str">
        <f t="shared" si="49"/>
        <v>Incomplete</v>
      </c>
    </row>
    <row r="3142" spans="1:17" hidden="1">
      <c r="A3142" s="12">
        <v>46172</v>
      </c>
      <c r="B3142" s="10">
        <v>12</v>
      </c>
      <c r="Q3142" s="10" t="str">
        <f t="shared" si="49"/>
        <v>Incomplete</v>
      </c>
    </row>
    <row r="3143" spans="1:17" hidden="1">
      <c r="A3143" s="12">
        <v>46172</v>
      </c>
      <c r="B3143" s="10">
        <v>13</v>
      </c>
      <c r="Q3143" s="10" t="str">
        <f t="shared" si="49"/>
        <v>Incomplete</v>
      </c>
    </row>
    <row r="3144" spans="1:17" hidden="1">
      <c r="A3144" s="12">
        <v>46172</v>
      </c>
      <c r="B3144" s="10">
        <v>14</v>
      </c>
      <c r="Q3144" s="10" t="str">
        <f t="shared" si="49"/>
        <v>Incomplete</v>
      </c>
    </row>
    <row r="3145" spans="1:17" hidden="1">
      <c r="A3145" s="12">
        <v>46172</v>
      </c>
      <c r="B3145" s="10">
        <v>15</v>
      </c>
      <c r="Q3145" s="10" t="str">
        <f t="shared" si="49"/>
        <v>Incomplete</v>
      </c>
    </row>
    <row r="3146" spans="1:17" hidden="1">
      <c r="A3146" s="12">
        <v>46172</v>
      </c>
      <c r="B3146" s="10">
        <v>16</v>
      </c>
      <c r="Q3146" s="10" t="str">
        <f t="shared" si="49"/>
        <v>Incomplete</v>
      </c>
    </row>
    <row r="3147" spans="1:17" hidden="1">
      <c r="A3147" s="12">
        <v>46172</v>
      </c>
      <c r="B3147" s="10">
        <v>17</v>
      </c>
      <c r="Q3147" s="10" t="str">
        <f t="shared" si="49"/>
        <v>Incomplete</v>
      </c>
    </row>
    <row r="3148" spans="1:17" hidden="1">
      <c r="A3148" s="12">
        <v>46172</v>
      </c>
      <c r="B3148" s="10">
        <v>18</v>
      </c>
      <c r="Q3148" s="10" t="str">
        <f t="shared" si="49"/>
        <v>Incomplete</v>
      </c>
    </row>
    <row r="3149" spans="1:17" hidden="1">
      <c r="A3149" s="12">
        <v>46172</v>
      </c>
      <c r="B3149" s="10">
        <v>19</v>
      </c>
      <c r="Q3149" s="10" t="str">
        <f t="shared" si="49"/>
        <v>Incomplete</v>
      </c>
    </row>
    <row r="3150" spans="1:17" hidden="1">
      <c r="A3150" s="12">
        <v>46172</v>
      </c>
      <c r="B3150" s="10">
        <v>20</v>
      </c>
      <c r="Q3150" s="10" t="str">
        <f t="shared" si="49"/>
        <v>Incomplete</v>
      </c>
    </row>
    <row r="3151" spans="1:17" hidden="1">
      <c r="A3151" s="12">
        <v>46172</v>
      </c>
      <c r="B3151" s="10">
        <v>21</v>
      </c>
      <c r="Q3151" s="10" t="str">
        <f t="shared" si="49"/>
        <v>Incomplete</v>
      </c>
    </row>
    <row r="3152" spans="1:17" hidden="1">
      <c r="A3152" s="12">
        <v>46173</v>
      </c>
      <c r="B3152" s="10">
        <v>1</v>
      </c>
      <c r="Q3152" s="10" t="str">
        <f t="shared" si="49"/>
        <v>Incomplete</v>
      </c>
    </row>
    <row r="3153" spans="1:17" hidden="1">
      <c r="A3153" s="12">
        <v>46173</v>
      </c>
      <c r="B3153" s="10">
        <v>2</v>
      </c>
      <c r="Q3153" s="10" t="str">
        <f t="shared" si="49"/>
        <v>Incomplete</v>
      </c>
    </row>
    <row r="3154" spans="1:17" hidden="1">
      <c r="A3154" s="12">
        <v>46173</v>
      </c>
      <c r="B3154" s="10">
        <v>3</v>
      </c>
      <c r="Q3154" s="10" t="str">
        <f t="shared" si="49"/>
        <v>Incomplete</v>
      </c>
    </row>
    <row r="3155" spans="1:17" hidden="1">
      <c r="A3155" s="12">
        <v>46173</v>
      </c>
      <c r="B3155" s="10">
        <v>4</v>
      </c>
      <c r="Q3155" s="10" t="str">
        <f t="shared" si="49"/>
        <v>Incomplete</v>
      </c>
    </row>
    <row r="3156" spans="1:17" hidden="1">
      <c r="A3156" s="12">
        <v>46173</v>
      </c>
      <c r="B3156" s="10">
        <v>5</v>
      </c>
      <c r="Q3156" s="10" t="str">
        <f t="shared" si="49"/>
        <v>Incomplete</v>
      </c>
    </row>
    <row r="3157" spans="1:17" hidden="1">
      <c r="A3157" s="12">
        <v>46173</v>
      </c>
      <c r="B3157" s="10">
        <v>6</v>
      </c>
      <c r="Q3157" s="10" t="str">
        <f t="shared" si="49"/>
        <v>Incomplete</v>
      </c>
    </row>
    <row r="3158" spans="1:17" hidden="1">
      <c r="A3158" s="12">
        <v>46173</v>
      </c>
      <c r="B3158" s="10">
        <v>7</v>
      </c>
      <c r="Q3158" s="10" t="str">
        <f t="shared" si="49"/>
        <v>Incomplete</v>
      </c>
    </row>
    <row r="3159" spans="1:17" hidden="1">
      <c r="A3159" s="12">
        <v>46173</v>
      </c>
      <c r="B3159" s="10">
        <v>8</v>
      </c>
      <c r="Q3159" s="10" t="str">
        <f t="shared" si="49"/>
        <v>Incomplete</v>
      </c>
    </row>
    <row r="3160" spans="1:17" hidden="1">
      <c r="A3160" s="12">
        <v>46173</v>
      </c>
      <c r="B3160" s="10">
        <v>9</v>
      </c>
      <c r="Q3160" s="10" t="str">
        <f t="shared" si="49"/>
        <v>Incomplete</v>
      </c>
    </row>
    <row r="3161" spans="1:17" hidden="1">
      <c r="A3161" s="12">
        <v>46173</v>
      </c>
      <c r="B3161" s="10">
        <v>10</v>
      </c>
      <c r="Q3161" s="10" t="str">
        <f t="shared" si="49"/>
        <v>Incomplete</v>
      </c>
    </row>
    <row r="3162" spans="1:17" hidden="1">
      <c r="A3162" s="12">
        <v>46173</v>
      </c>
      <c r="B3162" s="10">
        <v>11</v>
      </c>
      <c r="Q3162" s="10" t="str">
        <f t="shared" si="49"/>
        <v>Incomplete</v>
      </c>
    </row>
    <row r="3163" spans="1:17" hidden="1">
      <c r="A3163" s="12">
        <v>46173</v>
      </c>
      <c r="B3163" s="10">
        <v>12</v>
      </c>
      <c r="Q3163" s="10" t="str">
        <f t="shared" si="49"/>
        <v>Incomplete</v>
      </c>
    </row>
    <row r="3164" spans="1:17" hidden="1">
      <c r="A3164" s="12">
        <v>46173</v>
      </c>
      <c r="B3164" s="10">
        <v>13</v>
      </c>
      <c r="Q3164" s="10" t="str">
        <f t="shared" si="49"/>
        <v>Incomplete</v>
      </c>
    </row>
    <row r="3165" spans="1:17" hidden="1">
      <c r="A3165" s="12">
        <v>46173</v>
      </c>
      <c r="B3165" s="10">
        <v>14</v>
      </c>
      <c r="Q3165" s="10" t="str">
        <f t="shared" si="49"/>
        <v>Incomplete</v>
      </c>
    </row>
    <row r="3166" spans="1:17" hidden="1">
      <c r="A3166" s="12">
        <v>46173</v>
      </c>
      <c r="B3166" s="10">
        <v>15</v>
      </c>
      <c r="Q3166" s="10" t="str">
        <f t="shared" si="49"/>
        <v>Incomplete</v>
      </c>
    </row>
    <row r="3167" spans="1:17" hidden="1">
      <c r="A3167" s="12">
        <v>46173</v>
      </c>
      <c r="B3167" s="10">
        <v>16</v>
      </c>
      <c r="Q3167" s="10" t="str">
        <f t="shared" si="49"/>
        <v>Incomplete</v>
      </c>
    </row>
    <row r="3168" spans="1:17" hidden="1">
      <c r="A3168" s="12">
        <v>46173</v>
      </c>
      <c r="B3168" s="10">
        <v>17</v>
      </c>
      <c r="Q3168" s="10" t="str">
        <f t="shared" si="49"/>
        <v>Incomplete</v>
      </c>
    </row>
    <row r="3169" spans="1:17" hidden="1">
      <c r="A3169" s="12">
        <v>46173</v>
      </c>
      <c r="B3169" s="10">
        <v>18</v>
      </c>
      <c r="Q3169" s="10" t="str">
        <f t="shared" si="49"/>
        <v>Incomplete</v>
      </c>
    </row>
    <row r="3170" spans="1:17" hidden="1">
      <c r="A3170" s="12">
        <v>46173</v>
      </c>
      <c r="B3170" s="10">
        <v>19</v>
      </c>
      <c r="Q3170" s="10" t="str">
        <f t="shared" si="49"/>
        <v>Incomplete</v>
      </c>
    </row>
    <row r="3171" spans="1:17" hidden="1">
      <c r="A3171" s="12">
        <v>46173</v>
      </c>
      <c r="B3171" s="10">
        <v>20</v>
      </c>
      <c r="Q3171" s="10" t="str">
        <f t="shared" si="49"/>
        <v>Incomplete</v>
      </c>
    </row>
    <row r="3172" spans="1:17" hidden="1">
      <c r="A3172" s="12">
        <v>46173</v>
      </c>
      <c r="B3172" s="10">
        <v>21</v>
      </c>
      <c r="Q3172" s="10" t="str">
        <f t="shared" si="49"/>
        <v>Incomplete</v>
      </c>
    </row>
    <row r="3173" spans="1:17" hidden="1">
      <c r="A3173" s="12">
        <v>46174</v>
      </c>
      <c r="B3173" s="10">
        <v>1</v>
      </c>
      <c r="Q3173" s="10" t="str">
        <f t="shared" si="49"/>
        <v>Incomplete</v>
      </c>
    </row>
    <row r="3174" spans="1:17" hidden="1">
      <c r="A3174" s="12">
        <v>46174</v>
      </c>
      <c r="B3174" s="10">
        <v>2</v>
      </c>
      <c r="Q3174" s="10" t="str">
        <f t="shared" si="49"/>
        <v>Incomplete</v>
      </c>
    </row>
    <row r="3175" spans="1:17" hidden="1">
      <c r="A3175" s="12">
        <v>46174</v>
      </c>
      <c r="B3175" s="10">
        <v>3</v>
      </c>
      <c r="Q3175" s="10" t="str">
        <f t="shared" si="49"/>
        <v>Incomplete</v>
      </c>
    </row>
    <row r="3176" spans="1:17" hidden="1">
      <c r="A3176" s="12">
        <v>46174</v>
      </c>
      <c r="B3176" s="10">
        <v>4</v>
      </c>
      <c r="Q3176" s="10" t="str">
        <f t="shared" si="49"/>
        <v>Incomplete</v>
      </c>
    </row>
    <row r="3177" spans="1:17" hidden="1">
      <c r="A3177" s="12">
        <v>46174</v>
      </c>
      <c r="B3177" s="10">
        <v>5</v>
      </c>
      <c r="Q3177" s="10" t="str">
        <f t="shared" si="49"/>
        <v>Incomplete</v>
      </c>
    </row>
    <row r="3178" spans="1:17" hidden="1">
      <c r="A3178" s="12">
        <v>46174</v>
      </c>
      <c r="B3178" s="10">
        <v>6</v>
      </c>
      <c r="Q3178" s="10" t="str">
        <f t="shared" si="49"/>
        <v>Incomplete</v>
      </c>
    </row>
    <row r="3179" spans="1:17" hidden="1">
      <c r="A3179" s="12">
        <v>46174</v>
      </c>
      <c r="B3179" s="10">
        <v>7</v>
      </c>
      <c r="Q3179" s="10" t="str">
        <f t="shared" si="49"/>
        <v>Incomplete</v>
      </c>
    </row>
    <row r="3180" spans="1:17" hidden="1">
      <c r="A3180" s="12">
        <v>46174</v>
      </c>
      <c r="B3180" s="10">
        <v>8</v>
      </c>
      <c r="Q3180" s="10" t="str">
        <f t="shared" si="49"/>
        <v>Incomplete</v>
      </c>
    </row>
    <row r="3181" spans="1:17" hidden="1">
      <c r="A3181" s="12">
        <v>46174</v>
      </c>
      <c r="B3181" s="10">
        <v>9</v>
      </c>
      <c r="Q3181" s="10" t="str">
        <f t="shared" si="49"/>
        <v>Incomplete</v>
      </c>
    </row>
    <row r="3182" spans="1:17" hidden="1">
      <c r="A3182" s="12">
        <v>46174</v>
      </c>
      <c r="B3182" s="10">
        <v>10</v>
      </c>
      <c r="Q3182" s="10" t="str">
        <f t="shared" si="49"/>
        <v>Incomplete</v>
      </c>
    </row>
    <row r="3183" spans="1:17" hidden="1">
      <c r="A3183" s="12">
        <v>46174</v>
      </c>
      <c r="B3183" s="10">
        <v>11</v>
      </c>
      <c r="Q3183" s="10" t="str">
        <f t="shared" si="49"/>
        <v>Incomplete</v>
      </c>
    </row>
    <row r="3184" spans="1:17" hidden="1">
      <c r="A3184" s="12">
        <v>46174</v>
      </c>
      <c r="B3184" s="10">
        <v>12</v>
      </c>
      <c r="Q3184" s="10" t="str">
        <f t="shared" si="49"/>
        <v>Incomplete</v>
      </c>
    </row>
    <row r="3185" spans="1:17" hidden="1">
      <c r="A3185" s="12">
        <v>46174</v>
      </c>
      <c r="B3185" s="10">
        <v>13</v>
      </c>
      <c r="Q3185" s="10" t="str">
        <f t="shared" si="49"/>
        <v>Incomplete</v>
      </c>
    </row>
    <row r="3186" spans="1:17" hidden="1">
      <c r="A3186" s="12">
        <v>46174</v>
      </c>
      <c r="B3186" s="10">
        <v>14</v>
      </c>
      <c r="Q3186" s="10" t="str">
        <f t="shared" si="49"/>
        <v>Incomplete</v>
      </c>
    </row>
    <row r="3187" spans="1:17" hidden="1">
      <c r="A3187" s="12">
        <v>46174</v>
      </c>
      <c r="B3187" s="10">
        <v>15</v>
      </c>
      <c r="Q3187" s="10" t="str">
        <f t="shared" si="49"/>
        <v>Incomplete</v>
      </c>
    </row>
    <row r="3188" spans="1:17" hidden="1">
      <c r="A3188" s="12">
        <v>46174</v>
      </c>
      <c r="B3188" s="10">
        <v>16</v>
      </c>
      <c r="Q3188" s="10" t="str">
        <f t="shared" si="49"/>
        <v>Incomplete</v>
      </c>
    </row>
    <row r="3189" spans="1:17" hidden="1">
      <c r="A3189" s="12">
        <v>46174</v>
      </c>
      <c r="B3189" s="10">
        <v>17</v>
      </c>
      <c r="Q3189" s="10" t="str">
        <f t="shared" si="49"/>
        <v>Incomplete</v>
      </c>
    </row>
    <row r="3190" spans="1:17" hidden="1">
      <c r="A3190" s="12">
        <v>46174</v>
      </c>
      <c r="B3190" s="10">
        <v>18</v>
      </c>
      <c r="Q3190" s="10" t="str">
        <f t="shared" si="49"/>
        <v>Incomplete</v>
      </c>
    </row>
    <row r="3191" spans="1:17" hidden="1">
      <c r="A3191" s="12">
        <v>46174</v>
      </c>
      <c r="B3191" s="10">
        <v>19</v>
      </c>
      <c r="Q3191" s="10" t="str">
        <f t="shared" si="49"/>
        <v>Incomplete</v>
      </c>
    </row>
    <row r="3192" spans="1:17" hidden="1">
      <c r="A3192" s="12">
        <v>46174</v>
      </c>
      <c r="B3192" s="10">
        <v>20</v>
      </c>
      <c r="Q3192" s="10" t="str">
        <f t="shared" si="49"/>
        <v>Incomplete</v>
      </c>
    </row>
    <row r="3193" spans="1:17" hidden="1">
      <c r="A3193" s="12">
        <v>46174</v>
      </c>
      <c r="B3193" s="10">
        <v>21</v>
      </c>
      <c r="Q3193" s="10" t="str">
        <f t="shared" si="49"/>
        <v>Incomplete</v>
      </c>
    </row>
    <row r="3194" spans="1:17" hidden="1">
      <c r="A3194" s="12">
        <v>46175</v>
      </c>
      <c r="B3194" s="10">
        <v>1</v>
      </c>
      <c r="Q3194" s="10" t="str">
        <f t="shared" si="49"/>
        <v>Incomplete</v>
      </c>
    </row>
    <row r="3195" spans="1:17" hidden="1">
      <c r="A3195" s="12">
        <v>46175</v>
      </c>
      <c r="B3195" s="10">
        <v>2</v>
      </c>
      <c r="Q3195" s="10" t="str">
        <f t="shared" si="49"/>
        <v>Incomplete</v>
      </c>
    </row>
    <row r="3196" spans="1:17" hidden="1">
      <c r="A3196" s="12">
        <v>46175</v>
      </c>
      <c r="B3196" s="10">
        <v>3</v>
      </c>
      <c r="Q3196" s="10" t="str">
        <f t="shared" si="49"/>
        <v>Incomplete</v>
      </c>
    </row>
    <row r="3197" spans="1:17" hidden="1">
      <c r="A3197" s="12">
        <v>46175</v>
      </c>
      <c r="B3197" s="10">
        <v>4</v>
      </c>
      <c r="Q3197" s="10" t="str">
        <f t="shared" si="49"/>
        <v>Incomplete</v>
      </c>
    </row>
    <row r="3198" spans="1:17" hidden="1">
      <c r="A3198" s="12">
        <v>46175</v>
      </c>
      <c r="B3198" s="10">
        <v>5</v>
      </c>
      <c r="Q3198" s="10" t="str">
        <f t="shared" si="49"/>
        <v>Incomplete</v>
      </c>
    </row>
    <row r="3199" spans="1:17" hidden="1">
      <c r="A3199" s="12">
        <v>46175</v>
      </c>
      <c r="B3199" s="10">
        <v>6</v>
      </c>
      <c r="Q3199" s="10" t="str">
        <f t="shared" si="49"/>
        <v>Incomplete</v>
      </c>
    </row>
    <row r="3200" spans="1:17" hidden="1">
      <c r="A3200" s="12">
        <v>46175</v>
      </c>
      <c r="B3200" s="10">
        <v>7</v>
      </c>
      <c r="Q3200" s="10" t="str">
        <f t="shared" si="49"/>
        <v>Incomplete</v>
      </c>
    </row>
    <row r="3201" spans="1:17" hidden="1">
      <c r="A3201" s="12">
        <v>46175</v>
      </c>
      <c r="B3201" s="10">
        <v>8</v>
      </c>
      <c r="Q3201" s="10" t="str">
        <f t="shared" si="49"/>
        <v>Incomplete</v>
      </c>
    </row>
    <row r="3202" spans="1:17" hidden="1">
      <c r="A3202" s="12">
        <v>46175</v>
      </c>
      <c r="B3202" s="10">
        <v>9</v>
      </c>
      <c r="Q3202" s="10" t="str">
        <f t="shared" ref="Q3202:Q3265" si="50">IF(AND(C3202&lt;&gt;"",J3202&lt;&gt;"",K3202&lt;&gt;"",L3202&lt;&gt;"",O3202="Yes"),"Complete","Incomplete")</f>
        <v>Incomplete</v>
      </c>
    </row>
    <row r="3203" spans="1:17" hidden="1">
      <c r="A3203" s="12">
        <v>46175</v>
      </c>
      <c r="B3203" s="10">
        <v>10</v>
      </c>
      <c r="Q3203" s="10" t="str">
        <f t="shared" si="50"/>
        <v>Incomplete</v>
      </c>
    </row>
    <row r="3204" spans="1:17" hidden="1">
      <c r="A3204" s="12">
        <v>46175</v>
      </c>
      <c r="B3204" s="10">
        <v>11</v>
      </c>
      <c r="Q3204" s="10" t="str">
        <f t="shared" si="50"/>
        <v>Incomplete</v>
      </c>
    </row>
    <row r="3205" spans="1:17" hidden="1">
      <c r="A3205" s="12">
        <v>46175</v>
      </c>
      <c r="B3205" s="10">
        <v>12</v>
      </c>
      <c r="Q3205" s="10" t="str">
        <f t="shared" si="50"/>
        <v>Incomplete</v>
      </c>
    </row>
    <row r="3206" spans="1:17" hidden="1">
      <c r="A3206" s="12">
        <v>46175</v>
      </c>
      <c r="B3206" s="10">
        <v>13</v>
      </c>
      <c r="Q3206" s="10" t="str">
        <f t="shared" si="50"/>
        <v>Incomplete</v>
      </c>
    </row>
    <row r="3207" spans="1:17" hidden="1">
      <c r="A3207" s="12">
        <v>46175</v>
      </c>
      <c r="B3207" s="10">
        <v>14</v>
      </c>
      <c r="Q3207" s="10" t="str">
        <f t="shared" si="50"/>
        <v>Incomplete</v>
      </c>
    </row>
    <row r="3208" spans="1:17" hidden="1">
      <c r="A3208" s="12">
        <v>46175</v>
      </c>
      <c r="B3208" s="10">
        <v>15</v>
      </c>
      <c r="Q3208" s="10" t="str">
        <f t="shared" si="50"/>
        <v>Incomplete</v>
      </c>
    </row>
    <row r="3209" spans="1:17" hidden="1">
      <c r="A3209" s="12">
        <v>46175</v>
      </c>
      <c r="B3209" s="10">
        <v>16</v>
      </c>
      <c r="Q3209" s="10" t="str">
        <f t="shared" si="50"/>
        <v>Incomplete</v>
      </c>
    </row>
    <row r="3210" spans="1:17" hidden="1">
      <c r="A3210" s="12">
        <v>46175</v>
      </c>
      <c r="B3210" s="10">
        <v>17</v>
      </c>
      <c r="Q3210" s="10" t="str">
        <f t="shared" si="50"/>
        <v>Incomplete</v>
      </c>
    </row>
    <row r="3211" spans="1:17" hidden="1">
      <c r="A3211" s="12">
        <v>46175</v>
      </c>
      <c r="B3211" s="10">
        <v>18</v>
      </c>
      <c r="Q3211" s="10" t="str">
        <f t="shared" si="50"/>
        <v>Incomplete</v>
      </c>
    </row>
    <row r="3212" spans="1:17" hidden="1">
      <c r="A3212" s="12">
        <v>46175</v>
      </c>
      <c r="B3212" s="10">
        <v>19</v>
      </c>
      <c r="Q3212" s="10" t="str">
        <f t="shared" si="50"/>
        <v>Incomplete</v>
      </c>
    </row>
    <row r="3213" spans="1:17" hidden="1">
      <c r="A3213" s="12">
        <v>46175</v>
      </c>
      <c r="B3213" s="10">
        <v>20</v>
      </c>
      <c r="Q3213" s="10" t="str">
        <f t="shared" si="50"/>
        <v>Incomplete</v>
      </c>
    </row>
    <row r="3214" spans="1:17" hidden="1">
      <c r="A3214" s="12">
        <v>46175</v>
      </c>
      <c r="B3214" s="10">
        <v>21</v>
      </c>
      <c r="Q3214" s="10" t="str">
        <f t="shared" si="50"/>
        <v>Incomplete</v>
      </c>
    </row>
    <row r="3215" spans="1:17" hidden="1">
      <c r="A3215" s="12">
        <v>46176</v>
      </c>
      <c r="B3215" s="10">
        <v>1</v>
      </c>
      <c r="Q3215" s="10" t="str">
        <f t="shared" si="50"/>
        <v>Incomplete</v>
      </c>
    </row>
    <row r="3216" spans="1:17" hidden="1">
      <c r="A3216" s="12">
        <v>46176</v>
      </c>
      <c r="B3216" s="10">
        <v>2</v>
      </c>
      <c r="Q3216" s="10" t="str">
        <f t="shared" si="50"/>
        <v>Incomplete</v>
      </c>
    </row>
    <row r="3217" spans="1:17" hidden="1">
      <c r="A3217" s="12">
        <v>46176</v>
      </c>
      <c r="B3217" s="10">
        <v>3</v>
      </c>
      <c r="Q3217" s="10" t="str">
        <f t="shared" si="50"/>
        <v>Incomplete</v>
      </c>
    </row>
    <row r="3218" spans="1:17" hidden="1">
      <c r="A3218" s="12">
        <v>46176</v>
      </c>
      <c r="B3218" s="10">
        <v>4</v>
      </c>
      <c r="Q3218" s="10" t="str">
        <f t="shared" si="50"/>
        <v>Incomplete</v>
      </c>
    </row>
    <row r="3219" spans="1:17" hidden="1">
      <c r="A3219" s="12">
        <v>46176</v>
      </c>
      <c r="B3219" s="10">
        <v>5</v>
      </c>
      <c r="Q3219" s="10" t="str">
        <f t="shared" si="50"/>
        <v>Incomplete</v>
      </c>
    </row>
    <row r="3220" spans="1:17" hidden="1">
      <c r="A3220" s="12">
        <v>46176</v>
      </c>
      <c r="B3220" s="10">
        <v>6</v>
      </c>
      <c r="Q3220" s="10" t="str">
        <f t="shared" si="50"/>
        <v>Incomplete</v>
      </c>
    </row>
    <row r="3221" spans="1:17" hidden="1">
      <c r="A3221" s="12">
        <v>46176</v>
      </c>
      <c r="B3221" s="10">
        <v>7</v>
      </c>
      <c r="Q3221" s="10" t="str">
        <f t="shared" si="50"/>
        <v>Incomplete</v>
      </c>
    </row>
    <row r="3222" spans="1:17" hidden="1">
      <c r="A3222" s="12">
        <v>46176</v>
      </c>
      <c r="B3222" s="10">
        <v>8</v>
      </c>
      <c r="Q3222" s="10" t="str">
        <f t="shared" si="50"/>
        <v>Incomplete</v>
      </c>
    </row>
    <row r="3223" spans="1:17" hidden="1">
      <c r="A3223" s="12">
        <v>46176</v>
      </c>
      <c r="B3223" s="10">
        <v>9</v>
      </c>
      <c r="Q3223" s="10" t="str">
        <f t="shared" si="50"/>
        <v>Incomplete</v>
      </c>
    </row>
    <row r="3224" spans="1:17" hidden="1">
      <c r="A3224" s="12">
        <v>46176</v>
      </c>
      <c r="B3224" s="10">
        <v>10</v>
      </c>
      <c r="Q3224" s="10" t="str">
        <f t="shared" si="50"/>
        <v>Incomplete</v>
      </c>
    </row>
    <row r="3225" spans="1:17" hidden="1">
      <c r="A3225" s="12">
        <v>46176</v>
      </c>
      <c r="B3225" s="10">
        <v>11</v>
      </c>
      <c r="Q3225" s="10" t="str">
        <f t="shared" si="50"/>
        <v>Incomplete</v>
      </c>
    </row>
    <row r="3226" spans="1:17" hidden="1">
      <c r="A3226" s="12">
        <v>46176</v>
      </c>
      <c r="B3226" s="10">
        <v>12</v>
      </c>
      <c r="Q3226" s="10" t="str">
        <f t="shared" si="50"/>
        <v>Incomplete</v>
      </c>
    </row>
    <row r="3227" spans="1:17" hidden="1">
      <c r="A3227" s="12">
        <v>46176</v>
      </c>
      <c r="B3227" s="10">
        <v>13</v>
      </c>
      <c r="Q3227" s="10" t="str">
        <f t="shared" si="50"/>
        <v>Incomplete</v>
      </c>
    </row>
    <row r="3228" spans="1:17" hidden="1">
      <c r="A3228" s="12">
        <v>46176</v>
      </c>
      <c r="B3228" s="10">
        <v>14</v>
      </c>
      <c r="Q3228" s="10" t="str">
        <f t="shared" si="50"/>
        <v>Incomplete</v>
      </c>
    </row>
    <row r="3229" spans="1:17" hidden="1">
      <c r="A3229" s="12">
        <v>46176</v>
      </c>
      <c r="B3229" s="10">
        <v>15</v>
      </c>
      <c r="Q3229" s="10" t="str">
        <f t="shared" si="50"/>
        <v>Incomplete</v>
      </c>
    </row>
    <row r="3230" spans="1:17" hidden="1">
      <c r="A3230" s="12">
        <v>46176</v>
      </c>
      <c r="B3230" s="10">
        <v>16</v>
      </c>
      <c r="Q3230" s="10" t="str">
        <f t="shared" si="50"/>
        <v>Incomplete</v>
      </c>
    </row>
    <row r="3231" spans="1:17" hidden="1">
      <c r="A3231" s="12">
        <v>46176</v>
      </c>
      <c r="B3231" s="10">
        <v>17</v>
      </c>
      <c r="Q3231" s="10" t="str">
        <f t="shared" si="50"/>
        <v>Incomplete</v>
      </c>
    </row>
    <row r="3232" spans="1:17" hidden="1">
      <c r="A3232" s="12">
        <v>46176</v>
      </c>
      <c r="B3232" s="10">
        <v>18</v>
      </c>
      <c r="Q3232" s="10" t="str">
        <f t="shared" si="50"/>
        <v>Incomplete</v>
      </c>
    </row>
    <row r="3233" spans="1:17" hidden="1">
      <c r="A3233" s="12">
        <v>46176</v>
      </c>
      <c r="B3233" s="10">
        <v>19</v>
      </c>
      <c r="Q3233" s="10" t="str">
        <f t="shared" si="50"/>
        <v>Incomplete</v>
      </c>
    </row>
    <row r="3234" spans="1:17" hidden="1">
      <c r="A3234" s="12">
        <v>46176</v>
      </c>
      <c r="B3234" s="10">
        <v>20</v>
      </c>
      <c r="Q3234" s="10" t="str">
        <f t="shared" si="50"/>
        <v>Incomplete</v>
      </c>
    </row>
    <row r="3235" spans="1:17" hidden="1">
      <c r="A3235" s="12">
        <v>46176</v>
      </c>
      <c r="B3235" s="10">
        <v>21</v>
      </c>
      <c r="Q3235" s="10" t="str">
        <f t="shared" si="50"/>
        <v>Incomplete</v>
      </c>
    </row>
    <row r="3236" spans="1:17" hidden="1">
      <c r="A3236" s="12">
        <v>46177</v>
      </c>
      <c r="B3236" s="10">
        <v>1</v>
      </c>
      <c r="Q3236" s="10" t="str">
        <f t="shared" si="50"/>
        <v>Incomplete</v>
      </c>
    </row>
    <row r="3237" spans="1:17" hidden="1">
      <c r="A3237" s="12">
        <v>46177</v>
      </c>
      <c r="B3237" s="10">
        <v>2</v>
      </c>
      <c r="Q3237" s="10" t="str">
        <f t="shared" si="50"/>
        <v>Incomplete</v>
      </c>
    </row>
    <row r="3238" spans="1:17" hidden="1">
      <c r="A3238" s="12">
        <v>46177</v>
      </c>
      <c r="B3238" s="10">
        <v>3</v>
      </c>
      <c r="Q3238" s="10" t="str">
        <f t="shared" si="50"/>
        <v>Incomplete</v>
      </c>
    </row>
    <row r="3239" spans="1:17" hidden="1">
      <c r="A3239" s="12">
        <v>46177</v>
      </c>
      <c r="B3239" s="10">
        <v>4</v>
      </c>
      <c r="Q3239" s="10" t="str">
        <f t="shared" si="50"/>
        <v>Incomplete</v>
      </c>
    </row>
    <row r="3240" spans="1:17" hidden="1">
      <c r="A3240" s="12">
        <v>46177</v>
      </c>
      <c r="B3240" s="10">
        <v>5</v>
      </c>
      <c r="Q3240" s="10" t="str">
        <f t="shared" si="50"/>
        <v>Incomplete</v>
      </c>
    </row>
    <row r="3241" spans="1:17" hidden="1">
      <c r="A3241" s="12">
        <v>46177</v>
      </c>
      <c r="B3241" s="10">
        <v>6</v>
      </c>
      <c r="Q3241" s="10" t="str">
        <f t="shared" si="50"/>
        <v>Incomplete</v>
      </c>
    </row>
    <row r="3242" spans="1:17" hidden="1">
      <c r="A3242" s="12">
        <v>46177</v>
      </c>
      <c r="B3242" s="10">
        <v>7</v>
      </c>
      <c r="Q3242" s="10" t="str">
        <f t="shared" si="50"/>
        <v>Incomplete</v>
      </c>
    </row>
    <row r="3243" spans="1:17" hidden="1">
      <c r="A3243" s="12">
        <v>46177</v>
      </c>
      <c r="B3243" s="10">
        <v>8</v>
      </c>
      <c r="Q3243" s="10" t="str">
        <f t="shared" si="50"/>
        <v>Incomplete</v>
      </c>
    </row>
    <row r="3244" spans="1:17" hidden="1">
      <c r="A3244" s="12">
        <v>46177</v>
      </c>
      <c r="B3244" s="10">
        <v>9</v>
      </c>
      <c r="Q3244" s="10" t="str">
        <f t="shared" si="50"/>
        <v>Incomplete</v>
      </c>
    </row>
    <row r="3245" spans="1:17" hidden="1">
      <c r="A3245" s="12">
        <v>46177</v>
      </c>
      <c r="B3245" s="10">
        <v>10</v>
      </c>
      <c r="Q3245" s="10" t="str">
        <f t="shared" si="50"/>
        <v>Incomplete</v>
      </c>
    </row>
    <row r="3246" spans="1:17" hidden="1">
      <c r="A3246" s="12">
        <v>46177</v>
      </c>
      <c r="B3246" s="10">
        <v>11</v>
      </c>
      <c r="Q3246" s="10" t="str">
        <f t="shared" si="50"/>
        <v>Incomplete</v>
      </c>
    </row>
    <row r="3247" spans="1:17" hidden="1">
      <c r="A3247" s="12">
        <v>46177</v>
      </c>
      <c r="B3247" s="10">
        <v>12</v>
      </c>
      <c r="Q3247" s="10" t="str">
        <f t="shared" si="50"/>
        <v>Incomplete</v>
      </c>
    </row>
    <row r="3248" spans="1:17" hidden="1">
      <c r="A3248" s="12">
        <v>46177</v>
      </c>
      <c r="B3248" s="10">
        <v>13</v>
      </c>
      <c r="Q3248" s="10" t="str">
        <f t="shared" si="50"/>
        <v>Incomplete</v>
      </c>
    </row>
    <row r="3249" spans="1:17" hidden="1">
      <c r="A3249" s="12">
        <v>46177</v>
      </c>
      <c r="B3249" s="10">
        <v>14</v>
      </c>
      <c r="Q3249" s="10" t="str">
        <f t="shared" si="50"/>
        <v>Incomplete</v>
      </c>
    </row>
    <row r="3250" spans="1:17" hidden="1">
      <c r="A3250" s="12">
        <v>46177</v>
      </c>
      <c r="B3250" s="10">
        <v>15</v>
      </c>
      <c r="Q3250" s="10" t="str">
        <f t="shared" si="50"/>
        <v>Incomplete</v>
      </c>
    </row>
    <row r="3251" spans="1:17" hidden="1">
      <c r="A3251" s="12">
        <v>46177</v>
      </c>
      <c r="B3251" s="10">
        <v>16</v>
      </c>
      <c r="Q3251" s="10" t="str">
        <f t="shared" si="50"/>
        <v>Incomplete</v>
      </c>
    </row>
    <row r="3252" spans="1:17" hidden="1">
      <c r="A3252" s="12">
        <v>46177</v>
      </c>
      <c r="B3252" s="10">
        <v>17</v>
      </c>
      <c r="Q3252" s="10" t="str">
        <f t="shared" si="50"/>
        <v>Incomplete</v>
      </c>
    </row>
    <row r="3253" spans="1:17" hidden="1">
      <c r="A3253" s="12">
        <v>46177</v>
      </c>
      <c r="B3253" s="10">
        <v>18</v>
      </c>
      <c r="Q3253" s="10" t="str">
        <f t="shared" si="50"/>
        <v>Incomplete</v>
      </c>
    </row>
    <row r="3254" spans="1:17" hidden="1">
      <c r="A3254" s="12">
        <v>46177</v>
      </c>
      <c r="B3254" s="10">
        <v>19</v>
      </c>
      <c r="Q3254" s="10" t="str">
        <f t="shared" si="50"/>
        <v>Incomplete</v>
      </c>
    </row>
    <row r="3255" spans="1:17" hidden="1">
      <c r="A3255" s="12">
        <v>46177</v>
      </c>
      <c r="B3255" s="10">
        <v>20</v>
      </c>
      <c r="Q3255" s="10" t="str">
        <f t="shared" si="50"/>
        <v>Incomplete</v>
      </c>
    </row>
    <row r="3256" spans="1:17" hidden="1">
      <c r="A3256" s="12">
        <v>46177</v>
      </c>
      <c r="B3256" s="10">
        <v>21</v>
      </c>
      <c r="Q3256" s="10" t="str">
        <f t="shared" si="50"/>
        <v>Incomplete</v>
      </c>
    </row>
    <row r="3257" spans="1:17" hidden="1">
      <c r="A3257" s="12">
        <v>46178</v>
      </c>
      <c r="B3257" s="10">
        <v>1</v>
      </c>
      <c r="Q3257" s="10" t="str">
        <f t="shared" si="50"/>
        <v>Incomplete</v>
      </c>
    </row>
    <row r="3258" spans="1:17" hidden="1">
      <c r="A3258" s="12">
        <v>46178</v>
      </c>
      <c r="B3258" s="10">
        <v>2</v>
      </c>
      <c r="Q3258" s="10" t="str">
        <f t="shared" si="50"/>
        <v>Incomplete</v>
      </c>
    </row>
    <row r="3259" spans="1:17" hidden="1">
      <c r="A3259" s="12">
        <v>46178</v>
      </c>
      <c r="B3259" s="10">
        <v>3</v>
      </c>
      <c r="Q3259" s="10" t="str">
        <f t="shared" si="50"/>
        <v>Incomplete</v>
      </c>
    </row>
    <row r="3260" spans="1:17" hidden="1">
      <c r="A3260" s="12">
        <v>46178</v>
      </c>
      <c r="B3260" s="10">
        <v>4</v>
      </c>
      <c r="Q3260" s="10" t="str">
        <f t="shared" si="50"/>
        <v>Incomplete</v>
      </c>
    </row>
    <row r="3261" spans="1:17" hidden="1">
      <c r="A3261" s="12">
        <v>46178</v>
      </c>
      <c r="B3261" s="10">
        <v>5</v>
      </c>
      <c r="Q3261" s="10" t="str">
        <f t="shared" si="50"/>
        <v>Incomplete</v>
      </c>
    </row>
    <row r="3262" spans="1:17" hidden="1">
      <c r="A3262" s="12">
        <v>46178</v>
      </c>
      <c r="B3262" s="10">
        <v>6</v>
      </c>
      <c r="Q3262" s="10" t="str">
        <f t="shared" si="50"/>
        <v>Incomplete</v>
      </c>
    </row>
    <row r="3263" spans="1:17" hidden="1">
      <c r="A3263" s="12">
        <v>46178</v>
      </c>
      <c r="B3263" s="10">
        <v>7</v>
      </c>
      <c r="Q3263" s="10" t="str">
        <f t="shared" si="50"/>
        <v>Incomplete</v>
      </c>
    </row>
    <row r="3264" spans="1:17" hidden="1">
      <c r="A3264" s="12">
        <v>46178</v>
      </c>
      <c r="B3264" s="10">
        <v>8</v>
      </c>
      <c r="Q3264" s="10" t="str">
        <f t="shared" si="50"/>
        <v>Incomplete</v>
      </c>
    </row>
    <row r="3265" spans="1:17" hidden="1">
      <c r="A3265" s="12">
        <v>46178</v>
      </c>
      <c r="B3265" s="10">
        <v>9</v>
      </c>
      <c r="Q3265" s="10" t="str">
        <f t="shared" si="50"/>
        <v>Incomplete</v>
      </c>
    </row>
    <row r="3266" spans="1:17" hidden="1">
      <c r="A3266" s="12">
        <v>46178</v>
      </c>
      <c r="B3266" s="10">
        <v>10</v>
      </c>
      <c r="Q3266" s="10" t="str">
        <f t="shared" ref="Q3266:Q3329" si="51">IF(AND(C3266&lt;&gt;"",J3266&lt;&gt;"",K3266&lt;&gt;"",L3266&lt;&gt;"",O3266="Yes"),"Complete","Incomplete")</f>
        <v>Incomplete</v>
      </c>
    </row>
    <row r="3267" spans="1:17" hidden="1">
      <c r="A3267" s="12">
        <v>46178</v>
      </c>
      <c r="B3267" s="10">
        <v>11</v>
      </c>
      <c r="Q3267" s="10" t="str">
        <f t="shared" si="51"/>
        <v>Incomplete</v>
      </c>
    </row>
    <row r="3268" spans="1:17" hidden="1">
      <c r="A3268" s="12">
        <v>46178</v>
      </c>
      <c r="B3268" s="10">
        <v>12</v>
      </c>
      <c r="Q3268" s="10" t="str">
        <f t="shared" si="51"/>
        <v>Incomplete</v>
      </c>
    </row>
    <row r="3269" spans="1:17" hidden="1">
      <c r="A3269" s="12">
        <v>46178</v>
      </c>
      <c r="B3269" s="10">
        <v>13</v>
      </c>
      <c r="Q3269" s="10" t="str">
        <f t="shared" si="51"/>
        <v>Incomplete</v>
      </c>
    </row>
    <row r="3270" spans="1:17" hidden="1">
      <c r="A3270" s="12">
        <v>46178</v>
      </c>
      <c r="B3270" s="10">
        <v>14</v>
      </c>
      <c r="Q3270" s="10" t="str">
        <f t="shared" si="51"/>
        <v>Incomplete</v>
      </c>
    </row>
    <row r="3271" spans="1:17" hidden="1">
      <c r="A3271" s="12">
        <v>46178</v>
      </c>
      <c r="B3271" s="10">
        <v>15</v>
      </c>
      <c r="Q3271" s="10" t="str">
        <f t="shared" si="51"/>
        <v>Incomplete</v>
      </c>
    </row>
    <row r="3272" spans="1:17" hidden="1">
      <c r="A3272" s="12">
        <v>46178</v>
      </c>
      <c r="B3272" s="10">
        <v>16</v>
      </c>
      <c r="Q3272" s="10" t="str">
        <f t="shared" si="51"/>
        <v>Incomplete</v>
      </c>
    </row>
    <row r="3273" spans="1:17" hidden="1">
      <c r="A3273" s="12">
        <v>46178</v>
      </c>
      <c r="B3273" s="10">
        <v>17</v>
      </c>
      <c r="Q3273" s="10" t="str">
        <f t="shared" si="51"/>
        <v>Incomplete</v>
      </c>
    </row>
    <row r="3274" spans="1:17" hidden="1">
      <c r="A3274" s="12">
        <v>46178</v>
      </c>
      <c r="B3274" s="10">
        <v>18</v>
      </c>
      <c r="Q3274" s="10" t="str">
        <f t="shared" si="51"/>
        <v>Incomplete</v>
      </c>
    </row>
    <row r="3275" spans="1:17" hidden="1">
      <c r="A3275" s="12">
        <v>46178</v>
      </c>
      <c r="B3275" s="10">
        <v>19</v>
      </c>
      <c r="Q3275" s="10" t="str">
        <f t="shared" si="51"/>
        <v>Incomplete</v>
      </c>
    </row>
    <row r="3276" spans="1:17" hidden="1">
      <c r="A3276" s="12">
        <v>46178</v>
      </c>
      <c r="B3276" s="10">
        <v>20</v>
      </c>
      <c r="Q3276" s="10" t="str">
        <f t="shared" si="51"/>
        <v>Incomplete</v>
      </c>
    </row>
    <row r="3277" spans="1:17" hidden="1">
      <c r="A3277" s="12">
        <v>46178</v>
      </c>
      <c r="B3277" s="10">
        <v>21</v>
      </c>
      <c r="Q3277" s="10" t="str">
        <f t="shared" si="51"/>
        <v>Incomplete</v>
      </c>
    </row>
    <row r="3278" spans="1:17" hidden="1">
      <c r="A3278" s="12">
        <v>46179</v>
      </c>
      <c r="B3278" s="10">
        <v>1</v>
      </c>
      <c r="Q3278" s="10" t="str">
        <f t="shared" si="51"/>
        <v>Incomplete</v>
      </c>
    </row>
    <row r="3279" spans="1:17" hidden="1">
      <c r="A3279" s="12">
        <v>46179</v>
      </c>
      <c r="B3279" s="10">
        <v>2</v>
      </c>
      <c r="Q3279" s="10" t="str">
        <f t="shared" si="51"/>
        <v>Incomplete</v>
      </c>
    </row>
    <row r="3280" spans="1:17" hidden="1">
      <c r="A3280" s="12">
        <v>46179</v>
      </c>
      <c r="B3280" s="10">
        <v>3</v>
      </c>
      <c r="Q3280" s="10" t="str">
        <f t="shared" si="51"/>
        <v>Incomplete</v>
      </c>
    </row>
    <row r="3281" spans="1:17" hidden="1">
      <c r="A3281" s="12">
        <v>46179</v>
      </c>
      <c r="B3281" s="10">
        <v>4</v>
      </c>
      <c r="Q3281" s="10" t="str">
        <f t="shared" si="51"/>
        <v>Incomplete</v>
      </c>
    </row>
    <row r="3282" spans="1:17" hidden="1">
      <c r="A3282" s="12">
        <v>46179</v>
      </c>
      <c r="B3282" s="10">
        <v>5</v>
      </c>
      <c r="Q3282" s="10" t="str">
        <f t="shared" si="51"/>
        <v>Incomplete</v>
      </c>
    </row>
    <row r="3283" spans="1:17" hidden="1">
      <c r="A3283" s="12">
        <v>46179</v>
      </c>
      <c r="B3283" s="10">
        <v>6</v>
      </c>
      <c r="Q3283" s="10" t="str">
        <f t="shared" si="51"/>
        <v>Incomplete</v>
      </c>
    </row>
    <row r="3284" spans="1:17" hidden="1">
      <c r="A3284" s="12">
        <v>46179</v>
      </c>
      <c r="B3284" s="10">
        <v>7</v>
      </c>
      <c r="Q3284" s="10" t="str">
        <f t="shared" si="51"/>
        <v>Incomplete</v>
      </c>
    </row>
    <row r="3285" spans="1:17" hidden="1">
      <c r="A3285" s="12">
        <v>46179</v>
      </c>
      <c r="B3285" s="10">
        <v>8</v>
      </c>
      <c r="Q3285" s="10" t="str">
        <f t="shared" si="51"/>
        <v>Incomplete</v>
      </c>
    </row>
    <row r="3286" spans="1:17" hidden="1">
      <c r="A3286" s="12">
        <v>46179</v>
      </c>
      <c r="B3286" s="10">
        <v>9</v>
      </c>
      <c r="Q3286" s="10" t="str">
        <f t="shared" si="51"/>
        <v>Incomplete</v>
      </c>
    </row>
    <row r="3287" spans="1:17" hidden="1">
      <c r="A3287" s="12">
        <v>46179</v>
      </c>
      <c r="B3287" s="10">
        <v>10</v>
      </c>
      <c r="Q3287" s="10" t="str">
        <f t="shared" si="51"/>
        <v>Incomplete</v>
      </c>
    </row>
    <row r="3288" spans="1:17" hidden="1">
      <c r="A3288" s="12">
        <v>46179</v>
      </c>
      <c r="B3288" s="10">
        <v>11</v>
      </c>
      <c r="Q3288" s="10" t="str">
        <f t="shared" si="51"/>
        <v>Incomplete</v>
      </c>
    </row>
    <row r="3289" spans="1:17" hidden="1">
      <c r="A3289" s="12">
        <v>46179</v>
      </c>
      <c r="B3289" s="10">
        <v>12</v>
      </c>
      <c r="Q3289" s="10" t="str">
        <f t="shared" si="51"/>
        <v>Incomplete</v>
      </c>
    </row>
    <row r="3290" spans="1:17" hidden="1">
      <c r="A3290" s="12">
        <v>46179</v>
      </c>
      <c r="B3290" s="10">
        <v>13</v>
      </c>
      <c r="Q3290" s="10" t="str">
        <f t="shared" si="51"/>
        <v>Incomplete</v>
      </c>
    </row>
    <row r="3291" spans="1:17" hidden="1">
      <c r="A3291" s="12">
        <v>46179</v>
      </c>
      <c r="B3291" s="10">
        <v>14</v>
      </c>
      <c r="Q3291" s="10" t="str">
        <f t="shared" si="51"/>
        <v>Incomplete</v>
      </c>
    </row>
    <row r="3292" spans="1:17" hidden="1">
      <c r="A3292" s="12">
        <v>46179</v>
      </c>
      <c r="B3292" s="10">
        <v>15</v>
      </c>
      <c r="Q3292" s="10" t="str">
        <f t="shared" si="51"/>
        <v>Incomplete</v>
      </c>
    </row>
    <row r="3293" spans="1:17" hidden="1">
      <c r="A3293" s="12">
        <v>46179</v>
      </c>
      <c r="B3293" s="10">
        <v>16</v>
      </c>
      <c r="Q3293" s="10" t="str">
        <f t="shared" si="51"/>
        <v>Incomplete</v>
      </c>
    </row>
    <row r="3294" spans="1:17" hidden="1">
      <c r="A3294" s="12">
        <v>46179</v>
      </c>
      <c r="B3294" s="10">
        <v>17</v>
      </c>
      <c r="Q3294" s="10" t="str">
        <f t="shared" si="51"/>
        <v>Incomplete</v>
      </c>
    </row>
    <row r="3295" spans="1:17" hidden="1">
      <c r="A3295" s="12">
        <v>46179</v>
      </c>
      <c r="B3295" s="10">
        <v>18</v>
      </c>
      <c r="Q3295" s="10" t="str">
        <f t="shared" si="51"/>
        <v>Incomplete</v>
      </c>
    </row>
    <row r="3296" spans="1:17" hidden="1">
      <c r="A3296" s="12">
        <v>46179</v>
      </c>
      <c r="B3296" s="10">
        <v>19</v>
      </c>
      <c r="Q3296" s="10" t="str">
        <f t="shared" si="51"/>
        <v>Incomplete</v>
      </c>
    </row>
    <row r="3297" spans="1:17" hidden="1">
      <c r="A3297" s="12">
        <v>46179</v>
      </c>
      <c r="B3297" s="10">
        <v>20</v>
      </c>
      <c r="Q3297" s="10" t="str">
        <f t="shared" si="51"/>
        <v>Incomplete</v>
      </c>
    </row>
    <row r="3298" spans="1:17" hidden="1">
      <c r="A3298" s="12">
        <v>46179</v>
      </c>
      <c r="B3298" s="10">
        <v>21</v>
      </c>
      <c r="Q3298" s="10" t="str">
        <f t="shared" si="51"/>
        <v>Incomplete</v>
      </c>
    </row>
    <row r="3299" spans="1:17" hidden="1">
      <c r="A3299" s="12">
        <v>46180</v>
      </c>
      <c r="B3299" s="10">
        <v>1</v>
      </c>
      <c r="Q3299" s="10" t="str">
        <f t="shared" si="51"/>
        <v>Incomplete</v>
      </c>
    </row>
    <row r="3300" spans="1:17" hidden="1">
      <c r="A3300" s="12">
        <v>46180</v>
      </c>
      <c r="B3300" s="10">
        <v>2</v>
      </c>
      <c r="Q3300" s="10" t="str">
        <f t="shared" si="51"/>
        <v>Incomplete</v>
      </c>
    </row>
    <row r="3301" spans="1:17" hidden="1">
      <c r="A3301" s="12">
        <v>46180</v>
      </c>
      <c r="B3301" s="10">
        <v>3</v>
      </c>
      <c r="Q3301" s="10" t="str">
        <f t="shared" si="51"/>
        <v>Incomplete</v>
      </c>
    </row>
    <row r="3302" spans="1:17" hidden="1">
      <c r="A3302" s="12">
        <v>46180</v>
      </c>
      <c r="B3302" s="10">
        <v>4</v>
      </c>
      <c r="Q3302" s="10" t="str">
        <f t="shared" si="51"/>
        <v>Incomplete</v>
      </c>
    </row>
    <row r="3303" spans="1:17" hidden="1">
      <c r="A3303" s="12">
        <v>46180</v>
      </c>
      <c r="B3303" s="10">
        <v>5</v>
      </c>
      <c r="Q3303" s="10" t="str">
        <f t="shared" si="51"/>
        <v>Incomplete</v>
      </c>
    </row>
    <row r="3304" spans="1:17" hidden="1">
      <c r="A3304" s="12">
        <v>46180</v>
      </c>
      <c r="B3304" s="10">
        <v>6</v>
      </c>
      <c r="Q3304" s="10" t="str">
        <f t="shared" si="51"/>
        <v>Incomplete</v>
      </c>
    </row>
    <row r="3305" spans="1:17" hidden="1">
      <c r="A3305" s="12">
        <v>46180</v>
      </c>
      <c r="B3305" s="10">
        <v>7</v>
      </c>
      <c r="Q3305" s="10" t="str">
        <f t="shared" si="51"/>
        <v>Incomplete</v>
      </c>
    </row>
    <row r="3306" spans="1:17" hidden="1">
      <c r="A3306" s="12">
        <v>46180</v>
      </c>
      <c r="B3306" s="10">
        <v>8</v>
      </c>
      <c r="Q3306" s="10" t="str">
        <f t="shared" si="51"/>
        <v>Incomplete</v>
      </c>
    </row>
    <row r="3307" spans="1:17" hidden="1">
      <c r="A3307" s="12">
        <v>46180</v>
      </c>
      <c r="B3307" s="10">
        <v>9</v>
      </c>
      <c r="Q3307" s="10" t="str">
        <f t="shared" si="51"/>
        <v>Incomplete</v>
      </c>
    </row>
    <row r="3308" spans="1:17" hidden="1">
      <c r="A3308" s="12">
        <v>46180</v>
      </c>
      <c r="B3308" s="10">
        <v>10</v>
      </c>
      <c r="Q3308" s="10" t="str">
        <f t="shared" si="51"/>
        <v>Incomplete</v>
      </c>
    </row>
    <row r="3309" spans="1:17" hidden="1">
      <c r="A3309" s="12">
        <v>46180</v>
      </c>
      <c r="B3309" s="10">
        <v>11</v>
      </c>
      <c r="Q3309" s="10" t="str">
        <f t="shared" si="51"/>
        <v>Incomplete</v>
      </c>
    </row>
    <row r="3310" spans="1:17" hidden="1">
      <c r="A3310" s="12">
        <v>46180</v>
      </c>
      <c r="B3310" s="10">
        <v>12</v>
      </c>
      <c r="Q3310" s="10" t="str">
        <f t="shared" si="51"/>
        <v>Incomplete</v>
      </c>
    </row>
    <row r="3311" spans="1:17" hidden="1">
      <c r="A3311" s="12">
        <v>46180</v>
      </c>
      <c r="B3311" s="10">
        <v>13</v>
      </c>
      <c r="Q3311" s="10" t="str">
        <f t="shared" si="51"/>
        <v>Incomplete</v>
      </c>
    </row>
    <row r="3312" spans="1:17" hidden="1">
      <c r="A3312" s="12">
        <v>46180</v>
      </c>
      <c r="B3312" s="10">
        <v>14</v>
      </c>
      <c r="Q3312" s="10" t="str">
        <f t="shared" si="51"/>
        <v>Incomplete</v>
      </c>
    </row>
    <row r="3313" spans="1:17" hidden="1">
      <c r="A3313" s="12">
        <v>46180</v>
      </c>
      <c r="B3313" s="10">
        <v>15</v>
      </c>
      <c r="Q3313" s="10" t="str">
        <f t="shared" si="51"/>
        <v>Incomplete</v>
      </c>
    </row>
    <row r="3314" spans="1:17" hidden="1">
      <c r="A3314" s="12">
        <v>46180</v>
      </c>
      <c r="B3314" s="10">
        <v>16</v>
      </c>
      <c r="Q3314" s="10" t="str">
        <f t="shared" si="51"/>
        <v>Incomplete</v>
      </c>
    </row>
    <row r="3315" spans="1:17" hidden="1">
      <c r="A3315" s="12">
        <v>46180</v>
      </c>
      <c r="B3315" s="10">
        <v>17</v>
      </c>
      <c r="Q3315" s="10" t="str">
        <f t="shared" si="51"/>
        <v>Incomplete</v>
      </c>
    </row>
    <row r="3316" spans="1:17" hidden="1">
      <c r="A3316" s="12">
        <v>46180</v>
      </c>
      <c r="B3316" s="10">
        <v>18</v>
      </c>
      <c r="Q3316" s="10" t="str">
        <f t="shared" si="51"/>
        <v>Incomplete</v>
      </c>
    </row>
    <row r="3317" spans="1:17" hidden="1">
      <c r="A3317" s="12">
        <v>46180</v>
      </c>
      <c r="B3317" s="10">
        <v>19</v>
      </c>
      <c r="Q3317" s="10" t="str">
        <f t="shared" si="51"/>
        <v>Incomplete</v>
      </c>
    </row>
    <row r="3318" spans="1:17" hidden="1">
      <c r="A3318" s="12">
        <v>46180</v>
      </c>
      <c r="B3318" s="10">
        <v>20</v>
      </c>
      <c r="Q3318" s="10" t="str">
        <f t="shared" si="51"/>
        <v>Incomplete</v>
      </c>
    </row>
    <row r="3319" spans="1:17" hidden="1">
      <c r="A3319" s="12">
        <v>46180</v>
      </c>
      <c r="B3319" s="10">
        <v>21</v>
      </c>
      <c r="Q3319" s="10" t="str">
        <f t="shared" si="51"/>
        <v>Incomplete</v>
      </c>
    </row>
    <row r="3320" spans="1:17" hidden="1">
      <c r="A3320" s="12">
        <v>46181</v>
      </c>
      <c r="B3320" s="10">
        <v>1</v>
      </c>
      <c r="Q3320" s="10" t="str">
        <f t="shared" si="51"/>
        <v>Incomplete</v>
      </c>
    </row>
    <row r="3321" spans="1:17" hidden="1">
      <c r="A3321" s="12">
        <v>46181</v>
      </c>
      <c r="B3321" s="10">
        <v>2</v>
      </c>
      <c r="Q3321" s="10" t="str">
        <f t="shared" si="51"/>
        <v>Incomplete</v>
      </c>
    </row>
    <row r="3322" spans="1:17" hidden="1">
      <c r="A3322" s="12">
        <v>46181</v>
      </c>
      <c r="B3322" s="10">
        <v>3</v>
      </c>
      <c r="Q3322" s="10" t="str">
        <f t="shared" si="51"/>
        <v>Incomplete</v>
      </c>
    </row>
    <row r="3323" spans="1:17" hidden="1">
      <c r="A3323" s="12">
        <v>46181</v>
      </c>
      <c r="B3323" s="10">
        <v>4</v>
      </c>
      <c r="Q3323" s="10" t="str">
        <f t="shared" si="51"/>
        <v>Incomplete</v>
      </c>
    </row>
    <row r="3324" spans="1:17" hidden="1">
      <c r="A3324" s="12">
        <v>46181</v>
      </c>
      <c r="B3324" s="10">
        <v>5</v>
      </c>
      <c r="Q3324" s="10" t="str">
        <f t="shared" si="51"/>
        <v>Incomplete</v>
      </c>
    </row>
    <row r="3325" spans="1:17" hidden="1">
      <c r="A3325" s="12">
        <v>46181</v>
      </c>
      <c r="B3325" s="10">
        <v>6</v>
      </c>
      <c r="Q3325" s="10" t="str">
        <f t="shared" si="51"/>
        <v>Incomplete</v>
      </c>
    </row>
    <row r="3326" spans="1:17" hidden="1">
      <c r="A3326" s="12">
        <v>46181</v>
      </c>
      <c r="B3326" s="10">
        <v>7</v>
      </c>
      <c r="Q3326" s="10" t="str">
        <f t="shared" si="51"/>
        <v>Incomplete</v>
      </c>
    </row>
    <row r="3327" spans="1:17" hidden="1">
      <c r="A3327" s="12">
        <v>46181</v>
      </c>
      <c r="B3327" s="10">
        <v>8</v>
      </c>
      <c r="Q3327" s="10" t="str">
        <f t="shared" si="51"/>
        <v>Incomplete</v>
      </c>
    </row>
    <row r="3328" spans="1:17" hidden="1">
      <c r="A3328" s="12">
        <v>46181</v>
      </c>
      <c r="B3328" s="10">
        <v>9</v>
      </c>
      <c r="Q3328" s="10" t="str">
        <f t="shared" si="51"/>
        <v>Incomplete</v>
      </c>
    </row>
    <row r="3329" spans="1:17" hidden="1">
      <c r="A3329" s="12">
        <v>46181</v>
      </c>
      <c r="B3329" s="10">
        <v>10</v>
      </c>
      <c r="Q3329" s="10" t="str">
        <f t="shared" si="51"/>
        <v>Incomplete</v>
      </c>
    </row>
    <row r="3330" spans="1:17" hidden="1">
      <c r="A3330" s="12">
        <v>46181</v>
      </c>
      <c r="B3330" s="10">
        <v>11</v>
      </c>
      <c r="Q3330" s="10" t="str">
        <f t="shared" ref="Q3330:Q3393" si="52">IF(AND(C3330&lt;&gt;"",J3330&lt;&gt;"",K3330&lt;&gt;"",L3330&lt;&gt;"",O3330="Yes"),"Complete","Incomplete")</f>
        <v>Incomplete</v>
      </c>
    </row>
    <row r="3331" spans="1:17" hidden="1">
      <c r="A3331" s="12">
        <v>46181</v>
      </c>
      <c r="B3331" s="10">
        <v>12</v>
      </c>
      <c r="Q3331" s="10" t="str">
        <f t="shared" si="52"/>
        <v>Incomplete</v>
      </c>
    </row>
    <row r="3332" spans="1:17" hidden="1">
      <c r="A3332" s="12">
        <v>46181</v>
      </c>
      <c r="B3332" s="10">
        <v>13</v>
      </c>
      <c r="Q3332" s="10" t="str">
        <f t="shared" si="52"/>
        <v>Incomplete</v>
      </c>
    </row>
    <row r="3333" spans="1:17" hidden="1">
      <c r="A3333" s="12">
        <v>46181</v>
      </c>
      <c r="B3333" s="10">
        <v>14</v>
      </c>
      <c r="Q3333" s="10" t="str">
        <f t="shared" si="52"/>
        <v>Incomplete</v>
      </c>
    </row>
    <row r="3334" spans="1:17" hidden="1">
      <c r="A3334" s="12">
        <v>46181</v>
      </c>
      <c r="B3334" s="10">
        <v>15</v>
      </c>
      <c r="Q3334" s="10" t="str">
        <f t="shared" si="52"/>
        <v>Incomplete</v>
      </c>
    </row>
    <row r="3335" spans="1:17" hidden="1">
      <c r="A3335" s="12">
        <v>46181</v>
      </c>
      <c r="B3335" s="10">
        <v>16</v>
      </c>
      <c r="Q3335" s="10" t="str">
        <f t="shared" si="52"/>
        <v>Incomplete</v>
      </c>
    </row>
    <row r="3336" spans="1:17" hidden="1">
      <c r="A3336" s="12">
        <v>46181</v>
      </c>
      <c r="B3336" s="10">
        <v>17</v>
      </c>
      <c r="Q3336" s="10" t="str">
        <f t="shared" si="52"/>
        <v>Incomplete</v>
      </c>
    </row>
    <row r="3337" spans="1:17" hidden="1">
      <c r="A3337" s="12">
        <v>46181</v>
      </c>
      <c r="B3337" s="10">
        <v>18</v>
      </c>
      <c r="Q3337" s="10" t="str">
        <f t="shared" si="52"/>
        <v>Incomplete</v>
      </c>
    </row>
    <row r="3338" spans="1:17" hidden="1">
      <c r="A3338" s="12">
        <v>46181</v>
      </c>
      <c r="B3338" s="10">
        <v>19</v>
      </c>
      <c r="Q3338" s="10" t="str">
        <f t="shared" si="52"/>
        <v>Incomplete</v>
      </c>
    </row>
    <row r="3339" spans="1:17" hidden="1">
      <c r="A3339" s="12">
        <v>46181</v>
      </c>
      <c r="B3339" s="10">
        <v>20</v>
      </c>
      <c r="Q3339" s="10" t="str">
        <f t="shared" si="52"/>
        <v>Incomplete</v>
      </c>
    </row>
    <row r="3340" spans="1:17" hidden="1">
      <c r="A3340" s="12">
        <v>46181</v>
      </c>
      <c r="B3340" s="10">
        <v>21</v>
      </c>
      <c r="Q3340" s="10" t="str">
        <f t="shared" si="52"/>
        <v>Incomplete</v>
      </c>
    </row>
    <row r="3341" spans="1:17" hidden="1">
      <c r="A3341" s="12">
        <v>46182</v>
      </c>
      <c r="B3341" s="10">
        <v>1</v>
      </c>
      <c r="Q3341" s="10" t="str">
        <f t="shared" si="52"/>
        <v>Incomplete</v>
      </c>
    </row>
    <row r="3342" spans="1:17" hidden="1">
      <c r="A3342" s="12">
        <v>46182</v>
      </c>
      <c r="B3342" s="10">
        <v>2</v>
      </c>
      <c r="Q3342" s="10" t="str">
        <f t="shared" si="52"/>
        <v>Incomplete</v>
      </c>
    </row>
    <row r="3343" spans="1:17" hidden="1">
      <c r="A3343" s="12">
        <v>46182</v>
      </c>
      <c r="B3343" s="10">
        <v>3</v>
      </c>
      <c r="Q3343" s="10" t="str">
        <f t="shared" si="52"/>
        <v>Incomplete</v>
      </c>
    </row>
    <row r="3344" spans="1:17" hidden="1">
      <c r="A3344" s="12">
        <v>46182</v>
      </c>
      <c r="B3344" s="10">
        <v>4</v>
      </c>
      <c r="Q3344" s="10" t="str">
        <f t="shared" si="52"/>
        <v>Incomplete</v>
      </c>
    </row>
    <row r="3345" spans="1:17" hidden="1">
      <c r="A3345" s="12">
        <v>46182</v>
      </c>
      <c r="B3345" s="10">
        <v>5</v>
      </c>
      <c r="Q3345" s="10" t="str">
        <f t="shared" si="52"/>
        <v>Incomplete</v>
      </c>
    </row>
    <row r="3346" spans="1:17" hidden="1">
      <c r="A3346" s="12">
        <v>46182</v>
      </c>
      <c r="B3346" s="10">
        <v>6</v>
      </c>
      <c r="Q3346" s="10" t="str">
        <f t="shared" si="52"/>
        <v>Incomplete</v>
      </c>
    </row>
    <row r="3347" spans="1:17" hidden="1">
      <c r="A3347" s="12">
        <v>46182</v>
      </c>
      <c r="B3347" s="10">
        <v>7</v>
      </c>
      <c r="Q3347" s="10" t="str">
        <f t="shared" si="52"/>
        <v>Incomplete</v>
      </c>
    </row>
    <row r="3348" spans="1:17" hidden="1">
      <c r="A3348" s="12">
        <v>46182</v>
      </c>
      <c r="B3348" s="10">
        <v>8</v>
      </c>
      <c r="Q3348" s="10" t="str">
        <f t="shared" si="52"/>
        <v>Incomplete</v>
      </c>
    </row>
    <row r="3349" spans="1:17" hidden="1">
      <c r="A3349" s="12">
        <v>46182</v>
      </c>
      <c r="B3349" s="10">
        <v>9</v>
      </c>
      <c r="Q3349" s="10" t="str">
        <f t="shared" si="52"/>
        <v>Incomplete</v>
      </c>
    </row>
    <row r="3350" spans="1:17" hidden="1">
      <c r="A3350" s="12">
        <v>46182</v>
      </c>
      <c r="B3350" s="10">
        <v>10</v>
      </c>
      <c r="Q3350" s="10" t="str">
        <f t="shared" si="52"/>
        <v>Incomplete</v>
      </c>
    </row>
    <row r="3351" spans="1:17" hidden="1">
      <c r="A3351" s="12">
        <v>46182</v>
      </c>
      <c r="B3351" s="10">
        <v>11</v>
      </c>
      <c r="Q3351" s="10" t="str">
        <f t="shared" si="52"/>
        <v>Incomplete</v>
      </c>
    </row>
    <row r="3352" spans="1:17" hidden="1">
      <c r="A3352" s="12">
        <v>46182</v>
      </c>
      <c r="B3352" s="10">
        <v>12</v>
      </c>
      <c r="Q3352" s="10" t="str">
        <f t="shared" si="52"/>
        <v>Incomplete</v>
      </c>
    </row>
    <row r="3353" spans="1:17" hidden="1">
      <c r="A3353" s="12">
        <v>46182</v>
      </c>
      <c r="B3353" s="10">
        <v>13</v>
      </c>
      <c r="Q3353" s="10" t="str">
        <f t="shared" si="52"/>
        <v>Incomplete</v>
      </c>
    </row>
    <row r="3354" spans="1:17" hidden="1">
      <c r="A3354" s="12">
        <v>46182</v>
      </c>
      <c r="B3354" s="10">
        <v>14</v>
      </c>
      <c r="Q3354" s="10" t="str">
        <f t="shared" si="52"/>
        <v>Incomplete</v>
      </c>
    </row>
    <row r="3355" spans="1:17" hidden="1">
      <c r="A3355" s="12">
        <v>46182</v>
      </c>
      <c r="B3355" s="10">
        <v>15</v>
      </c>
      <c r="Q3355" s="10" t="str">
        <f t="shared" si="52"/>
        <v>Incomplete</v>
      </c>
    </row>
    <row r="3356" spans="1:17" hidden="1">
      <c r="A3356" s="12">
        <v>46182</v>
      </c>
      <c r="B3356" s="10">
        <v>16</v>
      </c>
      <c r="Q3356" s="10" t="str">
        <f t="shared" si="52"/>
        <v>Incomplete</v>
      </c>
    </row>
    <row r="3357" spans="1:17" hidden="1">
      <c r="A3357" s="12">
        <v>46182</v>
      </c>
      <c r="B3357" s="10">
        <v>17</v>
      </c>
      <c r="Q3357" s="10" t="str">
        <f t="shared" si="52"/>
        <v>Incomplete</v>
      </c>
    </row>
    <row r="3358" spans="1:17" hidden="1">
      <c r="A3358" s="12">
        <v>46182</v>
      </c>
      <c r="B3358" s="10">
        <v>18</v>
      </c>
      <c r="Q3358" s="10" t="str">
        <f t="shared" si="52"/>
        <v>Incomplete</v>
      </c>
    </row>
    <row r="3359" spans="1:17" hidden="1">
      <c r="A3359" s="12">
        <v>46182</v>
      </c>
      <c r="B3359" s="10">
        <v>19</v>
      </c>
      <c r="Q3359" s="10" t="str">
        <f t="shared" si="52"/>
        <v>Incomplete</v>
      </c>
    </row>
    <row r="3360" spans="1:17" hidden="1">
      <c r="A3360" s="12">
        <v>46182</v>
      </c>
      <c r="B3360" s="10">
        <v>20</v>
      </c>
      <c r="Q3360" s="10" t="str">
        <f t="shared" si="52"/>
        <v>Incomplete</v>
      </c>
    </row>
    <row r="3361" spans="1:17" hidden="1">
      <c r="A3361" s="12">
        <v>46182</v>
      </c>
      <c r="B3361" s="10">
        <v>21</v>
      </c>
      <c r="Q3361" s="10" t="str">
        <f t="shared" si="52"/>
        <v>Incomplete</v>
      </c>
    </row>
    <row r="3362" spans="1:17" hidden="1">
      <c r="A3362" s="12">
        <v>46183</v>
      </c>
      <c r="B3362" s="10">
        <v>1</v>
      </c>
      <c r="Q3362" s="10" t="str">
        <f t="shared" si="52"/>
        <v>Incomplete</v>
      </c>
    </row>
    <row r="3363" spans="1:17" hidden="1">
      <c r="A3363" s="12">
        <v>46183</v>
      </c>
      <c r="B3363" s="10">
        <v>2</v>
      </c>
      <c r="Q3363" s="10" t="str">
        <f t="shared" si="52"/>
        <v>Incomplete</v>
      </c>
    </row>
    <row r="3364" spans="1:17" hidden="1">
      <c r="A3364" s="12">
        <v>46183</v>
      </c>
      <c r="B3364" s="10">
        <v>3</v>
      </c>
      <c r="Q3364" s="10" t="str">
        <f t="shared" si="52"/>
        <v>Incomplete</v>
      </c>
    </row>
    <row r="3365" spans="1:17" hidden="1">
      <c r="A3365" s="12">
        <v>46183</v>
      </c>
      <c r="B3365" s="10">
        <v>4</v>
      </c>
      <c r="Q3365" s="10" t="str">
        <f t="shared" si="52"/>
        <v>Incomplete</v>
      </c>
    </row>
    <row r="3366" spans="1:17" hidden="1">
      <c r="A3366" s="12">
        <v>46183</v>
      </c>
      <c r="B3366" s="10">
        <v>5</v>
      </c>
      <c r="Q3366" s="10" t="str">
        <f t="shared" si="52"/>
        <v>Incomplete</v>
      </c>
    </row>
    <row r="3367" spans="1:17" hidden="1">
      <c r="A3367" s="12">
        <v>46183</v>
      </c>
      <c r="B3367" s="10">
        <v>6</v>
      </c>
      <c r="Q3367" s="10" t="str">
        <f t="shared" si="52"/>
        <v>Incomplete</v>
      </c>
    </row>
    <row r="3368" spans="1:17" hidden="1">
      <c r="A3368" s="12">
        <v>46183</v>
      </c>
      <c r="B3368" s="10">
        <v>7</v>
      </c>
      <c r="Q3368" s="10" t="str">
        <f t="shared" si="52"/>
        <v>Incomplete</v>
      </c>
    </row>
    <row r="3369" spans="1:17" hidden="1">
      <c r="A3369" s="12">
        <v>46183</v>
      </c>
      <c r="B3369" s="10">
        <v>8</v>
      </c>
      <c r="Q3369" s="10" t="str">
        <f t="shared" si="52"/>
        <v>Incomplete</v>
      </c>
    </row>
    <row r="3370" spans="1:17" hidden="1">
      <c r="A3370" s="12">
        <v>46183</v>
      </c>
      <c r="B3370" s="10">
        <v>9</v>
      </c>
      <c r="Q3370" s="10" t="str">
        <f t="shared" si="52"/>
        <v>Incomplete</v>
      </c>
    </row>
    <row r="3371" spans="1:17" hidden="1">
      <c r="A3371" s="12">
        <v>46183</v>
      </c>
      <c r="B3371" s="10">
        <v>10</v>
      </c>
      <c r="Q3371" s="10" t="str">
        <f t="shared" si="52"/>
        <v>Incomplete</v>
      </c>
    </row>
    <row r="3372" spans="1:17" hidden="1">
      <c r="A3372" s="12">
        <v>46183</v>
      </c>
      <c r="B3372" s="10">
        <v>11</v>
      </c>
      <c r="Q3372" s="10" t="str">
        <f t="shared" si="52"/>
        <v>Incomplete</v>
      </c>
    </row>
    <row r="3373" spans="1:17" hidden="1">
      <c r="A3373" s="12">
        <v>46183</v>
      </c>
      <c r="B3373" s="10">
        <v>12</v>
      </c>
      <c r="Q3373" s="10" t="str">
        <f t="shared" si="52"/>
        <v>Incomplete</v>
      </c>
    </row>
    <row r="3374" spans="1:17" hidden="1">
      <c r="A3374" s="12">
        <v>46183</v>
      </c>
      <c r="B3374" s="10">
        <v>13</v>
      </c>
      <c r="Q3374" s="10" t="str">
        <f t="shared" si="52"/>
        <v>Incomplete</v>
      </c>
    </row>
    <row r="3375" spans="1:17" hidden="1">
      <c r="A3375" s="12">
        <v>46183</v>
      </c>
      <c r="B3375" s="10">
        <v>14</v>
      </c>
      <c r="Q3375" s="10" t="str">
        <f t="shared" si="52"/>
        <v>Incomplete</v>
      </c>
    </row>
    <row r="3376" spans="1:17" hidden="1">
      <c r="A3376" s="12">
        <v>46183</v>
      </c>
      <c r="B3376" s="10">
        <v>15</v>
      </c>
      <c r="Q3376" s="10" t="str">
        <f t="shared" si="52"/>
        <v>Incomplete</v>
      </c>
    </row>
    <row r="3377" spans="1:17" hidden="1">
      <c r="A3377" s="12">
        <v>46183</v>
      </c>
      <c r="B3377" s="10">
        <v>16</v>
      </c>
      <c r="Q3377" s="10" t="str">
        <f t="shared" si="52"/>
        <v>Incomplete</v>
      </c>
    </row>
    <row r="3378" spans="1:17" hidden="1">
      <c r="A3378" s="12">
        <v>46183</v>
      </c>
      <c r="B3378" s="10">
        <v>17</v>
      </c>
      <c r="Q3378" s="10" t="str">
        <f t="shared" si="52"/>
        <v>Incomplete</v>
      </c>
    </row>
    <row r="3379" spans="1:17" hidden="1">
      <c r="A3379" s="12">
        <v>46183</v>
      </c>
      <c r="B3379" s="10">
        <v>18</v>
      </c>
      <c r="Q3379" s="10" t="str">
        <f t="shared" si="52"/>
        <v>Incomplete</v>
      </c>
    </row>
    <row r="3380" spans="1:17" hidden="1">
      <c r="A3380" s="12">
        <v>46183</v>
      </c>
      <c r="B3380" s="10">
        <v>19</v>
      </c>
      <c r="Q3380" s="10" t="str">
        <f t="shared" si="52"/>
        <v>Incomplete</v>
      </c>
    </row>
    <row r="3381" spans="1:17" hidden="1">
      <c r="A3381" s="12">
        <v>46183</v>
      </c>
      <c r="B3381" s="10">
        <v>20</v>
      </c>
      <c r="Q3381" s="10" t="str">
        <f t="shared" si="52"/>
        <v>Incomplete</v>
      </c>
    </row>
    <row r="3382" spans="1:17" hidden="1">
      <c r="A3382" s="12">
        <v>46183</v>
      </c>
      <c r="B3382" s="10">
        <v>21</v>
      </c>
      <c r="Q3382" s="10" t="str">
        <f t="shared" si="52"/>
        <v>Incomplete</v>
      </c>
    </row>
    <row r="3383" spans="1:17" hidden="1">
      <c r="A3383" s="12">
        <v>46184</v>
      </c>
      <c r="B3383" s="10">
        <v>1</v>
      </c>
      <c r="Q3383" s="10" t="str">
        <f t="shared" si="52"/>
        <v>Incomplete</v>
      </c>
    </row>
    <row r="3384" spans="1:17" hidden="1">
      <c r="A3384" s="12">
        <v>46184</v>
      </c>
      <c r="B3384" s="10">
        <v>2</v>
      </c>
      <c r="Q3384" s="10" t="str">
        <f t="shared" si="52"/>
        <v>Incomplete</v>
      </c>
    </row>
    <row r="3385" spans="1:17" hidden="1">
      <c r="A3385" s="12">
        <v>46184</v>
      </c>
      <c r="B3385" s="10">
        <v>3</v>
      </c>
      <c r="Q3385" s="10" t="str">
        <f t="shared" si="52"/>
        <v>Incomplete</v>
      </c>
    </row>
    <row r="3386" spans="1:17" hidden="1">
      <c r="A3386" s="12">
        <v>46184</v>
      </c>
      <c r="B3386" s="10">
        <v>4</v>
      </c>
      <c r="Q3386" s="10" t="str">
        <f t="shared" si="52"/>
        <v>Incomplete</v>
      </c>
    </row>
    <row r="3387" spans="1:17" hidden="1">
      <c r="A3387" s="12">
        <v>46184</v>
      </c>
      <c r="B3387" s="10">
        <v>5</v>
      </c>
      <c r="Q3387" s="10" t="str">
        <f t="shared" si="52"/>
        <v>Incomplete</v>
      </c>
    </row>
    <row r="3388" spans="1:17" hidden="1">
      <c r="A3388" s="12">
        <v>46184</v>
      </c>
      <c r="B3388" s="10">
        <v>6</v>
      </c>
      <c r="Q3388" s="10" t="str">
        <f t="shared" si="52"/>
        <v>Incomplete</v>
      </c>
    </row>
    <row r="3389" spans="1:17" hidden="1">
      <c r="A3389" s="12">
        <v>46184</v>
      </c>
      <c r="B3389" s="10">
        <v>7</v>
      </c>
      <c r="Q3389" s="10" t="str">
        <f t="shared" si="52"/>
        <v>Incomplete</v>
      </c>
    </row>
    <row r="3390" spans="1:17" hidden="1">
      <c r="A3390" s="12">
        <v>46184</v>
      </c>
      <c r="B3390" s="10">
        <v>8</v>
      </c>
      <c r="Q3390" s="10" t="str">
        <f t="shared" si="52"/>
        <v>Incomplete</v>
      </c>
    </row>
    <row r="3391" spans="1:17" hidden="1">
      <c r="A3391" s="12">
        <v>46184</v>
      </c>
      <c r="B3391" s="10">
        <v>9</v>
      </c>
      <c r="Q3391" s="10" t="str">
        <f t="shared" si="52"/>
        <v>Incomplete</v>
      </c>
    </row>
    <row r="3392" spans="1:17" hidden="1">
      <c r="A3392" s="12">
        <v>46184</v>
      </c>
      <c r="B3392" s="10">
        <v>10</v>
      </c>
      <c r="Q3392" s="10" t="str">
        <f t="shared" si="52"/>
        <v>Incomplete</v>
      </c>
    </row>
    <row r="3393" spans="1:17" hidden="1">
      <c r="A3393" s="12">
        <v>46184</v>
      </c>
      <c r="B3393" s="10">
        <v>11</v>
      </c>
      <c r="Q3393" s="10" t="str">
        <f t="shared" si="52"/>
        <v>Incomplete</v>
      </c>
    </row>
    <row r="3394" spans="1:17" hidden="1">
      <c r="A3394" s="12">
        <v>46184</v>
      </c>
      <c r="B3394" s="10">
        <v>12</v>
      </c>
      <c r="Q3394" s="10" t="str">
        <f t="shared" ref="Q3394:Q3457" si="53">IF(AND(C3394&lt;&gt;"",J3394&lt;&gt;"",K3394&lt;&gt;"",L3394&lt;&gt;"",O3394="Yes"),"Complete","Incomplete")</f>
        <v>Incomplete</v>
      </c>
    </row>
    <row r="3395" spans="1:17" hidden="1">
      <c r="A3395" s="12">
        <v>46184</v>
      </c>
      <c r="B3395" s="10">
        <v>13</v>
      </c>
      <c r="Q3395" s="10" t="str">
        <f t="shared" si="53"/>
        <v>Incomplete</v>
      </c>
    </row>
    <row r="3396" spans="1:17" hidden="1">
      <c r="A3396" s="12">
        <v>46184</v>
      </c>
      <c r="B3396" s="10">
        <v>14</v>
      </c>
      <c r="Q3396" s="10" t="str">
        <f t="shared" si="53"/>
        <v>Incomplete</v>
      </c>
    </row>
    <row r="3397" spans="1:17" hidden="1">
      <c r="A3397" s="12">
        <v>46184</v>
      </c>
      <c r="B3397" s="10">
        <v>15</v>
      </c>
      <c r="Q3397" s="10" t="str">
        <f t="shared" si="53"/>
        <v>Incomplete</v>
      </c>
    </row>
    <row r="3398" spans="1:17" hidden="1">
      <c r="A3398" s="12">
        <v>46184</v>
      </c>
      <c r="B3398" s="10">
        <v>16</v>
      </c>
      <c r="Q3398" s="10" t="str">
        <f t="shared" si="53"/>
        <v>Incomplete</v>
      </c>
    </row>
    <row r="3399" spans="1:17" hidden="1">
      <c r="A3399" s="12">
        <v>46184</v>
      </c>
      <c r="B3399" s="10">
        <v>17</v>
      </c>
      <c r="Q3399" s="10" t="str">
        <f t="shared" si="53"/>
        <v>Incomplete</v>
      </c>
    </row>
    <row r="3400" spans="1:17" hidden="1">
      <c r="A3400" s="12">
        <v>46184</v>
      </c>
      <c r="B3400" s="10">
        <v>18</v>
      </c>
      <c r="Q3400" s="10" t="str">
        <f t="shared" si="53"/>
        <v>Incomplete</v>
      </c>
    </row>
    <row r="3401" spans="1:17" hidden="1">
      <c r="A3401" s="12">
        <v>46184</v>
      </c>
      <c r="B3401" s="10">
        <v>19</v>
      </c>
      <c r="Q3401" s="10" t="str">
        <f t="shared" si="53"/>
        <v>Incomplete</v>
      </c>
    </row>
    <row r="3402" spans="1:17" hidden="1">
      <c r="A3402" s="12">
        <v>46184</v>
      </c>
      <c r="B3402" s="10">
        <v>20</v>
      </c>
      <c r="Q3402" s="10" t="str">
        <f t="shared" si="53"/>
        <v>Incomplete</v>
      </c>
    </row>
    <row r="3403" spans="1:17" hidden="1">
      <c r="A3403" s="12">
        <v>46184</v>
      </c>
      <c r="B3403" s="10">
        <v>21</v>
      </c>
      <c r="Q3403" s="10" t="str">
        <f t="shared" si="53"/>
        <v>Incomplete</v>
      </c>
    </row>
    <row r="3404" spans="1:17" hidden="1">
      <c r="A3404" s="12">
        <v>46185</v>
      </c>
      <c r="B3404" s="10">
        <v>1</v>
      </c>
      <c r="Q3404" s="10" t="str">
        <f t="shared" si="53"/>
        <v>Incomplete</v>
      </c>
    </row>
    <row r="3405" spans="1:17" hidden="1">
      <c r="A3405" s="12">
        <v>46185</v>
      </c>
      <c r="B3405" s="10">
        <v>2</v>
      </c>
      <c r="Q3405" s="10" t="str">
        <f t="shared" si="53"/>
        <v>Incomplete</v>
      </c>
    </row>
    <row r="3406" spans="1:17" hidden="1">
      <c r="A3406" s="12">
        <v>46185</v>
      </c>
      <c r="B3406" s="10">
        <v>3</v>
      </c>
      <c r="Q3406" s="10" t="str">
        <f t="shared" si="53"/>
        <v>Incomplete</v>
      </c>
    </row>
    <row r="3407" spans="1:17" hidden="1">
      <c r="A3407" s="12">
        <v>46185</v>
      </c>
      <c r="B3407" s="10">
        <v>4</v>
      </c>
      <c r="Q3407" s="10" t="str">
        <f t="shared" si="53"/>
        <v>Incomplete</v>
      </c>
    </row>
    <row r="3408" spans="1:17" hidden="1">
      <c r="A3408" s="12">
        <v>46185</v>
      </c>
      <c r="B3408" s="10">
        <v>5</v>
      </c>
      <c r="Q3408" s="10" t="str">
        <f t="shared" si="53"/>
        <v>Incomplete</v>
      </c>
    </row>
    <row r="3409" spans="1:17" hidden="1">
      <c r="A3409" s="12">
        <v>46185</v>
      </c>
      <c r="B3409" s="10">
        <v>6</v>
      </c>
      <c r="Q3409" s="10" t="str">
        <f t="shared" si="53"/>
        <v>Incomplete</v>
      </c>
    </row>
    <row r="3410" spans="1:17" hidden="1">
      <c r="A3410" s="12">
        <v>46185</v>
      </c>
      <c r="B3410" s="10">
        <v>7</v>
      </c>
      <c r="Q3410" s="10" t="str">
        <f t="shared" si="53"/>
        <v>Incomplete</v>
      </c>
    </row>
    <row r="3411" spans="1:17" hidden="1">
      <c r="A3411" s="12">
        <v>46185</v>
      </c>
      <c r="B3411" s="10">
        <v>8</v>
      </c>
      <c r="Q3411" s="10" t="str">
        <f t="shared" si="53"/>
        <v>Incomplete</v>
      </c>
    </row>
    <row r="3412" spans="1:17" hidden="1">
      <c r="A3412" s="12">
        <v>46185</v>
      </c>
      <c r="B3412" s="10">
        <v>9</v>
      </c>
      <c r="Q3412" s="10" t="str">
        <f t="shared" si="53"/>
        <v>Incomplete</v>
      </c>
    </row>
    <row r="3413" spans="1:17" hidden="1">
      <c r="A3413" s="12">
        <v>46185</v>
      </c>
      <c r="B3413" s="10">
        <v>10</v>
      </c>
      <c r="Q3413" s="10" t="str">
        <f t="shared" si="53"/>
        <v>Incomplete</v>
      </c>
    </row>
    <row r="3414" spans="1:17" hidden="1">
      <c r="A3414" s="12">
        <v>46185</v>
      </c>
      <c r="B3414" s="10">
        <v>11</v>
      </c>
      <c r="Q3414" s="10" t="str">
        <f t="shared" si="53"/>
        <v>Incomplete</v>
      </c>
    </row>
    <row r="3415" spans="1:17" hidden="1">
      <c r="A3415" s="12">
        <v>46185</v>
      </c>
      <c r="B3415" s="10">
        <v>12</v>
      </c>
      <c r="Q3415" s="10" t="str">
        <f t="shared" si="53"/>
        <v>Incomplete</v>
      </c>
    </row>
    <row r="3416" spans="1:17" hidden="1">
      <c r="A3416" s="12">
        <v>46185</v>
      </c>
      <c r="B3416" s="10">
        <v>13</v>
      </c>
      <c r="Q3416" s="10" t="str">
        <f t="shared" si="53"/>
        <v>Incomplete</v>
      </c>
    </row>
    <row r="3417" spans="1:17" hidden="1">
      <c r="A3417" s="12">
        <v>46185</v>
      </c>
      <c r="B3417" s="10">
        <v>14</v>
      </c>
      <c r="Q3417" s="10" t="str">
        <f t="shared" si="53"/>
        <v>Incomplete</v>
      </c>
    </row>
    <row r="3418" spans="1:17" hidden="1">
      <c r="A3418" s="12">
        <v>46185</v>
      </c>
      <c r="B3418" s="10">
        <v>15</v>
      </c>
      <c r="Q3418" s="10" t="str">
        <f t="shared" si="53"/>
        <v>Incomplete</v>
      </c>
    </row>
    <row r="3419" spans="1:17" hidden="1">
      <c r="A3419" s="12">
        <v>46185</v>
      </c>
      <c r="B3419" s="10">
        <v>16</v>
      </c>
      <c r="Q3419" s="10" t="str">
        <f t="shared" si="53"/>
        <v>Incomplete</v>
      </c>
    </row>
    <row r="3420" spans="1:17" hidden="1">
      <c r="A3420" s="12">
        <v>46185</v>
      </c>
      <c r="B3420" s="10">
        <v>17</v>
      </c>
      <c r="Q3420" s="10" t="str">
        <f t="shared" si="53"/>
        <v>Incomplete</v>
      </c>
    </row>
    <row r="3421" spans="1:17" hidden="1">
      <c r="A3421" s="12">
        <v>46185</v>
      </c>
      <c r="B3421" s="10">
        <v>18</v>
      </c>
      <c r="Q3421" s="10" t="str">
        <f t="shared" si="53"/>
        <v>Incomplete</v>
      </c>
    </row>
    <row r="3422" spans="1:17" hidden="1">
      <c r="A3422" s="12">
        <v>46185</v>
      </c>
      <c r="B3422" s="10">
        <v>19</v>
      </c>
      <c r="Q3422" s="10" t="str">
        <f t="shared" si="53"/>
        <v>Incomplete</v>
      </c>
    </row>
    <row r="3423" spans="1:17" hidden="1">
      <c r="A3423" s="12">
        <v>46185</v>
      </c>
      <c r="B3423" s="10">
        <v>20</v>
      </c>
      <c r="Q3423" s="10" t="str">
        <f t="shared" si="53"/>
        <v>Incomplete</v>
      </c>
    </row>
    <row r="3424" spans="1:17" hidden="1">
      <c r="A3424" s="12">
        <v>46185</v>
      </c>
      <c r="B3424" s="10">
        <v>21</v>
      </c>
      <c r="Q3424" s="10" t="str">
        <f t="shared" si="53"/>
        <v>Incomplete</v>
      </c>
    </row>
    <row r="3425" spans="1:17" hidden="1">
      <c r="A3425" s="12">
        <v>46186</v>
      </c>
      <c r="B3425" s="10">
        <v>1</v>
      </c>
      <c r="Q3425" s="10" t="str">
        <f t="shared" si="53"/>
        <v>Incomplete</v>
      </c>
    </row>
    <row r="3426" spans="1:17" hidden="1">
      <c r="A3426" s="12">
        <v>46186</v>
      </c>
      <c r="B3426" s="10">
        <v>2</v>
      </c>
      <c r="Q3426" s="10" t="str">
        <f t="shared" si="53"/>
        <v>Incomplete</v>
      </c>
    </row>
    <row r="3427" spans="1:17" hidden="1">
      <c r="A3427" s="12">
        <v>46186</v>
      </c>
      <c r="B3427" s="10">
        <v>3</v>
      </c>
      <c r="Q3427" s="10" t="str">
        <f t="shared" si="53"/>
        <v>Incomplete</v>
      </c>
    </row>
    <row r="3428" spans="1:17" hidden="1">
      <c r="A3428" s="12">
        <v>46186</v>
      </c>
      <c r="B3428" s="10">
        <v>4</v>
      </c>
      <c r="Q3428" s="10" t="str">
        <f t="shared" si="53"/>
        <v>Incomplete</v>
      </c>
    </row>
    <row r="3429" spans="1:17" hidden="1">
      <c r="A3429" s="12">
        <v>46186</v>
      </c>
      <c r="B3429" s="10">
        <v>5</v>
      </c>
      <c r="Q3429" s="10" t="str">
        <f t="shared" si="53"/>
        <v>Incomplete</v>
      </c>
    </row>
    <row r="3430" spans="1:17" hidden="1">
      <c r="A3430" s="12">
        <v>46186</v>
      </c>
      <c r="B3430" s="10">
        <v>6</v>
      </c>
      <c r="Q3430" s="10" t="str">
        <f t="shared" si="53"/>
        <v>Incomplete</v>
      </c>
    </row>
    <row r="3431" spans="1:17" hidden="1">
      <c r="A3431" s="12">
        <v>46186</v>
      </c>
      <c r="B3431" s="10">
        <v>7</v>
      </c>
      <c r="Q3431" s="10" t="str">
        <f t="shared" si="53"/>
        <v>Incomplete</v>
      </c>
    </row>
    <row r="3432" spans="1:17" hidden="1">
      <c r="A3432" s="12">
        <v>46186</v>
      </c>
      <c r="B3432" s="10">
        <v>8</v>
      </c>
      <c r="Q3432" s="10" t="str">
        <f t="shared" si="53"/>
        <v>Incomplete</v>
      </c>
    </row>
    <row r="3433" spans="1:17" hidden="1">
      <c r="A3433" s="12">
        <v>46186</v>
      </c>
      <c r="B3433" s="10">
        <v>9</v>
      </c>
      <c r="Q3433" s="10" t="str">
        <f t="shared" si="53"/>
        <v>Incomplete</v>
      </c>
    </row>
    <row r="3434" spans="1:17" hidden="1">
      <c r="A3434" s="12">
        <v>46186</v>
      </c>
      <c r="B3434" s="10">
        <v>10</v>
      </c>
      <c r="Q3434" s="10" t="str">
        <f t="shared" si="53"/>
        <v>Incomplete</v>
      </c>
    </row>
    <row r="3435" spans="1:17" hidden="1">
      <c r="A3435" s="12">
        <v>46186</v>
      </c>
      <c r="B3435" s="10">
        <v>11</v>
      </c>
      <c r="Q3435" s="10" t="str">
        <f t="shared" si="53"/>
        <v>Incomplete</v>
      </c>
    </row>
    <row r="3436" spans="1:17" hidden="1">
      <c r="A3436" s="12">
        <v>46186</v>
      </c>
      <c r="B3436" s="10">
        <v>12</v>
      </c>
      <c r="Q3436" s="10" t="str">
        <f t="shared" si="53"/>
        <v>Incomplete</v>
      </c>
    </row>
    <row r="3437" spans="1:17" hidden="1">
      <c r="A3437" s="12">
        <v>46186</v>
      </c>
      <c r="B3437" s="10">
        <v>13</v>
      </c>
      <c r="Q3437" s="10" t="str">
        <f t="shared" si="53"/>
        <v>Incomplete</v>
      </c>
    </row>
    <row r="3438" spans="1:17" hidden="1">
      <c r="A3438" s="12">
        <v>46186</v>
      </c>
      <c r="B3438" s="10">
        <v>14</v>
      </c>
      <c r="Q3438" s="10" t="str">
        <f t="shared" si="53"/>
        <v>Incomplete</v>
      </c>
    </row>
    <row r="3439" spans="1:17" hidden="1">
      <c r="A3439" s="12">
        <v>46186</v>
      </c>
      <c r="B3439" s="10">
        <v>15</v>
      </c>
      <c r="Q3439" s="10" t="str">
        <f t="shared" si="53"/>
        <v>Incomplete</v>
      </c>
    </row>
    <row r="3440" spans="1:17" hidden="1">
      <c r="A3440" s="12">
        <v>46186</v>
      </c>
      <c r="B3440" s="10">
        <v>16</v>
      </c>
      <c r="Q3440" s="10" t="str">
        <f t="shared" si="53"/>
        <v>Incomplete</v>
      </c>
    </row>
    <row r="3441" spans="1:17" hidden="1">
      <c r="A3441" s="12">
        <v>46186</v>
      </c>
      <c r="B3441" s="10">
        <v>17</v>
      </c>
      <c r="Q3441" s="10" t="str">
        <f t="shared" si="53"/>
        <v>Incomplete</v>
      </c>
    </row>
    <row r="3442" spans="1:17" hidden="1">
      <c r="A3442" s="12">
        <v>46186</v>
      </c>
      <c r="B3442" s="10">
        <v>18</v>
      </c>
      <c r="Q3442" s="10" t="str">
        <f t="shared" si="53"/>
        <v>Incomplete</v>
      </c>
    </row>
    <row r="3443" spans="1:17" hidden="1">
      <c r="A3443" s="12">
        <v>46186</v>
      </c>
      <c r="B3443" s="10">
        <v>19</v>
      </c>
      <c r="Q3443" s="10" t="str">
        <f t="shared" si="53"/>
        <v>Incomplete</v>
      </c>
    </row>
    <row r="3444" spans="1:17" hidden="1">
      <c r="A3444" s="12">
        <v>46186</v>
      </c>
      <c r="B3444" s="10">
        <v>20</v>
      </c>
      <c r="Q3444" s="10" t="str">
        <f t="shared" si="53"/>
        <v>Incomplete</v>
      </c>
    </row>
    <row r="3445" spans="1:17" hidden="1">
      <c r="A3445" s="12">
        <v>46186</v>
      </c>
      <c r="B3445" s="10">
        <v>21</v>
      </c>
      <c r="Q3445" s="10" t="str">
        <f t="shared" si="53"/>
        <v>Incomplete</v>
      </c>
    </row>
    <row r="3446" spans="1:17" hidden="1">
      <c r="A3446" s="12">
        <v>46187</v>
      </c>
      <c r="B3446" s="10">
        <v>1</v>
      </c>
      <c r="Q3446" s="10" t="str">
        <f t="shared" si="53"/>
        <v>Incomplete</v>
      </c>
    </row>
    <row r="3447" spans="1:17" hidden="1">
      <c r="A3447" s="12">
        <v>46187</v>
      </c>
      <c r="B3447" s="10">
        <v>2</v>
      </c>
      <c r="Q3447" s="10" t="str">
        <f t="shared" si="53"/>
        <v>Incomplete</v>
      </c>
    </row>
    <row r="3448" spans="1:17" hidden="1">
      <c r="A3448" s="12">
        <v>46187</v>
      </c>
      <c r="B3448" s="10">
        <v>3</v>
      </c>
      <c r="Q3448" s="10" t="str">
        <f t="shared" si="53"/>
        <v>Incomplete</v>
      </c>
    </row>
    <row r="3449" spans="1:17" hidden="1">
      <c r="A3449" s="12">
        <v>46187</v>
      </c>
      <c r="B3449" s="10">
        <v>4</v>
      </c>
      <c r="Q3449" s="10" t="str">
        <f t="shared" si="53"/>
        <v>Incomplete</v>
      </c>
    </row>
    <row r="3450" spans="1:17" hidden="1">
      <c r="A3450" s="12">
        <v>46187</v>
      </c>
      <c r="B3450" s="10">
        <v>5</v>
      </c>
      <c r="Q3450" s="10" t="str">
        <f t="shared" si="53"/>
        <v>Incomplete</v>
      </c>
    </row>
    <row r="3451" spans="1:17" hidden="1">
      <c r="A3451" s="12">
        <v>46187</v>
      </c>
      <c r="B3451" s="10">
        <v>6</v>
      </c>
      <c r="Q3451" s="10" t="str">
        <f t="shared" si="53"/>
        <v>Incomplete</v>
      </c>
    </row>
    <row r="3452" spans="1:17" hidden="1">
      <c r="A3452" s="12">
        <v>46187</v>
      </c>
      <c r="B3452" s="10">
        <v>7</v>
      </c>
      <c r="Q3452" s="10" t="str">
        <f t="shared" si="53"/>
        <v>Incomplete</v>
      </c>
    </row>
    <row r="3453" spans="1:17" hidden="1">
      <c r="A3453" s="12">
        <v>46187</v>
      </c>
      <c r="B3453" s="10">
        <v>8</v>
      </c>
      <c r="Q3453" s="10" t="str">
        <f t="shared" si="53"/>
        <v>Incomplete</v>
      </c>
    </row>
    <row r="3454" spans="1:17" hidden="1">
      <c r="A3454" s="12">
        <v>46187</v>
      </c>
      <c r="B3454" s="10">
        <v>9</v>
      </c>
      <c r="Q3454" s="10" t="str">
        <f t="shared" si="53"/>
        <v>Incomplete</v>
      </c>
    </row>
    <row r="3455" spans="1:17" hidden="1">
      <c r="A3455" s="12">
        <v>46187</v>
      </c>
      <c r="B3455" s="10">
        <v>10</v>
      </c>
      <c r="Q3455" s="10" t="str">
        <f t="shared" si="53"/>
        <v>Incomplete</v>
      </c>
    </row>
    <row r="3456" spans="1:17" hidden="1">
      <c r="A3456" s="12">
        <v>46187</v>
      </c>
      <c r="B3456" s="10">
        <v>11</v>
      </c>
      <c r="Q3456" s="10" t="str">
        <f t="shared" si="53"/>
        <v>Incomplete</v>
      </c>
    </row>
    <row r="3457" spans="1:17" hidden="1">
      <c r="A3457" s="12">
        <v>46187</v>
      </c>
      <c r="B3457" s="10">
        <v>12</v>
      </c>
      <c r="Q3457" s="10" t="str">
        <f t="shared" si="53"/>
        <v>Incomplete</v>
      </c>
    </row>
    <row r="3458" spans="1:17" hidden="1">
      <c r="A3458" s="12">
        <v>46187</v>
      </c>
      <c r="B3458" s="10">
        <v>13</v>
      </c>
      <c r="Q3458" s="10" t="str">
        <f t="shared" ref="Q3458:Q3521" si="54">IF(AND(C3458&lt;&gt;"",J3458&lt;&gt;"",K3458&lt;&gt;"",L3458&lt;&gt;"",O3458="Yes"),"Complete","Incomplete")</f>
        <v>Incomplete</v>
      </c>
    </row>
    <row r="3459" spans="1:17" hidden="1">
      <c r="A3459" s="12">
        <v>46187</v>
      </c>
      <c r="B3459" s="10">
        <v>14</v>
      </c>
      <c r="Q3459" s="10" t="str">
        <f t="shared" si="54"/>
        <v>Incomplete</v>
      </c>
    </row>
    <row r="3460" spans="1:17" hidden="1">
      <c r="A3460" s="12">
        <v>46187</v>
      </c>
      <c r="B3460" s="10">
        <v>15</v>
      </c>
      <c r="Q3460" s="10" t="str">
        <f t="shared" si="54"/>
        <v>Incomplete</v>
      </c>
    </row>
    <row r="3461" spans="1:17" hidden="1">
      <c r="A3461" s="12">
        <v>46187</v>
      </c>
      <c r="B3461" s="10">
        <v>16</v>
      </c>
      <c r="Q3461" s="10" t="str">
        <f t="shared" si="54"/>
        <v>Incomplete</v>
      </c>
    </row>
    <row r="3462" spans="1:17" hidden="1">
      <c r="A3462" s="12">
        <v>46187</v>
      </c>
      <c r="B3462" s="10">
        <v>17</v>
      </c>
      <c r="Q3462" s="10" t="str">
        <f t="shared" si="54"/>
        <v>Incomplete</v>
      </c>
    </row>
    <row r="3463" spans="1:17" hidden="1">
      <c r="A3463" s="12">
        <v>46187</v>
      </c>
      <c r="B3463" s="10">
        <v>18</v>
      </c>
      <c r="Q3463" s="10" t="str">
        <f t="shared" si="54"/>
        <v>Incomplete</v>
      </c>
    </row>
    <row r="3464" spans="1:17" hidden="1">
      <c r="A3464" s="12">
        <v>46187</v>
      </c>
      <c r="B3464" s="10">
        <v>19</v>
      </c>
      <c r="Q3464" s="10" t="str">
        <f t="shared" si="54"/>
        <v>Incomplete</v>
      </c>
    </row>
    <row r="3465" spans="1:17" hidden="1">
      <c r="A3465" s="12">
        <v>46187</v>
      </c>
      <c r="B3465" s="10">
        <v>20</v>
      </c>
      <c r="Q3465" s="10" t="str">
        <f t="shared" si="54"/>
        <v>Incomplete</v>
      </c>
    </row>
    <row r="3466" spans="1:17" hidden="1">
      <c r="A3466" s="12">
        <v>46187</v>
      </c>
      <c r="B3466" s="10">
        <v>21</v>
      </c>
      <c r="Q3466" s="10" t="str">
        <f t="shared" si="54"/>
        <v>Incomplete</v>
      </c>
    </row>
    <row r="3467" spans="1:17" hidden="1">
      <c r="A3467" s="12">
        <v>46188</v>
      </c>
      <c r="B3467" s="10">
        <v>1</v>
      </c>
      <c r="Q3467" s="10" t="str">
        <f t="shared" si="54"/>
        <v>Incomplete</v>
      </c>
    </row>
    <row r="3468" spans="1:17" hidden="1">
      <c r="A3468" s="12">
        <v>46188</v>
      </c>
      <c r="B3468" s="10">
        <v>2</v>
      </c>
      <c r="Q3468" s="10" t="str">
        <f t="shared" si="54"/>
        <v>Incomplete</v>
      </c>
    </row>
    <row r="3469" spans="1:17" hidden="1">
      <c r="A3469" s="12">
        <v>46188</v>
      </c>
      <c r="B3469" s="10">
        <v>3</v>
      </c>
      <c r="Q3469" s="10" t="str">
        <f t="shared" si="54"/>
        <v>Incomplete</v>
      </c>
    </row>
    <row r="3470" spans="1:17" hidden="1">
      <c r="A3470" s="12">
        <v>46188</v>
      </c>
      <c r="B3470" s="10">
        <v>4</v>
      </c>
      <c r="Q3470" s="10" t="str">
        <f t="shared" si="54"/>
        <v>Incomplete</v>
      </c>
    </row>
    <row r="3471" spans="1:17" hidden="1">
      <c r="A3471" s="12">
        <v>46188</v>
      </c>
      <c r="B3471" s="10">
        <v>5</v>
      </c>
      <c r="Q3471" s="10" t="str">
        <f t="shared" si="54"/>
        <v>Incomplete</v>
      </c>
    </row>
    <row r="3472" spans="1:17" hidden="1">
      <c r="A3472" s="12">
        <v>46188</v>
      </c>
      <c r="B3472" s="10">
        <v>6</v>
      </c>
      <c r="Q3472" s="10" t="str">
        <f t="shared" si="54"/>
        <v>Incomplete</v>
      </c>
    </row>
    <row r="3473" spans="1:17" hidden="1">
      <c r="A3473" s="12">
        <v>46188</v>
      </c>
      <c r="B3473" s="10">
        <v>7</v>
      </c>
      <c r="Q3473" s="10" t="str">
        <f t="shared" si="54"/>
        <v>Incomplete</v>
      </c>
    </row>
    <row r="3474" spans="1:17" hidden="1">
      <c r="A3474" s="12">
        <v>46188</v>
      </c>
      <c r="B3474" s="10">
        <v>8</v>
      </c>
      <c r="Q3474" s="10" t="str">
        <f t="shared" si="54"/>
        <v>Incomplete</v>
      </c>
    </row>
    <row r="3475" spans="1:17" hidden="1">
      <c r="A3475" s="12">
        <v>46188</v>
      </c>
      <c r="B3475" s="10">
        <v>9</v>
      </c>
      <c r="Q3475" s="10" t="str">
        <f t="shared" si="54"/>
        <v>Incomplete</v>
      </c>
    </row>
    <row r="3476" spans="1:17" hidden="1">
      <c r="A3476" s="12">
        <v>46188</v>
      </c>
      <c r="B3476" s="10">
        <v>10</v>
      </c>
      <c r="Q3476" s="10" t="str">
        <f t="shared" si="54"/>
        <v>Incomplete</v>
      </c>
    </row>
    <row r="3477" spans="1:17" hidden="1">
      <c r="A3477" s="12">
        <v>46188</v>
      </c>
      <c r="B3477" s="10">
        <v>11</v>
      </c>
      <c r="Q3477" s="10" t="str">
        <f t="shared" si="54"/>
        <v>Incomplete</v>
      </c>
    </row>
    <row r="3478" spans="1:17" hidden="1">
      <c r="A3478" s="12">
        <v>46188</v>
      </c>
      <c r="B3478" s="10">
        <v>12</v>
      </c>
      <c r="Q3478" s="10" t="str">
        <f t="shared" si="54"/>
        <v>Incomplete</v>
      </c>
    </row>
    <row r="3479" spans="1:17" hidden="1">
      <c r="A3479" s="12">
        <v>46188</v>
      </c>
      <c r="B3479" s="10">
        <v>13</v>
      </c>
      <c r="Q3479" s="10" t="str">
        <f t="shared" si="54"/>
        <v>Incomplete</v>
      </c>
    </row>
    <row r="3480" spans="1:17" hidden="1">
      <c r="A3480" s="12">
        <v>46188</v>
      </c>
      <c r="B3480" s="10">
        <v>14</v>
      </c>
      <c r="Q3480" s="10" t="str">
        <f t="shared" si="54"/>
        <v>Incomplete</v>
      </c>
    </row>
    <row r="3481" spans="1:17" hidden="1">
      <c r="A3481" s="12">
        <v>46188</v>
      </c>
      <c r="B3481" s="10">
        <v>15</v>
      </c>
      <c r="Q3481" s="10" t="str">
        <f t="shared" si="54"/>
        <v>Incomplete</v>
      </c>
    </row>
    <row r="3482" spans="1:17" hidden="1">
      <c r="A3482" s="12">
        <v>46188</v>
      </c>
      <c r="B3482" s="10">
        <v>16</v>
      </c>
      <c r="Q3482" s="10" t="str">
        <f t="shared" si="54"/>
        <v>Incomplete</v>
      </c>
    </row>
    <row r="3483" spans="1:17" hidden="1">
      <c r="A3483" s="12">
        <v>46188</v>
      </c>
      <c r="B3483" s="10">
        <v>17</v>
      </c>
      <c r="Q3483" s="10" t="str">
        <f t="shared" si="54"/>
        <v>Incomplete</v>
      </c>
    </row>
    <row r="3484" spans="1:17" hidden="1">
      <c r="A3484" s="12">
        <v>46188</v>
      </c>
      <c r="B3484" s="10">
        <v>18</v>
      </c>
      <c r="Q3484" s="10" t="str">
        <f t="shared" si="54"/>
        <v>Incomplete</v>
      </c>
    </row>
    <row r="3485" spans="1:17" hidden="1">
      <c r="A3485" s="12">
        <v>46188</v>
      </c>
      <c r="B3485" s="10">
        <v>19</v>
      </c>
      <c r="Q3485" s="10" t="str">
        <f t="shared" si="54"/>
        <v>Incomplete</v>
      </c>
    </row>
    <row r="3486" spans="1:17" hidden="1">
      <c r="A3486" s="12">
        <v>46188</v>
      </c>
      <c r="B3486" s="10">
        <v>20</v>
      </c>
      <c r="Q3486" s="10" t="str">
        <f t="shared" si="54"/>
        <v>Incomplete</v>
      </c>
    </row>
    <row r="3487" spans="1:17" hidden="1">
      <c r="A3487" s="12">
        <v>46188</v>
      </c>
      <c r="B3487" s="10">
        <v>21</v>
      </c>
      <c r="Q3487" s="10" t="str">
        <f t="shared" si="54"/>
        <v>Incomplete</v>
      </c>
    </row>
    <row r="3488" spans="1:17" hidden="1">
      <c r="A3488" s="12">
        <v>46189</v>
      </c>
      <c r="B3488" s="10">
        <v>1</v>
      </c>
      <c r="Q3488" s="10" t="str">
        <f t="shared" si="54"/>
        <v>Incomplete</v>
      </c>
    </row>
    <row r="3489" spans="1:17" hidden="1">
      <c r="A3489" s="12">
        <v>46189</v>
      </c>
      <c r="B3489" s="10">
        <v>2</v>
      </c>
      <c r="Q3489" s="10" t="str">
        <f t="shared" si="54"/>
        <v>Incomplete</v>
      </c>
    </row>
    <row r="3490" spans="1:17" hidden="1">
      <c r="A3490" s="12">
        <v>46189</v>
      </c>
      <c r="B3490" s="10">
        <v>3</v>
      </c>
      <c r="Q3490" s="10" t="str">
        <f t="shared" si="54"/>
        <v>Incomplete</v>
      </c>
    </row>
    <row r="3491" spans="1:17" hidden="1">
      <c r="A3491" s="12">
        <v>46189</v>
      </c>
      <c r="B3491" s="10">
        <v>4</v>
      </c>
      <c r="Q3491" s="10" t="str">
        <f t="shared" si="54"/>
        <v>Incomplete</v>
      </c>
    </row>
    <row r="3492" spans="1:17" hidden="1">
      <c r="A3492" s="12">
        <v>46189</v>
      </c>
      <c r="B3492" s="10">
        <v>5</v>
      </c>
      <c r="Q3492" s="10" t="str">
        <f t="shared" si="54"/>
        <v>Incomplete</v>
      </c>
    </row>
    <row r="3493" spans="1:17" hidden="1">
      <c r="A3493" s="12">
        <v>46189</v>
      </c>
      <c r="B3493" s="10">
        <v>6</v>
      </c>
      <c r="Q3493" s="10" t="str">
        <f t="shared" si="54"/>
        <v>Incomplete</v>
      </c>
    </row>
    <row r="3494" spans="1:17" hidden="1">
      <c r="A3494" s="12">
        <v>46189</v>
      </c>
      <c r="B3494" s="10">
        <v>7</v>
      </c>
      <c r="Q3494" s="10" t="str">
        <f t="shared" si="54"/>
        <v>Incomplete</v>
      </c>
    </row>
    <row r="3495" spans="1:17" hidden="1">
      <c r="A3495" s="12">
        <v>46189</v>
      </c>
      <c r="B3495" s="10">
        <v>8</v>
      </c>
      <c r="Q3495" s="10" t="str">
        <f t="shared" si="54"/>
        <v>Incomplete</v>
      </c>
    </row>
    <row r="3496" spans="1:17" hidden="1">
      <c r="A3496" s="12">
        <v>46189</v>
      </c>
      <c r="B3496" s="10">
        <v>9</v>
      </c>
      <c r="Q3496" s="10" t="str">
        <f t="shared" si="54"/>
        <v>Incomplete</v>
      </c>
    </row>
    <row r="3497" spans="1:17" hidden="1">
      <c r="A3497" s="12">
        <v>46189</v>
      </c>
      <c r="B3497" s="10">
        <v>10</v>
      </c>
      <c r="Q3497" s="10" t="str">
        <f t="shared" si="54"/>
        <v>Incomplete</v>
      </c>
    </row>
    <row r="3498" spans="1:17" hidden="1">
      <c r="A3498" s="12">
        <v>46189</v>
      </c>
      <c r="B3498" s="10">
        <v>11</v>
      </c>
      <c r="Q3498" s="10" t="str">
        <f t="shared" si="54"/>
        <v>Incomplete</v>
      </c>
    </row>
    <row r="3499" spans="1:17" hidden="1">
      <c r="A3499" s="12">
        <v>46189</v>
      </c>
      <c r="B3499" s="10">
        <v>12</v>
      </c>
      <c r="Q3499" s="10" t="str">
        <f t="shared" si="54"/>
        <v>Incomplete</v>
      </c>
    </row>
    <row r="3500" spans="1:17" hidden="1">
      <c r="A3500" s="12">
        <v>46189</v>
      </c>
      <c r="B3500" s="10">
        <v>13</v>
      </c>
      <c r="Q3500" s="10" t="str">
        <f t="shared" si="54"/>
        <v>Incomplete</v>
      </c>
    </row>
    <row r="3501" spans="1:17" hidden="1">
      <c r="A3501" s="12">
        <v>46189</v>
      </c>
      <c r="B3501" s="10">
        <v>14</v>
      </c>
      <c r="Q3501" s="10" t="str">
        <f t="shared" si="54"/>
        <v>Incomplete</v>
      </c>
    </row>
    <row r="3502" spans="1:17" hidden="1">
      <c r="A3502" s="12">
        <v>46189</v>
      </c>
      <c r="B3502" s="10">
        <v>15</v>
      </c>
      <c r="Q3502" s="10" t="str">
        <f t="shared" si="54"/>
        <v>Incomplete</v>
      </c>
    </row>
    <row r="3503" spans="1:17" hidden="1">
      <c r="A3503" s="12">
        <v>46189</v>
      </c>
      <c r="B3503" s="10">
        <v>16</v>
      </c>
      <c r="Q3503" s="10" t="str">
        <f t="shared" si="54"/>
        <v>Incomplete</v>
      </c>
    </row>
    <row r="3504" spans="1:17" hidden="1">
      <c r="A3504" s="12">
        <v>46189</v>
      </c>
      <c r="B3504" s="10">
        <v>17</v>
      </c>
      <c r="Q3504" s="10" t="str">
        <f t="shared" si="54"/>
        <v>Incomplete</v>
      </c>
    </row>
    <row r="3505" spans="1:17" hidden="1">
      <c r="A3505" s="12">
        <v>46189</v>
      </c>
      <c r="B3505" s="10">
        <v>18</v>
      </c>
      <c r="Q3505" s="10" t="str">
        <f t="shared" si="54"/>
        <v>Incomplete</v>
      </c>
    </row>
    <row r="3506" spans="1:17" hidden="1">
      <c r="A3506" s="12">
        <v>46189</v>
      </c>
      <c r="B3506" s="10">
        <v>19</v>
      </c>
      <c r="Q3506" s="10" t="str">
        <f t="shared" si="54"/>
        <v>Incomplete</v>
      </c>
    </row>
    <row r="3507" spans="1:17" hidden="1">
      <c r="A3507" s="12">
        <v>46189</v>
      </c>
      <c r="B3507" s="10">
        <v>20</v>
      </c>
      <c r="Q3507" s="10" t="str">
        <f t="shared" si="54"/>
        <v>Incomplete</v>
      </c>
    </row>
    <row r="3508" spans="1:17" hidden="1">
      <c r="A3508" s="12">
        <v>46189</v>
      </c>
      <c r="B3508" s="10">
        <v>21</v>
      </c>
      <c r="Q3508" s="10" t="str">
        <f t="shared" si="54"/>
        <v>Incomplete</v>
      </c>
    </row>
    <row r="3509" spans="1:17" hidden="1">
      <c r="A3509" s="12">
        <v>46190</v>
      </c>
      <c r="B3509" s="10">
        <v>1</v>
      </c>
      <c r="Q3509" s="10" t="str">
        <f t="shared" si="54"/>
        <v>Incomplete</v>
      </c>
    </row>
    <row r="3510" spans="1:17" hidden="1">
      <c r="A3510" s="12">
        <v>46190</v>
      </c>
      <c r="B3510" s="10">
        <v>2</v>
      </c>
      <c r="Q3510" s="10" t="str">
        <f t="shared" si="54"/>
        <v>Incomplete</v>
      </c>
    </row>
    <row r="3511" spans="1:17" hidden="1">
      <c r="A3511" s="12">
        <v>46190</v>
      </c>
      <c r="B3511" s="10">
        <v>3</v>
      </c>
      <c r="Q3511" s="10" t="str">
        <f t="shared" si="54"/>
        <v>Incomplete</v>
      </c>
    </row>
    <row r="3512" spans="1:17" hidden="1">
      <c r="A3512" s="12">
        <v>46190</v>
      </c>
      <c r="B3512" s="10">
        <v>4</v>
      </c>
      <c r="Q3512" s="10" t="str">
        <f t="shared" si="54"/>
        <v>Incomplete</v>
      </c>
    </row>
    <row r="3513" spans="1:17" hidden="1">
      <c r="A3513" s="12">
        <v>46190</v>
      </c>
      <c r="B3513" s="10">
        <v>5</v>
      </c>
      <c r="Q3513" s="10" t="str">
        <f t="shared" si="54"/>
        <v>Incomplete</v>
      </c>
    </row>
    <row r="3514" spans="1:17" hidden="1">
      <c r="A3514" s="12">
        <v>46190</v>
      </c>
      <c r="B3514" s="10">
        <v>6</v>
      </c>
      <c r="Q3514" s="10" t="str">
        <f t="shared" si="54"/>
        <v>Incomplete</v>
      </c>
    </row>
    <row r="3515" spans="1:17" hidden="1">
      <c r="A3515" s="12">
        <v>46190</v>
      </c>
      <c r="B3515" s="10">
        <v>7</v>
      </c>
      <c r="Q3515" s="10" t="str">
        <f t="shared" si="54"/>
        <v>Incomplete</v>
      </c>
    </row>
    <row r="3516" spans="1:17" hidden="1">
      <c r="A3516" s="12">
        <v>46190</v>
      </c>
      <c r="B3516" s="10">
        <v>8</v>
      </c>
      <c r="Q3516" s="10" t="str">
        <f t="shared" si="54"/>
        <v>Incomplete</v>
      </c>
    </row>
    <row r="3517" spans="1:17" hidden="1">
      <c r="A3517" s="12">
        <v>46190</v>
      </c>
      <c r="B3517" s="10">
        <v>9</v>
      </c>
      <c r="Q3517" s="10" t="str">
        <f t="shared" si="54"/>
        <v>Incomplete</v>
      </c>
    </row>
    <row r="3518" spans="1:17" hidden="1">
      <c r="A3518" s="12">
        <v>46190</v>
      </c>
      <c r="B3518" s="10">
        <v>10</v>
      </c>
      <c r="Q3518" s="10" t="str">
        <f t="shared" si="54"/>
        <v>Incomplete</v>
      </c>
    </row>
    <row r="3519" spans="1:17" hidden="1">
      <c r="A3519" s="12">
        <v>46190</v>
      </c>
      <c r="B3519" s="10">
        <v>11</v>
      </c>
      <c r="Q3519" s="10" t="str">
        <f t="shared" si="54"/>
        <v>Incomplete</v>
      </c>
    </row>
    <row r="3520" spans="1:17" hidden="1">
      <c r="A3520" s="12">
        <v>46190</v>
      </c>
      <c r="B3520" s="10">
        <v>12</v>
      </c>
      <c r="Q3520" s="10" t="str">
        <f t="shared" si="54"/>
        <v>Incomplete</v>
      </c>
    </row>
    <row r="3521" spans="1:17" hidden="1">
      <c r="A3521" s="12">
        <v>46190</v>
      </c>
      <c r="B3521" s="10">
        <v>13</v>
      </c>
      <c r="Q3521" s="10" t="str">
        <f t="shared" si="54"/>
        <v>Incomplete</v>
      </c>
    </row>
    <row r="3522" spans="1:17" hidden="1">
      <c r="A3522" s="12">
        <v>46190</v>
      </c>
      <c r="B3522" s="10">
        <v>14</v>
      </c>
      <c r="Q3522" s="10" t="str">
        <f t="shared" ref="Q3522:Q3585" si="55">IF(AND(C3522&lt;&gt;"",J3522&lt;&gt;"",K3522&lt;&gt;"",L3522&lt;&gt;"",O3522="Yes"),"Complete","Incomplete")</f>
        <v>Incomplete</v>
      </c>
    </row>
    <row r="3523" spans="1:17" hidden="1">
      <c r="A3523" s="12">
        <v>46190</v>
      </c>
      <c r="B3523" s="10">
        <v>15</v>
      </c>
      <c r="Q3523" s="10" t="str">
        <f t="shared" si="55"/>
        <v>Incomplete</v>
      </c>
    </row>
    <row r="3524" spans="1:17" hidden="1">
      <c r="A3524" s="12">
        <v>46190</v>
      </c>
      <c r="B3524" s="10">
        <v>16</v>
      </c>
      <c r="Q3524" s="10" t="str">
        <f t="shared" si="55"/>
        <v>Incomplete</v>
      </c>
    </row>
    <row r="3525" spans="1:17" hidden="1">
      <c r="A3525" s="12">
        <v>46190</v>
      </c>
      <c r="B3525" s="10">
        <v>17</v>
      </c>
      <c r="Q3525" s="10" t="str">
        <f t="shared" si="55"/>
        <v>Incomplete</v>
      </c>
    </row>
    <row r="3526" spans="1:17" hidden="1">
      <c r="A3526" s="12">
        <v>46190</v>
      </c>
      <c r="B3526" s="10">
        <v>18</v>
      </c>
      <c r="Q3526" s="10" t="str">
        <f t="shared" si="55"/>
        <v>Incomplete</v>
      </c>
    </row>
    <row r="3527" spans="1:17" hidden="1">
      <c r="A3527" s="12">
        <v>46190</v>
      </c>
      <c r="B3527" s="10">
        <v>19</v>
      </c>
      <c r="Q3527" s="10" t="str">
        <f t="shared" si="55"/>
        <v>Incomplete</v>
      </c>
    </row>
    <row r="3528" spans="1:17" hidden="1">
      <c r="A3528" s="12">
        <v>46190</v>
      </c>
      <c r="B3528" s="10">
        <v>20</v>
      </c>
      <c r="Q3528" s="10" t="str">
        <f t="shared" si="55"/>
        <v>Incomplete</v>
      </c>
    </row>
    <row r="3529" spans="1:17" hidden="1">
      <c r="A3529" s="12">
        <v>46190</v>
      </c>
      <c r="B3529" s="10">
        <v>21</v>
      </c>
      <c r="Q3529" s="10" t="str">
        <f t="shared" si="55"/>
        <v>Incomplete</v>
      </c>
    </row>
    <row r="3530" spans="1:17" hidden="1">
      <c r="A3530" s="12">
        <v>46191</v>
      </c>
      <c r="B3530" s="10">
        <v>1</v>
      </c>
      <c r="Q3530" s="10" t="str">
        <f t="shared" si="55"/>
        <v>Incomplete</v>
      </c>
    </row>
    <row r="3531" spans="1:17" hidden="1">
      <c r="A3531" s="12">
        <v>46191</v>
      </c>
      <c r="B3531" s="10">
        <v>2</v>
      </c>
      <c r="Q3531" s="10" t="str">
        <f t="shared" si="55"/>
        <v>Incomplete</v>
      </c>
    </row>
    <row r="3532" spans="1:17" hidden="1">
      <c r="A3532" s="12">
        <v>46191</v>
      </c>
      <c r="B3532" s="10">
        <v>3</v>
      </c>
      <c r="Q3532" s="10" t="str">
        <f t="shared" si="55"/>
        <v>Incomplete</v>
      </c>
    </row>
    <row r="3533" spans="1:17" hidden="1">
      <c r="A3533" s="12">
        <v>46191</v>
      </c>
      <c r="B3533" s="10">
        <v>4</v>
      </c>
      <c r="Q3533" s="10" t="str">
        <f t="shared" si="55"/>
        <v>Incomplete</v>
      </c>
    </row>
    <row r="3534" spans="1:17" hidden="1">
      <c r="A3534" s="12">
        <v>46191</v>
      </c>
      <c r="B3534" s="10">
        <v>5</v>
      </c>
      <c r="Q3534" s="10" t="str">
        <f t="shared" si="55"/>
        <v>Incomplete</v>
      </c>
    </row>
    <row r="3535" spans="1:17" hidden="1">
      <c r="A3535" s="12">
        <v>46191</v>
      </c>
      <c r="B3535" s="10">
        <v>6</v>
      </c>
      <c r="Q3535" s="10" t="str">
        <f t="shared" si="55"/>
        <v>Incomplete</v>
      </c>
    </row>
    <row r="3536" spans="1:17" hidden="1">
      <c r="A3536" s="12">
        <v>46191</v>
      </c>
      <c r="B3536" s="10">
        <v>7</v>
      </c>
      <c r="Q3536" s="10" t="str">
        <f t="shared" si="55"/>
        <v>Incomplete</v>
      </c>
    </row>
    <row r="3537" spans="1:17" hidden="1">
      <c r="A3537" s="12">
        <v>46191</v>
      </c>
      <c r="B3537" s="10">
        <v>8</v>
      </c>
      <c r="Q3537" s="10" t="str">
        <f t="shared" si="55"/>
        <v>Incomplete</v>
      </c>
    </row>
    <row r="3538" spans="1:17" hidden="1">
      <c r="A3538" s="12">
        <v>46191</v>
      </c>
      <c r="B3538" s="10">
        <v>9</v>
      </c>
      <c r="Q3538" s="10" t="str">
        <f t="shared" si="55"/>
        <v>Incomplete</v>
      </c>
    </row>
    <row r="3539" spans="1:17" hidden="1">
      <c r="A3539" s="12">
        <v>46191</v>
      </c>
      <c r="B3539" s="10">
        <v>10</v>
      </c>
      <c r="Q3539" s="10" t="str">
        <f t="shared" si="55"/>
        <v>Incomplete</v>
      </c>
    </row>
    <row r="3540" spans="1:17" hidden="1">
      <c r="A3540" s="12">
        <v>46191</v>
      </c>
      <c r="B3540" s="10">
        <v>11</v>
      </c>
      <c r="Q3540" s="10" t="str">
        <f t="shared" si="55"/>
        <v>Incomplete</v>
      </c>
    </row>
    <row r="3541" spans="1:17" hidden="1">
      <c r="A3541" s="12">
        <v>46191</v>
      </c>
      <c r="B3541" s="10">
        <v>12</v>
      </c>
      <c r="Q3541" s="10" t="str">
        <f t="shared" si="55"/>
        <v>Incomplete</v>
      </c>
    </row>
    <row r="3542" spans="1:17" hidden="1">
      <c r="A3542" s="12">
        <v>46191</v>
      </c>
      <c r="B3542" s="10">
        <v>13</v>
      </c>
      <c r="Q3542" s="10" t="str">
        <f t="shared" si="55"/>
        <v>Incomplete</v>
      </c>
    </row>
    <row r="3543" spans="1:17" hidden="1">
      <c r="A3543" s="12">
        <v>46191</v>
      </c>
      <c r="B3543" s="10">
        <v>14</v>
      </c>
      <c r="Q3543" s="10" t="str">
        <f t="shared" si="55"/>
        <v>Incomplete</v>
      </c>
    </row>
    <row r="3544" spans="1:17" hidden="1">
      <c r="A3544" s="12">
        <v>46191</v>
      </c>
      <c r="B3544" s="10">
        <v>15</v>
      </c>
      <c r="Q3544" s="10" t="str">
        <f t="shared" si="55"/>
        <v>Incomplete</v>
      </c>
    </row>
    <row r="3545" spans="1:17" hidden="1">
      <c r="A3545" s="12">
        <v>46191</v>
      </c>
      <c r="B3545" s="10">
        <v>16</v>
      </c>
      <c r="Q3545" s="10" t="str">
        <f t="shared" si="55"/>
        <v>Incomplete</v>
      </c>
    </row>
    <row r="3546" spans="1:17" hidden="1">
      <c r="A3546" s="12">
        <v>46191</v>
      </c>
      <c r="B3546" s="10">
        <v>17</v>
      </c>
      <c r="Q3546" s="10" t="str">
        <f t="shared" si="55"/>
        <v>Incomplete</v>
      </c>
    </row>
    <row r="3547" spans="1:17" hidden="1">
      <c r="A3547" s="12">
        <v>46191</v>
      </c>
      <c r="B3547" s="10">
        <v>18</v>
      </c>
      <c r="Q3547" s="10" t="str">
        <f t="shared" si="55"/>
        <v>Incomplete</v>
      </c>
    </row>
    <row r="3548" spans="1:17" hidden="1">
      <c r="A3548" s="12">
        <v>46191</v>
      </c>
      <c r="B3548" s="10">
        <v>19</v>
      </c>
      <c r="Q3548" s="10" t="str">
        <f t="shared" si="55"/>
        <v>Incomplete</v>
      </c>
    </row>
    <row r="3549" spans="1:17" hidden="1">
      <c r="A3549" s="12">
        <v>46191</v>
      </c>
      <c r="B3549" s="10">
        <v>20</v>
      </c>
      <c r="Q3549" s="10" t="str">
        <f t="shared" si="55"/>
        <v>Incomplete</v>
      </c>
    </row>
    <row r="3550" spans="1:17" hidden="1">
      <c r="A3550" s="12">
        <v>46191</v>
      </c>
      <c r="B3550" s="10">
        <v>21</v>
      </c>
      <c r="Q3550" s="10" t="str">
        <f t="shared" si="55"/>
        <v>Incomplete</v>
      </c>
    </row>
    <row r="3551" spans="1:17" hidden="1">
      <c r="A3551" s="12">
        <v>46192</v>
      </c>
      <c r="B3551" s="10">
        <v>1</v>
      </c>
      <c r="Q3551" s="10" t="str">
        <f t="shared" si="55"/>
        <v>Incomplete</v>
      </c>
    </row>
    <row r="3552" spans="1:17" hidden="1">
      <c r="A3552" s="12">
        <v>46192</v>
      </c>
      <c r="B3552" s="10">
        <v>2</v>
      </c>
      <c r="Q3552" s="10" t="str">
        <f t="shared" si="55"/>
        <v>Incomplete</v>
      </c>
    </row>
    <row r="3553" spans="1:17" hidden="1">
      <c r="A3553" s="12">
        <v>46192</v>
      </c>
      <c r="B3553" s="10">
        <v>3</v>
      </c>
      <c r="Q3553" s="10" t="str">
        <f t="shared" si="55"/>
        <v>Incomplete</v>
      </c>
    </row>
    <row r="3554" spans="1:17" hidden="1">
      <c r="A3554" s="12">
        <v>46192</v>
      </c>
      <c r="B3554" s="10">
        <v>4</v>
      </c>
      <c r="Q3554" s="10" t="str">
        <f t="shared" si="55"/>
        <v>Incomplete</v>
      </c>
    </row>
    <row r="3555" spans="1:17" hidden="1">
      <c r="A3555" s="12">
        <v>46192</v>
      </c>
      <c r="B3555" s="10">
        <v>5</v>
      </c>
      <c r="Q3555" s="10" t="str">
        <f t="shared" si="55"/>
        <v>Incomplete</v>
      </c>
    </row>
    <row r="3556" spans="1:17" hidden="1">
      <c r="A3556" s="12">
        <v>46192</v>
      </c>
      <c r="B3556" s="10">
        <v>6</v>
      </c>
      <c r="Q3556" s="10" t="str">
        <f t="shared" si="55"/>
        <v>Incomplete</v>
      </c>
    </row>
    <row r="3557" spans="1:17" hidden="1">
      <c r="A3557" s="12">
        <v>46192</v>
      </c>
      <c r="B3557" s="10">
        <v>7</v>
      </c>
      <c r="Q3557" s="10" t="str">
        <f t="shared" si="55"/>
        <v>Incomplete</v>
      </c>
    </row>
    <row r="3558" spans="1:17" hidden="1">
      <c r="A3558" s="12">
        <v>46192</v>
      </c>
      <c r="B3558" s="10">
        <v>8</v>
      </c>
      <c r="Q3558" s="10" t="str">
        <f t="shared" si="55"/>
        <v>Incomplete</v>
      </c>
    </row>
    <row r="3559" spans="1:17" hidden="1">
      <c r="A3559" s="12">
        <v>46192</v>
      </c>
      <c r="B3559" s="10">
        <v>9</v>
      </c>
      <c r="Q3559" s="10" t="str">
        <f t="shared" si="55"/>
        <v>Incomplete</v>
      </c>
    </row>
    <row r="3560" spans="1:17" hidden="1">
      <c r="A3560" s="12">
        <v>46192</v>
      </c>
      <c r="B3560" s="10">
        <v>10</v>
      </c>
      <c r="Q3560" s="10" t="str">
        <f t="shared" si="55"/>
        <v>Incomplete</v>
      </c>
    </row>
    <row r="3561" spans="1:17" hidden="1">
      <c r="A3561" s="12">
        <v>46192</v>
      </c>
      <c r="B3561" s="10">
        <v>11</v>
      </c>
      <c r="Q3561" s="10" t="str">
        <f t="shared" si="55"/>
        <v>Incomplete</v>
      </c>
    </row>
    <row r="3562" spans="1:17" hidden="1">
      <c r="A3562" s="12">
        <v>46192</v>
      </c>
      <c r="B3562" s="10">
        <v>12</v>
      </c>
      <c r="Q3562" s="10" t="str">
        <f t="shared" si="55"/>
        <v>Incomplete</v>
      </c>
    </row>
    <row r="3563" spans="1:17" hidden="1">
      <c r="A3563" s="12">
        <v>46192</v>
      </c>
      <c r="B3563" s="10">
        <v>13</v>
      </c>
      <c r="Q3563" s="10" t="str">
        <f t="shared" si="55"/>
        <v>Incomplete</v>
      </c>
    </row>
    <row r="3564" spans="1:17" hidden="1">
      <c r="A3564" s="12">
        <v>46192</v>
      </c>
      <c r="B3564" s="10">
        <v>14</v>
      </c>
      <c r="Q3564" s="10" t="str">
        <f t="shared" si="55"/>
        <v>Incomplete</v>
      </c>
    </row>
    <row r="3565" spans="1:17" hidden="1">
      <c r="A3565" s="12">
        <v>46192</v>
      </c>
      <c r="B3565" s="10">
        <v>15</v>
      </c>
      <c r="Q3565" s="10" t="str">
        <f t="shared" si="55"/>
        <v>Incomplete</v>
      </c>
    </row>
    <row r="3566" spans="1:17" hidden="1">
      <c r="A3566" s="12">
        <v>46192</v>
      </c>
      <c r="B3566" s="10">
        <v>16</v>
      </c>
      <c r="Q3566" s="10" t="str">
        <f t="shared" si="55"/>
        <v>Incomplete</v>
      </c>
    </row>
    <row r="3567" spans="1:17" hidden="1">
      <c r="A3567" s="12">
        <v>46192</v>
      </c>
      <c r="B3567" s="10">
        <v>17</v>
      </c>
      <c r="Q3567" s="10" t="str">
        <f t="shared" si="55"/>
        <v>Incomplete</v>
      </c>
    </row>
    <row r="3568" spans="1:17" hidden="1">
      <c r="A3568" s="12">
        <v>46192</v>
      </c>
      <c r="B3568" s="10">
        <v>18</v>
      </c>
      <c r="Q3568" s="10" t="str">
        <f t="shared" si="55"/>
        <v>Incomplete</v>
      </c>
    </row>
    <row r="3569" spans="1:17" hidden="1">
      <c r="A3569" s="12">
        <v>46192</v>
      </c>
      <c r="B3569" s="10">
        <v>19</v>
      </c>
      <c r="Q3569" s="10" t="str">
        <f t="shared" si="55"/>
        <v>Incomplete</v>
      </c>
    </row>
    <row r="3570" spans="1:17" hidden="1">
      <c r="A3570" s="12">
        <v>46192</v>
      </c>
      <c r="B3570" s="10">
        <v>20</v>
      </c>
      <c r="Q3570" s="10" t="str">
        <f t="shared" si="55"/>
        <v>Incomplete</v>
      </c>
    </row>
    <row r="3571" spans="1:17" hidden="1">
      <c r="A3571" s="12">
        <v>46192</v>
      </c>
      <c r="B3571" s="10">
        <v>21</v>
      </c>
      <c r="Q3571" s="10" t="str">
        <f t="shared" si="55"/>
        <v>Incomplete</v>
      </c>
    </row>
    <row r="3572" spans="1:17" hidden="1">
      <c r="A3572" s="12">
        <v>46193</v>
      </c>
      <c r="B3572" s="10">
        <v>1</v>
      </c>
      <c r="Q3572" s="10" t="str">
        <f t="shared" si="55"/>
        <v>Incomplete</v>
      </c>
    </row>
    <row r="3573" spans="1:17" hidden="1">
      <c r="A3573" s="12">
        <v>46193</v>
      </c>
      <c r="B3573" s="10">
        <v>2</v>
      </c>
      <c r="Q3573" s="10" t="str">
        <f t="shared" si="55"/>
        <v>Incomplete</v>
      </c>
    </row>
    <row r="3574" spans="1:17" hidden="1">
      <c r="A3574" s="12">
        <v>46193</v>
      </c>
      <c r="B3574" s="10">
        <v>3</v>
      </c>
      <c r="Q3574" s="10" t="str">
        <f t="shared" si="55"/>
        <v>Incomplete</v>
      </c>
    </row>
    <row r="3575" spans="1:17" hidden="1">
      <c r="A3575" s="12">
        <v>46193</v>
      </c>
      <c r="B3575" s="10">
        <v>4</v>
      </c>
      <c r="Q3575" s="10" t="str">
        <f t="shared" si="55"/>
        <v>Incomplete</v>
      </c>
    </row>
    <row r="3576" spans="1:17" hidden="1">
      <c r="A3576" s="12">
        <v>46193</v>
      </c>
      <c r="B3576" s="10">
        <v>5</v>
      </c>
      <c r="Q3576" s="10" t="str">
        <f t="shared" si="55"/>
        <v>Incomplete</v>
      </c>
    </row>
    <row r="3577" spans="1:17" hidden="1">
      <c r="A3577" s="12">
        <v>46193</v>
      </c>
      <c r="B3577" s="10">
        <v>6</v>
      </c>
      <c r="Q3577" s="10" t="str">
        <f t="shared" si="55"/>
        <v>Incomplete</v>
      </c>
    </row>
    <row r="3578" spans="1:17" hidden="1">
      <c r="A3578" s="12">
        <v>46193</v>
      </c>
      <c r="B3578" s="10">
        <v>7</v>
      </c>
      <c r="Q3578" s="10" t="str">
        <f t="shared" si="55"/>
        <v>Incomplete</v>
      </c>
    </row>
    <row r="3579" spans="1:17" hidden="1">
      <c r="A3579" s="12">
        <v>46193</v>
      </c>
      <c r="B3579" s="10">
        <v>8</v>
      </c>
      <c r="Q3579" s="10" t="str">
        <f t="shared" si="55"/>
        <v>Incomplete</v>
      </c>
    </row>
    <row r="3580" spans="1:17" hidden="1">
      <c r="A3580" s="12">
        <v>46193</v>
      </c>
      <c r="B3580" s="10">
        <v>9</v>
      </c>
      <c r="Q3580" s="10" t="str">
        <f t="shared" si="55"/>
        <v>Incomplete</v>
      </c>
    </row>
    <row r="3581" spans="1:17" hidden="1">
      <c r="A3581" s="12">
        <v>46193</v>
      </c>
      <c r="B3581" s="10">
        <v>10</v>
      </c>
      <c r="Q3581" s="10" t="str">
        <f t="shared" si="55"/>
        <v>Incomplete</v>
      </c>
    </row>
    <row r="3582" spans="1:17" hidden="1">
      <c r="A3582" s="12">
        <v>46193</v>
      </c>
      <c r="B3582" s="10">
        <v>11</v>
      </c>
      <c r="Q3582" s="10" t="str">
        <f t="shared" si="55"/>
        <v>Incomplete</v>
      </c>
    </row>
    <row r="3583" spans="1:17" hidden="1">
      <c r="A3583" s="12">
        <v>46193</v>
      </c>
      <c r="B3583" s="10">
        <v>12</v>
      </c>
      <c r="Q3583" s="10" t="str">
        <f t="shared" si="55"/>
        <v>Incomplete</v>
      </c>
    </row>
    <row r="3584" spans="1:17" hidden="1">
      <c r="A3584" s="12">
        <v>46193</v>
      </c>
      <c r="B3584" s="10">
        <v>13</v>
      </c>
      <c r="Q3584" s="10" t="str">
        <f t="shared" si="55"/>
        <v>Incomplete</v>
      </c>
    </row>
    <row r="3585" spans="1:17" hidden="1">
      <c r="A3585" s="12">
        <v>46193</v>
      </c>
      <c r="B3585" s="10">
        <v>14</v>
      </c>
      <c r="Q3585" s="10" t="str">
        <f t="shared" si="55"/>
        <v>Incomplete</v>
      </c>
    </row>
    <row r="3586" spans="1:17" hidden="1">
      <c r="A3586" s="12">
        <v>46193</v>
      </c>
      <c r="B3586" s="10">
        <v>15</v>
      </c>
      <c r="Q3586" s="10" t="str">
        <f t="shared" ref="Q3586:Q3649" si="56">IF(AND(C3586&lt;&gt;"",J3586&lt;&gt;"",K3586&lt;&gt;"",L3586&lt;&gt;"",O3586="Yes"),"Complete","Incomplete")</f>
        <v>Incomplete</v>
      </c>
    </row>
    <row r="3587" spans="1:17" hidden="1">
      <c r="A3587" s="12">
        <v>46193</v>
      </c>
      <c r="B3587" s="10">
        <v>16</v>
      </c>
      <c r="Q3587" s="10" t="str">
        <f t="shared" si="56"/>
        <v>Incomplete</v>
      </c>
    </row>
    <row r="3588" spans="1:17" hidden="1">
      <c r="A3588" s="12">
        <v>46193</v>
      </c>
      <c r="B3588" s="10">
        <v>17</v>
      </c>
      <c r="Q3588" s="10" t="str">
        <f t="shared" si="56"/>
        <v>Incomplete</v>
      </c>
    </row>
    <row r="3589" spans="1:17" hidden="1">
      <c r="A3589" s="12">
        <v>46193</v>
      </c>
      <c r="B3589" s="10">
        <v>18</v>
      </c>
      <c r="Q3589" s="10" t="str">
        <f t="shared" si="56"/>
        <v>Incomplete</v>
      </c>
    </row>
    <row r="3590" spans="1:17" hidden="1">
      <c r="A3590" s="12">
        <v>46193</v>
      </c>
      <c r="B3590" s="10">
        <v>19</v>
      </c>
      <c r="Q3590" s="10" t="str">
        <f t="shared" si="56"/>
        <v>Incomplete</v>
      </c>
    </row>
    <row r="3591" spans="1:17" hidden="1">
      <c r="A3591" s="12">
        <v>46193</v>
      </c>
      <c r="B3591" s="10">
        <v>20</v>
      </c>
      <c r="Q3591" s="10" t="str">
        <f t="shared" si="56"/>
        <v>Incomplete</v>
      </c>
    </row>
    <row r="3592" spans="1:17" hidden="1">
      <c r="A3592" s="12">
        <v>46193</v>
      </c>
      <c r="B3592" s="10">
        <v>21</v>
      </c>
      <c r="Q3592" s="10" t="str">
        <f t="shared" si="56"/>
        <v>Incomplete</v>
      </c>
    </row>
    <row r="3593" spans="1:17" hidden="1">
      <c r="A3593" s="12">
        <v>46194</v>
      </c>
      <c r="B3593" s="10">
        <v>1</v>
      </c>
      <c r="Q3593" s="10" t="str">
        <f t="shared" si="56"/>
        <v>Incomplete</v>
      </c>
    </row>
    <row r="3594" spans="1:17" hidden="1">
      <c r="A3594" s="12">
        <v>46194</v>
      </c>
      <c r="B3594" s="10">
        <v>2</v>
      </c>
      <c r="Q3594" s="10" t="str">
        <f t="shared" si="56"/>
        <v>Incomplete</v>
      </c>
    </row>
    <row r="3595" spans="1:17" hidden="1">
      <c r="A3595" s="12">
        <v>46194</v>
      </c>
      <c r="B3595" s="10">
        <v>3</v>
      </c>
      <c r="Q3595" s="10" t="str">
        <f t="shared" si="56"/>
        <v>Incomplete</v>
      </c>
    </row>
    <row r="3596" spans="1:17" hidden="1">
      <c r="A3596" s="12">
        <v>46194</v>
      </c>
      <c r="B3596" s="10">
        <v>4</v>
      </c>
      <c r="Q3596" s="10" t="str">
        <f t="shared" si="56"/>
        <v>Incomplete</v>
      </c>
    </row>
    <row r="3597" spans="1:17" hidden="1">
      <c r="A3597" s="12">
        <v>46194</v>
      </c>
      <c r="B3597" s="10">
        <v>5</v>
      </c>
      <c r="Q3597" s="10" t="str">
        <f t="shared" si="56"/>
        <v>Incomplete</v>
      </c>
    </row>
    <row r="3598" spans="1:17" hidden="1">
      <c r="A3598" s="12">
        <v>46194</v>
      </c>
      <c r="B3598" s="10">
        <v>6</v>
      </c>
      <c r="Q3598" s="10" t="str">
        <f t="shared" si="56"/>
        <v>Incomplete</v>
      </c>
    </row>
    <row r="3599" spans="1:17" hidden="1">
      <c r="A3599" s="12">
        <v>46194</v>
      </c>
      <c r="B3599" s="10">
        <v>7</v>
      </c>
      <c r="Q3599" s="10" t="str">
        <f t="shared" si="56"/>
        <v>Incomplete</v>
      </c>
    </row>
    <row r="3600" spans="1:17" hidden="1">
      <c r="A3600" s="12">
        <v>46194</v>
      </c>
      <c r="B3600" s="10">
        <v>8</v>
      </c>
      <c r="Q3600" s="10" t="str">
        <f t="shared" si="56"/>
        <v>Incomplete</v>
      </c>
    </row>
    <row r="3601" spans="1:17" hidden="1">
      <c r="A3601" s="12">
        <v>46194</v>
      </c>
      <c r="B3601" s="10">
        <v>9</v>
      </c>
      <c r="Q3601" s="10" t="str">
        <f t="shared" si="56"/>
        <v>Incomplete</v>
      </c>
    </row>
    <row r="3602" spans="1:17" hidden="1">
      <c r="A3602" s="12">
        <v>46194</v>
      </c>
      <c r="B3602" s="10">
        <v>10</v>
      </c>
      <c r="Q3602" s="10" t="str">
        <f t="shared" si="56"/>
        <v>Incomplete</v>
      </c>
    </row>
    <row r="3603" spans="1:17" hidden="1">
      <c r="A3603" s="12">
        <v>46194</v>
      </c>
      <c r="B3603" s="10">
        <v>11</v>
      </c>
      <c r="Q3603" s="10" t="str">
        <f t="shared" si="56"/>
        <v>Incomplete</v>
      </c>
    </row>
    <row r="3604" spans="1:17" hidden="1">
      <c r="A3604" s="12">
        <v>46194</v>
      </c>
      <c r="B3604" s="10">
        <v>12</v>
      </c>
      <c r="Q3604" s="10" t="str">
        <f t="shared" si="56"/>
        <v>Incomplete</v>
      </c>
    </row>
    <row r="3605" spans="1:17" hidden="1">
      <c r="A3605" s="12">
        <v>46194</v>
      </c>
      <c r="B3605" s="10">
        <v>13</v>
      </c>
      <c r="Q3605" s="10" t="str">
        <f t="shared" si="56"/>
        <v>Incomplete</v>
      </c>
    </row>
    <row r="3606" spans="1:17" hidden="1">
      <c r="A3606" s="12">
        <v>46194</v>
      </c>
      <c r="B3606" s="10">
        <v>14</v>
      </c>
      <c r="Q3606" s="10" t="str">
        <f t="shared" si="56"/>
        <v>Incomplete</v>
      </c>
    </row>
    <row r="3607" spans="1:17" hidden="1">
      <c r="A3607" s="12">
        <v>46194</v>
      </c>
      <c r="B3607" s="10">
        <v>15</v>
      </c>
      <c r="Q3607" s="10" t="str">
        <f t="shared" si="56"/>
        <v>Incomplete</v>
      </c>
    </row>
    <row r="3608" spans="1:17" hidden="1">
      <c r="A3608" s="12">
        <v>46194</v>
      </c>
      <c r="B3608" s="10">
        <v>16</v>
      </c>
      <c r="Q3608" s="10" t="str">
        <f t="shared" si="56"/>
        <v>Incomplete</v>
      </c>
    </row>
    <row r="3609" spans="1:17" hidden="1">
      <c r="A3609" s="12">
        <v>46194</v>
      </c>
      <c r="B3609" s="10">
        <v>17</v>
      </c>
      <c r="Q3609" s="10" t="str">
        <f t="shared" si="56"/>
        <v>Incomplete</v>
      </c>
    </row>
    <row r="3610" spans="1:17" hidden="1">
      <c r="A3610" s="12">
        <v>46194</v>
      </c>
      <c r="B3610" s="10">
        <v>18</v>
      </c>
      <c r="Q3610" s="10" t="str">
        <f t="shared" si="56"/>
        <v>Incomplete</v>
      </c>
    </row>
    <row r="3611" spans="1:17" hidden="1">
      <c r="A3611" s="12">
        <v>46194</v>
      </c>
      <c r="B3611" s="10">
        <v>19</v>
      </c>
      <c r="Q3611" s="10" t="str">
        <f t="shared" si="56"/>
        <v>Incomplete</v>
      </c>
    </row>
    <row r="3612" spans="1:17" hidden="1">
      <c r="A3612" s="12">
        <v>46194</v>
      </c>
      <c r="B3612" s="10">
        <v>20</v>
      </c>
      <c r="Q3612" s="10" t="str">
        <f t="shared" si="56"/>
        <v>Incomplete</v>
      </c>
    </row>
    <row r="3613" spans="1:17" hidden="1">
      <c r="A3613" s="12">
        <v>46194</v>
      </c>
      <c r="B3613" s="10">
        <v>21</v>
      </c>
      <c r="Q3613" s="10" t="str">
        <f t="shared" si="56"/>
        <v>Incomplete</v>
      </c>
    </row>
    <row r="3614" spans="1:17" hidden="1">
      <c r="A3614" s="12">
        <v>46195</v>
      </c>
      <c r="B3614" s="10">
        <v>1</v>
      </c>
      <c r="Q3614" s="10" t="str">
        <f t="shared" si="56"/>
        <v>Incomplete</v>
      </c>
    </row>
    <row r="3615" spans="1:17" hidden="1">
      <c r="A3615" s="12">
        <v>46195</v>
      </c>
      <c r="B3615" s="10">
        <v>2</v>
      </c>
      <c r="Q3615" s="10" t="str">
        <f t="shared" si="56"/>
        <v>Incomplete</v>
      </c>
    </row>
    <row r="3616" spans="1:17" hidden="1">
      <c r="A3616" s="12">
        <v>46195</v>
      </c>
      <c r="B3616" s="10">
        <v>3</v>
      </c>
      <c r="Q3616" s="10" t="str">
        <f t="shared" si="56"/>
        <v>Incomplete</v>
      </c>
    </row>
    <row r="3617" spans="1:17" hidden="1">
      <c r="A3617" s="12">
        <v>46195</v>
      </c>
      <c r="B3617" s="10">
        <v>4</v>
      </c>
      <c r="Q3617" s="10" t="str">
        <f t="shared" si="56"/>
        <v>Incomplete</v>
      </c>
    </row>
    <row r="3618" spans="1:17" hidden="1">
      <c r="A3618" s="12">
        <v>46195</v>
      </c>
      <c r="B3618" s="10">
        <v>5</v>
      </c>
      <c r="Q3618" s="10" t="str">
        <f t="shared" si="56"/>
        <v>Incomplete</v>
      </c>
    </row>
    <row r="3619" spans="1:17" hidden="1">
      <c r="A3619" s="12">
        <v>46195</v>
      </c>
      <c r="B3619" s="10">
        <v>6</v>
      </c>
      <c r="Q3619" s="10" t="str">
        <f t="shared" si="56"/>
        <v>Incomplete</v>
      </c>
    </row>
    <row r="3620" spans="1:17" hidden="1">
      <c r="A3620" s="12">
        <v>46195</v>
      </c>
      <c r="B3620" s="10">
        <v>7</v>
      </c>
      <c r="Q3620" s="10" t="str">
        <f t="shared" si="56"/>
        <v>Incomplete</v>
      </c>
    </row>
    <row r="3621" spans="1:17" hidden="1">
      <c r="A3621" s="12">
        <v>46195</v>
      </c>
      <c r="B3621" s="10">
        <v>8</v>
      </c>
      <c r="Q3621" s="10" t="str">
        <f t="shared" si="56"/>
        <v>Incomplete</v>
      </c>
    </row>
    <row r="3622" spans="1:17" hidden="1">
      <c r="A3622" s="12">
        <v>46195</v>
      </c>
      <c r="B3622" s="10">
        <v>9</v>
      </c>
      <c r="Q3622" s="10" t="str">
        <f t="shared" si="56"/>
        <v>Incomplete</v>
      </c>
    </row>
    <row r="3623" spans="1:17" hidden="1">
      <c r="A3623" s="12">
        <v>46195</v>
      </c>
      <c r="B3623" s="10">
        <v>10</v>
      </c>
      <c r="Q3623" s="10" t="str">
        <f t="shared" si="56"/>
        <v>Incomplete</v>
      </c>
    </row>
    <row r="3624" spans="1:17" hidden="1">
      <c r="A3624" s="12">
        <v>46195</v>
      </c>
      <c r="B3624" s="10">
        <v>11</v>
      </c>
      <c r="Q3624" s="10" t="str">
        <f t="shared" si="56"/>
        <v>Incomplete</v>
      </c>
    </row>
    <row r="3625" spans="1:17" hidden="1">
      <c r="A3625" s="12">
        <v>46195</v>
      </c>
      <c r="B3625" s="10">
        <v>12</v>
      </c>
      <c r="Q3625" s="10" t="str">
        <f t="shared" si="56"/>
        <v>Incomplete</v>
      </c>
    </row>
    <row r="3626" spans="1:17" hidden="1">
      <c r="A3626" s="12">
        <v>46195</v>
      </c>
      <c r="B3626" s="10">
        <v>13</v>
      </c>
      <c r="Q3626" s="10" t="str">
        <f t="shared" si="56"/>
        <v>Incomplete</v>
      </c>
    </row>
    <row r="3627" spans="1:17" hidden="1">
      <c r="A3627" s="12">
        <v>46195</v>
      </c>
      <c r="B3627" s="10">
        <v>14</v>
      </c>
      <c r="Q3627" s="10" t="str">
        <f t="shared" si="56"/>
        <v>Incomplete</v>
      </c>
    </row>
    <row r="3628" spans="1:17" hidden="1">
      <c r="A3628" s="12">
        <v>46195</v>
      </c>
      <c r="B3628" s="10">
        <v>15</v>
      </c>
      <c r="Q3628" s="10" t="str">
        <f t="shared" si="56"/>
        <v>Incomplete</v>
      </c>
    </row>
    <row r="3629" spans="1:17" hidden="1">
      <c r="A3629" s="12">
        <v>46195</v>
      </c>
      <c r="B3629" s="10">
        <v>16</v>
      </c>
      <c r="Q3629" s="10" t="str">
        <f t="shared" si="56"/>
        <v>Incomplete</v>
      </c>
    </row>
    <row r="3630" spans="1:17" hidden="1">
      <c r="A3630" s="12">
        <v>46195</v>
      </c>
      <c r="B3630" s="10">
        <v>17</v>
      </c>
      <c r="Q3630" s="10" t="str">
        <f t="shared" si="56"/>
        <v>Incomplete</v>
      </c>
    </row>
    <row r="3631" spans="1:17" hidden="1">
      <c r="A3631" s="12">
        <v>46195</v>
      </c>
      <c r="B3631" s="10">
        <v>18</v>
      </c>
      <c r="Q3631" s="10" t="str">
        <f t="shared" si="56"/>
        <v>Incomplete</v>
      </c>
    </row>
    <row r="3632" spans="1:17" hidden="1">
      <c r="A3632" s="12">
        <v>46195</v>
      </c>
      <c r="B3632" s="10">
        <v>19</v>
      </c>
      <c r="Q3632" s="10" t="str">
        <f t="shared" si="56"/>
        <v>Incomplete</v>
      </c>
    </row>
    <row r="3633" spans="1:17" hidden="1">
      <c r="A3633" s="12">
        <v>46195</v>
      </c>
      <c r="B3633" s="10">
        <v>20</v>
      </c>
      <c r="Q3633" s="10" t="str">
        <f t="shared" si="56"/>
        <v>Incomplete</v>
      </c>
    </row>
    <row r="3634" spans="1:17" hidden="1">
      <c r="A3634" s="12">
        <v>46195</v>
      </c>
      <c r="B3634" s="10">
        <v>21</v>
      </c>
      <c r="Q3634" s="10" t="str">
        <f t="shared" si="56"/>
        <v>Incomplete</v>
      </c>
    </row>
    <row r="3635" spans="1:17" hidden="1">
      <c r="A3635" s="12">
        <v>46196</v>
      </c>
      <c r="B3635" s="10">
        <v>1</v>
      </c>
      <c r="Q3635" s="10" t="str">
        <f t="shared" si="56"/>
        <v>Incomplete</v>
      </c>
    </row>
    <row r="3636" spans="1:17" hidden="1">
      <c r="A3636" s="12">
        <v>46196</v>
      </c>
      <c r="B3636" s="10">
        <v>2</v>
      </c>
      <c r="Q3636" s="10" t="str">
        <f t="shared" si="56"/>
        <v>Incomplete</v>
      </c>
    </row>
    <row r="3637" spans="1:17" hidden="1">
      <c r="A3637" s="12">
        <v>46196</v>
      </c>
      <c r="B3637" s="10">
        <v>3</v>
      </c>
      <c r="Q3637" s="10" t="str">
        <f t="shared" si="56"/>
        <v>Incomplete</v>
      </c>
    </row>
    <row r="3638" spans="1:17" hidden="1">
      <c r="A3638" s="12">
        <v>46196</v>
      </c>
      <c r="B3638" s="10">
        <v>4</v>
      </c>
      <c r="Q3638" s="10" t="str">
        <f t="shared" si="56"/>
        <v>Incomplete</v>
      </c>
    </row>
    <row r="3639" spans="1:17" hidden="1">
      <c r="A3639" s="12">
        <v>46196</v>
      </c>
      <c r="B3639" s="10">
        <v>5</v>
      </c>
      <c r="Q3639" s="10" t="str">
        <f t="shared" si="56"/>
        <v>Incomplete</v>
      </c>
    </row>
    <row r="3640" spans="1:17" hidden="1">
      <c r="A3640" s="12">
        <v>46196</v>
      </c>
      <c r="B3640" s="10">
        <v>6</v>
      </c>
      <c r="Q3640" s="10" t="str">
        <f t="shared" si="56"/>
        <v>Incomplete</v>
      </c>
    </row>
    <row r="3641" spans="1:17" hidden="1">
      <c r="A3641" s="12">
        <v>46196</v>
      </c>
      <c r="B3641" s="10">
        <v>7</v>
      </c>
      <c r="Q3641" s="10" t="str">
        <f t="shared" si="56"/>
        <v>Incomplete</v>
      </c>
    </row>
    <row r="3642" spans="1:17" hidden="1">
      <c r="A3642" s="12">
        <v>46196</v>
      </c>
      <c r="B3642" s="10">
        <v>8</v>
      </c>
      <c r="Q3642" s="10" t="str">
        <f t="shared" si="56"/>
        <v>Incomplete</v>
      </c>
    </row>
    <row r="3643" spans="1:17" hidden="1">
      <c r="A3643" s="12">
        <v>46196</v>
      </c>
      <c r="B3643" s="10">
        <v>9</v>
      </c>
      <c r="Q3643" s="10" t="str">
        <f t="shared" si="56"/>
        <v>Incomplete</v>
      </c>
    </row>
    <row r="3644" spans="1:17" hidden="1">
      <c r="A3644" s="12">
        <v>46196</v>
      </c>
      <c r="B3644" s="10">
        <v>10</v>
      </c>
      <c r="Q3644" s="10" t="str">
        <f t="shared" si="56"/>
        <v>Incomplete</v>
      </c>
    </row>
    <row r="3645" spans="1:17" hidden="1">
      <c r="A3645" s="12">
        <v>46196</v>
      </c>
      <c r="B3645" s="10">
        <v>11</v>
      </c>
      <c r="Q3645" s="10" t="str">
        <f t="shared" si="56"/>
        <v>Incomplete</v>
      </c>
    </row>
    <row r="3646" spans="1:17" hidden="1">
      <c r="A3646" s="12">
        <v>46196</v>
      </c>
      <c r="B3646" s="10">
        <v>12</v>
      </c>
      <c r="Q3646" s="10" t="str">
        <f t="shared" si="56"/>
        <v>Incomplete</v>
      </c>
    </row>
    <row r="3647" spans="1:17" hidden="1">
      <c r="A3647" s="12">
        <v>46196</v>
      </c>
      <c r="B3647" s="10">
        <v>13</v>
      </c>
      <c r="Q3647" s="10" t="str">
        <f t="shared" si="56"/>
        <v>Incomplete</v>
      </c>
    </row>
    <row r="3648" spans="1:17" hidden="1">
      <c r="A3648" s="12">
        <v>46196</v>
      </c>
      <c r="B3648" s="10">
        <v>14</v>
      </c>
      <c r="Q3648" s="10" t="str">
        <f t="shared" si="56"/>
        <v>Incomplete</v>
      </c>
    </row>
    <row r="3649" spans="1:17" hidden="1">
      <c r="A3649" s="12">
        <v>46196</v>
      </c>
      <c r="B3649" s="10">
        <v>15</v>
      </c>
      <c r="Q3649" s="10" t="str">
        <f t="shared" si="56"/>
        <v>Incomplete</v>
      </c>
    </row>
    <row r="3650" spans="1:17" hidden="1">
      <c r="A3650" s="12">
        <v>46196</v>
      </c>
      <c r="B3650" s="10">
        <v>16</v>
      </c>
      <c r="Q3650" s="10" t="str">
        <f t="shared" ref="Q3650:Q3713" si="57">IF(AND(C3650&lt;&gt;"",J3650&lt;&gt;"",K3650&lt;&gt;"",L3650&lt;&gt;"",O3650="Yes"),"Complete","Incomplete")</f>
        <v>Incomplete</v>
      </c>
    </row>
    <row r="3651" spans="1:17" hidden="1">
      <c r="A3651" s="12">
        <v>46196</v>
      </c>
      <c r="B3651" s="10">
        <v>17</v>
      </c>
      <c r="Q3651" s="10" t="str">
        <f t="shared" si="57"/>
        <v>Incomplete</v>
      </c>
    </row>
    <row r="3652" spans="1:17" hidden="1">
      <c r="A3652" s="12">
        <v>46196</v>
      </c>
      <c r="B3652" s="10">
        <v>18</v>
      </c>
      <c r="Q3652" s="10" t="str">
        <f t="shared" si="57"/>
        <v>Incomplete</v>
      </c>
    </row>
    <row r="3653" spans="1:17" hidden="1">
      <c r="A3653" s="12">
        <v>46196</v>
      </c>
      <c r="B3653" s="10">
        <v>19</v>
      </c>
      <c r="Q3653" s="10" t="str">
        <f t="shared" si="57"/>
        <v>Incomplete</v>
      </c>
    </row>
    <row r="3654" spans="1:17" hidden="1">
      <c r="A3654" s="12">
        <v>46196</v>
      </c>
      <c r="B3654" s="10">
        <v>20</v>
      </c>
      <c r="Q3654" s="10" t="str">
        <f t="shared" si="57"/>
        <v>Incomplete</v>
      </c>
    </row>
    <row r="3655" spans="1:17" hidden="1">
      <c r="A3655" s="12">
        <v>46196</v>
      </c>
      <c r="B3655" s="10">
        <v>21</v>
      </c>
      <c r="Q3655" s="10" t="str">
        <f t="shared" si="57"/>
        <v>Incomplete</v>
      </c>
    </row>
    <row r="3656" spans="1:17" hidden="1">
      <c r="A3656" s="12">
        <v>46197</v>
      </c>
      <c r="B3656" s="10">
        <v>1</v>
      </c>
      <c r="Q3656" s="10" t="str">
        <f t="shared" si="57"/>
        <v>Incomplete</v>
      </c>
    </row>
    <row r="3657" spans="1:17" hidden="1">
      <c r="A3657" s="12">
        <v>46197</v>
      </c>
      <c r="B3657" s="10">
        <v>2</v>
      </c>
      <c r="Q3657" s="10" t="str">
        <f t="shared" si="57"/>
        <v>Incomplete</v>
      </c>
    </row>
    <row r="3658" spans="1:17" hidden="1">
      <c r="A3658" s="12">
        <v>46197</v>
      </c>
      <c r="B3658" s="10">
        <v>3</v>
      </c>
      <c r="Q3658" s="10" t="str">
        <f t="shared" si="57"/>
        <v>Incomplete</v>
      </c>
    </row>
    <row r="3659" spans="1:17" hidden="1">
      <c r="A3659" s="12">
        <v>46197</v>
      </c>
      <c r="B3659" s="10">
        <v>4</v>
      </c>
      <c r="Q3659" s="10" t="str">
        <f t="shared" si="57"/>
        <v>Incomplete</v>
      </c>
    </row>
    <row r="3660" spans="1:17" hidden="1">
      <c r="A3660" s="12">
        <v>46197</v>
      </c>
      <c r="B3660" s="10">
        <v>5</v>
      </c>
      <c r="Q3660" s="10" t="str">
        <f t="shared" si="57"/>
        <v>Incomplete</v>
      </c>
    </row>
    <row r="3661" spans="1:17" hidden="1">
      <c r="A3661" s="12">
        <v>46197</v>
      </c>
      <c r="B3661" s="10">
        <v>6</v>
      </c>
      <c r="Q3661" s="10" t="str">
        <f t="shared" si="57"/>
        <v>Incomplete</v>
      </c>
    </row>
    <row r="3662" spans="1:17" hidden="1">
      <c r="A3662" s="12">
        <v>46197</v>
      </c>
      <c r="B3662" s="10">
        <v>7</v>
      </c>
      <c r="Q3662" s="10" t="str">
        <f t="shared" si="57"/>
        <v>Incomplete</v>
      </c>
    </row>
    <row r="3663" spans="1:17" hidden="1">
      <c r="A3663" s="12">
        <v>46197</v>
      </c>
      <c r="B3663" s="10">
        <v>8</v>
      </c>
      <c r="Q3663" s="10" t="str">
        <f t="shared" si="57"/>
        <v>Incomplete</v>
      </c>
    </row>
    <row r="3664" spans="1:17" hidden="1">
      <c r="A3664" s="12">
        <v>46197</v>
      </c>
      <c r="B3664" s="10">
        <v>9</v>
      </c>
      <c r="Q3664" s="10" t="str">
        <f t="shared" si="57"/>
        <v>Incomplete</v>
      </c>
    </row>
    <row r="3665" spans="1:17" hidden="1">
      <c r="A3665" s="12">
        <v>46197</v>
      </c>
      <c r="B3665" s="10">
        <v>10</v>
      </c>
      <c r="Q3665" s="10" t="str">
        <f t="shared" si="57"/>
        <v>Incomplete</v>
      </c>
    </row>
    <row r="3666" spans="1:17" hidden="1">
      <c r="A3666" s="12">
        <v>46197</v>
      </c>
      <c r="B3666" s="10">
        <v>11</v>
      </c>
      <c r="Q3666" s="10" t="str">
        <f t="shared" si="57"/>
        <v>Incomplete</v>
      </c>
    </row>
    <row r="3667" spans="1:17" hidden="1">
      <c r="A3667" s="12">
        <v>46197</v>
      </c>
      <c r="B3667" s="10">
        <v>12</v>
      </c>
      <c r="Q3667" s="10" t="str">
        <f t="shared" si="57"/>
        <v>Incomplete</v>
      </c>
    </row>
    <row r="3668" spans="1:17" hidden="1">
      <c r="A3668" s="12">
        <v>46197</v>
      </c>
      <c r="B3668" s="10">
        <v>13</v>
      </c>
      <c r="Q3668" s="10" t="str">
        <f t="shared" si="57"/>
        <v>Incomplete</v>
      </c>
    </row>
    <row r="3669" spans="1:17" hidden="1">
      <c r="A3669" s="12">
        <v>46197</v>
      </c>
      <c r="B3669" s="10">
        <v>14</v>
      </c>
      <c r="Q3669" s="10" t="str">
        <f t="shared" si="57"/>
        <v>Incomplete</v>
      </c>
    </row>
    <row r="3670" spans="1:17" hidden="1">
      <c r="A3670" s="12">
        <v>46197</v>
      </c>
      <c r="B3670" s="10">
        <v>15</v>
      </c>
      <c r="Q3670" s="10" t="str">
        <f t="shared" si="57"/>
        <v>Incomplete</v>
      </c>
    </row>
    <row r="3671" spans="1:17" hidden="1">
      <c r="A3671" s="12">
        <v>46197</v>
      </c>
      <c r="B3671" s="10">
        <v>16</v>
      </c>
      <c r="Q3671" s="10" t="str">
        <f t="shared" si="57"/>
        <v>Incomplete</v>
      </c>
    </row>
    <row r="3672" spans="1:17" hidden="1">
      <c r="A3672" s="12">
        <v>46197</v>
      </c>
      <c r="B3672" s="10">
        <v>17</v>
      </c>
      <c r="Q3672" s="10" t="str">
        <f t="shared" si="57"/>
        <v>Incomplete</v>
      </c>
    </row>
    <row r="3673" spans="1:17" hidden="1">
      <c r="A3673" s="12">
        <v>46197</v>
      </c>
      <c r="B3673" s="10">
        <v>18</v>
      </c>
      <c r="Q3673" s="10" t="str">
        <f t="shared" si="57"/>
        <v>Incomplete</v>
      </c>
    </row>
    <row r="3674" spans="1:17" hidden="1">
      <c r="A3674" s="12">
        <v>46197</v>
      </c>
      <c r="B3674" s="10">
        <v>19</v>
      </c>
      <c r="Q3674" s="10" t="str">
        <f t="shared" si="57"/>
        <v>Incomplete</v>
      </c>
    </row>
    <row r="3675" spans="1:17" hidden="1">
      <c r="A3675" s="12">
        <v>46197</v>
      </c>
      <c r="B3675" s="10">
        <v>20</v>
      </c>
      <c r="Q3675" s="10" t="str">
        <f t="shared" si="57"/>
        <v>Incomplete</v>
      </c>
    </row>
    <row r="3676" spans="1:17" hidden="1">
      <c r="A3676" s="12">
        <v>46197</v>
      </c>
      <c r="B3676" s="10">
        <v>21</v>
      </c>
      <c r="Q3676" s="10" t="str">
        <f t="shared" si="57"/>
        <v>Incomplete</v>
      </c>
    </row>
    <row r="3677" spans="1:17" hidden="1">
      <c r="A3677" s="12">
        <v>46198</v>
      </c>
      <c r="B3677" s="10">
        <v>1</v>
      </c>
      <c r="Q3677" s="10" t="str">
        <f t="shared" si="57"/>
        <v>Incomplete</v>
      </c>
    </row>
    <row r="3678" spans="1:17" hidden="1">
      <c r="A3678" s="12">
        <v>46198</v>
      </c>
      <c r="B3678" s="10">
        <v>2</v>
      </c>
      <c r="Q3678" s="10" t="str">
        <f t="shared" si="57"/>
        <v>Incomplete</v>
      </c>
    </row>
    <row r="3679" spans="1:17" hidden="1">
      <c r="A3679" s="12">
        <v>46198</v>
      </c>
      <c r="B3679" s="10">
        <v>3</v>
      </c>
      <c r="Q3679" s="10" t="str">
        <f t="shared" si="57"/>
        <v>Incomplete</v>
      </c>
    </row>
    <row r="3680" spans="1:17" hidden="1">
      <c r="A3680" s="12">
        <v>46198</v>
      </c>
      <c r="B3680" s="10">
        <v>4</v>
      </c>
      <c r="Q3680" s="10" t="str">
        <f t="shared" si="57"/>
        <v>Incomplete</v>
      </c>
    </row>
    <row r="3681" spans="1:17" hidden="1">
      <c r="A3681" s="12">
        <v>46198</v>
      </c>
      <c r="B3681" s="10">
        <v>5</v>
      </c>
      <c r="Q3681" s="10" t="str">
        <f t="shared" si="57"/>
        <v>Incomplete</v>
      </c>
    </row>
    <row r="3682" spans="1:17" hidden="1">
      <c r="A3682" s="12">
        <v>46198</v>
      </c>
      <c r="B3682" s="10">
        <v>6</v>
      </c>
      <c r="Q3682" s="10" t="str">
        <f t="shared" si="57"/>
        <v>Incomplete</v>
      </c>
    </row>
    <row r="3683" spans="1:17" hidden="1">
      <c r="A3683" s="12">
        <v>46198</v>
      </c>
      <c r="B3683" s="10">
        <v>7</v>
      </c>
      <c r="Q3683" s="10" t="str">
        <f t="shared" si="57"/>
        <v>Incomplete</v>
      </c>
    </row>
    <row r="3684" spans="1:17" hidden="1">
      <c r="A3684" s="12">
        <v>46198</v>
      </c>
      <c r="B3684" s="10">
        <v>8</v>
      </c>
      <c r="Q3684" s="10" t="str">
        <f t="shared" si="57"/>
        <v>Incomplete</v>
      </c>
    </row>
    <row r="3685" spans="1:17" hidden="1">
      <c r="A3685" s="12">
        <v>46198</v>
      </c>
      <c r="B3685" s="10">
        <v>9</v>
      </c>
      <c r="Q3685" s="10" t="str">
        <f t="shared" si="57"/>
        <v>Incomplete</v>
      </c>
    </row>
    <row r="3686" spans="1:17" hidden="1">
      <c r="A3686" s="12">
        <v>46198</v>
      </c>
      <c r="B3686" s="10">
        <v>10</v>
      </c>
      <c r="Q3686" s="10" t="str">
        <f t="shared" si="57"/>
        <v>Incomplete</v>
      </c>
    </row>
    <row r="3687" spans="1:17" hidden="1">
      <c r="A3687" s="12">
        <v>46198</v>
      </c>
      <c r="B3687" s="10">
        <v>11</v>
      </c>
      <c r="Q3687" s="10" t="str">
        <f t="shared" si="57"/>
        <v>Incomplete</v>
      </c>
    </row>
    <row r="3688" spans="1:17" hidden="1">
      <c r="A3688" s="12">
        <v>46198</v>
      </c>
      <c r="B3688" s="10">
        <v>12</v>
      </c>
      <c r="Q3688" s="10" t="str">
        <f t="shared" si="57"/>
        <v>Incomplete</v>
      </c>
    </row>
    <row r="3689" spans="1:17" hidden="1">
      <c r="A3689" s="12">
        <v>46198</v>
      </c>
      <c r="B3689" s="10">
        <v>13</v>
      </c>
      <c r="Q3689" s="10" t="str">
        <f t="shared" si="57"/>
        <v>Incomplete</v>
      </c>
    </row>
    <row r="3690" spans="1:17" hidden="1">
      <c r="A3690" s="12">
        <v>46198</v>
      </c>
      <c r="B3690" s="10">
        <v>14</v>
      </c>
      <c r="Q3690" s="10" t="str">
        <f t="shared" si="57"/>
        <v>Incomplete</v>
      </c>
    </row>
    <row r="3691" spans="1:17" hidden="1">
      <c r="A3691" s="12">
        <v>46198</v>
      </c>
      <c r="B3691" s="10">
        <v>15</v>
      </c>
      <c r="Q3691" s="10" t="str">
        <f t="shared" si="57"/>
        <v>Incomplete</v>
      </c>
    </row>
    <row r="3692" spans="1:17" hidden="1">
      <c r="A3692" s="12">
        <v>46198</v>
      </c>
      <c r="B3692" s="10">
        <v>16</v>
      </c>
      <c r="Q3692" s="10" t="str">
        <f t="shared" si="57"/>
        <v>Incomplete</v>
      </c>
    </row>
    <row r="3693" spans="1:17" hidden="1">
      <c r="A3693" s="12">
        <v>46198</v>
      </c>
      <c r="B3693" s="10">
        <v>17</v>
      </c>
      <c r="Q3693" s="10" t="str">
        <f t="shared" si="57"/>
        <v>Incomplete</v>
      </c>
    </row>
    <row r="3694" spans="1:17" hidden="1">
      <c r="A3694" s="12">
        <v>46198</v>
      </c>
      <c r="B3694" s="10">
        <v>18</v>
      </c>
      <c r="Q3694" s="10" t="str">
        <f t="shared" si="57"/>
        <v>Incomplete</v>
      </c>
    </row>
    <row r="3695" spans="1:17" hidden="1">
      <c r="A3695" s="12">
        <v>46198</v>
      </c>
      <c r="B3695" s="10">
        <v>19</v>
      </c>
      <c r="Q3695" s="10" t="str">
        <f t="shared" si="57"/>
        <v>Incomplete</v>
      </c>
    </row>
    <row r="3696" spans="1:17" hidden="1">
      <c r="A3696" s="12">
        <v>46198</v>
      </c>
      <c r="B3696" s="10">
        <v>20</v>
      </c>
      <c r="Q3696" s="10" t="str">
        <f t="shared" si="57"/>
        <v>Incomplete</v>
      </c>
    </row>
    <row r="3697" spans="1:17" hidden="1">
      <c r="A3697" s="12">
        <v>46198</v>
      </c>
      <c r="B3697" s="10">
        <v>21</v>
      </c>
      <c r="Q3697" s="10" t="str">
        <f t="shared" si="57"/>
        <v>Incomplete</v>
      </c>
    </row>
    <row r="3698" spans="1:17" hidden="1">
      <c r="A3698" s="12">
        <v>46199</v>
      </c>
      <c r="B3698" s="10">
        <v>1</v>
      </c>
      <c r="Q3698" s="10" t="str">
        <f t="shared" si="57"/>
        <v>Incomplete</v>
      </c>
    </row>
    <row r="3699" spans="1:17" hidden="1">
      <c r="A3699" s="12">
        <v>46199</v>
      </c>
      <c r="B3699" s="10">
        <v>2</v>
      </c>
      <c r="Q3699" s="10" t="str">
        <f t="shared" si="57"/>
        <v>Incomplete</v>
      </c>
    </row>
    <row r="3700" spans="1:17" hidden="1">
      <c r="A3700" s="12">
        <v>46199</v>
      </c>
      <c r="B3700" s="10">
        <v>3</v>
      </c>
      <c r="Q3700" s="10" t="str">
        <f t="shared" si="57"/>
        <v>Incomplete</v>
      </c>
    </row>
    <row r="3701" spans="1:17" hidden="1">
      <c r="A3701" s="12">
        <v>46199</v>
      </c>
      <c r="B3701" s="10">
        <v>4</v>
      </c>
      <c r="Q3701" s="10" t="str">
        <f t="shared" si="57"/>
        <v>Incomplete</v>
      </c>
    </row>
    <row r="3702" spans="1:17" hidden="1">
      <c r="A3702" s="12">
        <v>46199</v>
      </c>
      <c r="B3702" s="10">
        <v>5</v>
      </c>
      <c r="Q3702" s="10" t="str">
        <f t="shared" si="57"/>
        <v>Incomplete</v>
      </c>
    </row>
    <row r="3703" spans="1:17" hidden="1">
      <c r="A3703" s="12">
        <v>46199</v>
      </c>
      <c r="B3703" s="10">
        <v>6</v>
      </c>
      <c r="Q3703" s="10" t="str">
        <f t="shared" si="57"/>
        <v>Incomplete</v>
      </c>
    </row>
    <row r="3704" spans="1:17" hidden="1">
      <c r="A3704" s="12">
        <v>46199</v>
      </c>
      <c r="B3704" s="10">
        <v>7</v>
      </c>
      <c r="Q3704" s="10" t="str">
        <f t="shared" si="57"/>
        <v>Incomplete</v>
      </c>
    </row>
    <row r="3705" spans="1:17" hidden="1">
      <c r="A3705" s="12">
        <v>46199</v>
      </c>
      <c r="B3705" s="10">
        <v>8</v>
      </c>
      <c r="Q3705" s="10" t="str">
        <f t="shared" si="57"/>
        <v>Incomplete</v>
      </c>
    </row>
    <row r="3706" spans="1:17" hidden="1">
      <c r="A3706" s="12">
        <v>46199</v>
      </c>
      <c r="B3706" s="10">
        <v>9</v>
      </c>
      <c r="Q3706" s="10" t="str">
        <f t="shared" si="57"/>
        <v>Incomplete</v>
      </c>
    </row>
    <row r="3707" spans="1:17" hidden="1">
      <c r="A3707" s="12">
        <v>46199</v>
      </c>
      <c r="B3707" s="10">
        <v>10</v>
      </c>
      <c r="Q3707" s="10" t="str">
        <f t="shared" si="57"/>
        <v>Incomplete</v>
      </c>
    </row>
    <row r="3708" spans="1:17" hidden="1">
      <c r="A3708" s="12">
        <v>46199</v>
      </c>
      <c r="B3708" s="10">
        <v>11</v>
      </c>
      <c r="Q3708" s="10" t="str">
        <f t="shared" si="57"/>
        <v>Incomplete</v>
      </c>
    </row>
    <row r="3709" spans="1:17" hidden="1">
      <c r="A3709" s="12">
        <v>46199</v>
      </c>
      <c r="B3709" s="10">
        <v>12</v>
      </c>
      <c r="Q3709" s="10" t="str">
        <f t="shared" si="57"/>
        <v>Incomplete</v>
      </c>
    </row>
    <row r="3710" spans="1:17" hidden="1">
      <c r="A3710" s="12">
        <v>46199</v>
      </c>
      <c r="B3710" s="10">
        <v>13</v>
      </c>
      <c r="Q3710" s="10" t="str">
        <f t="shared" si="57"/>
        <v>Incomplete</v>
      </c>
    </row>
    <row r="3711" spans="1:17" hidden="1">
      <c r="A3711" s="12">
        <v>46199</v>
      </c>
      <c r="B3711" s="10">
        <v>14</v>
      </c>
      <c r="Q3711" s="10" t="str">
        <f t="shared" si="57"/>
        <v>Incomplete</v>
      </c>
    </row>
    <row r="3712" spans="1:17" hidden="1">
      <c r="A3712" s="12">
        <v>46199</v>
      </c>
      <c r="B3712" s="10">
        <v>15</v>
      </c>
      <c r="Q3712" s="10" t="str">
        <f t="shared" si="57"/>
        <v>Incomplete</v>
      </c>
    </row>
    <row r="3713" spans="1:17" hidden="1">
      <c r="A3713" s="12">
        <v>46199</v>
      </c>
      <c r="B3713" s="10">
        <v>16</v>
      </c>
      <c r="Q3713" s="10" t="str">
        <f t="shared" si="57"/>
        <v>Incomplete</v>
      </c>
    </row>
    <row r="3714" spans="1:17" hidden="1">
      <c r="A3714" s="12">
        <v>46199</v>
      </c>
      <c r="B3714" s="10">
        <v>17</v>
      </c>
      <c r="Q3714" s="10" t="str">
        <f t="shared" ref="Q3714:Q3777" si="58">IF(AND(C3714&lt;&gt;"",J3714&lt;&gt;"",K3714&lt;&gt;"",L3714&lt;&gt;"",O3714="Yes"),"Complete","Incomplete")</f>
        <v>Incomplete</v>
      </c>
    </row>
    <row r="3715" spans="1:17" hidden="1">
      <c r="A3715" s="12">
        <v>46199</v>
      </c>
      <c r="B3715" s="10">
        <v>18</v>
      </c>
      <c r="Q3715" s="10" t="str">
        <f t="shared" si="58"/>
        <v>Incomplete</v>
      </c>
    </row>
    <row r="3716" spans="1:17" hidden="1">
      <c r="A3716" s="12">
        <v>46199</v>
      </c>
      <c r="B3716" s="10">
        <v>19</v>
      </c>
      <c r="Q3716" s="10" t="str">
        <f t="shared" si="58"/>
        <v>Incomplete</v>
      </c>
    </row>
    <row r="3717" spans="1:17" hidden="1">
      <c r="A3717" s="12">
        <v>46199</v>
      </c>
      <c r="B3717" s="10">
        <v>20</v>
      </c>
      <c r="Q3717" s="10" t="str">
        <f t="shared" si="58"/>
        <v>Incomplete</v>
      </c>
    </row>
    <row r="3718" spans="1:17" hidden="1">
      <c r="A3718" s="12">
        <v>46199</v>
      </c>
      <c r="B3718" s="10">
        <v>21</v>
      </c>
      <c r="Q3718" s="10" t="str">
        <f t="shared" si="58"/>
        <v>Incomplete</v>
      </c>
    </row>
    <row r="3719" spans="1:17" hidden="1">
      <c r="A3719" s="12">
        <v>46200</v>
      </c>
      <c r="B3719" s="10">
        <v>1</v>
      </c>
      <c r="Q3719" s="10" t="str">
        <f t="shared" si="58"/>
        <v>Incomplete</v>
      </c>
    </row>
    <row r="3720" spans="1:17" hidden="1">
      <c r="A3720" s="12">
        <v>46200</v>
      </c>
      <c r="B3720" s="10">
        <v>2</v>
      </c>
      <c r="Q3720" s="10" t="str">
        <f t="shared" si="58"/>
        <v>Incomplete</v>
      </c>
    </row>
    <row r="3721" spans="1:17" hidden="1">
      <c r="A3721" s="12">
        <v>46200</v>
      </c>
      <c r="B3721" s="10">
        <v>3</v>
      </c>
      <c r="Q3721" s="10" t="str">
        <f t="shared" si="58"/>
        <v>Incomplete</v>
      </c>
    </row>
    <row r="3722" spans="1:17" hidden="1">
      <c r="A3722" s="12">
        <v>46200</v>
      </c>
      <c r="B3722" s="10">
        <v>4</v>
      </c>
      <c r="Q3722" s="10" t="str">
        <f t="shared" si="58"/>
        <v>Incomplete</v>
      </c>
    </row>
    <row r="3723" spans="1:17" hidden="1">
      <c r="A3723" s="12">
        <v>46200</v>
      </c>
      <c r="B3723" s="10">
        <v>5</v>
      </c>
      <c r="Q3723" s="10" t="str">
        <f t="shared" si="58"/>
        <v>Incomplete</v>
      </c>
    </row>
    <row r="3724" spans="1:17" hidden="1">
      <c r="A3724" s="12">
        <v>46200</v>
      </c>
      <c r="B3724" s="10">
        <v>6</v>
      </c>
      <c r="Q3724" s="10" t="str">
        <f t="shared" si="58"/>
        <v>Incomplete</v>
      </c>
    </row>
    <row r="3725" spans="1:17" hidden="1">
      <c r="A3725" s="12">
        <v>46200</v>
      </c>
      <c r="B3725" s="10">
        <v>7</v>
      </c>
      <c r="Q3725" s="10" t="str">
        <f t="shared" si="58"/>
        <v>Incomplete</v>
      </c>
    </row>
    <row r="3726" spans="1:17" hidden="1">
      <c r="A3726" s="12">
        <v>46200</v>
      </c>
      <c r="B3726" s="10">
        <v>8</v>
      </c>
      <c r="Q3726" s="10" t="str">
        <f t="shared" si="58"/>
        <v>Incomplete</v>
      </c>
    </row>
    <row r="3727" spans="1:17" hidden="1">
      <c r="A3727" s="12">
        <v>46200</v>
      </c>
      <c r="B3727" s="10">
        <v>9</v>
      </c>
      <c r="Q3727" s="10" t="str">
        <f t="shared" si="58"/>
        <v>Incomplete</v>
      </c>
    </row>
    <row r="3728" spans="1:17" hidden="1">
      <c r="A3728" s="12">
        <v>46200</v>
      </c>
      <c r="B3728" s="10">
        <v>10</v>
      </c>
      <c r="Q3728" s="10" t="str">
        <f t="shared" si="58"/>
        <v>Incomplete</v>
      </c>
    </row>
    <row r="3729" spans="1:17" hidden="1">
      <c r="A3729" s="12">
        <v>46200</v>
      </c>
      <c r="B3729" s="10">
        <v>11</v>
      </c>
      <c r="Q3729" s="10" t="str">
        <f t="shared" si="58"/>
        <v>Incomplete</v>
      </c>
    </row>
    <row r="3730" spans="1:17" hidden="1">
      <c r="A3730" s="12">
        <v>46200</v>
      </c>
      <c r="B3730" s="10">
        <v>12</v>
      </c>
      <c r="Q3730" s="10" t="str">
        <f t="shared" si="58"/>
        <v>Incomplete</v>
      </c>
    </row>
    <row r="3731" spans="1:17" hidden="1">
      <c r="A3731" s="12">
        <v>46200</v>
      </c>
      <c r="B3731" s="10">
        <v>13</v>
      </c>
      <c r="Q3731" s="10" t="str">
        <f t="shared" si="58"/>
        <v>Incomplete</v>
      </c>
    </row>
    <row r="3732" spans="1:17" hidden="1">
      <c r="A3732" s="12">
        <v>46200</v>
      </c>
      <c r="B3732" s="10">
        <v>14</v>
      </c>
      <c r="Q3732" s="10" t="str">
        <f t="shared" si="58"/>
        <v>Incomplete</v>
      </c>
    </row>
    <row r="3733" spans="1:17" hidden="1">
      <c r="A3733" s="12">
        <v>46200</v>
      </c>
      <c r="B3733" s="10">
        <v>15</v>
      </c>
      <c r="Q3733" s="10" t="str">
        <f t="shared" si="58"/>
        <v>Incomplete</v>
      </c>
    </row>
    <row r="3734" spans="1:17" hidden="1">
      <c r="A3734" s="12">
        <v>46200</v>
      </c>
      <c r="B3734" s="10">
        <v>16</v>
      </c>
      <c r="Q3734" s="10" t="str">
        <f t="shared" si="58"/>
        <v>Incomplete</v>
      </c>
    </row>
    <row r="3735" spans="1:17" hidden="1">
      <c r="A3735" s="12">
        <v>46200</v>
      </c>
      <c r="B3735" s="10">
        <v>17</v>
      </c>
      <c r="Q3735" s="10" t="str">
        <f t="shared" si="58"/>
        <v>Incomplete</v>
      </c>
    </row>
    <row r="3736" spans="1:17" hidden="1">
      <c r="A3736" s="12">
        <v>46200</v>
      </c>
      <c r="B3736" s="10">
        <v>18</v>
      </c>
      <c r="Q3736" s="10" t="str">
        <f t="shared" si="58"/>
        <v>Incomplete</v>
      </c>
    </row>
    <row r="3737" spans="1:17" hidden="1">
      <c r="A3737" s="12">
        <v>46200</v>
      </c>
      <c r="B3737" s="10">
        <v>19</v>
      </c>
      <c r="Q3737" s="10" t="str">
        <f t="shared" si="58"/>
        <v>Incomplete</v>
      </c>
    </row>
    <row r="3738" spans="1:17" hidden="1">
      <c r="A3738" s="12">
        <v>46200</v>
      </c>
      <c r="B3738" s="10">
        <v>20</v>
      </c>
      <c r="Q3738" s="10" t="str">
        <f t="shared" si="58"/>
        <v>Incomplete</v>
      </c>
    </row>
    <row r="3739" spans="1:17" hidden="1">
      <c r="A3739" s="12">
        <v>46200</v>
      </c>
      <c r="B3739" s="10">
        <v>21</v>
      </c>
      <c r="Q3739" s="10" t="str">
        <f t="shared" si="58"/>
        <v>Incomplete</v>
      </c>
    </row>
    <row r="3740" spans="1:17" hidden="1">
      <c r="A3740" s="12">
        <v>46201</v>
      </c>
      <c r="B3740" s="10">
        <v>1</v>
      </c>
      <c r="Q3740" s="10" t="str">
        <f t="shared" si="58"/>
        <v>Incomplete</v>
      </c>
    </row>
    <row r="3741" spans="1:17" hidden="1">
      <c r="A3741" s="12">
        <v>46201</v>
      </c>
      <c r="B3741" s="10">
        <v>2</v>
      </c>
      <c r="Q3741" s="10" t="str">
        <f t="shared" si="58"/>
        <v>Incomplete</v>
      </c>
    </row>
    <row r="3742" spans="1:17" hidden="1">
      <c r="A3742" s="12">
        <v>46201</v>
      </c>
      <c r="B3742" s="10">
        <v>3</v>
      </c>
      <c r="Q3742" s="10" t="str">
        <f t="shared" si="58"/>
        <v>Incomplete</v>
      </c>
    </row>
    <row r="3743" spans="1:17" hidden="1">
      <c r="A3743" s="12">
        <v>46201</v>
      </c>
      <c r="B3743" s="10">
        <v>4</v>
      </c>
      <c r="Q3743" s="10" t="str">
        <f t="shared" si="58"/>
        <v>Incomplete</v>
      </c>
    </row>
    <row r="3744" spans="1:17" hidden="1">
      <c r="A3744" s="12">
        <v>46201</v>
      </c>
      <c r="B3744" s="10">
        <v>5</v>
      </c>
      <c r="Q3744" s="10" t="str">
        <f t="shared" si="58"/>
        <v>Incomplete</v>
      </c>
    </row>
    <row r="3745" spans="1:17" hidden="1">
      <c r="A3745" s="12">
        <v>46201</v>
      </c>
      <c r="B3745" s="10">
        <v>6</v>
      </c>
      <c r="Q3745" s="10" t="str">
        <f t="shared" si="58"/>
        <v>Incomplete</v>
      </c>
    </row>
    <row r="3746" spans="1:17" hidden="1">
      <c r="A3746" s="12">
        <v>46201</v>
      </c>
      <c r="B3746" s="10">
        <v>7</v>
      </c>
      <c r="Q3746" s="10" t="str">
        <f t="shared" si="58"/>
        <v>Incomplete</v>
      </c>
    </row>
    <row r="3747" spans="1:17" hidden="1">
      <c r="A3747" s="12">
        <v>46201</v>
      </c>
      <c r="B3747" s="10">
        <v>8</v>
      </c>
      <c r="Q3747" s="10" t="str">
        <f t="shared" si="58"/>
        <v>Incomplete</v>
      </c>
    </row>
    <row r="3748" spans="1:17" hidden="1">
      <c r="A3748" s="12">
        <v>46201</v>
      </c>
      <c r="B3748" s="10">
        <v>9</v>
      </c>
      <c r="Q3748" s="10" t="str">
        <f t="shared" si="58"/>
        <v>Incomplete</v>
      </c>
    </row>
    <row r="3749" spans="1:17" hidden="1">
      <c r="A3749" s="12">
        <v>46201</v>
      </c>
      <c r="B3749" s="10">
        <v>10</v>
      </c>
      <c r="Q3749" s="10" t="str">
        <f t="shared" si="58"/>
        <v>Incomplete</v>
      </c>
    </row>
    <row r="3750" spans="1:17" hidden="1">
      <c r="A3750" s="12">
        <v>46201</v>
      </c>
      <c r="B3750" s="10">
        <v>11</v>
      </c>
      <c r="Q3750" s="10" t="str">
        <f t="shared" si="58"/>
        <v>Incomplete</v>
      </c>
    </row>
    <row r="3751" spans="1:17" hidden="1">
      <c r="A3751" s="12">
        <v>46201</v>
      </c>
      <c r="B3751" s="10">
        <v>12</v>
      </c>
      <c r="Q3751" s="10" t="str">
        <f t="shared" si="58"/>
        <v>Incomplete</v>
      </c>
    </row>
    <row r="3752" spans="1:17" hidden="1">
      <c r="A3752" s="12">
        <v>46201</v>
      </c>
      <c r="B3752" s="10">
        <v>13</v>
      </c>
      <c r="Q3752" s="10" t="str">
        <f t="shared" si="58"/>
        <v>Incomplete</v>
      </c>
    </row>
    <row r="3753" spans="1:17" hidden="1">
      <c r="A3753" s="12">
        <v>46201</v>
      </c>
      <c r="B3753" s="10">
        <v>14</v>
      </c>
      <c r="Q3753" s="10" t="str">
        <f t="shared" si="58"/>
        <v>Incomplete</v>
      </c>
    </row>
    <row r="3754" spans="1:17" hidden="1">
      <c r="A3754" s="12">
        <v>46201</v>
      </c>
      <c r="B3754" s="10">
        <v>15</v>
      </c>
      <c r="Q3754" s="10" t="str">
        <f t="shared" si="58"/>
        <v>Incomplete</v>
      </c>
    </row>
    <row r="3755" spans="1:17" hidden="1">
      <c r="A3755" s="12">
        <v>46201</v>
      </c>
      <c r="B3755" s="10">
        <v>16</v>
      </c>
      <c r="Q3755" s="10" t="str">
        <f t="shared" si="58"/>
        <v>Incomplete</v>
      </c>
    </row>
    <row r="3756" spans="1:17" hidden="1">
      <c r="A3756" s="12">
        <v>46201</v>
      </c>
      <c r="B3756" s="10">
        <v>17</v>
      </c>
      <c r="Q3756" s="10" t="str">
        <f t="shared" si="58"/>
        <v>Incomplete</v>
      </c>
    </row>
    <row r="3757" spans="1:17" hidden="1">
      <c r="A3757" s="12">
        <v>46201</v>
      </c>
      <c r="B3757" s="10">
        <v>18</v>
      </c>
      <c r="Q3757" s="10" t="str">
        <f t="shared" si="58"/>
        <v>Incomplete</v>
      </c>
    </row>
    <row r="3758" spans="1:17" hidden="1">
      <c r="A3758" s="12">
        <v>46201</v>
      </c>
      <c r="B3758" s="10">
        <v>19</v>
      </c>
      <c r="Q3758" s="10" t="str">
        <f t="shared" si="58"/>
        <v>Incomplete</v>
      </c>
    </row>
    <row r="3759" spans="1:17" hidden="1">
      <c r="A3759" s="12">
        <v>46201</v>
      </c>
      <c r="B3759" s="10">
        <v>20</v>
      </c>
      <c r="Q3759" s="10" t="str">
        <f t="shared" si="58"/>
        <v>Incomplete</v>
      </c>
    </row>
    <row r="3760" spans="1:17" hidden="1">
      <c r="A3760" s="12">
        <v>46201</v>
      </c>
      <c r="B3760" s="10">
        <v>21</v>
      </c>
      <c r="Q3760" s="10" t="str">
        <f t="shared" si="58"/>
        <v>Incomplete</v>
      </c>
    </row>
    <row r="3761" spans="1:17" hidden="1">
      <c r="A3761" s="12">
        <v>46202</v>
      </c>
      <c r="B3761" s="10">
        <v>1</v>
      </c>
      <c r="Q3761" s="10" t="str">
        <f t="shared" si="58"/>
        <v>Incomplete</v>
      </c>
    </row>
    <row r="3762" spans="1:17" hidden="1">
      <c r="A3762" s="12">
        <v>46202</v>
      </c>
      <c r="B3762" s="10">
        <v>2</v>
      </c>
      <c r="Q3762" s="10" t="str">
        <f t="shared" si="58"/>
        <v>Incomplete</v>
      </c>
    </row>
    <row r="3763" spans="1:17" hidden="1">
      <c r="A3763" s="12">
        <v>46202</v>
      </c>
      <c r="B3763" s="10">
        <v>3</v>
      </c>
      <c r="Q3763" s="10" t="str">
        <f t="shared" si="58"/>
        <v>Incomplete</v>
      </c>
    </row>
    <row r="3764" spans="1:17" hidden="1">
      <c r="A3764" s="12">
        <v>46202</v>
      </c>
      <c r="B3764" s="10">
        <v>4</v>
      </c>
      <c r="Q3764" s="10" t="str">
        <f t="shared" si="58"/>
        <v>Incomplete</v>
      </c>
    </row>
    <row r="3765" spans="1:17" hidden="1">
      <c r="A3765" s="12">
        <v>46202</v>
      </c>
      <c r="B3765" s="10">
        <v>5</v>
      </c>
      <c r="Q3765" s="10" t="str">
        <f t="shared" si="58"/>
        <v>Incomplete</v>
      </c>
    </row>
    <row r="3766" spans="1:17" hidden="1">
      <c r="A3766" s="12">
        <v>46202</v>
      </c>
      <c r="B3766" s="10">
        <v>6</v>
      </c>
      <c r="Q3766" s="10" t="str">
        <f t="shared" si="58"/>
        <v>Incomplete</v>
      </c>
    </row>
    <row r="3767" spans="1:17" hidden="1">
      <c r="A3767" s="12">
        <v>46202</v>
      </c>
      <c r="B3767" s="10">
        <v>7</v>
      </c>
      <c r="Q3767" s="10" t="str">
        <f t="shared" si="58"/>
        <v>Incomplete</v>
      </c>
    </row>
    <row r="3768" spans="1:17" hidden="1">
      <c r="A3768" s="12">
        <v>46202</v>
      </c>
      <c r="B3768" s="10">
        <v>8</v>
      </c>
      <c r="Q3768" s="10" t="str">
        <f t="shared" si="58"/>
        <v>Incomplete</v>
      </c>
    </row>
    <row r="3769" spans="1:17" hidden="1">
      <c r="A3769" s="12">
        <v>46202</v>
      </c>
      <c r="B3769" s="10">
        <v>9</v>
      </c>
      <c r="Q3769" s="10" t="str">
        <f t="shared" si="58"/>
        <v>Incomplete</v>
      </c>
    </row>
    <row r="3770" spans="1:17" hidden="1">
      <c r="A3770" s="12">
        <v>46202</v>
      </c>
      <c r="B3770" s="10">
        <v>10</v>
      </c>
      <c r="Q3770" s="10" t="str">
        <f t="shared" si="58"/>
        <v>Incomplete</v>
      </c>
    </row>
    <row r="3771" spans="1:17" hidden="1">
      <c r="A3771" s="12">
        <v>46202</v>
      </c>
      <c r="B3771" s="10">
        <v>11</v>
      </c>
      <c r="Q3771" s="10" t="str">
        <f t="shared" si="58"/>
        <v>Incomplete</v>
      </c>
    </row>
    <row r="3772" spans="1:17" hidden="1">
      <c r="A3772" s="12">
        <v>46202</v>
      </c>
      <c r="B3772" s="10">
        <v>12</v>
      </c>
      <c r="Q3772" s="10" t="str">
        <f t="shared" si="58"/>
        <v>Incomplete</v>
      </c>
    </row>
    <row r="3773" spans="1:17" hidden="1">
      <c r="A3773" s="12">
        <v>46202</v>
      </c>
      <c r="B3773" s="10">
        <v>13</v>
      </c>
      <c r="Q3773" s="10" t="str">
        <f t="shared" si="58"/>
        <v>Incomplete</v>
      </c>
    </row>
    <row r="3774" spans="1:17" hidden="1">
      <c r="A3774" s="12">
        <v>46202</v>
      </c>
      <c r="B3774" s="10">
        <v>14</v>
      </c>
      <c r="Q3774" s="10" t="str">
        <f t="shared" si="58"/>
        <v>Incomplete</v>
      </c>
    </row>
    <row r="3775" spans="1:17" hidden="1">
      <c r="A3775" s="12">
        <v>46202</v>
      </c>
      <c r="B3775" s="10">
        <v>15</v>
      </c>
      <c r="Q3775" s="10" t="str">
        <f t="shared" si="58"/>
        <v>Incomplete</v>
      </c>
    </row>
    <row r="3776" spans="1:17" hidden="1">
      <c r="A3776" s="12">
        <v>46202</v>
      </c>
      <c r="B3776" s="10">
        <v>16</v>
      </c>
      <c r="Q3776" s="10" t="str">
        <f t="shared" si="58"/>
        <v>Incomplete</v>
      </c>
    </row>
    <row r="3777" spans="1:17" hidden="1">
      <c r="A3777" s="12">
        <v>46202</v>
      </c>
      <c r="B3777" s="10">
        <v>17</v>
      </c>
      <c r="Q3777" s="10" t="str">
        <f t="shared" si="58"/>
        <v>Incomplete</v>
      </c>
    </row>
    <row r="3778" spans="1:17" hidden="1">
      <c r="A3778" s="12">
        <v>46202</v>
      </c>
      <c r="B3778" s="10">
        <v>18</v>
      </c>
      <c r="Q3778" s="10" t="str">
        <f t="shared" ref="Q3778:Q3841" si="59">IF(AND(C3778&lt;&gt;"",J3778&lt;&gt;"",K3778&lt;&gt;"",L3778&lt;&gt;"",O3778="Yes"),"Complete","Incomplete")</f>
        <v>Incomplete</v>
      </c>
    </row>
    <row r="3779" spans="1:17" hidden="1">
      <c r="A3779" s="12">
        <v>46202</v>
      </c>
      <c r="B3779" s="10">
        <v>19</v>
      </c>
      <c r="Q3779" s="10" t="str">
        <f t="shared" si="59"/>
        <v>Incomplete</v>
      </c>
    </row>
    <row r="3780" spans="1:17" hidden="1">
      <c r="A3780" s="12">
        <v>46202</v>
      </c>
      <c r="B3780" s="10">
        <v>20</v>
      </c>
      <c r="Q3780" s="10" t="str">
        <f t="shared" si="59"/>
        <v>Incomplete</v>
      </c>
    </row>
    <row r="3781" spans="1:17" hidden="1">
      <c r="A3781" s="12">
        <v>46202</v>
      </c>
      <c r="B3781" s="10">
        <v>21</v>
      </c>
      <c r="Q3781" s="10" t="str">
        <f t="shared" si="59"/>
        <v>Incomplete</v>
      </c>
    </row>
    <row r="3782" spans="1:17" hidden="1">
      <c r="A3782" s="12">
        <v>46203</v>
      </c>
      <c r="B3782" s="10">
        <v>1</v>
      </c>
      <c r="Q3782" s="10" t="str">
        <f t="shared" si="59"/>
        <v>Incomplete</v>
      </c>
    </row>
    <row r="3783" spans="1:17" hidden="1">
      <c r="A3783" s="12">
        <v>46203</v>
      </c>
      <c r="B3783" s="10">
        <v>2</v>
      </c>
      <c r="Q3783" s="10" t="str">
        <f t="shared" si="59"/>
        <v>Incomplete</v>
      </c>
    </row>
    <row r="3784" spans="1:17" hidden="1">
      <c r="A3784" s="12">
        <v>46203</v>
      </c>
      <c r="B3784" s="10">
        <v>3</v>
      </c>
      <c r="Q3784" s="10" t="str">
        <f t="shared" si="59"/>
        <v>Incomplete</v>
      </c>
    </row>
    <row r="3785" spans="1:17" hidden="1">
      <c r="A3785" s="12">
        <v>46203</v>
      </c>
      <c r="B3785" s="10">
        <v>4</v>
      </c>
      <c r="Q3785" s="10" t="str">
        <f t="shared" si="59"/>
        <v>Incomplete</v>
      </c>
    </row>
    <row r="3786" spans="1:17" hidden="1">
      <c r="A3786" s="12">
        <v>46203</v>
      </c>
      <c r="B3786" s="10">
        <v>5</v>
      </c>
      <c r="Q3786" s="10" t="str">
        <f t="shared" si="59"/>
        <v>Incomplete</v>
      </c>
    </row>
    <row r="3787" spans="1:17" hidden="1">
      <c r="A3787" s="12">
        <v>46203</v>
      </c>
      <c r="B3787" s="10">
        <v>6</v>
      </c>
      <c r="Q3787" s="10" t="str">
        <f t="shared" si="59"/>
        <v>Incomplete</v>
      </c>
    </row>
    <row r="3788" spans="1:17" hidden="1">
      <c r="A3788" s="12">
        <v>46203</v>
      </c>
      <c r="B3788" s="10">
        <v>7</v>
      </c>
      <c r="Q3788" s="10" t="str">
        <f t="shared" si="59"/>
        <v>Incomplete</v>
      </c>
    </row>
    <row r="3789" spans="1:17" hidden="1">
      <c r="A3789" s="12">
        <v>46203</v>
      </c>
      <c r="B3789" s="10">
        <v>8</v>
      </c>
      <c r="Q3789" s="10" t="str">
        <f t="shared" si="59"/>
        <v>Incomplete</v>
      </c>
    </row>
    <row r="3790" spans="1:17" hidden="1">
      <c r="A3790" s="12">
        <v>46203</v>
      </c>
      <c r="B3790" s="10">
        <v>9</v>
      </c>
      <c r="Q3790" s="10" t="str">
        <f t="shared" si="59"/>
        <v>Incomplete</v>
      </c>
    </row>
    <row r="3791" spans="1:17" hidden="1">
      <c r="A3791" s="12">
        <v>46203</v>
      </c>
      <c r="B3791" s="10">
        <v>10</v>
      </c>
      <c r="Q3791" s="10" t="str">
        <f t="shared" si="59"/>
        <v>Incomplete</v>
      </c>
    </row>
    <row r="3792" spans="1:17" hidden="1">
      <c r="A3792" s="12">
        <v>46203</v>
      </c>
      <c r="B3792" s="10">
        <v>11</v>
      </c>
      <c r="Q3792" s="10" t="str">
        <f t="shared" si="59"/>
        <v>Incomplete</v>
      </c>
    </row>
    <row r="3793" spans="1:17" hidden="1">
      <c r="A3793" s="12">
        <v>46203</v>
      </c>
      <c r="B3793" s="10">
        <v>12</v>
      </c>
      <c r="Q3793" s="10" t="str">
        <f t="shared" si="59"/>
        <v>Incomplete</v>
      </c>
    </row>
    <row r="3794" spans="1:17" hidden="1">
      <c r="A3794" s="12">
        <v>46203</v>
      </c>
      <c r="B3794" s="10">
        <v>13</v>
      </c>
      <c r="Q3794" s="10" t="str">
        <f t="shared" si="59"/>
        <v>Incomplete</v>
      </c>
    </row>
    <row r="3795" spans="1:17" hidden="1">
      <c r="A3795" s="12">
        <v>46203</v>
      </c>
      <c r="B3795" s="10">
        <v>14</v>
      </c>
      <c r="Q3795" s="10" t="str">
        <f t="shared" si="59"/>
        <v>Incomplete</v>
      </c>
    </row>
    <row r="3796" spans="1:17" hidden="1">
      <c r="A3796" s="12">
        <v>46203</v>
      </c>
      <c r="B3796" s="10">
        <v>15</v>
      </c>
      <c r="Q3796" s="10" t="str">
        <f t="shared" si="59"/>
        <v>Incomplete</v>
      </c>
    </row>
    <row r="3797" spans="1:17" hidden="1">
      <c r="A3797" s="12">
        <v>46203</v>
      </c>
      <c r="B3797" s="10">
        <v>16</v>
      </c>
      <c r="Q3797" s="10" t="str">
        <f t="shared" si="59"/>
        <v>Incomplete</v>
      </c>
    </row>
    <row r="3798" spans="1:17" hidden="1">
      <c r="A3798" s="12">
        <v>46203</v>
      </c>
      <c r="B3798" s="10">
        <v>17</v>
      </c>
      <c r="Q3798" s="10" t="str">
        <f t="shared" si="59"/>
        <v>Incomplete</v>
      </c>
    </row>
    <row r="3799" spans="1:17" hidden="1">
      <c r="A3799" s="12">
        <v>46203</v>
      </c>
      <c r="B3799" s="10">
        <v>18</v>
      </c>
      <c r="Q3799" s="10" t="str">
        <f t="shared" si="59"/>
        <v>Incomplete</v>
      </c>
    </row>
    <row r="3800" spans="1:17" hidden="1">
      <c r="A3800" s="12">
        <v>46203</v>
      </c>
      <c r="B3800" s="10">
        <v>19</v>
      </c>
      <c r="Q3800" s="10" t="str">
        <f t="shared" si="59"/>
        <v>Incomplete</v>
      </c>
    </row>
    <row r="3801" spans="1:17" hidden="1">
      <c r="A3801" s="12">
        <v>46203</v>
      </c>
      <c r="B3801" s="10">
        <v>20</v>
      </c>
      <c r="Q3801" s="10" t="str">
        <f t="shared" si="59"/>
        <v>Incomplete</v>
      </c>
    </row>
    <row r="3802" spans="1:17" hidden="1">
      <c r="A3802" s="12">
        <v>46203</v>
      </c>
      <c r="B3802" s="10">
        <v>21</v>
      </c>
      <c r="Q3802" s="10" t="str">
        <f t="shared" si="59"/>
        <v>Incomplete</v>
      </c>
    </row>
    <row r="3803" spans="1:17" hidden="1">
      <c r="A3803" s="12">
        <v>46204</v>
      </c>
      <c r="B3803" s="10">
        <v>1</v>
      </c>
      <c r="Q3803" s="10" t="str">
        <f t="shared" si="59"/>
        <v>Incomplete</v>
      </c>
    </row>
    <row r="3804" spans="1:17" hidden="1">
      <c r="A3804" s="12">
        <v>46204</v>
      </c>
      <c r="B3804" s="10">
        <v>2</v>
      </c>
      <c r="Q3804" s="10" t="str">
        <f t="shared" si="59"/>
        <v>Incomplete</v>
      </c>
    </row>
    <row r="3805" spans="1:17" hidden="1">
      <c r="A3805" s="12">
        <v>46204</v>
      </c>
      <c r="B3805" s="10">
        <v>3</v>
      </c>
      <c r="Q3805" s="10" t="str">
        <f t="shared" si="59"/>
        <v>Incomplete</v>
      </c>
    </row>
    <row r="3806" spans="1:17" hidden="1">
      <c r="A3806" s="12">
        <v>46204</v>
      </c>
      <c r="B3806" s="10">
        <v>4</v>
      </c>
      <c r="Q3806" s="10" t="str">
        <f t="shared" si="59"/>
        <v>Incomplete</v>
      </c>
    </row>
    <row r="3807" spans="1:17" hidden="1">
      <c r="A3807" s="12">
        <v>46204</v>
      </c>
      <c r="B3807" s="10">
        <v>5</v>
      </c>
      <c r="Q3807" s="10" t="str">
        <f t="shared" si="59"/>
        <v>Incomplete</v>
      </c>
    </row>
    <row r="3808" spans="1:17" hidden="1">
      <c r="A3808" s="12">
        <v>46204</v>
      </c>
      <c r="B3808" s="10">
        <v>6</v>
      </c>
      <c r="Q3808" s="10" t="str">
        <f t="shared" si="59"/>
        <v>Incomplete</v>
      </c>
    </row>
    <row r="3809" spans="1:17" hidden="1">
      <c r="A3809" s="12">
        <v>46204</v>
      </c>
      <c r="B3809" s="10">
        <v>7</v>
      </c>
      <c r="Q3809" s="10" t="str">
        <f t="shared" si="59"/>
        <v>Incomplete</v>
      </c>
    </row>
    <row r="3810" spans="1:17" hidden="1">
      <c r="A3810" s="12">
        <v>46204</v>
      </c>
      <c r="B3810" s="10">
        <v>8</v>
      </c>
      <c r="Q3810" s="10" t="str">
        <f t="shared" si="59"/>
        <v>Incomplete</v>
      </c>
    </row>
    <row r="3811" spans="1:17" hidden="1">
      <c r="A3811" s="12">
        <v>46204</v>
      </c>
      <c r="B3811" s="10">
        <v>9</v>
      </c>
      <c r="Q3811" s="10" t="str">
        <f t="shared" si="59"/>
        <v>Incomplete</v>
      </c>
    </row>
    <row r="3812" spans="1:17" hidden="1">
      <c r="A3812" s="12">
        <v>46204</v>
      </c>
      <c r="B3812" s="10">
        <v>10</v>
      </c>
      <c r="Q3812" s="10" t="str">
        <f t="shared" si="59"/>
        <v>Incomplete</v>
      </c>
    </row>
    <row r="3813" spans="1:17" hidden="1">
      <c r="A3813" s="12">
        <v>46204</v>
      </c>
      <c r="B3813" s="10">
        <v>11</v>
      </c>
      <c r="Q3813" s="10" t="str">
        <f t="shared" si="59"/>
        <v>Incomplete</v>
      </c>
    </row>
    <row r="3814" spans="1:17" hidden="1">
      <c r="A3814" s="12">
        <v>46204</v>
      </c>
      <c r="B3814" s="10">
        <v>12</v>
      </c>
      <c r="Q3814" s="10" t="str">
        <f t="shared" si="59"/>
        <v>Incomplete</v>
      </c>
    </row>
    <row r="3815" spans="1:17" hidden="1">
      <c r="A3815" s="12">
        <v>46204</v>
      </c>
      <c r="B3815" s="10">
        <v>13</v>
      </c>
      <c r="Q3815" s="10" t="str">
        <f t="shared" si="59"/>
        <v>Incomplete</v>
      </c>
    </row>
    <row r="3816" spans="1:17" hidden="1">
      <c r="A3816" s="12">
        <v>46204</v>
      </c>
      <c r="B3816" s="10">
        <v>14</v>
      </c>
      <c r="Q3816" s="10" t="str">
        <f t="shared" si="59"/>
        <v>Incomplete</v>
      </c>
    </row>
    <row r="3817" spans="1:17" hidden="1">
      <c r="A3817" s="12">
        <v>46204</v>
      </c>
      <c r="B3817" s="10">
        <v>15</v>
      </c>
      <c r="Q3817" s="10" t="str">
        <f t="shared" si="59"/>
        <v>Incomplete</v>
      </c>
    </row>
    <row r="3818" spans="1:17" hidden="1">
      <c r="A3818" s="12">
        <v>46204</v>
      </c>
      <c r="B3818" s="10">
        <v>16</v>
      </c>
      <c r="Q3818" s="10" t="str">
        <f t="shared" si="59"/>
        <v>Incomplete</v>
      </c>
    </row>
    <row r="3819" spans="1:17" hidden="1">
      <c r="A3819" s="12">
        <v>46204</v>
      </c>
      <c r="B3819" s="10">
        <v>17</v>
      </c>
      <c r="Q3819" s="10" t="str">
        <f t="shared" si="59"/>
        <v>Incomplete</v>
      </c>
    </row>
    <row r="3820" spans="1:17" hidden="1">
      <c r="A3820" s="12">
        <v>46204</v>
      </c>
      <c r="B3820" s="10">
        <v>18</v>
      </c>
      <c r="Q3820" s="10" t="str">
        <f t="shared" si="59"/>
        <v>Incomplete</v>
      </c>
    </row>
    <row r="3821" spans="1:17" hidden="1">
      <c r="A3821" s="12">
        <v>46204</v>
      </c>
      <c r="B3821" s="10">
        <v>19</v>
      </c>
      <c r="Q3821" s="10" t="str">
        <f t="shared" si="59"/>
        <v>Incomplete</v>
      </c>
    </row>
    <row r="3822" spans="1:17" hidden="1">
      <c r="A3822" s="12">
        <v>46204</v>
      </c>
      <c r="B3822" s="10">
        <v>20</v>
      </c>
      <c r="Q3822" s="10" t="str">
        <f t="shared" si="59"/>
        <v>Incomplete</v>
      </c>
    </row>
    <row r="3823" spans="1:17" hidden="1">
      <c r="A3823" s="12">
        <v>46204</v>
      </c>
      <c r="B3823" s="10">
        <v>21</v>
      </c>
      <c r="Q3823" s="10" t="str">
        <f t="shared" si="59"/>
        <v>Incomplete</v>
      </c>
    </row>
    <row r="3824" spans="1:17" hidden="1">
      <c r="A3824" s="12">
        <v>46205</v>
      </c>
      <c r="B3824" s="10">
        <v>1</v>
      </c>
      <c r="Q3824" s="10" t="str">
        <f t="shared" si="59"/>
        <v>Incomplete</v>
      </c>
    </row>
    <row r="3825" spans="1:17" hidden="1">
      <c r="A3825" s="12">
        <v>46205</v>
      </c>
      <c r="B3825" s="10">
        <v>2</v>
      </c>
      <c r="Q3825" s="10" t="str">
        <f t="shared" si="59"/>
        <v>Incomplete</v>
      </c>
    </row>
    <row r="3826" spans="1:17" hidden="1">
      <c r="A3826" s="12">
        <v>46205</v>
      </c>
      <c r="B3826" s="10">
        <v>3</v>
      </c>
      <c r="Q3826" s="10" t="str">
        <f t="shared" si="59"/>
        <v>Incomplete</v>
      </c>
    </row>
    <row r="3827" spans="1:17" hidden="1">
      <c r="A3827" s="12">
        <v>46205</v>
      </c>
      <c r="B3827" s="10">
        <v>4</v>
      </c>
      <c r="Q3827" s="10" t="str">
        <f t="shared" si="59"/>
        <v>Incomplete</v>
      </c>
    </row>
    <row r="3828" spans="1:17" hidden="1">
      <c r="A3828" s="12">
        <v>46205</v>
      </c>
      <c r="B3828" s="10">
        <v>5</v>
      </c>
      <c r="Q3828" s="10" t="str">
        <f t="shared" si="59"/>
        <v>Incomplete</v>
      </c>
    </row>
    <row r="3829" spans="1:17" hidden="1">
      <c r="A3829" s="12">
        <v>46205</v>
      </c>
      <c r="B3829" s="10">
        <v>6</v>
      </c>
      <c r="Q3829" s="10" t="str">
        <f t="shared" si="59"/>
        <v>Incomplete</v>
      </c>
    </row>
    <row r="3830" spans="1:17" hidden="1">
      <c r="A3830" s="12">
        <v>46205</v>
      </c>
      <c r="B3830" s="10">
        <v>7</v>
      </c>
      <c r="Q3830" s="10" t="str">
        <f t="shared" si="59"/>
        <v>Incomplete</v>
      </c>
    </row>
    <row r="3831" spans="1:17" hidden="1">
      <c r="A3831" s="12">
        <v>46205</v>
      </c>
      <c r="B3831" s="10">
        <v>8</v>
      </c>
      <c r="Q3831" s="10" t="str">
        <f t="shared" si="59"/>
        <v>Incomplete</v>
      </c>
    </row>
    <row r="3832" spans="1:17" hidden="1">
      <c r="A3832" s="12">
        <v>46205</v>
      </c>
      <c r="B3832" s="10">
        <v>9</v>
      </c>
      <c r="Q3832" s="10" t="str">
        <f t="shared" si="59"/>
        <v>Incomplete</v>
      </c>
    </row>
    <row r="3833" spans="1:17" hidden="1">
      <c r="A3833" s="12">
        <v>46205</v>
      </c>
      <c r="B3833" s="10">
        <v>10</v>
      </c>
      <c r="Q3833" s="10" t="str">
        <f t="shared" si="59"/>
        <v>Incomplete</v>
      </c>
    </row>
    <row r="3834" spans="1:17" hidden="1">
      <c r="A3834" s="12">
        <v>46205</v>
      </c>
      <c r="B3834" s="10">
        <v>11</v>
      </c>
      <c r="Q3834" s="10" t="str">
        <f t="shared" si="59"/>
        <v>Incomplete</v>
      </c>
    </row>
    <row r="3835" spans="1:17" hidden="1">
      <c r="A3835" s="12">
        <v>46205</v>
      </c>
      <c r="B3835" s="10">
        <v>12</v>
      </c>
      <c r="Q3835" s="10" t="str">
        <f t="shared" si="59"/>
        <v>Incomplete</v>
      </c>
    </row>
    <row r="3836" spans="1:17" hidden="1">
      <c r="A3836" s="12">
        <v>46205</v>
      </c>
      <c r="B3836" s="10">
        <v>13</v>
      </c>
      <c r="Q3836" s="10" t="str">
        <f t="shared" si="59"/>
        <v>Incomplete</v>
      </c>
    </row>
    <row r="3837" spans="1:17" hidden="1">
      <c r="A3837" s="12">
        <v>46205</v>
      </c>
      <c r="B3837" s="10">
        <v>14</v>
      </c>
      <c r="Q3837" s="10" t="str">
        <f t="shared" si="59"/>
        <v>Incomplete</v>
      </c>
    </row>
    <row r="3838" spans="1:17" hidden="1">
      <c r="A3838" s="12">
        <v>46205</v>
      </c>
      <c r="B3838" s="10">
        <v>15</v>
      </c>
      <c r="Q3838" s="10" t="str">
        <f t="shared" si="59"/>
        <v>Incomplete</v>
      </c>
    </row>
    <row r="3839" spans="1:17" hidden="1">
      <c r="A3839" s="12">
        <v>46205</v>
      </c>
      <c r="B3839" s="10">
        <v>16</v>
      </c>
      <c r="Q3839" s="10" t="str">
        <f t="shared" si="59"/>
        <v>Incomplete</v>
      </c>
    </row>
    <row r="3840" spans="1:17" hidden="1">
      <c r="A3840" s="12">
        <v>46205</v>
      </c>
      <c r="B3840" s="10">
        <v>17</v>
      </c>
      <c r="Q3840" s="10" t="str">
        <f t="shared" si="59"/>
        <v>Incomplete</v>
      </c>
    </row>
    <row r="3841" spans="1:17" hidden="1">
      <c r="A3841" s="12">
        <v>46205</v>
      </c>
      <c r="B3841" s="10">
        <v>18</v>
      </c>
      <c r="Q3841" s="10" t="str">
        <f t="shared" si="59"/>
        <v>Incomplete</v>
      </c>
    </row>
    <row r="3842" spans="1:17" hidden="1">
      <c r="A3842" s="12">
        <v>46205</v>
      </c>
      <c r="B3842" s="10">
        <v>19</v>
      </c>
      <c r="Q3842" s="10" t="str">
        <f t="shared" ref="Q3842:Q3905" si="60">IF(AND(C3842&lt;&gt;"",J3842&lt;&gt;"",K3842&lt;&gt;"",L3842&lt;&gt;"",O3842="Yes"),"Complete","Incomplete")</f>
        <v>Incomplete</v>
      </c>
    </row>
    <row r="3843" spans="1:17" hidden="1">
      <c r="A3843" s="12">
        <v>46205</v>
      </c>
      <c r="B3843" s="10">
        <v>20</v>
      </c>
      <c r="Q3843" s="10" t="str">
        <f t="shared" si="60"/>
        <v>Incomplete</v>
      </c>
    </row>
    <row r="3844" spans="1:17" hidden="1">
      <c r="A3844" s="12">
        <v>46205</v>
      </c>
      <c r="B3844" s="10">
        <v>21</v>
      </c>
      <c r="Q3844" s="10" t="str">
        <f t="shared" si="60"/>
        <v>Incomplete</v>
      </c>
    </row>
    <row r="3845" spans="1:17" hidden="1">
      <c r="A3845" s="12">
        <v>46206</v>
      </c>
      <c r="B3845" s="10">
        <v>1</v>
      </c>
      <c r="Q3845" s="10" t="str">
        <f t="shared" si="60"/>
        <v>Incomplete</v>
      </c>
    </row>
    <row r="3846" spans="1:17" hidden="1">
      <c r="A3846" s="12">
        <v>46206</v>
      </c>
      <c r="B3846" s="10">
        <v>2</v>
      </c>
      <c r="Q3846" s="10" t="str">
        <f t="shared" si="60"/>
        <v>Incomplete</v>
      </c>
    </row>
    <row r="3847" spans="1:17" hidden="1">
      <c r="A3847" s="12">
        <v>46206</v>
      </c>
      <c r="B3847" s="10">
        <v>3</v>
      </c>
      <c r="Q3847" s="10" t="str">
        <f t="shared" si="60"/>
        <v>Incomplete</v>
      </c>
    </row>
    <row r="3848" spans="1:17" hidden="1">
      <c r="A3848" s="12">
        <v>46206</v>
      </c>
      <c r="B3848" s="10">
        <v>4</v>
      </c>
      <c r="Q3848" s="10" t="str">
        <f t="shared" si="60"/>
        <v>Incomplete</v>
      </c>
    </row>
    <row r="3849" spans="1:17" hidden="1">
      <c r="A3849" s="12">
        <v>46206</v>
      </c>
      <c r="B3849" s="10">
        <v>5</v>
      </c>
      <c r="Q3849" s="10" t="str">
        <f t="shared" si="60"/>
        <v>Incomplete</v>
      </c>
    </row>
    <row r="3850" spans="1:17" hidden="1">
      <c r="A3850" s="12">
        <v>46206</v>
      </c>
      <c r="B3850" s="10">
        <v>6</v>
      </c>
      <c r="Q3850" s="10" t="str">
        <f t="shared" si="60"/>
        <v>Incomplete</v>
      </c>
    </row>
    <row r="3851" spans="1:17" hidden="1">
      <c r="A3851" s="12">
        <v>46206</v>
      </c>
      <c r="B3851" s="10">
        <v>7</v>
      </c>
      <c r="Q3851" s="10" t="str">
        <f t="shared" si="60"/>
        <v>Incomplete</v>
      </c>
    </row>
    <row r="3852" spans="1:17" hidden="1">
      <c r="A3852" s="12">
        <v>46206</v>
      </c>
      <c r="B3852" s="10">
        <v>8</v>
      </c>
      <c r="Q3852" s="10" t="str">
        <f t="shared" si="60"/>
        <v>Incomplete</v>
      </c>
    </row>
    <row r="3853" spans="1:17" hidden="1">
      <c r="A3853" s="12">
        <v>46206</v>
      </c>
      <c r="B3853" s="10">
        <v>9</v>
      </c>
      <c r="Q3853" s="10" t="str">
        <f t="shared" si="60"/>
        <v>Incomplete</v>
      </c>
    </row>
    <row r="3854" spans="1:17" hidden="1">
      <c r="A3854" s="12">
        <v>46206</v>
      </c>
      <c r="B3854" s="10">
        <v>10</v>
      </c>
      <c r="Q3854" s="10" t="str">
        <f t="shared" si="60"/>
        <v>Incomplete</v>
      </c>
    </row>
    <row r="3855" spans="1:17" hidden="1">
      <c r="A3855" s="12">
        <v>46206</v>
      </c>
      <c r="B3855" s="10">
        <v>11</v>
      </c>
      <c r="Q3855" s="10" t="str">
        <f t="shared" si="60"/>
        <v>Incomplete</v>
      </c>
    </row>
    <row r="3856" spans="1:17" hidden="1">
      <c r="A3856" s="12">
        <v>46206</v>
      </c>
      <c r="B3856" s="10">
        <v>12</v>
      </c>
      <c r="Q3856" s="10" t="str">
        <f t="shared" si="60"/>
        <v>Incomplete</v>
      </c>
    </row>
    <row r="3857" spans="1:17" hidden="1">
      <c r="A3857" s="12">
        <v>46206</v>
      </c>
      <c r="B3857" s="10">
        <v>13</v>
      </c>
      <c r="Q3857" s="10" t="str">
        <f t="shared" si="60"/>
        <v>Incomplete</v>
      </c>
    </row>
    <row r="3858" spans="1:17" hidden="1">
      <c r="A3858" s="12">
        <v>46206</v>
      </c>
      <c r="B3858" s="10">
        <v>14</v>
      </c>
      <c r="Q3858" s="10" t="str">
        <f t="shared" si="60"/>
        <v>Incomplete</v>
      </c>
    </row>
    <row r="3859" spans="1:17" hidden="1">
      <c r="A3859" s="12">
        <v>46206</v>
      </c>
      <c r="B3859" s="10">
        <v>15</v>
      </c>
      <c r="Q3859" s="10" t="str">
        <f t="shared" si="60"/>
        <v>Incomplete</v>
      </c>
    </row>
    <row r="3860" spans="1:17" hidden="1">
      <c r="A3860" s="12">
        <v>46206</v>
      </c>
      <c r="B3860" s="10">
        <v>16</v>
      </c>
      <c r="Q3860" s="10" t="str">
        <f t="shared" si="60"/>
        <v>Incomplete</v>
      </c>
    </row>
    <row r="3861" spans="1:17" hidden="1">
      <c r="A3861" s="12">
        <v>46206</v>
      </c>
      <c r="B3861" s="10">
        <v>17</v>
      </c>
      <c r="Q3861" s="10" t="str">
        <f t="shared" si="60"/>
        <v>Incomplete</v>
      </c>
    </row>
    <row r="3862" spans="1:17" hidden="1">
      <c r="A3862" s="12">
        <v>46206</v>
      </c>
      <c r="B3862" s="10">
        <v>18</v>
      </c>
      <c r="Q3862" s="10" t="str">
        <f t="shared" si="60"/>
        <v>Incomplete</v>
      </c>
    </row>
    <row r="3863" spans="1:17" hidden="1">
      <c r="A3863" s="12">
        <v>46206</v>
      </c>
      <c r="B3863" s="10">
        <v>19</v>
      </c>
      <c r="Q3863" s="10" t="str">
        <f t="shared" si="60"/>
        <v>Incomplete</v>
      </c>
    </row>
    <row r="3864" spans="1:17" hidden="1">
      <c r="A3864" s="12">
        <v>46206</v>
      </c>
      <c r="B3864" s="10">
        <v>20</v>
      </c>
      <c r="Q3864" s="10" t="str">
        <f t="shared" si="60"/>
        <v>Incomplete</v>
      </c>
    </row>
    <row r="3865" spans="1:17" hidden="1">
      <c r="A3865" s="12">
        <v>46206</v>
      </c>
      <c r="B3865" s="10">
        <v>21</v>
      </c>
      <c r="Q3865" s="10" t="str">
        <f t="shared" si="60"/>
        <v>Incomplete</v>
      </c>
    </row>
    <row r="3866" spans="1:17" hidden="1">
      <c r="A3866" s="12">
        <v>46207</v>
      </c>
      <c r="B3866" s="10">
        <v>1</v>
      </c>
      <c r="Q3866" s="10" t="str">
        <f t="shared" si="60"/>
        <v>Incomplete</v>
      </c>
    </row>
    <row r="3867" spans="1:17" hidden="1">
      <c r="A3867" s="12">
        <v>46207</v>
      </c>
      <c r="B3867" s="10">
        <v>2</v>
      </c>
      <c r="Q3867" s="10" t="str">
        <f t="shared" si="60"/>
        <v>Incomplete</v>
      </c>
    </row>
    <row r="3868" spans="1:17" hidden="1">
      <c r="A3868" s="12">
        <v>46207</v>
      </c>
      <c r="B3868" s="10">
        <v>3</v>
      </c>
      <c r="Q3868" s="10" t="str">
        <f t="shared" si="60"/>
        <v>Incomplete</v>
      </c>
    </row>
    <row r="3869" spans="1:17" hidden="1">
      <c r="A3869" s="12">
        <v>46207</v>
      </c>
      <c r="B3869" s="10">
        <v>4</v>
      </c>
      <c r="Q3869" s="10" t="str">
        <f t="shared" si="60"/>
        <v>Incomplete</v>
      </c>
    </row>
    <row r="3870" spans="1:17" hidden="1">
      <c r="A3870" s="12">
        <v>46207</v>
      </c>
      <c r="B3870" s="10">
        <v>5</v>
      </c>
      <c r="Q3870" s="10" t="str">
        <f t="shared" si="60"/>
        <v>Incomplete</v>
      </c>
    </row>
    <row r="3871" spans="1:17" hidden="1">
      <c r="A3871" s="12">
        <v>46207</v>
      </c>
      <c r="B3871" s="10">
        <v>6</v>
      </c>
      <c r="Q3871" s="10" t="str">
        <f t="shared" si="60"/>
        <v>Incomplete</v>
      </c>
    </row>
    <row r="3872" spans="1:17" hidden="1">
      <c r="A3872" s="12">
        <v>46207</v>
      </c>
      <c r="B3872" s="10">
        <v>7</v>
      </c>
      <c r="Q3872" s="10" t="str">
        <f t="shared" si="60"/>
        <v>Incomplete</v>
      </c>
    </row>
    <row r="3873" spans="1:17" hidden="1">
      <c r="A3873" s="12">
        <v>46207</v>
      </c>
      <c r="B3873" s="10">
        <v>8</v>
      </c>
      <c r="Q3873" s="10" t="str">
        <f t="shared" si="60"/>
        <v>Incomplete</v>
      </c>
    </row>
    <row r="3874" spans="1:17" hidden="1">
      <c r="A3874" s="12">
        <v>46207</v>
      </c>
      <c r="B3874" s="10">
        <v>9</v>
      </c>
      <c r="Q3874" s="10" t="str">
        <f t="shared" si="60"/>
        <v>Incomplete</v>
      </c>
    </row>
    <row r="3875" spans="1:17" hidden="1">
      <c r="A3875" s="12">
        <v>46207</v>
      </c>
      <c r="B3875" s="10">
        <v>10</v>
      </c>
      <c r="Q3875" s="10" t="str">
        <f t="shared" si="60"/>
        <v>Incomplete</v>
      </c>
    </row>
    <row r="3876" spans="1:17" hidden="1">
      <c r="A3876" s="12">
        <v>46207</v>
      </c>
      <c r="B3876" s="10">
        <v>11</v>
      </c>
      <c r="Q3876" s="10" t="str">
        <f t="shared" si="60"/>
        <v>Incomplete</v>
      </c>
    </row>
    <row r="3877" spans="1:17" hidden="1">
      <c r="A3877" s="12">
        <v>46207</v>
      </c>
      <c r="B3877" s="10">
        <v>12</v>
      </c>
      <c r="Q3877" s="10" t="str">
        <f t="shared" si="60"/>
        <v>Incomplete</v>
      </c>
    </row>
    <row r="3878" spans="1:17" hidden="1">
      <c r="A3878" s="12">
        <v>46207</v>
      </c>
      <c r="B3878" s="10">
        <v>13</v>
      </c>
      <c r="Q3878" s="10" t="str">
        <f t="shared" si="60"/>
        <v>Incomplete</v>
      </c>
    </row>
    <row r="3879" spans="1:17" hidden="1">
      <c r="A3879" s="12">
        <v>46207</v>
      </c>
      <c r="B3879" s="10">
        <v>14</v>
      </c>
      <c r="Q3879" s="10" t="str">
        <f t="shared" si="60"/>
        <v>Incomplete</v>
      </c>
    </row>
    <row r="3880" spans="1:17" hidden="1">
      <c r="A3880" s="12">
        <v>46207</v>
      </c>
      <c r="B3880" s="10">
        <v>15</v>
      </c>
      <c r="Q3880" s="10" t="str">
        <f t="shared" si="60"/>
        <v>Incomplete</v>
      </c>
    </row>
    <row r="3881" spans="1:17" hidden="1">
      <c r="A3881" s="12">
        <v>46207</v>
      </c>
      <c r="B3881" s="10">
        <v>16</v>
      </c>
      <c r="Q3881" s="10" t="str">
        <f t="shared" si="60"/>
        <v>Incomplete</v>
      </c>
    </row>
    <row r="3882" spans="1:17" hidden="1">
      <c r="A3882" s="12">
        <v>46207</v>
      </c>
      <c r="B3882" s="10">
        <v>17</v>
      </c>
      <c r="Q3882" s="10" t="str">
        <f t="shared" si="60"/>
        <v>Incomplete</v>
      </c>
    </row>
    <row r="3883" spans="1:17" hidden="1">
      <c r="A3883" s="12">
        <v>46207</v>
      </c>
      <c r="B3883" s="10">
        <v>18</v>
      </c>
      <c r="Q3883" s="10" t="str">
        <f t="shared" si="60"/>
        <v>Incomplete</v>
      </c>
    </row>
    <row r="3884" spans="1:17" hidden="1">
      <c r="A3884" s="12">
        <v>46207</v>
      </c>
      <c r="B3884" s="10">
        <v>19</v>
      </c>
      <c r="Q3884" s="10" t="str">
        <f t="shared" si="60"/>
        <v>Incomplete</v>
      </c>
    </row>
    <row r="3885" spans="1:17" hidden="1">
      <c r="A3885" s="12">
        <v>46207</v>
      </c>
      <c r="B3885" s="10">
        <v>20</v>
      </c>
      <c r="Q3885" s="10" t="str">
        <f t="shared" si="60"/>
        <v>Incomplete</v>
      </c>
    </row>
    <row r="3886" spans="1:17" hidden="1">
      <c r="A3886" s="12">
        <v>46207</v>
      </c>
      <c r="B3886" s="10">
        <v>21</v>
      </c>
      <c r="Q3886" s="10" t="str">
        <f t="shared" si="60"/>
        <v>Incomplete</v>
      </c>
    </row>
    <row r="3887" spans="1:17" hidden="1">
      <c r="A3887" s="12">
        <v>46208</v>
      </c>
      <c r="B3887" s="10">
        <v>1</v>
      </c>
      <c r="Q3887" s="10" t="str">
        <f t="shared" si="60"/>
        <v>Incomplete</v>
      </c>
    </row>
    <row r="3888" spans="1:17" hidden="1">
      <c r="A3888" s="12">
        <v>46208</v>
      </c>
      <c r="B3888" s="10">
        <v>2</v>
      </c>
      <c r="Q3888" s="10" t="str">
        <f t="shared" si="60"/>
        <v>Incomplete</v>
      </c>
    </row>
    <row r="3889" spans="1:17" hidden="1">
      <c r="A3889" s="12">
        <v>46208</v>
      </c>
      <c r="B3889" s="10">
        <v>3</v>
      </c>
      <c r="Q3889" s="10" t="str">
        <f t="shared" si="60"/>
        <v>Incomplete</v>
      </c>
    </row>
    <row r="3890" spans="1:17" hidden="1">
      <c r="A3890" s="12">
        <v>46208</v>
      </c>
      <c r="B3890" s="10">
        <v>4</v>
      </c>
      <c r="Q3890" s="10" t="str">
        <f t="shared" si="60"/>
        <v>Incomplete</v>
      </c>
    </row>
    <row r="3891" spans="1:17" hidden="1">
      <c r="A3891" s="12">
        <v>46208</v>
      </c>
      <c r="B3891" s="10">
        <v>5</v>
      </c>
      <c r="Q3891" s="10" t="str">
        <f t="shared" si="60"/>
        <v>Incomplete</v>
      </c>
    </row>
    <row r="3892" spans="1:17" hidden="1">
      <c r="A3892" s="12">
        <v>46208</v>
      </c>
      <c r="B3892" s="10">
        <v>6</v>
      </c>
      <c r="Q3892" s="10" t="str">
        <f t="shared" si="60"/>
        <v>Incomplete</v>
      </c>
    </row>
    <row r="3893" spans="1:17" hidden="1">
      <c r="A3893" s="12">
        <v>46208</v>
      </c>
      <c r="B3893" s="10">
        <v>7</v>
      </c>
      <c r="Q3893" s="10" t="str">
        <f t="shared" si="60"/>
        <v>Incomplete</v>
      </c>
    </row>
    <row r="3894" spans="1:17" hidden="1">
      <c r="A3894" s="12">
        <v>46208</v>
      </c>
      <c r="B3894" s="10">
        <v>8</v>
      </c>
      <c r="Q3894" s="10" t="str">
        <f t="shared" si="60"/>
        <v>Incomplete</v>
      </c>
    </row>
    <row r="3895" spans="1:17" hidden="1">
      <c r="A3895" s="12">
        <v>46208</v>
      </c>
      <c r="B3895" s="10">
        <v>9</v>
      </c>
      <c r="Q3895" s="10" t="str">
        <f t="shared" si="60"/>
        <v>Incomplete</v>
      </c>
    </row>
    <row r="3896" spans="1:17" hidden="1">
      <c r="A3896" s="12">
        <v>46208</v>
      </c>
      <c r="B3896" s="10">
        <v>10</v>
      </c>
      <c r="Q3896" s="10" t="str">
        <f t="shared" si="60"/>
        <v>Incomplete</v>
      </c>
    </row>
    <row r="3897" spans="1:17" hidden="1">
      <c r="A3897" s="12">
        <v>46208</v>
      </c>
      <c r="B3897" s="10">
        <v>11</v>
      </c>
      <c r="Q3897" s="10" t="str">
        <f t="shared" si="60"/>
        <v>Incomplete</v>
      </c>
    </row>
    <row r="3898" spans="1:17" hidden="1">
      <c r="A3898" s="12">
        <v>46208</v>
      </c>
      <c r="B3898" s="10">
        <v>12</v>
      </c>
      <c r="Q3898" s="10" t="str">
        <f t="shared" si="60"/>
        <v>Incomplete</v>
      </c>
    </row>
    <row r="3899" spans="1:17" hidden="1">
      <c r="A3899" s="12">
        <v>46208</v>
      </c>
      <c r="B3899" s="10">
        <v>13</v>
      </c>
      <c r="Q3899" s="10" t="str">
        <f t="shared" si="60"/>
        <v>Incomplete</v>
      </c>
    </row>
    <row r="3900" spans="1:17" hidden="1">
      <c r="A3900" s="12">
        <v>46208</v>
      </c>
      <c r="B3900" s="10">
        <v>14</v>
      </c>
      <c r="Q3900" s="10" t="str">
        <f t="shared" si="60"/>
        <v>Incomplete</v>
      </c>
    </row>
    <row r="3901" spans="1:17" hidden="1">
      <c r="A3901" s="12">
        <v>46208</v>
      </c>
      <c r="B3901" s="10">
        <v>15</v>
      </c>
      <c r="Q3901" s="10" t="str">
        <f t="shared" si="60"/>
        <v>Incomplete</v>
      </c>
    </row>
    <row r="3902" spans="1:17" hidden="1">
      <c r="A3902" s="12">
        <v>46208</v>
      </c>
      <c r="B3902" s="10">
        <v>16</v>
      </c>
      <c r="Q3902" s="10" t="str">
        <f t="shared" si="60"/>
        <v>Incomplete</v>
      </c>
    </row>
    <row r="3903" spans="1:17" hidden="1">
      <c r="A3903" s="12">
        <v>46208</v>
      </c>
      <c r="B3903" s="10">
        <v>17</v>
      </c>
      <c r="Q3903" s="10" t="str">
        <f t="shared" si="60"/>
        <v>Incomplete</v>
      </c>
    </row>
    <row r="3904" spans="1:17" hidden="1">
      <c r="A3904" s="12">
        <v>46208</v>
      </c>
      <c r="B3904" s="10">
        <v>18</v>
      </c>
      <c r="Q3904" s="10" t="str">
        <f t="shared" si="60"/>
        <v>Incomplete</v>
      </c>
    </row>
    <row r="3905" spans="1:17" hidden="1">
      <c r="A3905" s="12">
        <v>46208</v>
      </c>
      <c r="B3905" s="10">
        <v>19</v>
      </c>
      <c r="Q3905" s="10" t="str">
        <f t="shared" si="60"/>
        <v>Incomplete</v>
      </c>
    </row>
    <row r="3906" spans="1:17" hidden="1">
      <c r="A3906" s="12">
        <v>46208</v>
      </c>
      <c r="B3906" s="10">
        <v>20</v>
      </c>
      <c r="Q3906" s="10" t="str">
        <f t="shared" ref="Q3906:Q3969" si="61">IF(AND(C3906&lt;&gt;"",J3906&lt;&gt;"",K3906&lt;&gt;"",L3906&lt;&gt;"",O3906="Yes"),"Complete","Incomplete")</f>
        <v>Incomplete</v>
      </c>
    </row>
    <row r="3907" spans="1:17" hidden="1">
      <c r="A3907" s="12">
        <v>46208</v>
      </c>
      <c r="B3907" s="10">
        <v>21</v>
      </c>
      <c r="Q3907" s="10" t="str">
        <f t="shared" si="61"/>
        <v>Incomplete</v>
      </c>
    </row>
    <row r="3908" spans="1:17" hidden="1">
      <c r="A3908" s="12">
        <v>46209</v>
      </c>
      <c r="B3908" s="10">
        <v>1</v>
      </c>
      <c r="Q3908" s="10" t="str">
        <f t="shared" si="61"/>
        <v>Incomplete</v>
      </c>
    </row>
    <row r="3909" spans="1:17" hidden="1">
      <c r="A3909" s="12">
        <v>46209</v>
      </c>
      <c r="B3909" s="10">
        <v>2</v>
      </c>
      <c r="Q3909" s="10" t="str">
        <f t="shared" si="61"/>
        <v>Incomplete</v>
      </c>
    </row>
    <row r="3910" spans="1:17" hidden="1">
      <c r="A3910" s="12">
        <v>46209</v>
      </c>
      <c r="B3910" s="10">
        <v>3</v>
      </c>
      <c r="Q3910" s="10" t="str">
        <f t="shared" si="61"/>
        <v>Incomplete</v>
      </c>
    </row>
    <row r="3911" spans="1:17" hidden="1">
      <c r="A3911" s="12">
        <v>46209</v>
      </c>
      <c r="B3911" s="10">
        <v>4</v>
      </c>
      <c r="Q3911" s="10" t="str">
        <f t="shared" si="61"/>
        <v>Incomplete</v>
      </c>
    </row>
    <row r="3912" spans="1:17" hidden="1">
      <c r="A3912" s="12">
        <v>46209</v>
      </c>
      <c r="B3912" s="10">
        <v>5</v>
      </c>
      <c r="Q3912" s="10" t="str">
        <f t="shared" si="61"/>
        <v>Incomplete</v>
      </c>
    </row>
    <row r="3913" spans="1:17" hidden="1">
      <c r="A3913" s="12">
        <v>46209</v>
      </c>
      <c r="B3913" s="10">
        <v>6</v>
      </c>
      <c r="Q3913" s="10" t="str">
        <f t="shared" si="61"/>
        <v>Incomplete</v>
      </c>
    </row>
    <row r="3914" spans="1:17" hidden="1">
      <c r="A3914" s="12">
        <v>46209</v>
      </c>
      <c r="B3914" s="10">
        <v>7</v>
      </c>
      <c r="Q3914" s="10" t="str">
        <f t="shared" si="61"/>
        <v>Incomplete</v>
      </c>
    </row>
    <row r="3915" spans="1:17" hidden="1">
      <c r="A3915" s="12">
        <v>46209</v>
      </c>
      <c r="B3915" s="10">
        <v>8</v>
      </c>
      <c r="Q3915" s="10" t="str">
        <f t="shared" si="61"/>
        <v>Incomplete</v>
      </c>
    </row>
    <row r="3916" spans="1:17" hidden="1">
      <c r="A3916" s="12">
        <v>46209</v>
      </c>
      <c r="B3916" s="10">
        <v>9</v>
      </c>
      <c r="Q3916" s="10" t="str">
        <f t="shared" si="61"/>
        <v>Incomplete</v>
      </c>
    </row>
    <row r="3917" spans="1:17" hidden="1">
      <c r="A3917" s="12">
        <v>46209</v>
      </c>
      <c r="B3917" s="10">
        <v>10</v>
      </c>
      <c r="Q3917" s="10" t="str">
        <f t="shared" si="61"/>
        <v>Incomplete</v>
      </c>
    </row>
    <row r="3918" spans="1:17" hidden="1">
      <c r="A3918" s="12">
        <v>46209</v>
      </c>
      <c r="B3918" s="10">
        <v>11</v>
      </c>
      <c r="Q3918" s="10" t="str">
        <f t="shared" si="61"/>
        <v>Incomplete</v>
      </c>
    </row>
    <row r="3919" spans="1:17" hidden="1">
      <c r="A3919" s="12">
        <v>46209</v>
      </c>
      <c r="B3919" s="10">
        <v>12</v>
      </c>
      <c r="Q3919" s="10" t="str">
        <f t="shared" si="61"/>
        <v>Incomplete</v>
      </c>
    </row>
    <row r="3920" spans="1:17" hidden="1">
      <c r="A3920" s="12">
        <v>46209</v>
      </c>
      <c r="B3920" s="10">
        <v>13</v>
      </c>
      <c r="Q3920" s="10" t="str">
        <f t="shared" si="61"/>
        <v>Incomplete</v>
      </c>
    </row>
    <row r="3921" spans="1:17" hidden="1">
      <c r="A3921" s="12">
        <v>46209</v>
      </c>
      <c r="B3921" s="10">
        <v>14</v>
      </c>
      <c r="Q3921" s="10" t="str">
        <f t="shared" si="61"/>
        <v>Incomplete</v>
      </c>
    </row>
    <row r="3922" spans="1:17" hidden="1">
      <c r="A3922" s="12">
        <v>46209</v>
      </c>
      <c r="B3922" s="10">
        <v>15</v>
      </c>
      <c r="Q3922" s="10" t="str">
        <f t="shared" si="61"/>
        <v>Incomplete</v>
      </c>
    </row>
    <row r="3923" spans="1:17" hidden="1">
      <c r="A3923" s="12">
        <v>46209</v>
      </c>
      <c r="B3923" s="10">
        <v>16</v>
      </c>
      <c r="Q3923" s="10" t="str">
        <f t="shared" si="61"/>
        <v>Incomplete</v>
      </c>
    </row>
    <row r="3924" spans="1:17" hidden="1">
      <c r="A3924" s="12">
        <v>46209</v>
      </c>
      <c r="B3924" s="10">
        <v>17</v>
      </c>
      <c r="Q3924" s="10" t="str">
        <f t="shared" si="61"/>
        <v>Incomplete</v>
      </c>
    </row>
    <row r="3925" spans="1:17" hidden="1">
      <c r="A3925" s="12">
        <v>46209</v>
      </c>
      <c r="B3925" s="10">
        <v>18</v>
      </c>
      <c r="Q3925" s="10" t="str">
        <f t="shared" si="61"/>
        <v>Incomplete</v>
      </c>
    </row>
    <row r="3926" spans="1:17" hidden="1">
      <c r="A3926" s="12">
        <v>46209</v>
      </c>
      <c r="B3926" s="10">
        <v>19</v>
      </c>
      <c r="Q3926" s="10" t="str">
        <f t="shared" si="61"/>
        <v>Incomplete</v>
      </c>
    </row>
    <row r="3927" spans="1:17" hidden="1">
      <c r="A3927" s="12">
        <v>46209</v>
      </c>
      <c r="B3927" s="10">
        <v>20</v>
      </c>
      <c r="Q3927" s="10" t="str">
        <f t="shared" si="61"/>
        <v>Incomplete</v>
      </c>
    </row>
    <row r="3928" spans="1:17" hidden="1">
      <c r="A3928" s="12">
        <v>46209</v>
      </c>
      <c r="B3928" s="10">
        <v>21</v>
      </c>
      <c r="Q3928" s="10" t="str">
        <f t="shared" si="61"/>
        <v>Incomplete</v>
      </c>
    </row>
    <row r="3929" spans="1:17" hidden="1">
      <c r="A3929" s="12">
        <v>46210</v>
      </c>
      <c r="B3929" s="10">
        <v>1</v>
      </c>
      <c r="Q3929" s="10" t="str">
        <f t="shared" si="61"/>
        <v>Incomplete</v>
      </c>
    </row>
    <row r="3930" spans="1:17" hidden="1">
      <c r="A3930" s="12">
        <v>46210</v>
      </c>
      <c r="B3930" s="10">
        <v>2</v>
      </c>
      <c r="Q3930" s="10" t="str">
        <f t="shared" si="61"/>
        <v>Incomplete</v>
      </c>
    </row>
    <row r="3931" spans="1:17" hidden="1">
      <c r="A3931" s="12">
        <v>46210</v>
      </c>
      <c r="B3931" s="10">
        <v>3</v>
      </c>
      <c r="Q3931" s="10" t="str">
        <f t="shared" si="61"/>
        <v>Incomplete</v>
      </c>
    </row>
    <row r="3932" spans="1:17" hidden="1">
      <c r="A3932" s="12">
        <v>46210</v>
      </c>
      <c r="B3932" s="10">
        <v>4</v>
      </c>
      <c r="Q3932" s="10" t="str">
        <f t="shared" si="61"/>
        <v>Incomplete</v>
      </c>
    </row>
    <row r="3933" spans="1:17" hidden="1">
      <c r="A3933" s="12">
        <v>46210</v>
      </c>
      <c r="B3933" s="10">
        <v>5</v>
      </c>
      <c r="Q3933" s="10" t="str">
        <f t="shared" si="61"/>
        <v>Incomplete</v>
      </c>
    </row>
    <row r="3934" spans="1:17" hidden="1">
      <c r="A3934" s="12">
        <v>46210</v>
      </c>
      <c r="B3934" s="10">
        <v>6</v>
      </c>
      <c r="Q3934" s="10" t="str">
        <f t="shared" si="61"/>
        <v>Incomplete</v>
      </c>
    </row>
    <row r="3935" spans="1:17" hidden="1">
      <c r="A3935" s="12">
        <v>46210</v>
      </c>
      <c r="B3935" s="10">
        <v>7</v>
      </c>
      <c r="Q3935" s="10" t="str">
        <f t="shared" si="61"/>
        <v>Incomplete</v>
      </c>
    </row>
    <row r="3936" spans="1:17" hidden="1">
      <c r="A3936" s="12">
        <v>46210</v>
      </c>
      <c r="B3936" s="10">
        <v>8</v>
      </c>
      <c r="Q3936" s="10" t="str">
        <f t="shared" si="61"/>
        <v>Incomplete</v>
      </c>
    </row>
    <row r="3937" spans="1:17" hidden="1">
      <c r="A3937" s="12">
        <v>46210</v>
      </c>
      <c r="B3937" s="10">
        <v>9</v>
      </c>
      <c r="Q3937" s="10" t="str">
        <f t="shared" si="61"/>
        <v>Incomplete</v>
      </c>
    </row>
    <row r="3938" spans="1:17" hidden="1">
      <c r="A3938" s="12">
        <v>46210</v>
      </c>
      <c r="B3938" s="10">
        <v>10</v>
      </c>
      <c r="Q3938" s="10" t="str">
        <f t="shared" si="61"/>
        <v>Incomplete</v>
      </c>
    </row>
    <row r="3939" spans="1:17" hidden="1">
      <c r="A3939" s="12">
        <v>46210</v>
      </c>
      <c r="B3939" s="10">
        <v>11</v>
      </c>
      <c r="Q3939" s="10" t="str">
        <f t="shared" si="61"/>
        <v>Incomplete</v>
      </c>
    </row>
    <row r="3940" spans="1:17" hidden="1">
      <c r="A3940" s="12">
        <v>46210</v>
      </c>
      <c r="B3940" s="10">
        <v>12</v>
      </c>
      <c r="Q3940" s="10" t="str">
        <f t="shared" si="61"/>
        <v>Incomplete</v>
      </c>
    </row>
    <row r="3941" spans="1:17" hidden="1">
      <c r="A3941" s="12">
        <v>46210</v>
      </c>
      <c r="B3941" s="10">
        <v>13</v>
      </c>
      <c r="Q3941" s="10" t="str">
        <f t="shared" si="61"/>
        <v>Incomplete</v>
      </c>
    </row>
    <row r="3942" spans="1:17" hidden="1">
      <c r="A3942" s="12">
        <v>46210</v>
      </c>
      <c r="B3942" s="10">
        <v>14</v>
      </c>
      <c r="Q3942" s="10" t="str">
        <f t="shared" si="61"/>
        <v>Incomplete</v>
      </c>
    </row>
    <row r="3943" spans="1:17" hidden="1">
      <c r="A3943" s="12">
        <v>46210</v>
      </c>
      <c r="B3943" s="10">
        <v>15</v>
      </c>
      <c r="Q3943" s="10" t="str">
        <f t="shared" si="61"/>
        <v>Incomplete</v>
      </c>
    </row>
    <row r="3944" spans="1:17" hidden="1">
      <c r="A3944" s="12">
        <v>46210</v>
      </c>
      <c r="B3944" s="10">
        <v>16</v>
      </c>
      <c r="Q3944" s="10" t="str">
        <f t="shared" si="61"/>
        <v>Incomplete</v>
      </c>
    </row>
    <row r="3945" spans="1:17" hidden="1">
      <c r="A3945" s="12">
        <v>46210</v>
      </c>
      <c r="B3945" s="10">
        <v>17</v>
      </c>
      <c r="Q3945" s="10" t="str">
        <f t="shared" si="61"/>
        <v>Incomplete</v>
      </c>
    </row>
    <row r="3946" spans="1:17" hidden="1">
      <c r="A3946" s="12">
        <v>46210</v>
      </c>
      <c r="B3946" s="10">
        <v>18</v>
      </c>
      <c r="Q3946" s="10" t="str">
        <f t="shared" si="61"/>
        <v>Incomplete</v>
      </c>
    </row>
    <row r="3947" spans="1:17" hidden="1">
      <c r="A3947" s="12">
        <v>46210</v>
      </c>
      <c r="B3947" s="10">
        <v>19</v>
      </c>
      <c r="Q3947" s="10" t="str">
        <f t="shared" si="61"/>
        <v>Incomplete</v>
      </c>
    </row>
    <row r="3948" spans="1:17" hidden="1">
      <c r="A3948" s="12">
        <v>46210</v>
      </c>
      <c r="B3948" s="10">
        <v>20</v>
      </c>
      <c r="Q3948" s="10" t="str">
        <f t="shared" si="61"/>
        <v>Incomplete</v>
      </c>
    </row>
    <row r="3949" spans="1:17" hidden="1">
      <c r="A3949" s="12">
        <v>46210</v>
      </c>
      <c r="B3949" s="10">
        <v>21</v>
      </c>
      <c r="Q3949" s="10" t="str">
        <f t="shared" si="61"/>
        <v>Incomplete</v>
      </c>
    </row>
    <row r="3950" spans="1:17" hidden="1">
      <c r="A3950" s="12">
        <v>46211</v>
      </c>
      <c r="B3950" s="10">
        <v>1</v>
      </c>
      <c r="Q3950" s="10" t="str">
        <f t="shared" si="61"/>
        <v>Incomplete</v>
      </c>
    </row>
    <row r="3951" spans="1:17" hidden="1">
      <c r="A3951" s="12">
        <v>46211</v>
      </c>
      <c r="B3951" s="10">
        <v>2</v>
      </c>
      <c r="Q3951" s="10" t="str">
        <f t="shared" si="61"/>
        <v>Incomplete</v>
      </c>
    </row>
    <row r="3952" spans="1:17" hidden="1">
      <c r="A3952" s="12">
        <v>46211</v>
      </c>
      <c r="B3952" s="10">
        <v>3</v>
      </c>
      <c r="Q3952" s="10" t="str">
        <f t="shared" si="61"/>
        <v>Incomplete</v>
      </c>
    </row>
    <row r="3953" spans="1:17" hidden="1">
      <c r="A3953" s="12">
        <v>46211</v>
      </c>
      <c r="B3953" s="10">
        <v>4</v>
      </c>
      <c r="Q3953" s="10" t="str">
        <f t="shared" si="61"/>
        <v>Incomplete</v>
      </c>
    </row>
    <row r="3954" spans="1:17" hidden="1">
      <c r="A3954" s="12">
        <v>46211</v>
      </c>
      <c r="B3954" s="10">
        <v>5</v>
      </c>
      <c r="Q3954" s="10" t="str">
        <f t="shared" si="61"/>
        <v>Incomplete</v>
      </c>
    </row>
    <row r="3955" spans="1:17" hidden="1">
      <c r="A3955" s="12">
        <v>46211</v>
      </c>
      <c r="B3955" s="10">
        <v>6</v>
      </c>
      <c r="Q3955" s="10" t="str">
        <f t="shared" si="61"/>
        <v>Incomplete</v>
      </c>
    </row>
    <row r="3956" spans="1:17" hidden="1">
      <c r="A3956" s="12">
        <v>46211</v>
      </c>
      <c r="B3956" s="10">
        <v>7</v>
      </c>
      <c r="Q3956" s="10" t="str">
        <f t="shared" si="61"/>
        <v>Incomplete</v>
      </c>
    </row>
    <row r="3957" spans="1:17" hidden="1">
      <c r="A3957" s="12">
        <v>46211</v>
      </c>
      <c r="B3957" s="10">
        <v>8</v>
      </c>
      <c r="Q3957" s="10" t="str">
        <f t="shared" si="61"/>
        <v>Incomplete</v>
      </c>
    </row>
    <row r="3958" spans="1:17" hidden="1">
      <c r="A3958" s="12">
        <v>46211</v>
      </c>
      <c r="B3958" s="10">
        <v>9</v>
      </c>
      <c r="Q3958" s="10" t="str">
        <f t="shared" si="61"/>
        <v>Incomplete</v>
      </c>
    </row>
    <row r="3959" spans="1:17" hidden="1">
      <c r="A3959" s="12">
        <v>46211</v>
      </c>
      <c r="B3959" s="10">
        <v>10</v>
      </c>
      <c r="Q3959" s="10" t="str">
        <f t="shared" si="61"/>
        <v>Incomplete</v>
      </c>
    </row>
    <row r="3960" spans="1:17" hidden="1">
      <c r="A3960" s="12">
        <v>46211</v>
      </c>
      <c r="B3960" s="10">
        <v>11</v>
      </c>
      <c r="Q3960" s="10" t="str">
        <f t="shared" si="61"/>
        <v>Incomplete</v>
      </c>
    </row>
    <row r="3961" spans="1:17" hidden="1">
      <c r="A3961" s="12">
        <v>46211</v>
      </c>
      <c r="B3961" s="10">
        <v>12</v>
      </c>
      <c r="Q3961" s="10" t="str">
        <f t="shared" si="61"/>
        <v>Incomplete</v>
      </c>
    </row>
    <row r="3962" spans="1:17" hidden="1">
      <c r="A3962" s="12">
        <v>46211</v>
      </c>
      <c r="B3962" s="10">
        <v>13</v>
      </c>
      <c r="Q3962" s="10" t="str">
        <f t="shared" si="61"/>
        <v>Incomplete</v>
      </c>
    </row>
    <row r="3963" spans="1:17" hidden="1">
      <c r="A3963" s="12">
        <v>46211</v>
      </c>
      <c r="B3963" s="10">
        <v>14</v>
      </c>
      <c r="Q3963" s="10" t="str">
        <f t="shared" si="61"/>
        <v>Incomplete</v>
      </c>
    </row>
    <row r="3964" spans="1:17" hidden="1">
      <c r="A3964" s="12">
        <v>46211</v>
      </c>
      <c r="B3964" s="10">
        <v>15</v>
      </c>
      <c r="Q3964" s="10" t="str">
        <f t="shared" si="61"/>
        <v>Incomplete</v>
      </c>
    </row>
    <row r="3965" spans="1:17" hidden="1">
      <c r="A3965" s="12">
        <v>46211</v>
      </c>
      <c r="B3965" s="10">
        <v>16</v>
      </c>
      <c r="Q3965" s="10" t="str">
        <f t="shared" si="61"/>
        <v>Incomplete</v>
      </c>
    </row>
    <row r="3966" spans="1:17" hidden="1">
      <c r="A3966" s="12">
        <v>46211</v>
      </c>
      <c r="B3966" s="10">
        <v>17</v>
      </c>
      <c r="Q3966" s="10" t="str">
        <f t="shared" si="61"/>
        <v>Incomplete</v>
      </c>
    </row>
    <row r="3967" spans="1:17" hidden="1">
      <c r="A3967" s="12">
        <v>46211</v>
      </c>
      <c r="B3967" s="10">
        <v>18</v>
      </c>
      <c r="Q3967" s="10" t="str">
        <f t="shared" si="61"/>
        <v>Incomplete</v>
      </c>
    </row>
    <row r="3968" spans="1:17" hidden="1">
      <c r="A3968" s="12">
        <v>46211</v>
      </c>
      <c r="B3968" s="10">
        <v>19</v>
      </c>
      <c r="Q3968" s="10" t="str">
        <f t="shared" si="61"/>
        <v>Incomplete</v>
      </c>
    </row>
    <row r="3969" spans="1:17" hidden="1">
      <c r="A3969" s="12">
        <v>46211</v>
      </c>
      <c r="B3969" s="10">
        <v>20</v>
      </c>
      <c r="Q3969" s="10" t="str">
        <f t="shared" si="61"/>
        <v>Incomplete</v>
      </c>
    </row>
    <row r="3970" spans="1:17" hidden="1">
      <c r="A3970" s="12">
        <v>46211</v>
      </c>
      <c r="B3970" s="10">
        <v>21</v>
      </c>
      <c r="Q3970" s="10" t="str">
        <f t="shared" ref="Q3970:Q4033" si="62">IF(AND(C3970&lt;&gt;"",J3970&lt;&gt;"",K3970&lt;&gt;"",L3970&lt;&gt;"",O3970="Yes"),"Complete","Incomplete")</f>
        <v>Incomplete</v>
      </c>
    </row>
    <row r="3971" spans="1:17" hidden="1">
      <c r="A3971" s="12">
        <v>46212</v>
      </c>
      <c r="B3971" s="10">
        <v>1</v>
      </c>
      <c r="Q3971" s="10" t="str">
        <f t="shared" si="62"/>
        <v>Incomplete</v>
      </c>
    </row>
    <row r="3972" spans="1:17" hidden="1">
      <c r="A3972" s="12">
        <v>46212</v>
      </c>
      <c r="B3972" s="10">
        <v>2</v>
      </c>
      <c r="Q3972" s="10" t="str">
        <f t="shared" si="62"/>
        <v>Incomplete</v>
      </c>
    </row>
    <row r="3973" spans="1:17" hidden="1">
      <c r="A3973" s="12">
        <v>46212</v>
      </c>
      <c r="B3973" s="10">
        <v>3</v>
      </c>
      <c r="Q3973" s="10" t="str">
        <f t="shared" si="62"/>
        <v>Incomplete</v>
      </c>
    </row>
    <row r="3974" spans="1:17" hidden="1">
      <c r="A3974" s="12">
        <v>46212</v>
      </c>
      <c r="B3974" s="10">
        <v>4</v>
      </c>
      <c r="Q3974" s="10" t="str">
        <f t="shared" si="62"/>
        <v>Incomplete</v>
      </c>
    </row>
    <row r="3975" spans="1:17" hidden="1">
      <c r="A3975" s="12">
        <v>46212</v>
      </c>
      <c r="B3975" s="10">
        <v>5</v>
      </c>
      <c r="Q3975" s="10" t="str">
        <f t="shared" si="62"/>
        <v>Incomplete</v>
      </c>
    </row>
    <row r="3976" spans="1:17" hidden="1">
      <c r="A3976" s="12">
        <v>46212</v>
      </c>
      <c r="B3976" s="10">
        <v>6</v>
      </c>
      <c r="Q3976" s="10" t="str">
        <f t="shared" si="62"/>
        <v>Incomplete</v>
      </c>
    </row>
    <row r="3977" spans="1:17" hidden="1">
      <c r="A3977" s="12">
        <v>46212</v>
      </c>
      <c r="B3977" s="10">
        <v>7</v>
      </c>
      <c r="Q3977" s="10" t="str">
        <f t="shared" si="62"/>
        <v>Incomplete</v>
      </c>
    </row>
    <row r="3978" spans="1:17" hidden="1">
      <c r="A3978" s="12">
        <v>46212</v>
      </c>
      <c r="B3978" s="10">
        <v>8</v>
      </c>
      <c r="Q3978" s="10" t="str">
        <f t="shared" si="62"/>
        <v>Incomplete</v>
      </c>
    </row>
    <row r="3979" spans="1:17" hidden="1">
      <c r="A3979" s="12">
        <v>46212</v>
      </c>
      <c r="B3979" s="10">
        <v>9</v>
      </c>
      <c r="Q3979" s="10" t="str">
        <f t="shared" si="62"/>
        <v>Incomplete</v>
      </c>
    </row>
    <row r="3980" spans="1:17" hidden="1">
      <c r="A3980" s="12">
        <v>46212</v>
      </c>
      <c r="B3980" s="10">
        <v>10</v>
      </c>
      <c r="Q3980" s="10" t="str">
        <f t="shared" si="62"/>
        <v>Incomplete</v>
      </c>
    </row>
    <row r="3981" spans="1:17" hidden="1">
      <c r="A3981" s="12">
        <v>46212</v>
      </c>
      <c r="B3981" s="10">
        <v>11</v>
      </c>
      <c r="Q3981" s="10" t="str">
        <f t="shared" si="62"/>
        <v>Incomplete</v>
      </c>
    </row>
    <row r="3982" spans="1:17" hidden="1">
      <c r="A3982" s="12">
        <v>46212</v>
      </c>
      <c r="B3982" s="10">
        <v>12</v>
      </c>
      <c r="Q3982" s="10" t="str">
        <f t="shared" si="62"/>
        <v>Incomplete</v>
      </c>
    </row>
    <row r="3983" spans="1:17" hidden="1">
      <c r="A3983" s="12">
        <v>46212</v>
      </c>
      <c r="B3983" s="10">
        <v>13</v>
      </c>
      <c r="Q3983" s="10" t="str">
        <f t="shared" si="62"/>
        <v>Incomplete</v>
      </c>
    </row>
    <row r="3984" spans="1:17" hidden="1">
      <c r="A3984" s="12">
        <v>46212</v>
      </c>
      <c r="B3984" s="10">
        <v>14</v>
      </c>
      <c r="Q3984" s="10" t="str">
        <f t="shared" si="62"/>
        <v>Incomplete</v>
      </c>
    </row>
    <row r="3985" spans="1:17" hidden="1">
      <c r="A3985" s="12">
        <v>46212</v>
      </c>
      <c r="B3985" s="10">
        <v>15</v>
      </c>
      <c r="Q3985" s="10" t="str">
        <f t="shared" si="62"/>
        <v>Incomplete</v>
      </c>
    </row>
    <row r="3986" spans="1:17" hidden="1">
      <c r="A3986" s="12">
        <v>46212</v>
      </c>
      <c r="B3986" s="10">
        <v>16</v>
      </c>
      <c r="Q3986" s="10" t="str">
        <f t="shared" si="62"/>
        <v>Incomplete</v>
      </c>
    </row>
    <row r="3987" spans="1:17" hidden="1">
      <c r="A3987" s="12">
        <v>46212</v>
      </c>
      <c r="B3987" s="10">
        <v>17</v>
      </c>
      <c r="Q3987" s="10" t="str">
        <f t="shared" si="62"/>
        <v>Incomplete</v>
      </c>
    </row>
    <row r="3988" spans="1:17" hidden="1">
      <c r="A3988" s="12">
        <v>46212</v>
      </c>
      <c r="B3988" s="10">
        <v>18</v>
      </c>
      <c r="Q3988" s="10" t="str">
        <f t="shared" si="62"/>
        <v>Incomplete</v>
      </c>
    </row>
    <row r="3989" spans="1:17" hidden="1">
      <c r="A3989" s="12">
        <v>46212</v>
      </c>
      <c r="B3989" s="10">
        <v>19</v>
      </c>
      <c r="Q3989" s="10" t="str">
        <f t="shared" si="62"/>
        <v>Incomplete</v>
      </c>
    </row>
    <row r="3990" spans="1:17" hidden="1">
      <c r="A3990" s="12">
        <v>46212</v>
      </c>
      <c r="B3990" s="10">
        <v>20</v>
      </c>
      <c r="Q3990" s="10" t="str">
        <f t="shared" si="62"/>
        <v>Incomplete</v>
      </c>
    </row>
    <row r="3991" spans="1:17" hidden="1">
      <c r="A3991" s="12">
        <v>46212</v>
      </c>
      <c r="B3991" s="10">
        <v>21</v>
      </c>
      <c r="Q3991" s="10" t="str">
        <f t="shared" si="62"/>
        <v>Incomplete</v>
      </c>
    </row>
    <row r="3992" spans="1:17" hidden="1">
      <c r="A3992" s="12">
        <v>46213</v>
      </c>
      <c r="B3992" s="10">
        <v>1</v>
      </c>
      <c r="Q3992" s="10" t="str">
        <f t="shared" si="62"/>
        <v>Incomplete</v>
      </c>
    </row>
    <row r="3993" spans="1:17" hidden="1">
      <c r="A3993" s="12">
        <v>46213</v>
      </c>
      <c r="B3993" s="10">
        <v>2</v>
      </c>
      <c r="Q3993" s="10" t="str">
        <f t="shared" si="62"/>
        <v>Incomplete</v>
      </c>
    </row>
    <row r="3994" spans="1:17" hidden="1">
      <c r="A3994" s="12">
        <v>46213</v>
      </c>
      <c r="B3994" s="10">
        <v>3</v>
      </c>
      <c r="Q3994" s="10" t="str">
        <f t="shared" si="62"/>
        <v>Incomplete</v>
      </c>
    </row>
    <row r="3995" spans="1:17" hidden="1">
      <c r="A3995" s="12">
        <v>46213</v>
      </c>
      <c r="B3995" s="10">
        <v>4</v>
      </c>
      <c r="Q3995" s="10" t="str">
        <f t="shared" si="62"/>
        <v>Incomplete</v>
      </c>
    </row>
    <row r="3996" spans="1:17" hidden="1">
      <c r="A3996" s="12">
        <v>46213</v>
      </c>
      <c r="B3996" s="10">
        <v>5</v>
      </c>
      <c r="Q3996" s="10" t="str">
        <f t="shared" si="62"/>
        <v>Incomplete</v>
      </c>
    </row>
    <row r="3997" spans="1:17" hidden="1">
      <c r="A3997" s="12">
        <v>46213</v>
      </c>
      <c r="B3997" s="10">
        <v>6</v>
      </c>
      <c r="Q3997" s="10" t="str">
        <f t="shared" si="62"/>
        <v>Incomplete</v>
      </c>
    </row>
    <row r="3998" spans="1:17" hidden="1">
      <c r="A3998" s="12">
        <v>46213</v>
      </c>
      <c r="B3998" s="10">
        <v>7</v>
      </c>
      <c r="Q3998" s="10" t="str">
        <f t="shared" si="62"/>
        <v>Incomplete</v>
      </c>
    </row>
    <row r="3999" spans="1:17" hidden="1">
      <c r="A3999" s="12">
        <v>46213</v>
      </c>
      <c r="B3999" s="10">
        <v>8</v>
      </c>
      <c r="Q3999" s="10" t="str">
        <f t="shared" si="62"/>
        <v>Incomplete</v>
      </c>
    </row>
    <row r="4000" spans="1:17" hidden="1">
      <c r="A4000" s="12">
        <v>46213</v>
      </c>
      <c r="B4000" s="10">
        <v>9</v>
      </c>
      <c r="Q4000" s="10" t="str">
        <f t="shared" si="62"/>
        <v>Incomplete</v>
      </c>
    </row>
    <row r="4001" spans="1:17" hidden="1">
      <c r="A4001" s="12">
        <v>46213</v>
      </c>
      <c r="B4001" s="10">
        <v>10</v>
      </c>
      <c r="Q4001" s="10" t="str">
        <f t="shared" si="62"/>
        <v>Incomplete</v>
      </c>
    </row>
    <row r="4002" spans="1:17" hidden="1">
      <c r="A4002" s="12">
        <v>46213</v>
      </c>
      <c r="B4002" s="10">
        <v>11</v>
      </c>
      <c r="Q4002" s="10" t="str">
        <f t="shared" si="62"/>
        <v>Incomplete</v>
      </c>
    </row>
    <row r="4003" spans="1:17" hidden="1">
      <c r="A4003" s="12">
        <v>46213</v>
      </c>
      <c r="B4003" s="10">
        <v>12</v>
      </c>
      <c r="Q4003" s="10" t="str">
        <f t="shared" si="62"/>
        <v>Incomplete</v>
      </c>
    </row>
    <row r="4004" spans="1:17" hidden="1">
      <c r="A4004" s="12">
        <v>46213</v>
      </c>
      <c r="B4004" s="10">
        <v>13</v>
      </c>
      <c r="Q4004" s="10" t="str">
        <f t="shared" si="62"/>
        <v>Incomplete</v>
      </c>
    </row>
    <row r="4005" spans="1:17" hidden="1">
      <c r="A4005" s="12">
        <v>46213</v>
      </c>
      <c r="B4005" s="10">
        <v>14</v>
      </c>
      <c r="Q4005" s="10" t="str">
        <f t="shared" si="62"/>
        <v>Incomplete</v>
      </c>
    </row>
    <row r="4006" spans="1:17" hidden="1">
      <c r="A4006" s="12">
        <v>46213</v>
      </c>
      <c r="B4006" s="10">
        <v>15</v>
      </c>
      <c r="Q4006" s="10" t="str">
        <f t="shared" si="62"/>
        <v>Incomplete</v>
      </c>
    </row>
    <row r="4007" spans="1:17" hidden="1">
      <c r="A4007" s="12">
        <v>46213</v>
      </c>
      <c r="B4007" s="10">
        <v>16</v>
      </c>
      <c r="Q4007" s="10" t="str">
        <f t="shared" si="62"/>
        <v>Incomplete</v>
      </c>
    </row>
    <row r="4008" spans="1:17" hidden="1">
      <c r="A4008" s="12">
        <v>46213</v>
      </c>
      <c r="B4008" s="10">
        <v>17</v>
      </c>
      <c r="Q4008" s="10" t="str">
        <f t="shared" si="62"/>
        <v>Incomplete</v>
      </c>
    </row>
    <row r="4009" spans="1:17" hidden="1">
      <c r="A4009" s="12">
        <v>46213</v>
      </c>
      <c r="B4009" s="10">
        <v>18</v>
      </c>
      <c r="Q4009" s="10" t="str">
        <f t="shared" si="62"/>
        <v>Incomplete</v>
      </c>
    </row>
    <row r="4010" spans="1:17" hidden="1">
      <c r="A4010" s="12">
        <v>46213</v>
      </c>
      <c r="B4010" s="10">
        <v>19</v>
      </c>
      <c r="Q4010" s="10" t="str">
        <f t="shared" si="62"/>
        <v>Incomplete</v>
      </c>
    </row>
    <row r="4011" spans="1:17" hidden="1">
      <c r="A4011" s="12">
        <v>46213</v>
      </c>
      <c r="B4011" s="10">
        <v>20</v>
      </c>
      <c r="Q4011" s="10" t="str">
        <f t="shared" si="62"/>
        <v>Incomplete</v>
      </c>
    </row>
    <row r="4012" spans="1:17" hidden="1">
      <c r="A4012" s="12">
        <v>46213</v>
      </c>
      <c r="B4012" s="10">
        <v>21</v>
      </c>
      <c r="Q4012" s="10" t="str">
        <f t="shared" si="62"/>
        <v>Incomplete</v>
      </c>
    </row>
    <row r="4013" spans="1:17" hidden="1">
      <c r="A4013" s="12">
        <v>46214</v>
      </c>
      <c r="B4013" s="10">
        <v>1</v>
      </c>
      <c r="Q4013" s="10" t="str">
        <f t="shared" si="62"/>
        <v>Incomplete</v>
      </c>
    </row>
    <row r="4014" spans="1:17" hidden="1">
      <c r="A4014" s="12">
        <v>46214</v>
      </c>
      <c r="B4014" s="10">
        <v>2</v>
      </c>
      <c r="Q4014" s="10" t="str">
        <f t="shared" si="62"/>
        <v>Incomplete</v>
      </c>
    </row>
    <row r="4015" spans="1:17" hidden="1">
      <c r="A4015" s="12">
        <v>46214</v>
      </c>
      <c r="B4015" s="10">
        <v>3</v>
      </c>
      <c r="Q4015" s="10" t="str">
        <f t="shared" si="62"/>
        <v>Incomplete</v>
      </c>
    </row>
    <row r="4016" spans="1:17" hidden="1">
      <c r="A4016" s="12">
        <v>46214</v>
      </c>
      <c r="B4016" s="10">
        <v>4</v>
      </c>
      <c r="Q4016" s="10" t="str">
        <f t="shared" si="62"/>
        <v>Incomplete</v>
      </c>
    </row>
    <row r="4017" spans="1:17" hidden="1">
      <c r="A4017" s="12">
        <v>46214</v>
      </c>
      <c r="B4017" s="10">
        <v>5</v>
      </c>
      <c r="Q4017" s="10" t="str">
        <f t="shared" si="62"/>
        <v>Incomplete</v>
      </c>
    </row>
    <row r="4018" spans="1:17" hidden="1">
      <c r="A4018" s="12">
        <v>46214</v>
      </c>
      <c r="B4018" s="10">
        <v>6</v>
      </c>
      <c r="Q4018" s="10" t="str">
        <f t="shared" si="62"/>
        <v>Incomplete</v>
      </c>
    </row>
    <row r="4019" spans="1:17" hidden="1">
      <c r="A4019" s="12">
        <v>46214</v>
      </c>
      <c r="B4019" s="10">
        <v>7</v>
      </c>
      <c r="Q4019" s="10" t="str">
        <f t="shared" si="62"/>
        <v>Incomplete</v>
      </c>
    </row>
    <row r="4020" spans="1:17" hidden="1">
      <c r="A4020" s="12">
        <v>46214</v>
      </c>
      <c r="B4020" s="10">
        <v>8</v>
      </c>
      <c r="Q4020" s="10" t="str">
        <f t="shared" si="62"/>
        <v>Incomplete</v>
      </c>
    </row>
    <row r="4021" spans="1:17" hidden="1">
      <c r="A4021" s="12">
        <v>46214</v>
      </c>
      <c r="B4021" s="10">
        <v>9</v>
      </c>
      <c r="Q4021" s="10" t="str">
        <f t="shared" si="62"/>
        <v>Incomplete</v>
      </c>
    </row>
    <row r="4022" spans="1:17" hidden="1">
      <c r="A4022" s="12">
        <v>46214</v>
      </c>
      <c r="B4022" s="10">
        <v>10</v>
      </c>
      <c r="Q4022" s="10" t="str">
        <f t="shared" si="62"/>
        <v>Incomplete</v>
      </c>
    </row>
    <row r="4023" spans="1:17" hidden="1">
      <c r="A4023" s="12">
        <v>46214</v>
      </c>
      <c r="B4023" s="10">
        <v>11</v>
      </c>
      <c r="Q4023" s="10" t="str">
        <f t="shared" si="62"/>
        <v>Incomplete</v>
      </c>
    </row>
    <row r="4024" spans="1:17" hidden="1">
      <c r="A4024" s="12">
        <v>46214</v>
      </c>
      <c r="B4024" s="10">
        <v>12</v>
      </c>
      <c r="Q4024" s="10" t="str">
        <f t="shared" si="62"/>
        <v>Incomplete</v>
      </c>
    </row>
    <row r="4025" spans="1:17" hidden="1">
      <c r="A4025" s="12">
        <v>46214</v>
      </c>
      <c r="B4025" s="10">
        <v>13</v>
      </c>
      <c r="Q4025" s="10" t="str">
        <f t="shared" si="62"/>
        <v>Incomplete</v>
      </c>
    </row>
    <row r="4026" spans="1:17" hidden="1">
      <c r="A4026" s="12">
        <v>46214</v>
      </c>
      <c r="B4026" s="10">
        <v>14</v>
      </c>
      <c r="Q4026" s="10" t="str">
        <f t="shared" si="62"/>
        <v>Incomplete</v>
      </c>
    </row>
    <row r="4027" spans="1:17" hidden="1">
      <c r="A4027" s="12">
        <v>46214</v>
      </c>
      <c r="B4027" s="10">
        <v>15</v>
      </c>
      <c r="Q4027" s="10" t="str">
        <f t="shared" si="62"/>
        <v>Incomplete</v>
      </c>
    </row>
    <row r="4028" spans="1:17" hidden="1">
      <c r="A4028" s="12">
        <v>46214</v>
      </c>
      <c r="B4028" s="10">
        <v>16</v>
      </c>
      <c r="Q4028" s="10" t="str">
        <f t="shared" si="62"/>
        <v>Incomplete</v>
      </c>
    </row>
    <row r="4029" spans="1:17" hidden="1">
      <c r="A4029" s="12">
        <v>46214</v>
      </c>
      <c r="B4029" s="10">
        <v>17</v>
      </c>
      <c r="Q4029" s="10" t="str">
        <f t="shared" si="62"/>
        <v>Incomplete</v>
      </c>
    </row>
    <row r="4030" spans="1:17" hidden="1">
      <c r="A4030" s="12">
        <v>46214</v>
      </c>
      <c r="B4030" s="10">
        <v>18</v>
      </c>
      <c r="Q4030" s="10" t="str">
        <f t="shared" si="62"/>
        <v>Incomplete</v>
      </c>
    </row>
    <row r="4031" spans="1:17" hidden="1">
      <c r="A4031" s="12">
        <v>46214</v>
      </c>
      <c r="B4031" s="10">
        <v>19</v>
      </c>
      <c r="Q4031" s="10" t="str">
        <f t="shared" si="62"/>
        <v>Incomplete</v>
      </c>
    </row>
    <row r="4032" spans="1:17" hidden="1">
      <c r="A4032" s="12">
        <v>46214</v>
      </c>
      <c r="B4032" s="10">
        <v>20</v>
      </c>
      <c r="Q4032" s="10" t="str">
        <f t="shared" si="62"/>
        <v>Incomplete</v>
      </c>
    </row>
    <row r="4033" spans="1:17" hidden="1">
      <c r="A4033" s="12">
        <v>46214</v>
      </c>
      <c r="B4033" s="10">
        <v>21</v>
      </c>
      <c r="Q4033" s="10" t="str">
        <f t="shared" si="62"/>
        <v>Incomplete</v>
      </c>
    </row>
    <row r="4034" spans="1:17" hidden="1">
      <c r="A4034" s="12">
        <v>46215</v>
      </c>
      <c r="B4034" s="10">
        <v>1</v>
      </c>
      <c r="Q4034" s="10" t="str">
        <f t="shared" ref="Q4034:Q4097" si="63">IF(AND(C4034&lt;&gt;"",J4034&lt;&gt;"",K4034&lt;&gt;"",L4034&lt;&gt;"",O4034="Yes"),"Complete","Incomplete")</f>
        <v>Incomplete</v>
      </c>
    </row>
    <row r="4035" spans="1:17" hidden="1">
      <c r="A4035" s="12">
        <v>46215</v>
      </c>
      <c r="B4035" s="10">
        <v>2</v>
      </c>
      <c r="Q4035" s="10" t="str">
        <f t="shared" si="63"/>
        <v>Incomplete</v>
      </c>
    </row>
    <row r="4036" spans="1:17" hidden="1">
      <c r="A4036" s="12">
        <v>46215</v>
      </c>
      <c r="B4036" s="10">
        <v>3</v>
      </c>
      <c r="Q4036" s="10" t="str">
        <f t="shared" si="63"/>
        <v>Incomplete</v>
      </c>
    </row>
    <row r="4037" spans="1:17" hidden="1">
      <c r="A4037" s="12">
        <v>46215</v>
      </c>
      <c r="B4037" s="10">
        <v>4</v>
      </c>
      <c r="Q4037" s="10" t="str">
        <f t="shared" si="63"/>
        <v>Incomplete</v>
      </c>
    </row>
    <row r="4038" spans="1:17" hidden="1">
      <c r="A4038" s="12">
        <v>46215</v>
      </c>
      <c r="B4038" s="10">
        <v>5</v>
      </c>
      <c r="Q4038" s="10" t="str">
        <f t="shared" si="63"/>
        <v>Incomplete</v>
      </c>
    </row>
    <row r="4039" spans="1:17" hidden="1">
      <c r="A4039" s="12">
        <v>46215</v>
      </c>
      <c r="B4039" s="10">
        <v>6</v>
      </c>
      <c r="Q4039" s="10" t="str">
        <f t="shared" si="63"/>
        <v>Incomplete</v>
      </c>
    </row>
    <row r="4040" spans="1:17" hidden="1">
      <c r="A4040" s="12">
        <v>46215</v>
      </c>
      <c r="B4040" s="10">
        <v>7</v>
      </c>
      <c r="Q4040" s="10" t="str">
        <f t="shared" si="63"/>
        <v>Incomplete</v>
      </c>
    </row>
    <row r="4041" spans="1:17" hidden="1">
      <c r="A4041" s="12">
        <v>46215</v>
      </c>
      <c r="B4041" s="10">
        <v>8</v>
      </c>
      <c r="Q4041" s="10" t="str">
        <f t="shared" si="63"/>
        <v>Incomplete</v>
      </c>
    </row>
    <row r="4042" spans="1:17" hidden="1">
      <c r="A4042" s="12">
        <v>46215</v>
      </c>
      <c r="B4042" s="10">
        <v>9</v>
      </c>
      <c r="Q4042" s="10" t="str">
        <f t="shared" si="63"/>
        <v>Incomplete</v>
      </c>
    </row>
    <row r="4043" spans="1:17" hidden="1">
      <c r="A4043" s="12">
        <v>46215</v>
      </c>
      <c r="B4043" s="10">
        <v>10</v>
      </c>
      <c r="Q4043" s="10" t="str">
        <f t="shared" si="63"/>
        <v>Incomplete</v>
      </c>
    </row>
    <row r="4044" spans="1:17" hidden="1">
      <c r="A4044" s="12">
        <v>46215</v>
      </c>
      <c r="B4044" s="10">
        <v>11</v>
      </c>
      <c r="Q4044" s="10" t="str">
        <f t="shared" si="63"/>
        <v>Incomplete</v>
      </c>
    </row>
    <row r="4045" spans="1:17" hidden="1">
      <c r="A4045" s="12">
        <v>46215</v>
      </c>
      <c r="B4045" s="10">
        <v>12</v>
      </c>
      <c r="Q4045" s="10" t="str">
        <f t="shared" si="63"/>
        <v>Incomplete</v>
      </c>
    </row>
    <row r="4046" spans="1:17" hidden="1">
      <c r="A4046" s="12">
        <v>46215</v>
      </c>
      <c r="B4046" s="10">
        <v>13</v>
      </c>
      <c r="Q4046" s="10" t="str">
        <f t="shared" si="63"/>
        <v>Incomplete</v>
      </c>
    </row>
    <row r="4047" spans="1:17" hidden="1">
      <c r="A4047" s="12">
        <v>46215</v>
      </c>
      <c r="B4047" s="10">
        <v>14</v>
      </c>
      <c r="Q4047" s="10" t="str">
        <f t="shared" si="63"/>
        <v>Incomplete</v>
      </c>
    </row>
    <row r="4048" spans="1:17" hidden="1">
      <c r="A4048" s="12">
        <v>46215</v>
      </c>
      <c r="B4048" s="10">
        <v>15</v>
      </c>
      <c r="Q4048" s="10" t="str">
        <f t="shared" si="63"/>
        <v>Incomplete</v>
      </c>
    </row>
    <row r="4049" spans="1:17" hidden="1">
      <c r="A4049" s="12">
        <v>46215</v>
      </c>
      <c r="B4049" s="10">
        <v>16</v>
      </c>
      <c r="Q4049" s="10" t="str">
        <f t="shared" si="63"/>
        <v>Incomplete</v>
      </c>
    </row>
    <row r="4050" spans="1:17" hidden="1">
      <c r="A4050" s="12">
        <v>46215</v>
      </c>
      <c r="B4050" s="10">
        <v>17</v>
      </c>
      <c r="Q4050" s="10" t="str">
        <f t="shared" si="63"/>
        <v>Incomplete</v>
      </c>
    </row>
    <row r="4051" spans="1:17" hidden="1">
      <c r="A4051" s="12">
        <v>46215</v>
      </c>
      <c r="B4051" s="10">
        <v>18</v>
      </c>
      <c r="Q4051" s="10" t="str">
        <f t="shared" si="63"/>
        <v>Incomplete</v>
      </c>
    </row>
    <row r="4052" spans="1:17" hidden="1">
      <c r="A4052" s="12">
        <v>46215</v>
      </c>
      <c r="B4052" s="10">
        <v>19</v>
      </c>
      <c r="Q4052" s="10" t="str">
        <f t="shared" si="63"/>
        <v>Incomplete</v>
      </c>
    </row>
    <row r="4053" spans="1:17" hidden="1">
      <c r="A4053" s="12">
        <v>46215</v>
      </c>
      <c r="B4053" s="10">
        <v>20</v>
      </c>
      <c r="Q4053" s="10" t="str">
        <f t="shared" si="63"/>
        <v>Incomplete</v>
      </c>
    </row>
    <row r="4054" spans="1:17" hidden="1">
      <c r="A4054" s="12">
        <v>46215</v>
      </c>
      <c r="B4054" s="10">
        <v>21</v>
      </c>
      <c r="Q4054" s="10" t="str">
        <f t="shared" si="63"/>
        <v>Incomplete</v>
      </c>
    </row>
    <row r="4055" spans="1:17" hidden="1">
      <c r="A4055" s="12">
        <v>46216</v>
      </c>
      <c r="B4055" s="10">
        <v>1</v>
      </c>
      <c r="Q4055" s="10" t="str">
        <f t="shared" si="63"/>
        <v>Incomplete</v>
      </c>
    </row>
    <row r="4056" spans="1:17" hidden="1">
      <c r="A4056" s="12">
        <v>46216</v>
      </c>
      <c r="B4056" s="10">
        <v>2</v>
      </c>
      <c r="Q4056" s="10" t="str">
        <f t="shared" si="63"/>
        <v>Incomplete</v>
      </c>
    </row>
    <row r="4057" spans="1:17" hidden="1">
      <c r="A4057" s="12">
        <v>46216</v>
      </c>
      <c r="B4057" s="10">
        <v>3</v>
      </c>
      <c r="Q4057" s="10" t="str">
        <f t="shared" si="63"/>
        <v>Incomplete</v>
      </c>
    </row>
    <row r="4058" spans="1:17" hidden="1">
      <c r="A4058" s="12">
        <v>46216</v>
      </c>
      <c r="B4058" s="10">
        <v>4</v>
      </c>
      <c r="Q4058" s="10" t="str">
        <f t="shared" si="63"/>
        <v>Incomplete</v>
      </c>
    </row>
    <row r="4059" spans="1:17" hidden="1">
      <c r="A4059" s="12">
        <v>46216</v>
      </c>
      <c r="B4059" s="10">
        <v>5</v>
      </c>
      <c r="Q4059" s="10" t="str">
        <f t="shared" si="63"/>
        <v>Incomplete</v>
      </c>
    </row>
    <row r="4060" spans="1:17" hidden="1">
      <c r="A4060" s="12">
        <v>46216</v>
      </c>
      <c r="B4060" s="10">
        <v>6</v>
      </c>
      <c r="Q4060" s="10" t="str">
        <f t="shared" si="63"/>
        <v>Incomplete</v>
      </c>
    </row>
    <row r="4061" spans="1:17" hidden="1">
      <c r="A4061" s="12">
        <v>46216</v>
      </c>
      <c r="B4061" s="10">
        <v>7</v>
      </c>
      <c r="Q4061" s="10" t="str">
        <f t="shared" si="63"/>
        <v>Incomplete</v>
      </c>
    </row>
    <row r="4062" spans="1:17" hidden="1">
      <c r="A4062" s="12">
        <v>46216</v>
      </c>
      <c r="B4062" s="10">
        <v>8</v>
      </c>
      <c r="Q4062" s="10" t="str">
        <f t="shared" si="63"/>
        <v>Incomplete</v>
      </c>
    </row>
    <row r="4063" spans="1:17" hidden="1">
      <c r="A4063" s="12">
        <v>46216</v>
      </c>
      <c r="B4063" s="10">
        <v>9</v>
      </c>
      <c r="Q4063" s="10" t="str">
        <f t="shared" si="63"/>
        <v>Incomplete</v>
      </c>
    </row>
    <row r="4064" spans="1:17" hidden="1">
      <c r="A4064" s="12">
        <v>46216</v>
      </c>
      <c r="B4064" s="10">
        <v>10</v>
      </c>
      <c r="Q4064" s="10" t="str">
        <f t="shared" si="63"/>
        <v>Incomplete</v>
      </c>
    </row>
    <row r="4065" spans="1:17" hidden="1">
      <c r="A4065" s="12">
        <v>46216</v>
      </c>
      <c r="B4065" s="10">
        <v>11</v>
      </c>
      <c r="Q4065" s="10" t="str">
        <f t="shared" si="63"/>
        <v>Incomplete</v>
      </c>
    </row>
    <row r="4066" spans="1:17" hidden="1">
      <c r="A4066" s="12">
        <v>46216</v>
      </c>
      <c r="B4066" s="10">
        <v>12</v>
      </c>
      <c r="Q4066" s="10" t="str">
        <f t="shared" si="63"/>
        <v>Incomplete</v>
      </c>
    </row>
    <row r="4067" spans="1:17" hidden="1">
      <c r="A4067" s="12">
        <v>46216</v>
      </c>
      <c r="B4067" s="10">
        <v>13</v>
      </c>
      <c r="Q4067" s="10" t="str">
        <f t="shared" si="63"/>
        <v>Incomplete</v>
      </c>
    </row>
    <row r="4068" spans="1:17" hidden="1">
      <c r="A4068" s="12">
        <v>46216</v>
      </c>
      <c r="B4068" s="10">
        <v>14</v>
      </c>
      <c r="Q4068" s="10" t="str">
        <f t="shared" si="63"/>
        <v>Incomplete</v>
      </c>
    </row>
    <row r="4069" spans="1:17" hidden="1">
      <c r="A4069" s="12">
        <v>46216</v>
      </c>
      <c r="B4069" s="10">
        <v>15</v>
      </c>
      <c r="Q4069" s="10" t="str">
        <f t="shared" si="63"/>
        <v>Incomplete</v>
      </c>
    </row>
    <row r="4070" spans="1:17" hidden="1">
      <c r="A4070" s="12">
        <v>46216</v>
      </c>
      <c r="B4070" s="10">
        <v>16</v>
      </c>
      <c r="Q4070" s="10" t="str">
        <f t="shared" si="63"/>
        <v>Incomplete</v>
      </c>
    </row>
    <row r="4071" spans="1:17" hidden="1">
      <c r="A4071" s="12">
        <v>46216</v>
      </c>
      <c r="B4071" s="10">
        <v>17</v>
      </c>
      <c r="Q4071" s="10" t="str">
        <f t="shared" si="63"/>
        <v>Incomplete</v>
      </c>
    </row>
    <row r="4072" spans="1:17" hidden="1">
      <c r="A4072" s="12">
        <v>46216</v>
      </c>
      <c r="B4072" s="10">
        <v>18</v>
      </c>
      <c r="Q4072" s="10" t="str">
        <f t="shared" si="63"/>
        <v>Incomplete</v>
      </c>
    </row>
    <row r="4073" spans="1:17" hidden="1">
      <c r="A4073" s="12">
        <v>46216</v>
      </c>
      <c r="B4073" s="10">
        <v>19</v>
      </c>
      <c r="Q4073" s="10" t="str">
        <f t="shared" si="63"/>
        <v>Incomplete</v>
      </c>
    </row>
    <row r="4074" spans="1:17" hidden="1">
      <c r="A4074" s="12">
        <v>46216</v>
      </c>
      <c r="B4074" s="10">
        <v>20</v>
      </c>
      <c r="Q4074" s="10" t="str">
        <f t="shared" si="63"/>
        <v>Incomplete</v>
      </c>
    </row>
    <row r="4075" spans="1:17" hidden="1">
      <c r="A4075" s="12">
        <v>46216</v>
      </c>
      <c r="B4075" s="10">
        <v>21</v>
      </c>
      <c r="Q4075" s="10" t="str">
        <f t="shared" si="63"/>
        <v>Incomplete</v>
      </c>
    </row>
    <row r="4076" spans="1:17" hidden="1">
      <c r="A4076" s="12">
        <v>46217</v>
      </c>
      <c r="B4076" s="10">
        <v>1</v>
      </c>
      <c r="Q4076" s="10" t="str">
        <f t="shared" si="63"/>
        <v>Incomplete</v>
      </c>
    </row>
    <row r="4077" spans="1:17" hidden="1">
      <c r="A4077" s="12">
        <v>46217</v>
      </c>
      <c r="B4077" s="10">
        <v>2</v>
      </c>
      <c r="Q4077" s="10" t="str">
        <f t="shared" si="63"/>
        <v>Incomplete</v>
      </c>
    </row>
    <row r="4078" spans="1:17" hidden="1">
      <c r="A4078" s="12">
        <v>46217</v>
      </c>
      <c r="B4078" s="10">
        <v>3</v>
      </c>
      <c r="Q4078" s="10" t="str">
        <f t="shared" si="63"/>
        <v>Incomplete</v>
      </c>
    </row>
    <row r="4079" spans="1:17" hidden="1">
      <c r="A4079" s="12">
        <v>46217</v>
      </c>
      <c r="B4079" s="10">
        <v>4</v>
      </c>
      <c r="Q4079" s="10" t="str">
        <f t="shared" si="63"/>
        <v>Incomplete</v>
      </c>
    </row>
    <row r="4080" spans="1:17" hidden="1">
      <c r="A4080" s="12">
        <v>46217</v>
      </c>
      <c r="B4080" s="10">
        <v>5</v>
      </c>
      <c r="Q4080" s="10" t="str">
        <f t="shared" si="63"/>
        <v>Incomplete</v>
      </c>
    </row>
    <row r="4081" spans="1:17" hidden="1">
      <c r="A4081" s="12">
        <v>46217</v>
      </c>
      <c r="B4081" s="10">
        <v>6</v>
      </c>
      <c r="Q4081" s="10" t="str">
        <f t="shared" si="63"/>
        <v>Incomplete</v>
      </c>
    </row>
    <row r="4082" spans="1:17" hidden="1">
      <c r="A4082" s="12">
        <v>46217</v>
      </c>
      <c r="B4082" s="10">
        <v>7</v>
      </c>
      <c r="Q4082" s="10" t="str">
        <f t="shared" si="63"/>
        <v>Incomplete</v>
      </c>
    </row>
    <row r="4083" spans="1:17" hidden="1">
      <c r="A4083" s="12">
        <v>46217</v>
      </c>
      <c r="B4083" s="10">
        <v>8</v>
      </c>
      <c r="Q4083" s="10" t="str">
        <f t="shared" si="63"/>
        <v>Incomplete</v>
      </c>
    </row>
    <row r="4084" spans="1:17" hidden="1">
      <c r="A4084" s="12">
        <v>46217</v>
      </c>
      <c r="B4084" s="10">
        <v>9</v>
      </c>
      <c r="Q4084" s="10" t="str">
        <f t="shared" si="63"/>
        <v>Incomplete</v>
      </c>
    </row>
    <row r="4085" spans="1:17" hidden="1">
      <c r="A4085" s="12">
        <v>46217</v>
      </c>
      <c r="B4085" s="10">
        <v>10</v>
      </c>
      <c r="Q4085" s="10" t="str">
        <f t="shared" si="63"/>
        <v>Incomplete</v>
      </c>
    </row>
    <row r="4086" spans="1:17" hidden="1">
      <c r="A4086" s="12">
        <v>46217</v>
      </c>
      <c r="B4086" s="10">
        <v>11</v>
      </c>
      <c r="Q4086" s="10" t="str">
        <f t="shared" si="63"/>
        <v>Incomplete</v>
      </c>
    </row>
    <row r="4087" spans="1:17" hidden="1">
      <c r="A4087" s="12">
        <v>46217</v>
      </c>
      <c r="B4087" s="10">
        <v>12</v>
      </c>
      <c r="Q4087" s="10" t="str">
        <f t="shared" si="63"/>
        <v>Incomplete</v>
      </c>
    </row>
    <row r="4088" spans="1:17" hidden="1">
      <c r="A4088" s="12">
        <v>46217</v>
      </c>
      <c r="B4088" s="10">
        <v>13</v>
      </c>
      <c r="Q4088" s="10" t="str">
        <f t="shared" si="63"/>
        <v>Incomplete</v>
      </c>
    </row>
    <row r="4089" spans="1:17" hidden="1">
      <c r="A4089" s="12">
        <v>46217</v>
      </c>
      <c r="B4089" s="10">
        <v>14</v>
      </c>
      <c r="Q4089" s="10" t="str">
        <f t="shared" si="63"/>
        <v>Incomplete</v>
      </c>
    </row>
    <row r="4090" spans="1:17" hidden="1">
      <c r="A4090" s="12">
        <v>46217</v>
      </c>
      <c r="B4090" s="10">
        <v>15</v>
      </c>
      <c r="Q4090" s="10" t="str">
        <f t="shared" si="63"/>
        <v>Incomplete</v>
      </c>
    </row>
    <row r="4091" spans="1:17" hidden="1">
      <c r="A4091" s="12">
        <v>46217</v>
      </c>
      <c r="B4091" s="10">
        <v>16</v>
      </c>
      <c r="Q4091" s="10" t="str">
        <f t="shared" si="63"/>
        <v>Incomplete</v>
      </c>
    </row>
    <row r="4092" spans="1:17" hidden="1">
      <c r="A4092" s="12">
        <v>46217</v>
      </c>
      <c r="B4092" s="10">
        <v>17</v>
      </c>
      <c r="Q4092" s="10" t="str">
        <f t="shared" si="63"/>
        <v>Incomplete</v>
      </c>
    </row>
    <row r="4093" spans="1:17" hidden="1">
      <c r="A4093" s="12">
        <v>46217</v>
      </c>
      <c r="B4093" s="10">
        <v>18</v>
      </c>
      <c r="Q4093" s="10" t="str">
        <f t="shared" si="63"/>
        <v>Incomplete</v>
      </c>
    </row>
    <row r="4094" spans="1:17" hidden="1">
      <c r="A4094" s="12">
        <v>46217</v>
      </c>
      <c r="B4094" s="10">
        <v>19</v>
      </c>
      <c r="Q4094" s="10" t="str">
        <f t="shared" si="63"/>
        <v>Incomplete</v>
      </c>
    </row>
    <row r="4095" spans="1:17" hidden="1">
      <c r="A4095" s="12">
        <v>46217</v>
      </c>
      <c r="B4095" s="10">
        <v>20</v>
      </c>
      <c r="Q4095" s="10" t="str">
        <f t="shared" si="63"/>
        <v>Incomplete</v>
      </c>
    </row>
    <row r="4096" spans="1:17" hidden="1">
      <c r="A4096" s="12">
        <v>46217</v>
      </c>
      <c r="B4096" s="10">
        <v>21</v>
      </c>
      <c r="Q4096" s="10" t="str">
        <f t="shared" si="63"/>
        <v>Incomplete</v>
      </c>
    </row>
    <row r="4097" spans="1:17" hidden="1">
      <c r="A4097" s="12">
        <v>46218</v>
      </c>
      <c r="B4097" s="10">
        <v>1</v>
      </c>
      <c r="Q4097" s="10" t="str">
        <f t="shared" si="63"/>
        <v>Incomplete</v>
      </c>
    </row>
    <row r="4098" spans="1:17" hidden="1">
      <c r="A4098" s="12">
        <v>46218</v>
      </c>
      <c r="B4098" s="10">
        <v>2</v>
      </c>
      <c r="Q4098" s="10" t="str">
        <f t="shared" ref="Q4098:Q4161" si="64">IF(AND(C4098&lt;&gt;"",J4098&lt;&gt;"",K4098&lt;&gt;"",L4098&lt;&gt;"",O4098="Yes"),"Complete","Incomplete")</f>
        <v>Incomplete</v>
      </c>
    </row>
    <row r="4099" spans="1:17" hidden="1">
      <c r="A4099" s="12">
        <v>46218</v>
      </c>
      <c r="B4099" s="10">
        <v>3</v>
      </c>
      <c r="Q4099" s="10" t="str">
        <f t="shared" si="64"/>
        <v>Incomplete</v>
      </c>
    </row>
    <row r="4100" spans="1:17" hidden="1">
      <c r="A4100" s="12">
        <v>46218</v>
      </c>
      <c r="B4100" s="10">
        <v>4</v>
      </c>
      <c r="Q4100" s="10" t="str">
        <f t="shared" si="64"/>
        <v>Incomplete</v>
      </c>
    </row>
    <row r="4101" spans="1:17" hidden="1">
      <c r="A4101" s="12">
        <v>46218</v>
      </c>
      <c r="B4101" s="10">
        <v>5</v>
      </c>
      <c r="Q4101" s="10" t="str">
        <f t="shared" si="64"/>
        <v>Incomplete</v>
      </c>
    </row>
    <row r="4102" spans="1:17" hidden="1">
      <c r="A4102" s="12">
        <v>46218</v>
      </c>
      <c r="B4102" s="10">
        <v>6</v>
      </c>
      <c r="Q4102" s="10" t="str">
        <f t="shared" si="64"/>
        <v>Incomplete</v>
      </c>
    </row>
    <row r="4103" spans="1:17" hidden="1">
      <c r="A4103" s="12">
        <v>46218</v>
      </c>
      <c r="B4103" s="10">
        <v>7</v>
      </c>
      <c r="Q4103" s="10" t="str">
        <f t="shared" si="64"/>
        <v>Incomplete</v>
      </c>
    </row>
    <row r="4104" spans="1:17" hidden="1">
      <c r="A4104" s="12">
        <v>46218</v>
      </c>
      <c r="B4104" s="10">
        <v>8</v>
      </c>
      <c r="Q4104" s="10" t="str">
        <f t="shared" si="64"/>
        <v>Incomplete</v>
      </c>
    </row>
    <row r="4105" spans="1:17" hidden="1">
      <c r="A4105" s="12">
        <v>46218</v>
      </c>
      <c r="B4105" s="10">
        <v>9</v>
      </c>
      <c r="Q4105" s="10" t="str">
        <f t="shared" si="64"/>
        <v>Incomplete</v>
      </c>
    </row>
    <row r="4106" spans="1:17" hidden="1">
      <c r="A4106" s="12">
        <v>46218</v>
      </c>
      <c r="B4106" s="10">
        <v>10</v>
      </c>
      <c r="Q4106" s="10" t="str">
        <f t="shared" si="64"/>
        <v>Incomplete</v>
      </c>
    </row>
    <row r="4107" spans="1:17" hidden="1">
      <c r="A4107" s="12">
        <v>46218</v>
      </c>
      <c r="B4107" s="10">
        <v>11</v>
      </c>
      <c r="Q4107" s="10" t="str">
        <f t="shared" si="64"/>
        <v>Incomplete</v>
      </c>
    </row>
    <row r="4108" spans="1:17" hidden="1">
      <c r="A4108" s="12">
        <v>46218</v>
      </c>
      <c r="B4108" s="10">
        <v>12</v>
      </c>
      <c r="Q4108" s="10" t="str">
        <f t="shared" si="64"/>
        <v>Incomplete</v>
      </c>
    </row>
    <row r="4109" spans="1:17" hidden="1">
      <c r="A4109" s="12">
        <v>46218</v>
      </c>
      <c r="B4109" s="10">
        <v>13</v>
      </c>
      <c r="Q4109" s="10" t="str">
        <f t="shared" si="64"/>
        <v>Incomplete</v>
      </c>
    </row>
    <row r="4110" spans="1:17" hidden="1">
      <c r="A4110" s="12">
        <v>46218</v>
      </c>
      <c r="B4110" s="10">
        <v>14</v>
      </c>
      <c r="Q4110" s="10" t="str">
        <f t="shared" si="64"/>
        <v>Incomplete</v>
      </c>
    </row>
    <row r="4111" spans="1:17" hidden="1">
      <c r="A4111" s="12">
        <v>46218</v>
      </c>
      <c r="B4111" s="10">
        <v>15</v>
      </c>
      <c r="Q4111" s="10" t="str">
        <f t="shared" si="64"/>
        <v>Incomplete</v>
      </c>
    </row>
    <row r="4112" spans="1:17" hidden="1">
      <c r="A4112" s="12">
        <v>46218</v>
      </c>
      <c r="B4112" s="10">
        <v>16</v>
      </c>
      <c r="Q4112" s="10" t="str">
        <f t="shared" si="64"/>
        <v>Incomplete</v>
      </c>
    </row>
    <row r="4113" spans="1:17" hidden="1">
      <c r="A4113" s="12">
        <v>46218</v>
      </c>
      <c r="B4113" s="10">
        <v>17</v>
      </c>
      <c r="Q4113" s="10" t="str">
        <f t="shared" si="64"/>
        <v>Incomplete</v>
      </c>
    </row>
    <row r="4114" spans="1:17" hidden="1">
      <c r="A4114" s="12">
        <v>46218</v>
      </c>
      <c r="B4114" s="10">
        <v>18</v>
      </c>
      <c r="Q4114" s="10" t="str">
        <f t="shared" si="64"/>
        <v>Incomplete</v>
      </c>
    </row>
    <row r="4115" spans="1:17" hidden="1">
      <c r="A4115" s="12">
        <v>46218</v>
      </c>
      <c r="B4115" s="10">
        <v>19</v>
      </c>
      <c r="Q4115" s="10" t="str">
        <f t="shared" si="64"/>
        <v>Incomplete</v>
      </c>
    </row>
    <row r="4116" spans="1:17" hidden="1">
      <c r="A4116" s="12">
        <v>46218</v>
      </c>
      <c r="B4116" s="10">
        <v>20</v>
      </c>
      <c r="Q4116" s="10" t="str">
        <f t="shared" si="64"/>
        <v>Incomplete</v>
      </c>
    </row>
    <row r="4117" spans="1:17" hidden="1">
      <c r="A4117" s="12">
        <v>46218</v>
      </c>
      <c r="B4117" s="10">
        <v>21</v>
      </c>
      <c r="Q4117" s="10" t="str">
        <f t="shared" si="64"/>
        <v>Incomplete</v>
      </c>
    </row>
    <row r="4118" spans="1:17" hidden="1">
      <c r="A4118" s="12">
        <v>46219</v>
      </c>
      <c r="B4118" s="10">
        <v>1</v>
      </c>
      <c r="Q4118" s="10" t="str">
        <f t="shared" si="64"/>
        <v>Incomplete</v>
      </c>
    </row>
    <row r="4119" spans="1:17" hidden="1">
      <c r="A4119" s="12">
        <v>46219</v>
      </c>
      <c r="B4119" s="10">
        <v>2</v>
      </c>
      <c r="Q4119" s="10" t="str">
        <f t="shared" si="64"/>
        <v>Incomplete</v>
      </c>
    </row>
    <row r="4120" spans="1:17" hidden="1">
      <c r="A4120" s="12">
        <v>46219</v>
      </c>
      <c r="B4120" s="10">
        <v>3</v>
      </c>
      <c r="Q4120" s="10" t="str">
        <f t="shared" si="64"/>
        <v>Incomplete</v>
      </c>
    </row>
    <row r="4121" spans="1:17" hidden="1">
      <c r="A4121" s="12">
        <v>46219</v>
      </c>
      <c r="B4121" s="10">
        <v>4</v>
      </c>
      <c r="Q4121" s="10" t="str">
        <f t="shared" si="64"/>
        <v>Incomplete</v>
      </c>
    </row>
    <row r="4122" spans="1:17" hidden="1">
      <c r="A4122" s="12">
        <v>46219</v>
      </c>
      <c r="B4122" s="10">
        <v>5</v>
      </c>
      <c r="Q4122" s="10" t="str">
        <f t="shared" si="64"/>
        <v>Incomplete</v>
      </c>
    </row>
    <row r="4123" spans="1:17" hidden="1">
      <c r="A4123" s="12">
        <v>46219</v>
      </c>
      <c r="B4123" s="10">
        <v>6</v>
      </c>
      <c r="Q4123" s="10" t="str">
        <f t="shared" si="64"/>
        <v>Incomplete</v>
      </c>
    </row>
    <row r="4124" spans="1:17" hidden="1">
      <c r="A4124" s="12">
        <v>46219</v>
      </c>
      <c r="B4124" s="10">
        <v>7</v>
      </c>
      <c r="Q4124" s="10" t="str">
        <f t="shared" si="64"/>
        <v>Incomplete</v>
      </c>
    </row>
    <row r="4125" spans="1:17" hidden="1">
      <c r="A4125" s="12">
        <v>46219</v>
      </c>
      <c r="B4125" s="10">
        <v>8</v>
      </c>
      <c r="Q4125" s="10" t="str">
        <f t="shared" si="64"/>
        <v>Incomplete</v>
      </c>
    </row>
    <row r="4126" spans="1:17" hidden="1">
      <c r="A4126" s="12">
        <v>46219</v>
      </c>
      <c r="B4126" s="10">
        <v>9</v>
      </c>
      <c r="Q4126" s="10" t="str">
        <f t="shared" si="64"/>
        <v>Incomplete</v>
      </c>
    </row>
    <row r="4127" spans="1:17" hidden="1">
      <c r="A4127" s="12">
        <v>46219</v>
      </c>
      <c r="B4127" s="10">
        <v>10</v>
      </c>
      <c r="Q4127" s="10" t="str">
        <f t="shared" si="64"/>
        <v>Incomplete</v>
      </c>
    </row>
    <row r="4128" spans="1:17" hidden="1">
      <c r="A4128" s="12">
        <v>46219</v>
      </c>
      <c r="B4128" s="10">
        <v>11</v>
      </c>
      <c r="Q4128" s="10" t="str">
        <f t="shared" si="64"/>
        <v>Incomplete</v>
      </c>
    </row>
    <row r="4129" spans="1:17" hidden="1">
      <c r="A4129" s="12">
        <v>46219</v>
      </c>
      <c r="B4129" s="10">
        <v>12</v>
      </c>
      <c r="Q4129" s="10" t="str">
        <f t="shared" si="64"/>
        <v>Incomplete</v>
      </c>
    </row>
    <row r="4130" spans="1:17" hidden="1">
      <c r="A4130" s="12">
        <v>46219</v>
      </c>
      <c r="B4130" s="10">
        <v>13</v>
      </c>
      <c r="Q4130" s="10" t="str">
        <f t="shared" si="64"/>
        <v>Incomplete</v>
      </c>
    </row>
    <row r="4131" spans="1:17" hidden="1">
      <c r="A4131" s="12">
        <v>46219</v>
      </c>
      <c r="B4131" s="10">
        <v>14</v>
      </c>
      <c r="Q4131" s="10" t="str">
        <f t="shared" si="64"/>
        <v>Incomplete</v>
      </c>
    </row>
    <row r="4132" spans="1:17" hidden="1">
      <c r="A4132" s="12">
        <v>46219</v>
      </c>
      <c r="B4132" s="10">
        <v>15</v>
      </c>
      <c r="Q4132" s="10" t="str">
        <f t="shared" si="64"/>
        <v>Incomplete</v>
      </c>
    </row>
    <row r="4133" spans="1:17" hidden="1">
      <c r="A4133" s="12">
        <v>46219</v>
      </c>
      <c r="B4133" s="10">
        <v>16</v>
      </c>
      <c r="Q4133" s="10" t="str">
        <f t="shared" si="64"/>
        <v>Incomplete</v>
      </c>
    </row>
    <row r="4134" spans="1:17" hidden="1">
      <c r="A4134" s="12">
        <v>46219</v>
      </c>
      <c r="B4134" s="10">
        <v>17</v>
      </c>
      <c r="Q4134" s="10" t="str">
        <f t="shared" si="64"/>
        <v>Incomplete</v>
      </c>
    </row>
    <row r="4135" spans="1:17" hidden="1">
      <c r="A4135" s="12">
        <v>46219</v>
      </c>
      <c r="B4135" s="10">
        <v>18</v>
      </c>
      <c r="Q4135" s="10" t="str">
        <f t="shared" si="64"/>
        <v>Incomplete</v>
      </c>
    </row>
    <row r="4136" spans="1:17" hidden="1">
      <c r="A4136" s="12">
        <v>46219</v>
      </c>
      <c r="B4136" s="10">
        <v>19</v>
      </c>
      <c r="Q4136" s="10" t="str">
        <f t="shared" si="64"/>
        <v>Incomplete</v>
      </c>
    </row>
    <row r="4137" spans="1:17" hidden="1">
      <c r="A4137" s="12">
        <v>46219</v>
      </c>
      <c r="B4137" s="10">
        <v>20</v>
      </c>
      <c r="Q4137" s="10" t="str">
        <f t="shared" si="64"/>
        <v>Incomplete</v>
      </c>
    </row>
    <row r="4138" spans="1:17" hidden="1">
      <c r="A4138" s="12">
        <v>46219</v>
      </c>
      <c r="B4138" s="10">
        <v>21</v>
      </c>
      <c r="Q4138" s="10" t="str">
        <f t="shared" si="64"/>
        <v>Incomplete</v>
      </c>
    </row>
    <row r="4139" spans="1:17" hidden="1">
      <c r="A4139" s="12">
        <v>46220</v>
      </c>
      <c r="B4139" s="10">
        <v>1</v>
      </c>
      <c r="Q4139" s="10" t="str">
        <f t="shared" si="64"/>
        <v>Incomplete</v>
      </c>
    </row>
    <row r="4140" spans="1:17" hidden="1">
      <c r="A4140" s="12">
        <v>46220</v>
      </c>
      <c r="B4140" s="10">
        <v>2</v>
      </c>
      <c r="Q4140" s="10" t="str">
        <f t="shared" si="64"/>
        <v>Incomplete</v>
      </c>
    </row>
    <row r="4141" spans="1:17" hidden="1">
      <c r="A4141" s="12">
        <v>46220</v>
      </c>
      <c r="B4141" s="10">
        <v>3</v>
      </c>
      <c r="Q4141" s="10" t="str">
        <f t="shared" si="64"/>
        <v>Incomplete</v>
      </c>
    </row>
    <row r="4142" spans="1:17" hidden="1">
      <c r="A4142" s="12">
        <v>46220</v>
      </c>
      <c r="B4142" s="10">
        <v>4</v>
      </c>
      <c r="Q4142" s="10" t="str">
        <f t="shared" si="64"/>
        <v>Incomplete</v>
      </c>
    </row>
    <row r="4143" spans="1:17" hidden="1">
      <c r="A4143" s="12">
        <v>46220</v>
      </c>
      <c r="B4143" s="10">
        <v>5</v>
      </c>
      <c r="Q4143" s="10" t="str">
        <f t="shared" si="64"/>
        <v>Incomplete</v>
      </c>
    </row>
    <row r="4144" spans="1:17" hidden="1">
      <c r="A4144" s="12">
        <v>46220</v>
      </c>
      <c r="B4144" s="10">
        <v>6</v>
      </c>
      <c r="Q4144" s="10" t="str">
        <f t="shared" si="64"/>
        <v>Incomplete</v>
      </c>
    </row>
    <row r="4145" spans="1:17" hidden="1">
      <c r="A4145" s="12">
        <v>46220</v>
      </c>
      <c r="B4145" s="10">
        <v>7</v>
      </c>
      <c r="Q4145" s="10" t="str">
        <f t="shared" si="64"/>
        <v>Incomplete</v>
      </c>
    </row>
    <row r="4146" spans="1:17" hidden="1">
      <c r="A4146" s="12">
        <v>46220</v>
      </c>
      <c r="B4146" s="10">
        <v>8</v>
      </c>
      <c r="Q4146" s="10" t="str">
        <f t="shared" si="64"/>
        <v>Incomplete</v>
      </c>
    </row>
    <row r="4147" spans="1:17" hidden="1">
      <c r="A4147" s="12">
        <v>46220</v>
      </c>
      <c r="B4147" s="10">
        <v>9</v>
      </c>
      <c r="Q4147" s="10" t="str">
        <f t="shared" si="64"/>
        <v>Incomplete</v>
      </c>
    </row>
    <row r="4148" spans="1:17" hidden="1">
      <c r="A4148" s="12">
        <v>46220</v>
      </c>
      <c r="B4148" s="10">
        <v>10</v>
      </c>
      <c r="Q4148" s="10" t="str">
        <f t="shared" si="64"/>
        <v>Incomplete</v>
      </c>
    </row>
    <row r="4149" spans="1:17" hidden="1">
      <c r="A4149" s="12">
        <v>46220</v>
      </c>
      <c r="B4149" s="10">
        <v>11</v>
      </c>
      <c r="Q4149" s="10" t="str">
        <f t="shared" si="64"/>
        <v>Incomplete</v>
      </c>
    </row>
    <row r="4150" spans="1:17" hidden="1">
      <c r="A4150" s="12">
        <v>46220</v>
      </c>
      <c r="B4150" s="10">
        <v>12</v>
      </c>
      <c r="Q4150" s="10" t="str">
        <f t="shared" si="64"/>
        <v>Incomplete</v>
      </c>
    </row>
    <row r="4151" spans="1:17" hidden="1">
      <c r="A4151" s="12">
        <v>46220</v>
      </c>
      <c r="B4151" s="10">
        <v>13</v>
      </c>
      <c r="Q4151" s="10" t="str">
        <f t="shared" si="64"/>
        <v>Incomplete</v>
      </c>
    </row>
    <row r="4152" spans="1:17" hidden="1">
      <c r="A4152" s="12">
        <v>46220</v>
      </c>
      <c r="B4152" s="10">
        <v>14</v>
      </c>
      <c r="Q4152" s="10" t="str">
        <f t="shared" si="64"/>
        <v>Incomplete</v>
      </c>
    </row>
    <row r="4153" spans="1:17" hidden="1">
      <c r="A4153" s="12">
        <v>46220</v>
      </c>
      <c r="B4153" s="10">
        <v>15</v>
      </c>
      <c r="Q4153" s="10" t="str">
        <f t="shared" si="64"/>
        <v>Incomplete</v>
      </c>
    </row>
    <row r="4154" spans="1:17" hidden="1">
      <c r="A4154" s="12">
        <v>46220</v>
      </c>
      <c r="B4154" s="10">
        <v>16</v>
      </c>
      <c r="Q4154" s="10" t="str">
        <f t="shared" si="64"/>
        <v>Incomplete</v>
      </c>
    </row>
    <row r="4155" spans="1:17" hidden="1">
      <c r="A4155" s="12">
        <v>46220</v>
      </c>
      <c r="B4155" s="10">
        <v>17</v>
      </c>
      <c r="Q4155" s="10" t="str">
        <f t="shared" si="64"/>
        <v>Incomplete</v>
      </c>
    </row>
    <row r="4156" spans="1:17" hidden="1">
      <c r="A4156" s="12">
        <v>46220</v>
      </c>
      <c r="B4156" s="10">
        <v>18</v>
      </c>
      <c r="Q4156" s="10" t="str">
        <f t="shared" si="64"/>
        <v>Incomplete</v>
      </c>
    </row>
    <row r="4157" spans="1:17" hidden="1">
      <c r="A4157" s="12">
        <v>46220</v>
      </c>
      <c r="B4157" s="10">
        <v>19</v>
      </c>
      <c r="Q4157" s="10" t="str">
        <f t="shared" si="64"/>
        <v>Incomplete</v>
      </c>
    </row>
    <row r="4158" spans="1:17" hidden="1">
      <c r="A4158" s="12">
        <v>46220</v>
      </c>
      <c r="B4158" s="10">
        <v>20</v>
      </c>
      <c r="Q4158" s="10" t="str">
        <f t="shared" si="64"/>
        <v>Incomplete</v>
      </c>
    </row>
    <row r="4159" spans="1:17" hidden="1">
      <c r="A4159" s="12">
        <v>46220</v>
      </c>
      <c r="B4159" s="10">
        <v>21</v>
      </c>
      <c r="Q4159" s="10" t="str">
        <f t="shared" si="64"/>
        <v>Incomplete</v>
      </c>
    </row>
    <row r="4160" spans="1:17" hidden="1">
      <c r="A4160" s="12">
        <v>46221</v>
      </c>
      <c r="B4160" s="10">
        <v>1</v>
      </c>
      <c r="Q4160" s="10" t="str">
        <f t="shared" si="64"/>
        <v>Incomplete</v>
      </c>
    </row>
    <row r="4161" spans="1:17" hidden="1">
      <c r="A4161" s="12">
        <v>46221</v>
      </c>
      <c r="B4161" s="10">
        <v>2</v>
      </c>
      <c r="Q4161" s="10" t="str">
        <f t="shared" si="64"/>
        <v>Incomplete</v>
      </c>
    </row>
    <row r="4162" spans="1:17" hidden="1">
      <c r="A4162" s="12">
        <v>46221</v>
      </c>
      <c r="B4162" s="10">
        <v>3</v>
      </c>
      <c r="Q4162" s="10" t="str">
        <f t="shared" ref="Q4162:Q4225" si="65">IF(AND(C4162&lt;&gt;"",J4162&lt;&gt;"",K4162&lt;&gt;"",L4162&lt;&gt;"",O4162="Yes"),"Complete","Incomplete")</f>
        <v>Incomplete</v>
      </c>
    </row>
    <row r="4163" spans="1:17" hidden="1">
      <c r="A4163" s="12">
        <v>46221</v>
      </c>
      <c r="B4163" s="10">
        <v>4</v>
      </c>
      <c r="Q4163" s="10" t="str">
        <f t="shared" si="65"/>
        <v>Incomplete</v>
      </c>
    </row>
    <row r="4164" spans="1:17" hidden="1">
      <c r="A4164" s="12">
        <v>46221</v>
      </c>
      <c r="B4164" s="10">
        <v>5</v>
      </c>
      <c r="Q4164" s="10" t="str">
        <f t="shared" si="65"/>
        <v>Incomplete</v>
      </c>
    </row>
    <row r="4165" spans="1:17" hidden="1">
      <c r="A4165" s="12">
        <v>46221</v>
      </c>
      <c r="B4165" s="10">
        <v>6</v>
      </c>
      <c r="Q4165" s="10" t="str">
        <f t="shared" si="65"/>
        <v>Incomplete</v>
      </c>
    </row>
    <row r="4166" spans="1:17" hidden="1">
      <c r="A4166" s="12">
        <v>46221</v>
      </c>
      <c r="B4166" s="10">
        <v>7</v>
      </c>
      <c r="Q4166" s="10" t="str">
        <f t="shared" si="65"/>
        <v>Incomplete</v>
      </c>
    </row>
    <row r="4167" spans="1:17" hidden="1">
      <c r="A4167" s="12">
        <v>46221</v>
      </c>
      <c r="B4167" s="10">
        <v>8</v>
      </c>
      <c r="Q4167" s="10" t="str">
        <f t="shared" si="65"/>
        <v>Incomplete</v>
      </c>
    </row>
    <row r="4168" spans="1:17" hidden="1">
      <c r="A4168" s="12">
        <v>46221</v>
      </c>
      <c r="B4168" s="10">
        <v>9</v>
      </c>
      <c r="Q4168" s="10" t="str">
        <f t="shared" si="65"/>
        <v>Incomplete</v>
      </c>
    </row>
    <row r="4169" spans="1:17" hidden="1">
      <c r="A4169" s="12">
        <v>46221</v>
      </c>
      <c r="B4169" s="10">
        <v>10</v>
      </c>
      <c r="Q4169" s="10" t="str">
        <f t="shared" si="65"/>
        <v>Incomplete</v>
      </c>
    </row>
    <row r="4170" spans="1:17" hidden="1">
      <c r="A4170" s="12">
        <v>46221</v>
      </c>
      <c r="B4170" s="10">
        <v>11</v>
      </c>
      <c r="Q4170" s="10" t="str">
        <f t="shared" si="65"/>
        <v>Incomplete</v>
      </c>
    </row>
    <row r="4171" spans="1:17" hidden="1">
      <c r="A4171" s="12">
        <v>46221</v>
      </c>
      <c r="B4171" s="10">
        <v>12</v>
      </c>
      <c r="Q4171" s="10" t="str">
        <f t="shared" si="65"/>
        <v>Incomplete</v>
      </c>
    </row>
    <row r="4172" spans="1:17" hidden="1">
      <c r="A4172" s="12">
        <v>46221</v>
      </c>
      <c r="B4172" s="10">
        <v>13</v>
      </c>
      <c r="Q4172" s="10" t="str">
        <f t="shared" si="65"/>
        <v>Incomplete</v>
      </c>
    </row>
    <row r="4173" spans="1:17" hidden="1">
      <c r="A4173" s="12">
        <v>46221</v>
      </c>
      <c r="B4173" s="10">
        <v>14</v>
      </c>
      <c r="Q4173" s="10" t="str">
        <f t="shared" si="65"/>
        <v>Incomplete</v>
      </c>
    </row>
    <row r="4174" spans="1:17" hidden="1">
      <c r="A4174" s="12">
        <v>46221</v>
      </c>
      <c r="B4174" s="10">
        <v>15</v>
      </c>
      <c r="Q4174" s="10" t="str">
        <f t="shared" si="65"/>
        <v>Incomplete</v>
      </c>
    </row>
    <row r="4175" spans="1:17" hidden="1">
      <c r="A4175" s="12">
        <v>46221</v>
      </c>
      <c r="B4175" s="10">
        <v>16</v>
      </c>
      <c r="Q4175" s="10" t="str">
        <f t="shared" si="65"/>
        <v>Incomplete</v>
      </c>
    </row>
    <row r="4176" spans="1:17" hidden="1">
      <c r="A4176" s="12">
        <v>46221</v>
      </c>
      <c r="B4176" s="10">
        <v>17</v>
      </c>
      <c r="Q4176" s="10" t="str">
        <f t="shared" si="65"/>
        <v>Incomplete</v>
      </c>
    </row>
    <row r="4177" spans="1:17" hidden="1">
      <c r="A4177" s="12">
        <v>46221</v>
      </c>
      <c r="B4177" s="10">
        <v>18</v>
      </c>
      <c r="Q4177" s="10" t="str">
        <f t="shared" si="65"/>
        <v>Incomplete</v>
      </c>
    </row>
    <row r="4178" spans="1:17" hidden="1">
      <c r="A4178" s="12">
        <v>46221</v>
      </c>
      <c r="B4178" s="10">
        <v>19</v>
      </c>
      <c r="Q4178" s="10" t="str">
        <f t="shared" si="65"/>
        <v>Incomplete</v>
      </c>
    </row>
    <row r="4179" spans="1:17" hidden="1">
      <c r="A4179" s="12">
        <v>46221</v>
      </c>
      <c r="B4179" s="10">
        <v>20</v>
      </c>
      <c r="Q4179" s="10" t="str">
        <f t="shared" si="65"/>
        <v>Incomplete</v>
      </c>
    </row>
    <row r="4180" spans="1:17" hidden="1">
      <c r="A4180" s="12">
        <v>46221</v>
      </c>
      <c r="B4180" s="10">
        <v>21</v>
      </c>
      <c r="Q4180" s="10" t="str">
        <f t="shared" si="65"/>
        <v>Incomplete</v>
      </c>
    </row>
    <row r="4181" spans="1:17" hidden="1">
      <c r="A4181" s="12">
        <v>46222</v>
      </c>
      <c r="B4181" s="10">
        <v>1</v>
      </c>
      <c r="Q4181" s="10" t="str">
        <f t="shared" si="65"/>
        <v>Incomplete</v>
      </c>
    </row>
    <row r="4182" spans="1:17" hidden="1">
      <c r="A4182" s="12">
        <v>46222</v>
      </c>
      <c r="B4182" s="10">
        <v>2</v>
      </c>
      <c r="Q4182" s="10" t="str">
        <f t="shared" si="65"/>
        <v>Incomplete</v>
      </c>
    </row>
    <row r="4183" spans="1:17" hidden="1">
      <c r="A4183" s="12">
        <v>46222</v>
      </c>
      <c r="B4183" s="10">
        <v>3</v>
      </c>
      <c r="Q4183" s="10" t="str">
        <f t="shared" si="65"/>
        <v>Incomplete</v>
      </c>
    </row>
    <row r="4184" spans="1:17" hidden="1">
      <c r="A4184" s="12">
        <v>46222</v>
      </c>
      <c r="B4184" s="10">
        <v>4</v>
      </c>
      <c r="Q4184" s="10" t="str">
        <f t="shared" si="65"/>
        <v>Incomplete</v>
      </c>
    </row>
    <row r="4185" spans="1:17" hidden="1">
      <c r="A4185" s="12">
        <v>46222</v>
      </c>
      <c r="B4185" s="10">
        <v>5</v>
      </c>
      <c r="Q4185" s="10" t="str">
        <f t="shared" si="65"/>
        <v>Incomplete</v>
      </c>
    </row>
    <row r="4186" spans="1:17" hidden="1">
      <c r="A4186" s="12">
        <v>46222</v>
      </c>
      <c r="B4186" s="10">
        <v>6</v>
      </c>
      <c r="Q4186" s="10" t="str">
        <f t="shared" si="65"/>
        <v>Incomplete</v>
      </c>
    </row>
    <row r="4187" spans="1:17" hidden="1">
      <c r="A4187" s="12">
        <v>46222</v>
      </c>
      <c r="B4187" s="10">
        <v>7</v>
      </c>
      <c r="Q4187" s="10" t="str">
        <f t="shared" si="65"/>
        <v>Incomplete</v>
      </c>
    </row>
    <row r="4188" spans="1:17" hidden="1">
      <c r="A4188" s="12">
        <v>46222</v>
      </c>
      <c r="B4188" s="10">
        <v>8</v>
      </c>
      <c r="Q4188" s="10" t="str">
        <f t="shared" si="65"/>
        <v>Incomplete</v>
      </c>
    </row>
    <row r="4189" spans="1:17" hidden="1">
      <c r="A4189" s="12">
        <v>46222</v>
      </c>
      <c r="B4189" s="10">
        <v>9</v>
      </c>
      <c r="Q4189" s="10" t="str">
        <f t="shared" si="65"/>
        <v>Incomplete</v>
      </c>
    </row>
    <row r="4190" spans="1:17" hidden="1">
      <c r="A4190" s="12">
        <v>46222</v>
      </c>
      <c r="B4190" s="10">
        <v>10</v>
      </c>
      <c r="Q4190" s="10" t="str">
        <f t="shared" si="65"/>
        <v>Incomplete</v>
      </c>
    </row>
    <row r="4191" spans="1:17" hidden="1">
      <c r="A4191" s="12">
        <v>46222</v>
      </c>
      <c r="B4191" s="10">
        <v>11</v>
      </c>
      <c r="Q4191" s="10" t="str">
        <f t="shared" si="65"/>
        <v>Incomplete</v>
      </c>
    </row>
    <row r="4192" spans="1:17" hidden="1">
      <c r="A4192" s="12">
        <v>46222</v>
      </c>
      <c r="B4192" s="10">
        <v>12</v>
      </c>
      <c r="Q4192" s="10" t="str">
        <f t="shared" si="65"/>
        <v>Incomplete</v>
      </c>
    </row>
    <row r="4193" spans="1:17" hidden="1">
      <c r="A4193" s="12">
        <v>46222</v>
      </c>
      <c r="B4193" s="10">
        <v>13</v>
      </c>
      <c r="Q4193" s="10" t="str">
        <f t="shared" si="65"/>
        <v>Incomplete</v>
      </c>
    </row>
    <row r="4194" spans="1:17" hidden="1">
      <c r="A4194" s="12">
        <v>46222</v>
      </c>
      <c r="B4194" s="10">
        <v>14</v>
      </c>
      <c r="Q4194" s="10" t="str">
        <f t="shared" si="65"/>
        <v>Incomplete</v>
      </c>
    </row>
    <row r="4195" spans="1:17" hidden="1">
      <c r="A4195" s="12">
        <v>46222</v>
      </c>
      <c r="B4195" s="10">
        <v>15</v>
      </c>
      <c r="Q4195" s="10" t="str">
        <f t="shared" si="65"/>
        <v>Incomplete</v>
      </c>
    </row>
    <row r="4196" spans="1:17" hidden="1">
      <c r="A4196" s="12">
        <v>46222</v>
      </c>
      <c r="B4196" s="10">
        <v>16</v>
      </c>
      <c r="Q4196" s="10" t="str">
        <f t="shared" si="65"/>
        <v>Incomplete</v>
      </c>
    </row>
    <row r="4197" spans="1:17" hidden="1">
      <c r="A4197" s="12">
        <v>46222</v>
      </c>
      <c r="B4197" s="10">
        <v>17</v>
      </c>
      <c r="Q4197" s="10" t="str">
        <f t="shared" si="65"/>
        <v>Incomplete</v>
      </c>
    </row>
    <row r="4198" spans="1:17" hidden="1">
      <c r="A4198" s="12">
        <v>46222</v>
      </c>
      <c r="B4198" s="10">
        <v>18</v>
      </c>
      <c r="Q4198" s="10" t="str">
        <f t="shared" si="65"/>
        <v>Incomplete</v>
      </c>
    </row>
    <row r="4199" spans="1:17" hidden="1">
      <c r="A4199" s="12">
        <v>46222</v>
      </c>
      <c r="B4199" s="10">
        <v>19</v>
      </c>
      <c r="Q4199" s="10" t="str">
        <f t="shared" si="65"/>
        <v>Incomplete</v>
      </c>
    </row>
    <row r="4200" spans="1:17" hidden="1">
      <c r="A4200" s="12">
        <v>46222</v>
      </c>
      <c r="B4200" s="10">
        <v>20</v>
      </c>
      <c r="Q4200" s="10" t="str">
        <f t="shared" si="65"/>
        <v>Incomplete</v>
      </c>
    </row>
    <row r="4201" spans="1:17" hidden="1">
      <c r="A4201" s="12">
        <v>46222</v>
      </c>
      <c r="B4201" s="10">
        <v>21</v>
      </c>
      <c r="Q4201" s="10" t="str">
        <f t="shared" si="65"/>
        <v>Incomplete</v>
      </c>
    </row>
    <row r="4202" spans="1:17" hidden="1">
      <c r="A4202" s="12">
        <v>46223</v>
      </c>
      <c r="B4202" s="10">
        <v>1</v>
      </c>
      <c r="Q4202" s="10" t="str">
        <f t="shared" si="65"/>
        <v>Incomplete</v>
      </c>
    </row>
    <row r="4203" spans="1:17" hidden="1">
      <c r="A4203" s="12">
        <v>46223</v>
      </c>
      <c r="B4203" s="10">
        <v>2</v>
      </c>
      <c r="Q4203" s="10" t="str">
        <f t="shared" si="65"/>
        <v>Incomplete</v>
      </c>
    </row>
    <row r="4204" spans="1:17" hidden="1">
      <c r="A4204" s="12">
        <v>46223</v>
      </c>
      <c r="B4204" s="10">
        <v>3</v>
      </c>
      <c r="Q4204" s="10" t="str">
        <f t="shared" si="65"/>
        <v>Incomplete</v>
      </c>
    </row>
    <row r="4205" spans="1:17" hidden="1">
      <c r="A4205" s="12">
        <v>46223</v>
      </c>
      <c r="B4205" s="10">
        <v>4</v>
      </c>
      <c r="Q4205" s="10" t="str">
        <f t="shared" si="65"/>
        <v>Incomplete</v>
      </c>
    </row>
    <row r="4206" spans="1:17" hidden="1">
      <c r="A4206" s="12">
        <v>46223</v>
      </c>
      <c r="B4206" s="10">
        <v>5</v>
      </c>
      <c r="Q4206" s="10" t="str">
        <f t="shared" si="65"/>
        <v>Incomplete</v>
      </c>
    </row>
    <row r="4207" spans="1:17" hidden="1">
      <c r="A4207" s="12">
        <v>46223</v>
      </c>
      <c r="B4207" s="10">
        <v>6</v>
      </c>
      <c r="Q4207" s="10" t="str">
        <f t="shared" si="65"/>
        <v>Incomplete</v>
      </c>
    </row>
    <row r="4208" spans="1:17" hidden="1">
      <c r="A4208" s="12">
        <v>46223</v>
      </c>
      <c r="B4208" s="10">
        <v>7</v>
      </c>
      <c r="Q4208" s="10" t="str">
        <f t="shared" si="65"/>
        <v>Incomplete</v>
      </c>
    </row>
    <row r="4209" spans="1:17" hidden="1">
      <c r="A4209" s="12">
        <v>46223</v>
      </c>
      <c r="B4209" s="10">
        <v>8</v>
      </c>
      <c r="Q4209" s="10" t="str">
        <f t="shared" si="65"/>
        <v>Incomplete</v>
      </c>
    </row>
    <row r="4210" spans="1:17" hidden="1">
      <c r="A4210" s="12">
        <v>46223</v>
      </c>
      <c r="B4210" s="10">
        <v>9</v>
      </c>
      <c r="Q4210" s="10" t="str">
        <f t="shared" si="65"/>
        <v>Incomplete</v>
      </c>
    </row>
    <row r="4211" spans="1:17" hidden="1">
      <c r="A4211" s="12">
        <v>46223</v>
      </c>
      <c r="B4211" s="10">
        <v>10</v>
      </c>
      <c r="Q4211" s="10" t="str">
        <f t="shared" si="65"/>
        <v>Incomplete</v>
      </c>
    </row>
    <row r="4212" spans="1:17" hidden="1">
      <c r="A4212" s="12">
        <v>46223</v>
      </c>
      <c r="B4212" s="10">
        <v>11</v>
      </c>
      <c r="Q4212" s="10" t="str">
        <f t="shared" si="65"/>
        <v>Incomplete</v>
      </c>
    </row>
    <row r="4213" spans="1:17" hidden="1">
      <c r="A4213" s="12">
        <v>46223</v>
      </c>
      <c r="B4213" s="10">
        <v>12</v>
      </c>
      <c r="Q4213" s="10" t="str">
        <f t="shared" si="65"/>
        <v>Incomplete</v>
      </c>
    </row>
    <row r="4214" spans="1:17" hidden="1">
      <c r="A4214" s="12">
        <v>46223</v>
      </c>
      <c r="B4214" s="10">
        <v>13</v>
      </c>
      <c r="Q4214" s="10" t="str">
        <f t="shared" si="65"/>
        <v>Incomplete</v>
      </c>
    </row>
    <row r="4215" spans="1:17" hidden="1">
      <c r="A4215" s="12">
        <v>46223</v>
      </c>
      <c r="B4215" s="10">
        <v>14</v>
      </c>
      <c r="Q4215" s="10" t="str">
        <f t="shared" si="65"/>
        <v>Incomplete</v>
      </c>
    </row>
    <row r="4216" spans="1:17" hidden="1">
      <c r="A4216" s="12">
        <v>46223</v>
      </c>
      <c r="B4216" s="10">
        <v>15</v>
      </c>
      <c r="Q4216" s="10" t="str">
        <f t="shared" si="65"/>
        <v>Incomplete</v>
      </c>
    </row>
    <row r="4217" spans="1:17" hidden="1">
      <c r="A4217" s="12">
        <v>46223</v>
      </c>
      <c r="B4217" s="10">
        <v>16</v>
      </c>
      <c r="Q4217" s="10" t="str">
        <f t="shared" si="65"/>
        <v>Incomplete</v>
      </c>
    </row>
    <row r="4218" spans="1:17" hidden="1">
      <c r="A4218" s="12">
        <v>46223</v>
      </c>
      <c r="B4218" s="10">
        <v>17</v>
      </c>
      <c r="Q4218" s="10" t="str">
        <f t="shared" si="65"/>
        <v>Incomplete</v>
      </c>
    </row>
    <row r="4219" spans="1:17" hidden="1">
      <c r="A4219" s="12">
        <v>46223</v>
      </c>
      <c r="B4219" s="10">
        <v>18</v>
      </c>
      <c r="Q4219" s="10" t="str">
        <f t="shared" si="65"/>
        <v>Incomplete</v>
      </c>
    </row>
    <row r="4220" spans="1:17" hidden="1">
      <c r="A4220" s="12">
        <v>46223</v>
      </c>
      <c r="B4220" s="10">
        <v>19</v>
      </c>
      <c r="Q4220" s="10" t="str">
        <f t="shared" si="65"/>
        <v>Incomplete</v>
      </c>
    </row>
    <row r="4221" spans="1:17" hidden="1">
      <c r="A4221" s="12">
        <v>46223</v>
      </c>
      <c r="B4221" s="10">
        <v>20</v>
      </c>
      <c r="Q4221" s="10" t="str">
        <f t="shared" si="65"/>
        <v>Incomplete</v>
      </c>
    </row>
    <row r="4222" spans="1:17" hidden="1">
      <c r="A4222" s="12">
        <v>46223</v>
      </c>
      <c r="B4222" s="10">
        <v>21</v>
      </c>
      <c r="Q4222" s="10" t="str">
        <f t="shared" si="65"/>
        <v>Incomplete</v>
      </c>
    </row>
    <row r="4223" spans="1:17" hidden="1">
      <c r="A4223" s="12">
        <v>46224</v>
      </c>
      <c r="B4223" s="10">
        <v>1</v>
      </c>
      <c r="Q4223" s="10" t="str">
        <f t="shared" si="65"/>
        <v>Incomplete</v>
      </c>
    </row>
    <row r="4224" spans="1:17" hidden="1">
      <c r="A4224" s="12">
        <v>46224</v>
      </c>
      <c r="B4224" s="10">
        <v>2</v>
      </c>
      <c r="Q4224" s="10" t="str">
        <f t="shared" si="65"/>
        <v>Incomplete</v>
      </c>
    </row>
    <row r="4225" spans="1:17" hidden="1">
      <c r="A4225" s="12">
        <v>46224</v>
      </c>
      <c r="B4225" s="10">
        <v>3</v>
      </c>
      <c r="Q4225" s="10" t="str">
        <f t="shared" si="65"/>
        <v>Incomplete</v>
      </c>
    </row>
    <row r="4226" spans="1:17" hidden="1">
      <c r="A4226" s="12">
        <v>46224</v>
      </c>
      <c r="B4226" s="10">
        <v>4</v>
      </c>
      <c r="Q4226" s="10" t="str">
        <f t="shared" ref="Q4226:Q4289" si="66">IF(AND(C4226&lt;&gt;"",J4226&lt;&gt;"",K4226&lt;&gt;"",L4226&lt;&gt;"",O4226="Yes"),"Complete","Incomplete")</f>
        <v>Incomplete</v>
      </c>
    </row>
    <row r="4227" spans="1:17" hidden="1">
      <c r="A4227" s="12">
        <v>46224</v>
      </c>
      <c r="B4227" s="10">
        <v>5</v>
      </c>
      <c r="Q4227" s="10" t="str">
        <f t="shared" si="66"/>
        <v>Incomplete</v>
      </c>
    </row>
    <row r="4228" spans="1:17" hidden="1">
      <c r="A4228" s="12">
        <v>46224</v>
      </c>
      <c r="B4228" s="10">
        <v>6</v>
      </c>
      <c r="Q4228" s="10" t="str">
        <f t="shared" si="66"/>
        <v>Incomplete</v>
      </c>
    </row>
    <row r="4229" spans="1:17" hidden="1">
      <c r="A4229" s="12">
        <v>46224</v>
      </c>
      <c r="B4229" s="10">
        <v>7</v>
      </c>
      <c r="Q4229" s="10" t="str">
        <f t="shared" si="66"/>
        <v>Incomplete</v>
      </c>
    </row>
    <row r="4230" spans="1:17" hidden="1">
      <c r="A4230" s="12">
        <v>46224</v>
      </c>
      <c r="B4230" s="10">
        <v>8</v>
      </c>
      <c r="Q4230" s="10" t="str">
        <f t="shared" si="66"/>
        <v>Incomplete</v>
      </c>
    </row>
    <row r="4231" spans="1:17" hidden="1">
      <c r="A4231" s="12">
        <v>46224</v>
      </c>
      <c r="B4231" s="10">
        <v>9</v>
      </c>
      <c r="Q4231" s="10" t="str">
        <f t="shared" si="66"/>
        <v>Incomplete</v>
      </c>
    </row>
    <row r="4232" spans="1:17" hidden="1">
      <c r="A4232" s="12">
        <v>46224</v>
      </c>
      <c r="B4232" s="10">
        <v>10</v>
      </c>
      <c r="Q4232" s="10" t="str">
        <f t="shared" si="66"/>
        <v>Incomplete</v>
      </c>
    </row>
    <row r="4233" spans="1:17" hidden="1">
      <c r="A4233" s="12">
        <v>46224</v>
      </c>
      <c r="B4233" s="10">
        <v>11</v>
      </c>
      <c r="Q4233" s="10" t="str">
        <f t="shared" si="66"/>
        <v>Incomplete</v>
      </c>
    </row>
    <row r="4234" spans="1:17" hidden="1">
      <c r="A4234" s="12">
        <v>46224</v>
      </c>
      <c r="B4234" s="10">
        <v>12</v>
      </c>
      <c r="Q4234" s="10" t="str">
        <f t="shared" si="66"/>
        <v>Incomplete</v>
      </c>
    </row>
    <row r="4235" spans="1:17" hidden="1">
      <c r="A4235" s="12">
        <v>46224</v>
      </c>
      <c r="B4235" s="10">
        <v>13</v>
      </c>
      <c r="Q4235" s="10" t="str">
        <f t="shared" si="66"/>
        <v>Incomplete</v>
      </c>
    </row>
    <row r="4236" spans="1:17" hidden="1">
      <c r="A4236" s="12">
        <v>46224</v>
      </c>
      <c r="B4236" s="10">
        <v>14</v>
      </c>
      <c r="Q4236" s="10" t="str">
        <f t="shared" si="66"/>
        <v>Incomplete</v>
      </c>
    </row>
    <row r="4237" spans="1:17" hidden="1">
      <c r="A4237" s="12">
        <v>46224</v>
      </c>
      <c r="B4237" s="10">
        <v>15</v>
      </c>
      <c r="Q4237" s="10" t="str">
        <f t="shared" si="66"/>
        <v>Incomplete</v>
      </c>
    </row>
    <row r="4238" spans="1:17" hidden="1">
      <c r="A4238" s="12">
        <v>46224</v>
      </c>
      <c r="B4238" s="10">
        <v>16</v>
      </c>
      <c r="Q4238" s="10" t="str">
        <f t="shared" si="66"/>
        <v>Incomplete</v>
      </c>
    </row>
    <row r="4239" spans="1:17" hidden="1">
      <c r="A4239" s="12">
        <v>46224</v>
      </c>
      <c r="B4239" s="10">
        <v>17</v>
      </c>
      <c r="Q4239" s="10" t="str">
        <f t="shared" si="66"/>
        <v>Incomplete</v>
      </c>
    </row>
    <row r="4240" spans="1:17" hidden="1">
      <c r="A4240" s="12">
        <v>46224</v>
      </c>
      <c r="B4240" s="10">
        <v>18</v>
      </c>
      <c r="Q4240" s="10" t="str">
        <f t="shared" si="66"/>
        <v>Incomplete</v>
      </c>
    </row>
    <row r="4241" spans="1:17" hidden="1">
      <c r="A4241" s="12">
        <v>46224</v>
      </c>
      <c r="B4241" s="10">
        <v>19</v>
      </c>
      <c r="Q4241" s="10" t="str">
        <f t="shared" si="66"/>
        <v>Incomplete</v>
      </c>
    </row>
    <row r="4242" spans="1:17" hidden="1">
      <c r="A4242" s="12">
        <v>46224</v>
      </c>
      <c r="B4242" s="10">
        <v>20</v>
      </c>
      <c r="Q4242" s="10" t="str">
        <f t="shared" si="66"/>
        <v>Incomplete</v>
      </c>
    </row>
    <row r="4243" spans="1:17" hidden="1">
      <c r="A4243" s="12">
        <v>46224</v>
      </c>
      <c r="B4243" s="10">
        <v>21</v>
      </c>
      <c r="Q4243" s="10" t="str">
        <f t="shared" si="66"/>
        <v>Incomplete</v>
      </c>
    </row>
    <row r="4244" spans="1:17" hidden="1">
      <c r="A4244" s="12">
        <v>46225</v>
      </c>
      <c r="B4244" s="10">
        <v>1</v>
      </c>
      <c r="Q4244" s="10" t="str">
        <f t="shared" si="66"/>
        <v>Incomplete</v>
      </c>
    </row>
    <row r="4245" spans="1:17" hidden="1">
      <c r="A4245" s="12">
        <v>46225</v>
      </c>
      <c r="B4245" s="10">
        <v>2</v>
      </c>
      <c r="Q4245" s="10" t="str">
        <f t="shared" si="66"/>
        <v>Incomplete</v>
      </c>
    </row>
    <row r="4246" spans="1:17" hidden="1">
      <c r="A4246" s="12">
        <v>46225</v>
      </c>
      <c r="B4246" s="10">
        <v>3</v>
      </c>
      <c r="Q4246" s="10" t="str">
        <f t="shared" si="66"/>
        <v>Incomplete</v>
      </c>
    </row>
    <row r="4247" spans="1:17" hidden="1">
      <c r="A4247" s="12">
        <v>46225</v>
      </c>
      <c r="B4247" s="10">
        <v>4</v>
      </c>
      <c r="Q4247" s="10" t="str">
        <f t="shared" si="66"/>
        <v>Incomplete</v>
      </c>
    </row>
    <row r="4248" spans="1:17" hidden="1">
      <c r="A4248" s="12">
        <v>46225</v>
      </c>
      <c r="B4248" s="10">
        <v>5</v>
      </c>
      <c r="Q4248" s="10" t="str">
        <f t="shared" si="66"/>
        <v>Incomplete</v>
      </c>
    </row>
    <row r="4249" spans="1:17" hidden="1">
      <c r="A4249" s="12">
        <v>46225</v>
      </c>
      <c r="B4249" s="10">
        <v>6</v>
      </c>
      <c r="Q4249" s="10" t="str">
        <f t="shared" si="66"/>
        <v>Incomplete</v>
      </c>
    </row>
    <row r="4250" spans="1:17" hidden="1">
      <c r="A4250" s="12">
        <v>46225</v>
      </c>
      <c r="B4250" s="10">
        <v>7</v>
      </c>
      <c r="Q4250" s="10" t="str">
        <f t="shared" si="66"/>
        <v>Incomplete</v>
      </c>
    </row>
    <row r="4251" spans="1:17" hidden="1">
      <c r="A4251" s="12">
        <v>46225</v>
      </c>
      <c r="B4251" s="10">
        <v>8</v>
      </c>
      <c r="Q4251" s="10" t="str">
        <f t="shared" si="66"/>
        <v>Incomplete</v>
      </c>
    </row>
    <row r="4252" spans="1:17" hidden="1">
      <c r="A4252" s="12">
        <v>46225</v>
      </c>
      <c r="B4252" s="10">
        <v>9</v>
      </c>
      <c r="Q4252" s="10" t="str">
        <f t="shared" si="66"/>
        <v>Incomplete</v>
      </c>
    </row>
    <row r="4253" spans="1:17" hidden="1">
      <c r="A4253" s="12">
        <v>46225</v>
      </c>
      <c r="B4253" s="10">
        <v>10</v>
      </c>
      <c r="Q4253" s="10" t="str">
        <f t="shared" si="66"/>
        <v>Incomplete</v>
      </c>
    </row>
    <row r="4254" spans="1:17" hidden="1">
      <c r="A4254" s="12">
        <v>46225</v>
      </c>
      <c r="B4254" s="10">
        <v>11</v>
      </c>
      <c r="Q4254" s="10" t="str">
        <f t="shared" si="66"/>
        <v>Incomplete</v>
      </c>
    </row>
    <row r="4255" spans="1:17" hidden="1">
      <c r="A4255" s="12">
        <v>46225</v>
      </c>
      <c r="B4255" s="10">
        <v>12</v>
      </c>
      <c r="Q4255" s="10" t="str">
        <f t="shared" si="66"/>
        <v>Incomplete</v>
      </c>
    </row>
    <row r="4256" spans="1:17" hidden="1">
      <c r="A4256" s="12">
        <v>46225</v>
      </c>
      <c r="B4256" s="10">
        <v>13</v>
      </c>
      <c r="Q4256" s="10" t="str">
        <f t="shared" si="66"/>
        <v>Incomplete</v>
      </c>
    </row>
    <row r="4257" spans="1:17" hidden="1">
      <c r="A4257" s="12">
        <v>46225</v>
      </c>
      <c r="B4257" s="10">
        <v>14</v>
      </c>
      <c r="Q4257" s="10" t="str">
        <f t="shared" si="66"/>
        <v>Incomplete</v>
      </c>
    </row>
    <row r="4258" spans="1:17" hidden="1">
      <c r="A4258" s="12">
        <v>46225</v>
      </c>
      <c r="B4258" s="10">
        <v>15</v>
      </c>
      <c r="Q4258" s="10" t="str">
        <f t="shared" si="66"/>
        <v>Incomplete</v>
      </c>
    </row>
    <row r="4259" spans="1:17" hidden="1">
      <c r="A4259" s="12">
        <v>46225</v>
      </c>
      <c r="B4259" s="10">
        <v>16</v>
      </c>
      <c r="Q4259" s="10" t="str">
        <f t="shared" si="66"/>
        <v>Incomplete</v>
      </c>
    </row>
    <row r="4260" spans="1:17" hidden="1">
      <c r="A4260" s="12">
        <v>46225</v>
      </c>
      <c r="B4260" s="10">
        <v>17</v>
      </c>
      <c r="Q4260" s="10" t="str">
        <f t="shared" si="66"/>
        <v>Incomplete</v>
      </c>
    </row>
    <row r="4261" spans="1:17" hidden="1">
      <c r="A4261" s="12">
        <v>46225</v>
      </c>
      <c r="B4261" s="10">
        <v>18</v>
      </c>
      <c r="Q4261" s="10" t="str">
        <f t="shared" si="66"/>
        <v>Incomplete</v>
      </c>
    </row>
    <row r="4262" spans="1:17" hidden="1">
      <c r="A4262" s="12">
        <v>46225</v>
      </c>
      <c r="B4262" s="10">
        <v>19</v>
      </c>
      <c r="Q4262" s="10" t="str">
        <f t="shared" si="66"/>
        <v>Incomplete</v>
      </c>
    </row>
    <row r="4263" spans="1:17" hidden="1">
      <c r="A4263" s="12">
        <v>46225</v>
      </c>
      <c r="B4263" s="10">
        <v>20</v>
      </c>
      <c r="Q4263" s="10" t="str">
        <f t="shared" si="66"/>
        <v>Incomplete</v>
      </c>
    </row>
    <row r="4264" spans="1:17" hidden="1">
      <c r="A4264" s="12">
        <v>46225</v>
      </c>
      <c r="B4264" s="10">
        <v>21</v>
      </c>
      <c r="Q4264" s="10" t="str">
        <f t="shared" si="66"/>
        <v>Incomplete</v>
      </c>
    </row>
    <row r="4265" spans="1:17" hidden="1">
      <c r="A4265" s="12">
        <v>46226</v>
      </c>
      <c r="B4265" s="10">
        <v>1</v>
      </c>
      <c r="Q4265" s="10" t="str">
        <f t="shared" si="66"/>
        <v>Incomplete</v>
      </c>
    </row>
    <row r="4266" spans="1:17" hidden="1">
      <c r="A4266" s="12">
        <v>46226</v>
      </c>
      <c r="B4266" s="10">
        <v>2</v>
      </c>
      <c r="Q4266" s="10" t="str">
        <f t="shared" si="66"/>
        <v>Incomplete</v>
      </c>
    </row>
    <row r="4267" spans="1:17" hidden="1">
      <c r="A4267" s="12">
        <v>46226</v>
      </c>
      <c r="B4267" s="10">
        <v>3</v>
      </c>
      <c r="Q4267" s="10" t="str">
        <f t="shared" si="66"/>
        <v>Incomplete</v>
      </c>
    </row>
    <row r="4268" spans="1:17" hidden="1">
      <c r="A4268" s="12">
        <v>46226</v>
      </c>
      <c r="B4268" s="10">
        <v>4</v>
      </c>
      <c r="Q4268" s="10" t="str">
        <f t="shared" si="66"/>
        <v>Incomplete</v>
      </c>
    </row>
    <row r="4269" spans="1:17" hidden="1">
      <c r="A4269" s="12">
        <v>46226</v>
      </c>
      <c r="B4269" s="10">
        <v>5</v>
      </c>
      <c r="Q4269" s="10" t="str">
        <f t="shared" si="66"/>
        <v>Incomplete</v>
      </c>
    </row>
    <row r="4270" spans="1:17" hidden="1">
      <c r="A4270" s="12">
        <v>46226</v>
      </c>
      <c r="B4270" s="10">
        <v>6</v>
      </c>
      <c r="Q4270" s="10" t="str">
        <f t="shared" si="66"/>
        <v>Incomplete</v>
      </c>
    </row>
    <row r="4271" spans="1:17" hidden="1">
      <c r="A4271" s="12">
        <v>46226</v>
      </c>
      <c r="B4271" s="10">
        <v>7</v>
      </c>
      <c r="Q4271" s="10" t="str">
        <f t="shared" si="66"/>
        <v>Incomplete</v>
      </c>
    </row>
    <row r="4272" spans="1:17" hidden="1">
      <c r="A4272" s="12">
        <v>46226</v>
      </c>
      <c r="B4272" s="10">
        <v>8</v>
      </c>
      <c r="Q4272" s="10" t="str">
        <f t="shared" si="66"/>
        <v>Incomplete</v>
      </c>
    </row>
    <row r="4273" spans="1:17" hidden="1">
      <c r="A4273" s="12">
        <v>46226</v>
      </c>
      <c r="B4273" s="10">
        <v>9</v>
      </c>
      <c r="Q4273" s="10" t="str">
        <f t="shared" si="66"/>
        <v>Incomplete</v>
      </c>
    </row>
    <row r="4274" spans="1:17" hidden="1">
      <c r="A4274" s="12">
        <v>46226</v>
      </c>
      <c r="B4274" s="10">
        <v>10</v>
      </c>
      <c r="Q4274" s="10" t="str">
        <f t="shared" si="66"/>
        <v>Incomplete</v>
      </c>
    </row>
    <row r="4275" spans="1:17" hidden="1">
      <c r="A4275" s="12">
        <v>46226</v>
      </c>
      <c r="B4275" s="10">
        <v>11</v>
      </c>
      <c r="Q4275" s="10" t="str">
        <f t="shared" si="66"/>
        <v>Incomplete</v>
      </c>
    </row>
    <row r="4276" spans="1:17" hidden="1">
      <c r="A4276" s="12">
        <v>46226</v>
      </c>
      <c r="B4276" s="10">
        <v>12</v>
      </c>
      <c r="Q4276" s="10" t="str">
        <f t="shared" si="66"/>
        <v>Incomplete</v>
      </c>
    </row>
    <row r="4277" spans="1:17" hidden="1">
      <c r="A4277" s="12">
        <v>46226</v>
      </c>
      <c r="B4277" s="10">
        <v>13</v>
      </c>
      <c r="Q4277" s="10" t="str">
        <f t="shared" si="66"/>
        <v>Incomplete</v>
      </c>
    </row>
    <row r="4278" spans="1:17" hidden="1">
      <c r="A4278" s="12">
        <v>46226</v>
      </c>
      <c r="B4278" s="10">
        <v>14</v>
      </c>
      <c r="Q4278" s="10" t="str">
        <f t="shared" si="66"/>
        <v>Incomplete</v>
      </c>
    </row>
    <row r="4279" spans="1:17" hidden="1">
      <c r="A4279" s="12">
        <v>46226</v>
      </c>
      <c r="B4279" s="10">
        <v>15</v>
      </c>
      <c r="Q4279" s="10" t="str">
        <f t="shared" si="66"/>
        <v>Incomplete</v>
      </c>
    </row>
    <row r="4280" spans="1:17" hidden="1">
      <c r="A4280" s="12">
        <v>46226</v>
      </c>
      <c r="B4280" s="10">
        <v>16</v>
      </c>
      <c r="Q4280" s="10" t="str">
        <f t="shared" si="66"/>
        <v>Incomplete</v>
      </c>
    </row>
    <row r="4281" spans="1:17" hidden="1">
      <c r="A4281" s="12">
        <v>46226</v>
      </c>
      <c r="B4281" s="10">
        <v>17</v>
      </c>
      <c r="Q4281" s="10" t="str">
        <f t="shared" si="66"/>
        <v>Incomplete</v>
      </c>
    </row>
    <row r="4282" spans="1:17" hidden="1">
      <c r="A4282" s="12">
        <v>46226</v>
      </c>
      <c r="B4282" s="10">
        <v>18</v>
      </c>
      <c r="Q4282" s="10" t="str">
        <f t="shared" si="66"/>
        <v>Incomplete</v>
      </c>
    </row>
    <row r="4283" spans="1:17" hidden="1">
      <c r="A4283" s="12">
        <v>46226</v>
      </c>
      <c r="B4283" s="10">
        <v>19</v>
      </c>
      <c r="Q4283" s="10" t="str">
        <f t="shared" si="66"/>
        <v>Incomplete</v>
      </c>
    </row>
    <row r="4284" spans="1:17" hidden="1">
      <c r="A4284" s="12">
        <v>46226</v>
      </c>
      <c r="B4284" s="10">
        <v>20</v>
      </c>
      <c r="Q4284" s="10" t="str">
        <f t="shared" si="66"/>
        <v>Incomplete</v>
      </c>
    </row>
    <row r="4285" spans="1:17" hidden="1">
      <c r="A4285" s="12">
        <v>46226</v>
      </c>
      <c r="B4285" s="10">
        <v>21</v>
      </c>
      <c r="Q4285" s="10" t="str">
        <f t="shared" si="66"/>
        <v>Incomplete</v>
      </c>
    </row>
    <row r="4286" spans="1:17" hidden="1">
      <c r="A4286" s="12">
        <v>46227</v>
      </c>
      <c r="B4286" s="10">
        <v>1</v>
      </c>
      <c r="Q4286" s="10" t="str">
        <f t="shared" si="66"/>
        <v>Incomplete</v>
      </c>
    </row>
    <row r="4287" spans="1:17" hidden="1">
      <c r="A4287" s="12">
        <v>46227</v>
      </c>
      <c r="B4287" s="10">
        <v>2</v>
      </c>
      <c r="Q4287" s="10" t="str">
        <f t="shared" si="66"/>
        <v>Incomplete</v>
      </c>
    </row>
    <row r="4288" spans="1:17" hidden="1">
      <c r="A4288" s="12">
        <v>46227</v>
      </c>
      <c r="B4288" s="10">
        <v>3</v>
      </c>
      <c r="Q4288" s="10" t="str">
        <f t="shared" si="66"/>
        <v>Incomplete</v>
      </c>
    </row>
    <row r="4289" spans="1:17" hidden="1">
      <c r="A4289" s="12">
        <v>46227</v>
      </c>
      <c r="B4289" s="10">
        <v>4</v>
      </c>
      <c r="Q4289" s="10" t="str">
        <f t="shared" si="66"/>
        <v>Incomplete</v>
      </c>
    </row>
    <row r="4290" spans="1:17" hidden="1">
      <c r="A4290" s="12">
        <v>46227</v>
      </c>
      <c r="B4290" s="10">
        <v>5</v>
      </c>
      <c r="Q4290" s="10" t="str">
        <f t="shared" ref="Q4290:Q4353" si="67">IF(AND(C4290&lt;&gt;"",J4290&lt;&gt;"",K4290&lt;&gt;"",L4290&lt;&gt;"",O4290="Yes"),"Complete","Incomplete")</f>
        <v>Incomplete</v>
      </c>
    </row>
    <row r="4291" spans="1:17" hidden="1">
      <c r="A4291" s="12">
        <v>46227</v>
      </c>
      <c r="B4291" s="10">
        <v>6</v>
      </c>
      <c r="Q4291" s="10" t="str">
        <f t="shared" si="67"/>
        <v>Incomplete</v>
      </c>
    </row>
    <row r="4292" spans="1:17" hidden="1">
      <c r="A4292" s="12">
        <v>46227</v>
      </c>
      <c r="B4292" s="10">
        <v>7</v>
      </c>
      <c r="Q4292" s="10" t="str">
        <f t="shared" si="67"/>
        <v>Incomplete</v>
      </c>
    </row>
    <row r="4293" spans="1:17" hidden="1">
      <c r="A4293" s="12">
        <v>46227</v>
      </c>
      <c r="B4293" s="10">
        <v>8</v>
      </c>
      <c r="Q4293" s="10" t="str">
        <f t="shared" si="67"/>
        <v>Incomplete</v>
      </c>
    </row>
    <row r="4294" spans="1:17" hidden="1">
      <c r="A4294" s="12">
        <v>46227</v>
      </c>
      <c r="B4294" s="10">
        <v>9</v>
      </c>
      <c r="Q4294" s="10" t="str">
        <f t="shared" si="67"/>
        <v>Incomplete</v>
      </c>
    </row>
    <row r="4295" spans="1:17" hidden="1">
      <c r="A4295" s="12">
        <v>46227</v>
      </c>
      <c r="B4295" s="10">
        <v>10</v>
      </c>
      <c r="Q4295" s="10" t="str">
        <f t="shared" si="67"/>
        <v>Incomplete</v>
      </c>
    </row>
    <row r="4296" spans="1:17" hidden="1">
      <c r="A4296" s="12">
        <v>46227</v>
      </c>
      <c r="B4296" s="10">
        <v>11</v>
      </c>
      <c r="Q4296" s="10" t="str">
        <f t="shared" si="67"/>
        <v>Incomplete</v>
      </c>
    </row>
    <row r="4297" spans="1:17" hidden="1">
      <c r="A4297" s="12">
        <v>46227</v>
      </c>
      <c r="B4297" s="10">
        <v>12</v>
      </c>
      <c r="Q4297" s="10" t="str">
        <f t="shared" si="67"/>
        <v>Incomplete</v>
      </c>
    </row>
    <row r="4298" spans="1:17" hidden="1">
      <c r="A4298" s="12">
        <v>46227</v>
      </c>
      <c r="B4298" s="10">
        <v>13</v>
      </c>
      <c r="Q4298" s="10" t="str">
        <f t="shared" si="67"/>
        <v>Incomplete</v>
      </c>
    </row>
    <row r="4299" spans="1:17" hidden="1">
      <c r="A4299" s="12">
        <v>46227</v>
      </c>
      <c r="B4299" s="10">
        <v>14</v>
      </c>
      <c r="Q4299" s="10" t="str">
        <f t="shared" si="67"/>
        <v>Incomplete</v>
      </c>
    </row>
    <row r="4300" spans="1:17" hidden="1">
      <c r="A4300" s="12">
        <v>46227</v>
      </c>
      <c r="B4300" s="10">
        <v>15</v>
      </c>
      <c r="Q4300" s="10" t="str">
        <f t="shared" si="67"/>
        <v>Incomplete</v>
      </c>
    </row>
    <row r="4301" spans="1:17" hidden="1">
      <c r="A4301" s="12">
        <v>46227</v>
      </c>
      <c r="B4301" s="10">
        <v>16</v>
      </c>
      <c r="Q4301" s="10" t="str">
        <f t="shared" si="67"/>
        <v>Incomplete</v>
      </c>
    </row>
    <row r="4302" spans="1:17" hidden="1">
      <c r="A4302" s="12">
        <v>46227</v>
      </c>
      <c r="B4302" s="10">
        <v>17</v>
      </c>
      <c r="Q4302" s="10" t="str">
        <f t="shared" si="67"/>
        <v>Incomplete</v>
      </c>
    </row>
    <row r="4303" spans="1:17" hidden="1">
      <c r="A4303" s="12">
        <v>46227</v>
      </c>
      <c r="B4303" s="10">
        <v>18</v>
      </c>
      <c r="Q4303" s="10" t="str">
        <f t="shared" si="67"/>
        <v>Incomplete</v>
      </c>
    </row>
    <row r="4304" spans="1:17" hidden="1">
      <c r="A4304" s="12">
        <v>46227</v>
      </c>
      <c r="B4304" s="10">
        <v>19</v>
      </c>
      <c r="Q4304" s="10" t="str">
        <f t="shared" si="67"/>
        <v>Incomplete</v>
      </c>
    </row>
    <row r="4305" spans="1:17" hidden="1">
      <c r="A4305" s="12">
        <v>46227</v>
      </c>
      <c r="B4305" s="10">
        <v>20</v>
      </c>
      <c r="Q4305" s="10" t="str">
        <f t="shared" si="67"/>
        <v>Incomplete</v>
      </c>
    </row>
    <row r="4306" spans="1:17" hidden="1">
      <c r="A4306" s="12">
        <v>46227</v>
      </c>
      <c r="B4306" s="10">
        <v>21</v>
      </c>
      <c r="Q4306" s="10" t="str">
        <f t="shared" si="67"/>
        <v>Incomplete</v>
      </c>
    </row>
    <row r="4307" spans="1:17" hidden="1">
      <c r="A4307" s="12">
        <v>46228</v>
      </c>
      <c r="B4307" s="10">
        <v>1</v>
      </c>
      <c r="Q4307" s="10" t="str">
        <f t="shared" si="67"/>
        <v>Incomplete</v>
      </c>
    </row>
    <row r="4308" spans="1:17" hidden="1">
      <c r="A4308" s="12">
        <v>46228</v>
      </c>
      <c r="B4308" s="10">
        <v>2</v>
      </c>
      <c r="Q4308" s="10" t="str">
        <f t="shared" si="67"/>
        <v>Incomplete</v>
      </c>
    </row>
    <row r="4309" spans="1:17" hidden="1">
      <c r="A4309" s="12">
        <v>46228</v>
      </c>
      <c r="B4309" s="10">
        <v>3</v>
      </c>
      <c r="Q4309" s="10" t="str">
        <f t="shared" si="67"/>
        <v>Incomplete</v>
      </c>
    </row>
    <row r="4310" spans="1:17" hidden="1">
      <c r="A4310" s="12">
        <v>46228</v>
      </c>
      <c r="B4310" s="10">
        <v>4</v>
      </c>
      <c r="Q4310" s="10" t="str">
        <f t="shared" si="67"/>
        <v>Incomplete</v>
      </c>
    </row>
    <row r="4311" spans="1:17" hidden="1">
      <c r="A4311" s="12">
        <v>46228</v>
      </c>
      <c r="B4311" s="10">
        <v>5</v>
      </c>
      <c r="Q4311" s="10" t="str">
        <f t="shared" si="67"/>
        <v>Incomplete</v>
      </c>
    </row>
    <row r="4312" spans="1:17" hidden="1">
      <c r="A4312" s="12">
        <v>46228</v>
      </c>
      <c r="B4312" s="10">
        <v>6</v>
      </c>
      <c r="Q4312" s="10" t="str">
        <f t="shared" si="67"/>
        <v>Incomplete</v>
      </c>
    </row>
    <row r="4313" spans="1:17" hidden="1">
      <c r="A4313" s="12">
        <v>46228</v>
      </c>
      <c r="B4313" s="10">
        <v>7</v>
      </c>
      <c r="Q4313" s="10" t="str">
        <f t="shared" si="67"/>
        <v>Incomplete</v>
      </c>
    </row>
    <row r="4314" spans="1:17" hidden="1">
      <c r="A4314" s="12">
        <v>46228</v>
      </c>
      <c r="B4314" s="10">
        <v>8</v>
      </c>
      <c r="Q4314" s="10" t="str">
        <f t="shared" si="67"/>
        <v>Incomplete</v>
      </c>
    </row>
    <row r="4315" spans="1:17" hidden="1">
      <c r="A4315" s="12">
        <v>46228</v>
      </c>
      <c r="B4315" s="10">
        <v>9</v>
      </c>
      <c r="Q4315" s="10" t="str">
        <f t="shared" si="67"/>
        <v>Incomplete</v>
      </c>
    </row>
    <row r="4316" spans="1:17" hidden="1">
      <c r="A4316" s="12">
        <v>46228</v>
      </c>
      <c r="B4316" s="10">
        <v>10</v>
      </c>
      <c r="Q4316" s="10" t="str">
        <f t="shared" si="67"/>
        <v>Incomplete</v>
      </c>
    </row>
    <row r="4317" spans="1:17" hidden="1">
      <c r="A4317" s="12">
        <v>46228</v>
      </c>
      <c r="B4317" s="10">
        <v>11</v>
      </c>
      <c r="Q4317" s="10" t="str">
        <f t="shared" si="67"/>
        <v>Incomplete</v>
      </c>
    </row>
    <row r="4318" spans="1:17" hidden="1">
      <c r="A4318" s="12">
        <v>46228</v>
      </c>
      <c r="B4318" s="10">
        <v>12</v>
      </c>
      <c r="Q4318" s="10" t="str">
        <f t="shared" si="67"/>
        <v>Incomplete</v>
      </c>
    </row>
    <row r="4319" spans="1:17" hidden="1">
      <c r="A4319" s="12">
        <v>46228</v>
      </c>
      <c r="B4319" s="10">
        <v>13</v>
      </c>
      <c r="Q4319" s="10" t="str">
        <f t="shared" si="67"/>
        <v>Incomplete</v>
      </c>
    </row>
    <row r="4320" spans="1:17" hidden="1">
      <c r="A4320" s="12">
        <v>46228</v>
      </c>
      <c r="B4320" s="10">
        <v>14</v>
      </c>
      <c r="Q4320" s="10" t="str">
        <f t="shared" si="67"/>
        <v>Incomplete</v>
      </c>
    </row>
    <row r="4321" spans="1:17" hidden="1">
      <c r="A4321" s="12">
        <v>46228</v>
      </c>
      <c r="B4321" s="10">
        <v>15</v>
      </c>
      <c r="Q4321" s="10" t="str">
        <f t="shared" si="67"/>
        <v>Incomplete</v>
      </c>
    </row>
    <row r="4322" spans="1:17" hidden="1">
      <c r="A4322" s="12">
        <v>46228</v>
      </c>
      <c r="B4322" s="10">
        <v>16</v>
      </c>
      <c r="Q4322" s="10" t="str">
        <f t="shared" si="67"/>
        <v>Incomplete</v>
      </c>
    </row>
    <row r="4323" spans="1:17" hidden="1">
      <c r="A4323" s="12">
        <v>46228</v>
      </c>
      <c r="B4323" s="10">
        <v>17</v>
      </c>
      <c r="Q4323" s="10" t="str">
        <f t="shared" si="67"/>
        <v>Incomplete</v>
      </c>
    </row>
    <row r="4324" spans="1:17" hidden="1">
      <c r="A4324" s="12">
        <v>46228</v>
      </c>
      <c r="B4324" s="10">
        <v>18</v>
      </c>
      <c r="Q4324" s="10" t="str">
        <f t="shared" si="67"/>
        <v>Incomplete</v>
      </c>
    </row>
    <row r="4325" spans="1:17" hidden="1">
      <c r="A4325" s="12">
        <v>46228</v>
      </c>
      <c r="B4325" s="10">
        <v>19</v>
      </c>
      <c r="Q4325" s="10" t="str">
        <f t="shared" si="67"/>
        <v>Incomplete</v>
      </c>
    </row>
    <row r="4326" spans="1:17" hidden="1">
      <c r="A4326" s="12">
        <v>46228</v>
      </c>
      <c r="B4326" s="10">
        <v>20</v>
      </c>
      <c r="Q4326" s="10" t="str">
        <f t="shared" si="67"/>
        <v>Incomplete</v>
      </c>
    </row>
    <row r="4327" spans="1:17" hidden="1">
      <c r="A4327" s="12">
        <v>46228</v>
      </c>
      <c r="B4327" s="10">
        <v>21</v>
      </c>
      <c r="Q4327" s="10" t="str">
        <f t="shared" si="67"/>
        <v>Incomplete</v>
      </c>
    </row>
    <row r="4328" spans="1:17" hidden="1">
      <c r="A4328" s="12">
        <v>46229</v>
      </c>
      <c r="B4328" s="10">
        <v>1</v>
      </c>
      <c r="Q4328" s="10" t="str">
        <f t="shared" si="67"/>
        <v>Incomplete</v>
      </c>
    </row>
    <row r="4329" spans="1:17" hidden="1">
      <c r="A4329" s="12">
        <v>46229</v>
      </c>
      <c r="B4329" s="10">
        <v>2</v>
      </c>
      <c r="Q4329" s="10" t="str">
        <f t="shared" si="67"/>
        <v>Incomplete</v>
      </c>
    </row>
    <row r="4330" spans="1:17" hidden="1">
      <c r="A4330" s="12">
        <v>46229</v>
      </c>
      <c r="B4330" s="10">
        <v>3</v>
      </c>
      <c r="Q4330" s="10" t="str">
        <f t="shared" si="67"/>
        <v>Incomplete</v>
      </c>
    </row>
    <row r="4331" spans="1:17" hidden="1">
      <c r="A4331" s="12">
        <v>46229</v>
      </c>
      <c r="B4331" s="10">
        <v>4</v>
      </c>
      <c r="Q4331" s="10" t="str">
        <f t="shared" si="67"/>
        <v>Incomplete</v>
      </c>
    </row>
    <row r="4332" spans="1:17" hidden="1">
      <c r="A4332" s="12">
        <v>46229</v>
      </c>
      <c r="B4332" s="10">
        <v>5</v>
      </c>
      <c r="Q4332" s="10" t="str">
        <f t="shared" si="67"/>
        <v>Incomplete</v>
      </c>
    </row>
    <row r="4333" spans="1:17" hidden="1">
      <c r="A4333" s="12">
        <v>46229</v>
      </c>
      <c r="B4333" s="10">
        <v>6</v>
      </c>
      <c r="Q4333" s="10" t="str">
        <f t="shared" si="67"/>
        <v>Incomplete</v>
      </c>
    </row>
    <row r="4334" spans="1:17" hidden="1">
      <c r="A4334" s="12">
        <v>46229</v>
      </c>
      <c r="B4334" s="10">
        <v>7</v>
      </c>
      <c r="Q4334" s="10" t="str">
        <f t="shared" si="67"/>
        <v>Incomplete</v>
      </c>
    </row>
    <row r="4335" spans="1:17" hidden="1">
      <c r="A4335" s="12">
        <v>46229</v>
      </c>
      <c r="B4335" s="10">
        <v>8</v>
      </c>
      <c r="Q4335" s="10" t="str">
        <f t="shared" si="67"/>
        <v>Incomplete</v>
      </c>
    </row>
    <row r="4336" spans="1:17" hidden="1">
      <c r="A4336" s="12">
        <v>46229</v>
      </c>
      <c r="B4336" s="10">
        <v>9</v>
      </c>
      <c r="Q4336" s="10" t="str">
        <f t="shared" si="67"/>
        <v>Incomplete</v>
      </c>
    </row>
    <row r="4337" spans="1:17" hidden="1">
      <c r="A4337" s="12">
        <v>46229</v>
      </c>
      <c r="B4337" s="10">
        <v>10</v>
      </c>
      <c r="Q4337" s="10" t="str">
        <f t="shared" si="67"/>
        <v>Incomplete</v>
      </c>
    </row>
    <row r="4338" spans="1:17" hidden="1">
      <c r="A4338" s="12">
        <v>46229</v>
      </c>
      <c r="B4338" s="10">
        <v>11</v>
      </c>
      <c r="Q4338" s="10" t="str">
        <f t="shared" si="67"/>
        <v>Incomplete</v>
      </c>
    </row>
    <row r="4339" spans="1:17" hidden="1">
      <c r="A4339" s="12">
        <v>46229</v>
      </c>
      <c r="B4339" s="10">
        <v>12</v>
      </c>
      <c r="Q4339" s="10" t="str">
        <f t="shared" si="67"/>
        <v>Incomplete</v>
      </c>
    </row>
    <row r="4340" spans="1:17" hidden="1">
      <c r="A4340" s="12">
        <v>46229</v>
      </c>
      <c r="B4340" s="10">
        <v>13</v>
      </c>
      <c r="Q4340" s="10" t="str">
        <f t="shared" si="67"/>
        <v>Incomplete</v>
      </c>
    </row>
    <row r="4341" spans="1:17" hidden="1">
      <c r="A4341" s="12">
        <v>46229</v>
      </c>
      <c r="B4341" s="10">
        <v>14</v>
      </c>
      <c r="Q4341" s="10" t="str">
        <f t="shared" si="67"/>
        <v>Incomplete</v>
      </c>
    </row>
    <row r="4342" spans="1:17" hidden="1">
      <c r="A4342" s="12">
        <v>46229</v>
      </c>
      <c r="B4342" s="10">
        <v>15</v>
      </c>
      <c r="Q4342" s="10" t="str">
        <f t="shared" si="67"/>
        <v>Incomplete</v>
      </c>
    </row>
    <row r="4343" spans="1:17" hidden="1">
      <c r="A4343" s="12">
        <v>46229</v>
      </c>
      <c r="B4343" s="10">
        <v>16</v>
      </c>
      <c r="Q4343" s="10" t="str">
        <f t="shared" si="67"/>
        <v>Incomplete</v>
      </c>
    </row>
    <row r="4344" spans="1:17" hidden="1">
      <c r="A4344" s="12">
        <v>46229</v>
      </c>
      <c r="B4344" s="10">
        <v>17</v>
      </c>
      <c r="Q4344" s="10" t="str">
        <f t="shared" si="67"/>
        <v>Incomplete</v>
      </c>
    </row>
    <row r="4345" spans="1:17" hidden="1">
      <c r="A4345" s="12">
        <v>46229</v>
      </c>
      <c r="B4345" s="10">
        <v>18</v>
      </c>
      <c r="Q4345" s="10" t="str">
        <f t="shared" si="67"/>
        <v>Incomplete</v>
      </c>
    </row>
    <row r="4346" spans="1:17" hidden="1">
      <c r="A4346" s="12">
        <v>46229</v>
      </c>
      <c r="B4346" s="10">
        <v>19</v>
      </c>
      <c r="Q4346" s="10" t="str">
        <f t="shared" si="67"/>
        <v>Incomplete</v>
      </c>
    </row>
    <row r="4347" spans="1:17" hidden="1">
      <c r="A4347" s="12">
        <v>46229</v>
      </c>
      <c r="B4347" s="10">
        <v>20</v>
      </c>
      <c r="Q4347" s="10" t="str">
        <f t="shared" si="67"/>
        <v>Incomplete</v>
      </c>
    </row>
    <row r="4348" spans="1:17" hidden="1">
      <c r="A4348" s="12">
        <v>46229</v>
      </c>
      <c r="B4348" s="10">
        <v>21</v>
      </c>
      <c r="Q4348" s="10" t="str">
        <f t="shared" si="67"/>
        <v>Incomplete</v>
      </c>
    </row>
    <row r="4349" spans="1:17" hidden="1">
      <c r="A4349" s="12">
        <v>46230</v>
      </c>
      <c r="B4349" s="10">
        <v>1</v>
      </c>
      <c r="Q4349" s="10" t="str">
        <f t="shared" si="67"/>
        <v>Incomplete</v>
      </c>
    </row>
    <row r="4350" spans="1:17" hidden="1">
      <c r="A4350" s="12">
        <v>46230</v>
      </c>
      <c r="B4350" s="10">
        <v>2</v>
      </c>
      <c r="Q4350" s="10" t="str">
        <f t="shared" si="67"/>
        <v>Incomplete</v>
      </c>
    </row>
    <row r="4351" spans="1:17" hidden="1">
      <c r="A4351" s="12">
        <v>46230</v>
      </c>
      <c r="B4351" s="10">
        <v>3</v>
      </c>
      <c r="Q4351" s="10" t="str">
        <f t="shared" si="67"/>
        <v>Incomplete</v>
      </c>
    </row>
    <row r="4352" spans="1:17" hidden="1">
      <c r="A4352" s="12">
        <v>46230</v>
      </c>
      <c r="B4352" s="10">
        <v>4</v>
      </c>
      <c r="Q4352" s="10" t="str">
        <f t="shared" si="67"/>
        <v>Incomplete</v>
      </c>
    </row>
    <row r="4353" spans="1:17" hidden="1">
      <c r="A4353" s="12">
        <v>46230</v>
      </c>
      <c r="B4353" s="10">
        <v>5</v>
      </c>
      <c r="Q4353" s="10" t="str">
        <f t="shared" si="67"/>
        <v>Incomplete</v>
      </c>
    </row>
    <row r="4354" spans="1:17" hidden="1">
      <c r="A4354" s="12">
        <v>46230</v>
      </c>
      <c r="B4354" s="10">
        <v>6</v>
      </c>
      <c r="Q4354" s="10" t="str">
        <f t="shared" ref="Q4354:Q4417" si="68">IF(AND(C4354&lt;&gt;"",J4354&lt;&gt;"",K4354&lt;&gt;"",L4354&lt;&gt;"",O4354="Yes"),"Complete","Incomplete")</f>
        <v>Incomplete</v>
      </c>
    </row>
    <row r="4355" spans="1:17" hidden="1">
      <c r="A4355" s="12">
        <v>46230</v>
      </c>
      <c r="B4355" s="10">
        <v>7</v>
      </c>
      <c r="Q4355" s="10" t="str">
        <f t="shared" si="68"/>
        <v>Incomplete</v>
      </c>
    </row>
    <row r="4356" spans="1:17" hidden="1">
      <c r="A4356" s="12">
        <v>46230</v>
      </c>
      <c r="B4356" s="10">
        <v>8</v>
      </c>
      <c r="Q4356" s="10" t="str">
        <f t="shared" si="68"/>
        <v>Incomplete</v>
      </c>
    </row>
    <row r="4357" spans="1:17" hidden="1">
      <c r="A4357" s="12">
        <v>46230</v>
      </c>
      <c r="B4357" s="10">
        <v>9</v>
      </c>
      <c r="Q4357" s="10" t="str">
        <f t="shared" si="68"/>
        <v>Incomplete</v>
      </c>
    </row>
    <row r="4358" spans="1:17" hidden="1">
      <c r="A4358" s="12">
        <v>46230</v>
      </c>
      <c r="B4358" s="10">
        <v>10</v>
      </c>
      <c r="Q4358" s="10" t="str">
        <f t="shared" si="68"/>
        <v>Incomplete</v>
      </c>
    </row>
    <row r="4359" spans="1:17" hidden="1">
      <c r="A4359" s="12">
        <v>46230</v>
      </c>
      <c r="B4359" s="10">
        <v>11</v>
      </c>
      <c r="Q4359" s="10" t="str">
        <f t="shared" si="68"/>
        <v>Incomplete</v>
      </c>
    </row>
    <row r="4360" spans="1:17" hidden="1">
      <c r="A4360" s="12">
        <v>46230</v>
      </c>
      <c r="B4360" s="10">
        <v>12</v>
      </c>
      <c r="Q4360" s="10" t="str">
        <f t="shared" si="68"/>
        <v>Incomplete</v>
      </c>
    </row>
    <row r="4361" spans="1:17" hidden="1">
      <c r="A4361" s="12">
        <v>46230</v>
      </c>
      <c r="B4361" s="10">
        <v>13</v>
      </c>
      <c r="Q4361" s="10" t="str">
        <f t="shared" si="68"/>
        <v>Incomplete</v>
      </c>
    </row>
    <row r="4362" spans="1:17" hidden="1">
      <c r="A4362" s="12">
        <v>46230</v>
      </c>
      <c r="B4362" s="10">
        <v>14</v>
      </c>
      <c r="Q4362" s="10" t="str">
        <f t="shared" si="68"/>
        <v>Incomplete</v>
      </c>
    </row>
    <row r="4363" spans="1:17" hidden="1">
      <c r="A4363" s="12">
        <v>46230</v>
      </c>
      <c r="B4363" s="10">
        <v>15</v>
      </c>
      <c r="Q4363" s="10" t="str">
        <f t="shared" si="68"/>
        <v>Incomplete</v>
      </c>
    </row>
    <row r="4364" spans="1:17" hidden="1">
      <c r="A4364" s="12">
        <v>46230</v>
      </c>
      <c r="B4364" s="10">
        <v>16</v>
      </c>
      <c r="Q4364" s="10" t="str">
        <f t="shared" si="68"/>
        <v>Incomplete</v>
      </c>
    </row>
    <row r="4365" spans="1:17" hidden="1">
      <c r="A4365" s="12">
        <v>46230</v>
      </c>
      <c r="B4365" s="10">
        <v>17</v>
      </c>
      <c r="Q4365" s="10" t="str">
        <f t="shared" si="68"/>
        <v>Incomplete</v>
      </c>
    </row>
    <row r="4366" spans="1:17" hidden="1">
      <c r="A4366" s="12">
        <v>46230</v>
      </c>
      <c r="B4366" s="10">
        <v>18</v>
      </c>
      <c r="Q4366" s="10" t="str">
        <f t="shared" si="68"/>
        <v>Incomplete</v>
      </c>
    </row>
    <row r="4367" spans="1:17" hidden="1">
      <c r="A4367" s="12">
        <v>46230</v>
      </c>
      <c r="B4367" s="10">
        <v>19</v>
      </c>
      <c r="Q4367" s="10" t="str">
        <f t="shared" si="68"/>
        <v>Incomplete</v>
      </c>
    </row>
    <row r="4368" spans="1:17" hidden="1">
      <c r="A4368" s="12">
        <v>46230</v>
      </c>
      <c r="B4368" s="10">
        <v>20</v>
      </c>
      <c r="Q4368" s="10" t="str">
        <f t="shared" si="68"/>
        <v>Incomplete</v>
      </c>
    </row>
    <row r="4369" spans="1:17" hidden="1">
      <c r="A4369" s="12">
        <v>46230</v>
      </c>
      <c r="B4369" s="10">
        <v>21</v>
      </c>
      <c r="Q4369" s="10" t="str">
        <f t="shared" si="68"/>
        <v>Incomplete</v>
      </c>
    </row>
    <row r="4370" spans="1:17" hidden="1">
      <c r="A4370" s="12">
        <v>46231</v>
      </c>
      <c r="B4370" s="10">
        <v>1</v>
      </c>
      <c r="Q4370" s="10" t="str">
        <f t="shared" si="68"/>
        <v>Incomplete</v>
      </c>
    </row>
    <row r="4371" spans="1:17" hidden="1">
      <c r="A4371" s="12">
        <v>46231</v>
      </c>
      <c r="B4371" s="10">
        <v>2</v>
      </c>
      <c r="Q4371" s="10" t="str">
        <f t="shared" si="68"/>
        <v>Incomplete</v>
      </c>
    </row>
    <row r="4372" spans="1:17" hidden="1">
      <c r="A4372" s="12">
        <v>46231</v>
      </c>
      <c r="B4372" s="10">
        <v>3</v>
      </c>
      <c r="Q4372" s="10" t="str">
        <f t="shared" si="68"/>
        <v>Incomplete</v>
      </c>
    </row>
    <row r="4373" spans="1:17" hidden="1">
      <c r="A4373" s="12">
        <v>46231</v>
      </c>
      <c r="B4373" s="10">
        <v>4</v>
      </c>
      <c r="Q4373" s="10" t="str">
        <f t="shared" si="68"/>
        <v>Incomplete</v>
      </c>
    </row>
    <row r="4374" spans="1:17" hidden="1">
      <c r="A4374" s="12">
        <v>46231</v>
      </c>
      <c r="B4374" s="10">
        <v>5</v>
      </c>
      <c r="Q4374" s="10" t="str">
        <f t="shared" si="68"/>
        <v>Incomplete</v>
      </c>
    </row>
    <row r="4375" spans="1:17" hidden="1">
      <c r="A4375" s="12">
        <v>46231</v>
      </c>
      <c r="B4375" s="10">
        <v>6</v>
      </c>
      <c r="Q4375" s="10" t="str">
        <f t="shared" si="68"/>
        <v>Incomplete</v>
      </c>
    </row>
    <row r="4376" spans="1:17" hidden="1">
      <c r="A4376" s="12">
        <v>46231</v>
      </c>
      <c r="B4376" s="10">
        <v>7</v>
      </c>
      <c r="Q4376" s="10" t="str">
        <f t="shared" si="68"/>
        <v>Incomplete</v>
      </c>
    </row>
    <row r="4377" spans="1:17" hidden="1">
      <c r="A4377" s="12">
        <v>46231</v>
      </c>
      <c r="B4377" s="10">
        <v>8</v>
      </c>
      <c r="Q4377" s="10" t="str">
        <f t="shared" si="68"/>
        <v>Incomplete</v>
      </c>
    </row>
    <row r="4378" spans="1:17" hidden="1">
      <c r="A4378" s="12">
        <v>46231</v>
      </c>
      <c r="B4378" s="10">
        <v>9</v>
      </c>
      <c r="Q4378" s="10" t="str">
        <f t="shared" si="68"/>
        <v>Incomplete</v>
      </c>
    </row>
    <row r="4379" spans="1:17" hidden="1">
      <c r="A4379" s="12">
        <v>46231</v>
      </c>
      <c r="B4379" s="10">
        <v>10</v>
      </c>
      <c r="Q4379" s="10" t="str">
        <f t="shared" si="68"/>
        <v>Incomplete</v>
      </c>
    </row>
    <row r="4380" spans="1:17" hidden="1">
      <c r="A4380" s="12">
        <v>46231</v>
      </c>
      <c r="B4380" s="10">
        <v>11</v>
      </c>
      <c r="Q4380" s="10" t="str">
        <f t="shared" si="68"/>
        <v>Incomplete</v>
      </c>
    </row>
    <row r="4381" spans="1:17" hidden="1">
      <c r="A4381" s="12">
        <v>46231</v>
      </c>
      <c r="B4381" s="10">
        <v>12</v>
      </c>
      <c r="Q4381" s="10" t="str">
        <f t="shared" si="68"/>
        <v>Incomplete</v>
      </c>
    </row>
    <row r="4382" spans="1:17" hidden="1">
      <c r="A4382" s="12">
        <v>46231</v>
      </c>
      <c r="B4382" s="10">
        <v>13</v>
      </c>
      <c r="Q4382" s="10" t="str">
        <f t="shared" si="68"/>
        <v>Incomplete</v>
      </c>
    </row>
    <row r="4383" spans="1:17" hidden="1">
      <c r="A4383" s="12">
        <v>46231</v>
      </c>
      <c r="B4383" s="10">
        <v>14</v>
      </c>
      <c r="Q4383" s="10" t="str">
        <f t="shared" si="68"/>
        <v>Incomplete</v>
      </c>
    </row>
    <row r="4384" spans="1:17" hidden="1">
      <c r="A4384" s="12">
        <v>46231</v>
      </c>
      <c r="B4384" s="10">
        <v>15</v>
      </c>
      <c r="Q4384" s="10" t="str">
        <f t="shared" si="68"/>
        <v>Incomplete</v>
      </c>
    </row>
    <row r="4385" spans="1:17" hidden="1">
      <c r="A4385" s="12">
        <v>46231</v>
      </c>
      <c r="B4385" s="10">
        <v>16</v>
      </c>
      <c r="Q4385" s="10" t="str">
        <f t="shared" si="68"/>
        <v>Incomplete</v>
      </c>
    </row>
    <row r="4386" spans="1:17" hidden="1">
      <c r="A4386" s="12">
        <v>46231</v>
      </c>
      <c r="B4386" s="10">
        <v>17</v>
      </c>
      <c r="Q4386" s="10" t="str">
        <f t="shared" si="68"/>
        <v>Incomplete</v>
      </c>
    </row>
    <row r="4387" spans="1:17" hidden="1">
      <c r="A4387" s="12">
        <v>46231</v>
      </c>
      <c r="B4387" s="10">
        <v>18</v>
      </c>
      <c r="Q4387" s="10" t="str">
        <f t="shared" si="68"/>
        <v>Incomplete</v>
      </c>
    </row>
    <row r="4388" spans="1:17" hidden="1">
      <c r="A4388" s="12">
        <v>46231</v>
      </c>
      <c r="B4388" s="10">
        <v>19</v>
      </c>
      <c r="Q4388" s="10" t="str">
        <f t="shared" si="68"/>
        <v>Incomplete</v>
      </c>
    </row>
    <row r="4389" spans="1:17" hidden="1">
      <c r="A4389" s="12">
        <v>46231</v>
      </c>
      <c r="B4389" s="10">
        <v>20</v>
      </c>
      <c r="Q4389" s="10" t="str">
        <f t="shared" si="68"/>
        <v>Incomplete</v>
      </c>
    </row>
    <row r="4390" spans="1:17" hidden="1">
      <c r="A4390" s="12">
        <v>46231</v>
      </c>
      <c r="B4390" s="10">
        <v>21</v>
      </c>
      <c r="Q4390" s="10" t="str">
        <f t="shared" si="68"/>
        <v>Incomplete</v>
      </c>
    </row>
    <row r="4391" spans="1:17" hidden="1">
      <c r="A4391" s="12">
        <v>46232</v>
      </c>
      <c r="B4391" s="10">
        <v>1</v>
      </c>
      <c r="Q4391" s="10" t="str">
        <f t="shared" si="68"/>
        <v>Incomplete</v>
      </c>
    </row>
    <row r="4392" spans="1:17" hidden="1">
      <c r="A4392" s="12">
        <v>46232</v>
      </c>
      <c r="B4392" s="10">
        <v>2</v>
      </c>
      <c r="Q4392" s="10" t="str">
        <f t="shared" si="68"/>
        <v>Incomplete</v>
      </c>
    </row>
    <row r="4393" spans="1:17" hidden="1">
      <c r="A4393" s="12">
        <v>46232</v>
      </c>
      <c r="B4393" s="10">
        <v>3</v>
      </c>
      <c r="Q4393" s="10" t="str">
        <f t="shared" si="68"/>
        <v>Incomplete</v>
      </c>
    </row>
    <row r="4394" spans="1:17" hidden="1">
      <c r="A4394" s="12">
        <v>46232</v>
      </c>
      <c r="B4394" s="10">
        <v>4</v>
      </c>
      <c r="Q4394" s="10" t="str">
        <f t="shared" si="68"/>
        <v>Incomplete</v>
      </c>
    </row>
    <row r="4395" spans="1:17" hidden="1">
      <c r="A4395" s="12">
        <v>46232</v>
      </c>
      <c r="B4395" s="10">
        <v>5</v>
      </c>
      <c r="Q4395" s="10" t="str">
        <f t="shared" si="68"/>
        <v>Incomplete</v>
      </c>
    </row>
    <row r="4396" spans="1:17" hidden="1">
      <c r="A4396" s="12">
        <v>46232</v>
      </c>
      <c r="B4396" s="10">
        <v>6</v>
      </c>
      <c r="Q4396" s="10" t="str">
        <f t="shared" si="68"/>
        <v>Incomplete</v>
      </c>
    </row>
    <row r="4397" spans="1:17" hidden="1">
      <c r="A4397" s="12">
        <v>46232</v>
      </c>
      <c r="B4397" s="10">
        <v>7</v>
      </c>
      <c r="Q4397" s="10" t="str">
        <f t="shared" si="68"/>
        <v>Incomplete</v>
      </c>
    </row>
    <row r="4398" spans="1:17" hidden="1">
      <c r="A4398" s="12">
        <v>46232</v>
      </c>
      <c r="B4398" s="10">
        <v>8</v>
      </c>
      <c r="Q4398" s="10" t="str">
        <f t="shared" si="68"/>
        <v>Incomplete</v>
      </c>
    </row>
    <row r="4399" spans="1:17" hidden="1">
      <c r="A4399" s="12">
        <v>46232</v>
      </c>
      <c r="B4399" s="10">
        <v>9</v>
      </c>
      <c r="Q4399" s="10" t="str">
        <f t="shared" si="68"/>
        <v>Incomplete</v>
      </c>
    </row>
    <row r="4400" spans="1:17" hidden="1">
      <c r="A4400" s="12">
        <v>46232</v>
      </c>
      <c r="B4400" s="10">
        <v>10</v>
      </c>
      <c r="Q4400" s="10" t="str">
        <f t="shared" si="68"/>
        <v>Incomplete</v>
      </c>
    </row>
    <row r="4401" spans="1:17" hidden="1">
      <c r="A4401" s="12">
        <v>46232</v>
      </c>
      <c r="B4401" s="10">
        <v>11</v>
      </c>
      <c r="Q4401" s="10" t="str">
        <f t="shared" si="68"/>
        <v>Incomplete</v>
      </c>
    </row>
    <row r="4402" spans="1:17" hidden="1">
      <c r="A4402" s="12">
        <v>46232</v>
      </c>
      <c r="B4402" s="10">
        <v>12</v>
      </c>
      <c r="Q4402" s="10" t="str">
        <f t="shared" si="68"/>
        <v>Incomplete</v>
      </c>
    </row>
    <row r="4403" spans="1:17" hidden="1">
      <c r="A4403" s="12">
        <v>46232</v>
      </c>
      <c r="B4403" s="10">
        <v>13</v>
      </c>
      <c r="Q4403" s="10" t="str">
        <f t="shared" si="68"/>
        <v>Incomplete</v>
      </c>
    </row>
    <row r="4404" spans="1:17" hidden="1">
      <c r="A4404" s="12">
        <v>46232</v>
      </c>
      <c r="B4404" s="10">
        <v>14</v>
      </c>
      <c r="Q4404" s="10" t="str">
        <f t="shared" si="68"/>
        <v>Incomplete</v>
      </c>
    </row>
    <row r="4405" spans="1:17" hidden="1">
      <c r="A4405" s="12">
        <v>46232</v>
      </c>
      <c r="B4405" s="10">
        <v>15</v>
      </c>
      <c r="Q4405" s="10" t="str">
        <f t="shared" si="68"/>
        <v>Incomplete</v>
      </c>
    </row>
    <row r="4406" spans="1:17" hidden="1">
      <c r="A4406" s="12">
        <v>46232</v>
      </c>
      <c r="B4406" s="10">
        <v>16</v>
      </c>
      <c r="Q4406" s="10" t="str">
        <f t="shared" si="68"/>
        <v>Incomplete</v>
      </c>
    </row>
    <row r="4407" spans="1:17" hidden="1">
      <c r="A4407" s="12">
        <v>46232</v>
      </c>
      <c r="B4407" s="10">
        <v>17</v>
      </c>
      <c r="Q4407" s="10" t="str">
        <f t="shared" si="68"/>
        <v>Incomplete</v>
      </c>
    </row>
    <row r="4408" spans="1:17" hidden="1">
      <c r="A4408" s="12">
        <v>46232</v>
      </c>
      <c r="B4408" s="10">
        <v>18</v>
      </c>
      <c r="Q4408" s="10" t="str">
        <f t="shared" si="68"/>
        <v>Incomplete</v>
      </c>
    </row>
    <row r="4409" spans="1:17" hidden="1">
      <c r="A4409" s="12">
        <v>46232</v>
      </c>
      <c r="B4409" s="10">
        <v>19</v>
      </c>
      <c r="Q4409" s="10" t="str">
        <f t="shared" si="68"/>
        <v>Incomplete</v>
      </c>
    </row>
    <row r="4410" spans="1:17" hidden="1">
      <c r="A4410" s="12">
        <v>46232</v>
      </c>
      <c r="B4410" s="10">
        <v>20</v>
      </c>
      <c r="Q4410" s="10" t="str">
        <f t="shared" si="68"/>
        <v>Incomplete</v>
      </c>
    </row>
    <row r="4411" spans="1:17" hidden="1">
      <c r="A4411" s="12">
        <v>46232</v>
      </c>
      <c r="B4411" s="10">
        <v>21</v>
      </c>
      <c r="Q4411" s="10" t="str">
        <f t="shared" si="68"/>
        <v>Incomplete</v>
      </c>
    </row>
    <row r="4412" spans="1:17" hidden="1">
      <c r="A4412" s="12">
        <v>46233</v>
      </c>
      <c r="B4412" s="10">
        <v>1</v>
      </c>
      <c r="Q4412" s="10" t="str">
        <f t="shared" si="68"/>
        <v>Incomplete</v>
      </c>
    </row>
    <row r="4413" spans="1:17" hidden="1">
      <c r="A4413" s="12">
        <v>46233</v>
      </c>
      <c r="B4413" s="10">
        <v>2</v>
      </c>
      <c r="Q4413" s="10" t="str">
        <f t="shared" si="68"/>
        <v>Incomplete</v>
      </c>
    </row>
    <row r="4414" spans="1:17" hidden="1">
      <c r="A4414" s="12">
        <v>46233</v>
      </c>
      <c r="B4414" s="10">
        <v>3</v>
      </c>
      <c r="Q4414" s="10" t="str">
        <f t="shared" si="68"/>
        <v>Incomplete</v>
      </c>
    </row>
    <row r="4415" spans="1:17" hidden="1">
      <c r="A4415" s="12">
        <v>46233</v>
      </c>
      <c r="B4415" s="10">
        <v>4</v>
      </c>
      <c r="Q4415" s="10" t="str">
        <f t="shared" si="68"/>
        <v>Incomplete</v>
      </c>
    </row>
    <row r="4416" spans="1:17" hidden="1">
      <c r="A4416" s="12">
        <v>46233</v>
      </c>
      <c r="B4416" s="10">
        <v>5</v>
      </c>
      <c r="Q4416" s="10" t="str">
        <f t="shared" si="68"/>
        <v>Incomplete</v>
      </c>
    </row>
    <row r="4417" spans="1:17" hidden="1">
      <c r="A4417" s="12">
        <v>46233</v>
      </c>
      <c r="B4417" s="10">
        <v>6</v>
      </c>
      <c r="Q4417" s="10" t="str">
        <f t="shared" si="68"/>
        <v>Incomplete</v>
      </c>
    </row>
    <row r="4418" spans="1:17" hidden="1">
      <c r="A4418" s="12">
        <v>46233</v>
      </c>
      <c r="B4418" s="10">
        <v>7</v>
      </c>
      <c r="Q4418" s="10" t="str">
        <f t="shared" ref="Q4418:Q4481" si="69">IF(AND(C4418&lt;&gt;"",J4418&lt;&gt;"",K4418&lt;&gt;"",L4418&lt;&gt;"",O4418="Yes"),"Complete","Incomplete")</f>
        <v>Incomplete</v>
      </c>
    </row>
    <row r="4419" spans="1:17" hidden="1">
      <c r="A4419" s="12">
        <v>46233</v>
      </c>
      <c r="B4419" s="10">
        <v>8</v>
      </c>
      <c r="Q4419" s="10" t="str">
        <f t="shared" si="69"/>
        <v>Incomplete</v>
      </c>
    </row>
    <row r="4420" spans="1:17" hidden="1">
      <c r="A4420" s="12">
        <v>46233</v>
      </c>
      <c r="B4420" s="10">
        <v>9</v>
      </c>
      <c r="Q4420" s="10" t="str">
        <f t="shared" si="69"/>
        <v>Incomplete</v>
      </c>
    </row>
    <row r="4421" spans="1:17" hidden="1">
      <c r="A4421" s="12">
        <v>46233</v>
      </c>
      <c r="B4421" s="10">
        <v>10</v>
      </c>
      <c r="Q4421" s="10" t="str">
        <f t="shared" si="69"/>
        <v>Incomplete</v>
      </c>
    </row>
    <row r="4422" spans="1:17" hidden="1">
      <c r="A4422" s="12">
        <v>46233</v>
      </c>
      <c r="B4422" s="10">
        <v>11</v>
      </c>
      <c r="Q4422" s="10" t="str">
        <f t="shared" si="69"/>
        <v>Incomplete</v>
      </c>
    </row>
    <row r="4423" spans="1:17" hidden="1">
      <c r="A4423" s="12">
        <v>46233</v>
      </c>
      <c r="B4423" s="10">
        <v>12</v>
      </c>
      <c r="Q4423" s="10" t="str">
        <f t="shared" si="69"/>
        <v>Incomplete</v>
      </c>
    </row>
    <row r="4424" spans="1:17" hidden="1">
      <c r="A4424" s="12">
        <v>46233</v>
      </c>
      <c r="B4424" s="10">
        <v>13</v>
      </c>
      <c r="Q4424" s="10" t="str">
        <f t="shared" si="69"/>
        <v>Incomplete</v>
      </c>
    </row>
    <row r="4425" spans="1:17" hidden="1">
      <c r="A4425" s="12">
        <v>46233</v>
      </c>
      <c r="B4425" s="10">
        <v>14</v>
      </c>
      <c r="Q4425" s="10" t="str">
        <f t="shared" si="69"/>
        <v>Incomplete</v>
      </c>
    </row>
    <row r="4426" spans="1:17" hidden="1">
      <c r="A4426" s="12">
        <v>46233</v>
      </c>
      <c r="B4426" s="10">
        <v>15</v>
      </c>
      <c r="Q4426" s="10" t="str">
        <f t="shared" si="69"/>
        <v>Incomplete</v>
      </c>
    </row>
    <row r="4427" spans="1:17" hidden="1">
      <c r="A4427" s="12">
        <v>46233</v>
      </c>
      <c r="B4427" s="10">
        <v>16</v>
      </c>
      <c r="Q4427" s="10" t="str">
        <f t="shared" si="69"/>
        <v>Incomplete</v>
      </c>
    </row>
    <row r="4428" spans="1:17" hidden="1">
      <c r="A4428" s="12">
        <v>46233</v>
      </c>
      <c r="B4428" s="10">
        <v>17</v>
      </c>
      <c r="Q4428" s="10" t="str">
        <f t="shared" si="69"/>
        <v>Incomplete</v>
      </c>
    </row>
    <row r="4429" spans="1:17" hidden="1">
      <c r="A4429" s="12">
        <v>46233</v>
      </c>
      <c r="B4429" s="10">
        <v>18</v>
      </c>
      <c r="Q4429" s="10" t="str">
        <f t="shared" si="69"/>
        <v>Incomplete</v>
      </c>
    </row>
    <row r="4430" spans="1:17" hidden="1">
      <c r="A4430" s="12">
        <v>46233</v>
      </c>
      <c r="B4430" s="10">
        <v>19</v>
      </c>
      <c r="Q4430" s="10" t="str">
        <f t="shared" si="69"/>
        <v>Incomplete</v>
      </c>
    </row>
    <row r="4431" spans="1:17" hidden="1">
      <c r="A4431" s="12">
        <v>46233</v>
      </c>
      <c r="B4431" s="10">
        <v>20</v>
      </c>
      <c r="Q4431" s="10" t="str">
        <f t="shared" si="69"/>
        <v>Incomplete</v>
      </c>
    </row>
    <row r="4432" spans="1:17" hidden="1">
      <c r="A4432" s="12">
        <v>46233</v>
      </c>
      <c r="B4432" s="10">
        <v>21</v>
      </c>
      <c r="Q4432" s="10" t="str">
        <f t="shared" si="69"/>
        <v>Incomplete</v>
      </c>
    </row>
    <row r="4433" spans="1:17" hidden="1">
      <c r="A4433" s="12">
        <v>46234</v>
      </c>
      <c r="B4433" s="10">
        <v>1</v>
      </c>
      <c r="Q4433" s="10" t="str">
        <f t="shared" si="69"/>
        <v>Incomplete</v>
      </c>
    </row>
    <row r="4434" spans="1:17" hidden="1">
      <c r="A4434" s="12">
        <v>46234</v>
      </c>
      <c r="B4434" s="10">
        <v>2</v>
      </c>
      <c r="Q4434" s="10" t="str">
        <f t="shared" si="69"/>
        <v>Incomplete</v>
      </c>
    </row>
    <row r="4435" spans="1:17" hidden="1">
      <c r="A4435" s="12">
        <v>46234</v>
      </c>
      <c r="B4435" s="10">
        <v>3</v>
      </c>
      <c r="Q4435" s="10" t="str">
        <f t="shared" si="69"/>
        <v>Incomplete</v>
      </c>
    </row>
    <row r="4436" spans="1:17" hidden="1">
      <c r="A4436" s="12">
        <v>46234</v>
      </c>
      <c r="B4436" s="10">
        <v>4</v>
      </c>
      <c r="Q4436" s="10" t="str">
        <f t="shared" si="69"/>
        <v>Incomplete</v>
      </c>
    </row>
    <row r="4437" spans="1:17" hidden="1">
      <c r="A4437" s="12">
        <v>46234</v>
      </c>
      <c r="B4437" s="10">
        <v>5</v>
      </c>
      <c r="Q4437" s="10" t="str">
        <f t="shared" si="69"/>
        <v>Incomplete</v>
      </c>
    </row>
    <row r="4438" spans="1:17" hidden="1">
      <c r="A4438" s="12">
        <v>46234</v>
      </c>
      <c r="B4438" s="10">
        <v>6</v>
      </c>
      <c r="Q4438" s="10" t="str">
        <f t="shared" si="69"/>
        <v>Incomplete</v>
      </c>
    </row>
    <row r="4439" spans="1:17" hidden="1">
      <c r="A4439" s="12">
        <v>46234</v>
      </c>
      <c r="B4439" s="10">
        <v>7</v>
      </c>
      <c r="Q4439" s="10" t="str">
        <f t="shared" si="69"/>
        <v>Incomplete</v>
      </c>
    </row>
    <row r="4440" spans="1:17" hidden="1">
      <c r="A4440" s="12">
        <v>46234</v>
      </c>
      <c r="B4440" s="10">
        <v>8</v>
      </c>
      <c r="Q4440" s="10" t="str">
        <f t="shared" si="69"/>
        <v>Incomplete</v>
      </c>
    </row>
    <row r="4441" spans="1:17" hidden="1">
      <c r="A4441" s="12">
        <v>46234</v>
      </c>
      <c r="B4441" s="10">
        <v>9</v>
      </c>
      <c r="Q4441" s="10" t="str">
        <f t="shared" si="69"/>
        <v>Incomplete</v>
      </c>
    </row>
    <row r="4442" spans="1:17" hidden="1">
      <c r="A4442" s="12">
        <v>46234</v>
      </c>
      <c r="B4442" s="10">
        <v>10</v>
      </c>
      <c r="Q4442" s="10" t="str">
        <f t="shared" si="69"/>
        <v>Incomplete</v>
      </c>
    </row>
    <row r="4443" spans="1:17" hidden="1">
      <c r="A4443" s="12">
        <v>46234</v>
      </c>
      <c r="B4443" s="10">
        <v>11</v>
      </c>
      <c r="Q4443" s="10" t="str">
        <f t="shared" si="69"/>
        <v>Incomplete</v>
      </c>
    </row>
    <row r="4444" spans="1:17" hidden="1">
      <c r="A4444" s="12">
        <v>46234</v>
      </c>
      <c r="B4444" s="10">
        <v>12</v>
      </c>
      <c r="Q4444" s="10" t="str">
        <f t="shared" si="69"/>
        <v>Incomplete</v>
      </c>
    </row>
    <row r="4445" spans="1:17" hidden="1">
      <c r="A4445" s="12">
        <v>46234</v>
      </c>
      <c r="B4445" s="10">
        <v>13</v>
      </c>
      <c r="Q4445" s="10" t="str">
        <f t="shared" si="69"/>
        <v>Incomplete</v>
      </c>
    </row>
    <row r="4446" spans="1:17" hidden="1">
      <c r="A4446" s="12">
        <v>46234</v>
      </c>
      <c r="B4446" s="10">
        <v>14</v>
      </c>
      <c r="Q4446" s="10" t="str">
        <f t="shared" si="69"/>
        <v>Incomplete</v>
      </c>
    </row>
    <row r="4447" spans="1:17" hidden="1">
      <c r="A4447" s="12">
        <v>46234</v>
      </c>
      <c r="B4447" s="10">
        <v>15</v>
      </c>
      <c r="Q4447" s="10" t="str">
        <f t="shared" si="69"/>
        <v>Incomplete</v>
      </c>
    </row>
    <row r="4448" spans="1:17" hidden="1">
      <c r="A4448" s="12">
        <v>46234</v>
      </c>
      <c r="B4448" s="10">
        <v>16</v>
      </c>
      <c r="Q4448" s="10" t="str">
        <f t="shared" si="69"/>
        <v>Incomplete</v>
      </c>
    </row>
    <row r="4449" spans="1:17" hidden="1">
      <c r="A4449" s="12">
        <v>46234</v>
      </c>
      <c r="B4449" s="10">
        <v>17</v>
      </c>
      <c r="Q4449" s="10" t="str">
        <f t="shared" si="69"/>
        <v>Incomplete</v>
      </c>
    </row>
    <row r="4450" spans="1:17" hidden="1">
      <c r="A4450" s="12">
        <v>46234</v>
      </c>
      <c r="B4450" s="10">
        <v>18</v>
      </c>
      <c r="Q4450" s="10" t="str">
        <f t="shared" si="69"/>
        <v>Incomplete</v>
      </c>
    </row>
    <row r="4451" spans="1:17" hidden="1">
      <c r="A4451" s="12">
        <v>46234</v>
      </c>
      <c r="B4451" s="10">
        <v>19</v>
      </c>
      <c r="Q4451" s="10" t="str">
        <f t="shared" si="69"/>
        <v>Incomplete</v>
      </c>
    </row>
    <row r="4452" spans="1:17" hidden="1">
      <c r="A4452" s="12">
        <v>46234</v>
      </c>
      <c r="B4452" s="10">
        <v>20</v>
      </c>
      <c r="Q4452" s="10" t="str">
        <f t="shared" si="69"/>
        <v>Incomplete</v>
      </c>
    </row>
    <row r="4453" spans="1:17" hidden="1">
      <c r="A4453" s="12">
        <v>46234</v>
      </c>
      <c r="B4453" s="10">
        <v>21</v>
      </c>
      <c r="Q4453" s="10" t="str">
        <f t="shared" si="69"/>
        <v>Incomplete</v>
      </c>
    </row>
    <row r="4454" spans="1:17">
      <c r="A4454" s="12">
        <v>46235</v>
      </c>
      <c r="B4454" s="10">
        <v>1</v>
      </c>
      <c r="Q4454" s="10" t="str">
        <f t="shared" si="69"/>
        <v>Incomplete</v>
      </c>
    </row>
    <row r="4455" spans="1:17">
      <c r="A4455" s="12">
        <v>46235</v>
      </c>
      <c r="B4455" s="10">
        <v>2</v>
      </c>
      <c r="Q4455" s="10" t="str">
        <f t="shared" si="69"/>
        <v>Incomplete</v>
      </c>
    </row>
    <row r="4456" spans="1:17">
      <c r="A4456" s="12">
        <v>46235</v>
      </c>
      <c r="B4456" s="10">
        <v>3</v>
      </c>
      <c r="Q4456" s="10" t="str">
        <f t="shared" si="69"/>
        <v>Incomplete</v>
      </c>
    </row>
    <row r="4457" spans="1:17">
      <c r="A4457" s="12">
        <v>46235</v>
      </c>
      <c r="B4457" s="10">
        <v>4</v>
      </c>
      <c r="Q4457" s="10" t="str">
        <f t="shared" si="69"/>
        <v>Incomplete</v>
      </c>
    </row>
    <row r="4458" spans="1:17">
      <c r="A4458" s="12">
        <v>46235</v>
      </c>
      <c r="B4458" s="10">
        <v>5</v>
      </c>
      <c r="Q4458" s="10" t="str">
        <f t="shared" si="69"/>
        <v>Incomplete</v>
      </c>
    </row>
    <row r="4459" spans="1:17">
      <c r="A4459" s="12">
        <v>46235</v>
      </c>
      <c r="B4459" s="10">
        <v>6</v>
      </c>
      <c r="Q4459" s="10" t="str">
        <f t="shared" si="69"/>
        <v>Incomplete</v>
      </c>
    </row>
    <row r="4460" spans="1:17">
      <c r="A4460" s="12">
        <v>46235</v>
      </c>
      <c r="B4460" s="10">
        <v>7</v>
      </c>
      <c r="Q4460" s="10" t="str">
        <f t="shared" si="69"/>
        <v>Incomplete</v>
      </c>
    </row>
    <row r="4461" spans="1:17">
      <c r="A4461" s="12">
        <v>46235</v>
      </c>
      <c r="B4461" s="10">
        <v>8</v>
      </c>
      <c r="Q4461" s="10" t="str">
        <f t="shared" si="69"/>
        <v>Incomplete</v>
      </c>
    </row>
    <row r="4462" spans="1:17">
      <c r="A4462" s="12">
        <v>46235</v>
      </c>
      <c r="B4462" s="10">
        <v>9</v>
      </c>
      <c r="Q4462" s="10" t="str">
        <f t="shared" si="69"/>
        <v>Incomplete</v>
      </c>
    </row>
    <row r="4463" spans="1:17">
      <c r="A4463" s="12">
        <v>46235</v>
      </c>
      <c r="B4463" s="10">
        <v>10</v>
      </c>
      <c r="Q4463" s="10" t="str">
        <f t="shared" si="69"/>
        <v>Incomplete</v>
      </c>
    </row>
    <row r="4464" spans="1:17">
      <c r="A4464" s="12">
        <v>46235</v>
      </c>
      <c r="B4464" s="10">
        <v>11</v>
      </c>
      <c r="Q4464" s="10" t="str">
        <f t="shared" si="69"/>
        <v>Incomplete</v>
      </c>
    </row>
    <row r="4465" spans="1:17">
      <c r="A4465" s="12">
        <v>46235</v>
      </c>
      <c r="B4465" s="10">
        <v>12</v>
      </c>
      <c r="Q4465" s="10" t="str">
        <f t="shared" si="69"/>
        <v>Incomplete</v>
      </c>
    </row>
    <row r="4466" spans="1:17">
      <c r="A4466" s="12">
        <v>46235</v>
      </c>
      <c r="B4466" s="10">
        <v>13</v>
      </c>
      <c r="Q4466" s="10" t="str">
        <f t="shared" si="69"/>
        <v>Incomplete</v>
      </c>
    </row>
    <row r="4467" spans="1:17">
      <c r="A4467" s="12">
        <v>46235</v>
      </c>
      <c r="B4467" s="10">
        <v>14</v>
      </c>
      <c r="Q4467" s="10" t="str">
        <f t="shared" si="69"/>
        <v>Incomplete</v>
      </c>
    </row>
    <row r="4468" spans="1:17">
      <c r="A4468" s="12">
        <v>46235</v>
      </c>
      <c r="B4468" s="10">
        <v>15</v>
      </c>
      <c r="Q4468" s="10" t="str">
        <f t="shared" si="69"/>
        <v>Incomplete</v>
      </c>
    </row>
    <row r="4469" spans="1:17">
      <c r="A4469" s="12">
        <v>46235</v>
      </c>
      <c r="B4469" s="10">
        <v>16</v>
      </c>
      <c r="Q4469" s="10" t="str">
        <f t="shared" si="69"/>
        <v>Incomplete</v>
      </c>
    </row>
    <row r="4470" spans="1:17">
      <c r="A4470" s="12">
        <v>46235</v>
      </c>
      <c r="B4470" s="10">
        <v>17</v>
      </c>
      <c r="Q4470" s="10" t="str">
        <f t="shared" si="69"/>
        <v>Incomplete</v>
      </c>
    </row>
    <row r="4471" spans="1:17">
      <c r="A4471" s="12">
        <v>46235</v>
      </c>
      <c r="B4471" s="10">
        <v>18</v>
      </c>
      <c r="Q4471" s="10" t="str">
        <f t="shared" si="69"/>
        <v>Incomplete</v>
      </c>
    </row>
    <row r="4472" spans="1:17">
      <c r="A4472" s="12">
        <v>46235</v>
      </c>
      <c r="B4472" s="10">
        <v>19</v>
      </c>
      <c r="Q4472" s="10" t="str">
        <f t="shared" si="69"/>
        <v>Incomplete</v>
      </c>
    </row>
    <row r="4473" spans="1:17">
      <c r="A4473" s="12">
        <v>46235</v>
      </c>
      <c r="B4473" s="10">
        <v>20</v>
      </c>
      <c r="Q4473" s="10" t="str">
        <f t="shared" si="69"/>
        <v>Incomplete</v>
      </c>
    </row>
    <row r="4474" spans="1:17">
      <c r="A4474" s="12">
        <v>46235</v>
      </c>
      <c r="B4474" s="10">
        <v>21</v>
      </c>
      <c r="Q4474" s="10" t="str">
        <f t="shared" si="69"/>
        <v>Incomplete</v>
      </c>
    </row>
    <row r="4475" spans="1:17">
      <c r="A4475" s="12">
        <v>46236</v>
      </c>
      <c r="B4475" s="10">
        <v>1</v>
      </c>
      <c r="Q4475" s="10" t="str">
        <f t="shared" si="69"/>
        <v>Incomplete</v>
      </c>
    </row>
    <row r="4476" spans="1:17">
      <c r="A4476" s="12">
        <v>46236</v>
      </c>
      <c r="B4476" s="10">
        <v>2</v>
      </c>
      <c r="Q4476" s="10" t="str">
        <f t="shared" si="69"/>
        <v>Incomplete</v>
      </c>
    </row>
    <row r="4477" spans="1:17">
      <c r="A4477" s="12">
        <v>46236</v>
      </c>
      <c r="B4477" s="10">
        <v>3</v>
      </c>
      <c r="Q4477" s="10" t="str">
        <f t="shared" si="69"/>
        <v>Incomplete</v>
      </c>
    </row>
    <row r="4478" spans="1:17">
      <c r="A4478" s="12">
        <v>46236</v>
      </c>
      <c r="B4478" s="10">
        <v>4</v>
      </c>
      <c r="Q4478" s="10" t="str">
        <f t="shared" si="69"/>
        <v>Incomplete</v>
      </c>
    </row>
    <row r="4479" spans="1:17">
      <c r="A4479" s="12">
        <v>46236</v>
      </c>
      <c r="B4479" s="10">
        <v>5</v>
      </c>
      <c r="Q4479" s="10" t="str">
        <f t="shared" si="69"/>
        <v>Incomplete</v>
      </c>
    </row>
    <row r="4480" spans="1:17">
      <c r="A4480" s="12">
        <v>46236</v>
      </c>
      <c r="B4480" s="10">
        <v>6</v>
      </c>
      <c r="Q4480" s="10" t="str">
        <f t="shared" si="69"/>
        <v>Incomplete</v>
      </c>
    </row>
    <row r="4481" spans="1:17">
      <c r="A4481" s="12">
        <v>46236</v>
      </c>
      <c r="B4481" s="10">
        <v>7</v>
      </c>
      <c r="Q4481" s="10" t="str">
        <f t="shared" si="69"/>
        <v>Incomplete</v>
      </c>
    </row>
    <row r="4482" spans="1:17">
      <c r="A4482" s="12">
        <v>46236</v>
      </c>
      <c r="B4482" s="10">
        <v>8</v>
      </c>
      <c r="Q4482" s="10" t="str">
        <f t="shared" ref="Q4482:Q4545" si="70">IF(AND(C4482&lt;&gt;"",J4482&lt;&gt;"",K4482&lt;&gt;"",L4482&lt;&gt;"",O4482="Yes"),"Complete","Incomplete")</f>
        <v>Incomplete</v>
      </c>
    </row>
    <row r="4483" spans="1:17">
      <c r="A4483" s="12">
        <v>46236</v>
      </c>
      <c r="B4483" s="10">
        <v>9</v>
      </c>
      <c r="Q4483" s="10" t="str">
        <f t="shared" si="70"/>
        <v>Incomplete</v>
      </c>
    </row>
    <row r="4484" spans="1:17">
      <c r="A4484" s="12">
        <v>46236</v>
      </c>
      <c r="B4484" s="10">
        <v>10</v>
      </c>
      <c r="Q4484" s="10" t="str">
        <f t="shared" si="70"/>
        <v>Incomplete</v>
      </c>
    </row>
    <row r="4485" spans="1:17">
      <c r="A4485" s="12">
        <v>46236</v>
      </c>
      <c r="B4485" s="10">
        <v>11</v>
      </c>
      <c r="Q4485" s="10" t="str">
        <f t="shared" si="70"/>
        <v>Incomplete</v>
      </c>
    </row>
    <row r="4486" spans="1:17">
      <c r="A4486" s="12">
        <v>46236</v>
      </c>
      <c r="B4486" s="10">
        <v>12</v>
      </c>
      <c r="Q4486" s="10" t="str">
        <f t="shared" si="70"/>
        <v>Incomplete</v>
      </c>
    </row>
    <row r="4487" spans="1:17">
      <c r="A4487" s="12">
        <v>46236</v>
      </c>
      <c r="B4487" s="10">
        <v>13</v>
      </c>
      <c r="Q4487" s="10" t="str">
        <f t="shared" si="70"/>
        <v>Incomplete</v>
      </c>
    </row>
    <row r="4488" spans="1:17">
      <c r="A4488" s="12">
        <v>46236</v>
      </c>
      <c r="B4488" s="10">
        <v>14</v>
      </c>
      <c r="Q4488" s="10" t="str">
        <f t="shared" si="70"/>
        <v>Incomplete</v>
      </c>
    </row>
    <row r="4489" spans="1:17">
      <c r="A4489" s="12">
        <v>46236</v>
      </c>
      <c r="B4489" s="10">
        <v>15</v>
      </c>
      <c r="Q4489" s="10" t="str">
        <f t="shared" si="70"/>
        <v>Incomplete</v>
      </c>
    </row>
    <row r="4490" spans="1:17">
      <c r="A4490" s="12">
        <v>46236</v>
      </c>
      <c r="B4490" s="10">
        <v>16</v>
      </c>
      <c r="Q4490" s="10" t="str">
        <f t="shared" si="70"/>
        <v>Incomplete</v>
      </c>
    </row>
    <row r="4491" spans="1:17">
      <c r="A4491" s="12">
        <v>46236</v>
      </c>
      <c r="B4491" s="10">
        <v>17</v>
      </c>
      <c r="Q4491" s="10" t="str">
        <f t="shared" si="70"/>
        <v>Incomplete</v>
      </c>
    </row>
    <row r="4492" spans="1:17">
      <c r="A4492" s="12">
        <v>46236</v>
      </c>
      <c r="B4492" s="10">
        <v>18</v>
      </c>
      <c r="Q4492" s="10" t="str">
        <f t="shared" si="70"/>
        <v>Incomplete</v>
      </c>
    </row>
    <row r="4493" spans="1:17">
      <c r="A4493" s="12">
        <v>46236</v>
      </c>
      <c r="B4493" s="10">
        <v>19</v>
      </c>
      <c r="Q4493" s="10" t="str">
        <f t="shared" si="70"/>
        <v>Incomplete</v>
      </c>
    </row>
    <row r="4494" spans="1:17">
      <c r="A4494" s="12">
        <v>46236</v>
      </c>
      <c r="B4494" s="10">
        <v>20</v>
      </c>
      <c r="Q4494" s="10" t="str">
        <f t="shared" si="70"/>
        <v>Incomplete</v>
      </c>
    </row>
    <row r="4495" spans="1:17">
      <c r="A4495" s="12">
        <v>46236</v>
      </c>
      <c r="B4495" s="10">
        <v>21</v>
      </c>
      <c r="Q4495" s="10" t="str">
        <f t="shared" si="70"/>
        <v>Incomplete</v>
      </c>
    </row>
    <row r="4496" spans="1:17">
      <c r="A4496" s="12">
        <v>46237</v>
      </c>
      <c r="B4496" s="10">
        <v>1</v>
      </c>
      <c r="Q4496" s="10" t="str">
        <f t="shared" si="70"/>
        <v>Incomplete</v>
      </c>
    </row>
    <row r="4497" spans="1:17">
      <c r="A4497" s="12">
        <v>46237</v>
      </c>
      <c r="B4497" s="10">
        <v>2</v>
      </c>
      <c r="Q4497" s="10" t="str">
        <f t="shared" si="70"/>
        <v>Incomplete</v>
      </c>
    </row>
    <row r="4498" spans="1:17">
      <c r="A4498" s="12">
        <v>46237</v>
      </c>
      <c r="B4498" s="10">
        <v>3</v>
      </c>
      <c r="Q4498" s="10" t="str">
        <f t="shared" si="70"/>
        <v>Incomplete</v>
      </c>
    </row>
    <row r="4499" spans="1:17">
      <c r="A4499" s="12">
        <v>46237</v>
      </c>
      <c r="B4499" s="10">
        <v>4</v>
      </c>
      <c r="Q4499" s="10" t="str">
        <f t="shared" si="70"/>
        <v>Incomplete</v>
      </c>
    </row>
    <row r="4500" spans="1:17">
      <c r="A4500" s="12">
        <v>46237</v>
      </c>
      <c r="B4500" s="10">
        <v>5</v>
      </c>
      <c r="Q4500" s="10" t="str">
        <f t="shared" si="70"/>
        <v>Incomplete</v>
      </c>
    </row>
    <row r="4501" spans="1:17">
      <c r="A4501" s="12">
        <v>46237</v>
      </c>
      <c r="B4501" s="10">
        <v>6</v>
      </c>
      <c r="Q4501" s="10" t="str">
        <f t="shared" si="70"/>
        <v>Incomplete</v>
      </c>
    </row>
    <row r="4502" spans="1:17">
      <c r="A4502" s="12">
        <v>46237</v>
      </c>
      <c r="B4502" s="10">
        <v>7</v>
      </c>
      <c r="Q4502" s="10" t="str">
        <f t="shared" si="70"/>
        <v>Incomplete</v>
      </c>
    </row>
    <row r="4503" spans="1:17">
      <c r="A4503" s="12">
        <v>46237</v>
      </c>
      <c r="B4503" s="10">
        <v>8</v>
      </c>
      <c r="Q4503" s="10" t="str">
        <f t="shared" si="70"/>
        <v>Incomplete</v>
      </c>
    </row>
    <row r="4504" spans="1:17">
      <c r="A4504" s="12">
        <v>46237</v>
      </c>
      <c r="B4504" s="10">
        <v>9</v>
      </c>
      <c r="Q4504" s="10" t="str">
        <f t="shared" si="70"/>
        <v>Incomplete</v>
      </c>
    </row>
    <row r="4505" spans="1:17">
      <c r="A4505" s="12">
        <v>46237</v>
      </c>
      <c r="B4505" s="10">
        <v>10</v>
      </c>
      <c r="Q4505" s="10" t="str">
        <f t="shared" si="70"/>
        <v>Incomplete</v>
      </c>
    </row>
    <row r="4506" spans="1:17">
      <c r="A4506" s="12">
        <v>46237</v>
      </c>
      <c r="B4506" s="10">
        <v>11</v>
      </c>
      <c r="Q4506" s="10" t="str">
        <f t="shared" si="70"/>
        <v>Incomplete</v>
      </c>
    </row>
    <row r="4507" spans="1:17">
      <c r="A4507" s="12">
        <v>46237</v>
      </c>
      <c r="B4507" s="10">
        <v>12</v>
      </c>
      <c r="Q4507" s="10" t="str">
        <f t="shared" si="70"/>
        <v>Incomplete</v>
      </c>
    </row>
    <row r="4508" spans="1:17">
      <c r="A4508" s="12">
        <v>46237</v>
      </c>
      <c r="B4508" s="10">
        <v>13</v>
      </c>
      <c r="Q4508" s="10" t="str">
        <f t="shared" si="70"/>
        <v>Incomplete</v>
      </c>
    </row>
    <row r="4509" spans="1:17">
      <c r="A4509" s="12">
        <v>46237</v>
      </c>
      <c r="B4509" s="10">
        <v>14</v>
      </c>
      <c r="Q4509" s="10" t="str">
        <f t="shared" si="70"/>
        <v>Incomplete</v>
      </c>
    </row>
    <row r="4510" spans="1:17">
      <c r="A4510" s="12">
        <v>46237</v>
      </c>
      <c r="B4510" s="10">
        <v>15</v>
      </c>
      <c r="Q4510" s="10" t="str">
        <f t="shared" si="70"/>
        <v>Incomplete</v>
      </c>
    </row>
    <row r="4511" spans="1:17">
      <c r="A4511" s="12">
        <v>46237</v>
      </c>
      <c r="B4511" s="10">
        <v>16</v>
      </c>
      <c r="Q4511" s="10" t="str">
        <f t="shared" si="70"/>
        <v>Incomplete</v>
      </c>
    </row>
    <row r="4512" spans="1:17">
      <c r="A4512" s="12">
        <v>46237</v>
      </c>
      <c r="B4512" s="10">
        <v>17</v>
      </c>
      <c r="Q4512" s="10" t="str">
        <f t="shared" si="70"/>
        <v>Incomplete</v>
      </c>
    </row>
    <row r="4513" spans="1:17">
      <c r="A4513" s="12">
        <v>46237</v>
      </c>
      <c r="B4513" s="10">
        <v>18</v>
      </c>
      <c r="Q4513" s="10" t="str">
        <f t="shared" si="70"/>
        <v>Incomplete</v>
      </c>
    </row>
    <row r="4514" spans="1:17">
      <c r="A4514" s="12">
        <v>46237</v>
      </c>
      <c r="B4514" s="10">
        <v>19</v>
      </c>
      <c r="Q4514" s="10" t="str">
        <f t="shared" si="70"/>
        <v>Incomplete</v>
      </c>
    </row>
    <row r="4515" spans="1:17">
      <c r="A4515" s="12">
        <v>46237</v>
      </c>
      <c r="B4515" s="10">
        <v>20</v>
      </c>
      <c r="Q4515" s="10" t="str">
        <f t="shared" si="70"/>
        <v>Incomplete</v>
      </c>
    </row>
    <row r="4516" spans="1:17">
      <c r="A4516" s="12">
        <v>46237</v>
      </c>
      <c r="B4516" s="10">
        <v>21</v>
      </c>
      <c r="Q4516" s="10" t="str">
        <f t="shared" si="70"/>
        <v>Incomplete</v>
      </c>
    </row>
    <row r="4517" spans="1:17">
      <c r="A4517" s="12">
        <v>46238</v>
      </c>
      <c r="B4517" s="10">
        <v>1</v>
      </c>
      <c r="Q4517" s="10" t="str">
        <f t="shared" si="70"/>
        <v>Incomplete</v>
      </c>
    </row>
    <row r="4518" spans="1:17">
      <c r="A4518" s="12">
        <v>46238</v>
      </c>
      <c r="B4518" s="10">
        <v>2</v>
      </c>
      <c r="Q4518" s="10" t="str">
        <f t="shared" si="70"/>
        <v>Incomplete</v>
      </c>
    </row>
    <row r="4519" spans="1:17">
      <c r="A4519" s="12">
        <v>46238</v>
      </c>
      <c r="B4519" s="10">
        <v>3</v>
      </c>
      <c r="Q4519" s="10" t="str">
        <f t="shared" si="70"/>
        <v>Incomplete</v>
      </c>
    </row>
    <row r="4520" spans="1:17">
      <c r="A4520" s="12">
        <v>46238</v>
      </c>
      <c r="B4520" s="10">
        <v>4</v>
      </c>
      <c r="Q4520" s="10" t="str">
        <f t="shared" si="70"/>
        <v>Incomplete</v>
      </c>
    </row>
    <row r="4521" spans="1:17">
      <c r="A4521" s="12">
        <v>46238</v>
      </c>
      <c r="B4521" s="10">
        <v>5</v>
      </c>
      <c r="Q4521" s="10" t="str">
        <f t="shared" si="70"/>
        <v>Incomplete</v>
      </c>
    </row>
    <row r="4522" spans="1:17">
      <c r="A4522" s="12">
        <v>46238</v>
      </c>
      <c r="B4522" s="10">
        <v>6</v>
      </c>
      <c r="Q4522" s="10" t="str">
        <f t="shared" si="70"/>
        <v>Incomplete</v>
      </c>
    </row>
    <row r="4523" spans="1:17">
      <c r="A4523" s="12">
        <v>46238</v>
      </c>
      <c r="B4523" s="10">
        <v>7</v>
      </c>
      <c r="Q4523" s="10" t="str">
        <f t="shared" si="70"/>
        <v>Incomplete</v>
      </c>
    </row>
    <row r="4524" spans="1:17">
      <c r="A4524" s="12">
        <v>46238</v>
      </c>
      <c r="B4524" s="10">
        <v>8</v>
      </c>
      <c r="Q4524" s="10" t="str">
        <f t="shared" si="70"/>
        <v>Incomplete</v>
      </c>
    </row>
    <row r="4525" spans="1:17">
      <c r="A4525" s="12">
        <v>46238</v>
      </c>
      <c r="B4525" s="10">
        <v>9</v>
      </c>
      <c r="Q4525" s="10" t="str">
        <f t="shared" si="70"/>
        <v>Incomplete</v>
      </c>
    </row>
    <row r="4526" spans="1:17">
      <c r="A4526" s="12">
        <v>46238</v>
      </c>
      <c r="B4526" s="10">
        <v>10</v>
      </c>
      <c r="Q4526" s="10" t="str">
        <f t="shared" si="70"/>
        <v>Incomplete</v>
      </c>
    </row>
    <row r="4527" spans="1:17">
      <c r="A4527" s="12">
        <v>46238</v>
      </c>
      <c r="B4527" s="10">
        <v>11</v>
      </c>
      <c r="Q4527" s="10" t="str">
        <f t="shared" si="70"/>
        <v>Incomplete</v>
      </c>
    </row>
    <row r="4528" spans="1:17">
      <c r="A4528" s="12">
        <v>46238</v>
      </c>
      <c r="B4528" s="10">
        <v>12</v>
      </c>
      <c r="Q4528" s="10" t="str">
        <f t="shared" si="70"/>
        <v>Incomplete</v>
      </c>
    </row>
    <row r="4529" spans="1:17">
      <c r="A4529" s="12">
        <v>46238</v>
      </c>
      <c r="B4529" s="10">
        <v>13</v>
      </c>
      <c r="Q4529" s="10" t="str">
        <f t="shared" si="70"/>
        <v>Incomplete</v>
      </c>
    </row>
    <row r="4530" spans="1:17">
      <c r="A4530" s="12">
        <v>46238</v>
      </c>
      <c r="B4530" s="10">
        <v>14</v>
      </c>
      <c r="Q4530" s="10" t="str">
        <f t="shared" si="70"/>
        <v>Incomplete</v>
      </c>
    </row>
    <row r="4531" spans="1:17">
      <c r="A4531" s="12">
        <v>46238</v>
      </c>
      <c r="B4531" s="10">
        <v>15</v>
      </c>
      <c r="Q4531" s="10" t="str">
        <f t="shared" si="70"/>
        <v>Incomplete</v>
      </c>
    </row>
    <row r="4532" spans="1:17">
      <c r="A4532" s="12">
        <v>46238</v>
      </c>
      <c r="B4532" s="10">
        <v>16</v>
      </c>
      <c r="Q4532" s="10" t="str">
        <f t="shared" si="70"/>
        <v>Incomplete</v>
      </c>
    </row>
    <row r="4533" spans="1:17">
      <c r="A4533" s="12">
        <v>46238</v>
      </c>
      <c r="B4533" s="10">
        <v>17</v>
      </c>
      <c r="Q4533" s="10" t="str">
        <f t="shared" si="70"/>
        <v>Incomplete</v>
      </c>
    </row>
    <row r="4534" spans="1:17">
      <c r="A4534" s="12">
        <v>46238</v>
      </c>
      <c r="B4534" s="10">
        <v>18</v>
      </c>
      <c r="Q4534" s="10" t="str">
        <f t="shared" si="70"/>
        <v>Incomplete</v>
      </c>
    </row>
    <row r="4535" spans="1:17">
      <c r="A4535" s="12">
        <v>46238</v>
      </c>
      <c r="B4535" s="10">
        <v>19</v>
      </c>
      <c r="Q4535" s="10" t="str">
        <f t="shared" si="70"/>
        <v>Incomplete</v>
      </c>
    </row>
    <row r="4536" spans="1:17">
      <c r="A4536" s="12">
        <v>46238</v>
      </c>
      <c r="B4536" s="10">
        <v>20</v>
      </c>
      <c r="Q4536" s="10" t="str">
        <f t="shared" si="70"/>
        <v>Incomplete</v>
      </c>
    </row>
    <row r="4537" spans="1:17">
      <c r="A4537" s="12">
        <v>46238</v>
      </c>
      <c r="B4537" s="10">
        <v>21</v>
      </c>
      <c r="Q4537" s="10" t="str">
        <f t="shared" si="70"/>
        <v>Incomplete</v>
      </c>
    </row>
    <row r="4538" spans="1:17">
      <c r="A4538" s="12">
        <v>46239</v>
      </c>
      <c r="B4538" s="10">
        <v>1</v>
      </c>
      <c r="Q4538" s="10" t="str">
        <f t="shared" si="70"/>
        <v>Incomplete</v>
      </c>
    </row>
    <row r="4539" spans="1:17">
      <c r="A4539" s="12">
        <v>46239</v>
      </c>
      <c r="B4539" s="10">
        <v>2</v>
      </c>
      <c r="Q4539" s="10" t="str">
        <f t="shared" si="70"/>
        <v>Incomplete</v>
      </c>
    </row>
    <row r="4540" spans="1:17">
      <c r="A4540" s="12">
        <v>46239</v>
      </c>
      <c r="B4540" s="10">
        <v>3</v>
      </c>
      <c r="Q4540" s="10" t="str">
        <f t="shared" si="70"/>
        <v>Incomplete</v>
      </c>
    </row>
    <row r="4541" spans="1:17">
      <c r="A4541" s="12">
        <v>46239</v>
      </c>
      <c r="B4541" s="10">
        <v>4</v>
      </c>
      <c r="Q4541" s="10" t="str">
        <f t="shared" si="70"/>
        <v>Incomplete</v>
      </c>
    </row>
    <row r="4542" spans="1:17">
      <c r="A4542" s="12">
        <v>46239</v>
      </c>
      <c r="B4542" s="10">
        <v>5</v>
      </c>
      <c r="Q4542" s="10" t="str">
        <f t="shared" si="70"/>
        <v>Incomplete</v>
      </c>
    </row>
    <row r="4543" spans="1:17">
      <c r="A4543" s="12">
        <v>46239</v>
      </c>
      <c r="B4543" s="10">
        <v>6</v>
      </c>
      <c r="Q4543" s="10" t="str">
        <f t="shared" si="70"/>
        <v>Incomplete</v>
      </c>
    </row>
    <row r="4544" spans="1:17">
      <c r="A4544" s="12">
        <v>46239</v>
      </c>
      <c r="B4544" s="10">
        <v>7</v>
      </c>
      <c r="Q4544" s="10" t="str">
        <f t="shared" si="70"/>
        <v>Incomplete</v>
      </c>
    </row>
    <row r="4545" spans="1:17">
      <c r="A4545" s="12">
        <v>46239</v>
      </c>
      <c r="B4545" s="10">
        <v>8</v>
      </c>
      <c r="Q4545" s="10" t="str">
        <f t="shared" si="70"/>
        <v>Incomplete</v>
      </c>
    </row>
    <row r="4546" spans="1:17">
      <c r="A4546" s="12">
        <v>46239</v>
      </c>
      <c r="B4546" s="10">
        <v>9</v>
      </c>
      <c r="Q4546" s="10" t="str">
        <f t="shared" ref="Q4546:Q4609" si="71">IF(AND(C4546&lt;&gt;"",J4546&lt;&gt;"",K4546&lt;&gt;"",L4546&lt;&gt;"",O4546="Yes"),"Complete","Incomplete")</f>
        <v>Incomplete</v>
      </c>
    </row>
    <row r="4547" spans="1:17">
      <c r="A4547" s="12">
        <v>46239</v>
      </c>
      <c r="B4547" s="10">
        <v>10</v>
      </c>
      <c r="Q4547" s="10" t="str">
        <f t="shared" si="71"/>
        <v>Incomplete</v>
      </c>
    </row>
    <row r="4548" spans="1:17">
      <c r="A4548" s="12">
        <v>46239</v>
      </c>
      <c r="B4548" s="10">
        <v>11</v>
      </c>
      <c r="Q4548" s="10" t="str">
        <f t="shared" si="71"/>
        <v>Incomplete</v>
      </c>
    </row>
    <row r="4549" spans="1:17">
      <c r="A4549" s="12">
        <v>46239</v>
      </c>
      <c r="B4549" s="10">
        <v>12</v>
      </c>
      <c r="Q4549" s="10" t="str">
        <f t="shared" si="71"/>
        <v>Incomplete</v>
      </c>
    </row>
    <row r="4550" spans="1:17">
      <c r="A4550" s="12">
        <v>46239</v>
      </c>
      <c r="B4550" s="10">
        <v>13</v>
      </c>
      <c r="Q4550" s="10" t="str">
        <f t="shared" si="71"/>
        <v>Incomplete</v>
      </c>
    </row>
    <row r="4551" spans="1:17">
      <c r="A4551" s="12">
        <v>46239</v>
      </c>
      <c r="B4551" s="10">
        <v>14</v>
      </c>
      <c r="Q4551" s="10" t="str">
        <f t="shared" si="71"/>
        <v>Incomplete</v>
      </c>
    </row>
    <row r="4552" spans="1:17">
      <c r="A4552" s="12">
        <v>46239</v>
      </c>
      <c r="B4552" s="10">
        <v>15</v>
      </c>
      <c r="Q4552" s="10" t="str">
        <f t="shared" si="71"/>
        <v>Incomplete</v>
      </c>
    </row>
    <row r="4553" spans="1:17">
      <c r="A4553" s="12">
        <v>46239</v>
      </c>
      <c r="B4553" s="10">
        <v>16</v>
      </c>
      <c r="Q4553" s="10" t="str">
        <f t="shared" si="71"/>
        <v>Incomplete</v>
      </c>
    </row>
    <row r="4554" spans="1:17">
      <c r="A4554" s="12">
        <v>46239</v>
      </c>
      <c r="B4554" s="10">
        <v>17</v>
      </c>
      <c r="Q4554" s="10" t="str">
        <f t="shared" si="71"/>
        <v>Incomplete</v>
      </c>
    </row>
    <row r="4555" spans="1:17">
      <c r="A4555" s="12">
        <v>46239</v>
      </c>
      <c r="B4555" s="10">
        <v>18</v>
      </c>
      <c r="Q4555" s="10" t="str">
        <f t="shared" si="71"/>
        <v>Incomplete</v>
      </c>
    </row>
    <row r="4556" spans="1:17">
      <c r="A4556" s="12">
        <v>46239</v>
      </c>
      <c r="B4556" s="10">
        <v>19</v>
      </c>
      <c r="Q4556" s="10" t="str">
        <f t="shared" si="71"/>
        <v>Incomplete</v>
      </c>
    </row>
    <row r="4557" spans="1:17">
      <c r="A4557" s="12">
        <v>46239</v>
      </c>
      <c r="B4557" s="10">
        <v>20</v>
      </c>
      <c r="Q4557" s="10" t="str">
        <f t="shared" si="71"/>
        <v>Incomplete</v>
      </c>
    </row>
    <row r="4558" spans="1:17">
      <c r="A4558" s="12">
        <v>46239</v>
      </c>
      <c r="B4558" s="10">
        <v>21</v>
      </c>
      <c r="Q4558" s="10" t="str">
        <f t="shared" si="71"/>
        <v>Incomplete</v>
      </c>
    </row>
    <row r="4559" spans="1:17">
      <c r="A4559" s="12">
        <v>46240</v>
      </c>
      <c r="B4559" s="10">
        <v>1</v>
      </c>
      <c r="Q4559" s="10" t="str">
        <f t="shared" si="71"/>
        <v>Incomplete</v>
      </c>
    </row>
    <row r="4560" spans="1:17">
      <c r="A4560" s="12">
        <v>46240</v>
      </c>
      <c r="B4560" s="10">
        <v>2</v>
      </c>
      <c r="Q4560" s="10" t="str">
        <f t="shared" si="71"/>
        <v>Incomplete</v>
      </c>
    </row>
    <row r="4561" spans="1:17">
      <c r="A4561" s="12">
        <v>46240</v>
      </c>
      <c r="B4561" s="10">
        <v>3</v>
      </c>
      <c r="Q4561" s="10" t="str">
        <f t="shared" si="71"/>
        <v>Incomplete</v>
      </c>
    </row>
    <row r="4562" spans="1:17">
      <c r="A4562" s="12">
        <v>46240</v>
      </c>
      <c r="B4562" s="10">
        <v>4</v>
      </c>
      <c r="Q4562" s="10" t="str">
        <f t="shared" si="71"/>
        <v>Incomplete</v>
      </c>
    </row>
    <row r="4563" spans="1:17">
      <c r="A4563" s="12">
        <v>46240</v>
      </c>
      <c r="B4563" s="10">
        <v>5</v>
      </c>
      <c r="Q4563" s="10" t="str">
        <f t="shared" si="71"/>
        <v>Incomplete</v>
      </c>
    </row>
    <row r="4564" spans="1:17">
      <c r="A4564" s="12">
        <v>46240</v>
      </c>
      <c r="B4564" s="10">
        <v>6</v>
      </c>
      <c r="Q4564" s="10" t="str">
        <f t="shared" si="71"/>
        <v>Incomplete</v>
      </c>
    </row>
    <row r="4565" spans="1:17">
      <c r="A4565" s="12">
        <v>46240</v>
      </c>
      <c r="B4565" s="10">
        <v>7</v>
      </c>
      <c r="Q4565" s="10" t="str">
        <f t="shared" si="71"/>
        <v>Incomplete</v>
      </c>
    </row>
    <row r="4566" spans="1:17">
      <c r="A4566" s="12">
        <v>46240</v>
      </c>
      <c r="B4566" s="10">
        <v>8</v>
      </c>
      <c r="Q4566" s="10" t="str">
        <f t="shared" si="71"/>
        <v>Incomplete</v>
      </c>
    </row>
    <row r="4567" spans="1:17">
      <c r="A4567" s="12">
        <v>46240</v>
      </c>
      <c r="B4567" s="10">
        <v>9</v>
      </c>
      <c r="Q4567" s="10" t="str">
        <f t="shared" si="71"/>
        <v>Incomplete</v>
      </c>
    </row>
    <row r="4568" spans="1:17">
      <c r="A4568" s="12">
        <v>46240</v>
      </c>
      <c r="B4568" s="10">
        <v>10</v>
      </c>
      <c r="Q4568" s="10" t="str">
        <f t="shared" si="71"/>
        <v>Incomplete</v>
      </c>
    </row>
    <row r="4569" spans="1:17">
      <c r="A4569" s="12">
        <v>46240</v>
      </c>
      <c r="B4569" s="10">
        <v>11</v>
      </c>
      <c r="Q4569" s="10" t="str">
        <f t="shared" si="71"/>
        <v>Incomplete</v>
      </c>
    </row>
    <row r="4570" spans="1:17">
      <c r="A4570" s="12">
        <v>46240</v>
      </c>
      <c r="B4570" s="10">
        <v>12</v>
      </c>
      <c r="Q4570" s="10" t="str">
        <f t="shared" si="71"/>
        <v>Incomplete</v>
      </c>
    </row>
    <row r="4571" spans="1:17">
      <c r="A4571" s="12">
        <v>46240</v>
      </c>
      <c r="B4571" s="10">
        <v>13</v>
      </c>
      <c r="Q4571" s="10" t="str">
        <f t="shared" si="71"/>
        <v>Incomplete</v>
      </c>
    </row>
    <row r="4572" spans="1:17">
      <c r="A4572" s="12">
        <v>46240</v>
      </c>
      <c r="B4572" s="10">
        <v>14</v>
      </c>
      <c r="Q4572" s="10" t="str">
        <f t="shared" si="71"/>
        <v>Incomplete</v>
      </c>
    </row>
    <row r="4573" spans="1:17">
      <c r="A4573" s="12">
        <v>46240</v>
      </c>
      <c r="B4573" s="10">
        <v>15</v>
      </c>
      <c r="Q4573" s="10" t="str">
        <f t="shared" si="71"/>
        <v>Incomplete</v>
      </c>
    </row>
    <row r="4574" spans="1:17">
      <c r="A4574" s="12">
        <v>46240</v>
      </c>
      <c r="B4574" s="10">
        <v>16</v>
      </c>
      <c r="Q4574" s="10" t="str">
        <f t="shared" si="71"/>
        <v>Incomplete</v>
      </c>
    </row>
    <row r="4575" spans="1:17">
      <c r="A4575" s="12">
        <v>46240</v>
      </c>
      <c r="B4575" s="10">
        <v>17</v>
      </c>
      <c r="Q4575" s="10" t="str">
        <f t="shared" si="71"/>
        <v>Incomplete</v>
      </c>
    </row>
    <row r="4576" spans="1:17">
      <c r="A4576" s="12">
        <v>46240</v>
      </c>
      <c r="B4576" s="10">
        <v>18</v>
      </c>
      <c r="Q4576" s="10" t="str">
        <f t="shared" si="71"/>
        <v>Incomplete</v>
      </c>
    </row>
    <row r="4577" spans="1:17">
      <c r="A4577" s="12">
        <v>46240</v>
      </c>
      <c r="B4577" s="10">
        <v>19</v>
      </c>
      <c r="Q4577" s="10" t="str">
        <f t="shared" si="71"/>
        <v>Incomplete</v>
      </c>
    </row>
    <row r="4578" spans="1:17">
      <c r="A4578" s="12">
        <v>46240</v>
      </c>
      <c r="B4578" s="10">
        <v>20</v>
      </c>
      <c r="Q4578" s="10" t="str">
        <f t="shared" si="71"/>
        <v>Incomplete</v>
      </c>
    </row>
    <row r="4579" spans="1:17">
      <c r="A4579" s="12">
        <v>46240</v>
      </c>
      <c r="B4579" s="10">
        <v>21</v>
      </c>
      <c r="Q4579" s="10" t="str">
        <f t="shared" si="71"/>
        <v>Incomplete</v>
      </c>
    </row>
    <row r="4580" spans="1:17">
      <c r="A4580" s="12">
        <v>46241</v>
      </c>
      <c r="B4580" s="10">
        <v>1</v>
      </c>
      <c r="Q4580" s="10" t="str">
        <f t="shared" si="71"/>
        <v>Incomplete</v>
      </c>
    </row>
    <row r="4581" spans="1:17">
      <c r="A4581" s="12">
        <v>46241</v>
      </c>
      <c r="B4581" s="10">
        <v>2</v>
      </c>
      <c r="Q4581" s="10" t="str">
        <f t="shared" si="71"/>
        <v>Incomplete</v>
      </c>
    </row>
    <row r="4582" spans="1:17">
      <c r="A4582" s="12">
        <v>46241</v>
      </c>
      <c r="B4582" s="10">
        <v>3</v>
      </c>
      <c r="Q4582" s="10" t="str">
        <f t="shared" si="71"/>
        <v>Incomplete</v>
      </c>
    </row>
    <row r="4583" spans="1:17">
      <c r="A4583" s="12">
        <v>46241</v>
      </c>
      <c r="B4583" s="10">
        <v>4</v>
      </c>
      <c r="Q4583" s="10" t="str">
        <f t="shared" si="71"/>
        <v>Incomplete</v>
      </c>
    </row>
    <row r="4584" spans="1:17">
      <c r="A4584" s="12">
        <v>46241</v>
      </c>
      <c r="B4584" s="10">
        <v>5</v>
      </c>
      <c r="Q4584" s="10" t="str">
        <f t="shared" si="71"/>
        <v>Incomplete</v>
      </c>
    </row>
    <row r="4585" spans="1:17">
      <c r="A4585" s="12">
        <v>46241</v>
      </c>
      <c r="B4585" s="10">
        <v>6</v>
      </c>
      <c r="Q4585" s="10" t="str">
        <f t="shared" si="71"/>
        <v>Incomplete</v>
      </c>
    </row>
    <row r="4586" spans="1:17">
      <c r="A4586" s="12">
        <v>46241</v>
      </c>
      <c r="B4586" s="10">
        <v>7</v>
      </c>
      <c r="Q4586" s="10" t="str">
        <f t="shared" si="71"/>
        <v>Incomplete</v>
      </c>
    </row>
    <row r="4587" spans="1:17">
      <c r="A4587" s="12">
        <v>46241</v>
      </c>
      <c r="B4587" s="10">
        <v>8</v>
      </c>
      <c r="Q4587" s="10" t="str">
        <f t="shared" si="71"/>
        <v>Incomplete</v>
      </c>
    </row>
    <row r="4588" spans="1:17">
      <c r="A4588" s="12">
        <v>46241</v>
      </c>
      <c r="B4588" s="10">
        <v>9</v>
      </c>
      <c r="Q4588" s="10" t="str">
        <f t="shared" si="71"/>
        <v>Incomplete</v>
      </c>
    </row>
    <row r="4589" spans="1:17">
      <c r="A4589" s="12">
        <v>46241</v>
      </c>
      <c r="B4589" s="10">
        <v>10</v>
      </c>
      <c r="Q4589" s="10" t="str">
        <f t="shared" si="71"/>
        <v>Incomplete</v>
      </c>
    </row>
    <row r="4590" spans="1:17">
      <c r="A4590" s="12">
        <v>46241</v>
      </c>
      <c r="B4590" s="10">
        <v>11</v>
      </c>
      <c r="Q4590" s="10" t="str">
        <f t="shared" si="71"/>
        <v>Incomplete</v>
      </c>
    </row>
    <row r="4591" spans="1:17">
      <c r="A4591" s="12">
        <v>46241</v>
      </c>
      <c r="B4591" s="10">
        <v>12</v>
      </c>
      <c r="Q4591" s="10" t="str">
        <f t="shared" si="71"/>
        <v>Incomplete</v>
      </c>
    </row>
    <row r="4592" spans="1:17">
      <c r="A4592" s="12">
        <v>46241</v>
      </c>
      <c r="B4592" s="10">
        <v>13</v>
      </c>
      <c r="Q4592" s="10" t="str">
        <f t="shared" si="71"/>
        <v>Incomplete</v>
      </c>
    </row>
    <row r="4593" spans="1:17">
      <c r="A4593" s="12">
        <v>46241</v>
      </c>
      <c r="B4593" s="10">
        <v>14</v>
      </c>
      <c r="Q4593" s="10" t="str">
        <f t="shared" si="71"/>
        <v>Incomplete</v>
      </c>
    </row>
    <row r="4594" spans="1:17">
      <c r="A4594" s="12">
        <v>46241</v>
      </c>
      <c r="B4594" s="10">
        <v>15</v>
      </c>
      <c r="Q4594" s="10" t="str">
        <f t="shared" si="71"/>
        <v>Incomplete</v>
      </c>
    </row>
    <row r="4595" spans="1:17">
      <c r="A4595" s="12">
        <v>46241</v>
      </c>
      <c r="B4595" s="10">
        <v>16</v>
      </c>
      <c r="Q4595" s="10" t="str">
        <f t="shared" si="71"/>
        <v>Incomplete</v>
      </c>
    </row>
    <row r="4596" spans="1:17">
      <c r="A4596" s="12">
        <v>46241</v>
      </c>
      <c r="B4596" s="10">
        <v>17</v>
      </c>
      <c r="Q4596" s="10" t="str">
        <f t="shared" si="71"/>
        <v>Incomplete</v>
      </c>
    </row>
    <row r="4597" spans="1:17">
      <c r="A4597" s="12">
        <v>46241</v>
      </c>
      <c r="B4597" s="10">
        <v>18</v>
      </c>
      <c r="Q4597" s="10" t="str">
        <f t="shared" si="71"/>
        <v>Incomplete</v>
      </c>
    </row>
    <row r="4598" spans="1:17">
      <c r="A4598" s="12">
        <v>46241</v>
      </c>
      <c r="B4598" s="10">
        <v>19</v>
      </c>
      <c r="Q4598" s="10" t="str">
        <f t="shared" si="71"/>
        <v>Incomplete</v>
      </c>
    </row>
    <row r="4599" spans="1:17">
      <c r="A4599" s="12">
        <v>46241</v>
      </c>
      <c r="B4599" s="10">
        <v>20</v>
      </c>
      <c r="Q4599" s="10" t="str">
        <f t="shared" si="71"/>
        <v>Incomplete</v>
      </c>
    </row>
    <row r="4600" spans="1:17">
      <c r="A4600" s="12">
        <v>46241</v>
      </c>
      <c r="B4600" s="10">
        <v>21</v>
      </c>
      <c r="Q4600" s="10" t="str">
        <f t="shared" si="71"/>
        <v>Incomplete</v>
      </c>
    </row>
    <row r="4601" spans="1:17">
      <c r="A4601" s="12">
        <v>46242</v>
      </c>
      <c r="B4601" s="10">
        <v>1</v>
      </c>
      <c r="Q4601" s="10" t="str">
        <f t="shared" si="71"/>
        <v>Incomplete</v>
      </c>
    </row>
    <row r="4602" spans="1:17">
      <c r="A4602" s="12">
        <v>46242</v>
      </c>
      <c r="B4602" s="10">
        <v>2</v>
      </c>
      <c r="Q4602" s="10" t="str">
        <f t="shared" si="71"/>
        <v>Incomplete</v>
      </c>
    </row>
    <row r="4603" spans="1:17">
      <c r="A4603" s="12">
        <v>46242</v>
      </c>
      <c r="B4603" s="10">
        <v>3</v>
      </c>
      <c r="Q4603" s="10" t="str">
        <f t="shared" si="71"/>
        <v>Incomplete</v>
      </c>
    </row>
    <row r="4604" spans="1:17">
      <c r="A4604" s="12">
        <v>46242</v>
      </c>
      <c r="B4604" s="10">
        <v>4</v>
      </c>
      <c r="Q4604" s="10" t="str">
        <f t="shared" si="71"/>
        <v>Incomplete</v>
      </c>
    </row>
    <row r="4605" spans="1:17">
      <c r="A4605" s="12">
        <v>46242</v>
      </c>
      <c r="B4605" s="10">
        <v>5</v>
      </c>
      <c r="Q4605" s="10" t="str">
        <f t="shared" si="71"/>
        <v>Incomplete</v>
      </c>
    </row>
    <row r="4606" spans="1:17">
      <c r="A4606" s="12">
        <v>46242</v>
      </c>
      <c r="B4606" s="10">
        <v>6</v>
      </c>
      <c r="Q4606" s="10" t="str">
        <f t="shared" si="71"/>
        <v>Incomplete</v>
      </c>
    </row>
    <row r="4607" spans="1:17">
      <c r="A4607" s="12">
        <v>46242</v>
      </c>
      <c r="B4607" s="10">
        <v>7</v>
      </c>
      <c r="Q4607" s="10" t="str">
        <f t="shared" si="71"/>
        <v>Incomplete</v>
      </c>
    </row>
    <row r="4608" spans="1:17">
      <c r="A4608" s="12">
        <v>46242</v>
      </c>
      <c r="B4608" s="10">
        <v>8</v>
      </c>
      <c r="Q4608" s="10" t="str">
        <f t="shared" si="71"/>
        <v>Incomplete</v>
      </c>
    </row>
    <row r="4609" spans="1:17">
      <c r="A4609" s="12">
        <v>46242</v>
      </c>
      <c r="B4609" s="10">
        <v>9</v>
      </c>
      <c r="Q4609" s="10" t="str">
        <f t="shared" si="71"/>
        <v>Incomplete</v>
      </c>
    </row>
    <row r="4610" spans="1:17">
      <c r="A4610" s="12">
        <v>46242</v>
      </c>
      <c r="B4610" s="10">
        <v>10</v>
      </c>
      <c r="Q4610" s="10" t="str">
        <f t="shared" ref="Q4610:Q4673" si="72">IF(AND(C4610&lt;&gt;"",J4610&lt;&gt;"",K4610&lt;&gt;"",L4610&lt;&gt;"",O4610="Yes"),"Complete","Incomplete")</f>
        <v>Incomplete</v>
      </c>
    </row>
    <row r="4611" spans="1:17">
      <c r="A4611" s="12">
        <v>46242</v>
      </c>
      <c r="B4611" s="10">
        <v>11</v>
      </c>
      <c r="Q4611" s="10" t="str">
        <f t="shared" si="72"/>
        <v>Incomplete</v>
      </c>
    </row>
    <row r="4612" spans="1:17">
      <c r="A4612" s="12">
        <v>46242</v>
      </c>
      <c r="B4612" s="10">
        <v>12</v>
      </c>
      <c r="Q4612" s="10" t="str">
        <f t="shared" si="72"/>
        <v>Incomplete</v>
      </c>
    </row>
    <row r="4613" spans="1:17">
      <c r="A4613" s="12">
        <v>46242</v>
      </c>
      <c r="B4613" s="10">
        <v>13</v>
      </c>
      <c r="Q4613" s="10" t="str">
        <f t="shared" si="72"/>
        <v>Incomplete</v>
      </c>
    </row>
    <row r="4614" spans="1:17">
      <c r="A4614" s="12">
        <v>46242</v>
      </c>
      <c r="B4614" s="10">
        <v>14</v>
      </c>
      <c r="Q4614" s="10" t="str">
        <f t="shared" si="72"/>
        <v>Incomplete</v>
      </c>
    </row>
    <row r="4615" spans="1:17">
      <c r="A4615" s="12">
        <v>46242</v>
      </c>
      <c r="B4615" s="10">
        <v>15</v>
      </c>
      <c r="Q4615" s="10" t="str">
        <f t="shared" si="72"/>
        <v>Incomplete</v>
      </c>
    </row>
    <row r="4616" spans="1:17">
      <c r="A4616" s="12">
        <v>46242</v>
      </c>
      <c r="B4616" s="10">
        <v>16</v>
      </c>
      <c r="Q4616" s="10" t="str">
        <f t="shared" si="72"/>
        <v>Incomplete</v>
      </c>
    </row>
    <row r="4617" spans="1:17">
      <c r="A4617" s="12">
        <v>46242</v>
      </c>
      <c r="B4617" s="10">
        <v>17</v>
      </c>
      <c r="Q4617" s="10" t="str">
        <f t="shared" si="72"/>
        <v>Incomplete</v>
      </c>
    </row>
    <row r="4618" spans="1:17">
      <c r="A4618" s="12">
        <v>46242</v>
      </c>
      <c r="B4618" s="10">
        <v>18</v>
      </c>
      <c r="Q4618" s="10" t="str">
        <f t="shared" si="72"/>
        <v>Incomplete</v>
      </c>
    </row>
    <row r="4619" spans="1:17">
      <c r="A4619" s="12">
        <v>46242</v>
      </c>
      <c r="B4619" s="10">
        <v>19</v>
      </c>
      <c r="Q4619" s="10" t="str">
        <f t="shared" si="72"/>
        <v>Incomplete</v>
      </c>
    </row>
    <row r="4620" spans="1:17">
      <c r="A4620" s="12">
        <v>46242</v>
      </c>
      <c r="B4620" s="10">
        <v>20</v>
      </c>
      <c r="Q4620" s="10" t="str">
        <f t="shared" si="72"/>
        <v>Incomplete</v>
      </c>
    </row>
    <row r="4621" spans="1:17">
      <c r="A4621" s="12">
        <v>46242</v>
      </c>
      <c r="B4621" s="10">
        <v>21</v>
      </c>
      <c r="Q4621" s="10" t="str">
        <f t="shared" si="72"/>
        <v>Incomplete</v>
      </c>
    </row>
    <row r="4622" spans="1:17">
      <c r="A4622" s="12">
        <v>46243</v>
      </c>
      <c r="B4622" s="10">
        <v>1</v>
      </c>
      <c r="Q4622" s="10" t="str">
        <f t="shared" si="72"/>
        <v>Incomplete</v>
      </c>
    </row>
    <row r="4623" spans="1:17">
      <c r="A4623" s="12">
        <v>46243</v>
      </c>
      <c r="B4623" s="10">
        <v>2</v>
      </c>
      <c r="Q4623" s="10" t="str">
        <f t="shared" si="72"/>
        <v>Incomplete</v>
      </c>
    </row>
    <row r="4624" spans="1:17">
      <c r="A4624" s="12">
        <v>46243</v>
      </c>
      <c r="B4624" s="10">
        <v>3</v>
      </c>
      <c r="Q4624" s="10" t="str">
        <f t="shared" si="72"/>
        <v>Incomplete</v>
      </c>
    </row>
    <row r="4625" spans="1:17">
      <c r="A4625" s="12">
        <v>46243</v>
      </c>
      <c r="B4625" s="10">
        <v>4</v>
      </c>
      <c r="Q4625" s="10" t="str">
        <f t="shared" si="72"/>
        <v>Incomplete</v>
      </c>
    </row>
    <row r="4626" spans="1:17">
      <c r="A4626" s="12">
        <v>46243</v>
      </c>
      <c r="B4626" s="10">
        <v>5</v>
      </c>
      <c r="Q4626" s="10" t="str">
        <f t="shared" si="72"/>
        <v>Incomplete</v>
      </c>
    </row>
    <row r="4627" spans="1:17">
      <c r="A4627" s="12">
        <v>46243</v>
      </c>
      <c r="B4627" s="10">
        <v>6</v>
      </c>
      <c r="Q4627" s="10" t="str">
        <f t="shared" si="72"/>
        <v>Incomplete</v>
      </c>
    </row>
    <row r="4628" spans="1:17">
      <c r="A4628" s="12">
        <v>46243</v>
      </c>
      <c r="B4628" s="10">
        <v>7</v>
      </c>
      <c r="Q4628" s="10" t="str">
        <f t="shared" si="72"/>
        <v>Incomplete</v>
      </c>
    </row>
    <row r="4629" spans="1:17">
      <c r="A4629" s="12">
        <v>46243</v>
      </c>
      <c r="B4629" s="10">
        <v>8</v>
      </c>
      <c r="Q4629" s="10" t="str">
        <f t="shared" si="72"/>
        <v>Incomplete</v>
      </c>
    </row>
    <row r="4630" spans="1:17">
      <c r="A4630" s="12">
        <v>46243</v>
      </c>
      <c r="B4630" s="10">
        <v>9</v>
      </c>
      <c r="Q4630" s="10" t="str">
        <f t="shared" si="72"/>
        <v>Incomplete</v>
      </c>
    </row>
    <row r="4631" spans="1:17">
      <c r="A4631" s="12">
        <v>46243</v>
      </c>
      <c r="B4631" s="10">
        <v>10</v>
      </c>
      <c r="Q4631" s="10" t="str">
        <f t="shared" si="72"/>
        <v>Incomplete</v>
      </c>
    </row>
    <row r="4632" spans="1:17">
      <c r="A4632" s="12">
        <v>46243</v>
      </c>
      <c r="B4632" s="10">
        <v>11</v>
      </c>
      <c r="Q4632" s="10" t="str">
        <f t="shared" si="72"/>
        <v>Incomplete</v>
      </c>
    </row>
    <row r="4633" spans="1:17">
      <c r="A4633" s="12">
        <v>46243</v>
      </c>
      <c r="B4633" s="10">
        <v>12</v>
      </c>
      <c r="Q4633" s="10" t="str">
        <f t="shared" si="72"/>
        <v>Incomplete</v>
      </c>
    </row>
    <row r="4634" spans="1:17">
      <c r="A4634" s="12">
        <v>46243</v>
      </c>
      <c r="B4634" s="10">
        <v>13</v>
      </c>
      <c r="Q4634" s="10" t="str">
        <f t="shared" si="72"/>
        <v>Incomplete</v>
      </c>
    </row>
    <row r="4635" spans="1:17">
      <c r="A4635" s="12">
        <v>46243</v>
      </c>
      <c r="B4635" s="10">
        <v>14</v>
      </c>
      <c r="Q4635" s="10" t="str">
        <f t="shared" si="72"/>
        <v>Incomplete</v>
      </c>
    </row>
    <row r="4636" spans="1:17">
      <c r="A4636" s="12">
        <v>46243</v>
      </c>
      <c r="B4636" s="10">
        <v>15</v>
      </c>
      <c r="Q4636" s="10" t="str">
        <f t="shared" si="72"/>
        <v>Incomplete</v>
      </c>
    </row>
    <row r="4637" spans="1:17">
      <c r="A4637" s="12">
        <v>46243</v>
      </c>
      <c r="B4637" s="10">
        <v>16</v>
      </c>
      <c r="Q4637" s="10" t="str">
        <f t="shared" si="72"/>
        <v>Incomplete</v>
      </c>
    </row>
    <row r="4638" spans="1:17">
      <c r="A4638" s="12">
        <v>46243</v>
      </c>
      <c r="B4638" s="10">
        <v>17</v>
      </c>
      <c r="Q4638" s="10" t="str">
        <f t="shared" si="72"/>
        <v>Incomplete</v>
      </c>
    </row>
    <row r="4639" spans="1:17">
      <c r="A4639" s="12">
        <v>46243</v>
      </c>
      <c r="B4639" s="10">
        <v>18</v>
      </c>
      <c r="Q4639" s="10" t="str">
        <f t="shared" si="72"/>
        <v>Incomplete</v>
      </c>
    </row>
    <row r="4640" spans="1:17">
      <c r="A4640" s="12">
        <v>46243</v>
      </c>
      <c r="B4640" s="10">
        <v>19</v>
      </c>
      <c r="Q4640" s="10" t="str">
        <f t="shared" si="72"/>
        <v>Incomplete</v>
      </c>
    </row>
    <row r="4641" spans="1:17">
      <c r="A4641" s="12">
        <v>46243</v>
      </c>
      <c r="B4641" s="10">
        <v>20</v>
      </c>
      <c r="Q4641" s="10" t="str">
        <f t="shared" si="72"/>
        <v>Incomplete</v>
      </c>
    </row>
    <row r="4642" spans="1:17">
      <c r="A4642" s="12">
        <v>46243</v>
      </c>
      <c r="B4642" s="10">
        <v>21</v>
      </c>
      <c r="Q4642" s="10" t="str">
        <f t="shared" si="72"/>
        <v>Incomplete</v>
      </c>
    </row>
    <row r="4643" spans="1:17">
      <c r="A4643" s="12">
        <v>46244</v>
      </c>
      <c r="B4643" s="10">
        <v>1</v>
      </c>
      <c r="Q4643" s="10" t="str">
        <f t="shared" si="72"/>
        <v>Incomplete</v>
      </c>
    </row>
    <row r="4644" spans="1:17">
      <c r="A4644" s="12">
        <v>46244</v>
      </c>
      <c r="B4644" s="10">
        <v>2</v>
      </c>
      <c r="Q4644" s="10" t="str">
        <f t="shared" si="72"/>
        <v>Incomplete</v>
      </c>
    </row>
    <row r="4645" spans="1:17">
      <c r="A4645" s="12">
        <v>46244</v>
      </c>
      <c r="B4645" s="10">
        <v>3</v>
      </c>
      <c r="Q4645" s="10" t="str">
        <f t="shared" si="72"/>
        <v>Incomplete</v>
      </c>
    </row>
    <row r="4646" spans="1:17">
      <c r="A4646" s="12">
        <v>46244</v>
      </c>
      <c r="B4646" s="10">
        <v>4</v>
      </c>
      <c r="Q4646" s="10" t="str">
        <f t="shared" si="72"/>
        <v>Incomplete</v>
      </c>
    </row>
    <row r="4647" spans="1:17">
      <c r="A4647" s="12">
        <v>46244</v>
      </c>
      <c r="B4647" s="10">
        <v>5</v>
      </c>
      <c r="Q4647" s="10" t="str">
        <f t="shared" si="72"/>
        <v>Incomplete</v>
      </c>
    </row>
    <row r="4648" spans="1:17">
      <c r="A4648" s="12">
        <v>46244</v>
      </c>
      <c r="B4648" s="10">
        <v>6</v>
      </c>
      <c r="Q4648" s="10" t="str">
        <f t="shared" si="72"/>
        <v>Incomplete</v>
      </c>
    </row>
    <row r="4649" spans="1:17">
      <c r="A4649" s="12">
        <v>46244</v>
      </c>
      <c r="B4649" s="10">
        <v>7</v>
      </c>
      <c r="Q4649" s="10" t="str">
        <f t="shared" si="72"/>
        <v>Incomplete</v>
      </c>
    </row>
    <row r="4650" spans="1:17">
      <c r="A4650" s="12">
        <v>46244</v>
      </c>
      <c r="B4650" s="10">
        <v>8</v>
      </c>
      <c r="Q4650" s="10" t="str">
        <f t="shared" si="72"/>
        <v>Incomplete</v>
      </c>
    </row>
    <row r="4651" spans="1:17">
      <c r="A4651" s="12">
        <v>46244</v>
      </c>
      <c r="B4651" s="10">
        <v>9</v>
      </c>
      <c r="Q4651" s="10" t="str">
        <f t="shared" si="72"/>
        <v>Incomplete</v>
      </c>
    </row>
    <row r="4652" spans="1:17">
      <c r="A4652" s="12">
        <v>46244</v>
      </c>
      <c r="B4652" s="10">
        <v>10</v>
      </c>
      <c r="Q4652" s="10" t="str">
        <f t="shared" si="72"/>
        <v>Incomplete</v>
      </c>
    </row>
    <row r="4653" spans="1:17">
      <c r="A4653" s="12">
        <v>46244</v>
      </c>
      <c r="B4653" s="10">
        <v>11</v>
      </c>
      <c r="Q4653" s="10" t="str">
        <f t="shared" si="72"/>
        <v>Incomplete</v>
      </c>
    </row>
    <row r="4654" spans="1:17">
      <c r="A4654" s="12">
        <v>46244</v>
      </c>
      <c r="B4654" s="10">
        <v>12</v>
      </c>
      <c r="Q4654" s="10" t="str">
        <f t="shared" si="72"/>
        <v>Incomplete</v>
      </c>
    </row>
    <row r="4655" spans="1:17">
      <c r="A4655" s="12">
        <v>46244</v>
      </c>
      <c r="B4655" s="10">
        <v>13</v>
      </c>
      <c r="Q4655" s="10" t="str">
        <f t="shared" si="72"/>
        <v>Incomplete</v>
      </c>
    </row>
    <row r="4656" spans="1:17">
      <c r="A4656" s="12">
        <v>46244</v>
      </c>
      <c r="B4656" s="10">
        <v>14</v>
      </c>
      <c r="Q4656" s="10" t="str">
        <f t="shared" si="72"/>
        <v>Incomplete</v>
      </c>
    </row>
    <row r="4657" spans="1:17">
      <c r="A4657" s="12">
        <v>46244</v>
      </c>
      <c r="B4657" s="10">
        <v>15</v>
      </c>
      <c r="Q4657" s="10" t="str">
        <f t="shared" si="72"/>
        <v>Incomplete</v>
      </c>
    </row>
    <row r="4658" spans="1:17">
      <c r="A4658" s="12">
        <v>46244</v>
      </c>
      <c r="B4658" s="10">
        <v>16</v>
      </c>
      <c r="Q4658" s="10" t="str">
        <f t="shared" si="72"/>
        <v>Incomplete</v>
      </c>
    </row>
    <row r="4659" spans="1:17">
      <c r="A4659" s="12">
        <v>46244</v>
      </c>
      <c r="B4659" s="10">
        <v>17</v>
      </c>
      <c r="Q4659" s="10" t="str">
        <f t="shared" si="72"/>
        <v>Incomplete</v>
      </c>
    </row>
    <row r="4660" spans="1:17">
      <c r="A4660" s="12">
        <v>46244</v>
      </c>
      <c r="B4660" s="10">
        <v>18</v>
      </c>
      <c r="Q4660" s="10" t="str">
        <f t="shared" si="72"/>
        <v>Incomplete</v>
      </c>
    </row>
    <row r="4661" spans="1:17">
      <c r="A4661" s="12">
        <v>46244</v>
      </c>
      <c r="B4661" s="10">
        <v>19</v>
      </c>
      <c r="Q4661" s="10" t="str">
        <f t="shared" si="72"/>
        <v>Incomplete</v>
      </c>
    </row>
    <row r="4662" spans="1:17">
      <c r="A4662" s="12">
        <v>46244</v>
      </c>
      <c r="B4662" s="10">
        <v>20</v>
      </c>
      <c r="Q4662" s="10" t="str">
        <f t="shared" si="72"/>
        <v>Incomplete</v>
      </c>
    </row>
    <row r="4663" spans="1:17">
      <c r="A4663" s="12">
        <v>46244</v>
      </c>
      <c r="B4663" s="10">
        <v>21</v>
      </c>
      <c r="Q4663" s="10" t="str">
        <f t="shared" si="72"/>
        <v>Incomplete</v>
      </c>
    </row>
    <row r="4664" spans="1:17">
      <c r="A4664" s="12">
        <v>46245</v>
      </c>
      <c r="B4664" s="10">
        <v>1</v>
      </c>
      <c r="Q4664" s="10" t="str">
        <f t="shared" si="72"/>
        <v>Incomplete</v>
      </c>
    </row>
    <row r="4665" spans="1:17">
      <c r="A4665" s="12">
        <v>46245</v>
      </c>
      <c r="B4665" s="10">
        <v>2</v>
      </c>
      <c r="Q4665" s="10" t="str">
        <f t="shared" si="72"/>
        <v>Incomplete</v>
      </c>
    </row>
    <row r="4666" spans="1:17">
      <c r="A4666" s="12">
        <v>46245</v>
      </c>
      <c r="B4666" s="10">
        <v>3</v>
      </c>
      <c r="Q4666" s="10" t="str">
        <f t="shared" si="72"/>
        <v>Incomplete</v>
      </c>
    </row>
    <row r="4667" spans="1:17">
      <c r="A4667" s="12">
        <v>46245</v>
      </c>
      <c r="B4667" s="10">
        <v>4</v>
      </c>
      <c r="Q4667" s="10" t="str">
        <f t="shared" si="72"/>
        <v>Incomplete</v>
      </c>
    </row>
    <row r="4668" spans="1:17">
      <c r="A4668" s="12">
        <v>46245</v>
      </c>
      <c r="B4668" s="10">
        <v>5</v>
      </c>
      <c r="Q4668" s="10" t="str">
        <f t="shared" si="72"/>
        <v>Incomplete</v>
      </c>
    </row>
    <row r="4669" spans="1:17">
      <c r="A4669" s="12">
        <v>46245</v>
      </c>
      <c r="B4669" s="10">
        <v>6</v>
      </c>
      <c r="Q4669" s="10" t="str">
        <f t="shared" si="72"/>
        <v>Incomplete</v>
      </c>
    </row>
    <row r="4670" spans="1:17">
      <c r="A4670" s="12">
        <v>46245</v>
      </c>
      <c r="B4670" s="10">
        <v>7</v>
      </c>
      <c r="Q4670" s="10" t="str">
        <f t="shared" si="72"/>
        <v>Incomplete</v>
      </c>
    </row>
    <row r="4671" spans="1:17">
      <c r="A4671" s="12">
        <v>46245</v>
      </c>
      <c r="B4671" s="10">
        <v>8</v>
      </c>
      <c r="Q4671" s="10" t="str">
        <f t="shared" si="72"/>
        <v>Incomplete</v>
      </c>
    </row>
    <row r="4672" spans="1:17">
      <c r="A4672" s="12">
        <v>46245</v>
      </c>
      <c r="B4672" s="10">
        <v>9</v>
      </c>
      <c r="Q4672" s="10" t="str">
        <f t="shared" si="72"/>
        <v>Incomplete</v>
      </c>
    </row>
    <row r="4673" spans="1:17">
      <c r="A4673" s="12">
        <v>46245</v>
      </c>
      <c r="B4673" s="10">
        <v>10</v>
      </c>
      <c r="Q4673" s="10" t="str">
        <f t="shared" si="72"/>
        <v>Incomplete</v>
      </c>
    </row>
    <row r="4674" spans="1:17">
      <c r="A4674" s="12">
        <v>46245</v>
      </c>
      <c r="B4674" s="10">
        <v>11</v>
      </c>
      <c r="Q4674" s="10" t="str">
        <f t="shared" ref="Q4674:Q4737" si="73">IF(AND(C4674&lt;&gt;"",J4674&lt;&gt;"",K4674&lt;&gt;"",L4674&lt;&gt;"",O4674="Yes"),"Complete","Incomplete")</f>
        <v>Incomplete</v>
      </c>
    </row>
    <row r="4675" spans="1:17">
      <c r="A4675" s="12">
        <v>46245</v>
      </c>
      <c r="B4675" s="10">
        <v>12</v>
      </c>
      <c r="Q4675" s="10" t="str">
        <f t="shared" si="73"/>
        <v>Incomplete</v>
      </c>
    </row>
    <row r="4676" spans="1:17">
      <c r="A4676" s="12">
        <v>46245</v>
      </c>
      <c r="B4676" s="10">
        <v>13</v>
      </c>
      <c r="Q4676" s="10" t="str">
        <f t="shared" si="73"/>
        <v>Incomplete</v>
      </c>
    </row>
    <row r="4677" spans="1:17">
      <c r="A4677" s="12">
        <v>46245</v>
      </c>
      <c r="B4677" s="10">
        <v>14</v>
      </c>
      <c r="Q4677" s="10" t="str">
        <f t="shared" si="73"/>
        <v>Incomplete</v>
      </c>
    </row>
    <row r="4678" spans="1:17">
      <c r="A4678" s="12">
        <v>46245</v>
      </c>
      <c r="B4678" s="10">
        <v>15</v>
      </c>
      <c r="Q4678" s="10" t="str">
        <f t="shared" si="73"/>
        <v>Incomplete</v>
      </c>
    </row>
    <row r="4679" spans="1:17">
      <c r="A4679" s="12">
        <v>46245</v>
      </c>
      <c r="B4679" s="10">
        <v>16</v>
      </c>
      <c r="Q4679" s="10" t="str">
        <f t="shared" si="73"/>
        <v>Incomplete</v>
      </c>
    </row>
    <row r="4680" spans="1:17">
      <c r="A4680" s="12">
        <v>46245</v>
      </c>
      <c r="B4680" s="10">
        <v>17</v>
      </c>
      <c r="Q4680" s="10" t="str">
        <f t="shared" si="73"/>
        <v>Incomplete</v>
      </c>
    </row>
    <row r="4681" spans="1:17">
      <c r="A4681" s="12">
        <v>46245</v>
      </c>
      <c r="B4681" s="10">
        <v>18</v>
      </c>
      <c r="Q4681" s="10" t="str">
        <f t="shared" si="73"/>
        <v>Incomplete</v>
      </c>
    </row>
    <row r="4682" spans="1:17">
      <c r="A4682" s="12">
        <v>46245</v>
      </c>
      <c r="B4682" s="10">
        <v>19</v>
      </c>
      <c r="Q4682" s="10" t="str">
        <f t="shared" si="73"/>
        <v>Incomplete</v>
      </c>
    </row>
    <row r="4683" spans="1:17">
      <c r="A4683" s="12">
        <v>46245</v>
      </c>
      <c r="B4683" s="10">
        <v>20</v>
      </c>
      <c r="Q4683" s="10" t="str">
        <f t="shared" si="73"/>
        <v>Incomplete</v>
      </c>
    </row>
    <row r="4684" spans="1:17">
      <c r="A4684" s="12">
        <v>46245</v>
      </c>
      <c r="B4684" s="10">
        <v>21</v>
      </c>
      <c r="Q4684" s="10" t="str">
        <f t="shared" si="73"/>
        <v>Incomplete</v>
      </c>
    </row>
    <row r="4685" spans="1:17">
      <c r="A4685" s="12">
        <v>46246</v>
      </c>
      <c r="B4685" s="10">
        <v>1</v>
      </c>
      <c r="Q4685" s="10" t="str">
        <f t="shared" si="73"/>
        <v>Incomplete</v>
      </c>
    </row>
    <row r="4686" spans="1:17">
      <c r="A4686" s="12">
        <v>46246</v>
      </c>
      <c r="B4686" s="10">
        <v>2</v>
      </c>
      <c r="Q4686" s="10" t="str">
        <f t="shared" si="73"/>
        <v>Incomplete</v>
      </c>
    </row>
    <row r="4687" spans="1:17">
      <c r="A4687" s="12">
        <v>46246</v>
      </c>
      <c r="B4687" s="10">
        <v>3</v>
      </c>
      <c r="Q4687" s="10" t="str">
        <f t="shared" si="73"/>
        <v>Incomplete</v>
      </c>
    </row>
    <row r="4688" spans="1:17">
      <c r="A4688" s="12">
        <v>46246</v>
      </c>
      <c r="B4688" s="10">
        <v>4</v>
      </c>
      <c r="Q4688" s="10" t="str">
        <f t="shared" si="73"/>
        <v>Incomplete</v>
      </c>
    </row>
    <row r="4689" spans="1:17">
      <c r="A4689" s="12">
        <v>46246</v>
      </c>
      <c r="B4689" s="10">
        <v>5</v>
      </c>
      <c r="Q4689" s="10" t="str">
        <f t="shared" si="73"/>
        <v>Incomplete</v>
      </c>
    </row>
    <row r="4690" spans="1:17">
      <c r="A4690" s="12">
        <v>46246</v>
      </c>
      <c r="B4690" s="10">
        <v>6</v>
      </c>
      <c r="Q4690" s="10" t="str">
        <f t="shared" si="73"/>
        <v>Incomplete</v>
      </c>
    </row>
    <row r="4691" spans="1:17">
      <c r="A4691" s="12">
        <v>46246</v>
      </c>
      <c r="B4691" s="10">
        <v>7</v>
      </c>
      <c r="Q4691" s="10" t="str">
        <f t="shared" si="73"/>
        <v>Incomplete</v>
      </c>
    </row>
    <row r="4692" spans="1:17">
      <c r="A4692" s="12">
        <v>46246</v>
      </c>
      <c r="B4692" s="10">
        <v>8</v>
      </c>
      <c r="Q4692" s="10" t="str">
        <f t="shared" si="73"/>
        <v>Incomplete</v>
      </c>
    </row>
    <row r="4693" spans="1:17">
      <c r="A4693" s="12">
        <v>46246</v>
      </c>
      <c r="B4693" s="10">
        <v>9</v>
      </c>
      <c r="Q4693" s="10" t="str">
        <f t="shared" si="73"/>
        <v>Incomplete</v>
      </c>
    </row>
    <row r="4694" spans="1:17">
      <c r="A4694" s="12">
        <v>46246</v>
      </c>
      <c r="B4694" s="10">
        <v>10</v>
      </c>
      <c r="Q4694" s="10" t="str">
        <f t="shared" si="73"/>
        <v>Incomplete</v>
      </c>
    </row>
    <row r="4695" spans="1:17">
      <c r="A4695" s="12">
        <v>46246</v>
      </c>
      <c r="B4695" s="10">
        <v>11</v>
      </c>
      <c r="Q4695" s="10" t="str">
        <f t="shared" si="73"/>
        <v>Incomplete</v>
      </c>
    </row>
    <row r="4696" spans="1:17">
      <c r="A4696" s="12">
        <v>46246</v>
      </c>
      <c r="B4696" s="10">
        <v>12</v>
      </c>
      <c r="Q4696" s="10" t="str">
        <f t="shared" si="73"/>
        <v>Incomplete</v>
      </c>
    </row>
    <row r="4697" spans="1:17">
      <c r="A4697" s="12">
        <v>46246</v>
      </c>
      <c r="B4697" s="10">
        <v>13</v>
      </c>
      <c r="Q4697" s="10" t="str">
        <f t="shared" si="73"/>
        <v>Incomplete</v>
      </c>
    </row>
    <row r="4698" spans="1:17">
      <c r="A4698" s="12">
        <v>46246</v>
      </c>
      <c r="B4698" s="10">
        <v>14</v>
      </c>
      <c r="Q4698" s="10" t="str">
        <f t="shared" si="73"/>
        <v>Incomplete</v>
      </c>
    </row>
    <row r="4699" spans="1:17">
      <c r="A4699" s="12">
        <v>46246</v>
      </c>
      <c r="B4699" s="10">
        <v>15</v>
      </c>
      <c r="Q4699" s="10" t="str">
        <f t="shared" si="73"/>
        <v>Incomplete</v>
      </c>
    </row>
    <row r="4700" spans="1:17">
      <c r="A4700" s="12">
        <v>46246</v>
      </c>
      <c r="B4700" s="10">
        <v>16</v>
      </c>
      <c r="Q4700" s="10" t="str">
        <f t="shared" si="73"/>
        <v>Incomplete</v>
      </c>
    </row>
    <row r="4701" spans="1:17">
      <c r="A4701" s="12">
        <v>46246</v>
      </c>
      <c r="B4701" s="10">
        <v>17</v>
      </c>
      <c r="Q4701" s="10" t="str">
        <f t="shared" si="73"/>
        <v>Incomplete</v>
      </c>
    </row>
    <row r="4702" spans="1:17">
      <c r="A4702" s="12">
        <v>46246</v>
      </c>
      <c r="B4702" s="10">
        <v>18</v>
      </c>
      <c r="Q4702" s="10" t="str">
        <f t="shared" si="73"/>
        <v>Incomplete</v>
      </c>
    </row>
    <row r="4703" spans="1:17">
      <c r="A4703" s="12">
        <v>46246</v>
      </c>
      <c r="B4703" s="10">
        <v>19</v>
      </c>
      <c r="Q4703" s="10" t="str">
        <f t="shared" si="73"/>
        <v>Incomplete</v>
      </c>
    </row>
    <row r="4704" spans="1:17">
      <c r="A4704" s="12">
        <v>46246</v>
      </c>
      <c r="B4704" s="10">
        <v>20</v>
      </c>
      <c r="Q4704" s="10" t="str">
        <f t="shared" si="73"/>
        <v>Incomplete</v>
      </c>
    </row>
    <row r="4705" spans="1:17">
      <c r="A4705" s="12">
        <v>46246</v>
      </c>
      <c r="B4705" s="10">
        <v>21</v>
      </c>
      <c r="Q4705" s="10" t="str">
        <f t="shared" si="73"/>
        <v>Incomplete</v>
      </c>
    </row>
    <row r="4706" spans="1:17">
      <c r="A4706" s="12">
        <v>46247</v>
      </c>
      <c r="B4706" s="10">
        <v>1</v>
      </c>
      <c r="Q4706" s="10" t="str">
        <f t="shared" si="73"/>
        <v>Incomplete</v>
      </c>
    </row>
    <row r="4707" spans="1:17">
      <c r="A4707" s="12">
        <v>46247</v>
      </c>
      <c r="B4707" s="10">
        <v>2</v>
      </c>
      <c r="Q4707" s="10" t="str">
        <f t="shared" si="73"/>
        <v>Incomplete</v>
      </c>
    </row>
    <row r="4708" spans="1:17">
      <c r="A4708" s="12">
        <v>46247</v>
      </c>
      <c r="B4708" s="10">
        <v>3</v>
      </c>
      <c r="Q4708" s="10" t="str">
        <f t="shared" si="73"/>
        <v>Incomplete</v>
      </c>
    </row>
    <row r="4709" spans="1:17">
      <c r="A4709" s="12">
        <v>46247</v>
      </c>
      <c r="B4709" s="10">
        <v>4</v>
      </c>
      <c r="Q4709" s="10" t="str">
        <f t="shared" si="73"/>
        <v>Incomplete</v>
      </c>
    </row>
    <row r="4710" spans="1:17">
      <c r="A4710" s="12">
        <v>46247</v>
      </c>
      <c r="B4710" s="10">
        <v>5</v>
      </c>
      <c r="Q4710" s="10" t="str">
        <f t="shared" si="73"/>
        <v>Incomplete</v>
      </c>
    </row>
    <row r="4711" spans="1:17">
      <c r="A4711" s="12">
        <v>46247</v>
      </c>
      <c r="B4711" s="10">
        <v>6</v>
      </c>
      <c r="Q4711" s="10" t="str">
        <f t="shared" si="73"/>
        <v>Incomplete</v>
      </c>
    </row>
    <row r="4712" spans="1:17">
      <c r="A4712" s="12">
        <v>46247</v>
      </c>
      <c r="B4712" s="10">
        <v>7</v>
      </c>
      <c r="Q4712" s="10" t="str">
        <f t="shared" si="73"/>
        <v>Incomplete</v>
      </c>
    </row>
    <row r="4713" spans="1:17">
      <c r="A4713" s="12">
        <v>46247</v>
      </c>
      <c r="B4713" s="10">
        <v>8</v>
      </c>
      <c r="Q4713" s="10" t="str">
        <f t="shared" si="73"/>
        <v>Incomplete</v>
      </c>
    </row>
    <row r="4714" spans="1:17">
      <c r="A4714" s="12">
        <v>46247</v>
      </c>
      <c r="B4714" s="10">
        <v>9</v>
      </c>
      <c r="Q4714" s="10" t="str">
        <f t="shared" si="73"/>
        <v>Incomplete</v>
      </c>
    </row>
    <row r="4715" spans="1:17">
      <c r="A4715" s="12">
        <v>46247</v>
      </c>
      <c r="B4715" s="10">
        <v>10</v>
      </c>
      <c r="Q4715" s="10" t="str">
        <f t="shared" si="73"/>
        <v>Incomplete</v>
      </c>
    </row>
    <row r="4716" spans="1:17">
      <c r="A4716" s="12">
        <v>46247</v>
      </c>
      <c r="B4716" s="10">
        <v>11</v>
      </c>
      <c r="Q4716" s="10" t="str">
        <f t="shared" si="73"/>
        <v>Incomplete</v>
      </c>
    </row>
    <row r="4717" spans="1:17">
      <c r="A4717" s="12">
        <v>46247</v>
      </c>
      <c r="B4717" s="10">
        <v>12</v>
      </c>
      <c r="Q4717" s="10" t="str">
        <f t="shared" si="73"/>
        <v>Incomplete</v>
      </c>
    </row>
    <row r="4718" spans="1:17">
      <c r="A4718" s="12">
        <v>46247</v>
      </c>
      <c r="B4718" s="10">
        <v>13</v>
      </c>
      <c r="Q4718" s="10" t="str">
        <f t="shared" si="73"/>
        <v>Incomplete</v>
      </c>
    </row>
    <row r="4719" spans="1:17">
      <c r="A4719" s="12">
        <v>46247</v>
      </c>
      <c r="B4719" s="10">
        <v>14</v>
      </c>
      <c r="Q4719" s="10" t="str">
        <f t="shared" si="73"/>
        <v>Incomplete</v>
      </c>
    </row>
    <row r="4720" spans="1:17">
      <c r="A4720" s="12">
        <v>46247</v>
      </c>
      <c r="B4720" s="10">
        <v>15</v>
      </c>
      <c r="Q4720" s="10" t="str">
        <f t="shared" si="73"/>
        <v>Incomplete</v>
      </c>
    </row>
    <row r="4721" spans="1:17">
      <c r="A4721" s="12">
        <v>46247</v>
      </c>
      <c r="B4721" s="10">
        <v>16</v>
      </c>
      <c r="Q4721" s="10" t="str">
        <f t="shared" si="73"/>
        <v>Incomplete</v>
      </c>
    </row>
    <row r="4722" spans="1:17">
      <c r="A4722" s="12">
        <v>46247</v>
      </c>
      <c r="B4722" s="10">
        <v>17</v>
      </c>
      <c r="Q4722" s="10" t="str">
        <f t="shared" si="73"/>
        <v>Incomplete</v>
      </c>
    </row>
    <row r="4723" spans="1:17">
      <c r="A4723" s="12">
        <v>46247</v>
      </c>
      <c r="B4723" s="10">
        <v>18</v>
      </c>
      <c r="Q4723" s="10" t="str">
        <f t="shared" si="73"/>
        <v>Incomplete</v>
      </c>
    </row>
    <row r="4724" spans="1:17">
      <c r="A4724" s="12">
        <v>46247</v>
      </c>
      <c r="B4724" s="10">
        <v>19</v>
      </c>
      <c r="Q4724" s="10" t="str">
        <f t="shared" si="73"/>
        <v>Incomplete</v>
      </c>
    </row>
    <row r="4725" spans="1:17">
      <c r="A4725" s="12">
        <v>46247</v>
      </c>
      <c r="B4725" s="10">
        <v>20</v>
      </c>
      <c r="Q4725" s="10" t="str">
        <f t="shared" si="73"/>
        <v>Incomplete</v>
      </c>
    </row>
    <row r="4726" spans="1:17">
      <c r="A4726" s="12">
        <v>46247</v>
      </c>
      <c r="B4726" s="10">
        <v>21</v>
      </c>
      <c r="Q4726" s="10" t="str">
        <f t="shared" si="73"/>
        <v>Incomplete</v>
      </c>
    </row>
    <row r="4727" spans="1:17">
      <c r="A4727" s="12">
        <v>46248</v>
      </c>
      <c r="B4727" s="10">
        <v>1</v>
      </c>
      <c r="Q4727" s="10" t="str">
        <f t="shared" si="73"/>
        <v>Incomplete</v>
      </c>
    </row>
    <row r="4728" spans="1:17">
      <c r="A4728" s="12">
        <v>46248</v>
      </c>
      <c r="B4728" s="10">
        <v>2</v>
      </c>
      <c r="Q4728" s="10" t="str">
        <f t="shared" si="73"/>
        <v>Incomplete</v>
      </c>
    </row>
    <row r="4729" spans="1:17">
      <c r="A4729" s="12">
        <v>46248</v>
      </c>
      <c r="B4729" s="10">
        <v>3</v>
      </c>
      <c r="Q4729" s="10" t="str">
        <f t="shared" si="73"/>
        <v>Incomplete</v>
      </c>
    </row>
    <row r="4730" spans="1:17">
      <c r="A4730" s="12">
        <v>46248</v>
      </c>
      <c r="B4730" s="10">
        <v>4</v>
      </c>
      <c r="Q4730" s="10" t="str">
        <f t="shared" si="73"/>
        <v>Incomplete</v>
      </c>
    </row>
    <row r="4731" spans="1:17">
      <c r="A4731" s="12">
        <v>46248</v>
      </c>
      <c r="B4731" s="10">
        <v>5</v>
      </c>
      <c r="Q4731" s="10" t="str">
        <f t="shared" si="73"/>
        <v>Incomplete</v>
      </c>
    </row>
    <row r="4732" spans="1:17">
      <c r="A4732" s="12">
        <v>46248</v>
      </c>
      <c r="B4732" s="10">
        <v>6</v>
      </c>
      <c r="Q4732" s="10" t="str">
        <f t="shared" si="73"/>
        <v>Incomplete</v>
      </c>
    </row>
    <row r="4733" spans="1:17">
      <c r="A4733" s="12">
        <v>46248</v>
      </c>
      <c r="B4733" s="10">
        <v>7</v>
      </c>
      <c r="Q4733" s="10" t="str">
        <f t="shared" si="73"/>
        <v>Incomplete</v>
      </c>
    </row>
    <row r="4734" spans="1:17">
      <c r="A4734" s="12">
        <v>46248</v>
      </c>
      <c r="B4734" s="10">
        <v>8</v>
      </c>
      <c r="Q4734" s="10" t="str">
        <f t="shared" si="73"/>
        <v>Incomplete</v>
      </c>
    </row>
    <row r="4735" spans="1:17">
      <c r="A4735" s="12">
        <v>46248</v>
      </c>
      <c r="B4735" s="10">
        <v>9</v>
      </c>
      <c r="Q4735" s="10" t="str">
        <f t="shared" si="73"/>
        <v>Incomplete</v>
      </c>
    </row>
    <row r="4736" spans="1:17">
      <c r="A4736" s="12">
        <v>46248</v>
      </c>
      <c r="B4736" s="10">
        <v>10</v>
      </c>
      <c r="Q4736" s="10" t="str">
        <f t="shared" si="73"/>
        <v>Incomplete</v>
      </c>
    </row>
    <row r="4737" spans="1:17">
      <c r="A4737" s="12">
        <v>46248</v>
      </c>
      <c r="B4737" s="10">
        <v>11</v>
      </c>
      <c r="Q4737" s="10" t="str">
        <f t="shared" si="73"/>
        <v>Incomplete</v>
      </c>
    </row>
    <row r="4738" spans="1:17">
      <c r="A4738" s="12">
        <v>46248</v>
      </c>
      <c r="B4738" s="10">
        <v>12</v>
      </c>
      <c r="Q4738" s="10" t="str">
        <f t="shared" ref="Q4738:Q4801" si="74">IF(AND(C4738&lt;&gt;"",J4738&lt;&gt;"",K4738&lt;&gt;"",L4738&lt;&gt;"",O4738="Yes"),"Complete","Incomplete")</f>
        <v>Incomplete</v>
      </c>
    </row>
    <row r="4739" spans="1:17">
      <c r="A4739" s="12">
        <v>46248</v>
      </c>
      <c r="B4739" s="10">
        <v>13</v>
      </c>
      <c r="Q4739" s="10" t="str">
        <f t="shared" si="74"/>
        <v>Incomplete</v>
      </c>
    </row>
    <row r="4740" spans="1:17">
      <c r="A4740" s="12">
        <v>46248</v>
      </c>
      <c r="B4740" s="10">
        <v>14</v>
      </c>
      <c r="Q4740" s="10" t="str">
        <f t="shared" si="74"/>
        <v>Incomplete</v>
      </c>
    </row>
    <row r="4741" spans="1:17">
      <c r="A4741" s="12">
        <v>46248</v>
      </c>
      <c r="B4741" s="10">
        <v>15</v>
      </c>
      <c r="Q4741" s="10" t="str">
        <f t="shared" si="74"/>
        <v>Incomplete</v>
      </c>
    </row>
    <row r="4742" spans="1:17">
      <c r="A4742" s="12">
        <v>46248</v>
      </c>
      <c r="B4742" s="10">
        <v>16</v>
      </c>
      <c r="Q4742" s="10" t="str">
        <f t="shared" si="74"/>
        <v>Incomplete</v>
      </c>
    </row>
    <row r="4743" spans="1:17">
      <c r="A4743" s="12">
        <v>46248</v>
      </c>
      <c r="B4743" s="10">
        <v>17</v>
      </c>
      <c r="Q4743" s="10" t="str">
        <f t="shared" si="74"/>
        <v>Incomplete</v>
      </c>
    </row>
    <row r="4744" spans="1:17">
      <c r="A4744" s="12">
        <v>46248</v>
      </c>
      <c r="B4744" s="10">
        <v>18</v>
      </c>
      <c r="Q4744" s="10" t="str">
        <f t="shared" si="74"/>
        <v>Incomplete</v>
      </c>
    </row>
    <row r="4745" spans="1:17">
      <c r="A4745" s="12">
        <v>46248</v>
      </c>
      <c r="B4745" s="10">
        <v>19</v>
      </c>
      <c r="Q4745" s="10" t="str">
        <f t="shared" si="74"/>
        <v>Incomplete</v>
      </c>
    </row>
    <row r="4746" spans="1:17">
      <c r="A4746" s="12">
        <v>46248</v>
      </c>
      <c r="B4746" s="10">
        <v>20</v>
      </c>
      <c r="Q4746" s="10" t="str">
        <f t="shared" si="74"/>
        <v>Incomplete</v>
      </c>
    </row>
    <row r="4747" spans="1:17">
      <c r="A4747" s="12">
        <v>46248</v>
      </c>
      <c r="B4747" s="10">
        <v>21</v>
      </c>
      <c r="Q4747" s="10" t="str">
        <f t="shared" si="74"/>
        <v>Incomplete</v>
      </c>
    </row>
    <row r="4748" spans="1:17">
      <c r="A4748" s="12">
        <v>46249</v>
      </c>
      <c r="B4748" s="10">
        <v>1</v>
      </c>
      <c r="Q4748" s="10" t="str">
        <f t="shared" si="74"/>
        <v>Incomplete</v>
      </c>
    </row>
    <row r="4749" spans="1:17">
      <c r="A4749" s="12">
        <v>46249</v>
      </c>
      <c r="B4749" s="10">
        <v>2</v>
      </c>
      <c r="Q4749" s="10" t="str">
        <f t="shared" si="74"/>
        <v>Incomplete</v>
      </c>
    </row>
    <row r="4750" spans="1:17">
      <c r="A4750" s="12">
        <v>46249</v>
      </c>
      <c r="B4750" s="10">
        <v>3</v>
      </c>
      <c r="Q4750" s="10" t="str">
        <f t="shared" si="74"/>
        <v>Incomplete</v>
      </c>
    </row>
    <row r="4751" spans="1:17">
      <c r="A4751" s="12">
        <v>46249</v>
      </c>
      <c r="B4751" s="10">
        <v>4</v>
      </c>
      <c r="Q4751" s="10" t="str">
        <f t="shared" si="74"/>
        <v>Incomplete</v>
      </c>
    </row>
    <row r="4752" spans="1:17">
      <c r="A4752" s="12">
        <v>46249</v>
      </c>
      <c r="B4752" s="10">
        <v>5</v>
      </c>
      <c r="Q4752" s="10" t="str">
        <f t="shared" si="74"/>
        <v>Incomplete</v>
      </c>
    </row>
    <row r="4753" spans="1:17">
      <c r="A4753" s="12">
        <v>46249</v>
      </c>
      <c r="B4753" s="10">
        <v>6</v>
      </c>
      <c r="Q4753" s="10" t="str">
        <f t="shared" si="74"/>
        <v>Incomplete</v>
      </c>
    </row>
    <row r="4754" spans="1:17">
      <c r="A4754" s="12">
        <v>46249</v>
      </c>
      <c r="B4754" s="10">
        <v>7</v>
      </c>
      <c r="Q4754" s="10" t="str">
        <f t="shared" si="74"/>
        <v>Incomplete</v>
      </c>
    </row>
    <row r="4755" spans="1:17">
      <c r="A4755" s="12">
        <v>46249</v>
      </c>
      <c r="B4755" s="10">
        <v>8</v>
      </c>
      <c r="Q4755" s="10" t="str">
        <f t="shared" si="74"/>
        <v>Incomplete</v>
      </c>
    </row>
    <row r="4756" spans="1:17">
      <c r="A4756" s="12">
        <v>46249</v>
      </c>
      <c r="B4756" s="10">
        <v>9</v>
      </c>
      <c r="Q4756" s="10" t="str">
        <f t="shared" si="74"/>
        <v>Incomplete</v>
      </c>
    </row>
    <row r="4757" spans="1:17">
      <c r="A4757" s="12">
        <v>46249</v>
      </c>
      <c r="B4757" s="10">
        <v>10</v>
      </c>
      <c r="Q4757" s="10" t="str">
        <f t="shared" si="74"/>
        <v>Incomplete</v>
      </c>
    </row>
    <row r="4758" spans="1:17">
      <c r="A4758" s="12">
        <v>46249</v>
      </c>
      <c r="B4758" s="10">
        <v>11</v>
      </c>
      <c r="Q4758" s="10" t="str">
        <f t="shared" si="74"/>
        <v>Incomplete</v>
      </c>
    </row>
    <row r="4759" spans="1:17">
      <c r="A4759" s="12">
        <v>46249</v>
      </c>
      <c r="B4759" s="10">
        <v>12</v>
      </c>
      <c r="Q4759" s="10" t="str">
        <f t="shared" si="74"/>
        <v>Incomplete</v>
      </c>
    </row>
    <row r="4760" spans="1:17">
      <c r="A4760" s="12">
        <v>46249</v>
      </c>
      <c r="B4760" s="10">
        <v>13</v>
      </c>
      <c r="Q4760" s="10" t="str">
        <f t="shared" si="74"/>
        <v>Incomplete</v>
      </c>
    </row>
    <row r="4761" spans="1:17">
      <c r="A4761" s="12">
        <v>46249</v>
      </c>
      <c r="B4761" s="10">
        <v>14</v>
      </c>
      <c r="Q4761" s="10" t="str">
        <f t="shared" si="74"/>
        <v>Incomplete</v>
      </c>
    </row>
    <row r="4762" spans="1:17">
      <c r="A4762" s="12">
        <v>46249</v>
      </c>
      <c r="B4762" s="10">
        <v>15</v>
      </c>
      <c r="Q4762" s="10" t="str">
        <f t="shared" si="74"/>
        <v>Incomplete</v>
      </c>
    </row>
    <row r="4763" spans="1:17">
      <c r="A4763" s="12">
        <v>46249</v>
      </c>
      <c r="B4763" s="10">
        <v>16</v>
      </c>
      <c r="Q4763" s="10" t="str">
        <f t="shared" si="74"/>
        <v>Incomplete</v>
      </c>
    </row>
    <row r="4764" spans="1:17">
      <c r="A4764" s="12">
        <v>46249</v>
      </c>
      <c r="B4764" s="10">
        <v>17</v>
      </c>
      <c r="Q4764" s="10" t="str">
        <f t="shared" si="74"/>
        <v>Incomplete</v>
      </c>
    </row>
    <row r="4765" spans="1:17">
      <c r="A4765" s="12">
        <v>46249</v>
      </c>
      <c r="B4765" s="10">
        <v>18</v>
      </c>
      <c r="Q4765" s="10" t="str">
        <f t="shared" si="74"/>
        <v>Incomplete</v>
      </c>
    </row>
    <row r="4766" spans="1:17">
      <c r="A4766" s="12">
        <v>46249</v>
      </c>
      <c r="B4766" s="10">
        <v>19</v>
      </c>
      <c r="Q4766" s="10" t="str">
        <f t="shared" si="74"/>
        <v>Incomplete</v>
      </c>
    </row>
    <row r="4767" spans="1:17">
      <c r="A4767" s="12">
        <v>46249</v>
      </c>
      <c r="B4767" s="10">
        <v>20</v>
      </c>
      <c r="Q4767" s="10" t="str">
        <f t="shared" si="74"/>
        <v>Incomplete</v>
      </c>
    </row>
    <row r="4768" spans="1:17">
      <c r="A4768" s="12">
        <v>46249</v>
      </c>
      <c r="B4768" s="10">
        <v>21</v>
      </c>
      <c r="Q4768" s="10" t="str">
        <f t="shared" si="74"/>
        <v>Incomplete</v>
      </c>
    </row>
    <row r="4769" spans="1:17">
      <c r="A4769" s="12">
        <v>46250</v>
      </c>
      <c r="B4769" s="10">
        <v>1</v>
      </c>
      <c r="Q4769" s="10" t="str">
        <f t="shared" si="74"/>
        <v>Incomplete</v>
      </c>
    </row>
    <row r="4770" spans="1:17">
      <c r="A4770" s="12">
        <v>46250</v>
      </c>
      <c r="B4770" s="10">
        <v>2</v>
      </c>
      <c r="Q4770" s="10" t="str">
        <f t="shared" si="74"/>
        <v>Incomplete</v>
      </c>
    </row>
    <row r="4771" spans="1:17">
      <c r="A4771" s="12">
        <v>46250</v>
      </c>
      <c r="B4771" s="10">
        <v>3</v>
      </c>
      <c r="Q4771" s="10" t="str">
        <f t="shared" si="74"/>
        <v>Incomplete</v>
      </c>
    </row>
    <row r="4772" spans="1:17">
      <c r="A4772" s="12">
        <v>46250</v>
      </c>
      <c r="B4772" s="10">
        <v>4</v>
      </c>
      <c r="Q4772" s="10" t="str">
        <f t="shared" si="74"/>
        <v>Incomplete</v>
      </c>
    </row>
    <row r="4773" spans="1:17">
      <c r="A4773" s="12">
        <v>46250</v>
      </c>
      <c r="B4773" s="10">
        <v>5</v>
      </c>
      <c r="Q4773" s="10" t="str">
        <f t="shared" si="74"/>
        <v>Incomplete</v>
      </c>
    </row>
    <row r="4774" spans="1:17">
      <c r="A4774" s="12">
        <v>46250</v>
      </c>
      <c r="B4774" s="10">
        <v>6</v>
      </c>
      <c r="Q4774" s="10" t="str">
        <f t="shared" si="74"/>
        <v>Incomplete</v>
      </c>
    </row>
    <row r="4775" spans="1:17">
      <c r="A4775" s="12">
        <v>46250</v>
      </c>
      <c r="B4775" s="10">
        <v>7</v>
      </c>
      <c r="Q4775" s="10" t="str">
        <f t="shared" si="74"/>
        <v>Incomplete</v>
      </c>
    </row>
    <row r="4776" spans="1:17">
      <c r="A4776" s="12">
        <v>46250</v>
      </c>
      <c r="B4776" s="10">
        <v>8</v>
      </c>
      <c r="Q4776" s="10" t="str">
        <f t="shared" si="74"/>
        <v>Incomplete</v>
      </c>
    </row>
    <row r="4777" spans="1:17">
      <c r="A4777" s="12">
        <v>46250</v>
      </c>
      <c r="B4777" s="10">
        <v>9</v>
      </c>
      <c r="Q4777" s="10" t="str">
        <f t="shared" si="74"/>
        <v>Incomplete</v>
      </c>
    </row>
    <row r="4778" spans="1:17">
      <c r="A4778" s="12">
        <v>46250</v>
      </c>
      <c r="B4778" s="10">
        <v>10</v>
      </c>
      <c r="Q4778" s="10" t="str">
        <f t="shared" si="74"/>
        <v>Incomplete</v>
      </c>
    </row>
    <row r="4779" spans="1:17">
      <c r="A4779" s="12">
        <v>46250</v>
      </c>
      <c r="B4779" s="10">
        <v>11</v>
      </c>
      <c r="Q4779" s="10" t="str">
        <f t="shared" si="74"/>
        <v>Incomplete</v>
      </c>
    </row>
    <row r="4780" spans="1:17">
      <c r="A4780" s="12">
        <v>46250</v>
      </c>
      <c r="B4780" s="10">
        <v>12</v>
      </c>
      <c r="Q4780" s="10" t="str">
        <f t="shared" si="74"/>
        <v>Incomplete</v>
      </c>
    </row>
    <row r="4781" spans="1:17">
      <c r="A4781" s="12">
        <v>46250</v>
      </c>
      <c r="B4781" s="10">
        <v>13</v>
      </c>
      <c r="Q4781" s="10" t="str">
        <f t="shared" si="74"/>
        <v>Incomplete</v>
      </c>
    </row>
    <row r="4782" spans="1:17">
      <c r="A4782" s="12">
        <v>46250</v>
      </c>
      <c r="B4782" s="10">
        <v>14</v>
      </c>
      <c r="Q4782" s="10" t="str">
        <f t="shared" si="74"/>
        <v>Incomplete</v>
      </c>
    </row>
    <row r="4783" spans="1:17">
      <c r="A4783" s="12">
        <v>46250</v>
      </c>
      <c r="B4783" s="10">
        <v>15</v>
      </c>
      <c r="Q4783" s="10" t="str">
        <f t="shared" si="74"/>
        <v>Incomplete</v>
      </c>
    </row>
    <row r="4784" spans="1:17">
      <c r="A4784" s="12">
        <v>46250</v>
      </c>
      <c r="B4784" s="10">
        <v>16</v>
      </c>
      <c r="Q4784" s="10" t="str">
        <f t="shared" si="74"/>
        <v>Incomplete</v>
      </c>
    </row>
    <row r="4785" spans="1:17">
      <c r="A4785" s="12">
        <v>46250</v>
      </c>
      <c r="B4785" s="10">
        <v>17</v>
      </c>
      <c r="Q4785" s="10" t="str">
        <f t="shared" si="74"/>
        <v>Incomplete</v>
      </c>
    </row>
    <row r="4786" spans="1:17">
      <c r="A4786" s="12">
        <v>46250</v>
      </c>
      <c r="B4786" s="10">
        <v>18</v>
      </c>
      <c r="Q4786" s="10" t="str">
        <f t="shared" si="74"/>
        <v>Incomplete</v>
      </c>
    </row>
    <row r="4787" spans="1:17">
      <c r="A4787" s="12">
        <v>46250</v>
      </c>
      <c r="B4787" s="10">
        <v>19</v>
      </c>
      <c r="Q4787" s="10" t="str">
        <f t="shared" si="74"/>
        <v>Incomplete</v>
      </c>
    </row>
    <row r="4788" spans="1:17">
      <c r="A4788" s="12">
        <v>46250</v>
      </c>
      <c r="B4788" s="10">
        <v>20</v>
      </c>
      <c r="Q4788" s="10" t="str">
        <f t="shared" si="74"/>
        <v>Incomplete</v>
      </c>
    </row>
    <row r="4789" spans="1:17">
      <c r="A4789" s="12">
        <v>46250</v>
      </c>
      <c r="B4789" s="10">
        <v>21</v>
      </c>
      <c r="Q4789" s="10" t="str">
        <f t="shared" si="74"/>
        <v>Incomplete</v>
      </c>
    </row>
    <row r="4790" spans="1:17">
      <c r="A4790" s="12">
        <v>46251</v>
      </c>
      <c r="B4790" s="10">
        <v>1</v>
      </c>
      <c r="Q4790" s="10" t="str">
        <f t="shared" si="74"/>
        <v>Incomplete</v>
      </c>
    </row>
    <row r="4791" spans="1:17">
      <c r="A4791" s="12">
        <v>46251</v>
      </c>
      <c r="B4791" s="10">
        <v>2</v>
      </c>
      <c r="Q4791" s="10" t="str">
        <f t="shared" si="74"/>
        <v>Incomplete</v>
      </c>
    </row>
    <row r="4792" spans="1:17">
      <c r="A4792" s="12">
        <v>46251</v>
      </c>
      <c r="B4792" s="10">
        <v>3</v>
      </c>
      <c r="Q4792" s="10" t="str">
        <f t="shared" si="74"/>
        <v>Incomplete</v>
      </c>
    </row>
    <row r="4793" spans="1:17">
      <c r="A4793" s="12">
        <v>46251</v>
      </c>
      <c r="B4793" s="10">
        <v>4</v>
      </c>
      <c r="Q4793" s="10" t="str">
        <f t="shared" si="74"/>
        <v>Incomplete</v>
      </c>
    </row>
    <row r="4794" spans="1:17">
      <c r="A4794" s="12">
        <v>46251</v>
      </c>
      <c r="B4794" s="10">
        <v>5</v>
      </c>
      <c r="Q4794" s="10" t="str">
        <f t="shared" si="74"/>
        <v>Incomplete</v>
      </c>
    </row>
    <row r="4795" spans="1:17">
      <c r="A4795" s="12">
        <v>46251</v>
      </c>
      <c r="B4795" s="10">
        <v>6</v>
      </c>
      <c r="Q4795" s="10" t="str">
        <f t="shared" si="74"/>
        <v>Incomplete</v>
      </c>
    </row>
    <row r="4796" spans="1:17">
      <c r="A4796" s="12">
        <v>46251</v>
      </c>
      <c r="B4796" s="10">
        <v>7</v>
      </c>
      <c r="Q4796" s="10" t="str">
        <f t="shared" si="74"/>
        <v>Incomplete</v>
      </c>
    </row>
    <row r="4797" spans="1:17">
      <c r="A4797" s="12">
        <v>46251</v>
      </c>
      <c r="B4797" s="10">
        <v>8</v>
      </c>
      <c r="Q4797" s="10" t="str">
        <f t="shared" si="74"/>
        <v>Incomplete</v>
      </c>
    </row>
    <row r="4798" spans="1:17">
      <c r="A4798" s="12">
        <v>46251</v>
      </c>
      <c r="B4798" s="10">
        <v>9</v>
      </c>
      <c r="Q4798" s="10" t="str">
        <f t="shared" si="74"/>
        <v>Incomplete</v>
      </c>
    </row>
    <row r="4799" spans="1:17">
      <c r="A4799" s="12">
        <v>46251</v>
      </c>
      <c r="B4799" s="10">
        <v>10</v>
      </c>
      <c r="Q4799" s="10" t="str">
        <f t="shared" si="74"/>
        <v>Incomplete</v>
      </c>
    </row>
    <row r="4800" spans="1:17">
      <c r="A4800" s="12">
        <v>46251</v>
      </c>
      <c r="B4800" s="10">
        <v>11</v>
      </c>
      <c r="Q4800" s="10" t="str">
        <f t="shared" si="74"/>
        <v>Incomplete</v>
      </c>
    </row>
    <row r="4801" spans="1:17">
      <c r="A4801" s="12">
        <v>46251</v>
      </c>
      <c r="B4801" s="10">
        <v>12</v>
      </c>
      <c r="Q4801" s="10" t="str">
        <f t="shared" si="74"/>
        <v>Incomplete</v>
      </c>
    </row>
    <row r="4802" spans="1:17">
      <c r="A4802" s="12">
        <v>46251</v>
      </c>
      <c r="B4802" s="10">
        <v>13</v>
      </c>
      <c r="Q4802" s="10" t="str">
        <f t="shared" ref="Q4802:Q4865" si="75">IF(AND(C4802&lt;&gt;"",J4802&lt;&gt;"",K4802&lt;&gt;"",L4802&lt;&gt;"",O4802="Yes"),"Complete","Incomplete")</f>
        <v>Incomplete</v>
      </c>
    </row>
    <row r="4803" spans="1:17">
      <c r="A4803" s="12">
        <v>46251</v>
      </c>
      <c r="B4803" s="10">
        <v>14</v>
      </c>
      <c r="Q4803" s="10" t="str">
        <f t="shared" si="75"/>
        <v>Incomplete</v>
      </c>
    </row>
    <row r="4804" spans="1:17">
      <c r="A4804" s="12">
        <v>46251</v>
      </c>
      <c r="B4804" s="10">
        <v>15</v>
      </c>
      <c r="Q4804" s="10" t="str">
        <f t="shared" si="75"/>
        <v>Incomplete</v>
      </c>
    </row>
    <row r="4805" spans="1:17">
      <c r="A4805" s="12">
        <v>46251</v>
      </c>
      <c r="B4805" s="10">
        <v>16</v>
      </c>
      <c r="Q4805" s="10" t="str">
        <f t="shared" si="75"/>
        <v>Incomplete</v>
      </c>
    </row>
    <row r="4806" spans="1:17">
      <c r="A4806" s="12">
        <v>46251</v>
      </c>
      <c r="B4806" s="10">
        <v>17</v>
      </c>
      <c r="Q4806" s="10" t="str">
        <f t="shared" si="75"/>
        <v>Incomplete</v>
      </c>
    </row>
    <row r="4807" spans="1:17">
      <c r="A4807" s="12">
        <v>46251</v>
      </c>
      <c r="B4807" s="10">
        <v>18</v>
      </c>
      <c r="Q4807" s="10" t="str">
        <f t="shared" si="75"/>
        <v>Incomplete</v>
      </c>
    </row>
    <row r="4808" spans="1:17">
      <c r="A4808" s="12">
        <v>46251</v>
      </c>
      <c r="B4808" s="10">
        <v>19</v>
      </c>
      <c r="Q4808" s="10" t="str">
        <f t="shared" si="75"/>
        <v>Incomplete</v>
      </c>
    </row>
    <row r="4809" spans="1:17">
      <c r="A4809" s="12">
        <v>46251</v>
      </c>
      <c r="B4809" s="10">
        <v>20</v>
      </c>
      <c r="Q4809" s="10" t="str">
        <f t="shared" si="75"/>
        <v>Incomplete</v>
      </c>
    </row>
    <row r="4810" spans="1:17">
      <c r="A4810" s="12">
        <v>46251</v>
      </c>
      <c r="B4810" s="10">
        <v>21</v>
      </c>
      <c r="Q4810" s="10" t="str">
        <f t="shared" si="75"/>
        <v>Incomplete</v>
      </c>
    </row>
    <row r="4811" spans="1:17">
      <c r="A4811" s="12">
        <v>46252</v>
      </c>
      <c r="B4811" s="10">
        <v>1</v>
      </c>
      <c r="Q4811" s="10" t="str">
        <f t="shared" si="75"/>
        <v>Incomplete</v>
      </c>
    </row>
    <row r="4812" spans="1:17">
      <c r="A4812" s="12">
        <v>46252</v>
      </c>
      <c r="B4812" s="10">
        <v>2</v>
      </c>
      <c r="Q4812" s="10" t="str">
        <f t="shared" si="75"/>
        <v>Incomplete</v>
      </c>
    </row>
    <row r="4813" spans="1:17">
      <c r="A4813" s="12">
        <v>46252</v>
      </c>
      <c r="B4813" s="10">
        <v>3</v>
      </c>
      <c r="Q4813" s="10" t="str">
        <f t="shared" si="75"/>
        <v>Incomplete</v>
      </c>
    </row>
    <row r="4814" spans="1:17">
      <c r="A4814" s="12">
        <v>46252</v>
      </c>
      <c r="B4814" s="10">
        <v>4</v>
      </c>
      <c r="Q4814" s="10" t="str">
        <f t="shared" si="75"/>
        <v>Incomplete</v>
      </c>
    </row>
    <row r="4815" spans="1:17">
      <c r="A4815" s="12">
        <v>46252</v>
      </c>
      <c r="B4815" s="10">
        <v>5</v>
      </c>
      <c r="Q4815" s="10" t="str">
        <f t="shared" si="75"/>
        <v>Incomplete</v>
      </c>
    </row>
    <row r="4816" spans="1:17">
      <c r="A4816" s="12">
        <v>46252</v>
      </c>
      <c r="B4816" s="10">
        <v>6</v>
      </c>
      <c r="Q4816" s="10" t="str">
        <f t="shared" si="75"/>
        <v>Incomplete</v>
      </c>
    </row>
    <row r="4817" spans="1:17">
      <c r="A4817" s="12">
        <v>46252</v>
      </c>
      <c r="B4817" s="10">
        <v>7</v>
      </c>
      <c r="Q4817" s="10" t="str">
        <f t="shared" si="75"/>
        <v>Incomplete</v>
      </c>
    </row>
    <row r="4818" spans="1:17">
      <c r="A4818" s="12">
        <v>46252</v>
      </c>
      <c r="B4818" s="10">
        <v>8</v>
      </c>
      <c r="Q4818" s="10" t="str">
        <f t="shared" si="75"/>
        <v>Incomplete</v>
      </c>
    </row>
    <row r="4819" spans="1:17">
      <c r="A4819" s="12">
        <v>46252</v>
      </c>
      <c r="B4819" s="10">
        <v>9</v>
      </c>
      <c r="Q4819" s="10" t="str">
        <f t="shared" si="75"/>
        <v>Incomplete</v>
      </c>
    </row>
    <row r="4820" spans="1:17">
      <c r="A4820" s="12">
        <v>46252</v>
      </c>
      <c r="B4820" s="10">
        <v>10</v>
      </c>
      <c r="Q4820" s="10" t="str">
        <f t="shared" si="75"/>
        <v>Incomplete</v>
      </c>
    </row>
    <row r="4821" spans="1:17">
      <c r="A4821" s="12">
        <v>46252</v>
      </c>
      <c r="B4821" s="10">
        <v>11</v>
      </c>
      <c r="Q4821" s="10" t="str">
        <f t="shared" si="75"/>
        <v>Incomplete</v>
      </c>
    </row>
    <row r="4822" spans="1:17">
      <c r="A4822" s="12">
        <v>46252</v>
      </c>
      <c r="B4822" s="10">
        <v>12</v>
      </c>
      <c r="Q4822" s="10" t="str">
        <f t="shared" si="75"/>
        <v>Incomplete</v>
      </c>
    </row>
    <row r="4823" spans="1:17">
      <c r="A4823" s="12">
        <v>46252</v>
      </c>
      <c r="B4823" s="10">
        <v>13</v>
      </c>
      <c r="Q4823" s="10" t="str">
        <f t="shared" si="75"/>
        <v>Incomplete</v>
      </c>
    </row>
    <row r="4824" spans="1:17">
      <c r="A4824" s="12">
        <v>46252</v>
      </c>
      <c r="B4824" s="10">
        <v>14</v>
      </c>
      <c r="Q4824" s="10" t="str">
        <f t="shared" si="75"/>
        <v>Incomplete</v>
      </c>
    </row>
    <row r="4825" spans="1:17">
      <c r="A4825" s="12">
        <v>46252</v>
      </c>
      <c r="B4825" s="10">
        <v>15</v>
      </c>
      <c r="Q4825" s="10" t="str">
        <f t="shared" si="75"/>
        <v>Incomplete</v>
      </c>
    </row>
    <row r="4826" spans="1:17">
      <c r="A4826" s="12">
        <v>46252</v>
      </c>
      <c r="B4826" s="10">
        <v>16</v>
      </c>
      <c r="Q4826" s="10" t="str">
        <f t="shared" si="75"/>
        <v>Incomplete</v>
      </c>
    </row>
    <row r="4827" spans="1:17">
      <c r="A4827" s="12">
        <v>46252</v>
      </c>
      <c r="B4827" s="10">
        <v>17</v>
      </c>
      <c r="Q4827" s="10" t="str">
        <f t="shared" si="75"/>
        <v>Incomplete</v>
      </c>
    </row>
    <row r="4828" spans="1:17">
      <c r="A4828" s="12">
        <v>46252</v>
      </c>
      <c r="B4828" s="10">
        <v>18</v>
      </c>
      <c r="Q4828" s="10" t="str">
        <f t="shared" si="75"/>
        <v>Incomplete</v>
      </c>
    </row>
    <row r="4829" spans="1:17">
      <c r="A4829" s="12">
        <v>46252</v>
      </c>
      <c r="B4829" s="10">
        <v>19</v>
      </c>
      <c r="Q4829" s="10" t="str">
        <f t="shared" si="75"/>
        <v>Incomplete</v>
      </c>
    </row>
    <row r="4830" spans="1:17">
      <c r="A4830" s="12">
        <v>46252</v>
      </c>
      <c r="B4830" s="10">
        <v>20</v>
      </c>
      <c r="Q4830" s="10" t="str">
        <f t="shared" si="75"/>
        <v>Incomplete</v>
      </c>
    </row>
    <row r="4831" spans="1:17">
      <c r="A4831" s="12">
        <v>46252</v>
      </c>
      <c r="B4831" s="10">
        <v>21</v>
      </c>
      <c r="Q4831" s="10" t="str">
        <f t="shared" si="75"/>
        <v>Incomplete</v>
      </c>
    </row>
    <row r="4832" spans="1:17">
      <c r="A4832" s="12">
        <v>46253</v>
      </c>
      <c r="B4832" s="10">
        <v>1</v>
      </c>
      <c r="Q4832" s="10" t="str">
        <f t="shared" si="75"/>
        <v>Incomplete</v>
      </c>
    </row>
    <row r="4833" spans="1:17">
      <c r="A4833" s="12">
        <v>46253</v>
      </c>
      <c r="B4833" s="10">
        <v>2</v>
      </c>
      <c r="Q4833" s="10" t="str">
        <f t="shared" si="75"/>
        <v>Incomplete</v>
      </c>
    </row>
    <row r="4834" spans="1:17">
      <c r="A4834" s="12">
        <v>46253</v>
      </c>
      <c r="B4834" s="10">
        <v>3</v>
      </c>
      <c r="Q4834" s="10" t="str">
        <f t="shared" si="75"/>
        <v>Incomplete</v>
      </c>
    </row>
    <row r="4835" spans="1:17">
      <c r="A4835" s="12">
        <v>46253</v>
      </c>
      <c r="B4835" s="10">
        <v>4</v>
      </c>
      <c r="Q4835" s="10" t="str">
        <f t="shared" si="75"/>
        <v>Incomplete</v>
      </c>
    </row>
    <row r="4836" spans="1:17">
      <c r="A4836" s="12">
        <v>46253</v>
      </c>
      <c r="B4836" s="10">
        <v>5</v>
      </c>
      <c r="Q4836" s="10" t="str">
        <f t="shared" si="75"/>
        <v>Incomplete</v>
      </c>
    </row>
    <row r="4837" spans="1:17">
      <c r="A4837" s="12">
        <v>46253</v>
      </c>
      <c r="B4837" s="10">
        <v>6</v>
      </c>
      <c r="Q4837" s="10" t="str">
        <f t="shared" si="75"/>
        <v>Incomplete</v>
      </c>
    </row>
    <row r="4838" spans="1:17">
      <c r="A4838" s="12">
        <v>46253</v>
      </c>
      <c r="B4838" s="10">
        <v>7</v>
      </c>
      <c r="Q4838" s="10" t="str">
        <f t="shared" si="75"/>
        <v>Incomplete</v>
      </c>
    </row>
    <row r="4839" spans="1:17">
      <c r="A4839" s="12">
        <v>46253</v>
      </c>
      <c r="B4839" s="10">
        <v>8</v>
      </c>
      <c r="Q4839" s="10" t="str">
        <f t="shared" si="75"/>
        <v>Incomplete</v>
      </c>
    </row>
    <row r="4840" spans="1:17">
      <c r="A4840" s="12">
        <v>46253</v>
      </c>
      <c r="B4840" s="10">
        <v>9</v>
      </c>
      <c r="Q4840" s="10" t="str">
        <f t="shared" si="75"/>
        <v>Incomplete</v>
      </c>
    </row>
    <row r="4841" spans="1:17">
      <c r="A4841" s="12">
        <v>46253</v>
      </c>
      <c r="B4841" s="10">
        <v>10</v>
      </c>
      <c r="Q4841" s="10" t="str">
        <f t="shared" si="75"/>
        <v>Incomplete</v>
      </c>
    </row>
    <row r="4842" spans="1:17">
      <c r="A4842" s="12">
        <v>46253</v>
      </c>
      <c r="B4842" s="10">
        <v>11</v>
      </c>
      <c r="Q4842" s="10" t="str">
        <f t="shared" si="75"/>
        <v>Incomplete</v>
      </c>
    </row>
    <row r="4843" spans="1:17">
      <c r="A4843" s="12">
        <v>46253</v>
      </c>
      <c r="B4843" s="10">
        <v>12</v>
      </c>
      <c r="Q4843" s="10" t="str">
        <f t="shared" si="75"/>
        <v>Incomplete</v>
      </c>
    </row>
    <row r="4844" spans="1:17">
      <c r="A4844" s="12">
        <v>46253</v>
      </c>
      <c r="B4844" s="10">
        <v>13</v>
      </c>
      <c r="Q4844" s="10" t="str">
        <f t="shared" si="75"/>
        <v>Incomplete</v>
      </c>
    </row>
    <row r="4845" spans="1:17">
      <c r="A4845" s="12">
        <v>46253</v>
      </c>
      <c r="B4845" s="10">
        <v>14</v>
      </c>
      <c r="Q4845" s="10" t="str">
        <f t="shared" si="75"/>
        <v>Incomplete</v>
      </c>
    </row>
    <row r="4846" spans="1:17">
      <c r="A4846" s="12">
        <v>46253</v>
      </c>
      <c r="B4846" s="10">
        <v>15</v>
      </c>
      <c r="Q4846" s="10" t="str">
        <f t="shared" si="75"/>
        <v>Incomplete</v>
      </c>
    </row>
    <row r="4847" spans="1:17">
      <c r="A4847" s="12">
        <v>46253</v>
      </c>
      <c r="B4847" s="10">
        <v>16</v>
      </c>
      <c r="Q4847" s="10" t="str">
        <f t="shared" si="75"/>
        <v>Incomplete</v>
      </c>
    </row>
    <row r="4848" spans="1:17">
      <c r="A4848" s="12">
        <v>46253</v>
      </c>
      <c r="B4848" s="10">
        <v>17</v>
      </c>
      <c r="Q4848" s="10" t="str">
        <f t="shared" si="75"/>
        <v>Incomplete</v>
      </c>
    </row>
    <row r="4849" spans="1:17">
      <c r="A4849" s="12">
        <v>46253</v>
      </c>
      <c r="B4849" s="10">
        <v>18</v>
      </c>
      <c r="Q4849" s="10" t="str">
        <f t="shared" si="75"/>
        <v>Incomplete</v>
      </c>
    </row>
    <row r="4850" spans="1:17">
      <c r="A4850" s="12">
        <v>46253</v>
      </c>
      <c r="B4850" s="10">
        <v>19</v>
      </c>
      <c r="Q4850" s="10" t="str">
        <f t="shared" si="75"/>
        <v>Incomplete</v>
      </c>
    </row>
    <row r="4851" spans="1:17">
      <c r="A4851" s="12">
        <v>46253</v>
      </c>
      <c r="B4851" s="10">
        <v>20</v>
      </c>
      <c r="Q4851" s="10" t="str">
        <f t="shared" si="75"/>
        <v>Incomplete</v>
      </c>
    </row>
    <row r="4852" spans="1:17">
      <c r="A4852" s="12">
        <v>46253</v>
      </c>
      <c r="B4852" s="10">
        <v>21</v>
      </c>
      <c r="Q4852" s="10" t="str">
        <f t="shared" si="75"/>
        <v>Incomplete</v>
      </c>
    </row>
    <row r="4853" spans="1:17">
      <c r="A4853" s="12">
        <v>46254</v>
      </c>
      <c r="B4853" s="10">
        <v>1</v>
      </c>
      <c r="Q4853" s="10" t="str">
        <f t="shared" si="75"/>
        <v>Incomplete</v>
      </c>
    </row>
    <row r="4854" spans="1:17">
      <c r="A4854" s="12">
        <v>46254</v>
      </c>
      <c r="B4854" s="10">
        <v>2</v>
      </c>
      <c r="Q4854" s="10" t="str">
        <f t="shared" si="75"/>
        <v>Incomplete</v>
      </c>
    </row>
    <row r="4855" spans="1:17">
      <c r="A4855" s="12">
        <v>46254</v>
      </c>
      <c r="B4855" s="10">
        <v>3</v>
      </c>
      <c r="Q4855" s="10" t="str">
        <f t="shared" si="75"/>
        <v>Incomplete</v>
      </c>
    </row>
    <row r="4856" spans="1:17">
      <c r="A4856" s="12">
        <v>46254</v>
      </c>
      <c r="B4856" s="10">
        <v>4</v>
      </c>
      <c r="Q4856" s="10" t="str">
        <f t="shared" si="75"/>
        <v>Incomplete</v>
      </c>
    </row>
    <row r="4857" spans="1:17">
      <c r="A4857" s="12">
        <v>46254</v>
      </c>
      <c r="B4857" s="10">
        <v>5</v>
      </c>
      <c r="Q4857" s="10" t="str">
        <f t="shared" si="75"/>
        <v>Incomplete</v>
      </c>
    </row>
    <row r="4858" spans="1:17">
      <c r="A4858" s="12">
        <v>46254</v>
      </c>
      <c r="B4858" s="10">
        <v>6</v>
      </c>
      <c r="Q4858" s="10" t="str">
        <f t="shared" si="75"/>
        <v>Incomplete</v>
      </c>
    </row>
    <row r="4859" spans="1:17">
      <c r="A4859" s="12">
        <v>46254</v>
      </c>
      <c r="B4859" s="10">
        <v>7</v>
      </c>
      <c r="Q4859" s="10" t="str">
        <f t="shared" si="75"/>
        <v>Incomplete</v>
      </c>
    </row>
    <row r="4860" spans="1:17">
      <c r="A4860" s="12">
        <v>46254</v>
      </c>
      <c r="B4860" s="10">
        <v>8</v>
      </c>
      <c r="Q4860" s="10" t="str">
        <f t="shared" si="75"/>
        <v>Incomplete</v>
      </c>
    </row>
    <row r="4861" spans="1:17">
      <c r="A4861" s="12">
        <v>46254</v>
      </c>
      <c r="B4861" s="10">
        <v>9</v>
      </c>
      <c r="Q4861" s="10" t="str">
        <f t="shared" si="75"/>
        <v>Incomplete</v>
      </c>
    </row>
    <row r="4862" spans="1:17">
      <c r="A4862" s="12">
        <v>46254</v>
      </c>
      <c r="B4862" s="10">
        <v>10</v>
      </c>
      <c r="Q4862" s="10" t="str">
        <f t="shared" si="75"/>
        <v>Incomplete</v>
      </c>
    </row>
    <row r="4863" spans="1:17">
      <c r="A4863" s="12">
        <v>46254</v>
      </c>
      <c r="B4863" s="10">
        <v>11</v>
      </c>
      <c r="Q4863" s="10" t="str">
        <f t="shared" si="75"/>
        <v>Incomplete</v>
      </c>
    </row>
    <row r="4864" spans="1:17">
      <c r="A4864" s="12">
        <v>46254</v>
      </c>
      <c r="B4864" s="10">
        <v>12</v>
      </c>
      <c r="Q4864" s="10" t="str">
        <f t="shared" si="75"/>
        <v>Incomplete</v>
      </c>
    </row>
    <row r="4865" spans="1:17">
      <c r="A4865" s="12">
        <v>46254</v>
      </c>
      <c r="B4865" s="10">
        <v>13</v>
      </c>
      <c r="Q4865" s="10" t="str">
        <f t="shared" si="75"/>
        <v>Incomplete</v>
      </c>
    </row>
    <row r="4866" spans="1:17">
      <c r="A4866" s="12">
        <v>46254</v>
      </c>
      <c r="B4866" s="10">
        <v>14</v>
      </c>
      <c r="Q4866" s="10" t="str">
        <f t="shared" ref="Q4866:Q4929" si="76">IF(AND(C4866&lt;&gt;"",J4866&lt;&gt;"",K4866&lt;&gt;"",L4866&lt;&gt;"",O4866="Yes"),"Complete","Incomplete")</f>
        <v>Incomplete</v>
      </c>
    </row>
    <row r="4867" spans="1:17">
      <c r="A4867" s="12">
        <v>46254</v>
      </c>
      <c r="B4867" s="10">
        <v>15</v>
      </c>
      <c r="Q4867" s="10" t="str">
        <f t="shared" si="76"/>
        <v>Incomplete</v>
      </c>
    </row>
    <row r="4868" spans="1:17">
      <c r="A4868" s="12">
        <v>46254</v>
      </c>
      <c r="B4868" s="10">
        <v>16</v>
      </c>
      <c r="Q4868" s="10" t="str">
        <f t="shared" si="76"/>
        <v>Incomplete</v>
      </c>
    </row>
    <row r="4869" spans="1:17">
      <c r="A4869" s="12">
        <v>46254</v>
      </c>
      <c r="B4869" s="10">
        <v>17</v>
      </c>
      <c r="Q4869" s="10" t="str">
        <f t="shared" si="76"/>
        <v>Incomplete</v>
      </c>
    </row>
    <row r="4870" spans="1:17">
      <c r="A4870" s="12">
        <v>46254</v>
      </c>
      <c r="B4870" s="10">
        <v>18</v>
      </c>
      <c r="Q4870" s="10" t="str">
        <f t="shared" si="76"/>
        <v>Incomplete</v>
      </c>
    </row>
    <row r="4871" spans="1:17">
      <c r="A4871" s="12">
        <v>46254</v>
      </c>
      <c r="B4871" s="10">
        <v>19</v>
      </c>
      <c r="Q4871" s="10" t="str">
        <f t="shared" si="76"/>
        <v>Incomplete</v>
      </c>
    </row>
    <row r="4872" spans="1:17">
      <c r="A4872" s="12">
        <v>46254</v>
      </c>
      <c r="B4872" s="10">
        <v>20</v>
      </c>
      <c r="Q4872" s="10" t="str">
        <f t="shared" si="76"/>
        <v>Incomplete</v>
      </c>
    </row>
    <row r="4873" spans="1:17">
      <c r="A4873" s="12">
        <v>46254</v>
      </c>
      <c r="B4873" s="10">
        <v>21</v>
      </c>
      <c r="Q4873" s="10" t="str">
        <f t="shared" si="76"/>
        <v>Incomplete</v>
      </c>
    </row>
    <row r="4874" spans="1:17">
      <c r="A4874" s="12">
        <v>46255</v>
      </c>
      <c r="B4874" s="10">
        <v>1</v>
      </c>
      <c r="Q4874" s="10" t="str">
        <f t="shared" si="76"/>
        <v>Incomplete</v>
      </c>
    </row>
    <row r="4875" spans="1:17">
      <c r="A4875" s="12">
        <v>46255</v>
      </c>
      <c r="B4875" s="10">
        <v>2</v>
      </c>
      <c r="Q4875" s="10" t="str">
        <f t="shared" si="76"/>
        <v>Incomplete</v>
      </c>
    </row>
    <row r="4876" spans="1:17">
      <c r="A4876" s="12">
        <v>46255</v>
      </c>
      <c r="B4876" s="10">
        <v>3</v>
      </c>
      <c r="Q4876" s="10" t="str">
        <f t="shared" si="76"/>
        <v>Incomplete</v>
      </c>
    </row>
    <row r="4877" spans="1:17">
      <c r="A4877" s="12">
        <v>46255</v>
      </c>
      <c r="B4877" s="10">
        <v>4</v>
      </c>
      <c r="Q4877" s="10" t="str">
        <f t="shared" si="76"/>
        <v>Incomplete</v>
      </c>
    </row>
    <row r="4878" spans="1:17">
      <c r="A4878" s="12">
        <v>46255</v>
      </c>
      <c r="B4878" s="10">
        <v>5</v>
      </c>
      <c r="Q4878" s="10" t="str">
        <f t="shared" si="76"/>
        <v>Incomplete</v>
      </c>
    </row>
    <row r="4879" spans="1:17">
      <c r="A4879" s="12">
        <v>46255</v>
      </c>
      <c r="B4879" s="10">
        <v>6</v>
      </c>
      <c r="Q4879" s="10" t="str">
        <f t="shared" si="76"/>
        <v>Incomplete</v>
      </c>
    </row>
    <row r="4880" spans="1:17">
      <c r="A4880" s="12">
        <v>46255</v>
      </c>
      <c r="B4880" s="10">
        <v>7</v>
      </c>
      <c r="Q4880" s="10" t="str">
        <f t="shared" si="76"/>
        <v>Incomplete</v>
      </c>
    </row>
    <row r="4881" spans="1:17">
      <c r="A4881" s="12">
        <v>46255</v>
      </c>
      <c r="B4881" s="10">
        <v>8</v>
      </c>
      <c r="Q4881" s="10" t="str">
        <f t="shared" si="76"/>
        <v>Incomplete</v>
      </c>
    </row>
    <row r="4882" spans="1:17">
      <c r="A4882" s="12">
        <v>46255</v>
      </c>
      <c r="B4882" s="10">
        <v>9</v>
      </c>
      <c r="Q4882" s="10" t="str">
        <f t="shared" si="76"/>
        <v>Incomplete</v>
      </c>
    </row>
    <row r="4883" spans="1:17">
      <c r="A4883" s="12">
        <v>46255</v>
      </c>
      <c r="B4883" s="10">
        <v>10</v>
      </c>
      <c r="Q4883" s="10" t="str">
        <f t="shared" si="76"/>
        <v>Incomplete</v>
      </c>
    </row>
    <row r="4884" spans="1:17">
      <c r="A4884" s="12">
        <v>46255</v>
      </c>
      <c r="B4884" s="10">
        <v>11</v>
      </c>
      <c r="Q4884" s="10" t="str">
        <f t="shared" si="76"/>
        <v>Incomplete</v>
      </c>
    </row>
    <row r="4885" spans="1:17">
      <c r="A4885" s="12">
        <v>46255</v>
      </c>
      <c r="B4885" s="10">
        <v>12</v>
      </c>
      <c r="Q4885" s="10" t="str">
        <f t="shared" si="76"/>
        <v>Incomplete</v>
      </c>
    </row>
    <row r="4886" spans="1:17">
      <c r="A4886" s="12">
        <v>46255</v>
      </c>
      <c r="B4886" s="10">
        <v>13</v>
      </c>
      <c r="Q4886" s="10" t="str">
        <f t="shared" si="76"/>
        <v>Incomplete</v>
      </c>
    </row>
    <row r="4887" spans="1:17">
      <c r="A4887" s="12">
        <v>46255</v>
      </c>
      <c r="B4887" s="10">
        <v>14</v>
      </c>
      <c r="Q4887" s="10" t="str">
        <f t="shared" si="76"/>
        <v>Incomplete</v>
      </c>
    </row>
    <row r="4888" spans="1:17">
      <c r="A4888" s="12">
        <v>46255</v>
      </c>
      <c r="B4888" s="10">
        <v>15</v>
      </c>
      <c r="Q4888" s="10" t="str">
        <f t="shared" si="76"/>
        <v>Incomplete</v>
      </c>
    </row>
    <row r="4889" spans="1:17">
      <c r="A4889" s="12">
        <v>46255</v>
      </c>
      <c r="B4889" s="10">
        <v>16</v>
      </c>
      <c r="Q4889" s="10" t="str">
        <f t="shared" si="76"/>
        <v>Incomplete</v>
      </c>
    </row>
    <row r="4890" spans="1:17">
      <c r="A4890" s="12">
        <v>46255</v>
      </c>
      <c r="B4890" s="10">
        <v>17</v>
      </c>
      <c r="Q4890" s="10" t="str">
        <f t="shared" si="76"/>
        <v>Incomplete</v>
      </c>
    </row>
    <row r="4891" spans="1:17">
      <c r="A4891" s="12">
        <v>46255</v>
      </c>
      <c r="B4891" s="10">
        <v>18</v>
      </c>
      <c r="Q4891" s="10" t="str">
        <f t="shared" si="76"/>
        <v>Incomplete</v>
      </c>
    </row>
    <row r="4892" spans="1:17">
      <c r="A4892" s="12">
        <v>46255</v>
      </c>
      <c r="B4892" s="10">
        <v>19</v>
      </c>
      <c r="Q4892" s="10" t="str">
        <f t="shared" si="76"/>
        <v>Incomplete</v>
      </c>
    </row>
    <row r="4893" spans="1:17">
      <c r="A4893" s="12">
        <v>46255</v>
      </c>
      <c r="B4893" s="10">
        <v>20</v>
      </c>
      <c r="Q4893" s="10" t="str">
        <f t="shared" si="76"/>
        <v>Incomplete</v>
      </c>
    </row>
    <row r="4894" spans="1:17">
      <c r="A4894" s="12">
        <v>46255</v>
      </c>
      <c r="B4894" s="10">
        <v>21</v>
      </c>
      <c r="Q4894" s="10" t="str">
        <f t="shared" si="76"/>
        <v>Incomplete</v>
      </c>
    </row>
    <row r="4895" spans="1:17">
      <c r="A4895" s="12">
        <v>46256</v>
      </c>
      <c r="B4895" s="10">
        <v>1</v>
      </c>
      <c r="Q4895" s="10" t="str">
        <f t="shared" si="76"/>
        <v>Incomplete</v>
      </c>
    </row>
    <row r="4896" spans="1:17">
      <c r="A4896" s="12">
        <v>46256</v>
      </c>
      <c r="B4896" s="10">
        <v>2</v>
      </c>
      <c r="Q4896" s="10" t="str">
        <f t="shared" si="76"/>
        <v>Incomplete</v>
      </c>
    </row>
    <row r="4897" spans="1:17">
      <c r="A4897" s="12">
        <v>46256</v>
      </c>
      <c r="B4897" s="10">
        <v>3</v>
      </c>
      <c r="Q4897" s="10" t="str">
        <f t="shared" si="76"/>
        <v>Incomplete</v>
      </c>
    </row>
    <row r="4898" spans="1:17">
      <c r="A4898" s="12">
        <v>46256</v>
      </c>
      <c r="B4898" s="10">
        <v>4</v>
      </c>
      <c r="Q4898" s="10" t="str">
        <f t="shared" si="76"/>
        <v>Incomplete</v>
      </c>
    </row>
    <row r="4899" spans="1:17">
      <c r="A4899" s="12">
        <v>46256</v>
      </c>
      <c r="B4899" s="10">
        <v>5</v>
      </c>
      <c r="Q4899" s="10" t="str">
        <f t="shared" si="76"/>
        <v>Incomplete</v>
      </c>
    </row>
    <row r="4900" spans="1:17">
      <c r="A4900" s="12">
        <v>46256</v>
      </c>
      <c r="B4900" s="10">
        <v>6</v>
      </c>
      <c r="Q4900" s="10" t="str">
        <f t="shared" si="76"/>
        <v>Incomplete</v>
      </c>
    </row>
    <row r="4901" spans="1:17">
      <c r="A4901" s="12">
        <v>46256</v>
      </c>
      <c r="B4901" s="10">
        <v>7</v>
      </c>
      <c r="Q4901" s="10" t="str">
        <f t="shared" si="76"/>
        <v>Incomplete</v>
      </c>
    </row>
    <row r="4902" spans="1:17">
      <c r="A4902" s="12">
        <v>46256</v>
      </c>
      <c r="B4902" s="10">
        <v>8</v>
      </c>
      <c r="Q4902" s="10" t="str">
        <f t="shared" si="76"/>
        <v>Incomplete</v>
      </c>
    </row>
    <row r="4903" spans="1:17">
      <c r="A4903" s="12">
        <v>46256</v>
      </c>
      <c r="B4903" s="10">
        <v>9</v>
      </c>
      <c r="Q4903" s="10" t="str">
        <f t="shared" si="76"/>
        <v>Incomplete</v>
      </c>
    </row>
    <row r="4904" spans="1:17">
      <c r="A4904" s="12">
        <v>46256</v>
      </c>
      <c r="B4904" s="10">
        <v>10</v>
      </c>
      <c r="Q4904" s="10" t="str">
        <f t="shared" si="76"/>
        <v>Incomplete</v>
      </c>
    </row>
    <row r="4905" spans="1:17">
      <c r="A4905" s="12">
        <v>46256</v>
      </c>
      <c r="B4905" s="10">
        <v>11</v>
      </c>
      <c r="Q4905" s="10" t="str">
        <f t="shared" si="76"/>
        <v>Incomplete</v>
      </c>
    </row>
    <row r="4906" spans="1:17">
      <c r="A4906" s="12">
        <v>46256</v>
      </c>
      <c r="B4906" s="10">
        <v>12</v>
      </c>
      <c r="Q4906" s="10" t="str">
        <f t="shared" si="76"/>
        <v>Incomplete</v>
      </c>
    </row>
    <row r="4907" spans="1:17">
      <c r="A4907" s="12">
        <v>46256</v>
      </c>
      <c r="B4907" s="10">
        <v>13</v>
      </c>
      <c r="Q4907" s="10" t="str">
        <f t="shared" si="76"/>
        <v>Incomplete</v>
      </c>
    </row>
    <row r="4908" spans="1:17">
      <c r="A4908" s="12">
        <v>46256</v>
      </c>
      <c r="B4908" s="10">
        <v>14</v>
      </c>
      <c r="Q4908" s="10" t="str">
        <f t="shared" si="76"/>
        <v>Incomplete</v>
      </c>
    </row>
    <row r="4909" spans="1:17">
      <c r="A4909" s="12">
        <v>46256</v>
      </c>
      <c r="B4909" s="10">
        <v>15</v>
      </c>
      <c r="Q4909" s="10" t="str">
        <f t="shared" si="76"/>
        <v>Incomplete</v>
      </c>
    </row>
    <row r="4910" spans="1:17">
      <c r="A4910" s="12">
        <v>46256</v>
      </c>
      <c r="B4910" s="10">
        <v>16</v>
      </c>
      <c r="Q4910" s="10" t="str">
        <f t="shared" si="76"/>
        <v>Incomplete</v>
      </c>
    </row>
    <row r="4911" spans="1:17">
      <c r="A4911" s="12">
        <v>46256</v>
      </c>
      <c r="B4911" s="10">
        <v>17</v>
      </c>
      <c r="Q4911" s="10" t="str">
        <f t="shared" si="76"/>
        <v>Incomplete</v>
      </c>
    </row>
    <row r="4912" spans="1:17">
      <c r="A4912" s="12">
        <v>46256</v>
      </c>
      <c r="B4912" s="10">
        <v>18</v>
      </c>
      <c r="Q4912" s="10" t="str">
        <f t="shared" si="76"/>
        <v>Incomplete</v>
      </c>
    </row>
    <row r="4913" spans="1:17">
      <c r="A4913" s="12">
        <v>46256</v>
      </c>
      <c r="B4913" s="10">
        <v>19</v>
      </c>
      <c r="Q4913" s="10" t="str">
        <f t="shared" si="76"/>
        <v>Incomplete</v>
      </c>
    </row>
    <row r="4914" spans="1:17">
      <c r="A4914" s="12">
        <v>46256</v>
      </c>
      <c r="B4914" s="10">
        <v>20</v>
      </c>
      <c r="Q4914" s="10" t="str">
        <f t="shared" si="76"/>
        <v>Incomplete</v>
      </c>
    </row>
    <row r="4915" spans="1:17">
      <c r="A4915" s="12">
        <v>46256</v>
      </c>
      <c r="B4915" s="10">
        <v>21</v>
      </c>
      <c r="Q4915" s="10" t="str">
        <f t="shared" si="76"/>
        <v>Incomplete</v>
      </c>
    </row>
    <row r="4916" spans="1:17">
      <c r="A4916" s="12">
        <v>46257</v>
      </c>
      <c r="B4916" s="10">
        <v>1</v>
      </c>
      <c r="Q4916" s="10" t="str">
        <f t="shared" si="76"/>
        <v>Incomplete</v>
      </c>
    </row>
    <row r="4917" spans="1:17">
      <c r="A4917" s="12">
        <v>46257</v>
      </c>
      <c r="B4917" s="10">
        <v>2</v>
      </c>
      <c r="Q4917" s="10" t="str">
        <f t="shared" si="76"/>
        <v>Incomplete</v>
      </c>
    </row>
    <row r="4918" spans="1:17">
      <c r="A4918" s="12">
        <v>46257</v>
      </c>
      <c r="B4918" s="10">
        <v>3</v>
      </c>
      <c r="Q4918" s="10" t="str">
        <f t="shared" si="76"/>
        <v>Incomplete</v>
      </c>
    </row>
    <row r="4919" spans="1:17">
      <c r="A4919" s="12">
        <v>46257</v>
      </c>
      <c r="B4919" s="10">
        <v>4</v>
      </c>
      <c r="Q4919" s="10" t="str">
        <f t="shared" si="76"/>
        <v>Incomplete</v>
      </c>
    </row>
    <row r="4920" spans="1:17">
      <c r="A4920" s="12">
        <v>46257</v>
      </c>
      <c r="B4920" s="10">
        <v>5</v>
      </c>
      <c r="Q4920" s="10" t="str">
        <f t="shared" si="76"/>
        <v>Incomplete</v>
      </c>
    </row>
    <row r="4921" spans="1:17">
      <c r="A4921" s="12">
        <v>46257</v>
      </c>
      <c r="B4921" s="10">
        <v>6</v>
      </c>
      <c r="Q4921" s="10" t="str">
        <f t="shared" si="76"/>
        <v>Incomplete</v>
      </c>
    </row>
    <row r="4922" spans="1:17">
      <c r="A4922" s="12">
        <v>46257</v>
      </c>
      <c r="B4922" s="10">
        <v>7</v>
      </c>
      <c r="Q4922" s="10" t="str">
        <f t="shared" si="76"/>
        <v>Incomplete</v>
      </c>
    </row>
    <row r="4923" spans="1:17">
      <c r="A4923" s="12">
        <v>46257</v>
      </c>
      <c r="B4923" s="10">
        <v>8</v>
      </c>
      <c r="Q4923" s="10" t="str">
        <f t="shared" si="76"/>
        <v>Incomplete</v>
      </c>
    </row>
    <row r="4924" spans="1:17">
      <c r="A4924" s="12">
        <v>46257</v>
      </c>
      <c r="B4924" s="10">
        <v>9</v>
      </c>
      <c r="Q4924" s="10" t="str">
        <f t="shared" si="76"/>
        <v>Incomplete</v>
      </c>
    </row>
    <row r="4925" spans="1:17">
      <c r="A4925" s="12">
        <v>46257</v>
      </c>
      <c r="B4925" s="10">
        <v>10</v>
      </c>
      <c r="Q4925" s="10" t="str">
        <f t="shared" si="76"/>
        <v>Incomplete</v>
      </c>
    </row>
    <row r="4926" spans="1:17">
      <c r="A4926" s="12">
        <v>46257</v>
      </c>
      <c r="B4926" s="10">
        <v>11</v>
      </c>
      <c r="Q4926" s="10" t="str">
        <f t="shared" si="76"/>
        <v>Incomplete</v>
      </c>
    </row>
    <row r="4927" spans="1:17">
      <c r="A4927" s="12">
        <v>46257</v>
      </c>
      <c r="B4927" s="10">
        <v>12</v>
      </c>
      <c r="Q4927" s="10" t="str">
        <f t="shared" si="76"/>
        <v>Incomplete</v>
      </c>
    </row>
    <row r="4928" spans="1:17">
      <c r="A4928" s="12">
        <v>46257</v>
      </c>
      <c r="B4928" s="10">
        <v>13</v>
      </c>
      <c r="Q4928" s="10" t="str">
        <f t="shared" si="76"/>
        <v>Incomplete</v>
      </c>
    </row>
    <row r="4929" spans="1:17">
      <c r="A4929" s="12">
        <v>46257</v>
      </c>
      <c r="B4929" s="10">
        <v>14</v>
      </c>
      <c r="Q4929" s="10" t="str">
        <f t="shared" si="76"/>
        <v>Incomplete</v>
      </c>
    </row>
    <row r="4930" spans="1:17">
      <c r="A4930" s="12">
        <v>46257</v>
      </c>
      <c r="B4930" s="10">
        <v>15</v>
      </c>
      <c r="Q4930" s="10" t="str">
        <f t="shared" ref="Q4930:Q4993" si="77">IF(AND(C4930&lt;&gt;"",J4930&lt;&gt;"",K4930&lt;&gt;"",L4930&lt;&gt;"",O4930="Yes"),"Complete","Incomplete")</f>
        <v>Incomplete</v>
      </c>
    </row>
    <row r="4931" spans="1:17">
      <c r="A4931" s="12">
        <v>46257</v>
      </c>
      <c r="B4931" s="10">
        <v>16</v>
      </c>
      <c r="Q4931" s="10" t="str">
        <f t="shared" si="77"/>
        <v>Incomplete</v>
      </c>
    </row>
    <row r="4932" spans="1:17">
      <c r="A4932" s="12">
        <v>46257</v>
      </c>
      <c r="B4932" s="10">
        <v>17</v>
      </c>
      <c r="Q4932" s="10" t="str">
        <f t="shared" si="77"/>
        <v>Incomplete</v>
      </c>
    </row>
    <row r="4933" spans="1:17">
      <c r="A4933" s="12">
        <v>46257</v>
      </c>
      <c r="B4933" s="10">
        <v>18</v>
      </c>
      <c r="Q4933" s="10" t="str">
        <f t="shared" si="77"/>
        <v>Incomplete</v>
      </c>
    </row>
    <row r="4934" spans="1:17">
      <c r="A4934" s="12">
        <v>46257</v>
      </c>
      <c r="B4934" s="10">
        <v>19</v>
      </c>
      <c r="Q4934" s="10" t="str">
        <f t="shared" si="77"/>
        <v>Incomplete</v>
      </c>
    </row>
    <row r="4935" spans="1:17">
      <c r="A4935" s="12">
        <v>46257</v>
      </c>
      <c r="B4935" s="10">
        <v>20</v>
      </c>
      <c r="Q4935" s="10" t="str">
        <f t="shared" si="77"/>
        <v>Incomplete</v>
      </c>
    </row>
    <row r="4936" spans="1:17">
      <c r="A4936" s="12">
        <v>46257</v>
      </c>
      <c r="B4936" s="10">
        <v>21</v>
      </c>
      <c r="Q4936" s="10" t="str">
        <f t="shared" si="77"/>
        <v>Incomplete</v>
      </c>
    </row>
    <row r="4937" spans="1:17">
      <c r="A4937" s="12">
        <v>46258</v>
      </c>
      <c r="B4937" s="10">
        <v>1</v>
      </c>
      <c r="Q4937" s="10" t="str">
        <f t="shared" si="77"/>
        <v>Incomplete</v>
      </c>
    </row>
    <row r="4938" spans="1:17">
      <c r="A4938" s="12">
        <v>46258</v>
      </c>
      <c r="B4938" s="10">
        <v>2</v>
      </c>
      <c r="Q4938" s="10" t="str">
        <f t="shared" si="77"/>
        <v>Incomplete</v>
      </c>
    </row>
    <row r="4939" spans="1:17">
      <c r="A4939" s="12">
        <v>46258</v>
      </c>
      <c r="B4939" s="10">
        <v>3</v>
      </c>
      <c r="Q4939" s="10" t="str">
        <f t="shared" si="77"/>
        <v>Incomplete</v>
      </c>
    </row>
    <row r="4940" spans="1:17">
      <c r="A4940" s="12">
        <v>46258</v>
      </c>
      <c r="B4940" s="10">
        <v>4</v>
      </c>
      <c r="Q4940" s="10" t="str">
        <f t="shared" si="77"/>
        <v>Incomplete</v>
      </c>
    </row>
    <row r="4941" spans="1:17">
      <c r="A4941" s="12">
        <v>46258</v>
      </c>
      <c r="B4941" s="10">
        <v>5</v>
      </c>
      <c r="Q4941" s="10" t="str">
        <f t="shared" si="77"/>
        <v>Incomplete</v>
      </c>
    </row>
    <row r="4942" spans="1:17">
      <c r="A4942" s="12">
        <v>46258</v>
      </c>
      <c r="B4942" s="10">
        <v>6</v>
      </c>
      <c r="Q4942" s="10" t="str">
        <f t="shared" si="77"/>
        <v>Incomplete</v>
      </c>
    </row>
    <row r="4943" spans="1:17">
      <c r="A4943" s="12">
        <v>46258</v>
      </c>
      <c r="B4943" s="10">
        <v>7</v>
      </c>
      <c r="Q4943" s="10" t="str">
        <f t="shared" si="77"/>
        <v>Incomplete</v>
      </c>
    </row>
    <row r="4944" spans="1:17">
      <c r="A4944" s="12">
        <v>46258</v>
      </c>
      <c r="B4944" s="10">
        <v>8</v>
      </c>
      <c r="Q4944" s="10" t="str">
        <f t="shared" si="77"/>
        <v>Incomplete</v>
      </c>
    </row>
    <row r="4945" spans="1:17">
      <c r="A4945" s="12">
        <v>46258</v>
      </c>
      <c r="B4945" s="10">
        <v>9</v>
      </c>
      <c r="Q4945" s="10" t="str">
        <f t="shared" si="77"/>
        <v>Incomplete</v>
      </c>
    </row>
    <row r="4946" spans="1:17">
      <c r="A4946" s="12">
        <v>46258</v>
      </c>
      <c r="B4946" s="10">
        <v>10</v>
      </c>
      <c r="Q4946" s="10" t="str">
        <f t="shared" si="77"/>
        <v>Incomplete</v>
      </c>
    </row>
    <row r="4947" spans="1:17">
      <c r="A4947" s="12">
        <v>46258</v>
      </c>
      <c r="B4947" s="10">
        <v>11</v>
      </c>
      <c r="Q4947" s="10" t="str">
        <f t="shared" si="77"/>
        <v>Incomplete</v>
      </c>
    </row>
    <row r="4948" spans="1:17">
      <c r="A4948" s="12">
        <v>46258</v>
      </c>
      <c r="B4948" s="10">
        <v>12</v>
      </c>
      <c r="Q4948" s="10" t="str">
        <f t="shared" si="77"/>
        <v>Incomplete</v>
      </c>
    </row>
    <row r="4949" spans="1:17">
      <c r="A4949" s="12">
        <v>46258</v>
      </c>
      <c r="B4949" s="10">
        <v>13</v>
      </c>
      <c r="Q4949" s="10" t="str">
        <f t="shared" si="77"/>
        <v>Incomplete</v>
      </c>
    </row>
    <row r="4950" spans="1:17">
      <c r="A4950" s="12">
        <v>46258</v>
      </c>
      <c r="B4950" s="10">
        <v>14</v>
      </c>
      <c r="Q4950" s="10" t="str">
        <f t="shared" si="77"/>
        <v>Incomplete</v>
      </c>
    </row>
    <row r="4951" spans="1:17">
      <c r="A4951" s="12">
        <v>46258</v>
      </c>
      <c r="B4951" s="10">
        <v>15</v>
      </c>
      <c r="Q4951" s="10" t="str">
        <f t="shared" si="77"/>
        <v>Incomplete</v>
      </c>
    </row>
    <row r="4952" spans="1:17">
      <c r="A4952" s="12">
        <v>46258</v>
      </c>
      <c r="B4952" s="10">
        <v>16</v>
      </c>
      <c r="Q4952" s="10" t="str">
        <f t="shared" si="77"/>
        <v>Incomplete</v>
      </c>
    </row>
    <row r="4953" spans="1:17">
      <c r="A4953" s="12">
        <v>46258</v>
      </c>
      <c r="B4953" s="10">
        <v>17</v>
      </c>
      <c r="Q4953" s="10" t="str">
        <f t="shared" si="77"/>
        <v>Incomplete</v>
      </c>
    </row>
    <row r="4954" spans="1:17">
      <c r="A4954" s="12">
        <v>46258</v>
      </c>
      <c r="B4954" s="10">
        <v>18</v>
      </c>
      <c r="Q4954" s="10" t="str">
        <f t="shared" si="77"/>
        <v>Incomplete</v>
      </c>
    </row>
    <row r="4955" spans="1:17">
      <c r="A4955" s="12">
        <v>46258</v>
      </c>
      <c r="B4955" s="10">
        <v>19</v>
      </c>
      <c r="Q4955" s="10" t="str">
        <f t="shared" si="77"/>
        <v>Incomplete</v>
      </c>
    </row>
    <row r="4956" spans="1:17">
      <c r="A4956" s="12">
        <v>46258</v>
      </c>
      <c r="B4956" s="10">
        <v>20</v>
      </c>
      <c r="Q4956" s="10" t="str">
        <f t="shared" si="77"/>
        <v>Incomplete</v>
      </c>
    </row>
    <row r="4957" spans="1:17">
      <c r="A4957" s="12">
        <v>46258</v>
      </c>
      <c r="B4957" s="10">
        <v>21</v>
      </c>
      <c r="Q4957" s="10" t="str">
        <f t="shared" si="77"/>
        <v>Incomplete</v>
      </c>
    </row>
    <row r="4958" spans="1:17">
      <c r="A4958" s="12">
        <v>46259</v>
      </c>
      <c r="B4958" s="10">
        <v>1</v>
      </c>
      <c r="Q4958" s="10" t="str">
        <f t="shared" si="77"/>
        <v>Incomplete</v>
      </c>
    </row>
    <row r="4959" spans="1:17">
      <c r="A4959" s="12">
        <v>46259</v>
      </c>
      <c r="B4959" s="10">
        <v>2</v>
      </c>
      <c r="Q4959" s="10" t="str">
        <f t="shared" si="77"/>
        <v>Incomplete</v>
      </c>
    </row>
    <row r="4960" spans="1:17">
      <c r="A4960" s="12">
        <v>46259</v>
      </c>
      <c r="B4960" s="10">
        <v>3</v>
      </c>
      <c r="Q4960" s="10" t="str">
        <f t="shared" si="77"/>
        <v>Incomplete</v>
      </c>
    </row>
    <row r="4961" spans="1:17">
      <c r="A4961" s="12">
        <v>46259</v>
      </c>
      <c r="B4961" s="10">
        <v>4</v>
      </c>
      <c r="Q4961" s="10" t="str">
        <f t="shared" si="77"/>
        <v>Incomplete</v>
      </c>
    </row>
    <row r="4962" spans="1:17">
      <c r="A4962" s="12">
        <v>46259</v>
      </c>
      <c r="B4962" s="10">
        <v>5</v>
      </c>
      <c r="Q4962" s="10" t="str">
        <f t="shared" si="77"/>
        <v>Incomplete</v>
      </c>
    </row>
    <row r="4963" spans="1:17">
      <c r="A4963" s="12">
        <v>46259</v>
      </c>
      <c r="B4963" s="10">
        <v>6</v>
      </c>
      <c r="Q4963" s="10" t="str">
        <f t="shared" si="77"/>
        <v>Incomplete</v>
      </c>
    </row>
    <row r="4964" spans="1:17">
      <c r="A4964" s="12">
        <v>46259</v>
      </c>
      <c r="B4964" s="10">
        <v>7</v>
      </c>
      <c r="Q4964" s="10" t="str">
        <f t="shared" si="77"/>
        <v>Incomplete</v>
      </c>
    </row>
    <row r="4965" spans="1:17">
      <c r="A4965" s="12">
        <v>46259</v>
      </c>
      <c r="B4965" s="10">
        <v>8</v>
      </c>
      <c r="Q4965" s="10" t="str">
        <f t="shared" si="77"/>
        <v>Incomplete</v>
      </c>
    </row>
    <row r="4966" spans="1:17">
      <c r="A4966" s="12">
        <v>46259</v>
      </c>
      <c r="B4966" s="10">
        <v>9</v>
      </c>
      <c r="Q4966" s="10" t="str">
        <f t="shared" si="77"/>
        <v>Incomplete</v>
      </c>
    </row>
    <row r="4967" spans="1:17">
      <c r="A4967" s="12">
        <v>46259</v>
      </c>
      <c r="B4967" s="10">
        <v>10</v>
      </c>
      <c r="Q4967" s="10" t="str">
        <f t="shared" si="77"/>
        <v>Incomplete</v>
      </c>
    </row>
    <row r="4968" spans="1:17">
      <c r="A4968" s="12">
        <v>46259</v>
      </c>
      <c r="B4968" s="10">
        <v>11</v>
      </c>
      <c r="Q4968" s="10" t="str">
        <f t="shared" si="77"/>
        <v>Incomplete</v>
      </c>
    </row>
    <row r="4969" spans="1:17">
      <c r="A4969" s="12">
        <v>46259</v>
      </c>
      <c r="B4969" s="10">
        <v>12</v>
      </c>
      <c r="Q4969" s="10" t="str">
        <f t="shared" si="77"/>
        <v>Incomplete</v>
      </c>
    </row>
    <row r="4970" spans="1:17">
      <c r="A4970" s="12">
        <v>46259</v>
      </c>
      <c r="B4970" s="10">
        <v>13</v>
      </c>
      <c r="Q4970" s="10" t="str">
        <f t="shared" si="77"/>
        <v>Incomplete</v>
      </c>
    </row>
    <row r="4971" spans="1:17">
      <c r="A4971" s="12">
        <v>46259</v>
      </c>
      <c r="B4971" s="10">
        <v>14</v>
      </c>
      <c r="Q4971" s="10" t="str">
        <f t="shared" si="77"/>
        <v>Incomplete</v>
      </c>
    </row>
    <row r="4972" spans="1:17">
      <c r="A4972" s="12">
        <v>46259</v>
      </c>
      <c r="B4972" s="10">
        <v>15</v>
      </c>
      <c r="Q4972" s="10" t="str">
        <f t="shared" si="77"/>
        <v>Incomplete</v>
      </c>
    </row>
    <row r="4973" spans="1:17">
      <c r="A4973" s="12">
        <v>46259</v>
      </c>
      <c r="B4973" s="10">
        <v>16</v>
      </c>
      <c r="Q4973" s="10" t="str">
        <f t="shared" si="77"/>
        <v>Incomplete</v>
      </c>
    </row>
    <row r="4974" spans="1:17">
      <c r="A4974" s="12">
        <v>46259</v>
      </c>
      <c r="B4974" s="10">
        <v>17</v>
      </c>
      <c r="Q4974" s="10" t="str">
        <f t="shared" si="77"/>
        <v>Incomplete</v>
      </c>
    </row>
    <row r="4975" spans="1:17">
      <c r="A4975" s="12">
        <v>46259</v>
      </c>
      <c r="B4975" s="10">
        <v>18</v>
      </c>
      <c r="Q4975" s="10" t="str">
        <f t="shared" si="77"/>
        <v>Incomplete</v>
      </c>
    </row>
    <row r="4976" spans="1:17">
      <c r="A4976" s="12">
        <v>46259</v>
      </c>
      <c r="B4976" s="10">
        <v>19</v>
      </c>
      <c r="Q4976" s="10" t="str">
        <f t="shared" si="77"/>
        <v>Incomplete</v>
      </c>
    </row>
    <row r="4977" spans="1:17">
      <c r="A4977" s="12">
        <v>46259</v>
      </c>
      <c r="B4977" s="10">
        <v>20</v>
      </c>
      <c r="Q4977" s="10" t="str">
        <f t="shared" si="77"/>
        <v>Incomplete</v>
      </c>
    </row>
    <row r="4978" spans="1:17">
      <c r="A4978" s="12">
        <v>46259</v>
      </c>
      <c r="B4978" s="10">
        <v>21</v>
      </c>
      <c r="Q4978" s="10" t="str">
        <f t="shared" si="77"/>
        <v>Incomplete</v>
      </c>
    </row>
    <row r="4979" spans="1:17">
      <c r="A4979" s="12">
        <v>46260</v>
      </c>
      <c r="B4979" s="10">
        <v>1</v>
      </c>
      <c r="Q4979" s="10" t="str">
        <f t="shared" si="77"/>
        <v>Incomplete</v>
      </c>
    </row>
    <row r="4980" spans="1:17">
      <c r="A4980" s="12">
        <v>46260</v>
      </c>
      <c r="B4980" s="10">
        <v>2</v>
      </c>
      <c r="Q4980" s="10" t="str">
        <f t="shared" si="77"/>
        <v>Incomplete</v>
      </c>
    </row>
    <row r="4981" spans="1:17">
      <c r="A4981" s="12">
        <v>46260</v>
      </c>
      <c r="B4981" s="10">
        <v>3</v>
      </c>
      <c r="Q4981" s="10" t="str">
        <f t="shared" si="77"/>
        <v>Incomplete</v>
      </c>
    </row>
    <row r="4982" spans="1:17">
      <c r="A4982" s="12">
        <v>46260</v>
      </c>
      <c r="B4982" s="10">
        <v>4</v>
      </c>
      <c r="Q4982" s="10" t="str">
        <f t="shared" si="77"/>
        <v>Incomplete</v>
      </c>
    </row>
    <row r="4983" spans="1:17">
      <c r="A4983" s="12">
        <v>46260</v>
      </c>
      <c r="B4983" s="10">
        <v>5</v>
      </c>
      <c r="Q4983" s="10" t="str">
        <f t="shared" si="77"/>
        <v>Incomplete</v>
      </c>
    </row>
    <row r="4984" spans="1:17">
      <c r="A4984" s="12">
        <v>46260</v>
      </c>
      <c r="B4984" s="10">
        <v>6</v>
      </c>
      <c r="Q4984" s="10" t="str">
        <f t="shared" si="77"/>
        <v>Incomplete</v>
      </c>
    </row>
    <row r="4985" spans="1:17">
      <c r="A4985" s="12">
        <v>46260</v>
      </c>
      <c r="B4985" s="10">
        <v>7</v>
      </c>
      <c r="Q4985" s="10" t="str">
        <f t="shared" si="77"/>
        <v>Incomplete</v>
      </c>
    </row>
    <row r="4986" spans="1:17">
      <c r="A4986" s="12">
        <v>46260</v>
      </c>
      <c r="B4986" s="10">
        <v>8</v>
      </c>
      <c r="Q4986" s="10" t="str">
        <f t="shared" si="77"/>
        <v>Incomplete</v>
      </c>
    </row>
    <row r="4987" spans="1:17">
      <c r="A4987" s="12">
        <v>46260</v>
      </c>
      <c r="B4987" s="10">
        <v>9</v>
      </c>
      <c r="Q4987" s="10" t="str">
        <f t="shared" si="77"/>
        <v>Incomplete</v>
      </c>
    </row>
    <row r="4988" spans="1:17">
      <c r="A4988" s="12">
        <v>46260</v>
      </c>
      <c r="B4988" s="10">
        <v>10</v>
      </c>
      <c r="Q4988" s="10" t="str">
        <f t="shared" si="77"/>
        <v>Incomplete</v>
      </c>
    </row>
    <row r="4989" spans="1:17">
      <c r="A4989" s="12">
        <v>46260</v>
      </c>
      <c r="B4989" s="10">
        <v>11</v>
      </c>
      <c r="Q4989" s="10" t="str">
        <f t="shared" si="77"/>
        <v>Incomplete</v>
      </c>
    </row>
    <row r="4990" spans="1:17">
      <c r="A4990" s="12">
        <v>46260</v>
      </c>
      <c r="B4990" s="10">
        <v>12</v>
      </c>
      <c r="Q4990" s="10" t="str">
        <f t="shared" si="77"/>
        <v>Incomplete</v>
      </c>
    </row>
    <row r="4991" spans="1:17">
      <c r="A4991" s="12">
        <v>46260</v>
      </c>
      <c r="B4991" s="10">
        <v>13</v>
      </c>
      <c r="Q4991" s="10" t="str">
        <f t="shared" si="77"/>
        <v>Incomplete</v>
      </c>
    </row>
    <row r="4992" spans="1:17">
      <c r="A4992" s="12">
        <v>46260</v>
      </c>
      <c r="B4992" s="10">
        <v>14</v>
      </c>
      <c r="Q4992" s="10" t="str">
        <f t="shared" si="77"/>
        <v>Incomplete</v>
      </c>
    </row>
    <row r="4993" spans="1:17">
      <c r="A4993" s="12">
        <v>46260</v>
      </c>
      <c r="B4993" s="10">
        <v>15</v>
      </c>
      <c r="Q4993" s="10" t="str">
        <f t="shared" si="77"/>
        <v>Incomplete</v>
      </c>
    </row>
    <row r="4994" spans="1:17">
      <c r="A4994" s="12">
        <v>46260</v>
      </c>
      <c r="B4994" s="10">
        <v>16</v>
      </c>
      <c r="Q4994" s="10" t="str">
        <f t="shared" ref="Q4994:Q5057" si="78">IF(AND(C4994&lt;&gt;"",J4994&lt;&gt;"",K4994&lt;&gt;"",L4994&lt;&gt;"",O4994="Yes"),"Complete","Incomplete")</f>
        <v>Incomplete</v>
      </c>
    </row>
    <row r="4995" spans="1:17">
      <c r="A4995" s="12">
        <v>46260</v>
      </c>
      <c r="B4995" s="10">
        <v>17</v>
      </c>
      <c r="Q4995" s="10" t="str">
        <f t="shared" si="78"/>
        <v>Incomplete</v>
      </c>
    </row>
    <row r="4996" spans="1:17">
      <c r="A4996" s="12">
        <v>46260</v>
      </c>
      <c r="B4996" s="10">
        <v>18</v>
      </c>
      <c r="Q4996" s="10" t="str">
        <f t="shared" si="78"/>
        <v>Incomplete</v>
      </c>
    </row>
    <row r="4997" spans="1:17">
      <c r="A4997" s="12">
        <v>46260</v>
      </c>
      <c r="B4997" s="10">
        <v>19</v>
      </c>
      <c r="Q4997" s="10" t="str">
        <f t="shared" si="78"/>
        <v>Incomplete</v>
      </c>
    </row>
    <row r="4998" spans="1:17">
      <c r="A4998" s="12">
        <v>46260</v>
      </c>
      <c r="B4998" s="10">
        <v>20</v>
      </c>
      <c r="Q4998" s="10" t="str">
        <f t="shared" si="78"/>
        <v>Incomplete</v>
      </c>
    </row>
    <row r="4999" spans="1:17">
      <c r="A4999" s="12">
        <v>46260</v>
      </c>
      <c r="B4999" s="10">
        <v>21</v>
      </c>
      <c r="Q4999" s="10" t="str">
        <f t="shared" si="78"/>
        <v>Incomplete</v>
      </c>
    </row>
    <row r="5000" spans="1:17">
      <c r="A5000" s="12">
        <v>46261</v>
      </c>
      <c r="B5000" s="10">
        <v>1</v>
      </c>
      <c r="Q5000" s="10" t="str">
        <f t="shared" si="78"/>
        <v>Incomplete</v>
      </c>
    </row>
    <row r="5001" spans="1:17">
      <c r="A5001" s="12">
        <v>46261</v>
      </c>
      <c r="B5001" s="10">
        <v>2</v>
      </c>
      <c r="Q5001" s="10" t="str">
        <f t="shared" si="78"/>
        <v>Incomplete</v>
      </c>
    </row>
    <row r="5002" spans="1:17">
      <c r="A5002" s="12">
        <v>46261</v>
      </c>
      <c r="B5002" s="10">
        <v>3</v>
      </c>
      <c r="Q5002" s="10" t="str">
        <f t="shared" si="78"/>
        <v>Incomplete</v>
      </c>
    </row>
    <row r="5003" spans="1:17">
      <c r="A5003" s="12">
        <v>46261</v>
      </c>
      <c r="B5003" s="10">
        <v>4</v>
      </c>
      <c r="Q5003" s="10" t="str">
        <f t="shared" si="78"/>
        <v>Incomplete</v>
      </c>
    </row>
    <row r="5004" spans="1:17">
      <c r="A5004" s="12">
        <v>46261</v>
      </c>
      <c r="B5004" s="10">
        <v>5</v>
      </c>
      <c r="Q5004" s="10" t="str">
        <f t="shared" si="78"/>
        <v>Incomplete</v>
      </c>
    </row>
    <row r="5005" spans="1:17">
      <c r="A5005" s="12">
        <v>46261</v>
      </c>
      <c r="B5005" s="10">
        <v>6</v>
      </c>
      <c r="Q5005" s="10" t="str">
        <f t="shared" si="78"/>
        <v>Incomplete</v>
      </c>
    </row>
    <row r="5006" spans="1:17">
      <c r="A5006" s="12">
        <v>46261</v>
      </c>
      <c r="B5006" s="10">
        <v>7</v>
      </c>
      <c r="Q5006" s="10" t="str">
        <f t="shared" si="78"/>
        <v>Incomplete</v>
      </c>
    </row>
    <row r="5007" spans="1:17">
      <c r="A5007" s="12">
        <v>46261</v>
      </c>
      <c r="B5007" s="10">
        <v>8</v>
      </c>
      <c r="Q5007" s="10" t="str">
        <f t="shared" si="78"/>
        <v>Incomplete</v>
      </c>
    </row>
    <row r="5008" spans="1:17">
      <c r="A5008" s="12">
        <v>46261</v>
      </c>
      <c r="B5008" s="10">
        <v>9</v>
      </c>
      <c r="Q5008" s="10" t="str">
        <f t="shared" si="78"/>
        <v>Incomplete</v>
      </c>
    </row>
    <row r="5009" spans="1:17">
      <c r="A5009" s="12">
        <v>46261</v>
      </c>
      <c r="B5009" s="10">
        <v>10</v>
      </c>
      <c r="Q5009" s="10" t="str">
        <f t="shared" si="78"/>
        <v>Incomplete</v>
      </c>
    </row>
    <row r="5010" spans="1:17">
      <c r="A5010" s="12">
        <v>46261</v>
      </c>
      <c r="B5010" s="10">
        <v>11</v>
      </c>
      <c r="Q5010" s="10" t="str">
        <f t="shared" si="78"/>
        <v>Incomplete</v>
      </c>
    </row>
    <row r="5011" spans="1:17">
      <c r="A5011" s="12">
        <v>46261</v>
      </c>
      <c r="B5011" s="10">
        <v>12</v>
      </c>
      <c r="Q5011" s="10" t="str">
        <f t="shared" si="78"/>
        <v>Incomplete</v>
      </c>
    </row>
    <row r="5012" spans="1:17">
      <c r="A5012" s="12">
        <v>46261</v>
      </c>
      <c r="B5012" s="10">
        <v>13</v>
      </c>
      <c r="Q5012" s="10" t="str">
        <f t="shared" si="78"/>
        <v>Incomplete</v>
      </c>
    </row>
    <row r="5013" spans="1:17">
      <c r="A5013" s="12">
        <v>46261</v>
      </c>
      <c r="B5013" s="10">
        <v>14</v>
      </c>
      <c r="Q5013" s="10" t="str">
        <f t="shared" si="78"/>
        <v>Incomplete</v>
      </c>
    </row>
    <row r="5014" spans="1:17">
      <c r="A5014" s="12">
        <v>46261</v>
      </c>
      <c r="B5014" s="10">
        <v>15</v>
      </c>
      <c r="Q5014" s="10" t="str">
        <f t="shared" si="78"/>
        <v>Incomplete</v>
      </c>
    </row>
    <row r="5015" spans="1:17">
      <c r="A5015" s="12">
        <v>46261</v>
      </c>
      <c r="B5015" s="10">
        <v>16</v>
      </c>
      <c r="Q5015" s="10" t="str">
        <f t="shared" si="78"/>
        <v>Incomplete</v>
      </c>
    </row>
    <row r="5016" spans="1:17">
      <c r="A5016" s="12">
        <v>46261</v>
      </c>
      <c r="B5016" s="10">
        <v>17</v>
      </c>
      <c r="Q5016" s="10" t="str">
        <f t="shared" si="78"/>
        <v>Incomplete</v>
      </c>
    </row>
    <row r="5017" spans="1:17">
      <c r="A5017" s="12">
        <v>46261</v>
      </c>
      <c r="B5017" s="10">
        <v>18</v>
      </c>
      <c r="Q5017" s="10" t="str">
        <f t="shared" si="78"/>
        <v>Incomplete</v>
      </c>
    </row>
    <row r="5018" spans="1:17">
      <c r="A5018" s="12">
        <v>46261</v>
      </c>
      <c r="B5018" s="10">
        <v>19</v>
      </c>
      <c r="Q5018" s="10" t="str">
        <f t="shared" si="78"/>
        <v>Incomplete</v>
      </c>
    </row>
    <row r="5019" spans="1:17">
      <c r="A5019" s="12">
        <v>46261</v>
      </c>
      <c r="B5019" s="10">
        <v>20</v>
      </c>
      <c r="Q5019" s="10" t="str">
        <f t="shared" si="78"/>
        <v>Incomplete</v>
      </c>
    </row>
    <row r="5020" spans="1:17">
      <c r="A5020" s="12">
        <v>46261</v>
      </c>
      <c r="B5020" s="10">
        <v>21</v>
      </c>
      <c r="Q5020" s="10" t="str">
        <f t="shared" si="78"/>
        <v>Incomplete</v>
      </c>
    </row>
    <row r="5021" spans="1:17">
      <c r="A5021" s="12">
        <v>46262</v>
      </c>
      <c r="B5021" s="10">
        <v>1</v>
      </c>
      <c r="Q5021" s="10" t="str">
        <f t="shared" si="78"/>
        <v>Incomplete</v>
      </c>
    </row>
    <row r="5022" spans="1:17">
      <c r="A5022" s="12">
        <v>46262</v>
      </c>
      <c r="B5022" s="10">
        <v>2</v>
      </c>
      <c r="Q5022" s="10" t="str">
        <f t="shared" si="78"/>
        <v>Incomplete</v>
      </c>
    </row>
    <row r="5023" spans="1:17">
      <c r="A5023" s="12">
        <v>46262</v>
      </c>
      <c r="B5023" s="10">
        <v>3</v>
      </c>
      <c r="Q5023" s="10" t="str">
        <f t="shared" si="78"/>
        <v>Incomplete</v>
      </c>
    </row>
    <row r="5024" spans="1:17">
      <c r="A5024" s="12">
        <v>46262</v>
      </c>
      <c r="B5024" s="10">
        <v>4</v>
      </c>
      <c r="Q5024" s="10" t="str">
        <f t="shared" si="78"/>
        <v>Incomplete</v>
      </c>
    </row>
    <row r="5025" spans="1:17">
      <c r="A5025" s="12">
        <v>46262</v>
      </c>
      <c r="B5025" s="10">
        <v>5</v>
      </c>
      <c r="Q5025" s="10" t="str">
        <f t="shared" si="78"/>
        <v>Incomplete</v>
      </c>
    </row>
    <row r="5026" spans="1:17">
      <c r="A5026" s="12">
        <v>46262</v>
      </c>
      <c r="B5026" s="10">
        <v>6</v>
      </c>
      <c r="Q5026" s="10" t="str">
        <f t="shared" si="78"/>
        <v>Incomplete</v>
      </c>
    </row>
    <row r="5027" spans="1:17">
      <c r="A5027" s="12">
        <v>46262</v>
      </c>
      <c r="B5027" s="10">
        <v>7</v>
      </c>
      <c r="Q5027" s="10" t="str">
        <f t="shared" si="78"/>
        <v>Incomplete</v>
      </c>
    </row>
    <row r="5028" spans="1:17">
      <c r="A5028" s="12">
        <v>46262</v>
      </c>
      <c r="B5028" s="10">
        <v>8</v>
      </c>
      <c r="Q5028" s="10" t="str">
        <f t="shared" si="78"/>
        <v>Incomplete</v>
      </c>
    </row>
    <row r="5029" spans="1:17">
      <c r="A5029" s="12">
        <v>46262</v>
      </c>
      <c r="B5029" s="10">
        <v>9</v>
      </c>
      <c r="Q5029" s="10" t="str">
        <f t="shared" si="78"/>
        <v>Incomplete</v>
      </c>
    </row>
    <row r="5030" spans="1:17">
      <c r="A5030" s="12">
        <v>46262</v>
      </c>
      <c r="B5030" s="10">
        <v>10</v>
      </c>
      <c r="Q5030" s="10" t="str">
        <f t="shared" si="78"/>
        <v>Incomplete</v>
      </c>
    </row>
    <row r="5031" spans="1:17">
      <c r="A5031" s="12">
        <v>46262</v>
      </c>
      <c r="B5031" s="10">
        <v>11</v>
      </c>
      <c r="Q5031" s="10" t="str">
        <f t="shared" si="78"/>
        <v>Incomplete</v>
      </c>
    </row>
    <row r="5032" spans="1:17">
      <c r="A5032" s="12">
        <v>46262</v>
      </c>
      <c r="B5032" s="10">
        <v>12</v>
      </c>
      <c r="Q5032" s="10" t="str">
        <f t="shared" si="78"/>
        <v>Incomplete</v>
      </c>
    </row>
    <row r="5033" spans="1:17">
      <c r="A5033" s="12">
        <v>46262</v>
      </c>
      <c r="B5033" s="10">
        <v>13</v>
      </c>
      <c r="Q5033" s="10" t="str">
        <f t="shared" si="78"/>
        <v>Incomplete</v>
      </c>
    </row>
    <row r="5034" spans="1:17">
      <c r="A5034" s="12">
        <v>46262</v>
      </c>
      <c r="B5034" s="10">
        <v>14</v>
      </c>
      <c r="Q5034" s="10" t="str">
        <f t="shared" si="78"/>
        <v>Incomplete</v>
      </c>
    </row>
    <row r="5035" spans="1:17">
      <c r="A5035" s="12">
        <v>46262</v>
      </c>
      <c r="B5035" s="10">
        <v>15</v>
      </c>
      <c r="Q5035" s="10" t="str">
        <f t="shared" si="78"/>
        <v>Incomplete</v>
      </c>
    </row>
    <row r="5036" spans="1:17">
      <c r="A5036" s="12">
        <v>46262</v>
      </c>
      <c r="B5036" s="10">
        <v>16</v>
      </c>
      <c r="Q5036" s="10" t="str">
        <f t="shared" si="78"/>
        <v>Incomplete</v>
      </c>
    </row>
    <row r="5037" spans="1:17">
      <c r="A5037" s="12">
        <v>46262</v>
      </c>
      <c r="B5037" s="10">
        <v>17</v>
      </c>
      <c r="Q5037" s="10" t="str">
        <f t="shared" si="78"/>
        <v>Incomplete</v>
      </c>
    </row>
    <row r="5038" spans="1:17">
      <c r="A5038" s="12">
        <v>46262</v>
      </c>
      <c r="B5038" s="10">
        <v>18</v>
      </c>
      <c r="Q5038" s="10" t="str">
        <f t="shared" si="78"/>
        <v>Incomplete</v>
      </c>
    </row>
    <row r="5039" spans="1:17">
      <c r="A5039" s="12">
        <v>46262</v>
      </c>
      <c r="B5039" s="10">
        <v>19</v>
      </c>
      <c r="Q5039" s="10" t="str">
        <f t="shared" si="78"/>
        <v>Incomplete</v>
      </c>
    </row>
    <row r="5040" spans="1:17">
      <c r="A5040" s="12">
        <v>46262</v>
      </c>
      <c r="B5040" s="10">
        <v>20</v>
      </c>
      <c r="Q5040" s="10" t="str">
        <f t="shared" si="78"/>
        <v>Incomplete</v>
      </c>
    </row>
    <row r="5041" spans="1:17">
      <c r="A5041" s="12">
        <v>46262</v>
      </c>
      <c r="B5041" s="10">
        <v>21</v>
      </c>
      <c r="Q5041" s="10" t="str">
        <f t="shared" si="78"/>
        <v>Incomplete</v>
      </c>
    </row>
    <row r="5042" spans="1:17">
      <c r="A5042" s="12">
        <v>46263</v>
      </c>
      <c r="B5042" s="10">
        <v>1</v>
      </c>
      <c r="Q5042" s="10" t="str">
        <f t="shared" si="78"/>
        <v>Incomplete</v>
      </c>
    </row>
    <row r="5043" spans="1:17">
      <c r="A5043" s="12">
        <v>46263</v>
      </c>
      <c r="B5043" s="10">
        <v>2</v>
      </c>
      <c r="Q5043" s="10" t="str">
        <f t="shared" si="78"/>
        <v>Incomplete</v>
      </c>
    </row>
    <row r="5044" spans="1:17">
      <c r="A5044" s="12">
        <v>46263</v>
      </c>
      <c r="B5044" s="10">
        <v>3</v>
      </c>
      <c r="Q5044" s="10" t="str">
        <f t="shared" si="78"/>
        <v>Incomplete</v>
      </c>
    </row>
    <row r="5045" spans="1:17">
      <c r="A5045" s="12">
        <v>46263</v>
      </c>
      <c r="B5045" s="10">
        <v>4</v>
      </c>
      <c r="Q5045" s="10" t="str">
        <f t="shared" si="78"/>
        <v>Incomplete</v>
      </c>
    </row>
    <row r="5046" spans="1:17">
      <c r="A5046" s="12">
        <v>46263</v>
      </c>
      <c r="B5046" s="10">
        <v>5</v>
      </c>
      <c r="Q5046" s="10" t="str">
        <f t="shared" si="78"/>
        <v>Incomplete</v>
      </c>
    </row>
    <row r="5047" spans="1:17">
      <c r="A5047" s="12">
        <v>46263</v>
      </c>
      <c r="B5047" s="10">
        <v>6</v>
      </c>
      <c r="Q5047" s="10" t="str">
        <f t="shared" si="78"/>
        <v>Incomplete</v>
      </c>
    </row>
    <row r="5048" spans="1:17">
      <c r="A5048" s="12">
        <v>46263</v>
      </c>
      <c r="B5048" s="10">
        <v>7</v>
      </c>
      <c r="Q5048" s="10" t="str">
        <f t="shared" si="78"/>
        <v>Incomplete</v>
      </c>
    </row>
    <row r="5049" spans="1:17">
      <c r="A5049" s="12">
        <v>46263</v>
      </c>
      <c r="B5049" s="10">
        <v>8</v>
      </c>
      <c r="Q5049" s="10" t="str">
        <f t="shared" si="78"/>
        <v>Incomplete</v>
      </c>
    </row>
    <row r="5050" spans="1:17">
      <c r="A5050" s="12">
        <v>46263</v>
      </c>
      <c r="B5050" s="10">
        <v>9</v>
      </c>
      <c r="Q5050" s="10" t="str">
        <f t="shared" si="78"/>
        <v>Incomplete</v>
      </c>
    </row>
    <row r="5051" spans="1:17">
      <c r="A5051" s="12">
        <v>46263</v>
      </c>
      <c r="B5051" s="10">
        <v>10</v>
      </c>
      <c r="Q5051" s="10" t="str">
        <f t="shared" si="78"/>
        <v>Incomplete</v>
      </c>
    </row>
    <row r="5052" spans="1:17">
      <c r="A5052" s="12">
        <v>46263</v>
      </c>
      <c r="B5052" s="10">
        <v>11</v>
      </c>
      <c r="Q5052" s="10" t="str">
        <f t="shared" si="78"/>
        <v>Incomplete</v>
      </c>
    </row>
    <row r="5053" spans="1:17">
      <c r="A5053" s="12">
        <v>46263</v>
      </c>
      <c r="B5053" s="10">
        <v>12</v>
      </c>
      <c r="Q5053" s="10" t="str">
        <f t="shared" si="78"/>
        <v>Incomplete</v>
      </c>
    </row>
    <row r="5054" spans="1:17">
      <c r="A5054" s="12">
        <v>46263</v>
      </c>
      <c r="B5054" s="10">
        <v>13</v>
      </c>
      <c r="Q5054" s="10" t="str">
        <f t="shared" si="78"/>
        <v>Incomplete</v>
      </c>
    </row>
    <row r="5055" spans="1:17">
      <c r="A5055" s="12">
        <v>46263</v>
      </c>
      <c r="B5055" s="10">
        <v>14</v>
      </c>
      <c r="Q5055" s="10" t="str">
        <f t="shared" si="78"/>
        <v>Incomplete</v>
      </c>
    </row>
    <row r="5056" spans="1:17">
      <c r="A5056" s="12">
        <v>46263</v>
      </c>
      <c r="B5056" s="10">
        <v>15</v>
      </c>
      <c r="Q5056" s="10" t="str">
        <f t="shared" si="78"/>
        <v>Incomplete</v>
      </c>
    </row>
    <row r="5057" spans="1:17">
      <c r="A5057" s="12">
        <v>46263</v>
      </c>
      <c r="B5057" s="10">
        <v>16</v>
      </c>
      <c r="Q5057" s="10" t="str">
        <f t="shared" si="78"/>
        <v>Incomplete</v>
      </c>
    </row>
    <row r="5058" spans="1:17">
      <c r="A5058" s="12">
        <v>46263</v>
      </c>
      <c r="B5058" s="10">
        <v>17</v>
      </c>
      <c r="Q5058" s="10" t="str">
        <f t="shared" ref="Q5058:Q5121" si="79">IF(AND(C5058&lt;&gt;"",J5058&lt;&gt;"",K5058&lt;&gt;"",L5058&lt;&gt;"",O5058="Yes"),"Complete","Incomplete")</f>
        <v>Incomplete</v>
      </c>
    </row>
    <row r="5059" spans="1:17">
      <c r="A5059" s="12">
        <v>46263</v>
      </c>
      <c r="B5059" s="10">
        <v>18</v>
      </c>
      <c r="Q5059" s="10" t="str">
        <f t="shared" si="79"/>
        <v>Incomplete</v>
      </c>
    </row>
    <row r="5060" spans="1:17">
      <c r="A5060" s="12">
        <v>46263</v>
      </c>
      <c r="B5060" s="10">
        <v>19</v>
      </c>
      <c r="Q5060" s="10" t="str">
        <f t="shared" si="79"/>
        <v>Incomplete</v>
      </c>
    </row>
    <row r="5061" spans="1:17">
      <c r="A5061" s="12">
        <v>46263</v>
      </c>
      <c r="B5061" s="10">
        <v>20</v>
      </c>
      <c r="Q5061" s="10" t="str">
        <f t="shared" si="79"/>
        <v>Incomplete</v>
      </c>
    </row>
    <row r="5062" spans="1:17">
      <c r="A5062" s="12">
        <v>46263</v>
      </c>
      <c r="B5062" s="10">
        <v>21</v>
      </c>
      <c r="Q5062" s="10" t="str">
        <f t="shared" si="79"/>
        <v>Incomplete</v>
      </c>
    </row>
    <row r="5063" spans="1:17">
      <c r="A5063" s="12">
        <v>46264</v>
      </c>
      <c r="B5063" s="10">
        <v>1</v>
      </c>
      <c r="Q5063" s="10" t="str">
        <f t="shared" si="79"/>
        <v>Incomplete</v>
      </c>
    </row>
    <row r="5064" spans="1:17">
      <c r="A5064" s="12">
        <v>46264</v>
      </c>
      <c r="B5064" s="10">
        <v>2</v>
      </c>
      <c r="Q5064" s="10" t="str">
        <f t="shared" si="79"/>
        <v>Incomplete</v>
      </c>
    </row>
    <row r="5065" spans="1:17">
      <c r="A5065" s="12">
        <v>46264</v>
      </c>
      <c r="B5065" s="10">
        <v>3</v>
      </c>
      <c r="Q5065" s="10" t="str">
        <f t="shared" si="79"/>
        <v>Incomplete</v>
      </c>
    </row>
    <row r="5066" spans="1:17">
      <c r="A5066" s="12">
        <v>46264</v>
      </c>
      <c r="B5066" s="10">
        <v>4</v>
      </c>
      <c r="Q5066" s="10" t="str">
        <f t="shared" si="79"/>
        <v>Incomplete</v>
      </c>
    </row>
    <row r="5067" spans="1:17">
      <c r="A5067" s="12">
        <v>46264</v>
      </c>
      <c r="B5067" s="10">
        <v>5</v>
      </c>
      <c r="Q5067" s="10" t="str">
        <f t="shared" si="79"/>
        <v>Incomplete</v>
      </c>
    </row>
    <row r="5068" spans="1:17">
      <c r="A5068" s="12">
        <v>46264</v>
      </c>
      <c r="B5068" s="10">
        <v>6</v>
      </c>
      <c r="Q5068" s="10" t="str">
        <f t="shared" si="79"/>
        <v>Incomplete</v>
      </c>
    </row>
    <row r="5069" spans="1:17">
      <c r="A5069" s="12">
        <v>46264</v>
      </c>
      <c r="B5069" s="10">
        <v>7</v>
      </c>
      <c r="Q5069" s="10" t="str">
        <f t="shared" si="79"/>
        <v>Incomplete</v>
      </c>
    </row>
    <row r="5070" spans="1:17">
      <c r="A5070" s="12">
        <v>46264</v>
      </c>
      <c r="B5070" s="10">
        <v>8</v>
      </c>
      <c r="Q5070" s="10" t="str">
        <f t="shared" si="79"/>
        <v>Incomplete</v>
      </c>
    </row>
    <row r="5071" spans="1:17">
      <c r="A5071" s="12">
        <v>46264</v>
      </c>
      <c r="B5071" s="10">
        <v>9</v>
      </c>
      <c r="Q5071" s="10" t="str">
        <f t="shared" si="79"/>
        <v>Incomplete</v>
      </c>
    </row>
    <row r="5072" spans="1:17">
      <c r="A5072" s="12">
        <v>46264</v>
      </c>
      <c r="B5072" s="10">
        <v>10</v>
      </c>
      <c r="Q5072" s="10" t="str">
        <f t="shared" si="79"/>
        <v>Incomplete</v>
      </c>
    </row>
    <row r="5073" spans="1:17">
      <c r="A5073" s="12">
        <v>46264</v>
      </c>
      <c r="B5073" s="10">
        <v>11</v>
      </c>
      <c r="Q5073" s="10" t="str">
        <f t="shared" si="79"/>
        <v>Incomplete</v>
      </c>
    </row>
    <row r="5074" spans="1:17">
      <c r="A5074" s="12">
        <v>46264</v>
      </c>
      <c r="B5074" s="10">
        <v>12</v>
      </c>
      <c r="Q5074" s="10" t="str">
        <f t="shared" si="79"/>
        <v>Incomplete</v>
      </c>
    </row>
    <row r="5075" spans="1:17">
      <c r="A5075" s="12">
        <v>46264</v>
      </c>
      <c r="B5075" s="10">
        <v>13</v>
      </c>
      <c r="Q5075" s="10" t="str">
        <f t="shared" si="79"/>
        <v>Incomplete</v>
      </c>
    </row>
    <row r="5076" spans="1:17">
      <c r="A5076" s="12">
        <v>46264</v>
      </c>
      <c r="B5076" s="10">
        <v>14</v>
      </c>
      <c r="Q5076" s="10" t="str">
        <f t="shared" si="79"/>
        <v>Incomplete</v>
      </c>
    </row>
    <row r="5077" spans="1:17">
      <c r="A5077" s="12">
        <v>46264</v>
      </c>
      <c r="B5077" s="10">
        <v>15</v>
      </c>
      <c r="Q5077" s="10" t="str">
        <f t="shared" si="79"/>
        <v>Incomplete</v>
      </c>
    </row>
    <row r="5078" spans="1:17">
      <c r="A5078" s="12">
        <v>46264</v>
      </c>
      <c r="B5078" s="10">
        <v>16</v>
      </c>
      <c r="Q5078" s="10" t="str">
        <f t="shared" si="79"/>
        <v>Incomplete</v>
      </c>
    </row>
    <row r="5079" spans="1:17">
      <c r="A5079" s="12">
        <v>46264</v>
      </c>
      <c r="B5079" s="10">
        <v>17</v>
      </c>
      <c r="Q5079" s="10" t="str">
        <f t="shared" si="79"/>
        <v>Incomplete</v>
      </c>
    </row>
    <row r="5080" spans="1:17">
      <c r="A5080" s="12">
        <v>46264</v>
      </c>
      <c r="B5080" s="10">
        <v>18</v>
      </c>
      <c r="Q5080" s="10" t="str">
        <f t="shared" si="79"/>
        <v>Incomplete</v>
      </c>
    </row>
    <row r="5081" spans="1:17">
      <c r="A5081" s="12">
        <v>46264</v>
      </c>
      <c r="B5081" s="10">
        <v>19</v>
      </c>
      <c r="Q5081" s="10" t="str">
        <f t="shared" si="79"/>
        <v>Incomplete</v>
      </c>
    </row>
    <row r="5082" spans="1:17">
      <c r="A5082" s="12">
        <v>46264</v>
      </c>
      <c r="B5082" s="10">
        <v>20</v>
      </c>
      <c r="Q5082" s="10" t="str">
        <f t="shared" si="79"/>
        <v>Incomplete</v>
      </c>
    </row>
    <row r="5083" spans="1:17">
      <c r="A5083" s="12">
        <v>46264</v>
      </c>
      <c r="B5083" s="10">
        <v>21</v>
      </c>
      <c r="Q5083" s="10" t="str">
        <f t="shared" si="79"/>
        <v>Incomplete</v>
      </c>
    </row>
    <row r="5084" spans="1:17">
      <c r="A5084" s="12">
        <v>46265</v>
      </c>
      <c r="B5084" s="10">
        <v>1</v>
      </c>
      <c r="Q5084" s="10" t="str">
        <f t="shared" si="79"/>
        <v>Incomplete</v>
      </c>
    </row>
    <row r="5085" spans="1:17">
      <c r="A5085" s="12">
        <v>46265</v>
      </c>
      <c r="B5085" s="10">
        <v>2</v>
      </c>
      <c r="Q5085" s="10" t="str">
        <f t="shared" si="79"/>
        <v>Incomplete</v>
      </c>
    </row>
    <row r="5086" spans="1:17">
      <c r="A5086" s="12">
        <v>46265</v>
      </c>
      <c r="B5086" s="10">
        <v>3</v>
      </c>
      <c r="Q5086" s="10" t="str">
        <f t="shared" si="79"/>
        <v>Incomplete</v>
      </c>
    </row>
    <row r="5087" spans="1:17">
      <c r="A5087" s="12">
        <v>46265</v>
      </c>
      <c r="B5087" s="10">
        <v>4</v>
      </c>
      <c r="Q5087" s="10" t="str">
        <f t="shared" si="79"/>
        <v>Incomplete</v>
      </c>
    </row>
    <row r="5088" spans="1:17">
      <c r="A5088" s="12">
        <v>46265</v>
      </c>
      <c r="B5088" s="10">
        <v>5</v>
      </c>
      <c r="Q5088" s="10" t="str">
        <f t="shared" si="79"/>
        <v>Incomplete</v>
      </c>
    </row>
    <row r="5089" spans="1:17">
      <c r="A5089" s="12">
        <v>46265</v>
      </c>
      <c r="B5089" s="10">
        <v>6</v>
      </c>
      <c r="Q5089" s="10" t="str">
        <f t="shared" si="79"/>
        <v>Incomplete</v>
      </c>
    </row>
    <row r="5090" spans="1:17">
      <c r="A5090" s="12">
        <v>46265</v>
      </c>
      <c r="B5090" s="10">
        <v>7</v>
      </c>
      <c r="Q5090" s="10" t="str">
        <f t="shared" si="79"/>
        <v>Incomplete</v>
      </c>
    </row>
    <row r="5091" spans="1:17">
      <c r="A5091" s="12">
        <v>46265</v>
      </c>
      <c r="B5091" s="10">
        <v>8</v>
      </c>
      <c r="Q5091" s="10" t="str">
        <f t="shared" si="79"/>
        <v>Incomplete</v>
      </c>
    </row>
    <row r="5092" spans="1:17">
      <c r="A5092" s="12">
        <v>46265</v>
      </c>
      <c r="B5092" s="10">
        <v>9</v>
      </c>
      <c r="Q5092" s="10" t="str">
        <f t="shared" si="79"/>
        <v>Incomplete</v>
      </c>
    </row>
    <row r="5093" spans="1:17">
      <c r="A5093" s="12">
        <v>46265</v>
      </c>
      <c r="B5093" s="10">
        <v>10</v>
      </c>
      <c r="Q5093" s="10" t="str">
        <f t="shared" si="79"/>
        <v>Incomplete</v>
      </c>
    </row>
    <row r="5094" spans="1:17">
      <c r="A5094" s="12">
        <v>46265</v>
      </c>
      <c r="B5094" s="10">
        <v>11</v>
      </c>
      <c r="Q5094" s="10" t="str">
        <f t="shared" si="79"/>
        <v>Incomplete</v>
      </c>
    </row>
    <row r="5095" spans="1:17">
      <c r="A5095" s="12">
        <v>46265</v>
      </c>
      <c r="B5095" s="10">
        <v>12</v>
      </c>
      <c r="Q5095" s="10" t="str">
        <f t="shared" si="79"/>
        <v>Incomplete</v>
      </c>
    </row>
    <row r="5096" spans="1:17">
      <c r="A5096" s="12">
        <v>46265</v>
      </c>
      <c r="B5096" s="10">
        <v>13</v>
      </c>
      <c r="Q5096" s="10" t="str">
        <f t="shared" si="79"/>
        <v>Incomplete</v>
      </c>
    </row>
    <row r="5097" spans="1:17">
      <c r="A5097" s="12">
        <v>46265</v>
      </c>
      <c r="B5097" s="10">
        <v>14</v>
      </c>
      <c r="Q5097" s="10" t="str">
        <f t="shared" si="79"/>
        <v>Incomplete</v>
      </c>
    </row>
    <row r="5098" spans="1:17">
      <c r="A5098" s="12">
        <v>46265</v>
      </c>
      <c r="B5098" s="10">
        <v>15</v>
      </c>
      <c r="Q5098" s="10" t="str">
        <f t="shared" si="79"/>
        <v>Incomplete</v>
      </c>
    </row>
    <row r="5099" spans="1:17">
      <c r="A5099" s="12">
        <v>46265</v>
      </c>
      <c r="B5099" s="10">
        <v>16</v>
      </c>
      <c r="Q5099" s="10" t="str">
        <f t="shared" si="79"/>
        <v>Incomplete</v>
      </c>
    </row>
    <row r="5100" spans="1:17">
      <c r="A5100" s="12">
        <v>46265</v>
      </c>
      <c r="B5100" s="10">
        <v>17</v>
      </c>
      <c r="Q5100" s="10" t="str">
        <f t="shared" si="79"/>
        <v>Incomplete</v>
      </c>
    </row>
    <row r="5101" spans="1:17">
      <c r="A5101" s="12">
        <v>46265</v>
      </c>
      <c r="B5101" s="10">
        <v>18</v>
      </c>
      <c r="Q5101" s="10" t="str">
        <f t="shared" si="79"/>
        <v>Incomplete</v>
      </c>
    </row>
    <row r="5102" spans="1:17">
      <c r="A5102" s="12">
        <v>46265</v>
      </c>
      <c r="B5102" s="10">
        <v>19</v>
      </c>
      <c r="Q5102" s="10" t="str">
        <f t="shared" si="79"/>
        <v>Incomplete</v>
      </c>
    </row>
    <row r="5103" spans="1:17">
      <c r="A5103" s="12">
        <v>46265</v>
      </c>
      <c r="B5103" s="10">
        <v>20</v>
      </c>
      <c r="Q5103" s="10" t="str">
        <f t="shared" si="79"/>
        <v>Incomplete</v>
      </c>
    </row>
    <row r="5104" spans="1:17">
      <c r="A5104" s="12">
        <v>46265</v>
      </c>
      <c r="B5104" s="10">
        <v>21</v>
      </c>
      <c r="Q5104" s="10" t="str">
        <f t="shared" si="79"/>
        <v>Incomplete</v>
      </c>
    </row>
    <row r="5105" spans="1:17">
      <c r="A5105" s="12">
        <v>46266</v>
      </c>
      <c r="B5105" s="10">
        <v>1</v>
      </c>
      <c r="Q5105" s="10" t="str">
        <f t="shared" si="79"/>
        <v>Incomplete</v>
      </c>
    </row>
    <row r="5106" spans="1:17">
      <c r="A5106" s="12">
        <v>46266</v>
      </c>
      <c r="B5106" s="10">
        <v>2</v>
      </c>
      <c r="Q5106" s="10" t="str">
        <f t="shared" si="79"/>
        <v>Incomplete</v>
      </c>
    </row>
    <row r="5107" spans="1:17">
      <c r="A5107" s="12">
        <v>46266</v>
      </c>
      <c r="B5107" s="10">
        <v>3</v>
      </c>
      <c r="Q5107" s="10" t="str">
        <f t="shared" si="79"/>
        <v>Incomplete</v>
      </c>
    </row>
    <row r="5108" spans="1:17">
      <c r="A5108" s="12">
        <v>46266</v>
      </c>
      <c r="B5108" s="10">
        <v>4</v>
      </c>
      <c r="Q5108" s="10" t="str">
        <f t="shared" si="79"/>
        <v>Incomplete</v>
      </c>
    </row>
    <row r="5109" spans="1:17">
      <c r="A5109" s="12">
        <v>46266</v>
      </c>
      <c r="B5109" s="10">
        <v>5</v>
      </c>
      <c r="Q5109" s="10" t="str">
        <f t="shared" si="79"/>
        <v>Incomplete</v>
      </c>
    </row>
    <row r="5110" spans="1:17">
      <c r="A5110" s="12">
        <v>46266</v>
      </c>
      <c r="B5110" s="10">
        <v>6</v>
      </c>
      <c r="Q5110" s="10" t="str">
        <f t="shared" si="79"/>
        <v>Incomplete</v>
      </c>
    </row>
    <row r="5111" spans="1:17">
      <c r="A5111" s="12">
        <v>46266</v>
      </c>
      <c r="B5111" s="10">
        <v>7</v>
      </c>
      <c r="Q5111" s="10" t="str">
        <f t="shared" si="79"/>
        <v>Incomplete</v>
      </c>
    </row>
    <row r="5112" spans="1:17">
      <c r="A5112" s="12">
        <v>46266</v>
      </c>
      <c r="B5112" s="10">
        <v>8</v>
      </c>
      <c r="Q5112" s="10" t="str">
        <f t="shared" si="79"/>
        <v>Incomplete</v>
      </c>
    </row>
    <row r="5113" spans="1:17">
      <c r="A5113" s="12">
        <v>46266</v>
      </c>
      <c r="B5113" s="10">
        <v>9</v>
      </c>
      <c r="Q5113" s="10" t="str">
        <f t="shared" si="79"/>
        <v>Incomplete</v>
      </c>
    </row>
    <row r="5114" spans="1:17">
      <c r="A5114" s="12">
        <v>46266</v>
      </c>
      <c r="B5114" s="10">
        <v>10</v>
      </c>
      <c r="Q5114" s="10" t="str">
        <f t="shared" si="79"/>
        <v>Incomplete</v>
      </c>
    </row>
    <row r="5115" spans="1:17">
      <c r="A5115" s="12">
        <v>46266</v>
      </c>
      <c r="B5115" s="10">
        <v>11</v>
      </c>
      <c r="Q5115" s="10" t="str">
        <f t="shared" si="79"/>
        <v>Incomplete</v>
      </c>
    </row>
    <row r="5116" spans="1:17">
      <c r="A5116" s="12">
        <v>46266</v>
      </c>
      <c r="B5116" s="10">
        <v>12</v>
      </c>
      <c r="Q5116" s="10" t="str">
        <f t="shared" si="79"/>
        <v>Incomplete</v>
      </c>
    </row>
    <row r="5117" spans="1:17">
      <c r="A5117" s="12">
        <v>46266</v>
      </c>
      <c r="B5117" s="10">
        <v>13</v>
      </c>
      <c r="Q5117" s="10" t="str">
        <f t="shared" si="79"/>
        <v>Incomplete</v>
      </c>
    </row>
    <row r="5118" spans="1:17">
      <c r="A5118" s="12">
        <v>46266</v>
      </c>
      <c r="B5118" s="10">
        <v>14</v>
      </c>
      <c r="Q5118" s="10" t="str">
        <f t="shared" si="79"/>
        <v>Incomplete</v>
      </c>
    </row>
    <row r="5119" spans="1:17">
      <c r="A5119" s="12">
        <v>46266</v>
      </c>
      <c r="B5119" s="10">
        <v>15</v>
      </c>
      <c r="Q5119" s="10" t="str">
        <f t="shared" si="79"/>
        <v>Incomplete</v>
      </c>
    </row>
    <row r="5120" spans="1:17">
      <c r="A5120" s="12">
        <v>46266</v>
      </c>
      <c r="B5120" s="10">
        <v>16</v>
      </c>
      <c r="Q5120" s="10" t="str">
        <f t="shared" si="79"/>
        <v>Incomplete</v>
      </c>
    </row>
    <row r="5121" spans="1:17">
      <c r="A5121" s="12">
        <v>46266</v>
      </c>
      <c r="B5121" s="10">
        <v>17</v>
      </c>
      <c r="Q5121" s="10" t="str">
        <f t="shared" si="79"/>
        <v>Incomplete</v>
      </c>
    </row>
    <row r="5122" spans="1:17">
      <c r="A5122" s="12">
        <v>46266</v>
      </c>
      <c r="B5122" s="10">
        <v>18</v>
      </c>
      <c r="Q5122" s="10" t="str">
        <f t="shared" ref="Q5122:Q5185" si="80">IF(AND(C5122&lt;&gt;"",J5122&lt;&gt;"",K5122&lt;&gt;"",L5122&lt;&gt;"",O5122="Yes"),"Complete","Incomplete")</f>
        <v>Incomplete</v>
      </c>
    </row>
    <row r="5123" spans="1:17">
      <c r="A5123" s="12">
        <v>46266</v>
      </c>
      <c r="B5123" s="10">
        <v>19</v>
      </c>
      <c r="Q5123" s="10" t="str">
        <f t="shared" si="80"/>
        <v>Incomplete</v>
      </c>
    </row>
    <row r="5124" spans="1:17">
      <c r="A5124" s="12">
        <v>46266</v>
      </c>
      <c r="B5124" s="10">
        <v>20</v>
      </c>
      <c r="Q5124" s="10" t="str">
        <f t="shared" si="80"/>
        <v>Incomplete</v>
      </c>
    </row>
    <row r="5125" spans="1:17">
      <c r="A5125" s="12">
        <v>46266</v>
      </c>
      <c r="B5125" s="10">
        <v>21</v>
      </c>
      <c r="Q5125" s="10" t="str">
        <f t="shared" si="80"/>
        <v>Incomplete</v>
      </c>
    </row>
    <row r="5126" spans="1:17">
      <c r="A5126" s="12">
        <v>46267</v>
      </c>
      <c r="B5126" s="10">
        <v>1</v>
      </c>
      <c r="Q5126" s="10" t="str">
        <f t="shared" si="80"/>
        <v>Incomplete</v>
      </c>
    </row>
    <row r="5127" spans="1:17">
      <c r="A5127" s="12">
        <v>46267</v>
      </c>
      <c r="B5127" s="10">
        <v>2</v>
      </c>
      <c r="Q5127" s="10" t="str">
        <f t="shared" si="80"/>
        <v>Incomplete</v>
      </c>
    </row>
    <row r="5128" spans="1:17">
      <c r="A5128" s="12">
        <v>46267</v>
      </c>
      <c r="B5128" s="10">
        <v>3</v>
      </c>
      <c r="Q5128" s="10" t="str">
        <f t="shared" si="80"/>
        <v>Incomplete</v>
      </c>
    </row>
    <row r="5129" spans="1:17">
      <c r="A5129" s="12">
        <v>46267</v>
      </c>
      <c r="B5129" s="10">
        <v>4</v>
      </c>
      <c r="Q5129" s="10" t="str">
        <f t="shared" si="80"/>
        <v>Incomplete</v>
      </c>
    </row>
    <row r="5130" spans="1:17">
      <c r="A5130" s="12">
        <v>46267</v>
      </c>
      <c r="B5130" s="10">
        <v>5</v>
      </c>
      <c r="Q5130" s="10" t="str">
        <f t="shared" si="80"/>
        <v>Incomplete</v>
      </c>
    </row>
    <row r="5131" spans="1:17">
      <c r="A5131" s="12">
        <v>46267</v>
      </c>
      <c r="B5131" s="10">
        <v>6</v>
      </c>
      <c r="Q5131" s="10" t="str">
        <f t="shared" si="80"/>
        <v>Incomplete</v>
      </c>
    </row>
    <row r="5132" spans="1:17">
      <c r="A5132" s="12">
        <v>46267</v>
      </c>
      <c r="B5132" s="10">
        <v>7</v>
      </c>
      <c r="Q5132" s="10" t="str">
        <f t="shared" si="80"/>
        <v>Incomplete</v>
      </c>
    </row>
    <row r="5133" spans="1:17">
      <c r="A5133" s="12">
        <v>46267</v>
      </c>
      <c r="B5133" s="10">
        <v>8</v>
      </c>
      <c r="Q5133" s="10" t="str">
        <f t="shared" si="80"/>
        <v>Incomplete</v>
      </c>
    </row>
    <row r="5134" spans="1:17">
      <c r="A5134" s="12">
        <v>46267</v>
      </c>
      <c r="B5134" s="10">
        <v>9</v>
      </c>
      <c r="Q5134" s="10" t="str">
        <f t="shared" si="80"/>
        <v>Incomplete</v>
      </c>
    </row>
    <row r="5135" spans="1:17">
      <c r="A5135" s="12">
        <v>46267</v>
      </c>
      <c r="B5135" s="10">
        <v>10</v>
      </c>
      <c r="Q5135" s="10" t="str">
        <f t="shared" si="80"/>
        <v>Incomplete</v>
      </c>
    </row>
    <row r="5136" spans="1:17">
      <c r="A5136" s="12">
        <v>46267</v>
      </c>
      <c r="B5136" s="10">
        <v>11</v>
      </c>
      <c r="Q5136" s="10" t="str">
        <f t="shared" si="80"/>
        <v>Incomplete</v>
      </c>
    </row>
    <row r="5137" spans="1:17">
      <c r="A5137" s="12">
        <v>46267</v>
      </c>
      <c r="B5137" s="10">
        <v>12</v>
      </c>
      <c r="Q5137" s="10" t="str">
        <f t="shared" si="80"/>
        <v>Incomplete</v>
      </c>
    </row>
    <row r="5138" spans="1:17">
      <c r="A5138" s="12">
        <v>46267</v>
      </c>
      <c r="B5138" s="10">
        <v>13</v>
      </c>
      <c r="Q5138" s="10" t="str">
        <f t="shared" si="80"/>
        <v>Incomplete</v>
      </c>
    </row>
    <row r="5139" spans="1:17">
      <c r="A5139" s="12">
        <v>46267</v>
      </c>
      <c r="B5139" s="10">
        <v>14</v>
      </c>
      <c r="Q5139" s="10" t="str">
        <f t="shared" si="80"/>
        <v>Incomplete</v>
      </c>
    </row>
    <row r="5140" spans="1:17">
      <c r="A5140" s="12">
        <v>46267</v>
      </c>
      <c r="B5140" s="10">
        <v>15</v>
      </c>
      <c r="Q5140" s="10" t="str">
        <f t="shared" si="80"/>
        <v>Incomplete</v>
      </c>
    </row>
    <row r="5141" spans="1:17">
      <c r="A5141" s="12">
        <v>46267</v>
      </c>
      <c r="B5141" s="10">
        <v>16</v>
      </c>
      <c r="Q5141" s="10" t="str">
        <f t="shared" si="80"/>
        <v>Incomplete</v>
      </c>
    </row>
    <row r="5142" spans="1:17">
      <c r="A5142" s="12">
        <v>46267</v>
      </c>
      <c r="B5142" s="10">
        <v>17</v>
      </c>
      <c r="Q5142" s="10" t="str">
        <f t="shared" si="80"/>
        <v>Incomplete</v>
      </c>
    </row>
    <row r="5143" spans="1:17">
      <c r="A5143" s="12">
        <v>46267</v>
      </c>
      <c r="B5143" s="10">
        <v>18</v>
      </c>
      <c r="Q5143" s="10" t="str">
        <f t="shared" si="80"/>
        <v>Incomplete</v>
      </c>
    </row>
    <row r="5144" spans="1:17">
      <c r="A5144" s="12">
        <v>46267</v>
      </c>
      <c r="B5144" s="10">
        <v>19</v>
      </c>
      <c r="Q5144" s="10" t="str">
        <f t="shared" si="80"/>
        <v>Incomplete</v>
      </c>
    </row>
    <row r="5145" spans="1:17">
      <c r="A5145" s="12">
        <v>46267</v>
      </c>
      <c r="B5145" s="10">
        <v>20</v>
      </c>
      <c r="Q5145" s="10" t="str">
        <f t="shared" si="80"/>
        <v>Incomplete</v>
      </c>
    </row>
    <row r="5146" spans="1:17">
      <c r="A5146" s="12">
        <v>46267</v>
      </c>
      <c r="B5146" s="10">
        <v>21</v>
      </c>
      <c r="Q5146" s="10" t="str">
        <f t="shared" si="80"/>
        <v>Incomplete</v>
      </c>
    </row>
    <row r="5147" spans="1:17">
      <c r="A5147" s="12">
        <v>46268</v>
      </c>
      <c r="B5147" s="10">
        <v>1</v>
      </c>
      <c r="Q5147" s="10" t="str">
        <f t="shared" si="80"/>
        <v>Incomplete</v>
      </c>
    </row>
    <row r="5148" spans="1:17">
      <c r="A5148" s="12">
        <v>46268</v>
      </c>
      <c r="B5148" s="10">
        <v>2</v>
      </c>
      <c r="Q5148" s="10" t="str">
        <f t="shared" si="80"/>
        <v>Incomplete</v>
      </c>
    </row>
    <row r="5149" spans="1:17">
      <c r="A5149" s="12">
        <v>46268</v>
      </c>
      <c r="B5149" s="10">
        <v>3</v>
      </c>
      <c r="Q5149" s="10" t="str">
        <f t="shared" si="80"/>
        <v>Incomplete</v>
      </c>
    </row>
    <row r="5150" spans="1:17">
      <c r="A5150" s="12">
        <v>46268</v>
      </c>
      <c r="B5150" s="10">
        <v>4</v>
      </c>
      <c r="Q5150" s="10" t="str">
        <f t="shared" si="80"/>
        <v>Incomplete</v>
      </c>
    </row>
    <row r="5151" spans="1:17">
      <c r="A5151" s="12">
        <v>46268</v>
      </c>
      <c r="B5151" s="10">
        <v>5</v>
      </c>
      <c r="Q5151" s="10" t="str">
        <f t="shared" si="80"/>
        <v>Incomplete</v>
      </c>
    </row>
    <row r="5152" spans="1:17">
      <c r="A5152" s="12">
        <v>46268</v>
      </c>
      <c r="B5152" s="10">
        <v>6</v>
      </c>
      <c r="Q5152" s="10" t="str">
        <f t="shared" si="80"/>
        <v>Incomplete</v>
      </c>
    </row>
    <row r="5153" spans="1:17">
      <c r="A5153" s="12">
        <v>46268</v>
      </c>
      <c r="B5153" s="10">
        <v>7</v>
      </c>
      <c r="Q5153" s="10" t="str">
        <f t="shared" si="80"/>
        <v>Incomplete</v>
      </c>
    </row>
    <row r="5154" spans="1:17">
      <c r="A5154" s="12">
        <v>46268</v>
      </c>
      <c r="B5154" s="10">
        <v>8</v>
      </c>
      <c r="Q5154" s="10" t="str">
        <f t="shared" si="80"/>
        <v>Incomplete</v>
      </c>
    </row>
    <row r="5155" spans="1:17">
      <c r="A5155" s="12">
        <v>46268</v>
      </c>
      <c r="B5155" s="10">
        <v>9</v>
      </c>
      <c r="Q5155" s="10" t="str">
        <f t="shared" si="80"/>
        <v>Incomplete</v>
      </c>
    </row>
    <row r="5156" spans="1:17">
      <c r="A5156" s="12">
        <v>46268</v>
      </c>
      <c r="B5156" s="10">
        <v>10</v>
      </c>
      <c r="Q5156" s="10" t="str">
        <f t="shared" si="80"/>
        <v>Incomplete</v>
      </c>
    </row>
    <row r="5157" spans="1:17">
      <c r="A5157" s="12">
        <v>46268</v>
      </c>
      <c r="B5157" s="10">
        <v>11</v>
      </c>
      <c r="Q5157" s="10" t="str">
        <f t="shared" si="80"/>
        <v>Incomplete</v>
      </c>
    </row>
    <row r="5158" spans="1:17">
      <c r="A5158" s="12">
        <v>46268</v>
      </c>
      <c r="B5158" s="10">
        <v>12</v>
      </c>
      <c r="Q5158" s="10" t="str">
        <f t="shared" si="80"/>
        <v>Incomplete</v>
      </c>
    </row>
    <row r="5159" spans="1:17">
      <c r="A5159" s="12">
        <v>46268</v>
      </c>
      <c r="B5159" s="10">
        <v>13</v>
      </c>
      <c r="Q5159" s="10" t="str">
        <f t="shared" si="80"/>
        <v>Incomplete</v>
      </c>
    </row>
    <row r="5160" spans="1:17">
      <c r="A5160" s="12">
        <v>46268</v>
      </c>
      <c r="B5160" s="10">
        <v>14</v>
      </c>
      <c r="Q5160" s="10" t="str">
        <f t="shared" si="80"/>
        <v>Incomplete</v>
      </c>
    </row>
    <row r="5161" spans="1:17">
      <c r="A5161" s="12">
        <v>46268</v>
      </c>
      <c r="B5161" s="10">
        <v>15</v>
      </c>
      <c r="Q5161" s="10" t="str">
        <f t="shared" si="80"/>
        <v>Incomplete</v>
      </c>
    </row>
    <row r="5162" spans="1:17">
      <c r="A5162" s="12">
        <v>46268</v>
      </c>
      <c r="B5162" s="10">
        <v>16</v>
      </c>
      <c r="Q5162" s="10" t="str">
        <f t="shared" si="80"/>
        <v>Incomplete</v>
      </c>
    </row>
    <row r="5163" spans="1:17">
      <c r="A5163" s="12">
        <v>46268</v>
      </c>
      <c r="B5163" s="10">
        <v>17</v>
      </c>
      <c r="Q5163" s="10" t="str">
        <f t="shared" si="80"/>
        <v>Incomplete</v>
      </c>
    </row>
    <row r="5164" spans="1:17">
      <c r="A5164" s="12">
        <v>46268</v>
      </c>
      <c r="B5164" s="10">
        <v>18</v>
      </c>
      <c r="Q5164" s="10" t="str">
        <f t="shared" si="80"/>
        <v>Incomplete</v>
      </c>
    </row>
    <row r="5165" spans="1:17">
      <c r="A5165" s="12">
        <v>46268</v>
      </c>
      <c r="B5165" s="10">
        <v>19</v>
      </c>
      <c r="Q5165" s="10" t="str">
        <f t="shared" si="80"/>
        <v>Incomplete</v>
      </c>
    </row>
    <row r="5166" spans="1:17">
      <c r="A5166" s="12">
        <v>46268</v>
      </c>
      <c r="B5166" s="10">
        <v>20</v>
      </c>
      <c r="Q5166" s="10" t="str">
        <f t="shared" si="80"/>
        <v>Incomplete</v>
      </c>
    </row>
    <row r="5167" spans="1:17">
      <c r="A5167" s="12">
        <v>46268</v>
      </c>
      <c r="B5167" s="10">
        <v>21</v>
      </c>
      <c r="Q5167" s="10" t="str">
        <f t="shared" si="80"/>
        <v>Incomplete</v>
      </c>
    </row>
    <row r="5168" spans="1:17">
      <c r="A5168" s="12">
        <v>46269</v>
      </c>
      <c r="B5168" s="10">
        <v>1</v>
      </c>
      <c r="Q5168" s="10" t="str">
        <f t="shared" si="80"/>
        <v>Incomplete</v>
      </c>
    </row>
    <row r="5169" spans="1:17">
      <c r="A5169" s="12">
        <v>46269</v>
      </c>
      <c r="B5169" s="10">
        <v>2</v>
      </c>
      <c r="Q5169" s="10" t="str">
        <f t="shared" si="80"/>
        <v>Incomplete</v>
      </c>
    </row>
    <row r="5170" spans="1:17">
      <c r="A5170" s="12">
        <v>46269</v>
      </c>
      <c r="B5170" s="10">
        <v>3</v>
      </c>
      <c r="Q5170" s="10" t="str">
        <f t="shared" si="80"/>
        <v>Incomplete</v>
      </c>
    </row>
    <row r="5171" spans="1:17">
      <c r="A5171" s="12">
        <v>46269</v>
      </c>
      <c r="B5171" s="10">
        <v>4</v>
      </c>
      <c r="Q5171" s="10" t="str">
        <f t="shared" si="80"/>
        <v>Incomplete</v>
      </c>
    </row>
    <row r="5172" spans="1:17">
      <c r="A5172" s="12">
        <v>46269</v>
      </c>
      <c r="B5172" s="10">
        <v>5</v>
      </c>
      <c r="Q5172" s="10" t="str">
        <f t="shared" si="80"/>
        <v>Incomplete</v>
      </c>
    </row>
    <row r="5173" spans="1:17">
      <c r="A5173" s="12">
        <v>46269</v>
      </c>
      <c r="B5173" s="10">
        <v>6</v>
      </c>
      <c r="Q5173" s="10" t="str">
        <f t="shared" si="80"/>
        <v>Incomplete</v>
      </c>
    </row>
    <row r="5174" spans="1:17">
      <c r="A5174" s="12">
        <v>46269</v>
      </c>
      <c r="B5174" s="10">
        <v>7</v>
      </c>
      <c r="Q5174" s="10" t="str">
        <f t="shared" si="80"/>
        <v>Incomplete</v>
      </c>
    </row>
    <row r="5175" spans="1:17">
      <c r="A5175" s="12">
        <v>46269</v>
      </c>
      <c r="B5175" s="10">
        <v>8</v>
      </c>
      <c r="Q5175" s="10" t="str">
        <f t="shared" si="80"/>
        <v>Incomplete</v>
      </c>
    </row>
    <row r="5176" spans="1:17">
      <c r="A5176" s="12">
        <v>46269</v>
      </c>
      <c r="B5176" s="10">
        <v>9</v>
      </c>
      <c r="Q5176" s="10" t="str">
        <f t="shared" si="80"/>
        <v>Incomplete</v>
      </c>
    </row>
    <row r="5177" spans="1:17">
      <c r="A5177" s="12">
        <v>46269</v>
      </c>
      <c r="B5177" s="10">
        <v>10</v>
      </c>
      <c r="Q5177" s="10" t="str">
        <f t="shared" si="80"/>
        <v>Incomplete</v>
      </c>
    </row>
    <row r="5178" spans="1:17">
      <c r="A5178" s="12">
        <v>46269</v>
      </c>
      <c r="B5178" s="10">
        <v>11</v>
      </c>
      <c r="Q5178" s="10" t="str">
        <f t="shared" si="80"/>
        <v>Incomplete</v>
      </c>
    </row>
    <row r="5179" spans="1:17">
      <c r="A5179" s="12">
        <v>46269</v>
      </c>
      <c r="B5179" s="10">
        <v>12</v>
      </c>
      <c r="Q5179" s="10" t="str">
        <f t="shared" si="80"/>
        <v>Incomplete</v>
      </c>
    </row>
    <row r="5180" spans="1:17">
      <c r="A5180" s="12">
        <v>46269</v>
      </c>
      <c r="B5180" s="10">
        <v>13</v>
      </c>
      <c r="Q5180" s="10" t="str">
        <f t="shared" si="80"/>
        <v>Incomplete</v>
      </c>
    </row>
    <row r="5181" spans="1:17">
      <c r="A5181" s="12">
        <v>46269</v>
      </c>
      <c r="B5181" s="10">
        <v>14</v>
      </c>
      <c r="Q5181" s="10" t="str">
        <f t="shared" si="80"/>
        <v>Incomplete</v>
      </c>
    </row>
    <row r="5182" spans="1:17">
      <c r="A5182" s="12">
        <v>46269</v>
      </c>
      <c r="B5182" s="10">
        <v>15</v>
      </c>
      <c r="Q5182" s="10" t="str">
        <f t="shared" si="80"/>
        <v>Incomplete</v>
      </c>
    </row>
    <row r="5183" spans="1:17">
      <c r="A5183" s="12">
        <v>46269</v>
      </c>
      <c r="B5183" s="10">
        <v>16</v>
      </c>
      <c r="Q5183" s="10" t="str">
        <f t="shared" si="80"/>
        <v>Incomplete</v>
      </c>
    </row>
    <row r="5184" spans="1:17">
      <c r="A5184" s="12">
        <v>46269</v>
      </c>
      <c r="B5184" s="10">
        <v>17</v>
      </c>
      <c r="Q5184" s="10" t="str">
        <f t="shared" si="80"/>
        <v>Incomplete</v>
      </c>
    </row>
    <row r="5185" spans="1:17">
      <c r="A5185" s="12">
        <v>46269</v>
      </c>
      <c r="B5185" s="10">
        <v>18</v>
      </c>
      <c r="Q5185" s="10" t="str">
        <f t="shared" si="80"/>
        <v>Incomplete</v>
      </c>
    </row>
    <row r="5186" spans="1:17">
      <c r="A5186" s="12">
        <v>46269</v>
      </c>
      <c r="B5186" s="10">
        <v>19</v>
      </c>
      <c r="Q5186" s="10" t="str">
        <f t="shared" ref="Q5186:Q5249" si="81">IF(AND(C5186&lt;&gt;"",J5186&lt;&gt;"",K5186&lt;&gt;"",L5186&lt;&gt;"",O5186="Yes"),"Complete","Incomplete")</f>
        <v>Incomplete</v>
      </c>
    </row>
    <row r="5187" spans="1:17">
      <c r="A5187" s="12">
        <v>46269</v>
      </c>
      <c r="B5187" s="10">
        <v>20</v>
      </c>
      <c r="Q5187" s="10" t="str">
        <f t="shared" si="81"/>
        <v>Incomplete</v>
      </c>
    </row>
    <row r="5188" spans="1:17">
      <c r="A5188" s="12">
        <v>46269</v>
      </c>
      <c r="B5188" s="10">
        <v>21</v>
      </c>
      <c r="Q5188" s="10" t="str">
        <f t="shared" si="81"/>
        <v>Incomplete</v>
      </c>
    </row>
    <row r="5189" spans="1:17">
      <c r="A5189" s="12">
        <v>46270</v>
      </c>
      <c r="B5189" s="10">
        <v>1</v>
      </c>
      <c r="Q5189" s="10" t="str">
        <f t="shared" si="81"/>
        <v>Incomplete</v>
      </c>
    </row>
    <row r="5190" spans="1:17">
      <c r="A5190" s="12">
        <v>46270</v>
      </c>
      <c r="B5190" s="10">
        <v>2</v>
      </c>
      <c r="Q5190" s="10" t="str">
        <f t="shared" si="81"/>
        <v>Incomplete</v>
      </c>
    </row>
    <row r="5191" spans="1:17">
      <c r="A5191" s="12">
        <v>46270</v>
      </c>
      <c r="B5191" s="10">
        <v>3</v>
      </c>
      <c r="Q5191" s="10" t="str">
        <f t="shared" si="81"/>
        <v>Incomplete</v>
      </c>
    </row>
    <row r="5192" spans="1:17">
      <c r="A5192" s="12">
        <v>46270</v>
      </c>
      <c r="B5192" s="10">
        <v>4</v>
      </c>
      <c r="Q5192" s="10" t="str">
        <f t="shared" si="81"/>
        <v>Incomplete</v>
      </c>
    </row>
    <row r="5193" spans="1:17">
      <c r="A5193" s="12">
        <v>46270</v>
      </c>
      <c r="B5193" s="10">
        <v>5</v>
      </c>
      <c r="Q5193" s="10" t="str">
        <f t="shared" si="81"/>
        <v>Incomplete</v>
      </c>
    </row>
    <row r="5194" spans="1:17">
      <c r="A5194" s="12">
        <v>46270</v>
      </c>
      <c r="B5194" s="10">
        <v>6</v>
      </c>
      <c r="Q5194" s="10" t="str">
        <f t="shared" si="81"/>
        <v>Incomplete</v>
      </c>
    </row>
    <row r="5195" spans="1:17">
      <c r="A5195" s="12">
        <v>46270</v>
      </c>
      <c r="B5195" s="10">
        <v>7</v>
      </c>
      <c r="Q5195" s="10" t="str">
        <f t="shared" si="81"/>
        <v>Incomplete</v>
      </c>
    </row>
    <row r="5196" spans="1:17">
      <c r="A5196" s="12">
        <v>46270</v>
      </c>
      <c r="B5196" s="10">
        <v>8</v>
      </c>
      <c r="Q5196" s="10" t="str">
        <f t="shared" si="81"/>
        <v>Incomplete</v>
      </c>
    </row>
    <row r="5197" spans="1:17">
      <c r="A5197" s="12">
        <v>46270</v>
      </c>
      <c r="B5197" s="10">
        <v>9</v>
      </c>
      <c r="Q5197" s="10" t="str">
        <f t="shared" si="81"/>
        <v>Incomplete</v>
      </c>
    </row>
    <row r="5198" spans="1:17">
      <c r="A5198" s="12">
        <v>46270</v>
      </c>
      <c r="B5198" s="10">
        <v>10</v>
      </c>
      <c r="Q5198" s="10" t="str">
        <f t="shared" si="81"/>
        <v>Incomplete</v>
      </c>
    </row>
    <row r="5199" spans="1:17">
      <c r="A5199" s="12">
        <v>46270</v>
      </c>
      <c r="B5199" s="10">
        <v>11</v>
      </c>
      <c r="Q5199" s="10" t="str">
        <f t="shared" si="81"/>
        <v>Incomplete</v>
      </c>
    </row>
    <row r="5200" spans="1:17">
      <c r="A5200" s="12">
        <v>46270</v>
      </c>
      <c r="B5200" s="10">
        <v>12</v>
      </c>
      <c r="Q5200" s="10" t="str">
        <f t="shared" si="81"/>
        <v>Incomplete</v>
      </c>
    </row>
    <row r="5201" spans="1:17">
      <c r="A5201" s="12">
        <v>46270</v>
      </c>
      <c r="B5201" s="10">
        <v>13</v>
      </c>
      <c r="Q5201" s="10" t="str">
        <f t="shared" si="81"/>
        <v>Incomplete</v>
      </c>
    </row>
    <row r="5202" spans="1:17">
      <c r="A5202" s="12">
        <v>46270</v>
      </c>
      <c r="B5202" s="10">
        <v>14</v>
      </c>
      <c r="Q5202" s="10" t="str">
        <f t="shared" si="81"/>
        <v>Incomplete</v>
      </c>
    </row>
    <row r="5203" spans="1:17">
      <c r="A5203" s="12">
        <v>46270</v>
      </c>
      <c r="B5203" s="10">
        <v>15</v>
      </c>
      <c r="Q5203" s="10" t="str">
        <f t="shared" si="81"/>
        <v>Incomplete</v>
      </c>
    </row>
    <row r="5204" spans="1:17">
      <c r="A5204" s="12">
        <v>46270</v>
      </c>
      <c r="B5204" s="10">
        <v>16</v>
      </c>
      <c r="Q5204" s="10" t="str">
        <f t="shared" si="81"/>
        <v>Incomplete</v>
      </c>
    </row>
    <row r="5205" spans="1:17">
      <c r="A5205" s="12">
        <v>46270</v>
      </c>
      <c r="B5205" s="10">
        <v>17</v>
      </c>
      <c r="Q5205" s="10" t="str">
        <f t="shared" si="81"/>
        <v>Incomplete</v>
      </c>
    </row>
    <row r="5206" spans="1:17">
      <c r="A5206" s="12">
        <v>46270</v>
      </c>
      <c r="B5206" s="10">
        <v>18</v>
      </c>
      <c r="Q5206" s="10" t="str">
        <f t="shared" si="81"/>
        <v>Incomplete</v>
      </c>
    </row>
    <row r="5207" spans="1:17">
      <c r="A5207" s="12">
        <v>46270</v>
      </c>
      <c r="B5207" s="10">
        <v>19</v>
      </c>
      <c r="Q5207" s="10" t="str">
        <f t="shared" si="81"/>
        <v>Incomplete</v>
      </c>
    </row>
    <row r="5208" spans="1:17">
      <c r="A5208" s="12">
        <v>46270</v>
      </c>
      <c r="B5208" s="10">
        <v>20</v>
      </c>
      <c r="Q5208" s="10" t="str">
        <f t="shared" si="81"/>
        <v>Incomplete</v>
      </c>
    </row>
    <row r="5209" spans="1:17">
      <c r="A5209" s="12">
        <v>46270</v>
      </c>
      <c r="B5209" s="10">
        <v>21</v>
      </c>
      <c r="Q5209" s="10" t="str">
        <f t="shared" si="81"/>
        <v>Incomplete</v>
      </c>
    </row>
    <row r="5210" spans="1:17">
      <c r="A5210" s="12">
        <v>46271</v>
      </c>
      <c r="B5210" s="10">
        <v>1</v>
      </c>
      <c r="Q5210" s="10" t="str">
        <f t="shared" si="81"/>
        <v>Incomplete</v>
      </c>
    </row>
    <row r="5211" spans="1:17">
      <c r="A5211" s="12">
        <v>46271</v>
      </c>
      <c r="B5211" s="10">
        <v>2</v>
      </c>
      <c r="Q5211" s="10" t="str">
        <f t="shared" si="81"/>
        <v>Incomplete</v>
      </c>
    </row>
    <row r="5212" spans="1:17">
      <c r="A5212" s="12">
        <v>46271</v>
      </c>
      <c r="B5212" s="10">
        <v>3</v>
      </c>
      <c r="Q5212" s="10" t="str">
        <f t="shared" si="81"/>
        <v>Incomplete</v>
      </c>
    </row>
    <row r="5213" spans="1:17">
      <c r="A5213" s="12">
        <v>46271</v>
      </c>
      <c r="B5213" s="10">
        <v>4</v>
      </c>
      <c r="Q5213" s="10" t="str">
        <f t="shared" si="81"/>
        <v>Incomplete</v>
      </c>
    </row>
    <row r="5214" spans="1:17">
      <c r="A5214" s="12">
        <v>46271</v>
      </c>
      <c r="B5214" s="10">
        <v>5</v>
      </c>
      <c r="Q5214" s="10" t="str">
        <f t="shared" si="81"/>
        <v>Incomplete</v>
      </c>
    </row>
    <row r="5215" spans="1:17">
      <c r="A5215" s="12">
        <v>46271</v>
      </c>
      <c r="B5215" s="10">
        <v>6</v>
      </c>
      <c r="Q5215" s="10" t="str">
        <f t="shared" si="81"/>
        <v>Incomplete</v>
      </c>
    </row>
    <row r="5216" spans="1:17">
      <c r="A5216" s="12">
        <v>46271</v>
      </c>
      <c r="B5216" s="10">
        <v>7</v>
      </c>
      <c r="Q5216" s="10" t="str">
        <f t="shared" si="81"/>
        <v>Incomplete</v>
      </c>
    </row>
    <row r="5217" spans="1:17">
      <c r="A5217" s="12">
        <v>46271</v>
      </c>
      <c r="B5217" s="10">
        <v>8</v>
      </c>
      <c r="Q5217" s="10" t="str">
        <f t="shared" si="81"/>
        <v>Incomplete</v>
      </c>
    </row>
    <row r="5218" spans="1:17">
      <c r="A5218" s="12">
        <v>46271</v>
      </c>
      <c r="B5218" s="10">
        <v>9</v>
      </c>
      <c r="Q5218" s="10" t="str">
        <f t="shared" si="81"/>
        <v>Incomplete</v>
      </c>
    </row>
    <row r="5219" spans="1:17">
      <c r="A5219" s="12">
        <v>46271</v>
      </c>
      <c r="B5219" s="10">
        <v>10</v>
      </c>
      <c r="Q5219" s="10" t="str">
        <f t="shared" si="81"/>
        <v>Incomplete</v>
      </c>
    </row>
    <row r="5220" spans="1:17">
      <c r="A5220" s="12">
        <v>46271</v>
      </c>
      <c r="B5220" s="10">
        <v>11</v>
      </c>
      <c r="Q5220" s="10" t="str">
        <f t="shared" si="81"/>
        <v>Incomplete</v>
      </c>
    </row>
    <row r="5221" spans="1:17">
      <c r="A5221" s="12">
        <v>46271</v>
      </c>
      <c r="B5221" s="10">
        <v>12</v>
      </c>
      <c r="Q5221" s="10" t="str">
        <f t="shared" si="81"/>
        <v>Incomplete</v>
      </c>
    </row>
    <row r="5222" spans="1:17">
      <c r="A5222" s="12">
        <v>46271</v>
      </c>
      <c r="B5222" s="10">
        <v>13</v>
      </c>
      <c r="Q5222" s="10" t="str">
        <f t="shared" si="81"/>
        <v>Incomplete</v>
      </c>
    </row>
    <row r="5223" spans="1:17">
      <c r="A5223" s="12">
        <v>46271</v>
      </c>
      <c r="B5223" s="10">
        <v>14</v>
      </c>
      <c r="Q5223" s="10" t="str">
        <f t="shared" si="81"/>
        <v>Incomplete</v>
      </c>
    </row>
    <row r="5224" spans="1:17">
      <c r="A5224" s="12">
        <v>46271</v>
      </c>
      <c r="B5224" s="10">
        <v>15</v>
      </c>
      <c r="Q5224" s="10" t="str">
        <f t="shared" si="81"/>
        <v>Incomplete</v>
      </c>
    </row>
    <row r="5225" spans="1:17">
      <c r="A5225" s="12">
        <v>46271</v>
      </c>
      <c r="B5225" s="10">
        <v>16</v>
      </c>
      <c r="Q5225" s="10" t="str">
        <f t="shared" si="81"/>
        <v>Incomplete</v>
      </c>
    </row>
    <row r="5226" spans="1:17">
      <c r="A5226" s="12">
        <v>46271</v>
      </c>
      <c r="B5226" s="10">
        <v>17</v>
      </c>
      <c r="Q5226" s="10" t="str">
        <f t="shared" si="81"/>
        <v>Incomplete</v>
      </c>
    </row>
    <row r="5227" spans="1:17">
      <c r="A5227" s="12">
        <v>46271</v>
      </c>
      <c r="B5227" s="10">
        <v>18</v>
      </c>
      <c r="Q5227" s="10" t="str">
        <f t="shared" si="81"/>
        <v>Incomplete</v>
      </c>
    </row>
    <row r="5228" spans="1:17">
      <c r="A5228" s="12">
        <v>46271</v>
      </c>
      <c r="B5228" s="10">
        <v>19</v>
      </c>
      <c r="Q5228" s="10" t="str">
        <f t="shared" si="81"/>
        <v>Incomplete</v>
      </c>
    </row>
    <row r="5229" spans="1:17">
      <c r="A5229" s="12">
        <v>46271</v>
      </c>
      <c r="B5229" s="10">
        <v>20</v>
      </c>
      <c r="Q5229" s="10" t="str">
        <f t="shared" si="81"/>
        <v>Incomplete</v>
      </c>
    </row>
    <row r="5230" spans="1:17">
      <c r="A5230" s="12">
        <v>46271</v>
      </c>
      <c r="B5230" s="10">
        <v>21</v>
      </c>
      <c r="Q5230" s="10" t="str">
        <f t="shared" si="81"/>
        <v>Incomplete</v>
      </c>
    </row>
    <row r="5231" spans="1:17">
      <c r="A5231" s="12">
        <v>46272</v>
      </c>
      <c r="B5231" s="10">
        <v>1</v>
      </c>
      <c r="Q5231" s="10" t="str">
        <f t="shared" si="81"/>
        <v>Incomplete</v>
      </c>
    </row>
    <row r="5232" spans="1:17">
      <c r="A5232" s="12">
        <v>46272</v>
      </c>
      <c r="B5232" s="10">
        <v>2</v>
      </c>
      <c r="Q5232" s="10" t="str">
        <f t="shared" si="81"/>
        <v>Incomplete</v>
      </c>
    </row>
    <row r="5233" spans="1:17">
      <c r="A5233" s="12">
        <v>46272</v>
      </c>
      <c r="B5233" s="10">
        <v>3</v>
      </c>
      <c r="Q5233" s="10" t="str">
        <f t="shared" si="81"/>
        <v>Incomplete</v>
      </c>
    </row>
    <row r="5234" spans="1:17">
      <c r="A5234" s="12">
        <v>46272</v>
      </c>
      <c r="B5234" s="10">
        <v>4</v>
      </c>
      <c r="Q5234" s="10" t="str">
        <f t="shared" si="81"/>
        <v>Incomplete</v>
      </c>
    </row>
    <row r="5235" spans="1:17">
      <c r="A5235" s="12">
        <v>46272</v>
      </c>
      <c r="B5235" s="10">
        <v>5</v>
      </c>
      <c r="Q5235" s="10" t="str">
        <f t="shared" si="81"/>
        <v>Incomplete</v>
      </c>
    </row>
    <row r="5236" spans="1:17">
      <c r="A5236" s="12">
        <v>46272</v>
      </c>
      <c r="B5236" s="10">
        <v>6</v>
      </c>
      <c r="Q5236" s="10" t="str">
        <f t="shared" si="81"/>
        <v>Incomplete</v>
      </c>
    </row>
    <row r="5237" spans="1:17">
      <c r="A5237" s="12">
        <v>46272</v>
      </c>
      <c r="B5237" s="10">
        <v>7</v>
      </c>
      <c r="Q5237" s="10" t="str">
        <f t="shared" si="81"/>
        <v>Incomplete</v>
      </c>
    </row>
    <row r="5238" spans="1:17">
      <c r="A5238" s="12">
        <v>46272</v>
      </c>
      <c r="B5238" s="10">
        <v>8</v>
      </c>
      <c r="Q5238" s="10" t="str">
        <f t="shared" si="81"/>
        <v>Incomplete</v>
      </c>
    </row>
    <row r="5239" spans="1:17">
      <c r="A5239" s="12">
        <v>46272</v>
      </c>
      <c r="B5239" s="10">
        <v>9</v>
      </c>
      <c r="Q5239" s="10" t="str">
        <f t="shared" si="81"/>
        <v>Incomplete</v>
      </c>
    </row>
    <row r="5240" spans="1:17">
      <c r="A5240" s="12">
        <v>46272</v>
      </c>
      <c r="B5240" s="10">
        <v>10</v>
      </c>
      <c r="Q5240" s="10" t="str">
        <f t="shared" si="81"/>
        <v>Incomplete</v>
      </c>
    </row>
    <row r="5241" spans="1:17">
      <c r="A5241" s="12">
        <v>46272</v>
      </c>
      <c r="B5241" s="10">
        <v>11</v>
      </c>
      <c r="Q5241" s="10" t="str">
        <f t="shared" si="81"/>
        <v>Incomplete</v>
      </c>
    </row>
    <row r="5242" spans="1:17">
      <c r="A5242" s="12">
        <v>46272</v>
      </c>
      <c r="B5242" s="10">
        <v>12</v>
      </c>
      <c r="Q5242" s="10" t="str">
        <f t="shared" si="81"/>
        <v>Incomplete</v>
      </c>
    </row>
    <row r="5243" spans="1:17">
      <c r="A5243" s="12">
        <v>46272</v>
      </c>
      <c r="B5243" s="10">
        <v>13</v>
      </c>
      <c r="Q5243" s="10" t="str">
        <f t="shared" si="81"/>
        <v>Incomplete</v>
      </c>
    </row>
    <row r="5244" spans="1:17">
      <c r="A5244" s="12">
        <v>46272</v>
      </c>
      <c r="B5244" s="10">
        <v>14</v>
      </c>
      <c r="Q5244" s="10" t="str">
        <f t="shared" si="81"/>
        <v>Incomplete</v>
      </c>
    </row>
    <row r="5245" spans="1:17">
      <c r="A5245" s="12">
        <v>46272</v>
      </c>
      <c r="B5245" s="10">
        <v>15</v>
      </c>
      <c r="Q5245" s="10" t="str">
        <f t="shared" si="81"/>
        <v>Incomplete</v>
      </c>
    </row>
    <row r="5246" spans="1:17">
      <c r="A5246" s="12">
        <v>46272</v>
      </c>
      <c r="B5246" s="10">
        <v>16</v>
      </c>
      <c r="Q5246" s="10" t="str">
        <f t="shared" si="81"/>
        <v>Incomplete</v>
      </c>
    </row>
    <row r="5247" spans="1:17">
      <c r="A5247" s="12">
        <v>46272</v>
      </c>
      <c r="B5247" s="10">
        <v>17</v>
      </c>
      <c r="Q5247" s="10" t="str">
        <f t="shared" si="81"/>
        <v>Incomplete</v>
      </c>
    </row>
    <row r="5248" spans="1:17">
      <c r="A5248" s="12">
        <v>46272</v>
      </c>
      <c r="B5248" s="10">
        <v>18</v>
      </c>
      <c r="Q5248" s="10" t="str">
        <f t="shared" si="81"/>
        <v>Incomplete</v>
      </c>
    </row>
    <row r="5249" spans="1:17">
      <c r="A5249" s="12">
        <v>46272</v>
      </c>
      <c r="B5249" s="10">
        <v>19</v>
      </c>
      <c r="Q5249" s="10" t="str">
        <f t="shared" si="81"/>
        <v>Incomplete</v>
      </c>
    </row>
    <row r="5250" spans="1:17">
      <c r="A5250" s="12">
        <v>46272</v>
      </c>
      <c r="B5250" s="10">
        <v>20</v>
      </c>
      <c r="Q5250" s="10" t="str">
        <f t="shared" ref="Q5250:Q5313" si="82">IF(AND(C5250&lt;&gt;"",J5250&lt;&gt;"",K5250&lt;&gt;"",L5250&lt;&gt;"",O5250="Yes"),"Complete","Incomplete")</f>
        <v>Incomplete</v>
      </c>
    </row>
    <row r="5251" spans="1:17">
      <c r="A5251" s="12">
        <v>46272</v>
      </c>
      <c r="B5251" s="10">
        <v>21</v>
      </c>
      <c r="Q5251" s="10" t="str">
        <f t="shared" si="82"/>
        <v>Incomplete</v>
      </c>
    </row>
    <row r="5252" spans="1:17">
      <c r="A5252" s="12">
        <v>46273</v>
      </c>
      <c r="B5252" s="10">
        <v>1</v>
      </c>
      <c r="Q5252" s="10" t="str">
        <f t="shared" si="82"/>
        <v>Incomplete</v>
      </c>
    </row>
    <row r="5253" spans="1:17">
      <c r="A5253" s="12">
        <v>46273</v>
      </c>
      <c r="B5253" s="10">
        <v>2</v>
      </c>
      <c r="Q5253" s="10" t="str">
        <f t="shared" si="82"/>
        <v>Incomplete</v>
      </c>
    </row>
    <row r="5254" spans="1:17">
      <c r="A5254" s="12">
        <v>46273</v>
      </c>
      <c r="B5254" s="10">
        <v>3</v>
      </c>
      <c r="Q5254" s="10" t="str">
        <f t="shared" si="82"/>
        <v>Incomplete</v>
      </c>
    </row>
    <row r="5255" spans="1:17">
      <c r="A5255" s="12">
        <v>46273</v>
      </c>
      <c r="B5255" s="10">
        <v>4</v>
      </c>
      <c r="Q5255" s="10" t="str">
        <f t="shared" si="82"/>
        <v>Incomplete</v>
      </c>
    </row>
    <row r="5256" spans="1:17">
      <c r="A5256" s="12">
        <v>46273</v>
      </c>
      <c r="B5256" s="10">
        <v>5</v>
      </c>
      <c r="Q5256" s="10" t="str">
        <f t="shared" si="82"/>
        <v>Incomplete</v>
      </c>
    </row>
    <row r="5257" spans="1:17">
      <c r="A5257" s="12">
        <v>46273</v>
      </c>
      <c r="B5257" s="10">
        <v>6</v>
      </c>
      <c r="Q5257" s="10" t="str">
        <f t="shared" si="82"/>
        <v>Incomplete</v>
      </c>
    </row>
    <row r="5258" spans="1:17">
      <c r="A5258" s="12">
        <v>46273</v>
      </c>
      <c r="B5258" s="10">
        <v>7</v>
      </c>
      <c r="Q5258" s="10" t="str">
        <f t="shared" si="82"/>
        <v>Incomplete</v>
      </c>
    </row>
    <row r="5259" spans="1:17">
      <c r="A5259" s="12">
        <v>46273</v>
      </c>
      <c r="B5259" s="10">
        <v>8</v>
      </c>
      <c r="Q5259" s="10" t="str">
        <f t="shared" si="82"/>
        <v>Incomplete</v>
      </c>
    </row>
    <row r="5260" spans="1:17">
      <c r="A5260" s="12">
        <v>46273</v>
      </c>
      <c r="B5260" s="10">
        <v>9</v>
      </c>
      <c r="Q5260" s="10" t="str">
        <f t="shared" si="82"/>
        <v>Incomplete</v>
      </c>
    </row>
    <row r="5261" spans="1:17">
      <c r="A5261" s="12">
        <v>46273</v>
      </c>
      <c r="B5261" s="10">
        <v>10</v>
      </c>
      <c r="Q5261" s="10" t="str">
        <f t="shared" si="82"/>
        <v>Incomplete</v>
      </c>
    </row>
    <row r="5262" spans="1:17">
      <c r="A5262" s="12">
        <v>46273</v>
      </c>
      <c r="B5262" s="10">
        <v>11</v>
      </c>
      <c r="Q5262" s="10" t="str">
        <f t="shared" si="82"/>
        <v>Incomplete</v>
      </c>
    </row>
    <row r="5263" spans="1:17">
      <c r="A5263" s="12">
        <v>46273</v>
      </c>
      <c r="B5263" s="10">
        <v>12</v>
      </c>
      <c r="Q5263" s="10" t="str">
        <f t="shared" si="82"/>
        <v>Incomplete</v>
      </c>
    </row>
    <row r="5264" spans="1:17">
      <c r="A5264" s="12">
        <v>46273</v>
      </c>
      <c r="B5264" s="10">
        <v>13</v>
      </c>
      <c r="Q5264" s="10" t="str">
        <f t="shared" si="82"/>
        <v>Incomplete</v>
      </c>
    </row>
    <row r="5265" spans="1:17">
      <c r="A5265" s="12">
        <v>46273</v>
      </c>
      <c r="B5265" s="10">
        <v>14</v>
      </c>
      <c r="Q5265" s="10" t="str">
        <f t="shared" si="82"/>
        <v>Incomplete</v>
      </c>
    </row>
    <row r="5266" spans="1:17">
      <c r="A5266" s="12">
        <v>46273</v>
      </c>
      <c r="B5266" s="10">
        <v>15</v>
      </c>
      <c r="Q5266" s="10" t="str">
        <f t="shared" si="82"/>
        <v>Incomplete</v>
      </c>
    </row>
    <row r="5267" spans="1:17">
      <c r="A5267" s="12">
        <v>46273</v>
      </c>
      <c r="B5267" s="10">
        <v>16</v>
      </c>
      <c r="Q5267" s="10" t="str">
        <f t="shared" si="82"/>
        <v>Incomplete</v>
      </c>
    </row>
    <row r="5268" spans="1:17">
      <c r="A5268" s="12">
        <v>46273</v>
      </c>
      <c r="B5268" s="10">
        <v>17</v>
      </c>
      <c r="Q5268" s="10" t="str">
        <f t="shared" si="82"/>
        <v>Incomplete</v>
      </c>
    </row>
    <row r="5269" spans="1:17">
      <c r="A5269" s="12">
        <v>46273</v>
      </c>
      <c r="B5269" s="10">
        <v>18</v>
      </c>
      <c r="Q5269" s="10" t="str">
        <f t="shared" si="82"/>
        <v>Incomplete</v>
      </c>
    </row>
    <row r="5270" spans="1:17">
      <c r="A5270" s="12">
        <v>46273</v>
      </c>
      <c r="B5270" s="10">
        <v>19</v>
      </c>
      <c r="Q5270" s="10" t="str">
        <f t="shared" si="82"/>
        <v>Incomplete</v>
      </c>
    </row>
    <row r="5271" spans="1:17">
      <c r="A5271" s="12">
        <v>46273</v>
      </c>
      <c r="B5271" s="10">
        <v>20</v>
      </c>
      <c r="Q5271" s="10" t="str">
        <f t="shared" si="82"/>
        <v>Incomplete</v>
      </c>
    </row>
    <row r="5272" spans="1:17">
      <c r="A5272" s="12">
        <v>46273</v>
      </c>
      <c r="B5272" s="10">
        <v>21</v>
      </c>
      <c r="Q5272" s="10" t="str">
        <f t="shared" si="82"/>
        <v>Incomplete</v>
      </c>
    </row>
    <row r="5273" spans="1:17">
      <c r="A5273" s="12">
        <v>46274</v>
      </c>
      <c r="B5273" s="10">
        <v>1</v>
      </c>
      <c r="Q5273" s="10" t="str">
        <f t="shared" si="82"/>
        <v>Incomplete</v>
      </c>
    </row>
    <row r="5274" spans="1:17">
      <c r="A5274" s="12">
        <v>46274</v>
      </c>
      <c r="B5274" s="10">
        <v>2</v>
      </c>
      <c r="Q5274" s="10" t="str">
        <f t="shared" si="82"/>
        <v>Incomplete</v>
      </c>
    </row>
    <row r="5275" spans="1:17">
      <c r="A5275" s="12">
        <v>46274</v>
      </c>
      <c r="B5275" s="10">
        <v>3</v>
      </c>
      <c r="Q5275" s="10" t="str">
        <f t="shared" si="82"/>
        <v>Incomplete</v>
      </c>
    </row>
    <row r="5276" spans="1:17">
      <c r="A5276" s="12">
        <v>46274</v>
      </c>
      <c r="B5276" s="10">
        <v>4</v>
      </c>
      <c r="Q5276" s="10" t="str">
        <f t="shared" si="82"/>
        <v>Incomplete</v>
      </c>
    </row>
    <row r="5277" spans="1:17">
      <c r="A5277" s="12">
        <v>46274</v>
      </c>
      <c r="B5277" s="10">
        <v>5</v>
      </c>
      <c r="Q5277" s="10" t="str">
        <f t="shared" si="82"/>
        <v>Incomplete</v>
      </c>
    </row>
    <row r="5278" spans="1:17">
      <c r="A5278" s="12">
        <v>46274</v>
      </c>
      <c r="B5278" s="10">
        <v>6</v>
      </c>
      <c r="Q5278" s="10" t="str">
        <f t="shared" si="82"/>
        <v>Incomplete</v>
      </c>
    </row>
    <row r="5279" spans="1:17">
      <c r="A5279" s="12">
        <v>46274</v>
      </c>
      <c r="B5279" s="10">
        <v>7</v>
      </c>
      <c r="Q5279" s="10" t="str">
        <f t="shared" si="82"/>
        <v>Incomplete</v>
      </c>
    </row>
    <row r="5280" spans="1:17">
      <c r="A5280" s="12">
        <v>46274</v>
      </c>
      <c r="B5280" s="10">
        <v>8</v>
      </c>
      <c r="Q5280" s="10" t="str">
        <f t="shared" si="82"/>
        <v>Incomplete</v>
      </c>
    </row>
    <row r="5281" spans="1:17">
      <c r="A5281" s="12">
        <v>46274</v>
      </c>
      <c r="B5281" s="10">
        <v>9</v>
      </c>
      <c r="Q5281" s="10" t="str">
        <f t="shared" si="82"/>
        <v>Incomplete</v>
      </c>
    </row>
    <row r="5282" spans="1:17">
      <c r="A5282" s="12">
        <v>46274</v>
      </c>
      <c r="B5282" s="10">
        <v>10</v>
      </c>
      <c r="Q5282" s="10" t="str">
        <f t="shared" si="82"/>
        <v>Incomplete</v>
      </c>
    </row>
    <row r="5283" spans="1:17">
      <c r="A5283" s="12">
        <v>46274</v>
      </c>
      <c r="B5283" s="10">
        <v>11</v>
      </c>
      <c r="Q5283" s="10" t="str">
        <f t="shared" si="82"/>
        <v>Incomplete</v>
      </c>
    </row>
    <row r="5284" spans="1:17">
      <c r="A5284" s="12">
        <v>46274</v>
      </c>
      <c r="B5284" s="10">
        <v>12</v>
      </c>
      <c r="Q5284" s="10" t="str">
        <f t="shared" si="82"/>
        <v>Incomplete</v>
      </c>
    </row>
    <row r="5285" spans="1:17">
      <c r="A5285" s="12">
        <v>46274</v>
      </c>
      <c r="B5285" s="10">
        <v>13</v>
      </c>
      <c r="Q5285" s="10" t="str">
        <f t="shared" si="82"/>
        <v>Incomplete</v>
      </c>
    </row>
    <row r="5286" spans="1:17">
      <c r="A5286" s="12">
        <v>46274</v>
      </c>
      <c r="B5286" s="10">
        <v>14</v>
      </c>
      <c r="Q5286" s="10" t="str">
        <f t="shared" si="82"/>
        <v>Incomplete</v>
      </c>
    </row>
    <row r="5287" spans="1:17">
      <c r="A5287" s="12">
        <v>46274</v>
      </c>
      <c r="B5287" s="10">
        <v>15</v>
      </c>
      <c r="Q5287" s="10" t="str">
        <f t="shared" si="82"/>
        <v>Incomplete</v>
      </c>
    </row>
    <row r="5288" spans="1:17">
      <c r="A5288" s="12">
        <v>46274</v>
      </c>
      <c r="B5288" s="10">
        <v>16</v>
      </c>
      <c r="Q5288" s="10" t="str">
        <f t="shared" si="82"/>
        <v>Incomplete</v>
      </c>
    </row>
    <row r="5289" spans="1:17">
      <c r="A5289" s="12">
        <v>46274</v>
      </c>
      <c r="B5289" s="10">
        <v>17</v>
      </c>
      <c r="Q5289" s="10" t="str">
        <f t="shared" si="82"/>
        <v>Incomplete</v>
      </c>
    </row>
    <row r="5290" spans="1:17">
      <c r="A5290" s="12">
        <v>46274</v>
      </c>
      <c r="B5290" s="10">
        <v>18</v>
      </c>
      <c r="Q5290" s="10" t="str">
        <f t="shared" si="82"/>
        <v>Incomplete</v>
      </c>
    </row>
    <row r="5291" spans="1:17">
      <c r="A5291" s="12">
        <v>46274</v>
      </c>
      <c r="B5291" s="10">
        <v>19</v>
      </c>
      <c r="Q5291" s="10" t="str">
        <f t="shared" si="82"/>
        <v>Incomplete</v>
      </c>
    </row>
    <row r="5292" spans="1:17">
      <c r="A5292" s="12">
        <v>46274</v>
      </c>
      <c r="B5292" s="10">
        <v>20</v>
      </c>
      <c r="Q5292" s="10" t="str">
        <f t="shared" si="82"/>
        <v>Incomplete</v>
      </c>
    </row>
    <row r="5293" spans="1:17">
      <c r="A5293" s="12">
        <v>46274</v>
      </c>
      <c r="B5293" s="10">
        <v>21</v>
      </c>
      <c r="Q5293" s="10" t="str">
        <f t="shared" si="82"/>
        <v>Incomplete</v>
      </c>
    </row>
    <row r="5294" spans="1:17">
      <c r="A5294" s="12">
        <v>46275</v>
      </c>
      <c r="B5294" s="10">
        <v>1</v>
      </c>
      <c r="Q5294" s="10" t="str">
        <f t="shared" si="82"/>
        <v>Incomplete</v>
      </c>
    </row>
    <row r="5295" spans="1:17">
      <c r="A5295" s="12">
        <v>46275</v>
      </c>
      <c r="B5295" s="10">
        <v>2</v>
      </c>
      <c r="Q5295" s="10" t="str">
        <f t="shared" si="82"/>
        <v>Incomplete</v>
      </c>
    </row>
    <row r="5296" spans="1:17">
      <c r="A5296" s="12">
        <v>46275</v>
      </c>
      <c r="B5296" s="10">
        <v>3</v>
      </c>
      <c r="Q5296" s="10" t="str">
        <f t="shared" si="82"/>
        <v>Incomplete</v>
      </c>
    </row>
    <row r="5297" spans="1:17">
      <c r="A5297" s="12">
        <v>46275</v>
      </c>
      <c r="B5297" s="10">
        <v>4</v>
      </c>
      <c r="Q5297" s="10" t="str">
        <f t="shared" si="82"/>
        <v>Incomplete</v>
      </c>
    </row>
    <row r="5298" spans="1:17">
      <c r="A5298" s="12">
        <v>46275</v>
      </c>
      <c r="B5298" s="10">
        <v>5</v>
      </c>
      <c r="Q5298" s="10" t="str">
        <f t="shared" si="82"/>
        <v>Incomplete</v>
      </c>
    </row>
    <row r="5299" spans="1:17">
      <c r="A5299" s="12">
        <v>46275</v>
      </c>
      <c r="B5299" s="10">
        <v>6</v>
      </c>
      <c r="Q5299" s="10" t="str">
        <f t="shared" si="82"/>
        <v>Incomplete</v>
      </c>
    </row>
    <row r="5300" spans="1:17">
      <c r="A5300" s="12">
        <v>46275</v>
      </c>
      <c r="B5300" s="10">
        <v>7</v>
      </c>
      <c r="Q5300" s="10" t="str">
        <f t="shared" si="82"/>
        <v>Incomplete</v>
      </c>
    </row>
    <row r="5301" spans="1:17">
      <c r="A5301" s="12">
        <v>46275</v>
      </c>
      <c r="B5301" s="10">
        <v>8</v>
      </c>
      <c r="Q5301" s="10" t="str">
        <f t="shared" si="82"/>
        <v>Incomplete</v>
      </c>
    </row>
    <row r="5302" spans="1:17">
      <c r="A5302" s="12">
        <v>46275</v>
      </c>
      <c r="B5302" s="10">
        <v>9</v>
      </c>
      <c r="Q5302" s="10" t="str">
        <f t="shared" si="82"/>
        <v>Incomplete</v>
      </c>
    </row>
    <row r="5303" spans="1:17">
      <c r="A5303" s="12">
        <v>46275</v>
      </c>
      <c r="B5303" s="10">
        <v>10</v>
      </c>
      <c r="Q5303" s="10" t="str">
        <f t="shared" si="82"/>
        <v>Incomplete</v>
      </c>
    </row>
    <row r="5304" spans="1:17">
      <c r="A5304" s="12">
        <v>46275</v>
      </c>
      <c r="B5304" s="10">
        <v>11</v>
      </c>
      <c r="Q5304" s="10" t="str">
        <f t="shared" si="82"/>
        <v>Incomplete</v>
      </c>
    </row>
    <row r="5305" spans="1:17">
      <c r="A5305" s="12">
        <v>46275</v>
      </c>
      <c r="B5305" s="10">
        <v>12</v>
      </c>
      <c r="Q5305" s="10" t="str">
        <f t="shared" si="82"/>
        <v>Incomplete</v>
      </c>
    </row>
    <row r="5306" spans="1:17">
      <c r="A5306" s="12">
        <v>46275</v>
      </c>
      <c r="B5306" s="10">
        <v>13</v>
      </c>
      <c r="Q5306" s="10" t="str">
        <f t="shared" si="82"/>
        <v>Incomplete</v>
      </c>
    </row>
    <row r="5307" spans="1:17">
      <c r="A5307" s="12">
        <v>46275</v>
      </c>
      <c r="B5307" s="10">
        <v>14</v>
      </c>
      <c r="Q5307" s="10" t="str">
        <f t="shared" si="82"/>
        <v>Incomplete</v>
      </c>
    </row>
    <row r="5308" spans="1:17">
      <c r="A5308" s="12">
        <v>46275</v>
      </c>
      <c r="B5308" s="10">
        <v>15</v>
      </c>
      <c r="Q5308" s="10" t="str">
        <f t="shared" si="82"/>
        <v>Incomplete</v>
      </c>
    </row>
    <row r="5309" spans="1:17">
      <c r="A5309" s="12">
        <v>46275</v>
      </c>
      <c r="B5309" s="10">
        <v>16</v>
      </c>
      <c r="Q5309" s="10" t="str">
        <f t="shared" si="82"/>
        <v>Incomplete</v>
      </c>
    </row>
    <row r="5310" spans="1:17">
      <c r="A5310" s="12">
        <v>46275</v>
      </c>
      <c r="B5310" s="10">
        <v>17</v>
      </c>
      <c r="Q5310" s="10" t="str">
        <f t="shared" si="82"/>
        <v>Incomplete</v>
      </c>
    </row>
    <row r="5311" spans="1:17">
      <c r="A5311" s="12">
        <v>46275</v>
      </c>
      <c r="B5311" s="10">
        <v>18</v>
      </c>
      <c r="Q5311" s="10" t="str">
        <f t="shared" si="82"/>
        <v>Incomplete</v>
      </c>
    </row>
    <row r="5312" spans="1:17">
      <c r="A5312" s="12">
        <v>46275</v>
      </c>
      <c r="B5312" s="10">
        <v>19</v>
      </c>
      <c r="Q5312" s="10" t="str">
        <f t="shared" si="82"/>
        <v>Incomplete</v>
      </c>
    </row>
    <row r="5313" spans="1:17">
      <c r="A5313" s="12">
        <v>46275</v>
      </c>
      <c r="B5313" s="10">
        <v>20</v>
      </c>
      <c r="Q5313" s="10" t="str">
        <f t="shared" si="82"/>
        <v>Incomplete</v>
      </c>
    </row>
    <row r="5314" spans="1:17">
      <c r="A5314" s="12">
        <v>46275</v>
      </c>
      <c r="B5314" s="10">
        <v>21</v>
      </c>
      <c r="Q5314" s="10" t="str">
        <f t="shared" ref="Q5314:Q5377" si="83">IF(AND(C5314&lt;&gt;"",J5314&lt;&gt;"",K5314&lt;&gt;"",L5314&lt;&gt;"",O5314="Yes"),"Complete","Incomplete")</f>
        <v>Incomplete</v>
      </c>
    </row>
    <row r="5315" spans="1:17">
      <c r="A5315" s="12">
        <v>46276</v>
      </c>
      <c r="B5315" s="10">
        <v>1</v>
      </c>
      <c r="Q5315" s="10" t="str">
        <f t="shared" si="83"/>
        <v>Incomplete</v>
      </c>
    </row>
    <row r="5316" spans="1:17">
      <c r="A5316" s="12">
        <v>46276</v>
      </c>
      <c r="B5316" s="10">
        <v>2</v>
      </c>
      <c r="Q5316" s="10" t="str">
        <f t="shared" si="83"/>
        <v>Incomplete</v>
      </c>
    </row>
    <row r="5317" spans="1:17">
      <c r="A5317" s="12">
        <v>46276</v>
      </c>
      <c r="B5317" s="10">
        <v>3</v>
      </c>
      <c r="Q5317" s="10" t="str">
        <f t="shared" si="83"/>
        <v>Incomplete</v>
      </c>
    </row>
    <row r="5318" spans="1:17">
      <c r="A5318" s="12">
        <v>46276</v>
      </c>
      <c r="B5318" s="10">
        <v>4</v>
      </c>
      <c r="Q5318" s="10" t="str">
        <f t="shared" si="83"/>
        <v>Incomplete</v>
      </c>
    </row>
    <row r="5319" spans="1:17">
      <c r="A5319" s="12">
        <v>46276</v>
      </c>
      <c r="B5319" s="10">
        <v>5</v>
      </c>
      <c r="Q5319" s="10" t="str">
        <f t="shared" si="83"/>
        <v>Incomplete</v>
      </c>
    </row>
    <row r="5320" spans="1:17">
      <c r="A5320" s="12">
        <v>46276</v>
      </c>
      <c r="B5320" s="10">
        <v>6</v>
      </c>
      <c r="Q5320" s="10" t="str">
        <f t="shared" si="83"/>
        <v>Incomplete</v>
      </c>
    </row>
    <row r="5321" spans="1:17">
      <c r="A5321" s="12">
        <v>46276</v>
      </c>
      <c r="B5321" s="10">
        <v>7</v>
      </c>
      <c r="Q5321" s="10" t="str">
        <f t="shared" si="83"/>
        <v>Incomplete</v>
      </c>
    </row>
    <row r="5322" spans="1:17">
      <c r="A5322" s="12">
        <v>46276</v>
      </c>
      <c r="B5322" s="10">
        <v>8</v>
      </c>
      <c r="Q5322" s="10" t="str">
        <f t="shared" si="83"/>
        <v>Incomplete</v>
      </c>
    </row>
    <row r="5323" spans="1:17">
      <c r="A5323" s="12">
        <v>46276</v>
      </c>
      <c r="B5323" s="10">
        <v>9</v>
      </c>
      <c r="Q5323" s="10" t="str">
        <f t="shared" si="83"/>
        <v>Incomplete</v>
      </c>
    </row>
    <row r="5324" spans="1:17">
      <c r="A5324" s="12">
        <v>46276</v>
      </c>
      <c r="B5324" s="10">
        <v>10</v>
      </c>
      <c r="Q5324" s="10" t="str">
        <f t="shared" si="83"/>
        <v>Incomplete</v>
      </c>
    </row>
    <row r="5325" spans="1:17">
      <c r="A5325" s="12">
        <v>46276</v>
      </c>
      <c r="B5325" s="10">
        <v>11</v>
      </c>
      <c r="Q5325" s="10" t="str">
        <f t="shared" si="83"/>
        <v>Incomplete</v>
      </c>
    </row>
    <row r="5326" spans="1:17">
      <c r="A5326" s="12">
        <v>46276</v>
      </c>
      <c r="B5326" s="10">
        <v>12</v>
      </c>
      <c r="Q5326" s="10" t="str">
        <f t="shared" si="83"/>
        <v>Incomplete</v>
      </c>
    </row>
    <row r="5327" spans="1:17">
      <c r="A5327" s="12">
        <v>46276</v>
      </c>
      <c r="B5327" s="10">
        <v>13</v>
      </c>
      <c r="Q5327" s="10" t="str">
        <f t="shared" si="83"/>
        <v>Incomplete</v>
      </c>
    </row>
    <row r="5328" spans="1:17">
      <c r="A5328" s="12">
        <v>46276</v>
      </c>
      <c r="B5328" s="10">
        <v>14</v>
      </c>
      <c r="Q5328" s="10" t="str">
        <f t="shared" si="83"/>
        <v>Incomplete</v>
      </c>
    </row>
    <row r="5329" spans="1:17">
      <c r="A5329" s="12">
        <v>46276</v>
      </c>
      <c r="B5329" s="10">
        <v>15</v>
      </c>
      <c r="Q5329" s="10" t="str">
        <f t="shared" si="83"/>
        <v>Incomplete</v>
      </c>
    </row>
    <row r="5330" spans="1:17">
      <c r="A5330" s="12">
        <v>46276</v>
      </c>
      <c r="B5330" s="10">
        <v>16</v>
      </c>
      <c r="Q5330" s="10" t="str">
        <f t="shared" si="83"/>
        <v>Incomplete</v>
      </c>
    </row>
    <row r="5331" spans="1:17">
      <c r="A5331" s="12">
        <v>46276</v>
      </c>
      <c r="B5331" s="10">
        <v>17</v>
      </c>
      <c r="Q5331" s="10" t="str">
        <f t="shared" si="83"/>
        <v>Incomplete</v>
      </c>
    </row>
    <row r="5332" spans="1:17">
      <c r="A5332" s="12">
        <v>46276</v>
      </c>
      <c r="B5332" s="10">
        <v>18</v>
      </c>
      <c r="Q5332" s="10" t="str">
        <f t="shared" si="83"/>
        <v>Incomplete</v>
      </c>
    </row>
    <row r="5333" spans="1:17">
      <c r="A5333" s="12">
        <v>46276</v>
      </c>
      <c r="B5333" s="10">
        <v>19</v>
      </c>
      <c r="Q5333" s="10" t="str">
        <f t="shared" si="83"/>
        <v>Incomplete</v>
      </c>
    </row>
    <row r="5334" spans="1:17">
      <c r="A5334" s="12">
        <v>46276</v>
      </c>
      <c r="B5334" s="10">
        <v>20</v>
      </c>
      <c r="Q5334" s="10" t="str">
        <f t="shared" si="83"/>
        <v>Incomplete</v>
      </c>
    </row>
    <row r="5335" spans="1:17">
      <c r="A5335" s="12">
        <v>46276</v>
      </c>
      <c r="B5335" s="10">
        <v>21</v>
      </c>
      <c r="Q5335" s="10" t="str">
        <f t="shared" si="83"/>
        <v>Incomplete</v>
      </c>
    </row>
    <row r="5336" spans="1:17">
      <c r="A5336" s="12">
        <v>46277</v>
      </c>
      <c r="B5336" s="10">
        <v>1</v>
      </c>
      <c r="Q5336" s="10" t="str">
        <f t="shared" si="83"/>
        <v>Incomplete</v>
      </c>
    </row>
    <row r="5337" spans="1:17">
      <c r="A5337" s="12">
        <v>46277</v>
      </c>
      <c r="B5337" s="10">
        <v>2</v>
      </c>
      <c r="Q5337" s="10" t="str">
        <f t="shared" si="83"/>
        <v>Incomplete</v>
      </c>
    </row>
    <row r="5338" spans="1:17">
      <c r="A5338" s="12">
        <v>46277</v>
      </c>
      <c r="B5338" s="10">
        <v>3</v>
      </c>
      <c r="Q5338" s="10" t="str">
        <f t="shared" si="83"/>
        <v>Incomplete</v>
      </c>
    </row>
    <row r="5339" spans="1:17">
      <c r="A5339" s="12">
        <v>46277</v>
      </c>
      <c r="B5339" s="10">
        <v>4</v>
      </c>
      <c r="Q5339" s="10" t="str">
        <f t="shared" si="83"/>
        <v>Incomplete</v>
      </c>
    </row>
    <row r="5340" spans="1:17">
      <c r="A5340" s="12">
        <v>46277</v>
      </c>
      <c r="B5340" s="10">
        <v>5</v>
      </c>
      <c r="Q5340" s="10" t="str">
        <f t="shared" si="83"/>
        <v>Incomplete</v>
      </c>
    </row>
    <row r="5341" spans="1:17">
      <c r="A5341" s="12">
        <v>46277</v>
      </c>
      <c r="B5341" s="10">
        <v>6</v>
      </c>
      <c r="Q5341" s="10" t="str">
        <f t="shared" si="83"/>
        <v>Incomplete</v>
      </c>
    </row>
    <row r="5342" spans="1:17">
      <c r="A5342" s="12">
        <v>46277</v>
      </c>
      <c r="B5342" s="10">
        <v>7</v>
      </c>
      <c r="Q5342" s="10" t="str">
        <f t="shared" si="83"/>
        <v>Incomplete</v>
      </c>
    </row>
    <row r="5343" spans="1:17">
      <c r="A5343" s="12">
        <v>46277</v>
      </c>
      <c r="B5343" s="10">
        <v>8</v>
      </c>
      <c r="Q5343" s="10" t="str">
        <f t="shared" si="83"/>
        <v>Incomplete</v>
      </c>
    </row>
    <row r="5344" spans="1:17">
      <c r="A5344" s="12">
        <v>46277</v>
      </c>
      <c r="B5344" s="10">
        <v>9</v>
      </c>
      <c r="Q5344" s="10" t="str">
        <f t="shared" si="83"/>
        <v>Incomplete</v>
      </c>
    </row>
    <row r="5345" spans="1:17">
      <c r="A5345" s="12">
        <v>46277</v>
      </c>
      <c r="B5345" s="10">
        <v>10</v>
      </c>
      <c r="Q5345" s="10" t="str">
        <f t="shared" si="83"/>
        <v>Incomplete</v>
      </c>
    </row>
    <row r="5346" spans="1:17">
      <c r="A5346" s="12">
        <v>46277</v>
      </c>
      <c r="B5346" s="10">
        <v>11</v>
      </c>
      <c r="Q5346" s="10" t="str">
        <f t="shared" si="83"/>
        <v>Incomplete</v>
      </c>
    </row>
    <row r="5347" spans="1:17">
      <c r="A5347" s="12">
        <v>46277</v>
      </c>
      <c r="B5347" s="10">
        <v>12</v>
      </c>
      <c r="Q5347" s="10" t="str">
        <f t="shared" si="83"/>
        <v>Incomplete</v>
      </c>
    </row>
    <row r="5348" spans="1:17">
      <c r="A5348" s="12">
        <v>46277</v>
      </c>
      <c r="B5348" s="10">
        <v>13</v>
      </c>
      <c r="Q5348" s="10" t="str">
        <f t="shared" si="83"/>
        <v>Incomplete</v>
      </c>
    </row>
    <row r="5349" spans="1:17">
      <c r="A5349" s="12">
        <v>46277</v>
      </c>
      <c r="B5349" s="10">
        <v>14</v>
      </c>
      <c r="Q5349" s="10" t="str">
        <f t="shared" si="83"/>
        <v>Incomplete</v>
      </c>
    </row>
    <row r="5350" spans="1:17">
      <c r="A5350" s="12">
        <v>46277</v>
      </c>
      <c r="B5350" s="10">
        <v>15</v>
      </c>
      <c r="Q5350" s="10" t="str">
        <f t="shared" si="83"/>
        <v>Incomplete</v>
      </c>
    </row>
    <row r="5351" spans="1:17">
      <c r="A5351" s="12">
        <v>46277</v>
      </c>
      <c r="B5351" s="10">
        <v>16</v>
      </c>
      <c r="Q5351" s="10" t="str">
        <f t="shared" si="83"/>
        <v>Incomplete</v>
      </c>
    </row>
    <row r="5352" spans="1:17">
      <c r="A5352" s="12">
        <v>46277</v>
      </c>
      <c r="B5352" s="10">
        <v>17</v>
      </c>
      <c r="Q5352" s="10" t="str">
        <f t="shared" si="83"/>
        <v>Incomplete</v>
      </c>
    </row>
    <row r="5353" spans="1:17">
      <c r="A5353" s="12">
        <v>46277</v>
      </c>
      <c r="B5353" s="10">
        <v>18</v>
      </c>
      <c r="Q5353" s="10" t="str">
        <f t="shared" si="83"/>
        <v>Incomplete</v>
      </c>
    </row>
    <row r="5354" spans="1:17">
      <c r="A5354" s="12">
        <v>46277</v>
      </c>
      <c r="B5354" s="10">
        <v>19</v>
      </c>
      <c r="Q5354" s="10" t="str">
        <f t="shared" si="83"/>
        <v>Incomplete</v>
      </c>
    </row>
    <row r="5355" spans="1:17">
      <c r="A5355" s="12">
        <v>46277</v>
      </c>
      <c r="B5355" s="10">
        <v>20</v>
      </c>
      <c r="Q5355" s="10" t="str">
        <f t="shared" si="83"/>
        <v>Incomplete</v>
      </c>
    </row>
    <row r="5356" spans="1:17">
      <c r="A5356" s="12">
        <v>46277</v>
      </c>
      <c r="B5356" s="10">
        <v>21</v>
      </c>
      <c r="Q5356" s="10" t="str">
        <f t="shared" si="83"/>
        <v>Incomplete</v>
      </c>
    </row>
    <row r="5357" spans="1:17">
      <c r="A5357" s="12">
        <v>46278</v>
      </c>
      <c r="B5357" s="10">
        <v>1</v>
      </c>
      <c r="Q5357" s="10" t="str">
        <f t="shared" si="83"/>
        <v>Incomplete</v>
      </c>
    </row>
    <row r="5358" spans="1:17">
      <c r="A5358" s="12">
        <v>46278</v>
      </c>
      <c r="B5358" s="10">
        <v>2</v>
      </c>
      <c r="Q5358" s="10" t="str">
        <f t="shared" si="83"/>
        <v>Incomplete</v>
      </c>
    </row>
    <row r="5359" spans="1:17">
      <c r="A5359" s="12">
        <v>46278</v>
      </c>
      <c r="B5359" s="10">
        <v>3</v>
      </c>
      <c r="Q5359" s="10" t="str">
        <f t="shared" si="83"/>
        <v>Incomplete</v>
      </c>
    </row>
    <row r="5360" spans="1:17">
      <c r="A5360" s="12">
        <v>46278</v>
      </c>
      <c r="B5360" s="10">
        <v>4</v>
      </c>
      <c r="Q5360" s="10" t="str">
        <f t="shared" si="83"/>
        <v>Incomplete</v>
      </c>
    </row>
    <row r="5361" spans="1:17">
      <c r="A5361" s="12">
        <v>46278</v>
      </c>
      <c r="B5361" s="10">
        <v>5</v>
      </c>
      <c r="Q5361" s="10" t="str">
        <f t="shared" si="83"/>
        <v>Incomplete</v>
      </c>
    </row>
    <row r="5362" spans="1:17">
      <c r="A5362" s="12">
        <v>46278</v>
      </c>
      <c r="B5362" s="10">
        <v>6</v>
      </c>
      <c r="Q5362" s="10" t="str">
        <f t="shared" si="83"/>
        <v>Incomplete</v>
      </c>
    </row>
    <row r="5363" spans="1:17">
      <c r="A5363" s="12">
        <v>46278</v>
      </c>
      <c r="B5363" s="10">
        <v>7</v>
      </c>
      <c r="Q5363" s="10" t="str">
        <f t="shared" si="83"/>
        <v>Incomplete</v>
      </c>
    </row>
    <row r="5364" spans="1:17">
      <c r="A5364" s="12">
        <v>46278</v>
      </c>
      <c r="B5364" s="10">
        <v>8</v>
      </c>
      <c r="Q5364" s="10" t="str">
        <f t="shared" si="83"/>
        <v>Incomplete</v>
      </c>
    </row>
    <row r="5365" spans="1:17">
      <c r="A5365" s="12">
        <v>46278</v>
      </c>
      <c r="B5365" s="10">
        <v>9</v>
      </c>
      <c r="Q5365" s="10" t="str">
        <f t="shared" si="83"/>
        <v>Incomplete</v>
      </c>
    </row>
    <row r="5366" spans="1:17">
      <c r="A5366" s="12">
        <v>46278</v>
      </c>
      <c r="B5366" s="10">
        <v>10</v>
      </c>
      <c r="Q5366" s="10" t="str">
        <f t="shared" si="83"/>
        <v>Incomplete</v>
      </c>
    </row>
    <row r="5367" spans="1:17">
      <c r="A5367" s="12">
        <v>46278</v>
      </c>
      <c r="B5367" s="10">
        <v>11</v>
      </c>
      <c r="Q5367" s="10" t="str">
        <f t="shared" si="83"/>
        <v>Incomplete</v>
      </c>
    </row>
    <row r="5368" spans="1:17">
      <c r="A5368" s="12">
        <v>46278</v>
      </c>
      <c r="B5368" s="10">
        <v>12</v>
      </c>
      <c r="Q5368" s="10" t="str">
        <f t="shared" si="83"/>
        <v>Incomplete</v>
      </c>
    </row>
    <row r="5369" spans="1:17">
      <c r="A5369" s="12">
        <v>46278</v>
      </c>
      <c r="B5369" s="10">
        <v>13</v>
      </c>
      <c r="Q5369" s="10" t="str">
        <f t="shared" si="83"/>
        <v>Incomplete</v>
      </c>
    </row>
    <row r="5370" spans="1:17">
      <c r="A5370" s="12">
        <v>46278</v>
      </c>
      <c r="B5370" s="10">
        <v>14</v>
      </c>
      <c r="Q5370" s="10" t="str">
        <f t="shared" si="83"/>
        <v>Incomplete</v>
      </c>
    </row>
    <row r="5371" spans="1:17">
      <c r="A5371" s="12">
        <v>46278</v>
      </c>
      <c r="B5371" s="10">
        <v>15</v>
      </c>
      <c r="Q5371" s="10" t="str">
        <f t="shared" si="83"/>
        <v>Incomplete</v>
      </c>
    </row>
    <row r="5372" spans="1:17">
      <c r="A5372" s="12">
        <v>46278</v>
      </c>
      <c r="B5372" s="10">
        <v>16</v>
      </c>
      <c r="Q5372" s="10" t="str">
        <f t="shared" si="83"/>
        <v>Incomplete</v>
      </c>
    </row>
    <row r="5373" spans="1:17">
      <c r="A5373" s="12">
        <v>46278</v>
      </c>
      <c r="B5373" s="10">
        <v>17</v>
      </c>
      <c r="Q5373" s="10" t="str">
        <f t="shared" si="83"/>
        <v>Incomplete</v>
      </c>
    </row>
    <row r="5374" spans="1:17">
      <c r="A5374" s="12">
        <v>46278</v>
      </c>
      <c r="B5374" s="10">
        <v>18</v>
      </c>
      <c r="Q5374" s="10" t="str">
        <f t="shared" si="83"/>
        <v>Incomplete</v>
      </c>
    </row>
    <row r="5375" spans="1:17">
      <c r="A5375" s="12">
        <v>46278</v>
      </c>
      <c r="B5375" s="10">
        <v>19</v>
      </c>
      <c r="Q5375" s="10" t="str">
        <f t="shared" si="83"/>
        <v>Incomplete</v>
      </c>
    </row>
    <row r="5376" spans="1:17">
      <c r="A5376" s="12">
        <v>46278</v>
      </c>
      <c r="B5376" s="10">
        <v>20</v>
      </c>
      <c r="Q5376" s="10" t="str">
        <f t="shared" si="83"/>
        <v>Incomplete</v>
      </c>
    </row>
    <row r="5377" spans="1:17">
      <c r="A5377" s="12">
        <v>46278</v>
      </c>
      <c r="B5377" s="10">
        <v>21</v>
      </c>
      <c r="Q5377" s="10" t="str">
        <f t="shared" si="83"/>
        <v>Incomplete</v>
      </c>
    </row>
    <row r="5378" spans="1:17">
      <c r="A5378" s="12">
        <v>46279</v>
      </c>
      <c r="B5378" s="10">
        <v>1</v>
      </c>
      <c r="Q5378" s="10" t="str">
        <f t="shared" ref="Q5378:Q5441" si="84">IF(AND(C5378&lt;&gt;"",J5378&lt;&gt;"",K5378&lt;&gt;"",L5378&lt;&gt;"",O5378="Yes"),"Complete","Incomplete")</f>
        <v>Incomplete</v>
      </c>
    </row>
    <row r="5379" spans="1:17">
      <c r="A5379" s="12">
        <v>46279</v>
      </c>
      <c r="B5379" s="10">
        <v>2</v>
      </c>
      <c r="Q5379" s="10" t="str">
        <f t="shared" si="84"/>
        <v>Incomplete</v>
      </c>
    </row>
    <row r="5380" spans="1:17">
      <c r="A5380" s="12">
        <v>46279</v>
      </c>
      <c r="B5380" s="10">
        <v>3</v>
      </c>
      <c r="Q5380" s="10" t="str">
        <f t="shared" si="84"/>
        <v>Incomplete</v>
      </c>
    </row>
    <row r="5381" spans="1:17">
      <c r="A5381" s="12">
        <v>46279</v>
      </c>
      <c r="B5381" s="10">
        <v>4</v>
      </c>
      <c r="Q5381" s="10" t="str">
        <f t="shared" si="84"/>
        <v>Incomplete</v>
      </c>
    </row>
    <row r="5382" spans="1:17">
      <c r="A5382" s="12">
        <v>46279</v>
      </c>
      <c r="B5382" s="10">
        <v>5</v>
      </c>
      <c r="Q5382" s="10" t="str">
        <f t="shared" si="84"/>
        <v>Incomplete</v>
      </c>
    </row>
    <row r="5383" spans="1:17">
      <c r="A5383" s="12">
        <v>46279</v>
      </c>
      <c r="B5383" s="10">
        <v>6</v>
      </c>
      <c r="Q5383" s="10" t="str">
        <f t="shared" si="84"/>
        <v>Incomplete</v>
      </c>
    </row>
    <row r="5384" spans="1:17">
      <c r="A5384" s="12">
        <v>46279</v>
      </c>
      <c r="B5384" s="10">
        <v>7</v>
      </c>
      <c r="Q5384" s="10" t="str">
        <f t="shared" si="84"/>
        <v>Incomplete</v>
      </c>
    </row>
    <row r="5385" spans="1:17">
      <c r="A5385" s="12">
        <v>46279</v>
      </c>
      <c r="B5385" s="10">
        <v>8</v>
      </c>
      <c r="Q5385" s="10" t="str">
        <f t="shared" si="84"/>
        <v>Incomplete</v>
      </c>
    </row>
    <row r="5386" spans="1:17">
      <c r="A5386" s="12">
        <v>46279</v>
      </c>
      <c r="B5386" s="10">
        <v>9</v>
      </c>
      <c r="Q5386" s="10" t="str">
        <f t="shared" si="84"/>
        <v>Incomplete</v>
      </c>
    </row>
    <row r="5387" spans="1:17">
      <c r="A5387" s="12">
        <v>46279</v>
      </c>
      <c r="B5387" s="10">
        <v>10</v>
      </c>
      <c r="Q5387" s="10" t="str">
        <f t="shared" si="84"/>
        <v>Incomplete</v>
      </c>
    </row>
    <row r="5388" spans="1:17">
      <c r="A5388" s="12">
        <v>46279</v>
      </c>
      <c r="B5388" s="10">
        <v>11</v>
      </c>
      <c r="Q5388" s="10" t="str">
        <f t="shared" si="84"/>
        <v>Incomplete</v>
      </c>
    </row>
    <row r="5389" spans="1:17">
      <c r="A5389" s="12">
        <v>46279</v>
      </c>
      <c r="B5389" s="10">
        <v>12</v>
      </c>
      <c r="Q5389" s="10" t="str">
        <f t="shared" si="84"/>
        <v>Incomplete</v>
      </c>
    </row>
    <row r="5390" spans="1:17">
      <c r="A5390" s="12">
        <v>46279</v>
      </c>
      <c r="B5390" s="10">
        <v>13</v>
      </c>
      <c r="Q5390" s="10" t="str">
        <f t="shared" si="84"/>
        <v>Incomplete</v>
      </c>
    </row>
    <row r="5391" spans="1:17">
      <c r="A5391" s="12">
        <v>46279</v>
      </c>
      <c r="B5391" s="10">
        <v>14</v>
      </c>
      <c r="Q5391" s="10" t="str">
        <f t="shared" si="84"/>
        <v>Incomplete</v>
      </c>
    </row>
    <row r="5392" spans="1:17">
      <c r="A5392" s="12">
        <v>46279</v>
      </c>
      <c r="B5392" s="10">
        <v>15</v>
      </c>
      <c r="Q5392" s="10" t="str">
        <f t="shared" si="84"/>
        <v>Incomplete</v>
      </c>
    </row>
    <row r="5393" spans="1:17">
      <c r="A5393" s="12">
        <v>46279</v>
      </c>
      <c r="B5393" s="10">
        <v>16</v>
      </c>
      <c r="Q5393" s="10" t="str">
        <f t="shared" si="84"/>
        <v>Incomplete</v>
      </c>
    </row>
    <row r="5394" spans="1:17">
      <c r="A5394" s="12">
        <v>46279</v>
      </c>
      <c r="B5394" s="10">
        <v>17</v>
      </c>
      <c r="Q5394" s="10" t="str">
        <f t="shared" si="84"/>
        <v>Incomplete</v>
      </c>
    </row>
    <row r="5395" spans="1:17">
      <c r="A5395" s="12">
        <v>46279</v>
      </c>
      <c r="B5395" s="10">
        <v>18</v>
      </c>
      <c r="Q5395" s="10" t="str">
        <f t="shared" si="84"/>
        <v>Incomplete</v>
      </c>
    </row>
    <row r="5396" spans="1:17">
      <c r="A5396" s="12">
        <v>46279</v>
      </c>
      <c r="B5396" s="10">
        <v>19</v>
      </c>
      <c r="Q5396" s="10" t="str">
        <f t="shared" si="84"/>
        <v>Incomplete</v>
      </c>
    </row>
    <row r="5397" spans="1:17">
      <c r="A5397" s="12">
        <v>46279</v>
      </c>
      <c r="B5397" s="10">
        <v>20</v>
      </c>
      <c r="Q5397" s="10" t="str">
        <f t="shared" si="84"/>
        <v>Incomplete</v>
      </c>
    </row>
    <row r="5398" spans="1:17">
      <c r="A5398" s="12">
        <v>46279</v>
      </c>
      <c r="B5398" s="10">
        <v>21</v>
      </c>
      <c r="Q5398" s="10" t="str">
        <f t="shared" si="84"/>
        <v>Incomplete</v>
      </c>
    </row>
    <row r="5399" spans="1:17">
      <c r="A5399" s="12">
        <v>46280</v>
      </c>
      <c r="B5399" s="10">
        <v>1</v>
      </c>
      <c r="Q5399" s="10" t="str">
        <f t="shared" si="84"/>
        <v>Incomplete</v>
      </c>
    </row>
    <row r="5400" spans="1:17">
      <c r="A5400" s="12">
        <v>46280</v>
      </c>
      <c r="B5400" s="10">
        <v>2</v>
      </c>
      <c r="Q5400" s="10" t="str">
        <f t="shared" si="84"/>
        <v>Incomplete</v>
      </c>
    </row>
    <row r="5401" spans="1:17">
      <c r="A5401" s="12">
        <v>46280</v>
      </c>
      <c r="B5401" s="10">
        <v>3</v>
      </c>
      <c r="Q5401" s="10" t="str">
        <f t="shared" si="84"/>
        <v>Incomplete</v>
      </c>
    </row>
    <row r="5402" spans="1:17">
      <c r="A5402" s="12">
        <v>46280</v>
      </c>
      <c r="B5402" s="10">
        <v>4</v>
      </c>
      <c r="Q5402" s="10" t="str">
        <f t="shared" si="84"/>
        <v>Incomplete</v>
      </c>
    </row>
    <row r="5403" spans="1:17">
      <c r="A5403" s="12">
        <v>46280</v>
      </c>
      <c r="B5403" s="10">
        <v>5</v>
      </c>
      <c r="Q5403" s="10" t="str">
        <f t="shared" si="84"/>
        <v>Incomplete</v>
      </c>
    </row>
    <row r="5404" spans="1:17">
      <c r="A5404" s="12">
        <v>46280</v>
      </c>
      <c r="B5404" s="10">
        <v>6</v>
      </c>
      <c r="Q5404" s="10" t="str">
        <f t="shared" si="84"/>
        <v>Incomplete</v>
      </c>
    </row>
    <row r="5405" spans="1:17">
      <c r="A5405" s="12">
        <v>46280</v>
      </c>
      <c r="B5405" s="10">
        <v>7</v>
      </c>
      <c r="Q5405" s="10" t="str">
        <f t="shared" si="84"/>
        <v>Incomplete</v>
      </c>
    </row>
    <row r="5406" spans="1:17">
      <c r="A5406" s="12">
        <v>46280</v>
      </c>
      <c r="B5406" s="10">
        <v>8</v>
      </c>
      <c r="Q5406" s="10" t="str">
        <f t="shared" si="84"/>
        <v>Incomplete</v>
      </c>
    </row>
    <row r="5407" spans="1:17">
      <c r="A5407" s="12">
        <v>46280</v>
      </c>
      <c r="B5407" s="10">
        <v>9</v>
      </c>
      <c r="Q5407" s="10" t="str">
        <f t="shared" si="84"/>
        <v>Incomplete</v>
      </c>
    </row>
    <row r="5408" spans="1:17">
      <c r="A5408" s="12">
        <v>46280</v>
      </c>
      <c r="B5408" s="10">
        <v>10</v>
      </c>
      <c r="Q5408" s="10" t="str">
        <f t="shared" si="84"/>
        <v>Incomplete</v>
      </c>
    </row>
    <row r="5409" spans="1:17">
      <c r="A5409" s="12">
        <v>46280</v>
      </c>
      <c r="B5409" s="10">
        <v>11</v>
      </c>
      <c r="Q5409" s="10" t="str">
        <f t="shared" si="84"/>
        <v>Incomplete</v>
      </c>
    </row>
    <row r="5410" spans="1:17">
      <c r="A5410" s="12">
        <v>46280</v>
      </c>
      <c r="B5410" s="10">
        <v>12</v>
      </c>
      <c r="Q5410" s="10" t="str">
        <f t="shared" si="84"/>
        <v>Incomplete</v>
      </c>
    </row>
    <row r="5411" spans="1:17">
      <c r="A5411" s="12">
        <v>46280</v>
      </c>
      <c r="B5411" s="10">
        <v>13</v>
      </c>
      <c r="Q5411" s="10" t="str">
        <f t="shared" si="84"/>
        <v>Incomplete</v>
      </c>
    </row>
    <row r="5412" spans="1:17">
      <c r="A5412" s="12">
        <v>46280</v>
      </c>
      <c r="B5412" s="10">
        <v>14</v>
      </c>
      <c r="Q5412" s="10" t="str">
        <f t="shared" si="84"/>
        <v>Incomplete</v>
      </c>
    </row>
    <row r="5413" spans="1:17">
      <c r="A5413" s="12">
        <v>46280</v>
      </c>
      <c r="B5413" s="10">
        <v>15</v>
      </c>
      <c r="Q5413" s="10" t="str">
        <f t="shared" si="84"/>
        <v>Incomplete</v>
      </c>
    </row>
    <row r="5414" spans="1:17">
      <c r="A5414" s="12">
        <v>46280</v>
      </c>
      <c r="B5414" s="10">
        <v>16</v>
      </c>
      <c r="Q5414" s="10" t="str">
        <f t="shared" si="84"/>
        <v>Incomplete</v>
      </c>
    </row>
    <row r="5415" spans="1:17">
      <c r="A5415" s="12">
        <v>46280</v>
      </c>
      <c r="B5415" s="10">
        <v>17</v>
      </c>
      <c r="Q5415" s="10" t="str">
        <f t="shared" si="84"/>
        <v>Incomplete</v>
      </c>
    </row>
    <row r="5416" spans="1:17">
      <c r="A5416" s="12">
        <v>46280</v>
      </c>
      <c r="B5416" s="10">
        <v>18</v>
      </c>
      <c r="Q5416" s="10" t="str">
        <f t="shared" si="84"/>
        <v>Incomplete</v>
      </c>
    </row>
    <row r="5417" spans="1:17">
      <c r="A5417" s="12">
        <v>46280</v>
      </c>
      <c r="B5417" s="10">
        <v>19</v>
      </c>
      <c r="Q5417" s="10" t="str">
        <f t="shared" si="84"/>
        <v>Incomplete</v>
      </c>
    </row>
    <row r="5418" spans="1:17">
      <c r="A5418" s="12">
        <v>46280</v>
      </c>
      <c r="B5418" s="10">
        <v>20</v>
      </c>
      <c r="Q5418" s="10" t="str">
        <f t="shared" si="84"/>
        <v>Incomplete</v>
      </c>
    </row>
    <row r="5419" spans="1:17">
      <c r="A5419" s="12">
        <v>46280</v>
      </c>
      <c r="B5419" s="10">
        <v>21</v>
      </c>
      <c r="Q5419" s="10" t="str">
        <f t="shared" si="84"/>
        <v>Incomplete</v>
      </c>
    </row>
    <row r="5420" spans="1:17">
      <c r="A5420" s="12">
        <v>46281</v>
      </c>
      <c r="B5420" s="10">
        <v>1</v>
      </c>
      <c r="Q5420" s="10" t="str">
        <f t="shared" si="84"/>
        <v>Incomplete</v>
      </c>
    </row>
    <row r="5421" spans="1:17">
      <c r="A5421" s="12">
        <v>46281</v>
      </c>
      <c r="B5421" s="10">
        <v>2</v>
      </c>
      <c r="Q5421" s="10" t="str">
        <f t="shared" si="84"/>
        <v>Incomplete</v>
      </c>
    </row>
    <row r="5422" spans="1:17">
      <c r="A5422" s="12">
        <v>46281</v>
      </c>
      <c r="B5422" s="10">
        <v>3</v>
      </c>
      <c r="Q5422" s="10" t="str">
        <f t="shared" si="84"/>
        <v>Incomplete</v>
      </c>
    </row>
    <row r="5423" spans="1:17">
      <c r="A5423" s="12">
        <v>46281</v>
      </c>
      <c r="B5423" s="10">
        <v>4</v>
      </c>
      <c r="Q5423" s="10" t="str">
        <f t="shared" si="84"/>
        <v>Incomplete</v>
      </c>
    </row>
    <row r="5424" spans="1:17">
      <c r="A5424" s="12">
        <v>46281</v>
      </c>
      <c r="B5424" s="10">
        <v>5</v>
      </c>
      <c r="Q5424" s="10" t="str">
        <f t="shared" si="84"/>
        <v>Incomplete</v>
      </c>
    </row>
    <row r="5425" spans="1:17">
      <c r="A5425" s="12">
        <v>46281</v>
      </c>
      <c r="B5425" s="10">
        <v>6</v>
      </c>
      <c r="Q5425" s="10" t="str">
        <f t="shared" si="84"/>
        <v>Incomplete</v>
      </c>
    </row>
    <row r="5426" spans="1:17">
      <c r="A5426" s="12">
        <v>46281</v>
      </c>
      <c r="B5426" s="10">
        <v>7</v>
      </c>
      <c r="Q5426" s="10" t="str">
        <f t="shared" si="84"/>
        <v>Incomplete</v>
      </c>
    </row>
    <row r="5427" spans="1:17">
      <c r="A5427" s="12">
        <v>46281</v>
      </c>
      <c r="B5427" s="10">
        <v>8</v>
      </c>
      <c r="Q5427" s="10" t="str">
        <f t="shared" si="84"/>
        <v>Incomplete</v>
      </c>
    </row>
    <row r="5428" spans="1:17">
      <c r="A5428" s="12">
        <v>46281</v>
      </c>
      <c r="B5428" s="10">
        <v>9</v>
      </c>
      <c r="Q5428" s="10" t="str">
        <f t="shared" si="84"/>
        <v>Incomplete</v>
      </c>
    </row>
    <row r="5429" spans="1:17">
      <c r="A5429" s="12">
        <v>46281</v>
      </c>
      <c r="B5429" s="10">
        <v>10</v>
      </c>
      <c r="Q5429" s="10" t="str">
        <f t="shared" si="84"/>
        <v>Incomplete</v>
      </c>
    </row>
    <row r="5430" spans="1:17">
      <c r="A5430" s="12">
        <v>46281</v>
      </c>
      <c r="B5430" s="10">
        <v>11</v>
      </c>
      <c r="Q5430" s="10" t="str">
        <f t="shared" si="84"/>
        <v>Incomplete</v>
      </c>
    </row>
    <row r="5431" spans="1:17">
      <c r="A5431" s="12">
        <v>46281</v>
      </c>
      <c r="B5431" s="10">
        <v>12</v>
      </c>
      <c r="Q5431" s="10" t="str">
        <f t="shared" si="84"/>
        <v>Incomplete</v>
      </c>
    </row>
    <row r="5432" spans="1:17">
      <c r="A5432" s="12">
        <v>46281</v>
      </c>
      <c r="B5432" s="10">
        <v>13</v>
      </c>
      <c r="Q5432" s="10" t="str">
        <f t="shared" si="84"/>
        <v>Incomplete</v>
      </c>
    </row>
    <row r="5433" spans="1:17">
      <c r="A5433" s="12">
        <v>46281</v>
      </c>
      <c r="B5433" s="10">
        <v>14</v>
      </c>
      <c r="Q5433" s="10" t="str">
        <f t="shared" si="84"/>
        <v>Incomplete</v>
      </c>
    </row>
    <row r="5434" spans="1:17">
      <c r="A5434" s="12">
        <v>46281</v>
      </c>
      <c r="B5434" s="10">
        <v>15</v>
      </c>
      <c r="Q5434" s="10" t="str">
        <f t="shared" si="84"/>
        <v>Incomplete</v>
      </c>
    </row>
    <row r="5435" spans="1:17">
      <c r="A5435" s="12">
        <v>46281</v>
      </c>
      <c r="B5435" s="10">
        <v>16</v>
      </c>
      <c r="Q5435" s="10" t="str">
        <f t="shared" si="84"/>
        <v>Incomplete</v>
      </c>
    </row>
    <row r="5436" spans="1:17">
      <c r="A5436" s="12">
        <v>46281</v>
      </c>
      <c r="B5436" s="10">
        <v>17</v>
      </c>
      <c r="Q5436" s="10" t="str">
        <f t="shared" si="84"/>
        <v>Incomplete</v>
      </c>
    </row>
    <row r="5437" spans="1:17">
      <c r="A5437" s="12">
        <v>46281</v>
      </c>
      <c r="B5437" s="10">
        <v>18</v>
      </c>
      <c r="Q5437" s="10" t="str">
        <f t="shared" si="84"/>
        <v>Incomplete</v>
      </c>
    </row>
    <row r="5438" spans="1:17">
      <c r="A5438" s="12">
        <v>46281</v>
      </c>
      <c r="B5438" s="10">
        <v>19</v>
      </c>
      <c r="Q5438" s="10" t="str">
        <f t="shared" si="84"/>
        <v>Incomplete</v>
      </c>
    </row>
    <row r="5439" spans="1:17">
      <c r="A5439" s="12">
        <v>46281</v>
      </c>
      <c r="B5439" s="10">
        <v>20</v>
      </c>
      <c r="Q5439" s="10" t="str">
        <f t="shared" si="84"/>
        <v>Incomplete</v>
      </c>
    </row>
    <row r="5440" spans="1:17">
      <c r="A5440" s="12">
        <v>46281</v>
      </c>
      <c r="B5440" s="10">
        <v>21</v>
      </c>
      <c r="Q5440" s="10" t="str">
        <f t="shared" si="84"/>
        <v>Incomplete</v>
      </c>
    </row>
    <row r="5441" spans="1:17">
      <c r="A5441" s="12">
        <v>46282</v>
      </c>
      <c r="B5441" s="10">
        <v>1</v>
      </c>
      <c r="Q5441" s="10" t="str">
        <f t="shared" si="84"/>
        <v>Incomplete</v>
      </c>
    </row>
    <row r="5442" spans="1:17">
      <c r="A5442" s="12">
        <v>46282</v>
      </c>
      <c r="B5442" s="10">
        <v>2</v>
      </c>
      <c r="Q5442" s="10" t="str">
        <f t="shared" ref="Q5442:Q5505" si="85">IF(AND(C5442&lt;&gt;"",J5442&lt;&gt;"",K5442&lt;&gt;"",L5442&lt;&gt;"",O5442="Yes"),"Complete","Incomplete")</f>
        <v>Incomplete</v>
      </c>
    </row>
    <row r="5443" spans="1:17">
      <c r="A5443" s="12">
        <v>46282</v>
      </c>
      <c r="B5443" s="10">
        <v>3</v>
      </c>
      <c r="Q5443" s="10" t="str">
        <f t="shared" si="85"/>
        <v>Incomplete</v>
      </c>
    </row>
    <row r="5444" spans="1:17">
      <c r="A5444" s="12">
        <v>46282</v>
      </c>
      <c r="B5444" s="10">
        <v>4</v>
      </c>
      <c r="Q5444" s="10" t="str">
        <f t="shared" si="85"/>
        <v>Incomplete</v>
      </c>
    </row>
    <row r="5445" spans="1:17">
      <c r="A5445" s="12">
        <v>46282</v>
      </c>
      <c r="B5445" s="10">
        <v>5</v>
      </c>
      <c r="Q5445" s="10" t="str">
        <f t="shared" si="85"/>
        <v>Incomplete</v>
      </c>
    </row>
    <row r="5446" spans="1:17">
      <c r="A5446" s="12">
        <v>46282</v>
      </c>
      <c r="B5446" s="10">
        <v>6</v>
      </c>
      <c r="Q5446" s="10" t="str">
        <f t="shared" si="85"/>
        <v>Incomplete</v>
      </c>
    </row>
    <row r="5447" spans="1:17">
      <c r="A5447" s="12">
        <v>46282</v>
      </c>
      <c r="B5447" s="10">
        <v>7</v>
      </c>
      <c r="Q5447" s="10" t="str">
        <f t="shared" si="85"/>
        <v>Incomplete</v>
      </c>
    </row>
    <row r="5448" spans="1:17">
      <c r="A5448" s="12">
        <v>46282</v>
      </c>
      <c r="B5448" s="10">
        <v>8</v>
      </c>
      <c r="Q5448" s="10" t="str">
        <f t="shared" si="85"/>
        <v>Incomplete</v>
      </c>
    </row>
    <row r="5449" spans="1:17">
      <c r="A5449" s="12">
        <v>46282</v>
      </c>
      <c r="B5449" s="10">
        <v>9</v>
      </c>
      <c r="Q5449" s="10" t="str">
        <f t="shared" si="85"/>
        <v>Incomplete</v>
      </c>
    </row>
    <row r="5450" spans="1:17">
      <c r="A5450" s="12">
        <v>46282</v>
      </c>
      <c r="B5450" s="10">
        <v>10</v>
      </c>
      <c r="Q5450" s="10" t="str">
        <f t="shared" si="85"/>
        <v>Incomplete</v>
      </c>
    </row>
    <row r="5451" spans="1:17">
      <c r="A5451" s="12">
        <v>46282</v>
      </c>
      <c r="B5451" s="10">
        <v>11</v>
      </c>
      <c r="Q5451" s="10" t="str">
        <f t="shared" si="85"/>
        <v>Incomplete</v>
      </c>
    </row>
    <row r="5452" spans="1:17">
      <c r="A5452" s="12">
        <v>46282</v>
      </c>
      <c r="B5452" s="10">
        <v>12</v>
      </c>
      <c r="Q5452" s="10" t="str">
        <f t="shared" si="85"/>
        <v>Incomplete</v>
      </c>
    </row>
    <row r="5453" spans="1:17">
      <c r="A5453" s="12">
        <v>46282</v>
      </c>
      <c r="B5453" s="10">
        <v>13</v>
      </c>
      <c r="Q5453" s="10" t="str">
        <f t="shared" si="85"/>
        <v>Incomplete</v>
      </c>
    </row>
    <row r="5454" spans="1:17">
      <c r="A5454" s="12">
        <v>46282</v>
      </c>
      <c r="B5454" s="10">
        <v>14</v>
      </c>
      <c r="Q5454" s="10" t="str">
        <f t="shared" si="85"/>
        <v>Incomplete</v>
      </c>
    </row>
    <row r="5455" spans="1:17">
      <c r="A5455" s="12">
        <v>46282</v>
      </c>
      <c r="B5455" s="10">
        <v>15</v>
      </c>
      <c r="Q5455" s="10" t="str">
        <f t="shared" si="85"/>
        <v>Incomplete</v>
      </c>
    </row>
    <row r="5456" spans="1:17">
      <c r="A5456" s="12">
        <v>46282</v>
      </c>
      <c r="B5456" s="10">
        <v>16</v>
      </c>
      <c r="Q5456" s="10" t="str">
        <f t="shared" si="85"/>
        <v>Incomplete</v>
      </c>
    </row>
    <row r="5457" spans="1:17">
      <c r="A5457" s="12">
        <v>46282</v>
      </c>
      <c r="B5457" s="10">
        <v>17</v>
      </c>
      <c r="Q5457" s="10" t="str">
        <f t="shared" si="85"/>
        <v>Incomplete</v>
      </c>
    </row>
    <row r="5458" spans="1:17">
      <c r="A5458" s="12">
        <v>46282</v>
      </c>
      <c r="B5458" s="10">
        <v>18</v>
      </c>
      <c r="Q5458" s="10" t="str">
        <f t="shared" si="85"/>
        <v>Incomplete</v>
      </c>
    </row>
    <row r="5459" spans="1:17">
      <c r="A5459" s="12">
        <v>46282</v>
      </c>
      <c r="B5459" s="10">
        <v>19</v>
      </c>
      <c r="Q5459" s="10" t="str">
        <f t="shared" si="85"/>
        <v>Incomplete</v>
      </c>
    </row>
    <row r="5460" spans="1:17">
      <c r="A5460" s="12">
        <v>46282</v>
      </c>
      <c r="B5460" s="10">
        <v>20</v>
      </c>
      <c r="Q5460" s="10" t="str">
        <f t="shared" si="85"/>
        <v>Incomplete</v>
      </c>
    </row>
    <row r="5461" spans="1:17">
      <c r="A5461" s="12">
        <v>46282</v>
      </c>
      <c r="B5461" s="10">
        <v>21</v>
      </c>
      <c r="Q5461" s="10" t="str">
        <f t="shared" si="85"/>
        <v>Incomplete</v>
      </c>
    </row>
    <row r="5462" spans="1:17">
      <c r="A5462" s="12">
        <v>46283</v>
      </c>
      <c r="B5462" s="10">
        <v>1</v>
      </c>
      <c r="Q5462" s="10" t="str">
        <f t="shared" si="85"/>
        <v>Incomplete</v>
      </c>
    </row>
    <row r="5463" spans="1:17">
      <c r="A5463" s="12">
        <v>46283</v>
      </c>
      <c r="B5463" s="10">
        <v>2</v>
      </c>
      <c r="Q5463" s="10" t="str">
        <f t="shared" si="85"/>
        <v>Incomplete</v>
      </c>
    </row>
    <row r="5464" spans="1:17">
      <c r="A5464" s="12">
        <v>46283</v>
      </c>
      <c r="B5464" s="10">
        <v>3</v>
      </c>
      <c r="Q5464" s="10" t="str">
        <f t="shared" si="85"/>
        <v>Incomplete</v>
      </c>
    </row>
    <row r="5465" spans="1:17">
      <c r="A5465" s="12">
        <v>46283</v>
      </c>
      <c r="B5465" s="10">
        <v>4</v>
      </c>
      <c r="Q5465" s="10" t="str">
        <f t="shared" si="85"/>
        <v>Incomplete</v>
      </c>
    </row>
    <row r="5466" spans="1:17">
      <c r="A5466" s="12">
        <v>46283</v>
      </c>
      <c r="B5466" s="10">
        <v>5</v>
      </c>
      <c r="Q5466" s="10" t="str">
        <f t="shared" si="85"/>
        <v>Incomplete</v>
      </c>
    </row>
    <row r="5467" spans="1:17">
      <c r="A5467" s="12">
        <v>46283</v>
      </c>
      <c r="B5467" s="10">
        <v>6</v>
      </c>
      <c r="Q5467" s="10" t="str">
        <f t="shared" si="85"/>
        <v>Incomplete</v>
      </c>
    </row>
    <row r="5468" spans="1:17">
      <c r="A5468" s="12">
        <v>46283</v>
      </c>
      <c r="B5468" s="10">
        <v>7</v>
      </c>
      <c r="Q5468" s="10" t="str">
        <f t="shared" si="85"/>
        <v>Incomplete</v>
      </c>
    </row>
    <row r="5469" spans="1:17">
      <c r="A5469" s="12">
        <v>46283</v>
      </c>
      <c r="B5469" s="10">
        <v>8</v>
      </c>
      <c r="Q5469" s="10" t="str">
        <f t="shared" si="85"/>
        <v>Incomplete</v>
      </c>
    </row>
    <row r="5470" spans="1:17">
      <c r="A5470" s="12">
        <v>46283</v>
      </c>
      <c r="B5470" s="10">
        <v>9</v>
      </c>
      <c r="Q5470" s="10" t="str">
        <f t="shared" si="85"/>
        <v>Incomplete</v>
      </c>
    </row>
    <row r="5471" spans="1:17">
      <c r="A5471" s="12">
        <v>46283</v>
      </c>
      <c r="B5471" s="10">
        <v>10</v>
      </c>
      <c r="Q5471" s="10" t="str">
        <f t="shared" si="85"/>
        <v>Incomplete</v>
      </c>
    </row>
    <row r="5472" spans="1:17">
      <c r="A5472" s="12">
        <v>46283</v>
      </c>
      <c r="B5472" s="10">
        <v>11</v>
      </c>
      <c r="Q5472" s="10" t="str">
        <f t="shared" si="85"/>
        <v>Incomplete</v>
      </c>
    </row>
    <row r="5473" spans="1:17">
      <c r="A5473" s="12">
        <v>46283</v>
      </c>
      <c r="B5473" s="10">
        <v>12</v>
      </c>
      <c r="Q5473" s="10" t="str">
        <f t="shared" si="85"/>
        <v>Incomplete</v>
      </c>
    </row>
    <row r="5474" spans="1:17">
      <c r="A5474" s="12">
        <v>46283</v>
      </c>
      <c r="B5474" s="10">
        <v>13</v>
      </c>
      <c r="Q5474" s="10" t="str">
        <f t="shared" si="85"/>
        <v>Incomplete</v>
      </c>
    </row>
    <row r="5475" spans="1:17">
      <c r="A5475" s="12">
        <v>46283</v>
      </c>
      <c r="B5475" s="10">
        <v>14</v>
      </c>
      <c r="Q5475" s="10" t="str">
        <f t="shared" si="85"/>
        <v>Incomplete</v>
      </c>
    </row>
    <row r="5476" spans="1:17">
      <c r="A5476" s="12">
        <v>46283</v>
      </c>
      <c r="B5476" s="10">
        <v>15</v>
      </c>
      <c r="Q5476" s="10" t="str">
        <f t="shared" si="85"/>
        <v>Incomplete</v>
      </c>
    </row>
    <row r="5477" spans="1:17">
      <c r="A5477" s="12">
        <v>46283</v>
      </c>
      <c r="B5477" s="10">
        <v>16</v>
      </c>
      <c r="Q5477" s="10" t="str">
        <f t="shared" si="85"/>
        <v>Incomplete</v>
      </c>
    </row>
    <row r="5478" spans="1:17">
      <c r="A5478" s="12">
        <v>46283</v>
      </c>
      <c r="B5478" s="10">
        <v>17</v>
      </c>
      <c r="Q5478" s="10" t="str">
        <f t="shared" si="85"/>
        <v>Incomplete</v>
      </c>
    </row>
    <row r="5479" spans="1:17">
      <c r="A5479" s="12">
        <v>46283</v>
      </c>
      <c r="B5479" s="10">
        <v>18</v>
      </c>
      <c r="Q5479" s="10" t="str">
        <f t="shared" si="85"/>
        <v>Incomplete</v>
      </c>
    </row>
    <row r="5480" spans="1:17">
      <c r="A5480" s="12">
        <v>46283</v>
      </c>
      <c r="B5480" s="10">
        <v>19</v>
      </c>
      <c r="Q5480" s="10" t="str">
        <f t="shared" si="85"/>
        <v>Incomplete</v>
      </c>
    </row>
    <row r="5481" spans="1:17">
      <c r="A5481" s="12">
        <v>46283</v>
      </c>
      <c r="B5481" s="10">
        <v>20</v>
      </c>
      <c r="Q5481" s="10" t="str">
        <f t="shared" si="85"/>
        <v>Incomplete</v>
      </c>
    </row>
    <row r="5482" spans="1:17">
      <c r="A5482" s="12">
        <v>46283</v>
      </c>
      <c r="B5482" s="10">
        <v>21</v>
      </c>
      <c r="Q5482" s="10" t="str">
        <f t="shared" si="85"/>
        <v>Incomplete</v>
      </c>
    </row>
    <row r="5483" spans="1:17">
      <c r="A5483" s="12">
        <v>46284</v>
      </c>
      <c r="B5483" s="10">
        <v>1</v>
      </c>
      <c r="Q5483" s="10" t="str">
        <f t="shared" si="85"/>
        <v>Incomplete</v>
      </c>
    </row>
    <row r="5484" spans="1:17">
      <c r="A5484" s="12">
        <v>46284</v>
      </c>
      <c r="B5484" s="10">
        <v>2</v>
      </c>
      <c r="Q5484" s="10" t="str">
        <f t="shared" si="85"/>
        <v>Incomplete</v>
      </c>
    </row>
    <row r="5485" spans="1:17">
      <c r="A5485" s="12">
        <v>46284</v>
      </c>
      <c r="B5485" s="10">
        <v>3</v>
      </c>
      <c r="Q5485" s="10" t="str">
        <f t="shared" si="85"/>
        <v>Incomplete</v>
      </c>
    </row>
    <row r="5486" spans="1:17">
      <c r="A5486" s="12">
        <v>46284</v>
      </c>
      <c r="B5486" s="10">
        <v>4</v>
      </c>
      <c r="Q5486" s="10" t="str">
        <f t="shared" si="85"/>
        <v>Incomplete</v>
      </c>
    </row>
    <row r="5487" spans="1:17">
      <c r="A5487" s="12">
        <v>46284</v>
      </c>
      <c r="B5487" s="10">
        <v>5</v>
      </c>
      <c r="Q5487" s="10" t="str">
        <f t="shared" si="85"/>
        <v>Incomplete</v>
      </c>
    </row>
    <row r="5488" spans="1:17">
      <c r="A5488" s="12">
        <v>46284</v>
      </c>
      <c r="B5488" s="10">
        <v>6</v>
      </c>
      <c r="Q5488" s="10" t="str">
        <f t="shared" si="85"/>
        <v>Incomplete</v>
      </c>
    </row>
    <row r="5489" spans="1:17">
      <c r="A5489" s="12">
        <v>46284</v>
      </c>
      <c r="B5489" s="10">
        <v>7</v>
      </c>
      <c r="Q5489" s="10" t="str">
        <f t="shared" si="85"/>
        <v>Incomplete</v>
      </c>
    </row>
    <row r="5490" spans="1:17">
      <c r="A5490" s="12">
        <v>46284</v>
      </c>
      <c r="B5490" s="10">
        <v>8</v>
      </c>
      <c r="Q5490" s="10" t="str">
        <f t="shared" si="85"/>
        <v>Incomplete</v>
      </c>
    </row>
    <row r="5491" spans="1:17">
      <c r="A5491" s="12">
        <v>46284</v>
      </c>
      <c r="B5491" s="10">
        <v>9</v>
      </c>
      <c r="Q5491" s="10" t="str">
        <f t="shared" si="85"/>
        <v>Incomplete</v>
      </c>
    </row>
    <row r="5492" spans="1:17">
      <c r="A5492" s="12">
        <v>46284</v>
      </c>
      <c r="B5492" s="10">
        <v>10</v>
      </c>
      <c r="Q5492" s="10" t="str">
        <f t="shared" si="85"/>
        <v>Incomplete</v>
      </c>
    </row>
    <row r="5493" spans="1:17">
      <c r="A5493" s="12">
        <v>46284</v>
      </c>
      <c r="B5493" s="10">
        <v>11</v>
      </c>
      <c r="Q5493" s="10" t="str">
        <f t="shared" si="85"/>
        <v>Incomplete</v>
      </c>
    </row>
    <row r="5494" spans="1:17">
      <c r="A5494" s="12">
        <v>46284</v>
      </c>
      <c r="B5494" s="10">
        <v>12</v>
      </c>
      <c r="Q5494" s="10" t="str">
        <f t="shared" si="85"/>
        <v>Incomplete</v>
      </c>
    </row>
    <row r="5495" spans="1:17">
      <c r="A5495" s="12">
        <v>46284</v>
      </c>
      <c r="B5495" s="10">
        <v>13</v>
      </c>
      <c r="Q5495" s="10" t="str">
        <f t="shared" si="85"/>
        <v>Incomplete</v>
      </c>
    </row>
    <row r="5496" spans="1:17">
      <c r="A5496" s="12">
        <v>46284</v>
      </c>
      <c r="B5496" s="10">
        <v>14</v>
      </c>
      <c r="Q5496" s="10" t="str">
        <f t="shared" si="85"/>
        <v>Incomplete</v>
      </c>
    </row>
    <row r="5497" spans="1:17">
      <c r="A5497" s="12">
        <v>46284</v>
      </c>
      <c r="B5497" s="10">
        <v>15</v>
      </c>
      <c r="Q5497" s="10" t="str">
        <f t="shared" si="85"/>
        <v>Incomplete</v>
      </c>
    </row>
    <row r="5498" spans="1:17">
      <c r="A5498" s="12">
        <v>46284</v>
      </c>
      <c r="B5498" s="10">
        <v>16</v>
      </c>
      <c r="Q5498" s="10" t="str">
        <f t="shared" si="85"/>
        <v>Incomplete</v>
      </c>
    </row>
    <row r="5499" spans="1:17">
      <c r="A5499" s="12">
        <v>46284</v>
      </c>
      <c r="B5499" s="10">
        <v>17</v>
      </c>
      <c r="Q5499" s="10" t="str">
        <f t="shared" si="85"/>
        <v>Incomplete</v>
      </c>
    </row>
    <row r="5500" spans="1:17">
      <c r="A5500" s="12">
        <v>46284</v>
      </c>
      <c r="B5500" s="10">
        <v>18</v>
      </c>
      <c r="Q5500" s="10" t="str">
        <f t="shared" si="85"/>
        <v>Incomplete</v>
      </c>
    </row>
    <row r="5501" spans="1:17">
      <c r="A5501" s="12">
        <v>46284</v>
      </c>
      <c r="B5501" s="10">
        <v>19</v>
      </c>
      <c r="Q5501" s="10" t="str">
        <f t="shared" si="85"/>
        <v>Incomplete</v>
      </c>
    </row>
    <row r="5502" spans="1:17">
      <c r="A5502" s="12">
        <v>46284</v>
      </c>
      <c r="B5502" s="10">
        <v>20</v>
      </c>
      <c r="Q5502" s="10" t="str">
        <f t="shared" si="85"/>
        <v>Incomplete</v>
      </c>
    </row>
    <row r="5503" spans="1:17">
      <c r="A5503" s="12">
        <v>46284</v>
      </c>
      <c r="B5503" s="10">
        <v>21</v>
      </c>
      <c r="Q5503" s="10" t="str">
        <f t="shared" si="85"/>
        <v>Incomplete</v>
      </c>
    </row>
    <row r="5504" spans="1:17">
      <c r="A5504" s="12">
        <v>46285</v>
      </c>
      <c r="B5504" s="10">
        <v>1</v>
      </c>
      <c r="Q5504" s="10" t="str">
        <f t="shared" si="85"/>
        <v>Incomplete</v>
      </c>
    </row>
    <row r="5505" spans="1:17">
      <c r="A5505" s="12">
        <v>46285</v>
      </c>
      <c r="B5505" s="10">
        <v>2</v>
      </c>
      <c r="Q5505" s="10" t="str">
        <f t="shared" si="85"/>
        <v>Incomplete</v>
      </c>
    </row>
    <row r="5506" spans="1:17">
      <c r="A5506" s="12">
        <v>46285</v>
      </c>
      <c r="B5506" s="10">
        <v>3</v>
      </c>
      <c r="Q5506" s="10" t="str">
        <f t="shared" ref="Q5506:Q5569" si="86">IF(AND(C5506&lt;&gt;"",J5506&lt;&gt;"",K5506&lt;&gt;"",L5506&lt;&gt;"",O5506="Yes"),"Complete","Incomplete")</f>
        <v>Incomplete</v>
      </c>
    </row>
    <row r="5507" spans="1:17">
      <c r="A5507" s="12">
        <v>46285</v>
      </c>
      <c r="B5507" s="10">
        <v>4</v>
      </c>
      <c r="Q5507" s="10" t="str">
        <f t="shared" si="86"/>
        <v>Incomplete</v>
      </c>
    </row>
    <row r="5508" spans="1:17">
      <c r="A5508" s="12">
        <v>46285</v>
      </c>
      <c r="B5508" s="10">
        <v>5</v>
      </c>
      <c r="Q5508" s="10" t="str">
        <f t="shared" si="86"/>
        <v>Incomplete</v>
      </c>
    </row>
    <row r="5509" spans="1:17">
      <c r="A5509" s="12">
        <v>46285</v>
      </c>
      <c r="B5509" s="10">
        <v>6</v>
      </c>
      <c r="Q5509" s="10" t="str">
        <f t="shared" si="86"/>
        <v>Incomplete</v>
      </c>
    </row>
    <row r="5510" spans="1:17">
      <c r="A5510" s="12">
        <v>46285</v>
      </c>
      <c r="B5510" s="10">
        <v>7</v>
      </c>
      <c r="Q5510" s="10" t="str">
        <f t="shared" si="86"/>
        <v>Incomplete</v>
      </c>
    </row>
    <row r="5511" spans="1:17">
      <c r="A5511" s="12">
        <v>46285</v>
      </c>
      <c r="B5511" s="10">
        <v>8</v>
      </c>
      <c r="Q5511" s="10" t="str">
        <f t="shared" si="86"/>
        <v>Incomplete</v>
      </c>
    </row>
    <row r="5512" spans="1:17">
      <c r="A5512" s="12">
        <v>46285</v>
      </c>
      <c r="B5512" s="10">
        <v>9</v>
      </c>
      <c r="Q5512" s="10" t="str">
        <f t="shared" si="86"/>
        <v>Incomplete</v>
      </c>
    </row>
    <row r="5513" spans="1:17">
      <c r="A5513" s="12">
        <v>46285</v>
      </c>
      <c r="B5513" s="10">
        <v>10</v>
      </c>
      <c r="Q5513" s="10" t="str">
        <f t="shared" si="86"/>
        <v>Incomplete</v>
      </c>
    </row>
    <row r="5514" spans="1:17">
      <c r="A5514" s="12">
        <v>46285</v>
      </c>
      <c r="B5514" s="10">
        <v>11</v>
      </c>
      <c r="Q5514" s="10" t="str">
        <f t="shared" si="86"/>
        <v>Incomplete</v>
      </c>
    </row>
    <row r="5515" spans="1:17">
      <c r="A5515" s="12">
        <v>46285</v>
      </c>
      <c r="B5515" s="10">
        <v>12</v>
      </c>
      <c r="Q5515" s="10" t="str">
        <f t="shared" si="86"/>
        <v>Incomplete</v>
      </c>
    </row>
    <row r="5516" spans="1:17">
      <c r="A5516" s="12">
        <v>46285</v>
      </c>
      <c r="B5516" s="10">
        <v>13</v>
      </c>
      <c r="Q5516" s="10" t="str">
        <f t="shared" si="86"/>
        <v>Incomplete</v>
      </c>
    </row>
    <row r="5517" spans="1:17">
      <c r="A5517" s="12">
        <v>46285</v>
      </c>
      <c r="B5517" s="10">
        <v>14</v>
      </c>
      <c r="Q5517" s="10" t="str">
        <f t="shared" si="86"/>
        <v>Incomplete</v>
      </c>
    </row>
    <row r="5518" spans="1:17">
      <c r="A5518" s="12">
        <v>46285</v>
      </c>
      <c r="B5518" s="10">
        <v>15</v>
      </c>
      <c r="Q5518" s="10" t="str">
        <f t="shared" si="86"/>
        <v>Incomplete</v>
      </c>
    </row>
    <row r="5519" spans="1:17">
      <c r="A5519" s="12">
        <v>46285</v>
      </c>
      <c r="B5519" s="10">
        <v>16</v>
      </c>
      <c r="Q5519" s="10" t="str">
        <f t="shared" si="86"/>
        <v>Incomplete</v>
      </c>
    </row>
    <row r="5520" spans="1:17">
      <c r="A5520" s="12">
        <v>46285</v>
      </c>
      <c r="B5520" s="10">
        <v>17</v>
      </c>
      <c r="Q5520" s="10" t="str">
        <f t="shared" si="86"/>
        <v>Incomplete</v>
      </c>
    </row>
    <row r="5521" spans="1:17">
      <c r="A5521" s="12">
        <v>46285</v>
      </c>
      <c r="B5521" s="10">
        <v>18</v>
      </c>
      <c r="Q5521" s="10" t="str">
        <f t="shared" si="86"/>
        <v>Incomplete</v>
      </c>
    </row>
    <row r="5522" spans="1:17">
      <c r="A5522" s="12">
        <v>46285</v>
      </c>
      <c r="B5522" s="10">
        <v>19</v>
      </c>
      <c r="Q5522" s="10" t="str">
        <f t="shared" si="86"/>
        <v>Incomplete</v>
      </c>
    </row>
    <row r="5523" spans="1:17">
      <c r="A5523" s="12">
        <v>46285</v>
      </c>
      <c r="B5523" s="10">
        <v>20</v>
      </c>
      <c r="Q5523" s="10" t="str">
        <f t="shared" si="86"/>
        <v>Incomplete</v>
      </c>
    </row>
    <row r="5524" spans="1:17">
      <c r="A5524" s="12">
        <v>46285</v>
      </c>
      <c r="B5524" s="10">
        <v>21</v>
      </c>
      <c r="Q5524" s="10" t="str">
        <f t="shared" si="86"/>
        <v>Incomplete</v>
      </c>
    </row>
    <row r="5525" spans="1:17">
      <c r="A5525" s="12">
        <v>46286</v>
      </c>
      <c r="B5525" s="10">
        <v>1</v>
      </c>
      <c r="Q5525" s="10" t="str">
        <f t="shared" si="86"/>
        <v>Incomplete</v>
      </c>
    </row>
    <row r="5526" spans="1:17">
      <c r="A5526" s="12">
        <v>46286</v>
      </c>
      <c r="B5526" s="10">
        <v>2</v>
      </c>
      <c r="Q5526" s="10" t="str">
        <f t="shared" si="86"/>
        <v>Incomplete</v>
      </c>
    </row>
    <row r="5527" spans="1:17">
      <c r="A5527" s="12">
        <v>46286</v>
      </c>
      <c r="B5527" s="10">
        <v>3</v>
      </c>
      <c r="Q5527" s="10" t="str">
        <f t="shared" si="86"/>
        <v>Incomplete</v>
      </c>
    </row>
    <row r="5528" spans="1:17">
      <c r="A5528" s="12">
        <v>46286</v>
      </c>
      <c r="B5528" s="10">
        <v>4</v>
      </c>
      <c r="Q5528" s="10" t="str">
        <f t="shared" si="86"/>
        <v>Incomplete</v>
      </c>
    </row>
    <row r="5529" spans="1:17">
      <c r="A5529" s="12">
        <v>46286</v>
      </c>
      <c r="B5529" s="10">
        <v>5</v>
      </c>
      <c r="Q5529" s="10" t="str">
        <f t="shared" si="86"/>
        <v>Incomplete</v>
      </c>
    </row>
    <row r="5530" spans="1:17">
      <c r="A5530" s="12">
        <v>46286</v>
      </c>
      <c r="B5530" s="10">
        <v>6</v>
      </c>
      <c r="Q5530" s="10" t="str">
        <f t="shared" si="86"/>
        <v>Incomplete</v>
      </c>
    </row>
    <row r="5531" spans="1:17">
      <c r="A5531" s="12">
        <v>46286</v>
      </c>
      <c r="B5531" s="10">
        <v>7</v>
      </c>
      <c r="Q5531" s="10" t="str">
        <f t="shared" si="86"/>
        <v>Incomplete</v>
      </c>
    </row>
    <row r="5532" spans="1:17">
      <c r="A5532" s="12">
        <v>46286</v>
      </c>
      <c r="B5532" s="10">
        <v>8</v>
      </c>
      <c r="Q5532" s="10" t="str">
        <f t="shared" si="86"/>
        <v>Incomplete</v>
      </c>
    </row>
    <row r="5533" spans="1:17">
      <c r="A5533" s="12">
        <v>46286</v>
      </c>
      <c r="B5533" s="10">
        <v>9</v>
      </c>
      <c r="Q5533" s="10" t="str">
        <f t="shared" si="86"/>
        <v>Incomplete</v>
      </c>
    </row>
    <row r="5534" spans="1:17">
      <c r="A5534" s="12">
        <v>46286</v>
      </c>
      <c r="B5534" s="10">
        <v>10</v>
      </c>
      <c r="Q5534" s="10" t="str">
        <f t="shared" si="86"/>
        <v>Incomplete</v>
      </c>
    </row>
    <row r="5535" spans="1:17">
      <c r="A5535" s="12">
        <v>46286</v>
      </c>
      <c r="B5535" s="10">
        <v>11</v>
      </c>
      <c r="Q5535" s="10" t="str">
        <f t="shared" si="86"/>
        <v>Incomplete</v>
      </c>
    </row>
    <row r="5536" spans="1:17">
      <c r="A5536" s="12">
        <v>46286</v>
      </c>
      <c r="B5536" s="10">
        <v>12</v>
      </c>
      <c r="Q5536" s="10" t="str">
        <f t="shared" si="86"/>
        <v>Incomplete</v>
      </c>
    </row>
    <row r="5537" spans="1:17">
      <c r="A5537" s="12">
        <v>46286</v>
      </c>
      <c r="B5537" s="10">
        <v>13</v>
      </c>
      <c r="Q5537" s="10" t="str">
        <f t="shared" si="86"/>
        <v>Incomplete</v>
      </c>
    </row>
    <row r="5538" spans="1:17">
      <c r="A5538" s="12">
        <v>46286</v>
      </c>
      <c r="B5538" s="10">
        <v>14</v>
      </c>
      <c r="Q5538" s="10" t="str">
        <f t="shared" si="86"/>
        <v>Incomplete</v>
      </c>
    </row>
    <row r="5539" spans="1:17">
      <c r="A5539" s="12">
        <v>46286</v>
      </c>
      <c r="B5539" s="10">
        <v>15</v>
      </c>
      <c r="Q5539" s="10" t="str">
        <f t="shared" si="86"/>
        <v>Incomplete</v>
      </c>
    </row>
    <row r="5540" spans="1:17">
      <c r="A5540" s="12">
        <v>46286</v>
      </c>
      <c r="B5540" s="10">
        <v>16</v>
      </c>
      <c r="Q5540" s="10" t="str">
        <f t="shared" si="86"/>
        <v>Incomplete</v>
      </c>
    </row>
    <row r="5541" spans="1:17">
      <c r="A5541" s="12">
        <v>46286</v>
      </c>
      <c r="B5541" s="10">
        <v>17</v>
      </c>
      <c r="Q5541" s="10" t="str">
        <f t="shared" si="86"/>
        <v>Incomplete</v>
      </c>
    </row>
    <row r="5542" spans="1:17">
      <c r="A5542" s="12">
        <v>46286</v>
      </c>
      <c r="B5542" s="10">
        <v>18</v>
      </c>
      <c r="Q5542" s="10" t="str">
        <f t="shared" si="86"/>
        <v>Incomplete</v>
      </c>
    </row>
    <row r="5543" spans="1:17">
      <c r="A5543" s="12">
        <v>46286</v>
      </c>
      <c r="B5543" s="10">
        <v>19</v>
      </c>
      <c r="Q5543" s="10" t="str">
        <f t="shared" si="86"/>
        <v>Incomplete</v>
      </c>
    </row>
    <row r="5544" spans="1:17">
      <c r="A5544" s="12">
        <v>46286</v>
      </c>
      <c r="B5544" s="10">
        <v>20</v>
      </c>
      <c r="Q5544" s="10" t="str">
        <f t="shared" si="86"/>
        <v>Incomplete</v>
      </c>
    </row>
    <row r="5545" spans="1:17">
      <c r="A5545" s="12">
        <v>46286</v>
      </c>
      <c r="B5545" s="10">
        <v>21</v>
      </c>
      <c r="Q5545" s="10" t="str">
        <f t="shared" si="86"/>
        <v>Incomplete</v>
      </c>
    </row>
    <row r="5546" spans="1:17">
      <c r="A5546" s="12">
        <v>46287</v>
      </c>
      <c r="B5546" s="10">
        <v>1</v>
      </c>
      <c r="Q5546" s="10" t="str">
        <f t="shared" si="86"/>
        <v>Incomplete</v>
      </c>
    </row>
    <row r="5547" spans="1:17">
      <c r="A5547" s="12">
        <v>46287</v>
      </c>
      <c r="B5547" s="10">
        <v>2</v>
      </c>
      <c r="Q5547" s="10" t="str">
        <f t="shared" si="86"/>
        <v>Incomplete</v>
      </c>
    </row>
    <row r="5548" spans="1:17">
      <c r="A5548" s="12">
        <v>46287</v>
      </c>
      <c r="B5548" s="10">
        <v>3</v>
      </c>
      <c r="Q5548" s="10" t="str">
        <f t="shared" si="86"/>
        <v>Incomplete</v>
      </c>
    </row>
    <row r="5549" spans="1:17">
      <c r="A5549" s="12">
        <v>46287</v>
      </c>
      <c r="B5549" s="10">
        <v>4</v>
      </c>
      <c r="Q5549" s="10" t="str">
        <f t="shared" si="86"/>
        <v>Incomplete</v>
      </c>
    </row>
    <row r="5550" spans="1:17">
      <c r="A5550" s="12">
        <v>46287</v>
      </c>
      <c r="B5550" s="10">
        <v>5</v>
      </c>
      <c r="Q5550" s="10" t="str">
        <f t="shared" si="86"/>
        <v>Incomplete</v>
      </c>
    </row>
    <row r="5551" spans="1:17">
      <c r="A5551" s="12">
        <v>46287</v>
      </c>
      <c r="B5551" s="10">
        <v>6</v>
      </c>
      <c r="Q5551" s="10" t="str">
        <f t="shared" si="86"/>
        <v>Incomplete</v>
      </c>
    </row>
    <row r="5552" spans="1:17">
      <c r="A5552" s="12">
        <v>46287</v>
      </c>
      <c r="B5552" s="10">
        <v>7</v>
      </c>
      <c r="Q5552" s="10" t="str">
        <f t="shared" si="86"/>
        <v>Incomplete</v>
      </c>
    </row>
    <row r="5553" spans="1:17">
      <c r="A5553" s="12">
        <v>46287</v>
      </c>
      <c r="B5553" s="10">
        <v>8</v>
      </c>
      <c r="Q5553" s="10" t="str">
        <f t="shared" si="86"/>
        <v>Incomplete</v>
      </c>
    </row>
    <row r="5554" spans="1:17">
      <c r="A5554" s="12">
        <v>46287</v>
      </c>
      <c r="B5554" s="10">
        <v>9</v>
      </c>
      <c r="Q5554" s="10" t="str">
        <f t="shared" si="86"/>
        <v>Incomplete</v>
      </c>
    </row>
    <row r="5555" spans="1:17">
      <c r="A5555" s="12">
        <v>46287</v>
      </c>
      <c r="B5555" s="10">
        <v>10</v>
      </c>
      <c r="Q5555" s="10" t="str">
        <f t="shared" si="86"/>
        <v>Incomplete</v>
      </c>
    </row>
    <row r="5556" spans="1:17">
      <c r="A5556" s="12">
        <v>46287</v>
      </c>
      <c r="B5556" s="10">
        <v>11</v>
      </c>
      <c r="Q5556" s="10" t="str">
        <f t="shared" si="86"/>
        <v>Incomplete</v>
      </c>
    </row>
    <row r="5557" spans="1:17">
      <c r="A5557" s="12">
        <v>46287</v>
      </c>
      <c r="B5557" s="10">
        <v>12</v>
      </c>
      <c r="Q5557" s="10" t="str">
        <f t="shared" si="86"/>
        <v>Incomplete</v>
      </c>
    </row>
    <row r="5558" spans="1:17">
      <c r="A5558" s="12">
        <v>46287</v>
      </c>
      <c r="B5558" s="10">
        <v>13</v>
      </c>
      <c r="Q5558" s="10" t="str">
        <f t="shared" si="86"/>
        <v>Incomplete</v>
      </c>
    </row>
    <row r="5559" spans="1:17">
      <c r="A5559" s="12">
        <v>46287</v>
      </c>
      <c r="B5559" s="10">
        <v>14</v>
      </c>
      <c r="Q5559" s="10" t="str">
        <f t="shared" si="86"/>
        <v>Incomplete</v>
      </c>
    </row>
    <row r="5560" spans="1:17">
      <c r="A5560" s="12">
        <v>46287</v>
      </c>
      <c r="B5560" s="10">
        <v>15</v>
      </c>
      <c r="Q5560" s="10" t="str">
        <f t="shared" si="86"/>
        <v>Incomplete</v>
      </c>
    </row>
    <row r="5561" spans="1:17">
      <c r="A5561" s="12">
        <v>46287</v>
      </c>
      <c r="B5561" s="10">
        <v>16</v>
      </c>
      <c r="Q5561" s="10" t="str">
        <f t="shared" si="86"/>
        <v>Incomplete</v>
      </c>
    </row>
    <row r="5562" spans="1:17">
      <c r="A5562" s="12">
        <v>46287</v>
      </c>
      <c r="B5562" s="10">
        <v>17</v>
      </c>
      <c r="Q5562" s="10" t="str">
        <f t="shared" si="86"/>
        <v>Incomplete</v>
      </c>
    </row>
    <row r="5563" spans="1:17">
      <c r="A5563" s="12">
        <v>46287</v>
      </c>
      <c r="B5563" s="10">
        <v>18</v>
      </c>
      <c r="Q5563" s="10" t="str">
        <f t="shared" si="86"/>
        <v>Incomplete</v>
      </c>
    </row>
    <row r="5564" spans="1:17">
      <c r="A5564" s="12">
        <v>46287</v>
      </c>
      <c r="B5564" s="10">
        <v>19</v>
      </c>
      <c r="Q5564" s="10" t="str">
        <f t="shared" si="86"/>
        <v>Incomplete</v>
      </c>
    </row>
    <row r="5565" spans="1:17">
      <c r="A5565" s="12">
        <v>46287</v>
      </c>
      <c r="B5565" s="10">
        <v>20</v>
      </c>
      <c r="Q5565" s="10" t="str">
        <f t="shared" si="86"/>
        <v>Incomplete</v>
      </c>
    </row>
    <row r="5566" spans="1:17">
      <c r="A5566" s="12">
        <v>46287</v>
      </c>
      <c r="B5566" s="10">
        <v>21</v>
      </c>
      <c r="Q5566" s="10" t="str">
        <f t="shared" si="86"/>
        <v>Incomplete</v>
      </c>
    </row>
    <row r="5567" spans="1:17">
      <c r="A5567" s="12">
        <v>46288</v>
      </c>
      <c r="B5567" s="10">
        <v>1</v>
      </c>
      <c r="Q5567" s="10" t="str">
        <f t="shared" si="86"/>
        <v>Incomplete</v>
      </c>
    </row>
    <row r="5568" spans="1:17">
      <c r="A5568" s="12">
        <v>46288</v>
      </c>
      <c r="B5568" s="10">
        <v>2</v>
      </c>
      <c r="Q5568" s="10" t="str">
        <f t="shared" si="86"/>
        <v>Incomplete</v>
      </c>
    </row>
    <row r="5569" spans="1:17">
      <c r="A5569" s="12">
        <v>46288</v>
      </c>
      <c r="B5569" s="10">
        <v>3</v>
      </c>
      <c r="Q5569" s="10" t="str">
        <f t="shared" si="86"/>
        <v>Incomplete</v>
      </c>
    </row>
    <row r="5570" spans="1:17">
      <c r="A5570" s="12">
        <v>46288</v>
      </c>
      <c r="B5570" s="10">
        <v>4</v>
      </c>
      <c r="Q5570" s="10" t="str">
        <f t="shared" ref="Q5570:Q5633" si="87">IF(AND(C5570&lt;&gt;"",J5570&lt;&gt;"",K5570&lt;&gt;"",L5570&lt;&gt;"",O5570="Yes"),"Complete","Incomplete")</f>
        <v>Incomplete</v>
      </c>
    </row>
    <row r="5571" spans="1:17">
      <c r="A5571" s="12">
        <v>46288</v>
      </c>
      <c r="B5571" s="10">
        <v>5</v>
      </c>
      <c r="Q5571" s="10" t="str">
        <f t="shared" si="87"/>
        <v>Incomplete</v>
      </c>
    </row>
    <row r="5572" spans="1:17">
      <c r="A5572" s="12">
        <v>46288</v>
      </c>
      <c r="B5572" s="10">
        <v>6</v>
      </c>
      <c r="Q5572" s="10" t="str">
        <f t="shared" si="87"/>
        <v>Incomplete</v>
      </c>
    </row>
    <row r="5573" spans="1:17">
      <c r="A5573" s="12">
        <v>46288</v>
      </c>
      <c r="B5573" s="10">
        <v>7</v>
      </c>
      <c r="Q5573" s="10" t="str">
        <f t="shared" si="87"/>
        <v>Incomplete</v>
      </c>
    </row>
    <row r="5574" spans="1:17">
      <c r="A5574" s="12">
        <v>46288</v>
      </c>
      <c r="B5574" s="10">
        <v>8</v>
      </c>
      <c r="Q5574" s="10" t="str">
        <f t="shared" si="87"/>
        <v>Incomplete</v>
      </c>
    </row>
    <row r="5575" spans="1:17">
      <c r="A5575" s="12">
        <v>46288</v>
      </c>
      <c r="B5575" s="10">
        <v>9</v>
      </c>
      <c r="Q5575" s="10" t="str">
        <f t="shared" si="87"/>
        <v>Incomplete</v>
      </c>
    </row>
    <row r="5576" spans="1:17">
      <c r="A5576" s="12">
        <v>46288</v>
      </c>
      <c r="B5576" s="10">
        <v>10</v>
      </c>
      <c r="Q5576" s="10" t="str">
        <f t="shared" si="87"/>
        <v>Incomplete</v>
      </c>
    </row>
    <row r="5577" spans="1:17">
      <c r="A5577" s="12">
        <v>46288</v>
      </c>
      <c r="B5577" s="10">
        <v>11</v>
      </c>
      <c r="Q5577" s="10" t="str">
        <f t="shared" si="87"/>
        <v>Incomplete</v>
      </c>
    </row>
    <row r="5578" spans="1:17">
      <c r="A5578" s="12">
        <v>46288</v>
      </c>
      <c r="B5578" s="10">
        <v>12</v>
      </c>
      <c r="Q5578" s="10" t="str">
        <f t="shared" si="87"/>
        <v>Incomplete</v>
      </c>
    </row>
    <row r="5579" spans="1:17">
      <c r="A5579" s="12">
        <v>46288</v>
      </c>
      <c r="B5579" s="10">
        <v>13</v>
      </c>
      <c r="Q5579" s="10" t="str">
        <f t="shared" si="87"/>
        <v>Incomplete</v>
      </c>
    </row>
    <row r="5580" spans="1:17">
      <c r="A5580" s="12">
        <v>46288</v>
      </c>
      <c r="B5580" s="10">
        <v>14</v>
      </c>
      <c r="Q5580" s="10" t="str">
        <f t="shared" si="87"/>
        <v>Incomplete</v>
      </c>
    </row>
    <row r="5581" spans="1:17">
      <c r="A5581" s="12">
        <v>46288</v>
      </c>
      <c r="B5581" s="10">
        <v>15</v>
      </c>
      <c r="Q5581" s="10" t="str">
        <f t="shared" si="87"/>
        <v>Incomplete</v>
      </c>
    </row>
    <row r="5582" spans="1:17">
      <c r="A5582" s="12">
        <v>46288</v>
      </c>
      <c r="B5582" s="10">
        <v>16</v>
      </c>
      <c r="Q5582" s="10" t="str">
        <f t="shared" si="87"/>
        <v>Incomplete</v>
      </c>
    </row>
    <row r="5583" spans="1:17">
      <c r="A5583" s="12">
        <v>46288</v>
      </c>
      <c r="B5583" s="10">
        <v>17</v>
      </c>
      <c r="Q5583" s="10" t="str">
        <f t="shared" si="87"/>
        <v>Incomplete</v>
      </c>
    </row>
    <row r="5584" spans="1:17">
      <c r="A5584" s="12">
        <v>46288</v>
      </c>
      <c r="B5584" s="10">
        <v>18</v>
      </c>
      <c r="Q5584" s="10" t="str">
        <f t="shared" si="87"/>
        <v>Incomplete</v>
      </c>
    </row>
    <row r="5585" spans="1:17">
      <c r="A5585" s="12">
        <v>46288</v>
      </c>
      <c r="B5585" s="10">
        <v>19</v>
      </c>
      <c r="Q5585" s="10" t="str">
        <f t="shared" si="87"/>
        <v>Incomplete</v>
      </c>
    </row>
    <row r="5586" spans="1:17">
      <c r="A5586" s="12">
        <v>46288</v>
      </c>
      <c r="B5586" s="10">
        <v>20</v>
      </c>
      <c r="Q5586" s="10" t="str">
        <f t="shared" si="87"/>
        <v>Incomplete</v>
      </c>
    </row>
    <row r="5587" spans="1:17">
      <c r="A5587" s="12">
        <v>46288</v>
      </c>
      <c r="B5587" s="10">
        <v>21</v>
      </c>
      <c r="Q5587" s="10" t="str">
        <f t="shared" si="87"/>
        <v>Incomplete</v>
      </c>
    </row>
    <row r="5588" spans="1:17">
      <c r="A5588" s="12">
        <v>46289</v>
      </c>
      <c r="B5588" s="10">
        <v>1</v>
      </c>
      <c r="Q5588" s="10" t="str">
        <f t="shared" si="87"/>
        <v>Incomplete</v>
      </c>
    </row>
    <row r="5589" spans="1:17">
      <c r="A5589" s="12">
        <v>46289</v>
      </c>
      <c r="B5589" s="10">
        <v>2</v>
      </c>
      <c r="Q5589" s="10" t="str">
        <f t="shared" si="87"/>
        <v>Incomplete</v>
      </c>
    </row>
    <row r="5590" spans="1:17">
      <c r="A5590" s="12">
        <v>46289</v>
      </c>
      <c r="B5590" s="10">
        <v>3</v>
      </c>
      <c r="Q5590" s="10" t="str">
        <f t="shared" si="87"/>
        <v>Incomplete</v>
      </c>
    </row>
    <row r="5591" spans="1:17">
      <c r="A5591" s="12">
        <v>46289</v>
      </c>
      <c r="B5591" s="10">
        <v>4</v>
      </c>
      <c r="Q5591" s="10" t="str">
        <f t="shared" si="87"/>
        <v>Incomplete</v>
      </c>
    </row>
    <row r="5592" spans="1:17">
      <c r="A5592" s="12">
        <v>46289</v>
      </c>
      <c r="B5592" s="10">
        <v>5</v>
      </c>
      <c r="Q5592" s="10" t="str">
        <f t="shared" si="87"/>
        <v>Incomplete</v>
      </c>
    </row>
    <row r="5593" spans="1:17">
      <c r="A5593" s="12">
        <v>46289</v>
      </c>
      <c r="B5593" s="10">
        <v>6</v>
      </c>
      <c r="Q5593" s="10" t="str">
        <f t="shared" si="87"/>
        <v>Incomplete</v>
      </c>
    </row>
    <row r="5594" spans="1:17">
      <c r="A5594" s="12">
        <v>46289</v>
      </c>
      <c r="B5594" s="10">
        <v>7</v>
      </c>
      <c r="Q5594" s="10" t="str">
        <f t="shared" si="87"/>
        <v>Incomplete</v>
      </c>
    </row>
    <row r="5595" spans="1:17">
      <c r="A5595" s="12">
        <v>46289</v>
      </c>
      <c r="B5595" s="10">
        <v>8</v>
      </c>
      <c r="Q5595" s="10" t="str">
        <f t="shared" si="87"/>
        <v>Incomplete</v>
      </c>
    </row>
    <row r="5596" spans="1:17">
      <c r="A5596" s="12">
        <v>46289</v>
      </c>
      <c r="B5596" s="10">
        <v>9</v>
      </c>
      <c r="Q5596" s="10" t="str">
        <f t="shared" si="87"/>
        <v>Incomplete</v>
      </c>
    </row>
    <row r="5597" spans="1:17">
      <c r="A5597" s="12">
        <v>46289</v>
      </c>
      <c r="B5597" s="10">
        <v>10</v>
      </c>
      <c r="Q5597" s="10" t="str">
        <f t="shared" si="87"/>
        <v>Incomplete</v>
      </c>
    </row>
    <row r="5598" spans="1:17">
      <c r="A5598" s="12">
        <v>46289</v>
      </c>
      <c r="B5598" s="10">
        <v>11</v>
      </c>
      <c r="Q5598" s="10" t="str">
        <f t="shared" si="87"/>
        <v>Incomplete</v>
      </c>
    </row>
    <row r="5599" spans="1:17">
      <c r="A5599" s="12">
        <v>46289</v>
      </c>
      <c r="B5599" s="10">
        <v>12</v>
      </c>
      <c r="Q5599" s="10" t="str">
        <f t="shared" si="87"/>
        <v>Incomplete</v>
      </c>
    </row>
    <row r="5600" spans="1:17">
      <c r="A5600" s="12">
        <v>46289</v>
      </c>
      <c r="B5600" s="10">
        <v>13</v>
      </c>
      <c r="Q5600" s="10" t="str">
        <f t="shared" si="87"/>
        <v>Incomplete</v>
      </c>
    </row>
    <row r="5601" spans="1:17">
      <c r="A5601" s="12">
        <v>46289</v>
      </c>
      <c r="B5601" s="10">
        <v>14</v>
      </c>
      <c r="Q5601" s="10" t="str">
        <f t="shared" si="87"/>
        <v>Incomplete</v>
      </c>
    </row>
    <row r="5602" spans="1:17">
      <c r="A5602" s="12">
        <v>46289</v>
      </c>
      <c r="B5602" s="10">
        <v>15</v>
      </c>
      <c r="Q5602" s="10" t="str">
        <f t="shared" si="87"/>
        <v>Incomplete</v>
      </c>
    </row>
    <row r="5603" spans="1:17">
      <c r="A5603" s="12">
        <v>46289</v>
      </c>
      <c r="B5603" s="10">
        <v>16</v>
      </c>
      <c r="Q5603" s="10" t="str">
        <f t="shared" si="87"/>
        <v>Incomplete</v>
      </c>
    </row>
    <row r="5604" spans="1:17">
      <c r="A5604" s="12">
        <v>46289</v>
      </c>
      <c r="B5604" s="10">
        <v>17</v>
      </c>
      <c r="Q5604" s="10" t="str">
        <f t="shared" si="87"/>
        <v>Incomplete</v>
      </c>
    </row>
    <row r="5605" spans="1:17">
      <c r="A5605" s="12">
        <v>46289</v>
      </c>
      <c r="B5605" s="10">
        <v>18</v>
      </c>
      <c r="Q5605" s="10" t="str">
        <f t="shared" si="87"/>
        <v>Incomplete</v>
      </c>
    </row>
    <row r="5606" spans="1:17">
      <c r="A5606" s="12">
        <v>46289</v>
      </c>
      <c r="B5606" s="10">
        <v>19</v>
      </c>
      <c r="Q5606" s="10" t="str">
        <f t="shared" si="87"/>
        <v>Incomplete</v>
      </c>
    </row>
    <row r="5607" spans="1:17">
      <c r="A5607" s="12">
        <v>46289</v>
      </c>
      <c r="B5607" s="10">
        <v>20</v>
      </c>
      <c r="Q5607" s="10" t="str">
        <f t="shared" si="87"/>
        <v>Incomplete</v>
      </c>
    </row>
    <row r="5608" spans="1:17">
      <c r="A5608" s="12">
        <v>46289</v>
      </c>
      <c r="B5608" s="10">
        <v>21</v>
      </c>
      <c r="Q5608" s="10" t="str">
        <f t="shared" si="87"/>
        <v>Incomplete</v>
      </c>
    </row>
    <row r="5609" spans="1:17">
      <c r="A5609" s="12">
        <v>46290</v>
      </c>
      <c r="B5609" s="10">
        <v>1</v>
      </c>
      <c r="Q5609" s="10" t="str">
        <f t="shared" si="87"/>
        <v>Incomplete</v>
      </c>
    </row>
    <row r="5610" spans="1:17">
      <c r="A5610" s="12">
        <v>46290</v>
      </c>
      <c r="B5610" s="10">
        <v>2</v>
      </c>
      <c r="Q5610" s="10" t="str">
        <f t="shared" si="87"/>
        <v>Incomplete</v>
      </c>
    </row>
    <row r="5611" spans="1:17">
      <c r="A5611" s="12">
        <v>46290</v>
      </c>
      <c r="B5611" s="10">
        <v>3</v>
      </c>
      <c r="Q5611" s="10" t="str">
        <f t="shared" si="87"/>
        <v>Incomplete</v>
      </c>
    </row>
    <row r="5612" spans="1:17">
      <c r="A5612" s="12">
        <v>46290</v>
      </c>
      <c r="B5612" s="10">
        <v>4</v>
      </c>
      <c r="Q5612" s="10" t="str">
        <f t="shared" si="87"/>
        <v>Incomplete</v>
      </c>
    </row>
    <row r="5613" spans="1:17">
      <c r="A5613" s="12">
        <v>46290</v>
      </c>
      <c r="B5613" s="10">
        <v>5</v>
      </c>
      <c r="Q5613" s="10" t="str">
        <f t="shared" si="87"/>
        <v>Incomplete</v>
      </c>
    </row>
    <row r="5614" spans="1:17">
      <c r="A5614" s="12">
        <v>46290</v>
      </c>
      <c r="B5614" s="10">
        <v>6</v>
      </c>
      <c r="Q5614" s="10" t="str">
        <f t="shared" si="87"/>
        <v>Incomplete</v>
      </c>
    </row>
    <row r="5615" spans="1:17">
      <c r="A5615" s="12">
        <v>46290</v>
      </c>
      <c r="B5615" s="10">
        <v>7</v>
      </c>
      <c r="Q5615" s="10" t="str">
        <f t="shared" si="87"/>
        <v>Incomplete</v>
      </c>
    </row>
    <row r="5616" spans="1:17">
      <c r="A5616" s="12">
        <v>46290</v>
      </c>
      <c r="B5616" s="10">
        <v>8</v>
      </c>
      <c r="Q5616" s="10" t="str">
        <f t="shared" si="87"/>
        <v>Incomplete</v>
      </c>
    </row>
    <row r="5617" spans="1:17">
      <c r="A5617" s="12">
        <v>46290</v>
      </c>
      <c r="B5617" s="10">
        <v>9</v>
      </c>
      <c r="Q5617" s="10" t="str">
        <f t="shared" si="87"/>
        <v>Incomplete</v>
      </c>
    </row>
    <row r="5618" spans="1:17">
      <c r="A5618" s="12">
        <v>46290</v>
      </c>
      <c r="B5618" s="10">
        <v>10</v>
      </c>
      <c r="Q5618" s="10" t="str">
        <f t="shared" si="87"/>
        <v>Incomplete</v>
      </c>
    </row>
    <row r="5619" spans="1:17">
      <c r="A5619" s="12">
        <v>46290</v>
      </c>
      <c r="B5619" s="10">
        <v>11</v>
      </c>
      <c r="Q5619" s="10" t="str">
        <f t="shared" si="87"/>
        <v>Incomplete</v>
      </c>
    </row>
    <row r="5620" spans="1:17">
      <c r="A5620" s="12">
        <v>46290</v>
      </c>
      <c r="B5620" s="10">
        <v>12</v>
      </c>
      <c r="Q5620" s="10" t="str">
        <f t="shared" si="87"/>
        <v>Incomplete</v>
      </c>
    </row>
    <row r="5621" spans="1:17">
      <c r="A5621" s="12">
        <v>46290</v>
      </c>
      <c r="B5621" s="10">
        <v>13</v>
      </c>
      <c r="Q5621" s="10" t="str">
        <f t="shared" si="87"/>
        <v>Incomplete</v>
      </c>
    </row>
    <row r="5622" spans="1:17">
      <c r="A5622" s="12">
        <v>46290</v>
      </c>
      <c r="B5622" s="10">
        <v>14</v>
      </c>
      <c r="Q5622" s="10" t="str">
        <f t="shared" si="87"/>
        <v>Incomplete</v>
      </c>
    </row>
    <row r="5623" spans="1:17">
      <c r="A5623" s="12">
        <v>46290</v>
      </c>
      <c r="B5623" s="10">
        <v>15</v>
      </c>
      <c r="Q5623" s="10" t="str">
        <f t="shared" si="87"/>
        <v>Incomplete</v>
      </c>
    </row>
    <row r="5624" spans="1:17">
      <c r="A5624" s="12">
        <v>46290</v>
      </c>
      <c r="B5624" s="10">
        <v>16</v>
      </c>
      <c r="Q5624" s="10" t="str">
        <f t="shared" si="87"/>
        <v>Incomplete</v>
      </c>
    </row>
    <row r="5625" spans="1:17">
      <c r="A5625" s="12">
        <v>46290</v>
      </c>
      <c r="B5625" s="10">
        <v>17</v>
      </c>
      <c r="Q5625" s="10" t="str">
        <f t="shared" si="87"/>
        <v>Incomplete</v>
      </c>
    </row>
    <row r="5626" spans="1:17">
      <c r="A5626" s="12">
        <v>46290</v>
      </c>
      <c r="B5626" s="10">
        <v>18</v>
      </c>
      <c r="Q5626" s="10" t="str">
        <f t="shared" si="87"/>
        <v>Incomplete</v>
      </c>
    </row>
    <row r="5627" spans="1:17">
      <c r="A5627" s="12">
        <v>46290</v>
      </c>
      <c r="B5627" s="10">
        <v>19</v>
      </c>
      <c r="Q5627" s="10" t="str">
        <f t="shared" si="87"/>
        <v>Incomplete</v>
      </c>
    </row>
    <row r="5628" spans="1:17">
      <c r="A5628" s="12">
        <v>46290</v>
      </c>
      <c r="B5628" s="10">
        <v>20</v>
      </c>
      <c r="Q5628" s="10" t="str">
        <f t="shared" si="87"/>
        <v>Incomplete</v>
      </c>
    </row>
    <row r="5629" spans="1:17">
      <c r="A5629" s="12">
        <v>46290</v>
      </c>
      <c r="B5629" s="10">
        <v>21</v>
      </c>
      <c r="Q5629" s="10" t="str">
        <f t="shared" si="87"/>
        <v>Incomplete</v>
      </c>
    </row>
    <row r="5630" spans="1:17">
      <c r="A5630" s="12">
        <v>46291</v>
      </c>
      <c r="B5630" s="10">
        <v>1</v>
      </c>
      <c r="Q5630" s="10" t="str">
        <f t="shared" si="87"/>
        <v>Incomplete</v>
      </c>
    </row>
    <row r="5631" spans="1:17">
      <c r="A5631" s="12">
        <v>46291</v>
      </c>
      <c r="B5631" s="10">
        <v>2</v>
      </c>
      <c r="Q5631" s="10" t="str">
        <f t="shared" si="87"/>
        <v>Incomplete</v>
      </c>
    </row>
    <row r="5632" spans="1:17">
      <c r="A5632" s="12">
        <v>46291</v>
      </c>
      <c r="B5632" s="10">
        <v>3</v>
      </c>
      <c r="Q5632" s="10" t="str">
        <f t="shared" si="87"/>
        <v>Incomplete</v>
      </c>
    </row>
    <row r="5633" spans="1:17">
      <c r="A5633" s="12">
        <v>46291</v>
      </c>
      <c r="B5633" s="10">
        <v>4</v>
      </c>
      <c r="Q5633" s="10" t="str">
        <f t="shared" si="87"/>
        <v>Incomplete</v>
      </c>
    </row>
    <row r="5634" spans="1:17">
      <c r="A5634" s="12">
        <v>46291</v>
      </c>
      <c r="B5634" s="10">
        <v>5</v>
      </c>
      <c r="Q5634" s="10" t="str">
        <f t="shared" ref="Q5634:Q5697" si="88">IF(AND(C5634&lt;&gt;"",J5634&lt;&gt;"",K5634&lt;&gt;"",L5634&lt;&gt;"",O5634="Yes"),"Complete","Incomplete")</f>
        <v>Incomplete</v>
      </c>
    </row>
    <row r="5635" spans="1:17">
      <c r="A5635" s="12">
        <v>46291</v>
      </c>
      <c r="B5635" s="10">
        <v>6</v>
      </c>
      <c r="Q5635" s="10" t="str">
        <f t="shared" si="88"/>
        <v>Incomplete</v>
      </c>
    </row>
    <row r="5636" spans="1:17">
      <c r="A5636" s="12">
        <v>46291</v>
      </c>
      <c r="B5636" s="10">
        <v>7</v>
      </c>
      <c r="Q5636" s="10" t="str">
        <f t="shared" si="88"/>
        <v>Incomplete</v>
      </c>
    </row>
    <row r="5637" spans="1:17">
      <c r="A5637" s="12">
        <v>46291</v>
      </c>
      <c r="B5637" s="10">
        <v>8</v>
      </c>
      <c r="Q5637" s="10" t="str">
        <f t="shared" si="88"/>
        <v>Incomplete</v>
      </c>
    </row>
    <row r="5638" spans="1:17">
      <c r="A5638" s="12">
        <v>46291</v>
      </c>
      <c r="B5638" s="10">
        <v>9</v>
      </c>
      <c r="Q5638" s="10" t="str">
        <f t="shared" si="88"/>
        <v>Incomplete</v>
      </c>
    </row>
    <row r="5639" spans="1:17">
      <c r="A5639" s="12">
        <v>46291</v>
      </c>
      <c r="B5639" s="10">
        <v>10</v>
      </c>
      <c r="Q5639" s="10" t="str">
        <f t="shared" si="88"/>
        <v>Incomplete</v>
      </c>
    </row>
    <row r="5640" spans="1:17">
      <c r="A5640" s="12">
        <v>46291</v>
      </c>
      <c r="B5640" s="10">
        <v>11</v>
      </c>
      <c r="Q5640" s="10" t="str">
        <f t="shared" si="88"/>
        <v>Incomplete</v>
      </c>
    </row>
    <row r="5641" spans="1:17">
      <c r="A5641" s="12">
        <v>46291</v>
      </c>
      <c r="B5641" s="10">
        <v>12</v>
      </c>
      <c r="Q5641" s="10" t="str">
        <f t="shared" si="88"/>
        <v>Incomplete</v>
      </c>
    </row>
    <row r="5642" spans="1:17">
      <c r="A5642" s="12">
        <v>46291</v>
      </c>
      <c r="B5642" s="10">
        <v>13</v>
      </c>
      <c r="Q5642" s="10" t="str">
        <f t="shared" si="88"/>
        <v>Incomplete</v>
      </c>
    </row>
    <row r="5643" spans="1:17">
      <c r="A5643" s="12">
        <v>46291</v>
      </c>
      <c r="B5643" s="10">
        <v>14</v>
      </c>
      <c r="Q5643" s="10" t="str">
        <f t="shared" si="88"/>
        <v>Incomplete</v>
      </c>
    </row>
    <row r="5644" spans="1:17">
      <c r="A5644" s="12">
        <v>46291</v>
      </c>
      <c r="B5644" s="10">
        <v>15</v>
      </c>
      <c r="Q5644" s="10" t="str">
        <f t="shared" si="88"/>
        <v>Incomplete</v>
      </c>
    </row>
    <row r="5645" spans="1:17">
      <c r="A5645" s="12">
        <v>46291</v>
      </c>
      <c r="B5645" s="10">
        <v>16</v>
      </c>
      <c r="Q5645" s="10" t="str">
        <f t="shared" si="88"/>
        <v>Incomplete</v>
      </c>
    </row>
    <row r="5646" spans="1:17">
      <c r="A5646" s="12">
        <v>46291</v>
      </c>
      <c r="B5646" s="10">
        <v>17</v>
      </c>
      <c r="Q5646" s="10" t="str">
        <f t="shared" si="88"/>
        <v>Incomplete</v>
      </c>
    </row>
    <row r="5647" spans="1:17">
      <c r="A5647" s="12">
        <v>46291</v>
      </c>
      <c r="B5647" s="10">
        <v>18</v>
      </c>
      <c r="Q5647" s="10" t="str">
        <f t="shared" si="88"/>
        <v>Incomplete</v>
      </c>
    </row>
    <row r="5648" spans="1:17">
      <c r="A5648" s="12">
        <v>46291</v>
      </c>
      <c r="B5648" s="10">
        <v>19</v>
      </c>
      <c r="Q5648" s="10" t="str">
        <f t="shared" si="88"/>
        <v>Incomplete</v>
      </c>
    </row>
    <row r="5649" spans="1:17">
      <c r="A5649" s="12">
        <v>46291</v>
      </c>
      <c r="B5649" s="10">
        <v>20</v>
      </c>
      <c r="Q5649" s="10" t="str">
        <f t="shared" si="88"/>
        <v>Incomplete</v>
      </c>
    </row>
    <row r="5650" spans="1:17">
      <c r="A5650" s="12">
        <v>46291</v>
      </c>
      <c r="B5650" s="10">
        <v>21</v>
      </c>
      <c r="Q5650" s="10" t="str">
        <f t="shared" si="88"/>
        <v>Incomplete</v>
      </c>
    </row>
    <row r="5651" spans="1:17">
      <c r="A5651" s="12">
        <v>46292</v>
      </c>
      <c r="B5651" s="10">
        <v>1</v>
      </c>
      <c r="Q5651" s="10" t="str">
        <f t="shared" si="88"/>
        <v>Incomplete</v>
      </c>
    </row>
    <row r="5652" spans="1:17">
      <c r="A5652" s="12">
        <v>46292</v>
      </c>
      <c r="B5652" s="10">
        <v>2</v>
      </c>
      <c r="Q5652" s="10" t="str">
        <f t="shared" si="88"/>
        <v>Incomplete</v>
      </c>
    </row>
    <row r="5653" spans="1:17">
      <c r="A5653" s="12">
        <v>46292</v>
      </c>
      <c r="B5653" s="10">
        <v>3</v>
      </c>
      <c r="Q5653" s="10" t="str">
        <f t="shared" si="88"/>
        <v>Incomplete</v>
      </c>
    </row>
    <row r="5654" spans="1:17">
      <c r="A5654" s="12">
        <v>46292</v>
      </c>
      <c r="B5654" s="10">
        <v>4</v>
      </c>
      <c r="Q5654" s="10" t="str">
        <f t="shared" si="88"/>
        <v>Incomplete</v>
      </c>
    </row>
    <row r="5655" spans="1:17">
      <c r="A5655" s="12">
        <v>46292</v>
      </c>
      <c r="B5655" s="10">
        <v>5</v>
      </c>
      <c r="Q5655" s="10" t="str">
        <f t="shared" si="88"/>
        <v>Incomplete</v>
      </c>
    </row>
    <row r="5656" spans="1:17">
      <c r="A5656" s="12">
        <v>46292</v>
      </c>
      <c r="B5656" s="10">
        <v>6</v>
      </c>
      <c r="Q5656" s="10" t="str">
        <f t="shared" si="88"/>
        <v>Incomplete</v>
      </c>
    </row>
    <row r="5657" spans="1:17">
      <c r="A5657" s="12">
        <v>46292</v>
      </c>
      <c r="B5657" s="10">
        <v>7</v>
      </c>
      <c r="Q5657" s="10" t="str">
        <f t="shared" si="88"/>
        <v>Incomplete</v>
      </c>
    </row>
    <row r="5658" spans="1:17">
      <c r="A5658" s="12">
        <v>46292</v>
      </c>
      <c r="B5658" s="10">
        <v>8</v>
      </c>
      <c r="Q5658" s="10" t="str">
        <f t="shared" si="88"/>
        <v>Incomplete</v>
      </c>
    </row>
    <row r="5659" spans="1:17">
      <c r="A5659" s="12">
        <v>46292</v>
      </c>
      <c r="B5659" s="10">
        <v>9</v>
      </c>
      <c r="Q5659" s="10" t="str">
        <f t="shared" si="88"/>
        <v>Incomplete</v>
      </c>
    </row>
    <row r="5660" spans="1:17">
      <c r="A5660" s="12">
        <v>46292</v>
      </c>
      <c r="B5660" s="10">
        <v>10</v>
      </c>
      <c r="Q5660" s="10" t="str">
        <f t="shared" si="88"/>
        <v>Incomplete</v>
      </c>
    </row>
    <row r="5661" spans="1:17">
      <c r="A5661" s="12">
        <v>46292</v>
      </c>
      <c r="B5661" s="10">
        <v>11</v>
      </c>
      <c r="Q5661" s="10" t="str">
        <f t="shared" si="88"/>
        <v>Incomplete</v>
      </c>
    </row>
    <row r="5662" spans="1:17">
      <c r="A5662" s="12">
        <v>46292</v>
      </c>
      <c r="B5662" s="10">
        <v>12</v>
      </c>
      <c r="Q5662" s="10" t="str">
        <f t="shared" si="88"/>
        <v>Incomplete</v>
      </c>
    </row>
    <row r="5663" spans="1:17">
      <c r="A5663" s="12">
        <v>46292</v>
      </c>
      <c r="B5663" s="10">
        <v>13</v>
      </c>
      <c r="Q5663" s="10" t="str">
        <f t="shared" si="88"/>
        <v>Incomplete</v>
      </c>
    </row>
    <row r="5664" spans="1:17">
      <c r="A5664" s="12">
        <v>46292</v>
      </c>
      <c r="B5664" s="10">
        <v>14</v>
      </c>
      <c r="Q5664" s="10" t="str">
        <f t="shared" si="88"/>
        <v>Incomplete</v>
      </c>
    </row>
    <row r="5665" spans="1:17">
      <c r="A5665" s="12">
        <v>46292</v>
      </c>
      <c r="B5665" s="10">
        <v>15</v>
      </c>
      <c r="Q5665" s="10" t="str">
        <f t="shared" si="88"/>
        <v>Incomplete</v>
      </c>
    </row>
    <row r="5666" spans="1:17">
      <c r="A5666" s="12">
        <v>46292</v>
      </c>
      <c r="B5666" s="10">
        <v>16</v>
      </c>
      <c r="Q5666" s="10" t="str">
        <f t="shared" si="88"/>
        <v>Incomplete</v>
      </c>
    </row>
    <row r="5667" spans="1:17">
      <c r="A5667" s="12">
        <v>46292</v>
      </c>
      <c r="B5667" s="10">
        <v>17</v>
      </c>
      <c r="Q5667" s="10" t="str">
        <f t="shared" si="88"/>
        <v>Incomplete</v>
      </c>
    </row>
    <row r="5668" spans="1:17">
      <c r="A5668" s="12">
        <v>46292</v>
      </c>
      <c r="B5668" s="10">
        <v>18</v>
      </c>
      <c r="Q5668" s="10" t="str">
        <f t="shared" si="88"/>
        <v>Incomplete</v>
      </c>
    </row>
    <row r="5669" spans="1:17">
      <c r="A5669" s="12">
        <v>46292</v>
      </c>
      <c r="B5669" s="10">
        <v>19</v>
      </c>
      <c r="Q5669" s="10" t="str">
        <f t="shared" si="88"/>
        <v>Incomplete</v>
      </c>
    </row>
    <row r="5670" spans="1:17">
      <c r="A5670" s="12">
        <v>46292</v>
      </c>
      <c r="B5670" s="10">
        <v>20</v>
      </c>
      <c r="Q5670" s="10" t="str">
        <f t="shared" si="88"/>
        <v>Incomplete</v>
      </c>
    </row>
    <row r="5671" spans="1:17">
      <c r="A5671" s="12">
        <v>46292</v>
      </c>
      <c r="B5671" s="10">
        <v>21</v>
      </c>
      <c r="Q5671" s="10" t="str">
        <f t="shared" si="88"/>
        <v>Incomplete</v>
      </c>
    </row>
    <row r="5672" spans="1:17">
      <c r="A5672" s="12">
        <v>46293</v>
      </c>
      <c r="B5672" s="10">
        <v>1</v>
      </c>
      <c r="Q5672" s="10" t="str">
        <f t="shared" si="88"/>
        <v>Incomplete</v>
      </c>
    </row>
    <row r="5673" spans="1:17">
      <c r="A5673" s="12">
        <v>46293</v>
      </c>
      <c r="B5673" s="10">
        <v>2</v>
      </c>
      <c r="Q5673" s="10" t="str">
        <f t="shared" si="88"/>
        <v>Incomplete</v>
      </c>
    </row>
    <row r="5674" spans="1:17">
      <c r="A5674" s="12">
        <v>46293</v>
      </c>
      <c r="B5674" s="10">
        <v>3</v>
      </c>
      <c r="Q5674" s="10" t="str">
        <f t="shared" si="88"/>
        <v>Incomplete</v>
      </c>
    </row>
    <row r="5675" spans="1:17">
      <c r="A5675" s="12">
        <v>46293</v>
      </c>
      <c r="B5675" s="10">
        <v>4</v>
      </c>
      <c r="Q5675" s="10" t="str">
        <f t="shared" si="88"/>
        <v>Incomplete</v>
      </c>
    </row>
    <row r="5676" spans="1:17">
      <c r="A5676" s="12">
        <v>46293</v>
      </c>
      <c r="B5676" s="10">
        <v>5</v>
      </c>
      <c r="Q5676" s="10" t="str">
        <f t="shared" si="88"/>
        <v>Incomplete</v>
      </c>
    </row>
    <row r="5677" spans="1:17">
      <c r="A5677" s="12">
        <v>46293</v>
      </c>
      <c r="B5677" s="10">
        <v>6</v>
      </c>
      <c r="Q5677" s="10" t="str">
        <f t="shared" si="88"/>
        <v>Incomplete</v>
      </c>
    </row>
    <row r="5678" spans="1:17">
      <c r="A5678" s="12">
        <v>46293</v>
      </c>
      <c r="B5678" s="10">
        <v>7</v>
      </c>
      <c r="Q5678" s="10" t="str">
        <f t="shared" si="88"/>
        <v>Incomplete</v>
      </c>
    </row>
    <row r="5679" spans="1:17">
      <c r="A5679" s="12">
        <v>46293</v>
      </c>
      <c r="B5679" s="10">
        <v>8</v>
      </c>
      <c r="Q5679" s="10" t="str">
        <f t="shared" si="88"/>
        <v>Incomplete</v>
      </c>
    </row>
    <row r="5680" spans="1:17">
      <c r="A5680" s="12">
        <v>46293</v>
      </c>
      <c r="B5680" s="10">
        <v>9</v>
      </c>
      <c r="Q5680" s="10" t="str">
        <f t="shared" si="88"/>
        <v>Incomplete</v>
      </c>
    </row>
    <row r="5681" spans="1:17">
      <c r="A5681" s="12">
        <v>46293</v>
      </c>
      <c r="B5681" s="10">
        <v>10</v>
      </c>
      <c r="Q5681" s="10" t="str">
        <f t="shared" si="88"/>
        <v>Incomplete</v>
      </c>
    </row>
    <row r="5682" spans="1:17">
      <c r="A5682" s="12">
        <v>46293</v>
      </c>
      <c r="B5682" s="10">
        <v>11</v>
      </c>
      <c r="Q5682" s="10" t="str">
        <f t="shared" si="88"/>
        <v>Incomplete</v>
      </c>
    </row>
    <row r="5683" spans="1:17">
      <c r="A5683" s="12">
        <v>46293</v>
      </c>
      <c r="B5683" s="10">
        <v>12</v>
      </c>
      <c r="Q5683" s="10" t="str">
        <f t="shared" si="88"/>
        <v>Incomplete</v>
      </c>
    </row>
    <row r="5684" spans="1:17">
      <c r="A5684" s="12">
        <v>46293</v>
      </c>
      <c r="B5684" s="10">
        <v>13</v>
      </c>
      <c r="Q5684" s="10" t="str">
        <f t="shared" si="88"/>
        <v>Incomplete</v>
      </c>
    </row>
    <row r="5685" spans="1:17">
      <c r="A5685" s="12">
        <v>46293</v>
      </c>
      <c r="B5685" s="10">
        <v>14</v>
      </c>
      <c r="Q5685" s="10" t="str">
        <f t="shared" si="88"/>
        <v>Incomplete</v>
      </c>
    </row>
    <row r="5686" spans="1:17">
      <c r="A5686" s="12">
        <v>46293</v>
      </c>
      <c r="B5686" s="10">
        <v>15</v>
      </c>
      <c r="Q5686" s="10" t="str">
        <f t="shared" si="88"/>
        <v>Incomplete</v>
      </c>
    </row>
    <row r="5687" spans="1:17">
      <c r="A5687" s="12">
        <v>46293</v>
      </c>
      <c r="B5687" s="10">
        <v>16</v>
      </c>
      <c r="Q5687" s="10" t="str">
        <f t="shared" si="88"/>
        <v>Incomplete</v>
      </c>
    </row>
    <row r="5688" spans="1:17">
      <c r="A5688" s="12">
        <v>46293</v>
      </c>
      <c r="B5688" s="10">
        <v>17</v>
      </c>
      <c r="Q5688" s="10" t="str">
        <f t="shared" si="88"/>
        <v>Incomplete</v>
      </c>
    </row>
    <row r="5689" spans="1:17">
      <c r="A5689" s="12">
        <v>46293</v>
      </c>
      <c r="B5689" s="10">
        <v>18</v>
      </c>
      <c r="Q5689" s="10" t="str">
        <f t="shared" si="88"/>
        <v>Incomplete</v>
      </c>
    </row>
    <row r="5690" spans="1:17">
      <c r="A5690" s="12">
        <v>46293</v>
      </c>
      <c r="B5690" s="10">
        <v>19</v>
      </c>
      <c r="Q5690" s="10" t="str">
        <f t="shared" si="88"/>
        <v>Incomplete</v>
      </c>
    </row>
    <row r="5691" spans="1:17">
      <c r="A5691" s="12">
        <v>46293</v>
      </c>
      <c r="B5691" s="10">
        <v>20</v>
      </c>
      <c r="Q5691" s="10" t="str">
        <f t="shared" si="88"/>
        <v>Incomplete</v>
      </c>
    </row>
    <row r="5692" spans="1:17">
      <c r="A5692" s="12">
        <v>46293</v>
      </c>
      <c r="B5692" s="10">
        <v>21</v>
      </c>
      <c r="Q5692" s="10" t="str">
        <f t="shared" si="88"/>
        <v>Incomplete</v>
      </c>
    </row>
    <row r="5693" spans="1:17">
      <c r="A5693" s="12">
        <v>46294</v>
      </c>
      <c r="B5693" s="10">
        <v>1</v>
      </c>
      <c r="Q5693" s="10" t="str">
        <f t="shared" si="88"/>
        <v>Incomplete</v>
      </c>
    </row>
    <row r="5694" spans="1:17">
      <c r="A5694" s="12">
        <v>46294</v>
      </c>
      <c r="B5694" s="10">
        <v>2</v>
      </c>
      <c r="Q5694" s="10" t="str">
        <f t="shared" si="88"/>
        <v>Incomplete</v>
      </c>
    </row>
    <row r="5695" spans="1:17">
      <c r="A5695" s="12">
        <v>46294</v>
      </c>
      <c r="B5695" s="10">
        <v>3</v>
      </c>
      <c r="Q5695" s="10" t="str">
        <f t="shared" si="88"/>
        <v>Incomplete</v>
      </c>
    </row>
    <row r="5696" spans="1:17">
      <c r="A5696" s="12">
        <v>46294</v>
      </c>
      <c r="B5696" s="10">
        <v>4</v>
      </c>
      <c r="Q5696" s="10" t="str">
        <f t="shared" si="88"/>
        <v>Incomplete</v>
      </c>
    </row>
    <row r="5697" spans="1:17">
      <c r="A5697" s="12">
        <v>46294</v>
      </c>
      <c r="B5697" s="10">
        <v>5</v>
      </c>
      <c r="Q5697" s="10" t="str">
        <f t="shared" si="88"/>
        <v>Incomplete</v>
      </c>
    </row>
    <row r="5698" spans="1:17">
      <c r="A5698" s="12">
        <v>46294</v>
      </c>
      <c r="B5698" s="10">
        <v>6</v>
      </c>
      <c r="Q5698" s="10" t="str">
        <f t="shared" ref="Q5698:Q5761" si="89">IF(AND(C5698&lt;&gt;"",J5698&lt;&gt;"",K5698&lt;&gt;"",L5698&lt;&gt;"",O5698="Yes"),"Complete","Incomplete")</f>
        <v>Incomplete</v>
      </c>
    </row>
    <row r="5699" spans="1:17">
      <c r="A5699" s="12">
        <v>46294</v>
      </c>
      <c r="B5699" s="10">
        <v>7</v>
      </c>
      <c r="Q5699" s="10" t="str">
        <f t="shared" si="89"/>
        <v>Incomplete</v>
      </c>
    </row>
    <row r="5700" spans="1:17">
      <c r="A5700" s="12">
        <v>46294</v>
      </c>
      <c r="B5700" s="10">
        <v>8</v>
      </c>
      <c r="Q5700" s="10" t="str">
        <f t="shared" si="89"/>
        <v>Incomplete</v>
      </c>
    </row>
    <row r="5701" spans="1:17">
      <c r="A5701" s="12">
        <v>46294</v>
      </c>
      <c r="B5701" s="10">
        <v>9</v>
      </c>
      <c r="Q5701" s="10" t="str">
        <f t="shared" si="89"/>
        <v>Incomplete</v>
      </c>
    </row>
    <row r="5702" spans="1:17">
      <c r="A5702" s="12">
        <v>46294</v>
      </c>
      <c r="B5702" s="10">
        <v>10</v>
      </c>
      <c r="Q5702" s="10" t="str">
        <f t="shared" si="89"/>
        <v>Incomplete</v>
      </c>
    </row>
    <row r="5703" spans="1:17">
      <c r="A5703" s="12">
        <v>46294</v>
      </c>
      <c r="B5703" s="10">
        <v>11</v>
      </c>
      <c r="Q5703" s="10" t="str">
        <f t="shared" si="89"/>
        <v>Incomplete</v>
      </c>
    </row>
    <row r="5704" spans="1:17">
      <c r="A5704" s="12">
        <v>46294</v>
      </c>
      <c r="B5704" s="10">
        <v>12</v>
      </c>
      <c r="Q5704" s="10" t="str">
        <f t="shared" si="89"/>
        <v>Incomplete</v>
      </c>
    </row>
    <row r="5705" spans="1:17">
      <c r="A5705" s="12">
        <v>46294</v>
      </c>
      <c r="B5705" s="10">
        <v>13</v>
      </c>
      <c r="Q5705" s="10" t="str">
        <f t="shared" si="89"/>
        <v>Incomplete</v>
      </c>
    </row>
    <row r="5706" spans="1:17">
      <c r="A5706" s="12">
        <v>46294</v>
      </c>
      <c r="B5706" s="10">
        <v>14</v>
      </c>
      <c r="Q5706" s="10" t="str">
        <f t="shared" si="89"/>
        <v>Incomplete</v>
      </c>
    </row>
    <row r="5707" spans="1:17">
      <c r="A5707" s="12">
        <v>46294</v>
      </c>
      <c r="B5707" s="10">
        <v>15</v>
      </c>
      <c r="Q5707" s="10" t="str">
        <f t="shared" si="89"/>
        <v>Incomplete</v>
      </c>
    </row>
    <row r="5708" spans="1:17">
      <c r="A5708" s="12">
        <v>46294</v>
      </c>
      <c r="B5708" s="10">
        <v>16</v>
      </c>
      <c r="Q5708" s="10" t="str">
        <f t="shared" si="89"/>
        <v>Incomplete</v>
      </c>
    </row>
    <row r="5709" spans="1:17">
      <c r="A5709" s="12">
        <v>46294</v>
      </c>
      <c r="B5709" s="10">
        <v>17</v>
      </c>
      <c r="Q5709" s="10" t="str">
        <f t="shared" si="89"/>
        <v>Incomplete</v>
      </c>
    </row>
    <row r="5710" spans="1:17">
      <c r="A5710" s="12">
        <v>46294</v>
      </c>
      <c r="B5710" s="10">
        <v>18</v>
      </c>
      <c r="Q5710" s="10" t="str">
        <f t="shared" si="89"/>
        <v>Incomplete</v>
      </c>
    </row>
    <row r="5711" spans="1:17">
      <c r="A5711" s="12">
        <v>46294</v>
      </c>
      <c r="B5711" s="10">
        <v>19</v>
      </c>
      <c r="Q5711" s="10" t="str">
        <f t="shared" si="89"/>
        <v>Incomplete</v>
      </c>
    </row>
    <row r="5712" spans="1:17">
      <c r="A5712" s="12">
        <v>46294</v>
      </c>
      <c r="B5712" s="10">
        <v>20</v>
      </c>
      <c r="Q5712" s="10" t="str">
        <f t="shared" si="89"/>
        <v>Incomplete</v>
      </c>
    </row>
    <row r="5713" spans="1:17">
      <c r="A5713" s="12">
        <v>46294</v>
      </c>
      <c r="B5713" s="10">
        <v>21</v>
      </c>
      <c r="Q5713" s="10" t="str">
        <f t="shared" si="89"/>
        <v>Incomplete</v>
      </c>
    </row>
    <row r="5714" spans="1:17">
      <c r="A5714" s="12">
        <v>46295</v>
      </c>
      <c r="B5714" s="10">
        <v>1</v>
      </c>
      <c r="Q5714" s="10" t="str">
        <f t="shared" si="89"/>
        <v>Incomplete</v>
      </c>
    </row>
    <row r="5715" spans="1:17">
      <c r="A5715" s="12">
        <v>46295</v>
      </c>
      <c r="B5715" s="10">
        <v>2</v>
      </c>
      <c r="Q5715" s="10" t="str">
        <f t="shared" si="89"/>
        <v>Incomplete</v>
      </c>
    </row>
    <row r="5716" spans="1:17">
      <c r="A5716" s="12">
        <v>46295</v>
      </c>
      <c r="B5716" s="10">
        <v>3</v>
      </c>
      <c r="Q5716" s="10" t="str">
        <f t="shared" si="89"/>
        <v>Incomplete</v>
      </c>
    </row>
    <row r="5717" spans="1:17">
      <c r="A5717" s="12">
        <v>46295</v>
      </c>
      <c r="B5717" s="10">
        <v>4</v>
      </c>
      <c r="Q5717" s="10" t="str">
        <f t="shared" si="89"/>
        <v>Incomplete</v>
      </c>
    </row>
    <row r="5718" spans="1:17">
      <c r="A5718" s="12">
        <v>46295</v>
      </c>
      <c r="B5718" s="10">
        <v>5</v>
      </c>
      <c r="Q5718" s="10" t="str">
        <f t="shared" si="89"/>
        <v>Incomplete</v>
      </c>
    </row>
    <row r="5719" spans="1:17">
      <c r="A5719" s="12">
        <v>46295</v>
      </c>
      <c r="B5719" s="10">
        <v>6</v>
      </c>
      <c r="Q5719" s="10" t="str">
        <f t="shared" si="89"/>
        <v>Incomplete</v>
      </c>
    </row>
    <row r="5720" spans="1:17">
      <c r="A5720" s="12">
        <v>46295</v>
      </c>
      <c r="B5720" s="10">
        <v>7</v>
      </c>
      <c r="Q5720" s="10" t="str">
        <f t="shared" si="89"/>
        <v>Incomplete</v>
      </c>
    </row>
    <row r="5721" spans="1:17">
      <c r="A5721" s="12">
        <v>46295</v>
      </c>
      <c r="B5721" s="10">
        <v>8</v>
      </c>
      <c r="Q5721" s="10" t="str">
        <f t="shared" si="89"/>
        <v>Incomplete</v>
      </c>
    </row>
    <row r="5722" spans="1:17">
      <c r="A5722" s="12">
        <v>46295</v>
      </c>
      <c r="B5722" s="10">
        <v>9</v>
      </c>
      <c r="Q5722" s="10" t="str">
        <f t="shared" si="89"/>
        <v>Incomplete</v>
      </c>
    </row>
    <row r="5723" spans="1:17">
      <c r="A5723" s="12">
        <v>46295</v>
      </c>
      <c r="B5723" s="10">
        <v>10</v>
      </c>
      <c r="Q5723" s="10" t="str">
        <f t="shared" si="89"/>
        <v>Incomplete</v>
      </c>
    </row>
    <row r="5724" spans="1:17">
      <c r="A5724" s="12">
        <v>46295</v>
      </c>
      <c r="B5724" s="10">
        <v>11</v>
      </c>
      <c r="Q5724" s="10" t="str">
        <f t="shared" si="89"/>
        <v>Incomplete</v>
      </c>
    </row>
    <row r="5725" spans="1:17">
      <c r="A5725" s="12">
        <v>46295</v>
      </c>
      <c r="B5725" s="10">
        <v>12</v>
      </c>
      <c r="Q5725" s="10" t="str">
        <f t="shared" si="89"/>
        <v>Incomplete</v>
      </c>
    </row>
    <row r="5726" spans="1:17">
      <c r="A5726" s="12">
        <v>46295</v>
      </c>
      <c r="B5726" s="10">
        <v>13</v>
      </c>
      <c r="Q5726" s="10" t="str">
        <f t="shared" si="89"/>
        <v>Incomplete</v>
      </c>
    </row>
    <row r="5727" spans="1:17">
      <c r="A5727" s="12">
        <v>46295</v>
      </c>
      <c r="B5727" s="10">
        <v>14</v>
      </c>
      <c r="Q5727" s="10" t="str">
        <f t="shared" si="89"/>
        <v>Incomplete</v>
      </c>
    </row>
    <row r="5728" spans="1:17">
      <c r="A5728" s="12">
        <v>46295</v>
      </c>
      <c r="B5728" s="10">
        <v>15</v>
      </c>
      <c r="Q5728" s="10" t="str">
        <f t="shared" si="89"/>
        <v>Incomplete</v>
      </c>
    </row>
    <row r="5729" spans="1:17">
      <c r="A5729" s="12">
        <v>46295</v>
      </c>
      <c r="B5729" s="10">
        <v>16</v>
      </c>
      <c r="Q5729" s="10" t="str">
        <f t="shared" si="89"/>
        <v>Incomplete</v>
      </c>
    </row>
    <row r="5730" spans="1:17">
      <c r="A5730" s="12">
        <v>46295</v>
      </c>
      <c r="B5730" s="10">
        <v>17</v>
      </c>
      <c r="Q5730" s="10" t="str">
        <f t="shared" si="89"/>
        <v>Incomplete</v>
      </c>
    </row>
    <row r="5731" spans="1:17">
      <c r="A5731" s="12">
        <v>46295</v>
      </c>
      <c r="B5731" s="10">
        <v>18</v>
      </c>
      <c r="Q5731" s="10" t="str">
        <f t="shared" si="89"/>
        <v>Incomplete</v>
      </c>
    </row>
    <row r="5732" spans="1:17">
      <c r="A5732" s="12">
        <v>46295</v>
      </c>
      <c r="B5732" s="10">
        <v>19</v>
      </c>
      <c r="Q5732" s="10" t="str">
        <f t="shared" si="89"/>
        <v>Incomplete</v>
      </c>
    </row>
    <row r="5733" spans="1:17">
      <c r="A5733" s="12">
        <v>46295</v>
      </c>
      <c r="B5733" s="10">
        <v>20</v>
      </c>
      <c r="Q5733" s="10" t="str">
        <f t="shared" si="89"/>
        <v>Incomplete</v>
      </c>
    </row>
    <row r="5734" spans="1:17">
      <c r="A5734" s="12">
        <v>46295</v>
      </c>
      <c r="B5734" s="10">
        <v>21</v>
      </c>
      <c r="Q5734" s="10" t="str">
        <f t="shared" si="89"/>
        <v>Incomplete</v>
      </c>
    </row>
    <row r="5735" spans="1:17">
      <c r="A5735" s="12">
        <v>46296</v>
      </c>
      <c r="B5735" s="10">
        <v>1</v>
      </c>
      <c r="Q5735" s="10" t="str">
        <f t="shared" si="89"/>
        <v>Incomplete</v>
      </c>
    </row>
    <row r="5736" spans="1:17">
      <c r="A5736" s="12">
        <v>46296</v>
      </c>
      <c r="B5736" s="10">
        <v>2</v>
      </c>
      <c r="Q5736" s="10" t="str">
        <f t="shared" si="89"/>
        <v>Incomplete</v>
      </c>
    </row>
    <row r="5737" spans="1:17">
      <c r="A5737" s="12">
        <v>46296</v>
      </c>
      <c r="B5737" s="10">
        <v>3</v>
      </c>
      <c r="Q5737" s="10" t="str">
        <f t="shared" si="89"/>
        <v>Incomplete</v>
      </c>
    </row>
    <row r="5738" spans="1:17">
      <c r="A5738" s="12">
        <v>46296</v>
      </c>
      <c r="B5738" s="10">
        <v>4</v>
      </c>
      <c r="Q5738" s="10" t="str">
        <f t="shared" si="89"/>
        <v>Incomplete</v>
      </c>
    </row>
    <row r="5739" spans="1:17">
      <c r="A5739" s="12">
        <v>46296</v>
      </c>
      <c r="B5739" s="10">
        <v>5</v>
      </c>
      <c r="Q5739" s="10" t="str">
        <f t="shared" si="89"/>
        <v>Incomplete</v>
      </c>
    </row>
    <row r="5740" spans="1:17">
      <c r="A5740" s="12">
        <v>46296</v>
      </c>
      <c r="B5740" s="10">
        <v>6</v>
      </c>
      <c r="Q5740" s="10" t="str">
        <f t="shared" si="89"/>
        <v>Incomplete</v>
      </c>
    </row>
    <row r="5741" spans="1:17">
      <c r="A5741" s="12">
        <v>46296</v>
      </c>
      <c r="B5741" s="10">
        <v>7</v>
      </c>
      <c r="Q5741" s="10" t="str">
        <f t="shared" si="89"/>
        <v>Incomplete</v>
      </c>
    </row>
    <row r="5742" spans="1:17">
      <c r="A5742" s="12">
        <v>46296</v>
      </c>
      <c r="B5742" s="10">
        <v>8</v>
      </c>
      <c r="Q5742" s="10" t="str">
        <f t="shared" si="89"/>
        <v>Incomplete</v>
      </c>
    </row>
    <row r="5743" spans="1:17">
      <c r="A5743" s="12">
        <v>46296</v>
      </c>
      <c r="B5743" s="10">
        <v>9</v>
      </c>
      <c r="Q5743" s="10" t="str">
        <f t="shared" si="89"/>
        <v>Incomplete</v>
      </c>
    </row>
    <row r="5744" spans="1:17">
      <c r="A5744" s="12">
        <v>46296</v>
      </c>
      <c r="B5744" s="10">
        <v>10</v>
      </c>
      <c r="Q5744" s="10" t="str">
        <f t="shared" si="89"/>
        <v>Incomplete</v>
      </c>
    </row>
    <row r="5745" spans="1:17">
      <c r="A5745" s="12">
        <v>46296</v>
      </c>
      <c r="B5745" s="10">
        <v>11</v>
      </c>
      <c r="Q5745" s="10" t="str">
        <f t="shared" si="89"/>
        <v>Incomplete</v>
      </c>
    </row>
    <row r="5746" spans="1:17">
      <c r="A5746" s="12">
        <v>46296</v>
      </c>
      <c r="B5746" s="10">
        <v>12</v>
      </c>
      <c r="Q5746" s="10" t="str">
        <f t="shared" si="89"/>
        <v>Incomplete</v>
      </c>
    </row>
    <row r="5747" spans="1:17">
      <c r="A5747" s="12">
        <v>46296</v>
      </c>
      <c r="B5747" s="10">
        <v>13</v>
      </c>
      <c r="Q5747" s="10" t="str">
        <f t="shared" si="89"/>
        <v>Incomplete</v>
      </c>
    </row>
    <row r="5748" spans="1:17">
      <c r="A5748" s="12">
        <v>46296</v>
      </c>
      <c r="B5748" s="10">
        <v>14</v>
      </c>
      <c r="Q5748" s="10" t="str">
        <f t="shared" si="89"/>
        <v>Incomplete</v>
      </c>
    </row>
    <row r="5749" spans="1:17">
      <c r="A5749" s="12">
        <v>46296</v>
      </c>
      <c r="B5749" s="10">
        <v>15</v>
      </c>
      <c r="Q5749" s="10" t="str">
        <f t="shared" si="89"/>
        <v>Incomplete</v>
      </c>
    </row>
    <row r="5750" spans="1:17">
      <c r="A5750" s="12">
        <v>46296</v>
      </c>
      <c r="B5750" s="10">
        <v>16</v>
      </c>
      <c r="Q5750" s="10" t="str">
        <f t="shared" si="89"/>
        <v>Incomplete</v>
      </c>
    </row>
    <row r="5751" spans="1:17">
      <c r="A5751" s="12">
        <v>46296</v>
      </c>
      <c r="B5751" s="10">
        <v>17</v>
      </c>
      <c r="Q5751" s="10" t="str">
        <f t="shared" si="89"/>
        <v>Incomplete</v>
      </c>
    </row>
    <row r="5752" spans="1:17">
      <c r="A5752" s="12">
        <v>46296</v>
      </c>
      <c r="B5752" s="10">
        <v>18</v>
      </c>
      <c r="Q5752" s="10" t="str">
        <f t="shared" si="89"/>
        <v>Incomplete</v>
      </c>
    </row>
    <row r="5753" spans="1:17">
      <c r="A5753" s="12">
        <v>46296</v>
      </c>
      <c r="B5753" s="10">
        <v>19</v>
      </c>
      <c r="Q5753" s="10" t="str">
        <f t="shared" si="89"/>
        <v>Incomplete</v>
      </c>
    </row>
    <row r="5754" spans="1:17">
      <c r="A5754" s="12">
        <v>46296</v>
      </c>
      <c r="B5754" s="10">
        <v>20</v>
      </c>
      <c r="Q5754" s="10" t="str">
        <f t="shared" si="89"/>
        <v>Incomplete</v>
      </c>
    </row>
    <row r="5755" spans="1:17">
      <c r="A5755" s="12">
        <v>46296</v>
      </c>
      <c r="B5755" s="10">
        <v>21</v>
      </c>
      <c r="Q5755" s="10" t="str">
        <f t="shared" si="89"/>
        <v>Incomplete</v>
      </c>
    </row>
    <row r="5756" spans="1:17">
      <c r="A5756" s="12">
        <v>46297</v>
      </c>
      <c r="B5756" s="10">
        <v>1</v>
      </c>
      <c r="Q5756" s="10" t="str">
        <f t="shared" si="89"/>
        <v>Incomplete</v>
      </c>
    </row>
    <row r="5757" spans="1:17">
      <c r="A5757" s="12">
        <v>46297</v>
      </c>
      <c r="B5757" s="10">
        <v>2</v>
      </c>
      <c r="Q5757" s="10" t="str">
        <f t="shared" si="89"/>
        <v>Incomplete</v>
      </c>
    </row>
    <row r="5758" spans="1:17">
      <c r="A5758" s="12">
        <v>46297</v>
      </c>
      <c r="B5758" s="10">
        <v>3</v>
      </c>
      <c r="Q5758" s="10" t="str">
        <f t="shared" si="89"/>
        <v>Incomplete</v>
      </c>
    </row>
    <row r="5759" spans="1:17">
      <c r="A5759" s="12">
        <v>46297</v>
      </c>
      <c r="B5759" s="10">
        <v>4</v>
      </c>
      <c r="Q5759" s="10" t="str">
        <f t="shared" si="89"/>
        <v>Incomplete</v>
      </c>
    </row>
    <row r="5760" spans="1:17">
      <c r="A5760" s="12">
        <v>46297</v>
      </c>
      <c r="B5760" s="10">
        <v>5</v>
      </c>
      <c r="Q5760" s="10" t="str">
        <f t="shared" si="89"/>
        <v>Incomplete</v>
      </c>
    </row>
    <row r="5761" spans="1:17">
      <c r="A5761" s="12">
        <v>46297</v>
      </c>
      <c r="B5761" s="10">
        <v>6</v>
      </c>
      <c r="Q5761" s="10" t="str">
        <f t="shared" si="89"/>
        <v>Incomplete</v>
      </c>
    </row>
    <row r="5762" spans="1:17">
      <c r="A5762" s="12">
        <v>46297</v>
      </c>
      <c r="B5762" s="10">
        <v>7</v>
      </c>
      <c r="Q5762" s="10" t="str">
        <f t="shared" ref="Q5762:Q5825" si="90">IF(AND(C5762&lt;&gt;"",J5762&lt;&gt;"",K5762&lt;&gt;"",L5762&lt;&gt;"",O5762="Yes"),"Complete","Incomplete")</f>
        <v>Incomplete</v>
      </c>
    </row>
    <row r="5763" spans="1:17">
      <c r="A5763" s="12">
        <v>46297</v>
      </c>
      <c r="B5763" s="10">
        <v>8</v>
      </c>
      <c r="Q5763" s="10" t="str">
        <f t="shared" si="90"/>
        <v>Incomplete</v>
      </c>
    </row>
    <row r="5764" spans="1:17">
      <c r="A5764" s="12">
        <v>46297</v>
      </c>
      <c r="B5764" s="10">
        <v>9</v>
      </c>
      <c r="Q5764" s="10" t="str">
        <f t="shared" si="90"/>
        <v>Incomplete</v>
      </c>
    </row>
    <row r="5765" spans="1:17">
      <c r="A5765" s="12">
        <v>46297</v>
      </c>
      <c r="B5765" s="10">
        <v>10</v>
      </c>
      <c r="Q5765" s="10" t="str">
        <f t="shared" si="90"/>
        <v>Incomplete</v>
      </c>
    </row>
    <row r="5766" spans="1:17">
      <c r="A5766" s="12">
        <v>46297</v>
      </c>
      <c r="B5766" s="10">
        <v>11</v>
      </c>
      <c r="Q5766" s="10" t="str">
        <f t="shared" si="90"/>
        <v>Incomplete</v>
      </c>
    </row>
    <row r="5767" spans="1:17">
      <c r="A5767" s="12">
        <v>46297</v>
      </c>
      <c r="B5767" s="10">
        <v>12</v>
      </c>
      <c r="Q5767" s="10" t="str">
        <f t="shared" si="90"/>
        <v>Incomplete</v>
      </c>
    </row>
    <row r="5768" spans="1:17">
      <c r="A5768" s="12">
        <v>46297</v>
      </c>
      <c r="B5768" s="10">
        <v>13</v>
      </c>
      <c r="Q5768" s="10" t="str">
        <f t="shared" si="90"/>
        <v>Incomplete</v>
      </c>
    </row>
    <row r="5769" spans="1:17">
      <c r="A5769" s="12">
        <v>46297</v>
      </c>
      <c r="B5769" s="10">
        <v>14</v>
      </c>
      <c r="Q5769" s="10" t="str">
        <f t="shared" si="90"/>
        <v>Incomplete</v>
      </c>
    </row>
    <row r="5770" spans="1:17">
      <c r="A5770" s="12">
        <v>46297</v>
      </c>
      <c r="B5770" s="10">
        <v>15</v>
      </c>
      <c r="Q5770" s="10" t="str">
        <f t="shared" si="90"/>
        <v>Incomplete</v>
      </c>
    </row>
    <row r="5771" spans="1:17">
      <c r="A5771" s="12">
        <v>46297</v>
      </c>
      <c r="B5771" s="10">
        <v>16</v>
      </c>
      <c r="Q5771" s="10" t="str">
        <f t="shared" si="90"/>
        <v>Incomplete</v>
      </c>
    </row>
    <row r="5772" spans="1:17">
      <c r="A5772" s="12">
        <v>46297</v>
      </c>
      <c r="B5772" s="10">
        <v>17</v>
      </c>
      <c r="Q5772" s="10" t="str">
        <f t="shared" si="90"/>
        <v>Incomplete</v>
      </c>
    </row>
    <row r="5773" spans="1:17">
      <c r="A5773" s="12">
        <v>46297</v>
      </c>
      <c r="B5773" s="10">
        <v>18</v>
      </c>
      <c r="Q5773" s="10" t="str">
        <f t="shared" si="90"/>
        <v>Incomplete</v>
      </c>
    </row>
    <row r="5774" spans="1:17">
      <c r="A5774" s="12">
        <v>46297</v>
      </c>
      <c r="B5774" s="10">
        <v>19</v>
      </c>
      <c r="Q5774" s="10" t="str">
        <f t="shared" si="90"/>
        <v>Incomplete</v>
      </c>
    </row>
    <row r="5775" spans="1:17">
      <c r="A5775" s="12">
        <v>46297</v>
      </c>
      <c r="B5775" s="10">
        <v>20</v>
      </c>
      <c r="Q5775" s="10" t="str">
        <f t="shared" si="90"/>
        <v>Incomplete</v>
      </c>
    </row>
    <row r="5776" spans="1:17">
      <c r="A5776" s="12">
        <v>46297</v>
      </c>
      <c r="B5776" s="10">
        <v>21</v>
      </c>
      <c r="Q5776" s="10" t="str">
        <f t="shared" si="90"/>
        <v>Incomplete</v>
      </c>
    </row>
    <row r="5777" spans="1:17">
      <c r="A5777" s="12">
        <v>46298</v>
      </c>
      <c r="B5777" s="10">
        <v>1</v>
      </c>
      <c r="Q5777" s="10" t="str">
        <f t="shared" si="90"/>
        <v>Incomplete</v>
      </c>
    </row>
    <row r="5778" spans="1:17">
      <c r="A5778" s="12">
        <v>46298</v>
      </c>
      <c r="B5778" s="10">
        <v>2</v>
      </c>
      <c r="Q5778" s="10" t="str">
        <f t="shared" si="90"/>
        <v>Incomplete</v>
      </c>
    </row>
    <row r="5779" spans="1:17">
      <c r="A5779" s="12">
        <v>46298</v>
      </c>
      <c r="B5779" s="10">
        <v>3</v>
      </c>
      <c r="Q5779" s="10" t="str">
        <f t="shared" si="90"/>
        <v>Incomplete</v>
      </c>
    </row>
    <row r="5780" spans="1:17">
      <c r="A5780" s="12">
        <v>46298</v>
      </c>
      <c r="B5780" s="10">
        <v>4</v>
      </c>
      <c r="Q5780" s="10" t="str">
        <f t="shared" si="90"/>
        <v>Incomplete</v>
      </c>
    </row>
    <row r="5781" spans="1:17">
      <c r="A5781" s="12">
        <v>46298</v>
      </c>
      <c r="B5781" s="10">
        <v>5</v>
      </c>
      <c r="Q5781" s="10" t="str">
        <f t="shared" si="90"/>
        <v>Incomplete</v>
      </c>
    </row>
    <row r="5782" spans="1:17">
      <c r="A5782" s="12">
        <v>46298</v>
      </c>
      <c r="B5782" s="10">
        <v>6</v>
      </c>
      <c r="Q5782" s="10" t="str">
        <f t="shared" si="90"/>
        <v>Incomplete</v>
      </c>
    </row>
    <row r="5783" spans="1:17">
      <c r="A5783" s="12">
        <v>46298</v>
      </c>
      <c r="B5783" s="10">
        <v>7</v>
      </c>
      <c r="Q5783" s="10" t="str">
        <f t="shared" si="90"/>
        <v>Incomplete</v>
      </c>
    </row>
    <row r="5784" spans="1:17">
      <c r="A5784" s="12">
        <v>46298</v>
      </c>
      <c r="B5784" s="10">
        <v>8</v>
      </c>
      <c r="Q5784" s="10" t="str">
        <f t="shared" si="90"/>
        <v>Incomplete</v>
      </c>
    </row>
    <row r="5785" spans="1:17">
      <c r="A5785" s="12">
        <v>46298</v>
      </c>
      <c r="B5785" s="10">
        <v>9</v>
      </c>
      <c r="Q5785" s="10" t="str">
        <f t="shared" si="90"/>
        <v>Incomplete</v>
      </c>
    </row>
    <row r="5786" spans="1:17">
      <c r="A5786" s="12">
        <v>46298</v>
      </c>
      <c r="B5786" s="10">
        <v>10</v>
      </c>
      <c r="Q5786" s="10" t="str">
        <f t="shared" si="90"/>
        <v>Incomplete</v>
      </c>
    </row>
    <row r="5787" spans="1:17">
      <c r="A5787" s="12">
        <v>46298</v>
      </c>
      <c r="B5787" s="10">
        <v>11</v>
      </c>
      <c r="Q5787" s="10" t="str">
        <f t="shared" si="90"/>
        <v>Incomplete</v>
      </c>
    </row>
    <row r="5788" spans="1:17">
      <c r="A5788" s="12">
        <v>46298</v>
      </c>
      <c r="B5788" s="10">
        <v>12</v>
      </c>
      <c r="Q5788" s="10" t="str">
        <f t="shared" si="90"/>
        <v>Incomplete</v>
      </c>
    </row>
    <row r="5789" spans="1:17">
      <c r="A5789" s="12">
        <v>46298</v>
      </c>
      <c r="B5789" s="10">
        <v>13</v>
      </c>
      <c r="Q5789" s="10" t="str">
        <f t="shared" si="90"/>
        <v>Incomplete</v>
      </c>
    </row>
    <row r="5790" spans="1:17">
      <c r="A5790" s="12">
        <v>46298</v>
      </c>
      <c r="B5790" s="10">
        <v>14</v>
      </c>
      <c r="Q5790" s="10" t="str">
        <f t="shared" si="90"/>
        <v>Incomplete</v>
      </c>
    </row>
    <row r="5791" spans="1:17">
      <c r="A5791" s="12">
        <v>46298</v>
      </c>
      <c r="B5791" s="10">
        <v>15</v>
      </c>
      <c r="Q5791" s="10" t="str">
        <f t="shared" si="90"/>
        <v>Incomplete</v>
      </c>
    </row>
    <row r="5792" spans="1:17">
      <c r="A5792" s="12">
        <v>46298</v>
      </c>
      <c r="B5792" s="10">
        <v>16</v>
      </c>
      <c r="Q5792" s="10" t="str">
        <f t="shared" si="90"/>
        <v>Incomplete</v>
      </c>
    </row>
    <row r="5793" spans="1:17">
      <c r="A5793" s="12">
        <v>46298</v>
      </c>
      <c r="B5793" s="10">
        <v>17</v>
      </c>
      <c r="Q5793" s="10" t="str">
        <f t="shared" si="90"/>
        <v>Incomplete</v>
      </c>
    </row>
    <row r="5794" spans="1:17">
      <c r="A5794" s="12">
        <v>46298</v>
      </c>
      <c r="B5794" s="10">
        <v>18</v>
      </c>
      <c r="Q5794" s="10" t="str">
        <f t="shared" si="90"/>
        <v>Incomplete</v>
      </c>
    </row>
    <row r="5795" spans="1:17">
      <c r="A5795" s="12">
        <v>46298</v>
      </c>
      <c r="B5795" s="10">
        <v>19</v>
      </c>
      <c r="Q5795" s="10" t="str">
        <f t="shared" si="90"/>
        <v>Incomplete</v>
      </c>
    </row>
    <row r="5796" spans="1:17">
      <c r="A5796" s="12">
        <v>46298</v>
      </c>
      <c r="B5796" s="10">
        <v>20</v>
      </c>
      <c r="Q5796" s="10" t="str">
        <f t="shared" si="90"/>
        <v>Incomplete</v>
      </c>
    </row>
    <row r="5797" spans="1:17">
      <c r="A5797" s="12">
        <v>46298</v>
      </c>
      <c r="B5797" s="10">
        <v>21</v>
      </c>
      <c r="Q5797" s="10" t="str">
        <f t="shared" si="90"/>
        <v>Incomplete</v>
      </c>
    </row>
    <row r="5798" spans="1:17">
      <c r="A5798" s="12">
        <v>46299</v>
      </c>
      <c r="B5798" s="10">
        <v>1</v>
      </c>
      <c r="Q5798" s="10" t="str">
        <f t="shared" si="90"/>
        <v>Incomplete</v>
      </c>
    </row>
    <row r="5799" spans="1:17">
      <c r="A5799" s="12">
        <v>46299</v>
      </c>
      <c r="B5799" s="10">
        <v>2</v>
      </c>
      <c r="Q5799" s="10" t="str">
        <f t="shared" si="90"/>
        <v>Incomplete</v>
      </c>
    </row>
    <row r="5800" spans="1:17">
      <c r="A5800" s="12">
        <v>46299</v>
      </c>
      <c r="B5800" s="10">
        <v>3</v>
      </c>
      <c r="Q5800" s="10" t="str">
        <f t="shared" si="90"/>
        <v>Incomplete</v>
      </c>
    </row>
    <row r="5801" spans="1:17">
      <c r="A5801" s="12">
        <v>46299</v>
      </c>
      <c r="B5801" s="10">
        <v>4</v>
      </c>
      <c r="Q5801" s="10" t="str">
        <f t="shared" si="90"/>
        <v>Incomplete</v>
      </c>
    </row>
    <row r="5802" spans="1:17">
      <c r="A5802" s="12">
        <v>46299</v>
      </c>
      <c r="B5802" s="10">
        <v>5</v>
      </c>
      <c r="Q5802" s="10" t="str">
        <f t="shared" si="90"/>
        <v>Incomplete</v>
      </c>
    </row>
    <row r="5803" spans="1:17">
      <c r="A5803" s="12">
        <v>46299</v>
      </c>
      <c r="B5803" s="10">
        <v>6</v>
      </c>
      <c r="Q5803" s="10" t="str">
        <f t="shared" si="90"/>
        <v>Incomplete</v>
      </c>
    </row>
    <row r="5804" spans="1:17">
      <c r="A5804" s="12">
        <v>46299</v>
      </c>
      <c r="B5804" s="10">
        <v>7</v>
      </c>
      <c r="Q5804" s="10" t="str">
        <f t="shared" si="90"/>
        <v>Incomplete</v>
      </c>
    </row>
    <row r="5805" spans="1:17">
      <c r="A5805" s="12">
        <v>46299</v>
      </c>
      <c r="B5805" s="10">
        <v>8</v>
      </c>
      <c r="Q5805" s="10" t="str">
        <f t="shared" si="90"/>
        <v>Incomplete</v>
      </c>
    </row>
    <row r="5806" spans="1:17">
      <c r="A5806" s="12">
        <v>46299</v>
      </c>
      <c r="B5806" s="10">
        <v>9</v>
      </c>
      <c r="Q5806" s="10" t="str">
        <f t="shared" si="90"/>
        <v>Incomplete</v>
      </c>
    </row>
    <row r="5807" spans="1:17">
      <c r="A5807" s="12">
        <v>46299</v>
      </c>
      <c r="B5807" s="10">
        <v>10</v>
      </c>
      <c r="Q5807" s="10" t="str">
        <f t="shared" si="90"/>
        <v>Incomplete</v>
      </c>
    </row>
    <row r="5808" spans="1:17">
      <c r="A5808" s="12">
        <v>46299</v>
      </c>
      <c r="B5808" s="10">
        <v>11</v>
      </c>
      <c r="Q5808" s="10" t="str">
        <f t="shared" si="90"/>
        <v>Incomplete</v>
      </c>
    </row>
    <row r="5809" spans="1:17">
      <c r="A5809" s="12">
        <v>46299</v>
      </c>
      <c r="B5809" s="10">
        <v>12</v>
      </c>
      <c r="Q5809" s="10" t="str">
        <f t="shared" si="90"/>
        <v>Incomplete</v>
      </c>
    </row>
    <row r="5810" spans="1:17">
      <c r="A5810" s="12">
        <v>46299</v>
      </c>
      <c r="B5810" s="10">
        <v>13</v>
      </c>
      <c r="Q5810" s="10" t="str">
        <f t="shared" si="90"/>
        <v>Incomplete</v>
      </c>
    </row>
    <row r="5811" spans="1:17">
      <c r="A5811" s="12">
        <v>46299</v>
      </c>
      <c r="B5811" s="10">
        <v>14</v>
      </c>
      <c r="Q5811" s="10" t="str">
        <f t="shared" si="90"/>
        <v>Incomplete</v>
      </c>
    </row>
    <row r="5812" spans="1:17">
      <c r="A5812" s="12">
        <v>46299</v>
      </c>
      <c r="B5812" s="10">
        <v>15</v>
      </c>
      <c r="Q5812" s="10" t="str">
        <f t="shared" si="90"/>
        <v>Incomplete</v>
      </c>
    </row>
    <row r="5813" spans="1:17">
      <c r="A5813" s="12">
        <v>46299</v>
      </c>
      <c r="B5813" s="10">
        <v>16</v>
      </c>
      <c r="Q5813" s="10" t="str">
        <f t="shared" si="90"/>
        <v>Incomplete</v>
      </c>
    </row>
    <row r="5814" spans="1:17">
      <c r="A5814" s="12">
        <v>46299</v>
      </c>
      <c r="B5814" s="10">
        <v>17</v>
      </c>
      <c r="Q5814" s="10" t="str">
        <f t="shared" si="90"/>
        <v>Incomplete</v>
      </c>
    </row>
    <row r="5815" spans="1:17">
      <c r="A5815" s="12">
        <v>46299</v>
      </c>
      <c r="B5815" s="10">
        <v>18</v>
      </c>
      <c r="Q5815" s="10" t="str">
        <f t="shared" si="90"/>
        <v>Incomplete</v>
      </c>
    </row>
    <row r="5816" spans="1:17">
      <c r="A5816" s="12">
        <v>46299</v>
      </c>
      <c r="B5816" s="10">
        <v>19</v>
      </c>
      <c r="Q5816" s="10" t="str">
        <f t="shared" si="90"/>
        <v>Incomplete</v>
      </c>
    </row>
    <row r="5817" spans="1:17">
      <c r="A5817" s="12">
        <v>46299</v>
      </c>
      <c r="B5817" s="10">
        <v>20</v>
      </c>
      <c r="Q5817" s="10" t="str">
        <f t="shared" si="90"/>
        <v>Incomplete</v>
      </c>
    </row>
    <row r="5818" spans="1:17">
      <c r="A5818" s="12">
        <v>46299</v>
      </c>
      <c r="B5818" s="10">
        <v>21</v>
      </c>
      <c r="Q5818" s="10" t="str">
        <f t="shared" si="90"/>
        <v>Incomplete</v>
      </c>
    </row>
    <row r="5819" spans="1:17">
      <c r="A5819" s="12">
        <v>46300</v>
      </c>
      <c r="B5819" s="10">
        <v>1</v>
      </c>
      <c r="Q5819" s="10" t="str">
        <f t="shared" si="90"/>
        <v>Incomplete</v>
      </c>
    </row>
    <row r="5820" spans="1:17">
      <c r="A5820" s="12">
        <v>46300</v>
      </c>
      <c r="B5820" s="10">
        <v>2</v>
      </c>
      <c r="Q5820" s="10" t="str">
        <f t="shared" si="90"/>
        <v>Incomplete</v>
      </c>
    </row>
    <row r="5821" spans="1:17">
      <c r="A5821" s="12">
        <v>46300</v>
      </c>
      <c r="B5821" s="10">
        <v>3</v>
      </c>
      <c r="Q5821" s="10" t="str">
        <f t="shared" si="90"/>
        <v>Incomplete</v>
      </c>
    </row>
    <row r="5822" spans="1:17">
      <c r="A5822" s="12">
        <v>46300</v>
      </c>
      <c r="B5822" s="10">
        <v>4</v>
      </c>
      <c r="Q5822" s="10" t="str">
        <f t="shared" si="90"/>
        <v>Incomplete</v>
      </c>
    </row>
    <row r="5823" spans="1:17">
      <c r="A5823" s="12">
        <v>46300</v>
      </c>
      <c r="B5823" s="10">
        <v>5</v>
      </c>
      <c r="Q5823" s="10" t="str">
        <f t="shared" si="90"/>
        <v>Incomplete</v>
      </c>
    </row>
    <row r="5824" spans="1:17">
      <c r="A5824" s="12">
        <v>46300</v>
      </c>
      <c r="B5824" s="10">
        <v>6</v>
      </c>
      <c r="Q5824" s="10" t="str">
        <f t="shared" si="90"/>
        <v>Incomplete</v>
      </c>
    </row>
    <row r="5825" spans="1:17">
      <c r="A5825" s="12">
        <v>46300</v>
      </c>
      <c r="B5825" s="10">
        <v>7</v>
      </c>
      <c r="Q5825" s="10" t="str">
        <f t="shared" si="90"/>
        <v>Incomplete</v>
      </c>
    </row>
    <row r="5826" spans="1:17">
      <c r="A5826" s="12">
        <v>46300</v>
      </c>
      <c r="B5826" s="10">
        <v>8</v>
      </c>
      <c r="Q5826" s="10" t="str">
        <f t="shared" ref="Q5826:Q5889" si="91">IF(AND(C5826&lt;&gt;"",J5826&lt;&gt;"",K5826&lt;&gt;"",L5826&lt;&gt;"",O5826="Yes"),"Complete","Incomplete")</f>
        <v>Incomplete</v>
      </c>
    </row>
    <row r="5827" spans="1:17">
      <c r="A5827" s="12">
        <v>46300</v>
      </c>
      <c r="B5827" s="10">
        <v>9</v>
      </c>
      <c r="Q5827" s="10" t="str">
        <f t="shared" si="91"/>
        <v>Incomplete</v>
      </c>
    </row>
    <row r="5828" spans="1:17">
      <c r="A5828" s="12">
        <v>46300</v>
      </c>
      <c r="B5828" s="10">
        <v>10</v>
      </c>
      <c r="Q5828" s="10" t="str">
        <f t="shared" si="91"/>
        <v>Incomplete</v>
      </c>
    </row>
    <row r="5829" spans="1:17">
      <c r="A5829" s="12">
        <v>46300</v>
      </c>
      <c r="B5829" s="10">
        <v>11</v>
      </c>
      <c r="Q5829" s="10" t="str">
        <f t="shared" si="91"/>
        <v>Incomplete</v>
      </c>
    </row>
    <row r="5830" spans="1:17">
      <c r="A5830" s="12">
        <v>46300</v>
      </c>
      <c r="B5830" s="10">
        <v>12</v>
      </c>
      <c r="Q5830" s="10" t="str">
        <f t="shared" si="91"/>
        <v>Incomplete</v>
      </c>
    </row>
    <row r="5831" spans="1:17">
      <c r="A5831" s="12">
        <v>46300</v>
      </c>
      <c r="B5831" s="10">
        <v>13</v>
      </c>
      <c r="Q5831" s="10" t="str">
        <f t="shared" si="91"/>
        <v>Incomplete</v>
      </c>
    </row>
    <row r="5832" spans="1:17">
      <c r="A5832" s="12">
        <v>46300</v>
      </c>
      <c r="B5832" s="10">
        <v>14</v>
      </c>
      <c r="Q5832" s="10" t="str">
        <f t="shared" si="91"/>
        <v>Incomplete</v>
      </c>
    </row>
    <row r="5833" spans="1:17">
      <c r="A5833" s="12">
        <v>46300</v>
      </c>
      <c r="B5833" s="10">
        <v>15</v>
      </c>
      <c r="Q5833" s="10" t="str">
        <f t="shared" si="91"/>
        <v>Incomplete</v>
      </c>
    </row>
    <row r="5834" spans="1:17">
      <c r="A5834" s="12">
        <v>46300</v>
      </c>
      <c r="B5834" s="10">
        <v>16</v>
      </c>
      <c r="Q5834" s="10" t="str">
        <f t="shared" si="91"/>
        <v>Incomplete</v>
      </c>
    </row>
    <row r="5835" spans="1:17">
      <c r="A5835" s="12">
        <v>46300</v>
      </c>
      <c r="B5835" s="10">
        <v>17</v>
      </c>
      <c r="Q5835" s="10" t="str">
        <f t="shared" si="91"/>
        <v>Incomplete</v>
      </c>
    </row>
    <row r="5836" spans="1:17">
      <c r="A5836" s="12">
        <v>46300</v>
      </c>
      <c r="B5836" s="10">
        <v>18</v>
      </c>
      <c r="Q5836" s="10" t="str">
        <f t="shared" si="91"/>
        <v>Incomplete</v>
      </c>
    </row>
    <row r="5837" spans="1:17">
      <c r="A5837" s="12">
        <v>46300</v>
      </c>
      <c r="B5837" s="10">
        <v>19</v>
      </c>
      <c r="Q5837" s="10" t="str">
        <f t="shared" si="91"/>
        <v>Incomplete</v>
      </c>
    </row>
    <row r="5838" spans="1:17">
      <c r="A5838" s="12">
        <v>46300</v>
      </c>
      <c r="B5838" s="10">
        <v>20</v>
      </c>
      <c r="Q5838" s="10" t="str">
        <f t="shared" si="91"/>
        <v>Incomplete</v>
      </c>
    </row>
    <row r="5839" spans="1:17">
      <c r="A5839" s="12">
        <v>46300</v>
      </c>
      <c r="B5839" s="10">
        <v>21</v>
      </c>
      <c r="Q5839" s="10" t="str">
        <f t="shared" si="91"/>
        <v>Incomplete</v>
      </c>
    </row>
    <row r="5840" spans="1:17">
      <c r="A5840" s="12">
        <v>46301</v>
      </c>
      <c r="B5840" s="10">
        <v>1</v>
      </c>
      <c r="Q5840" s="10" t="str">
        <f t="shared" si="91"/>
        <v>Incomplete</v>
      </c>
    </row>
    <row r="5841" spans="1:17">
      <c r="A5841" s="12">
        <v>46301</v>
      </c>
      <c r="B5841" s="10">
        <v>2</v>
      </c>
      <c r="Q5841" s="10" t="str">
        <f t="shared" si="91"/>
        <v>Incomplete</v>
      </c>
    </row>
    <row r="5842" spans="1:17">
      <c r="A5842" s="12">
        <v>46301</v>
      </c>
      <c r="B5842" s="10">
        <v>3</v>
      </c>
      <c r="Q5842" s="10" t="str">
        <f t="shared" si="91"/>
        <v>Incomplete</v>
      </c>
    </row>
    <row r="5843" spans="1:17">
      <c r="A5843" s="12">
        <v>46301</v>
      </c>
      <c r="B5843" s="10">
        <v>4</v>
      </c>
      <c r="Q5843" s="10" t="str">
        <f t="shared" si="91"/>
        <v>Incomplete</v>
      </c>
    </row>
    <row r="5844" spans="1:17">
      <c r="A5844" s="12">
        <v>46301</v>
      </c>
      <c r="B5844" s="10">
        <v>5</v>
      </c>
      <c r="Q5844" s="10" t="str">
        <f t="shared" si="91"/>
        <v>Incomplete</v>
      </c>
    </row>
    <row r="5845" spans="1:17">
      <c r="A5845" s="12">
        <v>46301</v>
      </c>
      <c r="B5845" s="10">
        <v>6</v>
      </c>
      <c r="Q5845" s="10" t="str">
        <f t="shared" si="91"/>
        <v>Incomplete</v>
      </c>
    </row>
    <row r="5846" spans="1:17">
      <c r="A5846" s="12">
        <v>46301</v>
      </c>
      <c r="B5846" s="10">
        <v>7</v>
      </c>
      <c r="Q5846" s="10" t="str">
        <f t="shared" si="91"/>
        <v>Incomplete</v>
      </c>
    </row>
    <row r="5847" spans="1:17">
      <c r="A5847" s="12">
        <v>46301</v>
      </c>
      <c r="B5847" s="10">
        <v>8</v>
      </c>
      <c r="Q5847" s="10" t="str">
        <f t="shared" si="91"/>
        <v>Incomplete</v>
      </c>
    </row>
    <row r="5848" spans="1:17">
      <c r="A5848" s="12">
        <v>46301</v>
      </c>
      <c r="B5848" s="10">
        <v>9</v>
      </c>
      <c r="Q5848" s="10" t="str">
        <f t="shared" si="91"/>
        <v>Incomplete</v>
      </c>
    </row>
    <row r="5849" spans="1:17">
      <c r="A5849" s="12">
        <v>46301</v>
      </c>
      <c r="B5849" s="10">
        <v>10</v>
      </c>
      <c r="Q5849" s="10" t="str">
        <f t="shared" si="91"/>
        <v>Incomplete</v>
      </c>
    </row>
    <row r="5850" spans="1:17">
      <c r="A5850" s="12">
        <v>46301</v>
      </c>
      <c r="B5850" s="10">
        <v>11</v>
      </c>
      <c r="Q5850" s="10" t="str">
        <f t="shared" si="91"/>
        <v>Incomplete</v>
      </c>
    </row>
    <row r="5851" spans="1:17">
      <c r="A5851" s="12">
        <v>46301</v>
      </c>
      <c r="B5851" s="10">
        <v>12</v>
      </c>
      <c r="Q5851" s="10" t="str">
        <f t="shared" si="91"/>
        <v>Incomplete</v>
      </c>
    </row>
    <row r="5852" spans="1:17">
      <c r="A5852" s="12">
        <v>46301</v>
      </c>
      <c r="B5852" s="10">
        <v>13</v>
      </c>
      <c r="Q5852" s="10" t="str">
        <f t="shared" si="91"/>
        <v>Incomplete</v>
      </c>
    </row>
    <row r="5853" spans="1:17">
      <c r="A5853" s="12">
        <v>46301</v>
      </c>
      <c r="B5853" s="10">
        <v>14</v>
      </c>
      <c r="Q5853" s="10" t="str">
        <f t="shared" si="91"/>
        <v>Incomplete</v>
      </c>
    </row>
    <row r="5854" spans="1:17">
      <c r="A5854" s="12">
        <v>46301</v>
      </c>
      <c r="B5854" s="10">
        <v>15</v>
      </c>
      <c r="Q5854" s="10" t="str">
        <f t="shared" si="91"/>
        <v>Incomplete</v>
      </c>
    </row>
    <row r="5855" spans="1:17">
      <c r="A5855" s="12">
        <v>46301</v>
      </c>
      <c r="B5855" s="10">
        <v>16</v>
      </c>
      <c r="Q5855" s="10" t="str">
        <f t="shared" si="91"/>
        <v>Incomplete</v>
      </c>
    </row>
    <row r="5856" spans="1:17">
      <c r="A5856" s="12">
        <v>46301</v>
      </c>
      <c r="B5856" s="10">
        <v>17</v>
      </c>
      <c r="Q5856" s="10" t="str">
        <f t="shared" si="91"/>
        <v>Incomplete</v>
      </c>
    </row>
    <row r="5857" spans="1:17">
      <c r="A5857" s="12">
        <v>46301</v>
      </c>
      <c r="B5857" s="10">
        <v>18</v>
      </c>
      <c r="Q5857" s="10" t="str">
        <f t="shared" si="91"/>
        <v>Incomplete</v>
      </c>
    </row>
    <row r="5858" spans="1:17">
      <c r="A5858" s="12">
        <v>46301</v>
      </c>
      <c r="B5858" s="10">
        <v>19</v>
      </c>
      <c r="Q5858" s="10" t="str">
        <f t="shared" si="91"/>
        <v>Incomplete</v>
      </c>
    </row>
    <row r="5859" spans="1:17">
      <c r="A5859" s="12">
        <v>46301</v>
      </c>
      <c r="B5859" s="10">
        <v>20</v>
      </c>
      <c r="Q5859" s="10" t="str">
        <f t="shared" si="91"/>
        <v>Incomplete</v>
      </c>
    </row>
    <row r="5860" spans="1:17">
      <c r="A5860" s="12">
        <v>46301</v>
      </c>
      <c r="B5860" s="10">
        <v>21</v>
      </c>
      <c r="Q5860" s="10" t="str">
        <f t="shared" si="91"/>
        <v>Incomplete</v>
      </c>
    </row>
    <row r="5861" spans="1:17">
      <c r="A5861" s="12">
        <v>46302</v>
      </c>
      <c r="B5861" s="10">
        <v>1</v>
      </c>
      <c r="Q5861" s="10" t="str">
        <f t="shared" si="91"/>
        <v>Incomplete</v>
      </c>
    </row>
    <row r="5862" spans="1:17">
      <c r="A5862" s="12">
        <v>46302</v>
      </c>
      <c r="B5862" s="10">
        <v>2</v>
      </c>
      <c r="Q5862" s="10" t="str">
        <f t="shared" si="91"/>
        <v>Incomplete</v>
      </c>
    </row>
    <row r="5863" spans="1:17">
      <c r="A5863" s="12">
        <v>46302</v>
      </c>
      <c r="B5863" s="10">
        <v>3</v>
      </c>
      <c r="Q5863" s="10" t="str">
        <f t="shared" si="91"/>
        <v>Incomplete</v>
      </c>
    </row>
    <row r="5864" spans="1:17">
      <c r="A5864" s="12">
        <v>46302</v>
      </c>
      <c r="B5864" s="10">
        <v>4</v>
      </c>
      <c r="Q5864" s="10" t="str">
        <f t="shared" si="91"/>
        <v>Incomplete</v>
      </c>
    </row>
    <row r="5865" spans="1:17">
      <c r="A5865" s="12">
        <v>46302</v>
      </c>
      <c r="B5865" s="10">
        <v>5</v>
      </c>
      <c r="Q5865" s="10" t="str">
        <f t="shared" si="91"/>
        <v>Incomplete</v>
      </c>
    </row>
    <row r="5866" spans="1:17">
      <c r="A5866" s="12">
        <v>46302</v>
      </c>
      <c r="B5866" s="10">
        <v>6</v>
      </c>
      <c r="Q5866" s="10" t="str">
        <f t="shared" si="91"/>
        <v>Incomplete</v>
      </c>
    </row>
    <row r="5867" spans="1:17">
      <c r="A5867" s="12">
        <v>46302</v>
      </c>
      <c r="B5867" s="10">
        <v>7</v>
      </c>
      <c r="Q5867" s="10" t="str">
        <f t="shared" si="91"/>
        <v>Incomplete</v>
      </c>
    </row>
    <row r="5868" spans="1:17">
      <c r="A5868" s="12">
        <v>46302</v>
      </c>
      <c r="B5868" s="10">
        <v>8</v>
      </c>
      <c r="Q5868" s="10" t="str">
        <f t="shared" si="91"/>
        <v>Incomplete</v>
      </c>
    </row>
    <row r="5869" spans="1:17">
      <c r="A5869" s="12">
        <v>46302</v>
      </c>
      <c r="B5869" s="10">
        <v>9</v>
      </c>
      <c r="Q5869" s="10" t="str">
        <f t="shared" si="91"/>
        <v>Incomplete</v>
      </c>
    </row>
    <row r="5870" spans="1:17">
      <c r="A5870" s="12">
        <v>46302</v>
      </c>
      <c r="B5870" s="10">
        <v>10</v>
      </c>
      <c r="Q5870" s="10" t="str">
        <f t="shared" si="91"/>
        <v>Incomplete</v>
      </c>
    </row>
    <row r="5871" spans="1:17">
      <c r="A5871" s="12">
        <v>46302</v>
      </c>
      <c r="B5871" s="10">
        <v>11</v>
      </c>
      <c r="Q5871" s="10" t="str">
        <f t="shared" si="91"/>
        <v>Incomplete</v>
      </c>
    </row>
    <row r="5872" spans="1:17">
      <c r="A5872" s="12">
        <v>46302</v>
      </c>
      <c r="B5872" s="10">
        <v>12</v>
      </c>
      <c r="Q5872" s="10" t="str">
        <f t="shared" si="91"/>
        <v>Incomplete</v>
      </c>
    </row>
    <row r="5873" spans="1:17">
      <c r="A5873" s="12">
        <v>46302</v>
      </c>
      <c r="B5873" s="10">
        <v>13</v>
      </c>
      <c r="Q5873" s="10" t="str">
        <f t="shared" si="91"/>
        <v>Incomplete</v>
      </c>
    </row>
    <row r="5874" spans="1:17">
      <c r="A5874" s="12">
        <v>46302</v>
      </c>
      <c r="B5874" s="10">
        <v>14</v>
      </c>
      <c r="Q5874" s="10" t="str">
        <f t="shared" si="91"/>
        <v>Incomplete</v>
      </c>
    </row>
    <row r="5875" spans="1:17">
      <c r="A5875" s="12">
        <v>46302</v>
      </c>
      <c r="B5875" s="10">
        <v>15</v>
      </c>
      <c r="Q5875" s="10" t="str">
        <f t="shared" si="91"/>
        <v>Incomplete</v>
      </c>
    </row>
    <row r="5876" spans="1:17">
      <c r="A5876" s="12">
        <v>46302</v>
      </c>
      <c r="B5876" s="10">
        <v>16</v>
      </c>
      <c r="Q5876" s="10" t="str">
        <f t="shared" si="91"/>
        <v>Incomplete</v>
      </c>
    </row>
    <row r="5877" spans="1:17">
      <c r="A5877" s="12">
        <v>46302</v>
      </c>
      <c r="B5877" s="10">
        <v>17</v>
      </c>
      <c r="Q5877" s="10" t="str">
        <f t="shared" si="91"/>
        <v>Incomplete</v>
      </c>
    </row>
    <row r="5878" spans="1:17">
      <c r="A5878" s="12">
        <v>46302</v>
      </c>
      <c r="B5878" s="10">
        <v>18</v>
      </c>
      <c r="Q5878" s="10" t="str">
        <f t="shared" si="91"/>
        <v>Incomplete</v>
      </c>
    </row>
    <row r="5879" spans="1:17">
      <c r="A5879" s="12">
        <v>46302</v>
      </c>
      <c r="B5879" s="10">
        <v>19</v>
      </c>
      <c r="Q5879" s="10" t="str">
        <f t="shared" si="91"/>
        <v>Incomplete</v>
      </c>
    </row>
    <row r="5880" spans="1:17">
      <c r="A5880" s="12">
        <v>46302</v>
      </c>
      <c r="B5880" s="10">
        <v>20</v>
      </c>
      <c r="Q5880" s="10" t="str">
        <f t="shared" si="91"/>
        <v>Incomplete</v>
      </c>
    </row>
    <row r="5881" spans="1:17">
      <c r="A5881" s="12">
        <v>46302</v>
      </c>
      <c r="B5881" s="10">
        <v>21</v>
      </c>
      <c r="Q5881" s="10" t="str">
        <f t="shared" si="91"/>
        <v>Incomplete</v>
      </c>
    </row>
    <row r="5882" spans="1:17">
      <c r="A5882" s="12">
        <v>46303</v>
      </c>
      <c r="B5882" s="10">
        <v>1</v>
      </c>
      <c r="Q5882" s="10" t="str">
        <f t="shared" si="91"/>
        <v>Incomplete</v>
      </c>
    </row>
    <row r="5883" spans="1:17">
      <c r="A5883" s="12">
        <v>46303</v>
      </c>
      <c r="B5883" s="10">
        <v>2</v>
      </c>
      <c r="Q5883" s="10" t="str">
        <f t="shared" si="91"/>
        <v>Incomplete</v>
      </c>
    </row>
    <row r="5884" spans="1:17">
      <c r="A5884" s="12">
        <v>46303</v>
      </c>
      <c r="B5884" s="10">
        <v>3</v>
      </c>
      <c r="Q5884" s="10" t="str">
        <f t="shared" si="91"/>
        <v>Incomplete</v>
      </c>
    </row>
    <row r="5885" spans="1:17">
      <c r="A5885" s="12">
        <v>46303</v>
      </c>
      <c r="B5885" s="10">
        <v>4</v>
      </c>
      <c r="Q5885" s="10" t="str">
        <f t="shared" si="91"/>
        <v>Incomplete</v>
      </c>
    </row>
    <row r="5886" spans="1:17">
      <c r="A5886" s="12">
        <v>46303</v>
      </c>
      <c r="B5886" s="10">
        <v>5</v>
      </c>
      <c r="Q5886" s="10" t="str">
        <f t="shared" si="91"/>
        <v>Incomplete</v>
      </c>
    </row>
    <row r="5887" spans="1:17">
      <c r="A5887" s="12">
        <v>46303</v>
      </c>
      <c r="B5887" s="10">
        <v>6</v>
      </c>
      <c r="Q5887" s="10" t="str">
        <f t="shared" si="91"/>
        <v>Incomplete</v>
      </c>
    </row>
    <row r="5888" spans="1:17">
      <c r="A5888" s="12">
        <v>46303</v>
      </c>
      <c r="B5888" s="10">
        <v>7</v>
      </c>
      <c r="Q5888" s="10" t="str">
        <f t="shared" si="91"/>
        <v>Incomplete</v>
      </c>
    </row>
    <row r="5889" spans="1:17">
      <c r="A5889" s="12">
        <v>46303</v>
      </c>
      <c r="B5889" s="10">
        <v>8</v>
      </c>
      <c r="Q5889" s="10" t="str">
        <f t="shared" si="91"/>
        <v>Incomplete</v>
      </c>
    </row>
    <row r="5890" spans="1:17">
      <c r="A5890" s="12">
        <v>46303</v>
      </c>
      <c r="B5890" s="10">
        <v>9</v>
      </c>
      <c r="Q5890" s="10" t="str">
        <f t="shared" ref="Q5890:Q5953" si="92">IF(AND(C5890&lt;&gt;"",J5890&lt;&gt;"",K5890&lt;&gt;"",L5890&lt;&gt;"",O5890="Yes"),"Complete","Incomplete")</f>
        <v>Incomplete</v>
      </c>
    </row>
    <row r="5891" spans="1:17">
      <c r="A5891" s="12">
        <v>46303</v>
      </c>
      <c r="B5891" s="10">
        <v>10</v>
      </c>
      <c r="Q5891" s="10" t="str">
        <f t="shared" si="92"/>
        <v>Incomplete</v>
      </c>
    </row>
    <row r="5892" spans="1:17">
      <c r="A5892" s="12">
        <v>46303</v>
      </c>
      <c r="B5892" s="10">
        <v>11</v>
      </c>
      <c r="Q5892" s="10" t="str">
        <f t="shared" si="92"/>
        <v>Incomplete</v>
      </c>
    </row>
    <row r="5893" spans="1:17">
      <c r="A5893" s="12">
        <v>46303</v>
      </c>
      <c r="B5893" s="10">
        <v>12</v>
      </c>
      <c r="Q5893" s="10" t="str">
        <f t="shared" si="92"/>
        <v>Incomplete</v>
      </c>
    </row>
    <row r="5894" spans="1:17">
      <c r="A5894" s="12">
        <v>46303</v>
      </c>
      <c r="B5894" s="10">
        <v>13</v>
      </c>
      <c r="Q5894" s="10" t="str">
        <f t="shared" si="92"/>
        <v>Incomplete</v>
      </c>
    </row>
    <row r="5895" spans="1:17">
      <c r="A5895" s="12">
        <v>46303</v>
      </c>
      <c r="B5895" s="10">
        <v>14</v>
      </c>
      <c r="Q5895" s="10" t="str">
        <f t="shared" si="92"/>
        <v>Incomplete</v>
      </c>
    </row>
    <row r="5896" spans="1:17">
      <c r="A5896" s="12">
        <v>46303</v>
      </c>
      <c r="B5896" s="10">
        <v>15</v>
      </c>
      <c r="Q5896" s="10" t="str">
        <f t="shared" si="92"/>
        <v>Incomplete</v>
      </c>
    </row>
    <row r="5897" spans="1:17">
      <c r="A5897" s="12">
        <v>46303</v>
      </c>
      <c r="B5897" s="10">
        <v>16</v>
      </c>
      <c r="Q5897" s="10" t="str">
        <f t="shared" si="92"/>
        <v>Incomplete</v>
      </c>
    </row>
    <row r="5898" spans="1:17">
      <c r="A5898" s="12">
        <v>46303</v>
      </c>
      <c r="B5898" s="10">
        <v>17</v>
      </c>
      <c r="Q5898" s="10" t="str">
        <f t="shared" si="92"/>
        <v>Incomplete</v>
      </c>
    </row>
    <row r="5899" spans="1:17">
      <c r="A5899" s="12">
        <v>46303</v>
      </c>
      <c r="B5899" s="10">
        <v>18</v>
      </c>
      <c r="Q5899" s="10" t="str">
        <f t="shared" si="92"/>
        <v>Incomplete</v>
      </c>
    </row>
    <row r="5900" spans="1:17">
      <c r="A5900" s="12">
        <v>46303</v>
      </c>
      <c r="B5900" s="10">
        <v>19</v>
      </c>
      <c r="Q5900" s="10" t="str">
        <f t="shared" si="92"/>
        <v>Incomplete</v>
      </c>
    </row>
    <row r="5901" spans="1:17">
      <c r="A5901" s="12">
        <v>46303</v>
      </c>
      <c r="B5901" s="10">
        <v>20</v>
      </c>
      <c r="Q5901" s="10" t="str">
        <f t="shared" si="92"/>
        <v>Incomplete</v>
      </c>
    </row>
    <row r="5902" spans="1:17">
      <c r="A5902" s="12">
        <v>46303</v>
      </c>
      <c r="B5902" s="10">
        <v>21</v>
      </c>
      <c r="Q5902" s="10" t="str">
        <f t="shared" si="92"/>
        <v>Incomplete</v>
      </c>
    </row>
    <row r="5903" spans="1:17">
      <c r="A5903" s="12">
        <v>46304</v>
      </c>
      <c r="B5903" s="10">
        <v>1</v>
      </c>
      <c r="Q5903" s="10" t="str">
        <f t="shared" si="92"/>
        <v>Incomplete</v>
      </c>
    </row>
    <row r="5904" spans="1:17">
      <c r="A5904" s="12">
        <v>46304</v>
      </c>
      <c r="B5904" s="10">
        <v>2</v>
      </c>
      <c r="Q5904" s="10" t="str">
        <f t="shared" si="92"/>
        <v>Incomplete</v>
      </c>
    </row>
    <row r="5905" spans="1:17">
      <c r="A5905" s="12">
        <v>46304</v>
      </c>
      <c r="B5905" s="10">
        <v>3</v>
      </c>
      <c r="Q5905" s="10" t="str">
        <f t="shared" si="92"/>
        <v>Incomplete</v>
      </c>
    </row>
    <row r="5906" spans="1:17">
      <c r="A5906" s="12">
        <v>46304</v>
      </c>
      <c r="B5906" s="10">
        <v>4</v>
      </c>
      <c r="Q5906" s="10" t="str">
        <f t="shared" si="92"/>
        <v>Incomplete</v>
      </c>
    </row>
    <row r="5907" spans="1:17">
      <c r="A5907" s="12">
        <v>46304</v>
      </c>
      <c r="B5907" s="10">
        <v>5</v>
      </c>
      <c r="Q5907" s="10" t="str">
        <f t="shared" si="92"/>
        <v>Incomplete</v>
      </c>
    </row>
    <row r="5908" spans="1:17">
      <c r="A5908" s="12">
        <v>46304</v>
      </c>
      <c r="B5908" s="10">
        <v>6</v>
      </c>
      <c r="Q5908" s="10" t="str">
        <f t="shared" si="92"/>
        <v>Incomplete</v>
      </c>
    </row>
    <row r="5909" spans="1:17">
      <c r="A5909" s="12">
        <v>46304</v>
      </c>
      <c r="B5909" s="10">
        <v>7</v>
      </c>
      <c r="Q5909" s="10" t="str">
        <f t="shared" si="92"/>
        <v>Incomplete</v>
      </c>
    </row>
    <row r="5910" spans="1:17">
      <c r="A5910" s="12">
        <v>46304</v>
      </c>
      <c r="B5910" s="10">
        <v>8</v>
      </c>
      <c r="Q5910" s="10" t="str">
        <f t="shared" si="92"/>
        <v>Incomplete</v>
      </c>
    </row>
    <row r="5911" spans="1:17">
      <c r="A5911" s="12">
        <v>46304</v>
      </c>
      <c r="B5911" s="10">
        <v>9</v>
      </c>
      <c r="Q5911" s="10" t="str">
        <f t="shared" si="92"/>
        <v>Incomplete</v>
      </c>
    </row>
    <row r="5912" spans="1:17">
      <c r="A5912" s="12">
        <v>46304</v>
      </c>
      <c r="B5912" s="10">
        <v>10</v>
      </c>
      <c r="Q5912" s="10" t="str">
        <f t="shared" si="92"/>
        <v>Incomplete</v>
      </c>
    </row>
    <row r="5913" spans="1:17">
      <c r="A5913" s="12">
        <v>46304</v>
      </c>
      <c r="B5913" s="10">
        <v>11</v>
      </c>
      <c r="Q5913" s="10" t="str">
        <f t="shared" si="92"/>
        <v>Incomplete</v>
      </c>
    </row>
    <row r="5914" spans="1:17">
      <c r="A5914" s="12">
        <v>46304</v>
      </c>
      <c r="B5914" s="10">
        <v>12</v>
      </c>
      <c r="Q5914" s="10" t="str">
        <f t="shared" si="92"/>
        <v>Incomplete</v>
      </c>
    </row>
    <row r="5915" spans="1:17">
      <c r="A5915" s="12">
        <v>46304</v>
      </c>
      <c r="B5915" s="10">
        <v>13</v>
      </c>
      <c r="Q5915" s="10" t="str">
        <f t="shared" si="92"/>
        <v>Incomplete</v>
      </c>
    </row>
    <row r="5916" spans="1:17">
      <c r="A5916" s="12">
        <v>46304</v>
      </c>
      <c r="B5916" s="10">
        <v>14</v>
      </c>
      <c r="Q5916" s="10" t="str">
        <f t="shared" si="92"/>
        <v>Incomplete</v>
      </c>
    </row>
    <row r="5917" spans="1:17">
      <c r="A5917" s="12">
        <v>46304</v>
      </c>
      <c r="B5917" s="10">
        <v>15</v>
      </c>
      <c r="Q5917" s="10" t="str">
        <f t="shared" si="92"/>
        <v>Incomplete</v>
      </c>
    </row>
    <row r="5918" spans="1:17">
      <c r="A5918" s="12">
        <v>46304</v>
      </c>
      <c r="B5918" s="10">
        <v>16</v>
      </c>
      <c r="Q5918" s="10" t="str">
        <f t="shared" si="92"/>
        <v>Incomplete</v>
      </c>
    </row>
    <row r="5919" spans="1:17">
      <c r="A5919" s="12">
        <v>46304</v>
      </c>
      <c r="B5919" s="10">
        <v>17</v>
      </c>
      <c r="Q5919" s="10" t="str">
        <f t="shared" si="92"/>
        <v>Incomplete</v>
      </c>
    </row>
    <row r="5920" spans="1:17">
      <c r="A5920" s="12">
        <v>46304</v>
      </c>
      <c r="B5920" s="10">
        <v>18</v>
      </c>
      <c r="Q5920" s="10" t="str">
        <f t="shared" si="92"/>
        <v>Incomplete</v>
      </c>
    </row>
    <row r="5921" spans="1:17">
      <c r="A5921" s="12">
        <v>46304</v>
      </c>
      <c r="B5921" s="10">
        <v>19</v>
      </c>
      <c r="Q5921" s="10" t="str">
        <f t="shared" si="92"/>
        <v>Incomplete</v>
      </c>
    </row>
    <row r="5922" spans="1:17">
      <c r="A5922" s="12">
        <v>46304</v>
      </c>
      <c r="B5922" s="10">
        <v>20</v>
      </c>
      <c r="Q5922" s="10" t="str">
        <f t="shared" si="92"/>
        <v>Incomplete</v>
      </c>
    </row>
    <row r="5923" spans="1:17">
      <c r="A5923" s="12">
        <v>46304</v>
      </c>
      <c r="B5923" s="10">
        <v>21</v>
      </c>
      <c r="Q5923" s="10" t="str">
        <f t="shared" si="92"/>
        <v>Incomplete</v>
      </c>
    </row>
    <row r="5924" spans="1:17">
      <c r="A5924" s="12">
        <v>46305</v>
      </c>
      <c r="B5924" s="10">
        <v>1</v>
      </c>
      <c r="Q5924" s="10" t="str">
        <f t="shared" si="92"/>
        <v>Incomplete</v>
      </c>
    </row>
    <row r="5925" spans="1:17">
      <c r="A5925" s="12">
        <v>46305</v>
      </c>
      <c r="B5925" s="10">
        <v>2</v>
      </c>
      <c r="Q5925" s="10" t="str">
        <f t="shared" si="92"/>
        <v>Incomplete</v>
      </c>
    </row>
    <row r="5926" spans="1:17">
      <c r="A5926" s="12">
        <v>46305</v>
      </c>
      <c r="B5926" s="10">
        <v>3</v>
      </c>
      <c r="Q5926" s="10" t="str">
        <f t="shared" si="92"/>
        <v>Incomplete</v>
      </c>
    </row>
    <row r="5927" spans="1:17">
      <c r="A5927" s="12">
        <v>46305</v>
      </c>
      <c r="B5927" s="10">
        <v>4</v>
      </c>
      <c r="Q5927" s="10" t="str">
        <f t="shared" si="92"/>
        <v>Incomplete</v>
      </c>
    </row>
    <row r="5928" spans="1:17">
      <c r="A5928" s="12">
        <v>46305</v>
      </c>
      <c r="B5928" s="10">
        <v>5</v>
      </c>
      <c r="Q5928" s="10" t="str">
        <f t="shared" si="92"/>
        <v>Incomplete</v>
      </c>
    </row>
    <row r="5929" spans="1:17">
      <c r="A5929" s="12">
        <v>46305</v>
      </c>
      <c r="B5929" s="10">
        <v>6</v>
      </c>
      <c r="Q5929" s="10" t="str">
        <f t="shared" si="92"/>
        <v>Incomplete</v>
      </c>
    </row>
    <row r="5930" spans="1:17">
      <c r="A5930" s="12">
        <v>46305</v>
      </c>
      <c r="B5930" s="10">
        <v>7</v>
      </c>
      <c r="Q5930" s="10" t="str">
        <f t="shared" si="92"/>
        <v>Incomplete</v>
      </c>
    </row>
    <row r="5931" spans="1:17">
      <c r="A5931" s="12">
        <v>46305</v>
      </c>
      <c r="B5931" s="10">
        <v>8</v>
      </c>
      <c r="Q5931" s="10" t="str">
        <f t="shared" si="92"/>
        <v>Incomplete</v>
      </c>
    </row>
    <row r="5932" spans="1:17">
      <c r="A5932" s="12">
        <v>46305</v>
      </c>
      <c r="B5932" s="10">
        <v>9</v>
      </c>
      <c r="Q5932" s="10" t="str">
        <f t="shared" si="92"/>
        <v>Incomplete</v>
      </c>
    </row>
    <row r="5933" spans="1:17">
      <c r="A5933" s="12">
        <v>46305</v>
      </c>
      <c r="B5933" s="10">
        <v>10</v>
      </c>
      <c r="Q5933" s="10" t="str">
        <f t="shared" si="92"/>
        <v>Incomplete</v>
      </c>
    </row>
    <row r="5934" spans="1:17">
      <c r="A5934" s="12">
        <v>46305</v>
      </c>
      <c r="B5934" s="10">
        <v>11</v>
      </c>
      <c r="Q5934" s="10" t="str">
        <f t="shared" si="92"/>
        <v>Incomplete</v>
      </c>
    </row>
    <row r="5935" spans="1:17">
      <c r="A5935" s="12">
        <v>46305</v>
      </c>
      <c r="B5935" s="10">
        <v>12</v>
      </c>
      <c r="Q5935" s="10" t="str">
        <f t="shared" si="92"/>
        <v>Incomplete</v>
      </c>
    </row>
    <row r="5936" spans="1:17">
      <c r="A5936" s="12">
        <v>46305</v>
      </c>
      <c r="B5936" s="10">
        <v>13</v>
      </c>
      <c r="Q5936" s="10" t="str">
        <f t="shared" si="92"/>
        <v>Incomplete</v>
      </c>
    </row>
    <row r="5937" spans="1:17">
      <c r="A5937" s="12">
        <v>46305</v>
      </c>
      <c r="B5937" s="10">
        <v>14</v>
      </c>
      <c r="Q5937" s="10" t="str">
        <f t="shared" si="92"/>
        <v>Incomplete</v>
      </c>
    </row>
    <row r="5938" spans="1:17">
      <c r="A5938" s="12">
        <v>46305</v>
      </c>
      <c r="B5938" s="10">
        <v>15</v>
      </c>
      <c r="Q5938" s="10" t="str">
        <f t="shared" si="92"/>
        <v>Incomplete</v>
      </c>
    </row>
    <row r="5939" spans="1:17">
      <c r="A5939" s="12">
        <v>46305</v>
      </c>
      <c r="B5939" s="10">
        <v>16</v>
      </c>
      <c r="Q5939" s="10" t="str">
        <f t="shared" si="92"/>
        <v>Incomplete</v>
      </c>
    </row>
    <row r="5940" spans="1:17">
      <c r="A5940" s="12">
        <v>46305</v>
      </c>
      <c r="B5940" s="10">
        <v>17</v>
      </c>
      <c r="Q5940" s="10" t="str">
        <f t="shared" si="92"/>
        <v>Incomplete</v>
      </c>
    </row>
    <row r="5941" spans="1:17">
      <c r="A5941" s="12">
        <v>46305</v>
      </c>
      <c r="B5941" s="10">
        <v>18</v>
      </c>
      <c r="Q5941" s="10" t="str">
        <f t="shared" si="92"/>
        <v>Incomplete</v>
      </c>
    </row>
    <row r="5942" spans="1:17">
      <c r="A5942" s="12">
        <v>46305</v>
      </c>
      <c r="B5942" s="10">
        <v>19</v>
      </c>
      <c r="Q5942" s="10" t="str">
        <f t="shared" si="92"/>
        <v>Incomplete</v>
      </c>
    </row>
    <row r="5943" spans="1:17">
      <c r="A5943" s="12">
        <v>46305</v>
      </c>
      <c r="B5943" s="10">
        <v>20</v>
      </c>
      <c r="Q5943" s="10" t="str">
        <f t="shared" si="92"/>
        <v>Incomplete</v>
      </c>
    </row>
    <row r="5944" spans="1:17">
      <c r="A5944" s="12">
        <v>46305</v>
      </c>
      <c r="B5944" s="10">
        <v>21</v>
      </c>
      <c r="Q5944" s="10" t="str">
        <f t="shared" si="92"/>
        <v>Incomplete</v>
      </c>
    </row>
    <row r="5945" spans="1:17">
      <c r="A5945" s="12">
        <v>46306</v>
      </c>
      <c r="B5945" s="10">
        <v>1</v>
      </c>
      <c r="Q5945" s="10" t="str">
        <f t="shared" si="92"/>
        <v>Incomplete</v>
      </c>
    </row>
    <row r="5946" spans="1:17">
      <c r="A5946" s="12">
        <v>46306</v>
      </c>
      <c r="B5946" s="10">
        <v>2</v>
      </c>
      <c r="Q5946" s="10" t="str">
        <f t="shared" si="92"/>
        <v>Incomplete</v>
      </c>
    </row>
    <row r="5947" spans="1:17">
      <c r="A5947" s="12">
        <v>46306</v>
      </c>
      <c r="B5947" s="10">
        <v>3</v>
      </c>
      <c r="Q5947" s="10" t="str">
        <f t="shared" si="92"/>
        <v>Incomplete</v>
      </c>
    </row>
    <row r="5948" spans="1:17">
      <c r="A5948" s="12">
        <v>46306</v>
      </c>
      <c r="B5948" s="10">
        <v>4</v>
      </c>
      <c r="Q5948" s="10" t="str">
        <f t="shared" si="92"/>
        <v>Incomplete</v>
      </c>
    </row>
    <row r="5949" spans="1:17">
      <c r="A5949" s="12">
        <v>46306</v>
      </c>
      <c r="B5949" s="10">
        <v>5</v>
      </c>
      <c r="Q5949" s="10" t="str">
        <f t="shared" si="92"/>
        <v>Incomplete</v>
      </c>
    </row>
    <row r="5950" spans="1:17">
      <c r="A5950" s="12">
        <v>46306</v>
      </c>
      <c r="B5950" s="10">
        <v>6</v>
      </c>
      <c r="Q5950" s="10" t="str">
        <f t="shared" si="92"/>
        <v>Incomplete</v>
      </c>
    </row>
    <row r="5951" spans="1:17">
      <c r="A5951" s="12">
        <v>46306</v>
      </c>
      <c r="B5951" s="10">
        <v>7</v>
      </c>
      <c r="Q5951" s="10" t="str">
        <f t="shared" si="92"/>
        <v>Incomplete</v>
      </c>
    </row>
    <row r="5952" spans="1:17">
      <c r="A5952" s="12">
        <v>46306</v>
      </c>
      <c r="B5952" s="10">
        <v>8</v>
      </c>
      <c r="Q5952" s="10" t="str">
        <f t="shared" si="92"/>
        <v>Incomplete</v>
      </c>
    </row>
    <row r="5953" spans="1:17">
      <c r="A5953" s="12">
        <v>46306</v>
      </c>
      <c r="B5953" s="10">
        <v>9</v>
      </c>
      <c r="Q5953" s="10" t="str">
        <f t="shared" si="92"/>
        <v>Incomplete</v>
      </c>
    </row>
    <row r="5954" spans="1:17">
      <c r="A5954" s="12">
        <v>46306</v>
      </c>
      <c r="B5954" s="10">
        <v>10</v>
      </c>
      <c r="Q5954" s="10" t="str">
        <f t="shared" ref="Q5954:Q6017" si="93">IF(AND(C5954&lt;&gt;"",J5954&lt;&gt;"",K5954&lt;&gt;"",L5954&lt;&gt;"",O5954="Yes"),"Complete","Incomplete")</f>
        <v>Incomplete</v>
      </c>
    </row>
    <row r="5955" spans="1:17">
      <c r="A5955" s="12">
        <v>46306</v>
      </c>
      <c r="B5955" s="10">
        <v>11</v>
      </c>
      <c r="Q5955" s="10" t="str">
        <f t="shared" si="93"/>
        <v>Incomplete</v>
      </c>
    </row>
    <row r="5956" spans="1:17">
      <c r="A5956" s="12">
        <v>46306</v>
      </c>
      <c r="B5956" s="10">
        <v>12</v>
      </c>
      <c r="Q5956" s="10" t="str">
        <f t="shared" si="93"/>
        <v>Incomplete</v>
      </c>
    </row>
    <row r="5957" spans="1:17">
      <c r="A5957" s="12">
        <v>46306</v>
      </c>
      <c r="B5957" s="10">
        <v>13</v>
      </c>
      <c r="Q5957" s="10" t="str">
        <f t="shared" si="93"/>
        <v>Incomplete</v>
      </c>
    </row>
    <row r="5958" spans="1:17">
      <c r="A5958" s="12">
        <v>46306</v>
      </c>
      <c r="B5958" s="10">
        <v>14</v>
      </c>
      <c r="Q5958" s="10" t="str">
        <f t="shared" si="93"/>
        <v>Incomplete</v>
      </c>
    </row>
    <row r="5959" spans="1:17">
      <c r="A5959" s="12">
        <v>46306</v>
      </c>
      <c r="B5959" s="10">
        <v>15</v>
      </c>
      <c r="Q5959" s="10" t="str">
        <f t="shared" si="93"/>
        <v>Incomplete</v>
      </c>
    </row>
    <row r="5960" spans="1:17">
      <c r="A5960" s="12">
        <v>46306</v>
      </c>
      <c r="B5960" s="10">
        <v>16</v>
      </c>
      <c r="Q5960" s="10" t="str">
        <f t="shared" si="93"/>
        <v>Incomplete</v>
      </c>
    </row>
    <row r="5961" spans="1:17">
      <c r="A5961" s="12">
        <v>46306</v>
      </c>
      <c r="B5961" s="10">
        <v>17</v>
      </c>
      <c r="Q5961" s="10" t="str">
        <f t="shared" si="93"/>
        <v>Incomplete</v>
      </c>
    </row>
    <row r="5962" spans="1:17">
      <c r="A5962" s="12">
        <v>46306</v>
      </c>
      <c r="B5962" s="10">
        <v>18</v>
      </c>
      <c r="Q5962" s="10" t="str">
        <f t="shared" si="93"/>
        <v>Incomplete</v>
      </c>
    </row>
    <row r="5963" spans="1:17">
      <c r="A5963" s="12">
        <v>46306</v>
      </c>
      <c r="B5963" s="10">
        <v>19</v>
      </c>
      <c r="Q5963" s="10" t="str">
        <f t="shared" si="93"/>
        <v>Incomplete</v>
      </c>
    </row>
    <row r="5964" spans="1:17">
      <c r="A5964" s="12">
        <v>46306</v>
      </c>
      <c r="B5964" s="10">
        <v>20</v>
      </c>
      <c r="Q5964" s="10" t="str">
        <f t="shared" si="93"/>
        <v>Incomplete</v>
      </c>
    </row>
    <row r="5965" spans="1:17">
      <c r="A5965" s="12">
        <v>46306</v>
      </c>
      <c r="B5965" s="10">
        <v>21</v>
      </c>
      <c r="Q5965" s="10" t="str">
        <f t="shared" si="93"/>
        <v>Incomplete</v>
      </c>
    </row>
    <row r="5966" spans="1:17">
      <c r="A5966" s="12">
        <v>46307</v>
      </c>
      <c r="B5966" s="10">
        <v>1</v>
      </c>
      <c r="Q5966" s="10" t="str">
        <f t="shared" si="93"/>
        <v>Incomplete</v>
      </c>
    </row>
    <row r="5967" spans="1:17">
      <c r="A5967" s="12">
        <v>46307</v>
      </c>
      <c r="B5967" s="10">
        <v>2</v>
      </c>
      <c r="Q5967" s="10" t="str">
        <f t="shared" si="93"/>
        <v>Incomplete</v>
      </c>
    </row>
    <row r="5968" spans="1:17">
      <c r="A5968" s="12">
        <v>46307</v>
      </c>
      <c r="B5968" s="10">
        <v>3</v>
      </c>
      <c r="Q5968" s="10" t="str">
        <f t="shared" si="93"/>
        <v>Incomplete</v>
      </c>
    </row>
    <row r="5969" spans="1:17">
      <c r="A5969" s="12">
        <v>46307</v>
      </c>
      <c r="B5969" s="10">
        <v>4</v>
      </c>
      <c r="Q5969" s="10" t="str">
        <f t="shared" si="93"/>
        <v>Incomplete</v>
      </c>
    </row>
    <row r="5970" spans="1:17">
      <c r="A5970" s="12">
        <v>46307</v>
      </c>
      <c r="B5970" s="10">
        <v>5</v>
      </c>
      <c r="Q5970" s="10" t="str">
        <f t="shared" si="93"/>
        <v>Incomplete</v>
      </c>
    </row>
    <row r="5971" spans="1:17">
      <c r="A5971" s="12">
        <v>46307</v>
      </c>
      <c r="B5971" s="10">
        <v>6</v>
      </c>
      <c r="Q5971" s="10" t="str">
        <f t="shared" si="93"/>
        <v>Incomplete</v>
      </c>
    </row>
    <row r="5972" spans="1:17">
      <c r="A5972" s="12">
        <v>46307</v>
      </c>
      <c r="B5972" s="10">
        <v>7</v>
      </c>
      <c r="Q5972" s="10" t="str">
        <f t="shared" si="93"/>
        <v>Incomplete</v>
      </c>
    </row>
    <row r="5973" spans="1:17">
      <c r="A5973" s="12">
        <v>46307</v>
      </c>
      <c r="B5973" s="10">
        <v>8</v>
      </c>
      <c r="Q5973" s="10" t="str">
        <f t="shared" si="93"/>
        <v>Incomplete</v>
      </c>
    </row>
    <row r="5974" spans="1:17">
      <c r="A5974" s="12">
        <v>46307</v>
      </c>
      <c r="B5974" s="10">
        <v>9</v>
      </c>
      <c r="Q5974" s="10" t="str">
        <f t="shared" si="93"/>
        <v>Incomplete</v>
      </c>
    </row>
    <row r="5975" spans="1:17">
      <c r="A5975" s="12">
        <v>46307</v>
      </c>
      <c r="B5975" s="10">
        <v>10</v>
      </c>
      <c r="Q5975" s="10" t="str">
        <f t="shared" si="93"/>
        <v>Incomplete</v>
      </c>
    </row>
    <row r="5976" spans="1:17">
      <c r="A5976" s="12">
        <v>46307</v>
      </c>
      <c r="B5976" s="10">
        <v>11</v>
      </c>
      <c r="Q5976" s="10" t="str">
        <f t="shared" si="93"/>
        <v>Incomplete</v>
      </c>
    </row>
    <row r="5977" spans="1:17">
      <c r="A5977" s="12">
        <v>46307</v>
      </c>
      <c r="B5977" s="10">
        <v>12</v>
      </c>
      <c r="Q5977" s="10" t="str">
        <f t="shared" si="93"/>
        <v>Incomplete</v>
      </c>
    </row>
    <row r="5978" spans="1:17">
      <c r="A5978" s="12">
        <v>46307</v>
      </c>
      <c r="B5978" s="10">
        <v>13</v>
      </c>
      <c r="Q5978" s="10" t="str">
        <f t="shared" si="93"/>
        <v>Incomplete</v>
      </c>
    </row>
    <row r="5979" spans="1:17">
      <c r="A5979" s="12">
        <v>46307</v>
      </c>
      <c r="B5979" s="10">
        <v>14</v>
      </c>
      <c r="Q5979" s="10" t="str">
        <f t="shared" si="93"/>
        <v>Incomplete</v>
      </c>
    </row>
    <row r="5980" spans="1:17">
      <c r="A5980" s="12">
        <v>46307</v>
      </c>
      <c r="B5980" s="10">
        <v>15</v>
      </c>
      <c r="Q5980" s="10" t="str">
        <f t="shared" si="93"/>
        <v>Incomplete</v>
      </c>
    </row>
    <row r="5981" spans="1:17">
      <c r="A5981" s="12">
        <v>46307</v>
      </c>
      <c r="B5981" s="10">
        <v>16</v>
      </c>
      <c r="Q5981" s="10" t="str">
        <f t="shared" si="93"/>
        <v>Incomplete</v>
      </c>
    </row>
    <row r="5982" spans="1:17">
      <c r="A5982" s="12">
        <v>46307</v>
      </c>
      <c r="B5982" s="10">
        <v>17</v>
      </c>
      <c r="Q5982" s="10" t="str">
        <f t="shared" si="93"/>
        <v>Incomplete</v>
      </c>
    </row>
    <row r="5983" spans="1:17">
      <c r="A5983" s="12">
        <v>46307</v>
      </c>
      <c r="B5983" s="10">
        <v>18</v>
      </c>
      <c r="Q5983" s="10" t="str">
        <f t="shared" si="93"/>
        <v>Incomplete</v>
      </c>
    </row>
    <row r="5984" spans="1:17">
      <c r="A5984" s="12">
        <v>46307</v>
      </c>
      <c r="B5984" s="10">
        <v>19</v>
      </c>
      <c r="Q5984" s="10" t="str">
        <f t="shared" si="93"/>
        <v>Incomplete</v>
      </c>
    </row>
    <row r="5985" spans="1:17">
      <c r="A5985" s="12">
        <v>46307</v>
      </c>
      <c r="B5985" s="10">
        <v>20</v>
      </c>
      <c r="Q5985" s="10" t="str">
        <f t="shared" si="93"/>
        <v>Incomplete</v>
      </c>
    </row>
    <row r="5986" spans="1:17">
      <c r="A5986" s="12">
        <v>46307</v>
      </c>
      <c r="B5986" s="10">
        <v>21</v>
      </c>
      <c r="Q5986" s="10" t="str">
        <f t="shared" si="93"/>
        <v>Incomplete</v>
      </c>
    </row>
    <row r="5987" spans="1:17">
      <c r="A5987" s="12">
        <v>46308</v>
      </c>
      <c r="B5987" s="10">
        <v>1</v>
      </c>
      <c r="Q5987" s="10" t="str">
        <f t="shared" si="93"/>
        <v>Incomplete</v>
      </c>
    </row>
    <row r="5988" spans="1:17">
      <c r="A5988" s="12">
        <v>46308</v>
      </c>
      <c r="B5988" s="10">
        <v>2</v>
      </c>
      <c r="Q5988" s="10" t="str">
        <f t="shared" si="93"/>
        <v>Incomplete</v>
      </c>
    </row>
    <row r="5989" spans="1:17">
      <c r="A5989" s="12">
        <v>46308</v>
      </c>
      <c r="B5989" s="10">
        <v>3</v>
      </c>
      <c r="Q5989" s="10" t="str">
        <f t="shared" si="93"/>
        <v>Incomplete</v>
      </c>
    </row>
    <row r="5990" spans="1:17">
      <c r="A5990" s="12">
        <v>46308</v>
      </c>
      <c r="B5990" s="10">
        <v>4</v>
      </c>
      <c r="Q5990" s="10" t="str">
        <f t="shared" si="93"/>
        <v>Incomplete</v>
      </c>
    </row>
    <row r="5991" spans="1:17">
      <c r="A5991" s="12">
        <v>46308</v>
      </c>
      <c r="B5991" s="10">
        <v>5</v>
      </c>
      <c r="Q5991" s="10" t="str">
        <f t="shared" si="93"/>
        <v>Incomplete</v>
      </c>
    </row>
    <row r="5992" spans="1:17">
      <c r="A5992" s="12">
        <v>46308</v>
      </c>
      <c r="B5992" s="10">
        <v>6</v>
      </c>
      <c r="Q5992" s="10" t="str">
        <f t="shared" si="93"/>
        <v>Incomplete</v>
      </c>
    </row>
    <row r="5993" spans="1:17">
      <c r="A5993" s="12">
        <v>46308</v>
      </c>
      <c r="B5993" s="10">
        <v>7</v>
      </c>
      <c r="Q5993" s="10" t="str">
        <f t="shared" si="93"/>
        <v>Incomplete</v>
      </c>
    </row>
    <row r="5994" spans="1:17">
      <c r="A5994" s="12">
        <v>46308</v>
      </c>
      <c r="B5994" s="10">
        <v>8</v>
      </c>
      <c r="Q5994" s="10" t="str">
        <f t="shared" si="93"/>
        <v>Incomplete</v>
      </c>
    </row>
    <row r="5995" spans="1:17">
      <c r="A5995" s="12">
        <v>46308</v>
      </c>
      <c r="B5995" s="10">
        <v>9</v>
      </c>
      <c r="Q5995" s="10" t="str">
        <f t="shared" si="93"/>
        <v>Incomplete</v>
      </c>
    </row>
    <row r="5996" spans="1:17">
      <c r="A5996" s="12">
        <v>46308</v>
      </c>
      <c r="B5996" s="10">
        <v>10</v>
      </c>
      <c r="Q5996" s="10" t="str">
        <f t="shared" si="93"/>
        <v>Incomplete</v>
      </c>
    </row>
    <row r="5997" spans="1:17">
      <c r="A5997" s="12">
        <v>46308</v>
      </c>
      <c r="B5997" s="10">
        <v>11</v>
      </c>
      <c r="Q5997" s="10" t="str">
        <f t="shared" si="93"/>
        <v>Incomplete</v>
      </c>
    </row>
    <row r="5998" spans="1:17">
      <c r="A5998" s="12">
        <v>46308</v>
      </c>
      <c r="B5998" s="10">
        <v>12</v>
      </c>
      <c r="Q5998" s="10" t="str">
        <f t="shared" si="93"/>
        <v>Incomplete</v>
      </c>
    </row>
    <row r="5999" spans="1:17">
      <c r="A5999" s="12">
        <v>46308</v>
      </c>
      <c r="B5999" s="10">
        <v>13</v>
      </c>
      <c r="Q5999" s="10" t="str">
        <f t="shared" si="93"/>
        <v>Incomplete</v>
      </c>
    </row>
    <row r="6000" spans="1:17">
      <c r="A6000" s="12">
        <v>46308</v>
      </c>
      <c r="B6000" s="10">
        <v>14</v>
      </c>
      <c r="Q6000" s="10" t="str">
        <f t="shared" si="93"/>
        <v>Incomplete</v>
      </c>
    </row>
    <row r="6001" spans="1:17">
      <c r="A6001" s="12">
        <v>46308</v>
      </c>
      <c r="B6001" s="10">
        <v>15</v>
      </c>
      <c r="Q6001" s="10" t="str">
        <f t="shared" si="93"/>
        <v>Incomplete</v>
      </c>
    </row>
    <row r="6002" spans="1:17">
      <c r="A6002" s="12">
        <v>46308</v>
      </c>
      <c r="B6002" s="10">
        <v>16</v>
      </c>
      <c r="Q6002" s="10" t="str">
        <f t="shared" si="93"/>
        <v>Incomplete</v>
      </c>
    </row>
    <row r="6003" spans="1:17">
      <c r="A6003" s="12">
        <v>46308</v>
      </c>
      <c r="B6003" s="10">
        <v>17</v>
      </c>
      <c r="Q6003" s="10" t="str">
        <f t="shared" si="93"/>
        <v>Incomplete</v>
      </c>
    </row>
    <row r="6004" spans="1:17">
      <c r="A6004" s="12">
        <v>46308</v>
      </c>
      <c r="B6004" s="10">
        <v>18</v>
      </c>
      <c r="Q6004" s="10" t="str">
        <f t="shared" si="93"/>
        <v>Incomplete</v>
      </c>
    </row>
    <row r="6005" spans="1:17">
      <c r="A6005" s="12">
        <v>46308</v>
      </c>
      <c r="B6005" s="10">
        <v>19</v>
      </c>
      <c r="Q6005" s="10" t="str">
        <f t="shared" si="93"/>
        <v>Incomplete</v>
      </c>
    </row>
    <row r="6006" spans="1:17">
      <c r="A6006" s="12">
        <v>46308</v>
      </c>
      <c r="B6006" s="10">
        <v>20</v>
      </c>
      <c r="Q6006" s="10" t="str">
        <f t="shared" si="93"/>
        <v>Incomplete</v>
      </c>
    </row>
    <row r="6007" spans="1:17">
      <c r="A6007" s="12">
        <v>46308</v>
      </c>
      <c r="B6007" s="10">
        <v>21</v>
      </c>
      <c r="Q6007" s="10" t="str">
        <f t="shared" si="93"/>
        <v>Incomplete</v>
      </c>
    </row>
    <row r="6008" spans="1:17">
      <c r="A6008" s="12">
        <v>46309</v>
      </c>
      <c r="B6008" s="10">
        <v>1</v>
      </c>
      <c r="Q6008" s="10" t="str">
        <f t="shared" si="93"/>
        <v>Incomplete</v>
      </c>
    </row>
    <row r="6009" spans="1:17">
      <c r="A6009" s="12">
        <v>46309</v>
      </c>
      <c r="B6009" s="10">
        <v>2</v>
      </c>
      <c r="Q6009" s="10" t="str">
        <f t="shared" si="93"/>
        <v>Incomplete</v>
      </c>
    </row>
    <row r="6010" spans="1:17">
      <c r="A6010" s="12">
        <v>46309</v>
      </c>
      <c r="B6010" s="10">
        <v>3</v>
      </c>
      <c r="Q6010" s="10" t="str">
        <f t="shared" si="93"/>
        <v>Incomplete</v>
      </c>
    </row>
    <row r="6011" spans="1:17">
      <c r="A6011" s="12">
        <v>46309</v>
      </c>
      <c r="B6011" s="10">
        <v>4</v>
      </c>
      <c r="Q6011" s="10" t="str">
        <f t="shared" si="93"/>
        <v>Incomplete</v>
      </c>
    </row>
    <row r="6012" spans="1:17">
      <c r="A6012" s="12">
        <v>46309</v>
      </c>
      <c r="B6012" s="10">
        <v>5</v>
      </c>
      <c r="Q6012" s="10" t="str">
        <f t="shared" si="93"/>
        <v>Incomplete</v>
      </c>
    </row>
    <row r="6013" spans="1:17">
      <c r="A6013" s="12">
        <v>46309</v>
      </c>
      <c r="B6013" s="10">
        <v>6</v>
      </c>
      <c r="Q6013" s="10" t="str">
        <f t="shared" si="93"/>
        <v>Incomplete</v>
      </c>
    </row>
    <row r="6014" spans="1:17">
      <c r="A6014" s="12">
        <v>46309</v>
      </c>
      <c r="B6014" s="10">
        <v>7</v>
      </c>
      <c r="Q6014" s="10" t="str">
        <f t="shared" si="93"/>
        <v>Incomplete</v>
      </c>
    </row>
    <row r="6015" spans="1:17">
      <c r="A6015" s="12">
        <v>46309</v>
      </c>
      <c r="B6015" s="10">
        <v>8</v>
      </c>
      <c r="Q6015" s="10" t="str">
        <f t="shared" si="93"/>
        <v>Incomplete</v>
      </c>
    </row>
    <row r="6016" spans="1:17">
      <c r="A6016" s="12">
        <v>46309</v>
      </c>
      <c r="B6016" s="10">
        <v>9</v>
      </c>
      <c r="Q6016" s="10" t="str">
        <f t="shared" si="93"/>
        <v>Incomplete</v>
      </c>
    </row>
    <row r="6017" spans="1:17">
      <c r="A6017" s="12">
        <v>46309</v>
      </c>
      <c r="B6017" s="10">
        <v>10</v>
      </c>
      <c r="Q6017" s="10" t="str">
        <f t="shared" si="93"/>
        <v>Incomplete</v>
      </c>
    </row>
    <row r="6018" spans="1:17">
      <c r="A6018" s="12">
        <v>46309</v>
      </c>
      <c r="B6018" s="10">
        <v>11</v>
      </c>
      <c r="Q6018" s="10" t="str">
        <f t="shared" ref="Q6018:Q6081" si="94">IF(AND(C6018&lt;&gt;"",J6018&lt;&gt;"",K6018&lt;&gt;"",L6018&lt;&gt;"",O6018="Yes"),"Complete","Incomplete")</f>
        <v>Incomplete</v>
      </c>
    </row>
    <row r="6019" spans="1:17">
      <c r="A6019" s="12">
        <v>46309</v>
      </c>
      <c r="B6019" s="10">
        <v>12</v>
      </c>
      <c r="Q6019" s="10" t="str">
        <f t="shared" si="94"/>
        <v>Incomplete</v>
      </c>
    </row>
    <row r="6020" spans="1:17">
      <c r="A6020" s="12">
        <v>46309</v>
      </c>
      <c r="B6020" s="10">
        <v>13</v>
      </c>
      <c r="Q6020" s="10" t="str">
        <f t="shared" si="94"/>
        <v>Incomplete</v>
      </c>
    </row>
    <row r="6021" spans="1:17">
      <c r="A6021" s="12">
        <v>46309</v>
      </c>
      <c r="B6021" s="10">
        <v>14</v>
      </c>
      <c r="Q6021" s="10" t="str">
        <f t="shared" si="94"/>
        <v>Incomplete</v>
      </c>
    </row>
    <row r="6022" spans="1:17">
      <c r="A6022" s="12">
        <v>46309</v>
      </c>
      <c r="B6022" s="10">
        <v>15</v>
      </c>
      <c r="Q6022" s="10" t="str">
        <f t="shared" si="94"/>
        <v>Incomplete</v>
      </c>
    </row>
    <row r="6023" spans="1:17">
      <c r="A6023" s="12">
        <v>46309</v>
      </c>
      <c r="B6023" s="10">
        <v>16</v>
      </c>
      <c r="Q6023" s="10" t="str">
        <f t="shared" si="94"/>
        <v>Incomplete</v>
      </c>
    </row>
    <row r="6024" spans="1:17">
      <c r="A6024" s="12">
        <v>46309</v>
      </c>
      <c r="B6024" s="10">
        <v>17</v>
      </c>
      <c r="Q6024" s="10" t="str">
        <f t="shared" si="94"/>
        <v>Incomplete</v>
      </c>
    </row>
    <row r="6025" spans="1:17">
      <c r="A6025" s="12">
        <v>46309</v>
      </c>
      <c r="B6025" s="10">
        <v>18</v>
      </c>
      <c r="Q6025" s="10" t="str">
        <f t="shared" si="94"/>
        <v>Incomplete</v>
      </c>
    </row>
    <row r="6026" spans="1:17">
      <c r="A6026" s="12">
        <v>46309</v>
      </c>
      <c r="B6026" s="10">
        <v>19</v>
      </c>
      <c r="Q6026" s="10" t="str">
        <f t="shared" si="94"/>
        <v>Incomplete</v>
      </c>
    </row>
    <row r="6027" spans="1:17">
      <c r="A6027" s="12">
        <v>46309</v>
      </c>
      <c r="B6027" s="10">
        <v>20</v>
      </c>
      <c r="Q6027" s="10" t="str">
        <f t="shared" si="94"/>
        <v>Incomplete</v>
      </c>
    </row>
    <row r="6028" spans="1:17">
      <c r="A6028" s="12">
        <v>46309</v>
      </c>
      <c r="B6028" s="10">
        <v>21</v>
      </c>
      <c r="Q6028" s="10" t="str">
        <f t="shared" si="94"/>
        <v>Incomplete</v>
      </c>
    </row>
    <row r="6029" spans="1:17">
      <c r="A6029" s="12">
        <v>46310</v>
      </c>
      <c r="B6029" s="10">
        <v>1</v>
      </c>
      <c r="Q6029" s="10" t="str">
        <f t="shared" si="94"/>
        <v>Incomplete</v>
      </c>
    </row>
    <row r="6030" spans="1:17">
      <c r="A6030" s="12">
        <v>46310</v>
      </c>
      <c r="B6030" s="10">
        <v>2</v>
      </c>
      <c r="Q6030" s="10" t="str">
        <f t="shared" si="94"/>
        <v>Incomplete</v>
      </c>
    </row>
    <row r="6031" spans="1:17">
      <c r="A6031" s="12">
        <v>46310</v>
      </c>
      <c r="B6031" s="10">
        <v>3</v>
      </c>
      <c r="Q6031" s="10" t="str">
        <f t="shared" si="94"/>
        <v>Incomplete</v>
      </c>
    </row>
    <row r="6032" spans="1:17">
      <c r="A6032" s="12">
        <v>46310</v>
      </c>
      <c r="B6032" s="10">
        <v>4</v>
      </c>
      <c r="Q6032" s="10" t="str">
        <f t="shared" si="94"/>
        <v>Incomplete</v>
      </c>
    </row>
    <row r="6033" spans="1:17">
      <c r="A6033" s="12">
        <v>46310</v>
      </c>
      <c r="B6033" s="10">
        <v>5</v>
      </c>
      <c r="Q6033" s="10" t="str">
        <f t="shared" si="94"/>
        <v>Incomplete</v>
      </c>
    </row>
    <row r="6034" spans="1:17">
      <c r="A6034" s="12">
        <v>46310</v>
      </c>
      <c r="B6034" s="10">
        <v>6</v>
      </c>
      <c r="Q6034" s="10" t="str">
        <f t="shared" si="94"/>
        <v>Incomplete</v>
      </c>
    </row>
    <row r="6035" spans="1:17">
      <c r="A6035" s="12">
        <v>46310</v>
      </c>
      <c r="B6035" s="10">
        <v>7</v>
      </c>
      <c r="Q6035" s="10" t="str">
        <f t="shared" si="94"/>
        <v>Incomplete</v>
      </c>
    </row>
    <row r="6036" spans="1:17">
      <c r="A6036" s="12">
        <v>46310</v>
      </c>
      <c r="B6036" s="10">
        <v>8</v>
      </c>
      <c r="Q6036" s="10" t="str">
        <f t="shared" si="94"/>
        <v>Incomplete</v>
      </c>
    </row>
    <row r="6037" spans="1:17">
      <c r="A6037" s="12">
        <v>46310</v>
      </c>
      <c r="B6037" s="10">
        <v>9</v>
      </c>
      <c r="Q6037" s="10" t="str">
        <f t="shared" si="94"/>
        <v>Incomplete</v>
      </c>
    </row>
    <row r="6038" spans="1:17">
      <c r="A6038" s="12">
        <v>46310</v>
      </c>
      <c r="B6038" s="10">
        <v>10</v>
      </c>
      <c r="Q6038" s="10" t="str">
        <f t="shared" si="94"/>
        <v>Incomplete</v>
      </c>
    </row>
    <row r="6039" spans="1:17">
      <c r="A6039" s="12">
        <v>46310</v>
      </c>
      <c r="B6039" s="10">
        <v>11</v>
      </c>
      <c r="Q6039" s="10" t="str">
        <f t="shared" si="94"/>
        <v>Incomplete</v>
      </c>
    </row>
    <row r="6040" spans="1:17">
      <c r="A6040" s="12">
        <v>46310</v>
      </c>
      <c r="B6040" s="10">
        <v>12</v>
      </c>
      <c r="Q6040" s="10" t="str">
        <f t="shared" si="94"/>
        <v>Incomplete</v>
      </c>
    </row>
    <row r="6041" spans="1:17">
      <c r="A6041" s="12">
        <v>46310</v>
      </c>
      <c r="B6041" s="10">
        <v>13</v>
      </c>
      <c r="Q6041" s="10" t="str">
        <f t="shared" si="94"/>
        <v>Incomplete</v>
      </c>
    </row>
    <row r="6042" spans="1:17">
      <c r="A6042" s="12">
        <v>46310</v>
      </c>
      <c r="B6042" s="10">
        <v>14</v>
      </c>
      <c r="Q6042" s="10" t="str">
        <f t="shared" si="94"/>
        <v>Incomplete</v>
      </c>
    </row>
    <row r="6043" spans="1:17">
      <c r="A6043" s="12">
        <v>46310</v>
      </c>
      <c r="B6043" s="10">
        <v>15</v>
      </c>
      <c r="Q6043" s="10" t="str">
        <f t="shared" si="94"/>
        <v>Incomplete</v>
      </c>
    </row>
    <row r="6044" spans="1:17">
      <c r="A6044" s="12">
        <v>46310</v>
      </c>
      <c r="B6044" s="10">
        <v>16</v>
      </c>
      <c r="Q6044" s="10" t="str">
        <f t="shared" si="94"/>
        <v>Incomplete</v>
      </c>
    </row>
    <row r="6045" spans="1:17">
      <c r="A6045" s="12">
        <v>46310</v>
      </c>
      <c r="B6045" s="10">
        <v>17</v>
      </c>
      <c r="Q6045" s="10" t="str">
        <f t="shared" si="94"/>
        <v>Incomplete</v>
      </c>
    </row>
    <row r="6046" spans="1:17">
      <c r="A6046" s="12">
        <v>46310</v>
      </c>
      <c r="B6046" s="10">
        <v>18</v>
      </c>
      <c r="Q6046" s="10" t="str">
        <f t="shared" si="94"/>
        <v>Incomplete</v>
      </c>
    </row>
    <row r="6047" spans="1:17">
      <c r="A6047" s="12">
        <v>46310</v>
      </c>
      <c r="B6047" s="10">
        <v>19</v>
      </c>
      <c r="Q6047" s="10" t="str">
        <f t="shared" si="94"/>
        <v>Incomplete</v>
      </c>
    </row>
    <row r="6048" spans="1:17">
      <c r="A6048" s="12">
        <v>46310</v>
      </c>
      <c r="B6048" s="10">
        <v>20</v>
      </c>
      <c r="Q6048" s="10" t="str">
        <f t="shared" si="94"/>
        <v>Incomplete</v>
      </c>
    </row>
    <row r="6049" spans="1:17">
      <c r="A6049" s="12">
        <v>46310</v>
      </c>
      <c r="B6049" s="10">
        <v>21</v>
      </c>
      <c r="Q6049" s="10" t="str">
        <f t="shared" si="94"/>
        <v>Incomplete</v>
      </c>
    </row>
    <row r="6050" spans="1:17">
      <c r="A6050" s="12">
        <v>46311</v>
      </c>
      <c r="B6050" s="10">
        <v>1</v>
      </c>
      <c r="Q6050" s="10" t="str">
        <f t="shared" si="94"/>
        <v>Incomplete</v>
      </c>
    </row>
    <row r="6051" spans="1:17">
      <c r="A6051" s="12">
        <v>46311</v>
      </c>
      <c r="B6051" s="10">
        <v>2</v>
      </c>
      <c r="Q6051" s="10" t="str">
        <f t="shared" si="94"/>
        <v>Incomplete</v>
      </c>
    </row>
    <row r="6052" spans="1:17">
      <c r="A6052" s="12">
        <v>46311</v>
      </c>
      <c r="B6052" s="10">
        <v>3</v>
      </c>
      <c r="Q6052" s="10" t="str">
        <f t="shared" si="94"/>
        <v>Incomplete</v>
      </c>
    </row>
    <row r="6053" spans="1:17">
      <c r="A6053" s="12">
        <v>46311</v>
      </c>
      <c r="B6053" s="10">
        <v>4</v>
      </c>
      <c r="Q6053" s="10" t="str">
        <f t="shared" si="94"/>
        <v>Incomplete</v>
      </c>
    </row>
    <row r="6054" spans="1:17">
      <c r="A6054" s="12">
        <v>46311</v>
      </c>
      <c r="B6054" s="10">
        <v>5</v>
      </c>
      <c r="Q6054" s="10" t="str">
        <f t="shared" si="94"/>
        <v>Incomplete</v>
      </c>
    </row>
    <row r="6055" spans="1:17">
      <c r="A6055" s="12">
        <v>46311</v>
      </c>
      <c r="B6055" s="10">
        <v>6</v>
      </c>
      <c r="Q6055" s="10" t="str">
        <f t="shared" si="94"/>
        <v>Incomplete</v>
      </c>
    </row>
    <row r="6056" spans="1:17">
      <c r="A6056" s="12">
        <v>46311</v>
      </c>
      <c r="B6056" s="10">
        <v>7</v>
      </c>
      <c r="Q6056" s="10" t="str">
        <f t="shared" si="94"/>
        <v>Incomplete</v>
      </c>
    </row>
    <row r="6057" spans="1:17">
      <c r="A6057" s="12">
        <v>46311</v>
      </c>
      <c r="B6057" s="10">
        <v>8</v>
      </c>
      <c r="Q6057" s="10" t="str">
        <f t="shared" si="94"/>
        <v>Incomplete</v>
      </c>
    </row>
    <row r="6058" spans="1:17">
      <c r="A6058" s="12">
        <v>46311</v>
      </c>
      <c r="B6058" s="10">
        <v>9</v>
      </c>
      <c r="Q6058" s="10" t="str">
        <f t="shared" si="94"/>
        <v>Incomplete</v>
      </c>
    </row>
    <row r="6059" spans="1:17">
      <c r="A6059" s="12">
        <v>46311</v>
      </c>
      <c r="B6059" s="10">
        <v>10</v>
      </c>
      <c r="Q6059" s="10" t="str">
        <f t="shared" si="94"/>
        <v>Incomplete</v>
      </c>
    </row>
    <row r="6060" spans="1:17">
      <c r="A6060" s="12">
        <v>46311</v>
      </c>
      <c r="B6060" s="10">
        <v>11</v>
      </c>
      <c r="Q6060" s="10" t="str">
        <f t="shared" si="94"/>
        <v>Incomplete</v>
      </c>
    </row>
    <row r="6061" spans="1:17">
      <c r="A6061" s="12">
        <v>46311</v>
      </c>
      <c r="B6061" s="10">
        <v>12</v>
      </c>
      <c r="Q6061" s="10" t="str">
        <f t="shared" si="94"/>
        <v>Incomplete</v>
      </c>
    </row>
    <row r="6062" spans="1:17">
      <c r="A6062" s="12">
        <v>46311</v>
      </c>
      <c r="B6062" s="10">
        <v>13</v>
      </c>
      <c r="Q6062" s="10" t="str">
        <f t="shared" si="94"/>
        <v>Incomplete</v>
      </c>
    </row>
    <row r="6063" spans="1:17">
      <c r="A6063" s="12">
        <v>46311</v>
      </c>
      <c r="B6063" s="10">
        <v>14</v>
      </c>
      <c r="Q6063" s="10" t="str">
        <f t="shared" si="94"/>
        <v>Incomplete</v>
      </c>
    </row>
    <row r="6064" spans="1:17">
      <c r="A6064" s="12">
        <v>46311</v>
      </c>
      <c r="B6064" s="10">
        <v>15</v>
      </c>
      <c r="Q6064" s="10" t="str">
        <f t="shared" si="94"/>
        <v>Incomplete</v>
      </c>
    </row>
    <row r="6065" spans="1:17">
      <c r="A6065" s="12">
        <v>46311</v>
      </c>
      <c r="B6065" s="10">
        <v>16</v>
      </c>
      <c r="Q6065" s="10" t="str">
        <f t="shared" si="94"/>
        <v>Incomplete</v>
      </c>
    </row>
    <row r="6066" spans="1:17">
      <c r="A6066" s="12">
        <v>46311</v>
      </c>
      <c r="B6066" s="10">
        <v>17</v>
      </c>
      <c r="Q6066" s="10" t="str">
        <f t="shared" si="94"/>
        <v>Incomplete</v>
      </c>
    </row>
    <row r="6067" spans="1:17">
      <c r="A6067" s="12">
        <v>46311</v>
      </c>
      <c r="B6067" s="10">
        <v>18</v>
      </c>
      <c r="Q6067" s="10" t="str">
        <f t="shared" si="94"/>
        <v>Incomplete</v>
      </c>
    </row>
    <row r="6068" spans="1:17">
      <c r="A6068" s="12">
        <v>46311</v>
      </c>
      <c r="B6068" s="10">
        <v>19</v>
      </c>
      <c r="Q6068" s="10" t="str">
        <f t="shared" si="94"/>
        <v>Incomplete</v>
      </c>
    </row>
    <row r="6069" spans="1:17">
      <c r="A6069" s="12">
        <v>46311</v>
      </c>
      <c r="B6069" s="10">
        <v>20</v>
      </c>
      <c r="Q6069" s="10" t="str">
        <f t="shared" si="94"/>
        <v>Incomplete</v>
      </c>
    </row>
    <row r="6070" spans="1:17">
      <c r="A6070" s="12">
        <v>46311</v>
      </c>
      <c r="B6070" s="10">
        <v>21</v>
      </c>
      <c r="Q6070" s="10" t="str">
        <f t="shared" si="94"/>
        <v>Incomplete</v>
      </c>
    </row>
    <row r="6071" spans="1:17">
      <c r="A6071" s="12">
        <v>46312</v>
      </c>
      <c r="B6071" s="10">
        <v>1</v>
      </c>
      <c r="Q6071" s="10" t="str">
        <f t="shared" si="94"/>
        <v>Incomplete</v>
      </c>
    </row>
    <row r="6072" spans="1:17">
      <c r="A6072" s="12">
        <v>46312</v>
      </c>
      <c r="B6072" s="10">
        <v>2</v>
      </c>
      <c r="Q6072" s="10" t="str">
        <f t="shared" si="94"/>
        <v>Incomplete</v>
      </c>
    </row>
    <row r="6073" spans="1:17">
      <c r="A6073" s="12">
        <v>46312</v>
      </c>
      <c r="B6073" s="10">
        <v>3</v>
      </c>
      <c r="Q6073" s="10" t="str">
        <f t="shared" si="94"/>
        <v>Incomplete</v>
      </c>
    </row>
    <row r="6074" spans="1:17">
      <c r="A6074" s="12">
        <v>46312</v>
      </c>
      <c r="B6074" s="10">
        <v>4</v>
      </c>
      <c r="Q6074" s="10" t="str">
        <f t="shared" si="94"/>
        <v>Incomplete</v>
      </c>
    </row>
    <row r="6075" spans="1:17">
      <c r="A6075" s="12">
        <v>46312</v>
      </c>
      <c r="B6075" s="10">
        <v>5</v>
      </c>
      <c r="Q6075" s="10" t="str">
        <f t="shared" si="94"/>
        <v>Incomplete</v>
      </c>
    </row>
    <row r="6076" spans="1:17">
      <c r="A6076" s="12">
        <v>46312</v>
      </c>
      <c r="B6076" s="10">
        <v>6</v>
      </c>
      <c r="Q6076" s="10" t="str">
        <f t="shared" si="94"/>
        <v>Incomplete</v>
      </c>
    </row>
    <row r="6077" spans="1:17">
      <c r="A6077" s="12">
        <v>46312</v>
      </c>
      <c r="B6077" s="10">
        <v>7</v>
      </c>
      <c r="Q6077" s="10" t="str">
        <f t="shared" si="94"/>
        <v>Incomplete</v>
      </c>
    </row>
    <row r="6078" spans="1:17">
      <c r="A6078" s="12">
        <v>46312</v>
      </c>
      <c r="B6078" s="10">
        <v>8</v>
      </c>
      <c r="Q6078" s="10" t="str">
        <f t="shared" si="94"/>
        <v>Incomplete</v>
      </c>
    </row>
    <row r="6079" spans="1:17">
      <c r="A6079" s="12">
        <v>46312</v>
      </c>
      <c r="B6079" s="10">
        <v>9</v>
      </c>
      <c r="Q6079" s="10" t="str">
        <f t="shared" si="94"/>
        <v>Incomplete</v>
      </c>
    </row>
    <row r="6080" spans="1:17">
      <c r="A6080" s="12">
        <v>46312</v>
      </c>
      <c r="B6080" s="10">
        <v>10</v>
      </c>
      <c r="Q6080" s="10" t="str">
        <f t="shared" si="94"/>
        <v>Incomplete</v>
      </c>
    </row>
    <row r="6081" spans="1:17">
      <c r="A6081" s="12">
        <v>46312</v>
      </c>
      <c r="B6081" s="10">
        <v>11</v>
      </c>
      <c r="Q6081" s="10" t="str">
        <f t="shared" si="94"/>
        <v>Incomplete</v>
      </c>
    </row>
    <row r="6082" spans="1:17">
      <c r="A6082" s="12">
        <v>46312</v>
      </c>
      <c r="B6082" s="10">
        <v>12</v>
      </c>
      <c r="Q6082" s="10" t="str">
        <f t="shared" ref="Q6082:Q6145" si="95">IF(AND(C6082&lt;&gt;"",J6082&lt;&gt;"",K6082&lt;&gt;"",L6082&lt;&gt;"",O6082="Yes"),"Complete","Incomplete")</f>
        <v>Incomplete</v>
      </c>
    </row>
    <row r="6083" spans="1:17">
      <c r="A6083" s="12">
        <v>46312</v>
      </c>
      <c r="B6083" s="10">
        <v>13</v>
      </c>
      <c r="Q6083" s="10" t="str">
        <f t="shared" si="95"/>
        <v>Incomplete</v>
      </c>
    </row>
    <row r="6084" spans="1:17">
      <c r="A6084" s="12">
        <v>46312</v>
      </c>
      <c r="B6084" s="10">
        <v>14</v>
      </c>
      <c r="Q6084" s="10" t="str">
        <f t="shared" si="95"/>
        <v>Incomplete</v>
      </c>
    </row>
    <row r="6085" spans="1:17">
      <c r="A6085" s="12">
        <v>46312</v>
      </c>
      <c r="B6085" s="10">
        <v>15</v>
      </c>
      <c r="Q6085" s="10" t="str">
        <f t="shared" si="95"/>
        <v>Incomplete</v>
      </c>
    </row>
    <row r="6086" spans="1:17">
      <c r="A6086" s="12">
        <v>46312</v>
      </c>
      <c r="B6086" s="10">
        <v>16</v>
      </c>
      <c r="Q6086" s="10" t="str">
        <f t="shared" si="95"/>
        <v>Incomplete</v>
      </c>
    </row>
    <row r="6087" spans="1:17">
      <c r="A6087" s="12">
        <v>46312</v>
      </c>
      <c r="B6087" s="10">
        <v>17</v>
      </c>
      <c r="Q6087" s="10" t="str">
        <f t="shared" si="95"/>
        <v>Incomplete</v>
      </c>
    </row>
    <row r="6088" spans="1:17">
      <c r="A6088" s="12">
        <v>46312</v>
      </c>
      <c r="B6088" s="10">
        <v>18</v>
      </c>
      <c r="Q6088" s="10" t="str">
        <f t="shared" si="95"/>
        <v>Incomplete</v>
      </c>
    </row>
    <row r="6089" spans="1:17">
      <c r="A6089" s="12">
        <v>46312</v>
      </c>
      <c r="B6089" s="10">
        <v>19</v>
      </c>
      <c r="Q6089" s="10" t="str">
        <f t="shared" si="95"/>
        <v>Incomplete</v>
      </c>
    </row>
    <row r="6090" spans="1:17">
      <c r="A6090" s="12">
        <v>46312</v>
      </c>
      <c r="B6090" s="10">
        <v>20</v>
      </c>
      <c r="Q6090" s="10" t="str">
        <f t="shared" si="95"/>
        <v>Incomplete</v>
      </c>
    </row>
    <row r="6091" spans="1:17">
      <c r="A6091" s="12">
        <v>46312</v>
      </c>
      <c r="B6091" s="10">
        <v>21</v>
      </c>
      <c r="Q6091" s="10" t="str">
        <f t="shared" si="95"/>
        <v>Incomplete</v>
      </c>
    </row>
    <row r="6092" spans="1:17">
      <c r="A6092" s="12">
        <v>46313</v>
      </c>
      <c r="B6092" s="10">
        <v>1</v>
      </c>
      <c r="Q6092" s="10" t="str">
        <f t="shared" si="95"/>
        <v>Incomplete</v>
      </c>
    </row>
    <row r="6093" spans="1:17">
      <c r="A6093" s="12">
        <v>46313</v>
      </c>
      <c r="B6093" s="10">
        <v>2</v>
      </c>
      <c r="Q6093" s="10" t="str">
        <f t="shared" si="95"/>
        <v>Incomplete</v>
      </c>
    </row>
    <row r="6094" spans="1:17">
      <c r="A6094" s="12">
        <v>46313</v>
      </c>
      <c r="B6094" s="10">
        <v>3</v>
      </c>
      <c r="Q6094" s="10" t="str">
        <f t="shared" si="95"/>
        <v>Incomplete</v>
      </c>
    </row>
    <row r="6095" spans="1:17">
      <c r="A6095" s="12">
        <v>46313</v>
      </c>
      <c r="B6095" s="10">
        <v>4</v>
      </c>
      <c r="Q6095" s="10" t="str">
        <f t="shared" si="95"/>
        <v>Incomplete</v>
      </c>
    </row>
    <row r="6096" spans="1:17">
      <c r="A6096" s="12">
        <v>46313</v>
      </c>
      <c r="B6096" s="10">
        <v>5</v>
      </c>
      <c r="Q6096" s="10" t="str">
        <f t="shared" si="95"/>
        <v>Incomplete</v>
      </c>
    </row>
    <row r="6097" spans="1:17">
      <c r="A6097" s="12">
        <v>46313</v>
      </c>
      <c r="B6097" s="10">
        <v>6</v>
      </c>
      <c r="Q6097" s="10" t="str">
        <f t="shared" si="95"/>
        <v>Incomplete</v>
      </c>
    </row>
    <row r="6098" spans="1:17">
      <c r="A6098" s="12">
        <v>46313</v>
      </c>
      <c r="B6098" s="10">
        <v>7</v>
      </c>
      <c r="Q6098" s="10" t="str">
        <f t="shared" si="95"/>
        <v>Incomplete</v>
      </c>
    </row>
    <row r="6099" spans="1:17">
      <c r="A6099" s="12">
        <v>46313</v>
      </c>
      <c r="B6099" s="10">
        <v>8</v>
      </c>
      <c r="Q6099" s="10" t="str">
        <f t="shared" si="95"/>
        <v>Incomplete</v>
      </c>
    </row>
    <row r="6100" spans="1:17">
      <c r="A6100" s="12">
        <v>46313</v>
      </c>
      <c r="B6100" s="10">
        <v>9</v>
      </c>
      <c r="Q6100" s="10" t="str">
        <f t="shared" si="95"/>
        <v>Incomplete</v>
      </c>
    </row>
    <row r="6101" spans="1:17">
      <c r="A6101" s="12">
        <v>46313</v>
      </c>
      <c r="B6101" s="10">
        <v>10</v>
      </c>
      <c r="Q6101" s="10" t="str">
        <f t="shared" si="95"/>
        <v>Incomplete</v>
      </c>
    </row>
    <row r="6102" spans="1:17">
      <c r="A6102" s="12">
        <v>46313</v>
      </c>
      <c r="B6102" s="10">
        <v>11</v>
      </c>
      <c r="Q6102" s="10" t="str">
        <f t="shared" si="95"/>
        <v>Incomplete</v>
      </c>
    </row>
    <row r="6103" spans="1:17">
      <c r="A6103" s="12">
        <v>46313</v>
      </c>
      <c r="B6103" s="10">
        <v>12</v>
      </c>
      <c r="Q6103" s="10" t="str">
        <f t="shared" si="95"/>
        <v>Incomplete</v>
      </c>
    </row>
    <row r="6104" spans="1:17">
      <c r="A6104" s="12">
        <v>46313</v>
      </c>
      <c r="B6104" s="10">
        <v>13</v>
      </c>
      <c r="Q6104" s="10" t="str">
        <f t="shared" si="95"/>
        <v>Incomplete</v>
      </c>
    </row>
    <row r="6105" spans="1:17">
      <c r="A6105" s="12">
        <v>46313</v>
      </c>
      <c r="B6105" s="10">
        <v>14</v>
      </c>
      <c r="Q6105" s="10" t="str">
        <f t="shared" si="95"/>
        <v>Incomplete</v>
      </c>
    </row>
    <row r="6106" spans="1:17">
      <c r="A6106" s="12">
        <v>46313</v>
      </c>
      <c r="B6106" s="10">
        <v>15</v>
      </c>
      <c r="Q6106" s="10" t="str">
        <f t="shared" si="95"/>
        <v>Incomplete</v>
      </c>
    </row>
    <row r="6107" spans="1:17">
      <c r="A6107" s="12">
        <v>46313</v>
      </c>
      <c r="B6107" s="10">
        <v>16</v>
      </c>
      <c r="Q6107" s="10" t="str">
        <f t="shared" si="95"/>
        <v>Incomplete</v>
      </c>
    </row>
    <row r="6108" spans="1:17">
      <c r="A6108" s="12">
        <v>46313</v>
      </c>
      <c r="B6108" s="10">
        <v>17</v>
      </c>
      <c r="Q6108" s="10" t="str">
        <f t="shared" si="95"/>
        <v>Incomplete</v>
      </c>
    </row>
    <row r="6109" spans="1:17">
      <c r="A6109" s="12">
        <v>46313</v>
      </c>
      <c r="B6109" s="10">
        <v>18</v>
      </c>
      <c r="Q6109" s="10" t="str">
        <f t="shared" si="95"/>
        <v>Incomplete</v>
      </c>
    </row>
    <row r="6110" spans="1:17">
      <c r="A6110" s="12">
        <v>46313</v>
      </c>
      <c r="B6110" s="10">
        <v>19</v>
      </c>
      <c r="Q6110" s="10" t="str">
        <f t="shared" si="95"/>
        <v>Incomplete</v>
      </c>
    </row>
    <row r="6111" spans="1:17">
      <c r="A6111" s="12">
        <v>46313</v>
      </c>
      <c r="B6111" s="10">
        <v>20</v>
      </c>
      <c r="Q6111" s="10" t="str">
        <f t="shared" si="95"/>
        <v>Incomplete</v>
      </c>
    </row>
    <row r="6112" spans="1:17">
      <c r="A6112" s="12">
        <v>46313</v>
      </c>
      <c r="B6112" s="10">
        <v>21</v>
      </c>
      <c r="Q6112" s="10" t="str">
        <f t="shared" si="95"/>
        <v>Incomplete</v>
      </c>
    </row>
    <row r="6113" spans="1:17">
      <c r="A6113" s="12">
        <v>46314</v>
      </c>
      <c r="B6113" s="10">
        <v>1</v>
      </c>
      <c r="Q6113" s="10" t="str">
        <f t="shared" si="95"/>
        <v>Incomplete</v>
      </c>
    </row>
    <row r="6114" spans="1:17">
      <c r="A6114" s="12">
        <v>46314</v>
      </c>
      <c r="B6114" s="10">
        <v>2</v>
      </c>
      <c r="Q6114" s="10" t="str">
        <f t="shared" si="95"/>
        <v>Incomplete</v>
      </c>
    </row>
    <row r="6115" spans="1:17">
      <c r="A6115" s="12">
        <v>46314</v>
      </c>
      <c r="B6115" s="10">
        <v>3</v>
      </c>
      <c r="Q6115" s="10" t="str">
        <f t="shared" si="95"/>
        <v>Incomplete</v>
      </c>
    </row>
    <row r="6116" spans="1:17">
      <c r="A6116" s="12">
        <v>46314</v>
      </c>
      <c r="B6116" s="10">
        <v>4</v>
      </c>
      <c r="Q6116" s="10" t="str">
        <f t="shared" si="95"/>
        <v>Incomplete</v>
      </c>
    </row>
    <row r="6117" spans="1:17">
      <c r="A6117" s="12">
        <v>46314</v>
      </c>
      <c r="B6117" s="10">
        <v>5</v>
      </c>
      <c r="Q6117" s="10" t="str">
        <f t="shared" si="95"/>
        <v>Incomplete</v>
      </c>
    </row>
    <row r="6118" spans="1:17">
      <c r="A6118" s="12">
        <v>46314</v>
      </c>
      <c r="B6118" s="10">
        <v>6</v>
      </c>
      <c r="Q6118" s="10" t="str">
        <f t="shared" si="95"/>
        <v>Incomplete</v>
      </c>
    </row>
    <row r="6119" spans="1:17">
      <c r="A6119" s="12">
        <v>46314</v>
      </c>
      <c r="B6119" s="10">
        <v>7</v>
      </c>
      <c r="Q6119" s="10" t="str">
        <f t="shared" si="95"/>
        <v>Incomplete</v>
      </c>
    </row>
    <row r="6120" spans="1:17">
      <c r="A6120" s="12">
        <v>46314</v>
      </c>
      <c r="B6120" s="10">
        <v>8</v>
      </c>
      <c r="Q6120" s="10" t="str">
        <f t="shared" si="95"/>
        <v>Incomplete</v>
      </c>
    </row>
    <row r="6121" spans="1:17">
      <c r="A6121" s="12">
        <v>46314</v>
      </c>
      <c r="B6121" s="10">
        <v>9</v>
      </c>
      <c r="Q6121" s="10" t="str">
        <f t="shared" si="95"/>
        <v>Incomplete</v>
      </c>
    </row>
    <row r="6122" spans="1:17">
      <c r="A6122" s="12">
        <v>46314</v>
      </c>
      <c r="B6122" s="10">
        <v>10</v>
      </c>
      <c r="Q6122" s="10" t="str">
        <f t="shared" si="95"/>
        <v>Incomplete</v>
      </c>
    </row>
    <row r="6123" spans="1:17">
      <c r="A6123" s="12">
        <v>46314</v>
      </c>
      <c r="B6123" s="10">
        <v>11</v>
      </c>
      <c r="Q6123" s="10" t="str">
        <f t="shared" si="95"/>
        <v>Incomplete</v>
      </c>
    </row>
    <row r="6124" spans="1:17">
      <c r="A6124" s="12">
        <v>46314</v>
      </c>
      <c r="B6124" s="10">
        <v>12</v>
      </c>
      <c r="Q6124" s="10" t="str">
        <f t="shared" si="95"/>
        <v>Incomplete</v>
      </c>
    </row>
    <row r="6125" spans="1:17">
      <c r="A6125" s="12">
        <v>46314</v>
      </c>
      <c r="B6125" s="10">
        <v>13</v>
      </c>
      <c r="Q6125" s="10" t="str">
        <f t="shared" si="95"/>
        <v>Incomplete</v>
      </c>
    </row>
    <row r="6126" spans="1:17">
      <c r="A6126" s="12">
        <v>46314</v>
      </c>
      <c r="B6126" s="10">
        <v>14</v>
      </c>
      <c r="Q6126" s="10" t="str">
        <f t="shared" si="95"/>
        <v>Incomplete</v>
      </c>
    </row>
    <row r="6127" spans="1:17">
      <c r="A6127" s="12">
        <v>46314</v>
      </c>
      <c r="B6127" s="10">
        <v>15</v>
      </c>
      <c r="Q6127" s="10" t="str">
        <f t="shared" si="95"/>
        <v>Incomplete</v>
      </c>
    </row>
    <row r="6128" spans="1:17">
      <c r="A6128" s="12">
        <v>46314</v>
      </c>
      <c r="B6128" s="10">
        <v>16</v>
      </c>
      <c r="Q6128" s="10" t="str">
        <f t="shared" si="95"/>
        <v>Incomplete</v>
      </c>
    </row>
    <row r="6129" spans="1:17">
      <c r="A6129" s="12">
        <v>46314</v>
      </c>
      <c r="B6129" s="10">
        <v>17</v>
      </c>
      <c r="Q6129" s="10" t="str">
        <f t="shared" si="95"/>
        <v>Incomplete</v>
      </c>
    </row>
    <row r="6130" spans="1:17">
      <c r="A6130" s="12">
        <v>46314</v>
      </c>
      <c r="B6130" s="10">
        <v>18</v>
      </c>
      <c r="Q6130" s="10" t="str">
        <f t="shared" si="95"/>
        <v>Incomplete</v>
      </c>
    </row>
    <row r="6131" spans="1:17">
      <c r="A6131" s="12">
        <v>46314</v>
      </c>
      <c r="B6131" s="10">
        <v>19</v>
      </c>
      <c r="Q6131" s="10" t="str">
        <f t="shared" si="95"/>
        <v>Incomplete</v>
      </c>
    </row>
    <row r="6132" spans="1:17">
      <c r="A6132" s="12">
        <v>46314</v>
      </c>
      <c r="B6132" s="10">
        <v>20</v>
      </c>
      <c r="Q6132" s="10" t="str">
        <f t="shared" si="95"/>
        <v>Incomplete</v>
      </c>
    </row>
    <row r="6133" spans="1:17">
      <c r="A6133" s="12">
        <v>46314</v>
      </c>
      <c r="B6133" s="10">
        <v>21</v>
      </c>
      <c r="Q6133" s="10" t="str">
        <f t="shared" si="95"/>
        <v>Incomplete</v>
      </c>
    </row>
    <row r="6134" spans="1:17">
      <c r="A6134" s="12">
        <v>46315</v>
      </c>
      <c r="B6134" s="10">
        <v>1</v>
      </c>
      <c r="Q6134" s="10" t="str">
        <f t="shared" si="95"/>
        <v>Incomplete</v>
      </c>
    </row>
    <row r="6135" spans="1:17">
      <c r="A6135" s="12">
        <v>46315</v>
      </c>
      <c r="B6135" s="10">
        <v>2</v>
      </c>
      <c r="Q6135" s="10" t="str">
        <f t="shared" si="95"/>
        <v>Incomplete</v>
      </c>
    </row>
    <row r="6136" spans="1:17">
      <c r="A6136" s="12">
        <v>46315</v>
      </c>
      <c r="B6136" s="10">
        <v>3</v>
      </c>
      <c r="Q6136" s="10" t="str">
        <f t="shared" si="95"/>
        <v>Incomplete</v>
      </c>
    </row>
    <row r="6137" spans="1:17">
      <c r="A6137" s="12">
        <v>46315</v>
      </c>
      <c r="B6137" s="10">
        <v>4</v>
      </c>
      <c r="Q6137" s="10" t="str">
        <f t="shared" si="95"/>
        <v>Incomplete</v>
      </c>
    </row>
    <row r="6138" spans="1:17">
      <c r="A6138" s="12">
        <v>46315</v>
      </c>
      <c r="B6138" s="10">
        <v>5</v>
      </c>
      <c r="Q6138" s="10" t="str">
        <f t="shared" si="95"/>
        <v>Incomplete</v>
      </c>
    </row>
    <row r="6139" spans="1:17">
      <c r="A6139" s="12">
        <v>46315</v>
      </c>
      <c r="B6139" s="10">
        <v>6</v>
      </c>
      <c r="Q6139" s="10" t="str">
        <f t="shared" si="95"/>
        <v>Incomplete</v>
      </c>
    </row>
    <row r="6140" spans="1:17">
      <c r="A6140" s="12">
        <v>46315</v>
      </c>
      <c r="B6140" s="10">
        <v>7</v>
      </c>
      <c r="Q6140" s="10" t="str">
        <f t="shared" si="95"/>
        <v>Incomplete</v>
      </c>
    </row>
    <row r="6141" spans="1:17">
      <c r="A6141" s="12">
        <v>46315</v>
      </c>
      <c r="B6141" s="10">
        <v>8</v>
      </c>
      <c r="Q6141" s="10" t="str">
        <f t="shared" si="95"/>
        <v>Incomplete</v>
      </c>
    </row>
    <row r="6142" spans="1:17">
      <c r="A6142" s="12">
        <v>46315</v>
      </c>
      <c r="B6142" s="10">
        <v>9</v>
      </c>
      <c r="Q6142" s="10" t="str">
        <f t="shared" si="95"/>
        <v>Incomplete</v>
      </c>
    </row>
    <row r="6143" spans="1:17">
      <c r="A6143" s="12">
        <v>46315</v>
      </c>
      <c r="B6143" s="10">
        <v>10</v>
      </c>
      <c r="Q6143" s="10" t="str">
        <f t="shared" si="95"/>
        <v>Incomplete</v>
      </c>
    </row>
    <row r="6144" spans="1:17">
      <c r="A6144" s="12">
        <v>46315</v>
      </c>
      <c r="B6144" s="10">
        <v>11</v>
      </c>
      <c r="Q6144" s="10" t="str">
        <f t="shared" si="95"/>
        <v>Incomplete</v>
      </c>
    </row>
    <row r="6145" spans="1:17">
      <c r="A6145" s="12">
        <v>46315</v>
      </c>
      <c r="B6145" s="10">
        <v>12</v>
      </c>
      <c r="Q6145" s="10" t="str">
        <f t="shared" si="95"/>
        <v>Incomplete</v>
      </c>
    </row>
    <row r="6146" spans="1:17">
      <c r="A6146" s="12">
        <v>46315</v>
      </c>
      <c r="B6146" s="10">
        <v>13</v>
      </c>
      <c r="Q6146" s="10" t="str">
        <f t="shared" ref="Q6146:Q6209" si="96">IF(AND(C6146&lt;&gt;"",J6146&lt;&gt;"",K6146&lt;&gt;"",L6146&lt;&gt;"",O6146="Yes"),"Complete","Incomplete")</f>
        <v>Incomplete</v>
      </c>
    </row>
    <row r="6147" spans="1:17">
      <c r="A6147" s="12">
        <v>46315</v>
      </c>
      <c r="B6147" s="10">
        <v>14</v>
      </c>
      <c r="Q6147" s="10" t="str">
        <f t="shared" si="96"/>
        <v>Incomplete</v>
      </c>
    </row>
    <row r="6148" spans="1:17">
      <c r="A6148" s="12">
        <v>46315</v>
      </c>
      <c r="B6148" s="10">
        <v>15</v>
      </c>
      <c r="Q6148" s="10" t="str">
        <f t="shared" si="96"/>
        <v>Incomplete</v>
      </c>
    </row>
    <row r="6149" spans="1:17">
      <c r="A6149" s="12">
        <v>46315</v>
      </c>
      <c r="B6149" s="10">
        <v>16</v>
      </c>
      <c r="Q6149" s="10" t="str">
        <f t="shared" si="96"/>
        <v>Incomplete</v>
      </c>
    </row>
    <row r="6150" spans="1:17">
      <c r="A6150" s="12">
        <v>46315</v>
      </c>
      <c r="B6150" s="10">
        <v>17</v>
      </c>
      <c r="Q6150" s="10" t="str">
        <f t="shared" si="96"/>
        <v>Incomplete</v>
      </c>
    </row>
    <row r="6151" spans="1:17">
      <c r="A6151" s="12">
        <v>46315</v>
      </c>
      <c r="B6151" s="10">
        <v>18</v>
      </c>
      <c r="Q6151" s="10" t="str">
        <f t="shared" si="96"/>
        <v>Incomplete</v>
      </c>
    </row>
    <row r="6152" spans="1:17">
      <c r="A6152" s="12">
        <v>46315</v>
      </c>
      <c r="B6152" s="10">
        <v>19</v>
      </c>
      <c r="Q6152" s="10" t="str">
        <f t="shared" si="96"/>
        <v>Incomplete</v>
      </c>
    </row>
    <row r="6153" spans="1:17">
      <c r="A6153" s="12">
        <v>46315</v>
      </c>
      <c r="B6153" s="10">
        <v>20</v>
      </c>
      <c r="Q6153" s="10" t="str">
        <f t="shared" si="96"/>
        <v>Incomplete</v>
      </c>
    </row>
    <row r="6154" spans="1:17">
      <c r="A6154" s="12">
        <v>46315</v>
      </c>
      <c r="B6154" s="10">
        <v>21</v>
      </c>
      <c r="Q6154" s="10" t="str">
        <f t="shared" si="96"/>
        <v>Incomplete</v>
      </c>
    </row>
    <row r="6155" spans="1:17">
      <c r="A6155" s="12">
        <v>46316</v>
      </c>
      <c r="B6155" s="10">
        <v>1</v>
      </c>
      <c r="Q6155" s="10" t="str">
        <f t="shared" si="96"/>
        <v>Incomplete</v>
      </c>
    </row>
    <row r="6156" spans="1:17">
      <c r="A6156" s="12">
        <v>46316</v>
      </c>
      <c r="B6156" s="10">
        <v>2</v>
      </c>
      <c r="Q6156" s="10" t="str">
        <f t="shared" si="96"/>
        <v>Incomplete</v>
      </c>
    </row>
    <row r="6157" spans="1:17">
      <c r="A6157" s="12">
        <v>46316</v>
      </c>
      <c r="B6157" s="10">
        <v>3</v>
      </c>
      <c r="Q6157" s="10" t="str">
        <f t="shared" si="96"/>
        <v>Incomplete</v>
      </c>
    </row>
    <row r="6158" spans="1:17">
      <c r="A6158" s="12">
        <v>46316</v>
      </c>
      <c r="B6158" s="10">
        <v>4</v>
      </c>
      <c r="Q6158" s="10" t="str">
        <f t="shared" si="96"/>
        <v>Incomplete</v>
      </c>
    </row>
    <row r="6159" spans="1:17">
      <c r="A6159" s="12">
        <v>46316</v>
      </c>
      <c r="B6159" s="10">
        <v>5</v>
      </c>
      <c r="Q6159" s="10" t="str">
        <f t="shared" si="96"/>
        <v>Incomplete</v>
      </c>
    </row>
    <row r="6160" spans="1:17">
      <c r="A6160" s="12">
        <v>46316</v>
      </c>
      <c r="B6160" s="10">
        <v>6</v>
      </c>
      <c r="Q6160" s="10" t="str">
        <f t="shared" si="96"/>
        <v>Incomplete</v>
      </c>
    </row>
    <row r="6161" spans="1:17">
      <c r="A6161" s="12">
        <v>46316</v>
      </c>
      <c r="B6161" s="10">
        <v>7</v>
      </c>
      <c r="Q6161" s="10" t="str">
        <f t="shared" si="96"/>
        <v>Incomplete</v>
      </c>
    </row>
    <row r="6162" spans="1:17">
      <c r="A6162" s="12">
        <v>46316</v>
      </c>
      <c r="B6162" s="10">
        <v>8</v>
      </c>
      <c r="Q6162" s="10" t="str">
        <f t="shared" si="96"/>
        <v>Incomplete</v>
      </c>
    </row>
    <row r="6163" spans="1:17">
      <c r="A6163" s="12">
        <v>46316</v>
      </c>
      <c r="B6163" s="10">
        <v>9</v>
      </c>
      <c r="Q6163" s="10" t="str">
        <f t="shared" si="96"/>
        <v>Incomplete</v>
      </c>
    </row>
    <row r="6164" spans="1:17">
      <c r="A6164" s="12">
        <v>46316</v>
      </c>
      <c r="B6164" s="10">
        <v>10</v>
      </c>
      <c r="Q6164" s="10" t="str">
        <f t="shared" si="96"/>
        <v>Incomplete</v>
      </c>
    </row>
    <row r="6165" spans="1:17">
      <c r="A6165" s="12">
        <v>46316</v>
      </c>
      <c r="B6165" s="10">
        <v>11</v>
      </c>
      <c r="Q6165" s="10" t="str">
        <f t="shared" si="96"/>
        <v>Incomplete</v>
      </c>
    </row>
    <row r="6166" spans="1:17">
      <c r="A6166" s="12">
        <v>46316</v>
      </c>
      <c r="B6166" s="10">
        <v>12</v>
      </c>
      <c r="Q6166" s="10" t="str">
        <f t="shared" si="96"/>
        <v>Incomplete</v>
      </c>
    </row>
    <row r="6167" spans="1:17">
      <c r="A6167" s="12">
        <v>46316</v>
      </c>
      <c r="B6167" s="10">
        <v>13</v>
      </c>
      <c r="Q6167" s="10" t="str">
        <f t="shared" si="96"/>
        <v>Incomplete</v>
      </c>
    </row>
    <row r="6168" spans="1:17">
      <c r="A6168" s="12">
        <v>46316</v>
      </c>
      <c r="B6168" s="10">
        <v>14</v>
      </c>
      <c r="Q6168" s="10" t="str">
        <f t="shared" si="96"/>
        <v>Incomplete</v>
      </c>
    </row>
    <row r="6169" spans="1:17">
      <c r="A6169" s="12">
        <v>46316</v>
      </c>
      <c r="B6169" s="10">
        <v>15</v>
      </c>
      <c r="Q6169" s="10" t="str">
        <f t="shared" si="96"/>
        <v>Incomplete</v>
      </c>
    </row>
    <row r="6170" spans="1:17">
      <c r="A6170" s="12">
        <v>46316</v>
      </c>
      <c r="B6170" s="10">
        <v>16</v>
      </c>
      <c r="Q6170" s="10" t="str">
        <f t="shared" si="96"/>
        <v>Incomplete</v>
      </c>
    </row>
    <row r="6171" spans="1:17">
      <c r="A6171" s="12">
        <v>46316</v>
      </c>
      <c r="B6171" s="10">
        <v>17</v>
      </c>
      <c r="Q6171" s="10" t="str">
        <f t="shared" si="96"/>
        <v>Incomplete</v>
      </c>
    </row>
    <row r="6172" spans="1:17">
      <c r="A6172" s="12">
        <v>46316</v>
      </c>
      <c r="B6172" s="10">
        <v>18</v>
      </c>
      <c r="Q6172" s="10" t="str">
        <f t="shared" si="96"/>
        <v>Incomplete</v>
      </c>
    </row>
    <row r="6173" spans="1:17">
      <c r="A6173" s="12">
        <v>46316</v>
      </c>
      <c r="B6173" s="10">
        <v>19</v>
      </c>
      <c r="Q6173" s="10" t="str">
        <f t="shared" si="96"/>
        <v>Incomplete</v>
      </c>
    </row>
    <row r="6174" spans="1:17">
      <c r="A6174" s="12">
        <v>46316</v>
      </c>
      <c r="B6174" s="10">
        <v>20</v>
      </c>
      <c r="Q6174" s="10" t="str">
        <f t="shared" si="96"/>
        <v>Incomplete</v>
      </c>
    </row>
    <row r="6175" spans="1:17">
      <c r="A6175" s="12">
        <v>46316</v>
      </c>
      <c r="B6175" s="10">
        <v>21</v>
      </c>
      <c r="Q6175" s="10" t="str">
        <f t="shared" si="96"/>
        <v>Incomplete</v>
      </c>
    </row>
    <row r="6176" spans="1:17">
      <c r="A6176" s="12">
        <v>46317</v>
      </c>
      <c r="B6176" s="10">
        <v>1</v>
      </c>
      <c r="Q6176" s="10" t="str">
        <f t="shared" si="96"/>
        <v>Incomplete</v>
      </c>
    </row>
    <row r="6177" spans="1:17">
      <c r="A6177" s="12">
        <v>46317</v>
      </c>
      <c r="B6177" s="10">
        <v>2</v>
      </c>
      <c r="Q6177" s="10" t="str">
        <f t="shared" si="96"/>
        <v>Incomplete</v>
      </c>
    </row>
    <row r="6178" spans="1:17">
      <c r="A6178" s="12">
        <v>46317</v>
      </c>
      <c r="B6178" s="10">
        <v>3</v>
      </c>
      <c r="Q6178" s="10" t="str">
        <f t="shared" si="96"/>
        <v>Incomplete</v>
      </c>
    </row>
    <row r="6179" spans="1:17">
      <c r="A6179" s="12">
        <v>46317</v>
      </c>
      <c r="B6179" s="10">
        <v>4</v>
      </c>
      <c r="Q6179" s="10" t="str">
        <f t="shared" si="96"/>
        <v>Incomplete</v>
      </c>
    </row>
    <row r="6180" spans="1:17">
      <c r="A6180" s="12">
        <v>46317</v>
      </c>
      <c r="B6180" s="10">
        <v>5</v>
      </c>
      <c r="Q6180" s="10" t="str">
        <f t="shared" si="96"/>
        <v>Incomplete</v>
      </c>
    </row>
    <row r="6181" spans="1:17">
      <c r="A6181" s="12">
        <v>46317</v>
      </c>
      <c r="B6181" s="10">
        <v>6</v>
      </c>
      <c r="Q6181" s="10" t="str">
        <f t="shared" si="96"/>
        <v>Incomplete</v>
      </c>
    </row>
    <row r="6182" spans="1:17">
      <c r="A6182" s="12">
        <v>46317</v>
      </c>
      <c r="B6182" s="10">
        <v>7</v>
      </c>
      <c r="Q6182" s="10" t="str">
        <f t="shared" si="96"/>
        <v>Incomplete</v>
      </c>
    </row>
    <row r="6183" spans="1:17">
      <c r="A6183" s="12">
        <v>46317</v>
      </c>
      <c r="B6183" s="10">
        <v>8</v>
      </c>
      <c r="Q6183" s="10" t="str">
        <f t="shared" si="96"/>
        <v>Incomplete</v>
      </c>
    </row>
    <row r="6184" spans="1:17">
      <c r="A6184" s="12">
        <v>46317</v>
      </c>
      <c r="B6184" s="10">
        <v>9</v>
      </c>
      <c r="Q6184" s="10" t="str">
        <f t="shared" si="96"/>
        <v>Incomplete</v>
      </c>
    </row>
    <row r="6185" spans="1:17">
      <c r="A6185" s="12">
        <v>46317</v>
      </c>
      <c r="B6185" s="10">
        <v>10</v>
      </c>
      <c r="Q6185" s="10" t="str">
        <f t="shared" si="96"/>
        <v>Incomplete</v>
      </c>
    </row>
    <row r="6186" spans="1:17">
      <c r="A6186" s="12">
        <v>46317</v>
      </c>
      <c r="B6186" s="10">
        <v>11</v>
      </c>
      <c r="Q6186" s="10" t="str">
        <f t="shared" si="96"/>
        <v>Incomplete</v>
      </c>
    </row>
    <row r="6187" spans="1:17">
      <c r="A6187" s="12">
        <v>46317</v>
      </c>
      <c r="B6187" s="10">
        <v>12</v>
      </c>
      <c r="Q6187" s="10" t="str">
        <f t="shared" si="96"/>
        <v>Incomplete</v>
      </c>
    </row>
    <row r="6188" spans="1:17">
      <c r="A6188" s="12">
        <v>46317</v>
      </c>
      <c r="B6188" s="10">
        <v>13</v>
      </c>
      <c r="Q6188" s="10" t="str">
        <f t="shared" si="96"/>
        <v>Incomplete</v>
      </c>
    </row>
    <row r="6189" spans="1:17">
      <c r="A6189" s="12">
        <v>46317</v>
      </c>
      <c r="B6189" s="10">
        <v>14</v>
      </c>
      <c r="Q6189" s="10" t="str">
        <f t="shared" si="96"/>
        <v>Incomplete</v>
      </c>
    </row>
    <row r="6190" spans="1:17">
      <c r="A6190" s="12">
        <v>46317</v>
      </c>
      <c r="B6190" s="10">
        <v>15</v>
      </c>
      <c r="Q6190" s="10" t="str">
        <f t="shared" si="96"/>
        <v>Incomplete</v>
      </c>
    </row>
    <row r="6191" spans="1:17">
      <c r="A6191" s="12">
        <v>46317</v>
      </c>
      <c r="B6191" s="10">
        <v>16</v>
      </c>
      <c r="Q6191" s="10" t="str">
        <f t="shared" si="96"/>
        <v>Incomplete</v>
      </c>
    </row>
    <row r="6192" spans="1:17">
      <c r="A6192" s="12">
        <v>46317</v>
      </c>
      <c r="B6192" s="10">
        <v>17</v>
      </c>
      <c r="Q6192" s="10" t="str">
        <f t="shared" si="96"/>
        <v>Incomplete</v>
      </c>
    </row>
    <row r="6193" spans="1:17">
      <c r="A6193" s="12">
        <v>46317</v>
      </c>
      <c r="B6193" s="10">
        <v>18</v>
      </c>
      <c r="Q6193" s="10" t="str">
        <f t="shared" si="96"/>
        <v>Incomplete</v>
      </c>
    </row>
    <row r="6194" spans="1:17">
      <c r="A6194" s="12">
        <v>46317</v>
      </c>
      <c r="B6194" s="10">
        <v>19</v>
      </c>
      <c r="Q6194" s="10" t="str">
        <f t="shared" si="96"/>
        <v>Incomplete</v>
      </c>
    </row>
    <row r="6195" spans="1:17">
      <c r="A6195" s="12">
        <v>46317</v>
      </c>
      <c r="B6195" s="10">
        <v>20</v>
      </c>
      <c r="Q6195" s="10" t="str">
        <f t="shared" si="96"/>
        <v>Incomplete</v>
      </c>
    </row>
    <row r="6196" spans="1:17">
      <c r="A6196" s="12">
        <v>46317</v>
      </c>
      <c r="B6196" s="10">
        <v>21</v>
      </c>
      <c r="Q6196" s="10" t="str">
        <f t="shared" si="96"/>
        <v>Incomplete</v>
      </c>
    </row>
    <row r="6197" spans="1:17">
      <c r="A6197" s="12">
        <v>46318</v>
      </c>
      <c r="B6197" s="10">
        <v>1</v>
      </c>
      <c r="Q6197" s="10" t="str">
        <f t="shared" si="96"/>
        <v>Incomplete</v>
      </c>
    </row>
    <row r="6198" spans="1:17">
      <c r="A6198" s="12">
        <v>46318</v>
      </c>
      <c r="B6198" s="10">
        <v>2</v>
      </c>
      <c r="Q6198" s="10" t="str">
        <f t="shared" si="96"/>
        <v>Incomplete</v>
      </c>
    </row>
    <row r="6199" spans="1:17">
      <c r="A6199" s="12">
        <v>46318</v>
      </c>
      <c r="B6199" s="10">
        <v>3</v>
      </c>
      <c r="Q6199" s="10" t="str">
        <f t="shared" si="96"/>
        <v>Incomplete</v>
      </c>
    </row>
    <row r="6200" spans="1:17">
      <c r="A6200" s="12">
        <v>46318</v>
      </c>
      <c r="B6200" s="10">
        <v>4</v>
      </c>
      <c r="Q6200" s="10" t="str">
        <f t="shared" si="96"/>
        <v>Incomplete</v>
      </c>
    </row>
    <row r="6201" spans="1:17">
      <c r="A6201" s="12">
        <v>46318</v>
      </c>
      <c r="B6201" s="10">
        <v>5</v>
      </c>
      <c r="Q6201" s="10" t="str">
        <f t="shared" si="96"/>
        <v>Incomplete</v>
      </c>
    </row>
    <row r="6202" spans="1:17">
      <c r="A6202" s="12">
        <v>46318</v>
      </c>
      <c r="B6202" s="10">
        <v>6</v>
      </c>
      <c r="Q6202" s="10" t="str">
        <f t="shared" si="96"/>
        <v>Incomplete</v>
      </c>
    </row>
    <row r="6203" spans="1:17">
      <c r="A6203" s="12">
        <v>46318</v>
      </c>
      <c r="B6203" s="10">
        <v>7</v>
      </c>
      <c r="Q6203" s="10" t="str">
        <f t="shared" si="96"/>
        <v>Incomplete</v>
      </c>
    </row>
    <row r="6204" spans="1:17">
      <c r="A6204" s="12">
        <v>46318</v>
      </c>
      <c r="B6204" s="10">
        <v>8</v>
      </c>
      <c r="Q6204" s="10" t="str">
        <f t="shared" si="96"/>
        <v>Incomplete</v>
      </c>
    </row>
    <row r="6205" spans="1:17">
      <c r="A6205" s="12">
        <v>46318</v>
      </c>
      <c r="B6205" s="10">
        <v>9</v>
      </c>
      <c r="Q6205" s="10" t="str">
        <f t="shared" si="96"/>
        <v>Incomplete</v>
      </c>
    </row>
    <row r="6206" spans="1:17">
      <c r="A6206" s="12">
        <v>46318</v>
      </c>
      <c r="B6206" s="10">
        <v>10</v>
      </c>
      <c r="Q6206" s="10" t="str">
        <f t="shared" si="96"/>
        <v>Incomplete</v>
      </c>
    </row>
    <row r="6207" spans="1:17">
      <c r="A6207" s="12">
        <v>46318</v>
      </c>
      <c r="B6207" s="10">
        <v>11</v>
      </c>
      <c r="Q6207" s="10" t="str">
        <f t="shared" si="96"/>
        <v>Incomplete</v>
      </c>
    </row>
    <row r="6208" spans="1:17">
      <c r="A6208" s="12">
        <v>46318</v>
      </c>
      <c r="B6208" s="10">
        <v>12</v>
      </c>
      <c r="Q6208" s="10" t="str">
        <f t="shared" si="96"/>
        <v>Incomplete</v>
      </c>
    </row>
    <row r="6209" spans="1:17">
      <c r="A6209" s="12">
        <v>46318</v>
      </c>
      <c r="B6209" s="10">
        <v>13</v>
      </c>
      <c r="Q6209" s="10" t="str">
        <f t="shared" si="96"/>
        <v>Incomplete</v>
      </c>
    </row>
    <row r="6210" spans="1:17">
      <c r="A6210" s="12">
        <v>46318</v>
      </c>
      <c r="B6210" s="10">
        <v>14</v>
      </c>
      <c r="Q6210" s="10" t="str">
        <f t="shared" ref="Q6210:Q6273" si="97">IF(AND(C6210&lt;&gt;"",J6210&lt;&gt;"",K6210&lt;&gt;"",L6210&lt;&gt;"",O6210="Yes"),"Complete","Incomplete")</f>
        <v>Incomplete</v>
      </c>
    </row>
    <row r="6211" spans="1:17">
      <c r="A6211" s="12">
        <v>46318</v>
      </c>
      <c r="B6211" s="10">
        <v>15</v>
      </c>
      <c r="Q6211" s="10" t="str">
        <f t="shared" si="97"/>
        <v>Incomplete</v>
      </c>
    </row>
    <row r="6212" spans="1:17">
      <c r="A6212" s="12">
        <v>46318</v>
      </c>
      <c r="B6212" s="10">
        <v>16</v>
      </c>
      <c r="Q6212" s="10" t="str">
        <f t="shared" si="97"/>
        <v>Incomplete</v>
      </c>
    </row>
    <row r="6213" spans="1:17">
      <c r="A6213" s="12">
        <v>46318</v>
      </c>
      <c r="B6213" s="10">
        <v>17</v>
      </c>
      <c r="Q6213" s="10" t="str">
        <f t="shared" si="97"/>
        <v>Incomplete</v>
      </c>
    </row>
    <row r="6214" spans="1:17">
      <c r="A6214" s="12">
        <v>46318</v>
      </c>
      <c r="B6214" s="10">
        <v>18</v>
      </c>
      <c r="Q6214" s="10" t="str">
        <f t="shared" si="97"/>
        <v>Incomplete</v>
      </c>
    </row>
    <row r="6215" spans="1:17">
      <c r="A6215" s="12">
        <v>46318</v>
      </c>
      <c r="B6215" s="10">
        <v>19</v>
      </c>
      <c r="Q6215" s="10" t="str">
        <f t="shared" si="97"/>
        <v>Incomplete</v>
      </c>
    </row>
    <row r="6216" spans="1:17">
      <c r="A6216" s="12">
        <v>46318</v>
      </c>
      <c r="B6216" s="10">
        <v>20</v>
      </c>
      <c r="Q6216" s="10" t="str">
        <f t="shared" si="97"/>
        <v>Incomplete</v>
      </c>
    </row>
    <row r="6217" spans="1:17">
      <c r="A6217" s="12">
        <v>46318</v>
      </c>
      <c r="B6217" s="10">
        <v>21</v>
      </c>
      <c r="Q6217" s="10" t="str">
        <f t="shared" si="97"/>
        <v>Incomplete</v>
      </c>
    </row>
    <row r="6218" spans="1:17">
      <c r="A6218" s="12">
        <v>46319</v>
      </c>
      <c r="B6218" s="10">
        <v>1</v>
      </c>
      <c r="Q6218" s="10" t="str">
        <f t="shared" si="97"/>
        <v>Incomplete</v>
      </c>
    </row>
    <row r="6219" spans="1:17">
      <c r="A6219" s="12">
        <v>46319</v>
      </c>
      <c r="B6219" s="10">
        <v>2</v>
      </c>
      <c r="Q6219" s="10" t="str">
        <f t="shared" si="97"/>
        <v>Incomplete</v>
      </c>
    </row>
    <row r="6220" spans="1:17">
      <c r="A6220" s="12">
        <v>46319</v>
      </c>
      <c r="B6220" s="10">
        <v>3</v>
      </c>
      <c r="Q6220" s="10" t="str">
        <f t="shared" si="97"/>
        <v>Incomplete</v>
      </c>
    </row>
    <row r="6221" spans="1:17">
      <c r="A6221" s="12">
        <v>46319</v>
      </c>
      <c r="B6221" s="10">
        <v>4</v>
      </c>
      <c r="Q6221" s="10" t="str">
        <f t="shared" si="97"/>
        <v>Incomplete</v>
      </c>
    </row>
    <row r="6222" spans="1:17">
      <c r="A6222" s="12">
        <v>46319</v>
      </c>
      <c r="B6222" s="10">
        <v>5</v>
      </c>
      <c r="Q6222" s="10" t="str">
        <f t="shared" si="97"/>
        <v>Incomplete</v>
      </c>
    </row>
    <row r="6223" spans="1:17">
      <c r="A6223" s="12">
        <v>46319</v>
      </c>
      <c r="B6223" s="10">
        <v>6</v>
      </c>
      <c r="Q6223" s="10" t="str">
        <f t="shared" si="97"/>
        <v>Incomplete</v>
      </c>
    </row>
    <row r="6224" spans="1:17">
      <c r="A6224" s="12">
        <v>46319</v>
      </c>
      <c r="B6224" s="10">
        <v>7</v>
      </c>
      <c r="Q6224" s="10" t="str">
        <f t="shared" si="97"/>
        <v>Incomplete</v>
      </c>
    </row>
    <row r="6225" spans="1:17">
      <c r="A6225" s="12">
        <v>46319</v>
      </c>
      <c r="B6225" s="10">
        <v>8</v>
      </c>
      <c r="Q6225" s="10" t="str">
        <f t="shared" si="97"/>
        <v>Incomplete</v>
      </c>
    </row>
    <row r="6226" spans="1:17">
      <c r="A6226" s="12">
        <v>46319</v>
      </c>
      <c r="B6226" s="10">
        <v>9</v>
      </c>
      <c r="Q6226" s="10" t="str">
        <f t="shared" si="97"/>
        <v>Incomplete</v>
      </c>
    </row>
    <row r="6227" spans="1:17">
      <c r="A6227" s="12">
        <v>46319</v>
      </c>
      <c r="B6227" s="10">
        <v>10</v>
      </c>
      <c r="Q6227" s="10" t="str">
        <f t="shared" si="97"/>
        <v>Incomplete</v>
      </c>
    </row>
    <row r="6228" spans="1:17">
      <c r="A6228" s="12">
        <v>46319</v>
      </c>
      <c r="B6228" s="10">
        <v>11</v>
      </c>
      <c r="Q6228" s="10" t="str">
        <f t="shared" si="97"/>
        <v>Incomplete</v>
      </c>
    </row>
    <row r="6229" spans="1:17">
      <c r="A6229" s="12">
        <v>46319</v>
      </c>
      <c r="B6229" s="10">
        <v>12</v>
      </c>
      <c r="Q6229" s="10" t="str">
        <f t="shared" si="97"/>
        <v>Incomplete</v>
      </c>
    </row>
    <row r="6230" spans="1:17">
      <c r="A6230" s="12">
        <v>46319</v>
      </c>
      <c r="B6230" s="10">
        <v>13</v>
      </c>
      <c r="Q6230" s="10" t="str">
        <f t="shared" si="97"/>
        <v>Incomplete</v>
      </c>
    </row>
    <row r="6231" spans="1:17">
      <c r="A6231" s="12">
        <v>46319</v>
      </c>
      <c r="B6231" s="10">
        <v>14</v>
      </c>
      <c r="Q6231" s="10" t="str">
        <f t="shared" si="97"/>
        <v>Incomplete</v>
      </c>
    </row>
    <row r="6232" spans="1:17">
      <c r="A6232" s="12">
        <v>46319</v>
      </c>
      <c r="B6232" s="10">
        <v>15</v>
      </c>
      <c r="Q6232" s="10" t="str">
        <f t="shared" si="97"/>
        <v>Incomplete</v>
      </c>
    </row>
    <row r="6233" spans="1:17">
      <c r="A6233" s="12">
        <v>46319</v>
      </c>
      <c r="B6233" s="10">
        <v>16</v>
      </c>
      <c r="Q6233" s="10" t="str">
        <f t="shared" si="97"/>
        <v>Incomplete</v>
      </c>
    </row>
    <row r="6234" spans="1:17">
      <c r="A6234" s="12">
        <v>46319</v>
      </c>
      <c r="B6234" s="10">
        <v>17</v>
      </c>
      <c r="Q6234" s="10" t="str">
        <f t="shared" si="97"/>
        <v>Incomplete</v>
      </c>
    </row>
    <row r="6235" spans="1:17">
      <c r="A6235" s="12">
        <v>46319</v>
      </c>
      <c r="B6235" s="10">
        <v>18</v>
      </c>
      <c r="Q6235" s="10" t="str">
        <f t="shared" si="97"/>
        <v>Incomplete</v>
      </c>
    </row>
    <row r="6236" spans="1:17">
      <c r="A6236" s="12">
        <v>46319</v>
      </c>
      <c r="B6236" s="10">
        <v>19</v>
      </c>
      <c r="Q6236" s="10" t="str">
        <f t="shared" si="97"/>
        <v>Incomplete</v>
      </c>
    </row>
    <row r="6237" spans="1:17">
      <c r="A6237" s="12">
        <v>46319</v>
      </c>
      <c r="B6237" s="10">
        <v>20</v>
      </c>
      <c r="Q6237" s="10" t="str">
        <f t="shared" si="97"/>
        <v>Incomplete</v>
      </c>
    </row>
    <row r="6238" spans="1:17">
      <c r="A6238" s="12">
        <v>46319</v>
      </c>
      <c r="B6238" s="10">
        <v>21</v>
      </c>
      <c r="Q6238" s="10" t="str">
        <f t="shared" si="97"/>
        <v>Incomplete</v>
      </c>
    </row>
    <row r="6239" spans="1:17">
      <c r="A6239" s="12">
        <v>46320</v>
      </c>
      <c r="B6239" s="10">
        <v>1</v>
      </c>
      <c r="Q6239" s="10" t="str">
        <f t="shared" si="97"/>
        <v>Incomplete</v>
      </c>
    </row>
    <row r="6240" spans="1:17">
      <c r="A6240" s="12">
        <v>46320</v>
      </c>
      <c r="B6240" s="10">
        <v>2</v>
      </c>
      <c r="Q6240" s="10" t="str">
        <f t="shared" si="97"/>
        <v>Incomplete</v>
      </c>
    </row>
    <row r="6241" spans="1:17">
      <c r="A6241" s="12">
        <v>46320</v>
      </c>
      <c r="B6241" s="10">
        <v>3</v>
      </c>
      <c r="Q6241" s="10" t="str">
        <f t="shared" si="97"/>
        <v>Incomplete</v>
      </c>
    </row>
    <row r="6242" spans="1:17">
      <c r="A6242" s="12">
        <v>46320</v>
      </c>
      <c r="B6242" s="10">
        <v>4</v>
      </c>
      <c r="Q6242" s="10" t="str">
        <f t="shared" si="97"/>
        <v>Incomplete</v>
      </c>
    </row>
    <row r="6243" spans="1:17">
      <c r="A6243" s="12">
        <v>46320</v>
      </c>
      <c r="B6243" s="10">
        <v>5</v>
      </c>
      <c r="Q6243" s="10" t="str">
        <f t="shared" si="97"/>
        <v>Incomplete</v>
      </c>
    </row>
    <row r="6244" spans="1:17">
      <c r="A6244" s="12">
        <v>46320</v>
      </c>
      <c r="B6244" s="10">
        <v>6</v>
      </c>
      <c r="Q6244" s="10" t="str">
        <f t="shared" si="97"/>
        <v>Incomplete</v>
      </c>
    </row>
    <row r="6245" spans="1:17">
      <c r="A6245" s="12">
        <v>46320</v>
      </c>
      <c r="B6245" s="10">
        <v>7</v>
      </c>
      <c r="Q6245" s="10" t="str">
        <f t="shared" si="97"/>
        <v>Incomplete</v>
      </c>
    </row>
    <row r="6246" spans="1:17">
      <c r="A6246" s="12">
        <v>46320</v>
      </c>
      <c r="B6246" s="10">
        <v>8</v>
      </c>
      <c r="Q6246" s="10" t="str">
        <f t="shared" si="97"/>
        <v>Incomplete</v>
      </c>
    </row>
    <row r="6247" spans="1:17">
      <c r="A6247" s="12">
        <v>46320</v>
      </c>
      <c r="B6247" s="10">
        <v>9</v>
      </c>
      <c r="Q6247" s="10" t="str">
        <f t="shared" si="97"/>
        <v>Incomplete</v>
      </c>
    </row>
    <row r="6248" spans="1:17">
      <c r="A6248" s="12">
        <v>46320</v>
      </c>
      <c r="B6248" s="10">
        <v>10</v>
      </c>
      <c r="Q6248" s="10" t="str">
        <f t="shared" si="97"/>
        <v>Incomplete</v>
      </c>
    </row>
    <row r="6249" spans="1:17">
      <c r="A6249" s="12">
        <v>46320</v>
      </c>
      <c r="B6249" s="10">
        <v>11</v>
      </c>
      <c r="Q6249" s="10" t="str">
        <f t="shared" si="97"/>
        <v>Incomplete</v>
      </c>
    </row>
    <row r="6250" spans="1:17">
      <c r="A6250" s="12">
        <v>46320</v>
      </c>
      <c r="B6250" s="10">
        <v>12</v>
      </c>
      <c r="Q6250" s="10" t="str">
        <f t="shared" si="97"/>
        <v>Incomplete</v>
      </c>
    </row>
    <row r="6251" spans="1:17">
      <c r="A6251" s="12">
        <v>46320</v>
      </c>
      <c r="B6251" s="10">
        <v>13</v>
      </c>
      <c r="Q6251" s="10" t="str">
        <f t="shared" si="97"/>
        <v>Incomplete</v>
      </c>
    </row>
    <row r="6252" spans="1:17">
      <c r="A6252" s="12">
        <v>46320</v>
      </c>
      <c r="B6252" s="10">
        <v>14</v>
      </c>
      <c r="Q6252" s="10" t="str">
        <f t="shared" si="97"/>
        <v>Incomplete</v>
      </c>
    </row>
    <row r="6253" spans="1:17">
      <c r="A6253" s="12">
        <v>46320</v>
      </c>
      <c r="B6253" s="10">
        <v>15</v>
      </c>
      <c r="Q6253" s="10" t="str">
        <f t="shared" si="97"/>
        <v>Incomplete</v>
      </c>
    </row>
    <row r="6254" spans="1:17">
      <c r="A6254" s="12">
        <v>46320</v>
      </c>
      <c r="B6254" s="10">
        <v>16</v>
      </c>
      <c r="Q6254" s="10" t="str">
        <f t="shared" si="97"/>
        <v>Incomplete</v>
      </c>
    </row>
    <row r="6255" spans="1:17">
      <c r="A6255" s="12">
        <v>46320</v>
      </c>
      <c r="B6255" s="10">
        <v>17</v>
      </c>
      <c r="Q6255" s="10" t="str">
        <f t="shared" si="97"/>
        <v>Incomplete</v>
      </c>
    </row>
    <row r="6256" spans="1:17">
      <c r="A6256" s="12">
        <v>46320</v>
      </c>
      <c r="B6256" s="10">
        <v>18</v>
      </c>
      <c r="Q6256" s="10" t="str">
        <f t="shared" si="97"/>
        <v>Incomplete</v>
      </c>
    </row>
    <row r="6257" spans="1:17">
      <c r="A6257" s="12">
        <v>46320</v>
      </c>
      <c r="B6257" s="10">
        <v>19</v>
      </c>
      <c r="Q6257" s="10" t="str">
        <f t="shared" si="97"/>
        <v>Incomplete</v>
      </c>
    </row>
    <row r="6258" spans="1:17">
      <c r="A6258" s="12">
        <v>46320</v>
      </c>
      <c r="B6258" s="10">
        <v>20</v>
      </c>
      <c r="Q6258" s="10" t="str">
        <f t="shared" si="97"/>
        <v>Incomplete</v>
      </c>
    </row>
    <row r="6259" spans="1:17">
      <c r="A6259" s="12">
        <v>46320</v>
      </c>
      <c r="B6259" s="10">
        <v>21</v>
      </c>
      <c r="Q6259" s="10" t="str">
        <f t="shared" si="97"/>
        <v>Incomplete</v>
      </c>
    </row>
    <row r="6260" spans="1:17">
      <c r="A6260" s="12">
        <v>46321</v>
      </c>
      <c r="B6260" s="10">
        <v>1</v>
      </c>
      <c r="Q6260" s="10" t="str">
        <f t="shared" si="97"/>
        <v>Incomplete</v>
      </c>
    </row>
    <row r="6261" spans="1:17">
      <c r="A6261" s="12">
        <v>46321</v>
      </c>
      <c r="B6261" s="10">
        <v>2</v>
      </c>
      <c r="Q6261" s="10" t="str">
        <f t="shared" si="97"/>
        <v>Incomplete</v>
      </c>
    </row>
    <row r="6262" spans="1:17">
      <c r="A6262" s="12">
        <v>46321</v>
      </c>
      <c r="B6262" s="10">
        <v>3</v>
      </c>
      <c r="Q6262" s="10" t="str">
        <f t="shared" si="97"/>
        <v>Incomplete</v>
      </c>
    </row>
    <row r="6263" spans="1:17">
      <c r="A6263" s="12">
        <v>46321</v>
      </c>
      <c r="B6263" s="10">
        <v>4</v>
      </c>
      <c r="Q6263" s="10" t="str">
        <f t="shared" si="97"/>
        <v>Incomplete</v>
      </c>
    </row>
    <row r="6264" spans="1:17">
      <c r="A6264" s="12">
        <v>46321</v>
      </c>
      <c r="B6264" s="10">
        <v>5</v>
      </c>
      <c r="Q6264" s="10" t="str">
        <f t="shared" si="97"/>
        <v>Incomplete</v>
      </c>
    </row>
    <row r="6265" spans="1:17">
      <c r="A6265" s="12">
        <v>46321</v>
      </c>
      <c r="B6265" s="10">
        <v>6</v>
      </c>
      <c r="Q6265" s="10" t="str">
        <f t="shared" si="97"/>
        <v>Incomplete</v>
      </c>
    </row>
    <row r="6266" spans="1:17">
      <c r="A6266" s="12">
        <v>46321</v>
      </c>
      <c r="B6266" s="10">
        <v>7</v>
      </c>
      <c r="Q6266" s="10" t="str">
        <f t="shared" si="97"/>
        <v>Incomplete</v>
      </c>
    </row>
    <row r="6267" spans="1:17">
      <c r="A6267" s="12">
        <v>46321</v>
      </c>
      <c r="B6267" s="10">
        <v>8</v>
      </c>
      <c r="Q6267" s="10" t="str">
        <f t="shared" si="97"/>
        <v>Incomplete</v>
      </c>
    </row>
    <row r="6268" spans="1:17">
      <c r="A6268" s="12">
        <v>46321</v>
      </c>
      <c r="B6268" s="10">
        <v>9</v>
      </c>
      <c r="Q6268" s="10" t="str">
        <f t="shared" si="97"/>
        <v>Incomplete</v>
      </c>
    </row>
    <row r="6269" spans="1:17">
      <c r="A6269" s="12">
        <v>46321</v>
      </c>
      <c r="B6269" s="10">
        <v>10</v>
      </c>
      <c r="Q6269" s="10" t="str">
        <f t="shared" si="97"/>
        <v>Incomplete</v>
      </c>
    </row>
    <row r="6270" spans="1:17">
      <c r="A6270" s="12">
        <v>46321</v>
      </c>
      <c r="B6270" s="10">
        <v>11</v>
      </c>
      <c r="Q6270" s="10" t="str">
        <f t="shared" si="97"/>
        <v>Incomplete</v>
      </c>
    </row>
    <row r="6271" spans="1:17">
      <c r="A6271" s="12">
        <v>46321</v>
      </c>
      <c r="B6271" s="10">
        <v>12</v>
      </c>
      <c r="Q6271" s="10" t="str">
        <f t="shared" si="97"/>
        <v>Incomplete</v>
      </c>
    </row>
    <row r="6272" spans="1:17">
      <c r="A6272" s="12">
        <v>46321</v>
      </c>
      <c r="B6272" s="10">
        <v>13</v>
      </c>
      <c r="Q6272" s="10" t="str">
        <f t="shared" si="97"/>
        <v>Incomplete</v>
      </c>
    </row>
    <row r="6273" spans="1:17">
      <c r="A6273" s="12">
        <v>46321</v>
      </c>
      <c r="B6273" s="10">
        <v>14</v>
      </c>
      <c r="Q6273" s="10" t="str">
        <f t="shared" si="97"/>
        <v>Incomplete</v>
      </c>
    </row>
    <row r="6274" spans="1:17">
      <c r="A6274" s="12">
        <v>46321</v>
      </c>
      <c r="B6274" s="10">
        <v>15</v>
      </c>
      <c r="Q6274" s="10" t="str">
        <f t="shared" ref="Q6274:Q6337" si="98">IF(AND(C6274&lt;&gt;"",J6274&lt;&gt;"",K6274&lt;&gt;"",L6274&lt;&gt;"",O6274="Yes"),"Complete","Incomplete")</f>
        <v>Incomplete</v>
      </c>
    </row>
    <row r="6275" spans="1:17">
      <c r="A6275" s="12">
        <v>46321</v>
      </c>
      <c r="B6275" s="10">
        <v>16</v>
      </c>
      <c r="Q6275" s="10" t="str">
        <f t="shared" si="98"/>
        <v>Incomplete</v>
      </c>
    </row>
    <row r="6276" spans="1:17">
      <c r="A6276" s="12">
        <v>46321</v>
      </c>
      <c r="B6276" s="10">
        <v>17</v>
      </c>
      <c r="Q6276" s="10" t="str">
        <f t="shared" si="98"/>
        <v>Incomplete</v>
      </c>
    </row>
    <row r="6277" spans="1:17">
      <c r="A6277" s="12">
        <v>46321</v>
      </c>
      <c r="B6277" s="10">
        <v>18</v>
      </c>
      <c r="Q6277" s="10" t="str">
        <f t="shared" si="98"/>
        <v>Incomplete</v>
      </c>
    </row>
    <row r="6278" spans="1:17">
      <c r="A6278" s="12">
        <v>46321</v>
      </c>
      <c r="B6278" s="10">
        <v>19</v>
      </c>
      <c r="Q6278" s="10" t="str">
        <f t="shared" si="98"/>
        <v>Incomplete</v>
      </c>
    </row>
    <row r="6279" spans="1:17">
      <c r="A6279" s="12">
        <v>46321</v>
      </c>
      <c r="B6279" s="10">
        <v>20</v>
      </c>
      <c r="Q6279" s="10" t="str">
        <f t="shared" si="98"/>
        <v>Incomplete</v>
      </c>
    </row>
    <row r="6280" spans="1:17">
      <c r="A6280" s="12">
        <v>46321</v>
      </c>
      <c r="B6280" s="10">
        <v>21</v>
      </c>
      <c r="Q6280" s="10" t="str">
        <f t="shared" si="98"/>
        <v>Incomplete</v>
      </c>
    </row>
    <row r="6281" spans="1:17">
      <c r="A6281" s="12">
        <v>46322</v>
      </c>
      <c r="B6281" s="10">
        <v>1</v>
      </c>
      <c r="Q6281" s="10" t="str">
        <f t="shared" si="98"/>
        <v>Incomplete</v>
      </c>
    </row>
    <row r="6282" spans="1:17">
      <c r="A6282" s="12">
        <v>46322</v>
      </c>
      <c r="B6282" s="10">
        <v>2</v>
      </c>
      <c r="Q6282" s="10" t="str">
        <f t="shared" si="98"/>
        <v>Incomplete</v>
      </c>
    </row>
    <row r="6283" spans="1:17">
      <c r="A6283" s="12">
        <v>46322</v>
      </c>
      <c r="B6283" s="10">
        <v>3</v>
      </c>
      <c r="Q6283" s="10" t="str">
        <f t="shared" si="98"/>
        <v>Incomplete</v>
      </c>
    </row>
    <row r="6284" spans="1:17">
      <c r="A6284" s="12">
        <v>46322</v>
      </c>
      <c r="B6284" s="10">
        <v>4</v>
      </c>
      <c r="Q6284" s="10" t="str">
        <f t="shared" si="98"/>
        <v>Incomplete</v>
      </c>
    </row>
    <row r="6285" spans="1:17">
      <c r="A6285" s="12">
        <v>46322</v>
      </c>
      <c r="B6285" s="10">
        <v>5</v>
      </c>
      <c r="Q6285" s="10" t="str">
        <f t="shared" si="98"/>
        <v>Incomplete</v>
      </c>
    </row>
    <row r="6286" spans="1:17">
      <c r="A6286" s="12">
        <v>46322</v>
      </c>
      <c r="B6286" s="10">
        <v>6</v>
      </c>
      <c r="Q6286" s="10" t="str">
        <f t="shared" si="98"/>
        <v>Incomplete</v>
      </c>
    </row>
    <row r="6287" spans="1:17">
      <c r="A6287" s="12">
        <v>46322</v>
      </c>
      <c r="B6287" s="10">
        <v>7</v>
      </c>
      <c r="Q6287" s="10" t="str">
        <f t="shared" si="98"/>
        <v>Incomplete</v>
      </c>
    </row>
    <row r="6288" spans="1:17">
      <c r="A6288" s="12">
        <v>46322</v>
      </c>
      <c r="B6288" s="10">
        <v>8</v>
      </c>
      <c r="Q6288" s="10" t="str">
        <f t="shared" si="98"/>
        <v>Incomplete</v>
      </c>
    </row>
    <row r="6289" spans="1:17">
      <c r="A6289" s="12">
        <v>46322</v>
      </c>
      <c r="B6289" s="10">
        <v>9</v>
      </c>
      <c r="Q6289" s="10" t="str">
        <f t="shared" si="98"/>
        <v>Incomplete</v>
      </c>
    </row>
    <row r="6290" spans="1:17">
      <c r="A6290" s="12">
        <v>46322</v>
      </c>
      <c r="B6290" s="10">
        <v>10</v>
      </c>
      <c r="Q6290" s="10" t="str">
        <f t="shared" si="98"/>
        <v>Incomplete</v>
      </c>
    </row>
    <row r="6291" spans="1:17">
      <c r="A6291" s="12">
        <v>46322</v>
      </c>
      <c r="B6291" s="10">
        <v>11</v>
      </c>
      <c r="Q6291" s="10" t="str">
        <f t="shared" si="98"/>
        <v>Incomplete</v>
      </c>
    </row>
    <row r="6292" spans="1:17">
      <c r="A6292" s="12">
        <v>46322</v>
      </c>
      <c r="B6292" s="10">
        <v>12</v>
      </c>
      <c r="Q6292" s="10" t="str">
        <f t="shared" si="98"/>
        <v>Incomplete</v>
      </c>
    </row>
    <row r="6293" spans="1:17">
      <c r="A6293" s="12">
        <v>46322</v>
      </c>
      <c r="B6293" s="10">
        <v>13</v>
      </c>
      <c r="Q6293" s="10" t="str">
        <f t="shared" si="98"/>
        <v>Incomplete</v>
      </c>
    </row>
    <row r="6294" spans="1:17">
      <c r="A6294" s="12">
        <v>46322</v>
      </c>
      <c r="B6294" s="10">
        <v>14</v>
      </c>
      <c r="Q6294" s="10" t="str">
        <f t="shared" si="98"/>
        <v>Incomplete</v>
      </c>
    </row>
    <row r="6295" spans="1:17">
      <c r="A6295" s="12">
        <v>46322</v>
      </c>
      <c r="B6295" s="10">
        <v>15</v>
      </c>
      <c r="Q6295" s="10" t="str">
        <f t="shared" si="98"/>
        <v>Incomplete</v>
      </c>
    </row>
    <row r="6296" spans="1:17">
      <c r="A6296" s="12">
        <v>46322</v>
      </c>
      <c r="B6296" s="10">
        <v>16</v>
      </c>
      <c r="Q6296" s="10" t="str">
        <f t="shared" si="98"/>
        <v>Incomplete</v>
      </c>
    </row>
    <row r="6297" spans="1:17">
      <c r="A6297" s="12">
        <v>46322</v>
      </c>
      <c r="B6297" s="10">
        <v>17</v>
      </c>
      <c r="Q6297" s="10" t="str">
        <f t="shared" si="98"/>
        <v>Incomplete</v>
      </c>
    </row>
    <row r="6298" spans="1:17">
      <c r="A6298" s="12">
        <v>46322</v>
      </c>
      <c r="B6298" s="10">
        <v>18</v>
      </c>
      <c r="Q6298" s="10" t="str">
        <f t="shared" si="98"/>
        <v>Incomplete</v>
      </c>
    </row>
    <row r="6299" spans="1:17">
      <c r="A6299" s="12">
        <v>46322</v>
      </c>
      <c r="B6299" s="10">
        <v>19</v>
      </c>
      <c r="Q6299" s="10" t="str">
        <f t="shared" si="98"/>
        <v>Incomplete</v>
      </c>
    </row>
    <row r="6300" spans="1:17">
      <c r="A6300" s="12">
        <v>46322</v>
      </c>
      <c r="B6300" s="10">
        <v>20</v>
      </c>
      <c r="Q6300" s="10" t="str">
        <f t="shared" si="98"/>
        <v>Incomplete</v>
      </c>
    </row>
    <row r="6301" spans="1:17">
      <c r="A6301" s="12">
        <v>46322</v>
      </c>
      <c r="B6301" s="10">
        <v>21</v>
      </c>
      <c r="Q6301" s="10" t="str">
        <f t="shared" si="98"/>
        <v>Incomplete</v>
      </c>
    </row>
    <row r="6302" spans="1:17">
      <c r="A6302" s="12">
        <v>46323</v>
      </c>
      <c r="B6302" s="10">
        <v>1</v>
      </c>
      <c r="Q6302" s="10" t="str">
        <f t="shared" si="98"/>
        <v>Incomplete</v>
      </c>
    </row>
    <row r="6303" spans="1:17">
      <c r="A6303" s="12">
        <v>46323</v>
      </c>
      <c r="B6303" s="10">
        <v>2</v>
      </c>
      <c r="Q6303" s="10" t="str">
        <f t="shared" si="98"/>
        <v>Incomplete</v>
      </c>
    </row>
    <row r="6304" spans="1:17">
      <c r="A6304" s="12">
        <v>46323</v>
      </c>
      <c r="B6304" s="10">
        <v>3</v>
      </c>
      <c r="Q6304" s="10" t="str">
        <f t="shared" si="98"/>
        <v>Incomplete</v>
      </c>
    </row>
    <row r="6305" spans="1:17">
      <c r="A6305" s="12">
        <v>46323</v>
      </c>
      <c r="B6305" s="10">
        <v>4</v>
      </c>
      <c r="Q6305" s="10" t="str">
        <f t="shared" si="98"/>
        <v>Incomplete</v>
      </c>
    </row>
    <row r="6306" spans="1:17">
      <c r="A6306" s="12">
        <v>46323</v>
      </c>
      <c r="B6306" s="10">
        <v>5</v>
      </c>
      <c r="Q6306" s="10" t="str">
        <f t="shared" si="98"/>
        <v>Incomplete</v>
      </c>
    </row>
    <row r="6307" spans="1:17">
      <c r="A6307" s="12">
        <v>46323</v>
      </c>
      <c r="B6307" s="10">
        <v>6</v>
      </c>
      <c r="Q6307" s="10" t="str">
        <f t="shared" si="98"/>
        <v>Incomplete</v>
      </c>
    </row>
    <row r="6308" spans="1:17">
      <c r="A6308" s="12">
        <v>46323</v>
      </c>
      <c r="B6308" s="10">
        <v>7</v>
      </c>
      <c r="Q6308" s="10" t="str">
        <f t="shared" si="98"/>
        <v>Incomplete</v>
      </c>
    </row>
    <row r="6309" spans="1:17">
      <c r="A6309" s="12">
        <v>46323</v>
      </c>
      <c r="B6309" s="10">
        <v>8</v>
      </c>
      <c r="Q6309" s="10" t="str">
        <f t="shared" si="98"/>
        <v>Incomplete</v>
      </c>
    </row>
    <row r="6310" spans="1:17">
      <c r="A6310" s="12">
        <v>46323</v>
      </c>
      <c r="B6310" s="10">
        <v>9</v>
      </c>
      <c r="Q6310" s="10" t="str">
        <f t="shared" si="98"/>
        <v>Incomplete</v>
      </c>
    </row>
    <row r="6311" spans="1:17">
      <c r="A6311" s="12">
        <v>46323</v>
      </c>
      <c r="B6311" s="10">
        <v>10</v>
      </c>
      <c r="Q6311" s="10" t="str">
        <f t="shared" si="98"/>
        <v>Incomplete</v>
      </c>
    </row>
    <row r="6312" spans="1:17">
      <c r="A6312" s="12">
        <v>46323</v>
      </c>
      <c r="B6312" s="10">
        <v>11</v>
      </c>
      <c r="Q6312" s="10" t="str">
        <f t="shared" si="98"/>
        <v>Incomplete</v>
      </c>
    </row>
    <row r="6313" spans="1:17">
      <c r="A6313" s="12">
        <v>46323</v>
      </c>
      <c r="B6313" s="10">
        <v>12</v>
      </c>
      <c r="Q6313" s="10" t="str">
        <f t="shared" si="98"/>
        <v>Incomplete</v>
      </c>
    </row>
    <row r="6314" spans="1:17">
      <c r="A6314" s="12">
        <v>46323</v>
      </c>
      <c r="B6314" s="10">
        <v>13</v>
      </c>
      <c r="Q6314" s="10" t="str">
        <f t="shared" si="98"/>
        <v>Incomplete</v>
      </c>
    </row>
    <row r="6315" spans="1:17">
      <c r="A6315" s="12">
        <v>46323</v>
      </c>
      <c r="B6315" s="10">
        <v>14</v>
      </c>
      <c r="Q6315" s="10" t="str">
        <f t="shared" si="98"/>
        <v>Incomplete</v>
      </c>
    </row>
    <row r="6316" spans="1:17">
      <c r="A6316" s="12">
        <v>46323</v>
      </c>
      <c r="B6316" s="10">
        <v>15</v>
      </c>
      <c r="Q6316" s="10" t="str">
        <f t="shared" si="98"/>
        <v>Incomplete</v>
      </c>
    </row>
    <row r="6317" spans="1:17">
      <c r="A6317" s="12">
        <v>46323</v>
      </c>
      <c r="B6317" s="10">
        <v>16</v>
      </c>
      <c r="Q6317" s="10" t="str">
        <f t="shared" si="98"/>
        <v>Incomplete</v>
      </c>
    </row>
    <row r="6318" spans="1:17">
      <c r="A6318" s="12">
        <v>46323</v>
      </c>
      <c r="B6318" s="10">
        <v>17</v>
      </c>
      <c r="Q6318" s="10" t="str">
        <f t="shared" si="98"/>
        <v>Incomplete</v>
      </c>
    </row>
    <row r="6319" spans="1:17">
      <c r="A6319" s="12">
        <v>46323</v>
      </c>
      <c r="B6319" s="10">
        <v>18</v>
      </c>
      <c r="Q6319" s="10" t="str">
        <f t="shared" si="98"/>
        <v>Incomplete</v>
      </c>
    </row>
    <row r="6320" spans="1:17">
      <c r="A6320" s="12">
        <v>46323</v>
      </c>
      <c r="B6320" s="10">
        <v>19</v>
      </c>
      <c r="Q6320" s="10" t="str">
        <f t="shared" si="98"/>
        <v>Incomplete</v>
      </c>
    </row>
    <row r="6321" spans="1:17">
      <c r="A6321" s="12">
        <v>46323</v>
      </c>
      <c r="B6321" s="10">
        <v>20</v>
      </c>
      <c r="Q6321" s="10" t="str">
        <f t="shared" si="98"/>
        <v>Incomplete</v>
      </c>
    </row>
    <row r="6322" spans="1:17">
      <c r="A6322" s="12">
        <v>46323</v>
      </c>
      <c r="B6322" s="10">
        <v>21</v>
      </c>
      <c r="Q6322" s="10" t="str">
        <f t="shared" si="98"/>
        <v>Incomplete</v>
      </c>
    </row>
    <row r="6323" spans="1:17">
      <c r="A6323" s="12">
        <v>46324</v>
      </c>
      <c r="B6323" s="10">
        <v>1</v>
      </c>
      <c r="Q6323" s="10" t="str">
        <f t="shared" si="98"/>
        <v>Incomplete</v>
      </c>
    </row>
    <row r="6324" spans="1:17">
      <c r="A6324" s="12">
        <v>46324</v>
      </c>
      <c r="B6324" s="10">
        <v>2</v>
      </c>
      <c r="Q6324" s="10" t="str">
        <f t="shared" si="98"/>
        <v>Incomplete</v>
      </c>
    </row>
    <row r="6325" spans="1:17">
      <c r="A6325" s="12">
        <v>46324</v>
      </c>
      <c r="B6325" s="10">
        <v>3</v>
      </c>
      <c r="Q6325" s="10" t="str">
        <f t="shared" si="98"/>
        <v>Incomplete</v>
      </c>
    </row>
    <row r="6326" spans="1:17">
      <c r="A6326" s="12">
        <v>46324</v>
      </c>
      <c r="B6326" s="10">
        <v>4</v>
      </c>
      <c r="Q6326" s="10" t="str">
        <f t="shared" si="98"/>
        <v>Incomplete</v>
      </c>
    </row>
    <row r="6327" spans="1:17">
      <c r="A6327" s="12">
        <v>46324</v>
      </c>
      <c r="B6327" s="10">
        <v>5</v>
      </c>
      <c r="Q6327" s="10" t="str">
        <f t="shared" si="98"/>
        <v>Incomplete</v>
      </c>
    </row>
    <row r="6328" spans="1:17">
      <c r="A6328" s="12">
        <v>46324</v>
      </c>
      <c r="B6328" s="10">
        <v>6</v>
      </c>
      <c r="Q6328" s="10" t="str">
        <f t="shared" si="98"/>
        <v>Incomplete</v>
      </c>
    </row>
    <row r="6329" spans="1:17">
      <c r="A6329" s="12">
        <v>46324</v>
      </c>
      <c r="B6329" s="10">
        <v>7</v>
      </c>
      <c r="Q6329" s="10" t="str">
        <f t="shared" si="98"/>
        <v>Incomplete</v>
      </c>
    </row>
    <row r="6330" spans="1:17">
      <c r="A6330" s="12">
        <v>46324</v>
      </c>
      <c r="B6330" s="10">
        <v>8</v>
      </c>
      <c r="Q6330" s="10" t="str">
        <f t="shared" si="98"/>
        <v>Incomplete</v>
      </c>
    </row>
    <row r="6331" spans="1:17">
      <c r="A6331" s="12">
        <v>46324</v>
      </c>
      <c r="B6331" s="10">
        <v>9</v>
      </c>
      <c r="Q6331" s="10" t="str">
        <f t="shared" si="98"/>
        <v>Incomplete</v>
      </c>
    </row>
    <row r="6332" spans="1:17">
      <c r="A6332" s="12">
        <v>46324</v>
      </c>
      <c r="B6332" s="10">
        <v>10</v>
      </c>
      <c r="Q6332" s="10" t="str">
        <f t="shared" si="98"/>
        <v>Incomplete</v>
      </c>
    </row>
    <row r="6333" spans="1:17">
      <c r="A6333" s="12">
        <v>46324</v>
      </c>
      <c r="B6333" s="10">
        <v>11</v>
      </c>
      <c r="Q6333" s="10" t="str">
        <f t="shared" si="98"/>
        <v>Incomplete</v>
      </c>
    </row>
    <row r="6334" spans="1:17">
      <c r="A6334" s="12">
        <v>46324</v>
      </c>
      <c r="B6334" s="10">
        <v>12</v>
      </c>
      <c r="Q6334" s="10" t="str">
        <f t="shared" si="98"/>
        <v>Incomplete</v>
      </c>
    </row>
    <row r="6335" spans="1:17">
      <c r="A6335" s="12">
        <v>46324</v>
      </c>
      <c r="B6335" s="10">
        <v>13</v>
      </c>
      <c r="Q6335" s="10" t="str">
        <f t="shared" si="98"/>
        <v>Incomplete</v>
      </c>
    </row>
    <row r="6336" spans="1:17">
      <c r="A6336" s="12">
        <v>46324</v>
      </c>
      <c r="B6336" s="10">
        <v>14</v>
      </c>
      <c r="Q6336" s="10" t="str">
        <f t="shared" si="98"/>
        <v>Incomplete</v>
      </c>
    </row>
    <row r="6337" spans="1:17">
      <c r="A6337" s="12">
        <v>46324</v>
      </c>
      <c r="B6337" s="10">
        <v>15</v>
      </c>
      <c r="Q6337" s="10" t="str">
        <f t="shared" si="98"/>
        <v>Incomplete</v>
      </c>
    </row>
    <row r="6338" spans="1:17">
      <c r="A6338" s="12">
        <v>46324</v>
      </c>
      <c r="B6338" s="10">
        <v>16</v>
      </c>
      <c r="Q6338" s="10" t="str">
        <f t="shared" ref="Q6338:Q6401" si="99">IF(AND(C6338&lt;&gt;"",J6338&lt;&gt;"",K6338&lt;&gt;"",L6338&lt;&gt;"",O6338="Yes"),"Complete","Incomplete")</f>
        <v>Incomplete</v>
      </c>
    </row>
    <row r="6339" spans="1:17">
      <c r="A6339" s="12">
        <v>46324</v>
      </c>
      <c r="B6339" s="10">
        <v>17</v>
      </c>
      <c r="Q6339" s="10" t="str">
        <f t="shared" si="99"/>
        <v>Incomplete</v>
      </c>
    </row>
    <row r="6340" spans="1:17">
      <c r="A6340" s="12">
        <v>46324</v>
      </c>
      <c r="B6340" s="10">
        <v>18</v>
      </c>
      <c r="Q6340" s="10" t="str">
        <f t="shared" si="99"/>
        <v>Incomplete</v>
      </c>
    </row>
    <row r="6341" spans="1:17">
      <c r="A6341" s="12">
        <v>46324</v>
      </c>
      <c r="B6341" s="10">
        <v>19</v>
      </c>
      <c r="Q6341" s="10" t="str">
        <f t="shared" si="99"/>
        <v>Incomplete</v>
      </c>
    </row>
    <row r="6342" spans="1:17">
      <c r="A6342" s="12">
        <v>46324</v>
      </c>
      <c r="B6342" s="10">
        <v>20</v>
      </c>
      <c r="Q6342" s="10" t="str">
        <f t="shared" si="99"/>
        <v>Incomplete</v>
      </c>
    </row>
    <row r="6343" spans="1:17">
      <c r="A6343" s="12">
        <v>46324</v>
      </c>
      <c r="B6343" s="10">
        <v>21</v>
      </c>
      <c r="Q6343" s="10" t="str">
        <f t="shared" si="99"/>
        <v>Incomplete</v>
      </c>
    </row>
    <row r="6344" spans="1:17">
      <c r="A6344" s="12">
        <v>46325</v>
      </c>
      <c r="B6344" s="10">
        <v>1</v>
      </c>
      <c r="Q6344" s="10" t="str">
        <f t="shared" si="99"/>
        <v>Incomplete</v>
      </c>
    </row>
    <row r="6345" spans="1:17">
      <c r="A6345" s="12">
        <v>46325</v>
      </c>
      <c r="B6345" s="10">
        <v>2</v>
      </c>
      <c r="Q6345" s="10" t="str">
        <f t="shared" si="99"/>
        <v>Incomplete</v>
      </c>
    </row>
    <row r="6346" spans="1:17">
      <c r="A6346" s="12">
        <v>46325</v>
      </c>
      <c r="B6346" s="10">
        <v>3</v>
      </c>
      <c r="Q6346" s="10" t="str">
        <f t="shared" si="99"/>
        <v>Incomplete</v>
      </c>
    </row>
    <row r="6347" spans="1:17">
      <c r="A6347" s="12">
        <v>46325</v>
      </c>
      <c r="B6347" s="10">
        <v>4</v>
      </c>
      <c r="Q6347" s="10" t="str">
        <f t="shared" si="99"/>
        <v>Incomplete</v>
      </c>
    </row>
    <row r="6348" spans="1:17">
      <c r="A6348" s="12">
        <v>46325</v>
      </c>
      <c r="B6348" s="10">
        <v>5</v>
      </c>
      <c r="Q6348" s="10" t="str">
        <f t="shared" si="99"/>
        <v>Incomplete</v>
      </c>
    </row>
    <row r="6349" spans="1:17">
      <c r="A6349" s="12">
        <v>46325</v>
      </c>
      <c r="B6349" s="10">
        <v>6</v>
      </c>
      <c r="Q6349" s="10" t="str">
        <f t="shared" si="99"/>
        <v>Incomplete</v>
      </c>
    </row>
    <row r="6350" spans="1:17">
      <c r="A6350" s="12">
        <v>46325</v>
      </c>
      <c r="B6350" s="10">
        <v>7</v>
      </c>
      <c r="Q6350" s="10" t="str">
        <f t="shared" si="99"/>
        <v>Incomplete</v>
      </c>
    </row>
    <row r="6351" spans="1:17">
      <c r="A6351" s="12">
        <v>46325</v>
      </c>
      <c r="B6351" s="10">
        <v>8</v>
      </c>
      <c r="Q6351" s="10" t="str">
        <f t="shared" si="99"/>
        <v>Incomplete</v>
      </c>
    </row>
    <row r="6352" spans="1:17">
      <c r="A6352" s="12">
        <v>46325</v>
      </c>
      <c r="B6352" s="10">
        <v>9</v>
      </c>
      <c r="Q6352" s="10" t="str">
        <f t="shared" si="99"/>
        <v>Incomplete</v>
      </c>
    </row>
    <row r="6353" spans="1:17">
      <c r="A6353" s="12">
        <v>46325</v>
      </c>
      <c r="B6353" s="10">
        <v>10</v>
      </c>
      <c r="Q6353" s="10" t="str">
        <f t="shared" si="99"/>
        <v>Incomplete</v>
      </c>
    </row>
    <row r="6354" spans="1:17">
      <c r="A6354" s="12">
        <v>46325</v>
      </c>
      <c r="B6354" s="10">
        <v>11</v>
      </c>
      <c r="Q6354" s="10" t="str">
        <f t="shared" si="99"/>
        <v>Incomplete</v>
      </c>
    </row>
    <row r="6355" spans="1:17">
      <c r="A6355" s="12">
        <v>46325</v>
      </c>
      <c r="B6355" s="10">
        <v>12</v>
      </c>
      <c r="Q6355" s="10" t="str">
        <f t="shared" si="99"/>
        <v>Incomplete</v>
      </c>
    </row>
    <row r="6356" spans="1:17">
      <c r="A6356" s="12">
        <v>46325</v>
      </c>
      <c r="B6356" s="10">
        <v>13</v>
      </c>
      <c r="Q6356" s="10" t="str">
        <f t="shared" si="99"/>
        <v>Incomplete</v>
      </c>
    </row>
    <row r="6357" spans="1:17">
      <c r="A6357" s="12">
        <v>46325</v>
      </c>
      <c r="B6357" s="10">
        <v>14</v>
      </c>
      <c r="Q6357" s="10" t="str">
        <f t="shared" si="99"/>
        <v>Incomplete</v>
      </c>
    </row>
    <row r="6358" spans="1:17">
      <c r="A6358" s="12">
        <v>46325</v>
      </c>
      <c r="B6358" s="10">
        <v>15</v>
      </c>
      <c r="Q6358" s="10" t="str">
        <f t="shared" si="99"/>
        <v>Incomplete</v>
      </c>
    </row>
    <row r="6359" spans="1:17">
      <c r="A6359" s="12">
        <v>46325</v>
      </c>
      <c r="B6359" s="10">
        <v>16</v>
      </c>
      <c r="Q6359" s="10" t="str">
        <f t="shared" si="99"/>
        <v>Incomplete</v>
      </c>
    </row>
    <row r="6360" spans="1:17">
      <c r="A6360" s="12">
        <v>46325</v>
      </c>
      <c r="B6360" s="10">
        <v>17</v>
      </c>
      <c r="Q6360" s="10" t="str">
        <f t="shared" si="99"/>
        <v>Incomplete</v>
      </c>
    </row>
    <row r="6361" spans="1:17">
      <c r="A6361" s="12">
        <v>46325</v>
      </c>
      <c r="B6361" s="10">
        <v>18</v>
      </c>
      <c r="Q6361" s="10" t="str">
        <f t="shared" si="99"/>
        <v>Incomplete</v>
      </c>
    </row>
    <row r="6362" spans="1:17">
      <c r="A6362" s="12">
        <v>46325</v>
      </c>
      <c r="B6362" s="10">
        <v>19</v>
      </c>
      <c r="Q6362" s="10" t="str">
        <f t="shared" si="99"/>
        <v>Incomplete</v>
      </c>
    </row>
    <row r="6363" spans="1:17">
      <c r="A6363" s="12">
        <v>46325</v>
      </c>
      <c r="B6363" s="10">
        <v>20</v>
      </c>
      <c r="Q6363" s="10" t="str">
        <f t="shared" si="99"/>
        <v>Incomplete</v>
      </c>
    </row>
    <row r="6364" spans="1:17">
      <c r="A6364" s="12">
        <v>46325</v>
      </c>
      <c r="B6364" s="10">
        <v>21</v>
      </c>
      <c r="Q6364" s="10" t="str">
        <f t="shared" si="99"/>
        <v>Incomplete</v>
      </c>
    </row>
    <row r="6365" spans="1:17">
      <c r="A6365" s="12">
        <v>46326</v>
      </c>
      <c r="B6365" s="10">
        <v>1</v>
      </c>
      <c r="Q6365" s="10" t="str">
        <f t="shared" si="99"/>
        <v>Incomplete</v>
      </c>
    </row>
    <row r="6366" spans="1:17">
      <c r="A6366" s="12">
        <v>46326</v>
      </c>
      <c r="B6366" s="10">
        <v>2</v>
      </c>
      <c r="Q6366" s="10" t="str">
        <f t="shared" si="99"/>
        <v>Incomplete</v>
      </c>
    </row>
    <row r="6367" spans="1:17">
      <c r="A6367" s="12">
        <v>46326</v>
      </c>
      <c r="B6367" s="10">
        <v>3</v>
      </c>
      <c r="Q6367" s="10" t="str">
        <f t="shared" si="99"/>
        <v>Incomplete</v>
      </c>
    </row>
    <row r="6368" spans="1:17">
      <c r="A6368" s="12">
        <v>46326</v>
      </c>
      <c r="B6368" s="10">
        <v>4</v>
      </c>
      <c r="Q6368" s="10" t="str">
        <f t="shared" si="99"/>
        <v>Incomplete</v>
      </c>
    </row>
    <row r="6369" spans="1:17">
      <c r="A6369" s="12">
        <v>46326</v>
      </c>
      <c r="B6369" s="10">
        <v>5</v>
      </c>
      <c r="Q6369" s="10" t="str">
        <f t="shared" si="99"/>
        <v>Incomplete</v>
      </c>
    </row>
    <row r="6370" spans="1:17">
      <c r="A6370" s="12">
        <v>46326</v>
      </c>
      <c r="B6370" s="10">
        <v>6</v>
      </c>
      <c r="Q6370" s="10" t="str">
        <f t="shared" si="99"/>
        <v>Incomplete</v>
      </c>
    </row>
    <row r="6371" spans="1:17">
      <c r="A6371" s="12">
        <v>46326</v>
      </c>
      <c r="B6371" s="10">
        <v>7</v>
      </c>
      <c r="Q6371" s="10" t="str">
        <f t="shared" si="99"/>
        <v>Incomplete</v>
      </c>
    </row>
    <row r="6372" spans="1:17">
      <c r="A6372" s="12">
        <v>46326</v>
      </c>
      <c r="B6372" s="10">
        <v>8</v>
      </c>
      <c r="Q6372" s="10" t="str">
        <f t="shared" si="99"/>
        <v>Incomplete</v>
      </c>
    </row>
    <row r="6373" spans="1:17">
      <c r="A6373" s="12">
        <v>46326</v>
      </c>
      <c r="B6373" s="10">
        <v>9</v>
      </c>
      <c r="Q6373" s="10" t="str">
        <f t="shared" si="99"/>
        <v>Incomplete</v>
      </c>
    </row>
    <row r="6374" spans="1:17">
      <c r="A6374" s="12">
        <v>46326</v>
      </c>
      <c r="B6374" s="10">
        <v>10</v>
      </c>
      <c r="Q6374" s="10" t="str">
        <f t="shared" si="99"/>
        <v>Incomplete</v>
      </c>
    </row>
    <row r="6375" spans="1:17">
      <c r="A6375" s="12">
        <v>46326</v>
      </c>
      <c r="B6375" s="10">
        <v>11</v>
      </c>
      <c r="Q6375" s="10" t="str">
        <f t="shared" si="99"/>
        <v>Incomplete</v>
      </c>
    </row>
    <row r="6376" spans="1:17">
      <c r="A6376" s="12">
        <v>46326</v>
      </c>
      <c r="B6376" s="10">
        <v>12</v>
      </c>
      <c r="Q6376" s="10" t="str">
        <f t="shared" si="99"/>
        <v>Incomplete</v>
      </c>
    </row>
    <row r="6377" spans="1:17">
      <c r="A6377" s="12">
        <v>46326</v>
      </c>
      <c r="B6377" s="10">
        <v>13</v>
      </c>
      <c r="Q6377" s="10" t="str">
        <f t="shared" si="99"/>
        <v>Incomplete</v>
      </c>
    </row>
    <row r="6378" spans="1:17">
      <c r="A6378" s="12">
        <v>46326</v>
      </c>
      <c r="B6378" s="10">
        <v>14</v>
      </c>
      <c r="Q6378" s="10" t="str">
        <f t="shared" si="99"/>
        <v>Incomplete</v>
      </c>
    </row>
    <row r="6379" spans="1:17">
      <c r="A6379" s="12">
        <v>46326</v>
      </c>
      <c r="B6379" s="10">
        <v>15</v>
      </c>
      <c r="Q6379" s="10" t="str">
        <f t="shared" si="99"/>
        <v>Incomplete</v>
      </c>
    </row>
    <row r="6380" spans="1:17">
      <c r="A6380" s="12">
        <v>46326</v>
      </c>
      <c r="B6380" s="10">
        <v>16</v>
      </c>
      <c r="Q6380" s="10" t="str">
        <f t="shared" si="99"/>
        <v>Incomplete</v>
      </c>
    </row>
    <row r="6381" spans="1:17">
      <c r="A6381" s="12">
        <v>46326</v>
      </c>
      <c r="B6381" s="10">
        <v>17</v>
      </c>
      <c r="Q6381" s="10" t="str">
        <f t="shared" si="99"/>
        <v>Incomplete</v>
      </c>
    </row>
    <row r="6382" spans="1:17">
      <c r="A6382" s="12">
        <v>46326</v>
      </c>
      <c r="B6382" s="10">
        <v>18</v>
      </c>
      <c r="Q6382" s="10" t="str">
        <f t="shared" si="99"/>
        <v>Incomplete</v>
      </c>
    </row>
    <row r="6383" spans="1:17">
      <c r="A6383" s="12">
        <v>46326</v>
      </c>
      <c r="B6383" s="10">
        <v>19</v>
      </c>
      <c r="Q6383" s="10" t="str">
        <f t="shared" si="99"/>
        <v>Incomplete</v>
      </c>
    </row>
    <row r="6384" spans="1:17">
      <c r="A6384" s="12">
        <v>46326</v>
      </c>
      <c r="B6384" s="10">
        <v>20</v>
      </c>
      <c r="Q6384" s="10" t="str">
        <f t="shared" si="99"/>
        <v>Incomplete</v>
      </c>
    </row>
    <row r="6385" spans="1:17">
      <c r="A6385" s="12">
        <v>46326</v>
      </c>
      <c r="B6385" s="10">
        <v>21</v>
      </c>
      <c r="Q6385" s="10" t="str">
        <f t="shared" si="99"/>
        <v>Incomplete</v>
      </c>
    </row>
    <row r="6386" spans="1:17">
      <c r="A6386" s="12">
        <v>46327</v>
      </c>
      <c r="B6386" s="10">
        <v>1</v>
      </c>
      <c r="Q6386" s="10" t="str">
        <f t="shared" si="99"/>
        <v>Incomplete</v>
      </c>
    </row>
    <row r="6387" spans="1:17">
      <c r="A6387" s="12">
        <v>46327</v>
      </c>
      <c r="B6387" s="10">
        <v>2</v>
      </c>
      <c r="Q6387" s="10" t="str">
        <f t="shared" si="99"/>
        <v>Incomplete</v>
      </c>
    </row>
    <row r="6388" spans="1:17">
      <c r="A6388" s="12">
        <v>46327</v>
      </c>
      <c r="B6388" s="10">
        <v>3</v>
      </c>
      <c r="Q6388" s="10" t="str">
        <f t="shared" si="99"/>
        <v>Incomplete</v>
      </c>
    </row>
    <row r="6389" spans="1:17">
      <c r="A6389" s="12">
        <v>46327</v>
      </c>
      <c r="B6389" s="10">
        <v>4</v>
      </c>
      <c r="Q6389" s="10" t="str">
        <f t="shared" si="99"/>
        <v>Incomplete</v>
      </c>
    </row>
    <row r="6390" spans="1:17">
      <c r="A6390" s="12">
        <v>46327</v>
      </c>
      <c r="B6390" s="10">
        <v>5</v>
      </c>
      <c r="Q6390" s="10" t="str">
        <f t="shared" si="99"/>
        <v>Incomplete</v>
      </c>
    </row>
    <row r="6391" spans="1:17">
      <c r="A6391" s="12">
        <v>46327</v>
      </c>
      <c r="B6391" s="10">
        <v>6</v>
      </c>
      <c r="Q6391" s="10" t="str">
        <f t="shared" si="99"/>
        <v>Incomplete</v>
      </c>
    </row>
    <row r="6392" spans="1:17">
      <c r="A6392" s="12">
        <v>46327</v>
      </c>
      <c r="B6392" s="10">
        <v>7</v>
      </c>
      <c r="Q6392" s="10" t="str">
        <f t="shared" si="99"/>
        <v>Incomplete</v>
      </c>
    </row>
    <row r="6393" spans="1:17">
      <c r="A6393" s="12">
        <v>46327</v>
      </c>
      <c r="B6393" s="10">
        <v>8</v>
      </c>
      <c r="Q6393" s="10" t="str">
        <f t="shared" si="99"/>
        <v>Incomplete</v>
      </c>
    </row>
    <row r="6394" spans="1:17">
      <c r="A6394" s="12">
        <v>46327</v>
      </c>
      <c r="B6394" s="10">
        <v>9</v>
      </c>
      <c r="Q6394" s="10" t="str">
        <f t="shared" si="99"/>
        <v>Incomplete</v>
      </c>
    </row>
    <row r="6395" spans="1:17">
      <c r="A6395" s="12">
        <v>46327</v>
      </c>
      <c r="B6395" s="10">
        <v>10</v>
      </c>
      <c r="Q6395" s="10" t="str">
        <f t="shared" si="99"/>
        <v>Incomplete</v>
      </c>
    </row>
    <row r="6396" spans="1:17">
      <c r="A6396" s="12">
        <v>46327</v>
      </c>
      <c r="B6396" s="10">
        <v>11</v>
      </c>
      <c r="Q6396" s="10" t="str">
        <f t="shared" si="99"/>
        <v>Incomplete</v>
      </c>
    </row>
    <row r="6397" spans="1:17">
      <c r="A6397" s="12">
        <v>46327</v>
      </c>
      <c r="B6397" s="10">
        <v>12</v>
      </c>
      <c r="Q6397" s="10" t="str">
        <f t="shared" si="99"/>
        <v>Incomplete</v>
      </c>
    </row>
    <row r="6398" spans="1:17">
      <c r="A6398" s="12">
        <v>46327</v>
      </c>
      <c r="B6398" s="10">
        <v>13</v>
      </c>
      <c r="Q6398" s="10" t="str">
        <f t="shared" si="99"/>
        <v>Incomplete</v>
      </c>
    </row>
    <row r="6399" spans="1:17">
      <c r="A6399" s="12">
        <v>46327</v>
      </c>
      <c r="B6399" s="10">
        <v>14</v>
      </c>
      <c r="Q6399" s="10" t="str">
        <f t="shared" si="99"/>
        <v>Incomplete</v>
      </c>
    </row>
    <row r="6400" spans="1:17">
      <c r="A6400" s="12">
        <v>46327</v>
      </c>
      <c r="B6400" s="10">
        <v>15</v>
      </c>
      <c r="Q6400" s="10" t="str">
        <f t="shared" si="99"/>
        <v>Incomplete</v>
      </c>
    </row>
    <row r="6401" spans="1:17">
      <c r="A6401" s="12">
        <v>46327</v>
      </c>
      <c r="B6401" s="10">
        <v>16</v>
      </c>
      <c r="Q6401" s="10" t="str">
        <f t="shared" si="99"/>
        <v>Incomplete</v>
      </c>
    </row>
    <row r="6402" spans="1:17">
      <c r="A6402" s="12">
        <v>46327</v>
      </c>
      <c r="B6402" s="10">
        <v>17</v>
      </c>
      <c r="Q6402" s="10" t="str">
        <f t="shared" ref="Q6402:Q6465" si="100">IF(AND(C6402&lt;&gt;"",J6402&lt;&gt;"",K6402&lt;&gt;"",L6402&lt;&gt;"",O6402="Yes"),"Complete","Incomplete")</f>
        <v>Incomplete</v>
      </c>
    </row>
    <row r="6403" spans="1:17">
      <c r="A6403" s="12">
        <v>46327</v>
      </c>
      <c r="B6403" s="10">
        <v>18</v>
      </c>
      <c r="Q6403" s="10" t="str">
        <f t="shared" si="100"/>
        <v>Incomplete</v>
      </c>
    </row>
    <row r="6404" spans="1:17">
      <c r="A6404" s="12">
        <v>46327</v>
      </c>
      <c r="B6404" s="10">
        <v>19</v>
      </c>
      <c r="Q6404" s="10" t="str">
        <f t="shared" si="100"/>
        <v>Incomplete</v>
      </c>
    </row>
    <row r="6405" spans="1:17">
      <c r="A6405" s="12">
        <v>46327</v>
      </c>
      <c r="B6405" s="10">
        <v>20</v>
      </c>
      <c r="Q6405" s="10" t="str">
        <f t="shared" si="100"/>
        <v>Incomplete</v>
      </c>
    </row>
    <row r="6406" spans="1:17">
      <c r="A6406" s="12">
        <v>46327</v>
      </c>
      <c r="B6406" s="10">
        <v>21</v>
      </c>
      <c r="Q6406" s="10" t="str">
        <f t="shared" si="100"/>
        <v>Incomplete</v>
      </c>
    </row>
    <row r="6407" spans="1:17">
      <c r="A6407" s="12">
        <v>46328</v>
      </c>
      <c r="B6407" s="10">
        <v>1</v>
      </c>
      <c r="Q6407" s="10" t="str">
        <f t="shared" si="100"/>
        <v>Incomplete</v>
      </c>
    </row>
    <row r="6408" spans="1:17">
      <c r="A6408" s="12">
        <v>46328</v>
      </c>
      <c r="B6408" s="10">
        <v>2</v>
      </c>
      <c r="Q6408" s="10" t="str">
        <f t="shared" si="100"/>
        <v>Incomplete</v>
      </c>
    </row>
    <row r="6409" spans="1:17">
      <c r="A6409" s="12">
        <v>46328</v>
      </c>
      <c r="B6409" s="10">
        <v>3</v>
      </c>
      <c r="Q6409" s="10" t="str">
        <f t="shared" si="100"/>
        <v>Incomplete</v>
      </c>
    </row>
    <row r="6410" spans="1:17">
      <c r="A6410" s="12">
        <v>46328</v>
      </c>
      <c r="B6410" s="10">
        <v>4</v>
      </c>
      <c r="Q6410" s="10" t="str">
        <f t="shared" si="100"/>
        <v>Incomplete</v>
      </c>
    </row>
    <row r="6411" spans="1:17">
      <c r="A6411" s="12">
        <v>46328</v>
      </c>
      <c r="B6411" s="10">
        <v>5</v>
      </c>
      <c r="Q6411" s="10" t="str">
        <f t="shared" si="100"/>
        <v>Incomplete</v>
      </c>
    </row>
    <row r="6412" spans="1:17">
      <c r="A6412" s="12">
        <v>46328</v>
      </c>
      <c r="B6412" s="10">
        <v>6</v>
      </c>
      <c r="Q6412" s="10" t="str">
        <f t="shared" si="100"/>
        <v>Incomplete</v>
      </c>
    </row>
    <row r="6413" spans="1:17">
      <c r="A6413" s="12">
        <v>46328</v>
      </c>
      <c r="B6413" s="10">
        <v>7</v>
      </c>
      <c r="Q6413" s="10" t="str">
        <f t="shared" si="100"/>
        <v>Incomplete</v>
      </c>
    </row>
    <row r="6414" spans="1:17">
      <c r="A6414" s="12">
        <v>46328</v>
      </c>
      <c r="B6414" s="10">
        <v>8</v>
      </c>
      <c r="Q6414" s="10" t="str">
        <f t="shared" si="100"/>
        <v>Incomplete</v>
      </c>
    </row>
    <row r="6415" spans="1:17">
      <c r="A6415" s="12">
        <v>46328</v>
      </c>
      <c r="B6415" s="10">
        <v>9</v>
      </c>
      <c r="Q6415" s="10" t="str">
        <f t="shared" si="100"/>
        <v>Incomplete</v>
      </c>
    </row>
    <row r="6416" spans="1:17">
      <c r="A6416" s="12">
        <v>46328</v>
      </c>
      <c r="B6416" s="10">
        <v>10</v>
      </c>
      <c r="Q6416" s="10" t="str">
        <f t="shared" si="100"/>
        <v>Incomplete</v>
      </c>
    </row>
    <row r="6417" spans="1:17">
      <c r="A6417" s="12">
        <v>46328</v>
      </c>
      <c r="B6417" s="10">
        <v>11</v>
      </c>
      <c r="Q6417" s="10" t="str">
        <f t="shared" si="100"/>
        <v>Incomplete</v>
      </c>
    </row>
    <row r="6418" spans="1:17">
      <c r="A6418" s="12">
        <v>46328</v>
      </c>
      <c r="B6418" s="10">
        <v>12</v>
      </c>
      <c r="Q6418" s="10" t="str">
        <f t="shared" si="100"/>
        <v>Incomplete</v>
      </c>
    </row>
    <row r="6419" spans="1:17">
      <c r="A6419" s="12">
        <v>46328</v>
      </c>
      <c r="B6419" s="10">
        <v>13</v>
      </c>
      <c r="Q6419" s="10" t="str">
        <f t="shared" si="100"/>
        <v>Incomplete</v>
      </c>
    </row>
    <row r="6420" spans="1:17">
      <c r="A6420" s="12">
        <v>46328</v>
      </c>
      <c r="B6420" s="10">
        <v>14</v>
      </c>
      <c r="Q6420" s="10" t="str">
        <f t="shared" si="100"/>
        <v>Incomplete</v>
      </c>
    </row>
    <row r="6421" spans="1:17">
      <c r="A6421" s="12">
        <v>46328</v>
      </c>
      <c r="B6421" s="10">
        <v>15</v>
      </c>
      <c r="Q6421" s="10" t="str">
        <f t="shared" si="100"/>
        <v>Incomplete</v>
      </c>
    </row>
    <row r="6422" spans="1:17">
      <c r="A6422" s="12">
        <v>46328</v>
      </c>
      <c r="B6422" s="10">
        <v>16</v>
      </c>
      <c r="Q6422" s="10" t="str">
        <f t="shared" si="100"/>
        <v>Incomplete</v>
      </c>
    </row>
    <row r="6423" spans="1:17">
      <c r="A6423" s="12">
        <v>46328</v>
      </c>
      <c r="B6423" s="10">
        <v>17</v>
      </c>
      <c r="Q6423" s="10" t="str">
        <f t="shared" si="100"/>
        <v>Incomplete</v>
      </c>
    </row>
    <row r="6424" spans="1:17">
      <c r="A6424" s="12">
        <v>46328</v>
      </c>
      <c r="B6424" s="10">
        <v>18</v>
      </c>
      <c r="Q6424" s="10" t="str">
        <f t="shared" si="100"/>
        <v>Incomplete</v>
      </c>
    </row>
    <row r="6425" spans="1:17">
      <c r="A6425" s="12">
        <v>46328</v>
      </c>
      <c r="B6425" s="10">
        <v>19</v>
      </c>
      <c r="Q6425" s="10" t="str">
        <f t="shared" si="100"/>
        <v>Incomplete</v>
      </c>
    </row>
    <row r="6426" spans="1:17">
      <c r="A6426" s="12">
        <v>46328</v>
      </c>
      <c r="B6426" s="10">
        <v>20</v>
      </c>
      <c r="Q6426" s="10" t="str">
        <f t="shared" si="100"/>
        <v>Incomplete</v>
      </c>
    </row>
    <row r="6427" spans="1:17">
      <c r="A6427" s="12">
        <v>46328</v>
      </c>
      <c r="B6427" s="10">
        <v>21</v>
      </c>
      <c r="Q6427" s="10" t="str">
        <f t="shared" si="100"/>
        <v>Incomplete</v>
      </c>
    </row>
    <row r="6428" spans="1:17">
      <c r="A6428" s="12">
        <v>46329</v>
      </c>
      <c r="B6428" s="10">
        <v>1</v>
      </c>
      <c r="Q6428" s="10" t="str">
        <f t="shared" si="100"/>
        <v>Incomplete</v>
      </c>
    </row>
    <row r="6429" spans="1:17">
      <c r="A6429" s="12">
        <v>46329</v>
      </c>
      <c r="B6429" s="10">
        <v>2</v>
      </c>
      <c r="Q6429" s="10" t="str">
        <f t="shared" si="100"/>
        <v>Incomplete</v>
      </c>
    </row>
    <row r="6430" spans="1:17">
      <c r="A6430" s="12">
        <v>46329</v>
      </c>
      <c r="B6430" s="10">
        <v>3</v>
      </c>
      <c r="Q6430" s="10" t="str">
        <f t="shared" si="100"/>
        <v>Incomplete</v>
      </c>
    </row>
    <row r="6431" spans="1:17">
      <c r="A6431" s="12">
        <v>46329</v>
      </c>
      <c r="B6431" s="10">
        <v>4</v>
      </c>
      <c r="Q6431" s="10" t="str">
        <f t="shared" si="100"/>
        <v>Incomplete</v>
      </c>
    </row>
    <row r="6432" spans="1:17">
      <c r="A6432" s="12">
        <v>46329</v>
      </c>
      <c r="B6432" s="10">
        <v>5</v>
      </c>
      <c r="Q6432" s="10" t="str">
        <f t="shared" si="100"/>
        <v>Incomplete</v>
      </c>
    </row>
    <row r="6433" spans="1:17">
      <c r="A6433" s="12">
        <v>46329</v>
      </c>
      <c r="B6433" s="10">
        <v>6</v>
      </c>
      <c r="Q6433" s="10" t="str">
        <f t="shared" si="100"/>
        <v>Incomplete</v>
      </c>
    </row>
    <row r="6434" spans="1:17">
      <c r="A6434" s="12">
        <v>46329</v>
      </c>
      <c r="B6434" s="10">
        <v>7</v>
      </c>
      <c r="Q6434" s="10" t="str">
        <f t="shared" si="100"/>
        <v>Incomplete</v>
      </c>
    </row>
    <row r="6435" spans="1:17">
      <c r="A6435" s="12">
        <v>46329</v>
      </c>
      <c r="B6435" s="10">
        <v>8</v>
      </c>
      <c r="Q6435" s="10" t="str">
        <f t="shared" si="100"/>
        <v>Incomplete</v>
      </c>
    </row>
    <row r="6436" spans="1:17">
      <c r="A6436" s="12">
        <v>46329</v>
      </c>
      <c r="B6436" s="10">
        <v>9</v>
      </c>
      <c r="Q6436" s="10" t="str">
        <f t="shared" si="100"/>
        <v>Incomplete</v>
      </c>
    </row>
    <row r="6437" spans="1:17">
      <c r="A6437" s="12">
        <v>46329</v>
      </c>
      <c r="B6437" s="10">
        <v>10</v>
      </c>
      <c r="Q6437" s="10" t="str">
        <f t="shared" si="100"/>
        <v>Incomplete</v>
      </c>
    </row>
    <row r="6438" spans="1:17">
      <c r="A6438" s="12">
        <v>46329</v>
      </c>
      <c r="B6438" s="10">
        <v>11</v>
      </c>
      <c r="Q6438" s="10" t="str">
        <f t="shared" si="100"/>
        <v>Incomplete</v>
      </c>
    </row>
    <row r="6439" spans="1:17">
      <c r="A6439" s="12">
        <v>46329</v>
      </c>
      <c r="B6439" s="10">
        <v>12</v>
      </c>
      <c r="Q6439" s="10" t="str">
        <f t="shared" si="100"/>
        <v>Incomplete</v>
      </c>
    </row>
    <row r="6440" spans="1:17">
      <c r="A6440" s="12">
        <v>46329</v>
      </c>
      <c r="B6440" s="10">
        <v>13</v>
      </c>
      <c r="Q6440" s="10" t="str">
        <f t="shared" si="100"/>
        <v>Incomplete</v>
      </c>
    </row>
    <row r="6441" spans="1:17">
      <c r="A6441" s="12">
        <v>46329</v>
      </c>
      <c r="B6441" s="10">
        <v>14</v>
      </c>
      <c r="Q6441" s="10" t="str">
        <f t="shared" si="100"/>
        <v>Incomplete</v>
      </c>
    </row>
    <row r="6442" spans="1:17">
      <c r="A6442" s="12">
        <v>46329</v>
      </c>
      <c r="B6442" s="10">
        <v>15</v>
      </c>
      <c r="Q6442" s="10" t="str">
        <f t="shared" si="100"/>
        <v>Incomplete</v>
      </c>
    </row>
    <row r="6443" spans="1:17">
      <c r="A6443" s="12">
        <v>46329</v>
      </c>
      <c r="B6443" s="10">
        <v>16</v>
      </c>
      <c r="Q6443" s="10" t="str">
        <f t="shared" si="100"/>
        <v>Incomplete</v>
      </c>
    </row>
    <row r="6444" spans="1:17">
      <c r="A6444" s="12">
        <v>46329</v>
      </c>
      <c r="B6444" s="10">
        <v>17</v>
      </c>
      <c r="Q6444" s="10" t="str">
        <f t="shared" si="100"/>
        <v>Incomplete</v>
      </c>
    </row>
    <row r="6445" spans="1:17">
      <c r="A6445" s="12">
        <v>46329</v>
      </c>
      <c r="B6445" s="10">
        <v>18</v>
      </c>
      <c r="Q6445" s="10" t="str">
        <f t="shared" si="100"/>
        <v>Incomplete</v>
      </c>
    </row>
    <row r="6446" spans="1:17">
      <c r="A6446" s="12">
        <v>46329</v>
      </c>
      <c r="B6446" s="10">
        <v>19</v>
      </c>
      <c r="Q6446" s="10" t="str">
        <f t="shared" si="100"/>
        <v>Incomplete</v>
      </c>
    </row>
    <row r="6447" spans="1:17">
      <c r="A6447" s="12">
        <v>46329</v>
      </c>
      <c r="B6447" s="10">
        <v>20</v>
      </c>
      <c r="Q6447" s="10" t="str">
        <f t="shared" si="100"/>
        <v>Incomplete</v>
      </c>
    </row>
    <row r="6448" spans="1:17">
      <c r="A6448" s="12">
        <v>46329</v>
      </c>
      <c r="B6448" s="10">
        <v>21</v>
      </c>
      <c r="Q6448" s="10" t="str">
        <f t="shared" si="100"/>
        <v>Incomplete</v>
      </c>
    </row>
    <row r="6449" spans="1:17">
      <c r="A6449" s="12">
        <v>46330</v>
      </c>
      <c r="B6449" s="10">
        <v>1</v>
      </c>
      <c r="Q6449" s="10" t="str">
        <f t="shared" si="100"/>
        <v>Incomplete</v>
      </c>
    </row>
    <row r="6450" spans="1:17">
      <c r="A6450" s="12">
        <v>46330</v>
      </c>
      <c r="B6450" s="10">
        <v>2</v>
      </c>
      <c r="Q6450" s="10" t="str">
        <f t="shared" si="100"/>
        <v>Incomplete</v>
      </c>
    </row>
    <row r="6451" spans="1:17">
      <c r="A6451" s="12">
        <v>46330</v>
      </c>
      <c r="B6451" s="10">
        <v>3</v>
      </c>
      <c r="Q6451" s="10" t="str">
        <f t="shared" si="100"/>
        <v>Incomplete</v>
      </c>
    </row>
    <row r="6452" spans="1:17">
      <c r="A6452" s="12">
        <v>46330</v>
      </c>
      <c r="B6452" s="10">
        <v>4</v>
      </c>
      <c r="Q6452" s="10" t="str">
        <f t="shared" si="100"/>
        <v>Incomplete</v>
      </c>
    </row>
    <row r="6453" spans="1:17">
      <c r="A6453" s="12">
        <v>46330</v>
      </c>
      <c r="B6453" s="10">
        <v>5</v>
      </c>
      <c r="Q6453" s="10" t="str">
        <f t="shared" si="100"/>
        <v>Incomplete</v>
      </c>
    </row>
    <row r="6454" spans="1:17">
      <c r="A6454" s="12">
        <v>46330</v>
      </c>
      <c r="B6454" s="10">
        <v>6</v>
      </c>
      <c r="Q6454" s="10" t="str">
        <f t="shared" si="100"/>
        <v>Incomplete</v>
      </c>
    </row>
    <row r="6455" spans="1:17">
      <c r="A6455" s="12">
        <v>46330</v>
      </c>
      <c r="B6455" s="10">
        <v>7</v>
      </c>
      <c r="Q6455" s="10" t="str">
        <f t="shared" si="100"/>
        <v>Incomplete</v>
      </c>
    </row>
    <row r="6456" spans="1:17">
      <c r="A6456" s="12">
        <v>46330</v>
      </c>
      <c r="B6456" s="10">
        <v>8</v>
      </c>
      <c r="Q6456" s="10" t="str">
        <f t="shared" si="100"/>
        <v>Incomplete</v>
      </c>
    </row>
    <row r="6457" spans="1:17">
      <c r="A6457" s="12">
        <v>46330</v>
      </c>
      <c r="B6457" s="10">
        <v>9</v>
      </c>
      <c r="Q6457" s="10" t="str">
        <f t="shared" si="100"/>
        <v>Incomplete</v>
      </c>
    </row>
    <row r="6458" spans="1:17">
      <c r="A6458" s="12">
        <v>46330</v>
      </c>
      <c r="B6458" s="10">
        <v>10</v>
      </c>
      <c r="Q6458" s="10" t="str">
        <f t="shared" si="100"/>
        <v>Incomplete</v>
      </c>
    </row>
    <row r="6459" spans="1:17">
      <c r="A6459" s="12">
        <v>46330</v>
      </c>
      <c r="B6459" s="10">
        <v>11</v>
      </c>
      <c r="Q6459" s="10" t="str">
        <f t="shared" si="100"/>
        <v>Incomplete</v>
      </c>
    </row>
    <row r="6460" spans="1:17">
      <c r="A6460" s="12">
        <v>46330</v>
      </c>
      <c r="B6460" s="10">
        <v>12</v>
      </c>
      <c r="Q6460" s="10" t="str">
        <f t="shared" si="100"/>
        <v>Incomplete</v>
      </c>
    </row>
    <row r="6461" spans="1:17">
      <c r="A6461" s="12">
        <v>46330</v>
      </c>
      <c r="B6461" s="10">
        <v>13</v>
      </c>
      <c r="Q6461" s="10" t="str">
        <f t="shared" si="100"/>
        <v>Incomplete</v>
      </c>
    </row>
    <row r="6462" spans="1:17">
      <c r="A6462" s="12">
        <v>46330</v>
      </c>
      <c r="B6462" s="10">
        <v>14</v>
      </c>
      <c r="Q6462" s="10" t="str">
        <f t="shared" si="100"/>
        <v>Incomplete</v>
      </c>
    </row>
    <row r="6463" spans="1:17">
      <c r="A6463" s="12">
        <v>46330</v>
      </c>
      <c r="B6463" s="10">
        <v>15</v>
      </c>
      <c r="Q6463" s="10" t="str">
        <f t="shared" si="100"/>
        <v>Incomplete</v>
      </c>
    </row>
    <row r="6464" spans="1:17">
      <c r="A6464" s="12">
        <v>46330</v>
      </c>
      <c r="B6464" s="10">
        <v>16</v>
      </c>
      <c r="Q6464" s="10" t="str">
        <f t="shared" si="100"/>
        <v>Incomplete</v>
      </c>
    </row>
    <row r="6465" spans="1:17">
      <c r="A6465" s="12">
        <v>46330</v>
      </c>
      <c r="B6465" s="10">
        <v>17</v>
      </c>
      <c r="Q6465" s="10" t="str">
        <f t="shared" si="100"/>
        <v>Incomplete</v>
      </c>
    </row>
    <row r="6466" spans="1:17">
      <c r="A6466" s="12">
        <v>46330</v>
      </c>
      <c r="B6466" s="10">
        <v>18</v>
      </c>
      <c r="Q6466" s="10" t="str">
        <f t="shared" ref="Q6466:Q6529" si="101">IF(AND(C6466&lt;&gt;"",J6466&lt;&gt;"",K6466&lt;&gt;"",L6466&lt;&gt;"",O6466="Yes"),"Complete","Incomplete")</f>
        <v>Incomplete</v>
      </c>
    </row>
    <row r="6467" spans="1:17">
      <c r="A6467" s="12">
        <v>46330</v>
      </c>
      <c r="B6467" s="10">
        <v>19</v>
      </c>
      <c r="Q6467" s="10" t="str">
        <f t="shared" si="101"/>
        <v>Incomplete</v>
      </c>
    </row>
    <row r="6468" spans="1:17">
      <c r="A6468" s="12">
        <v>46330</v>
      </c>
      <c r="B6468" s="10">
        <v>20</v>
      </c>
      <c r="Q6468" s="10" t="str">
        <f t="shared" si="101"/>
        <v>Incomplete</v>
      </c>
    </row>
    <row r="6469" spans="1:17">
      <c r="A6469" s="12">
        <v>46330</v>
      </c>
      <c r="B6469" s="10">
        <v>21</v>
      </c>
      <c r="Q6469" s="10" t="str">
        <f t="shared" si="101"/>
        <v>Incomplete</v>
      </c>
    </row>
    <row r="6470" spans="1:17">
      <c r="A6470" s="12">
        <v>46331</v>
      </c>
      <c r="B6470" s="10">
        <v>1</v>
      </c>
      <c r="Q6470" s="10" t="str">
        <f t="shared" si="101"/>
        <v>Incomplete</v>
      </c>
    </row>
    <row r="6471" spans="1:17">
      <c r="A6471" s="12">
        <v>46331</v>
      </c>
      <c r="B6471" s="10">
        <v>2</v>
      </c>
      <c r="Q6471" s="10" t="str">
        <f t="shared" si="101"/>
        <v>Incomplete</v>
      </c>
    </row>
    <row r="6472" spans="1:17">
      <c r="A6472" s="12">
        <v>46331</v>
      </c>
      <c r="B6472" s="10">
        <v>3</v>
      </c>
      <c r="Q6472" s="10" t="str">
        <f t="shared" si="101"/>
        <v>Incomplete</v>
      </c>
    </row>
    <row r="6473" spans="1:17">
      <c r="A6473" s="12">
        <v>46331</v>
      </c>
      <c r="B6473" s="10">
        <v>4</v>
      </c>
      <c r="Q6473" s="10" t="str">
        <f t="shared" si="101"/>
        <v>Incomplete</v>
      </c>
    </row>
    <row r="6474" spans="1:17">
      <c r="A6474" s="12">
        <v>46331</v>
      </c>
      <c r="B6474" s="10">
        <v>5</v>
      </c>
      <c r="Q6474" s="10" t="str">
        <f t="shared" si="101"/>
        <v>Incomplete</v>
      </c>
    </row>
    <row r="6475" spans="1:17">
      <c r="A6475" s="12">
        <v>46331</v>
      </c>
      <c r="B6475" s="10">
        <v>6</v>
      </c>
      <c r="Q6475" s="10" t="str">
        <f t="shared" si="101"/>
        <v>Incomplete</v>
      </c>
    </row>
    <row r="6476" spans="1:17">
      <c r="A6476" s="12">
        <v>46331</v>
      </c>
      <c r="B6476" s="10">
        <v>7</v>
      </c>
      <c r="Q6476" s="10" t="str">
        <f t="shared" si="101"/>
        <v>Incomplete</v>
      </c>
    </row>
    <row r="6477" spans="1:17">
      <c r="A6477" s="12">
        <v>46331</v>
      </c>
      <c r="B6477" s="10">
        <v>8</v>
      </c>
      <c r="Q6477" s="10" t="str">
        <f t="shared" si="101"/>
        <v>Incomplete</v>
      </c>
    </row>
    <row r="6478" spans="1:17">
      <c r="A6478" s="12">
        <v>46331</v>
      </c>
      <c r="B6478" s="10">
        <v>9</v>
      </c>
      <c r="Q6478" s="10" t="str">
        <f t="shared" si="101"/>
        <v>Incomplete</v>
      </c>
    </row>
    <row r="6479" spans="1:17">
      <c r="A6479" s="12">
        <v>46331</v>
      </c>
      <c r="B6479" s="10">
        <v>10</v>
      </c>
      <c r="Q6479" s="10" t="str">
        <f t="shared" si="101"/>
        <v>Incomplete</v>
      </c>
    </row>
    <row r="6480" spans="1:17">
      <c r="A6480" s="12">
        <v>46331</v>
      </c>
      <c r="B6480" s="10">
        <v>11</v>
      </c>
      <c r="Q6480" s="10" t="str">
        <f t="shared" si="101"/>
        <v>Incomplete</v>
      </c>
    </row>
    <row r="6481" spans="1:17">
      <c r="A6481" s="12">
        <v>46331</v>
      </c>
      <c r="B6481" s="10">
        <v>12</v>
      </c>
      <c r="Q6481" s="10" t="str">
        <f t="shared" si="101"/>
        <v>Incomplete</v>
      </c>
    </row>
    <row r="6482" spans="1:17">
      <c r="A6482" s="12">
        <v>46331</v>
      </c>
      <c r="B6482" s="10">
        <v>13</v>
      </c>
      <c r="Q6482" s="10" t="str">
        <f t="shared" si="101"/>
        <v>Incomplete</v>
      </c>
    </row>
    <row r="6483" spans="1:17">
      <c r="A6483" s="12">
        <v>46331</v>
      </c>
      <c r="B6483" s="10">
        <v>14</v>
      </c>
      <c r="Q6483" s="10" t="str">
        <f t="shared" si="101"/>
        <v>Incomplete</v>
      </c>
    </row>
    <row r="6484" spans="1:17">
      <c r="A6484" s="12">
        <v>46331</v>
      </c>
      <c r="B6484" s="10">
        <v>15</v>
      </c>
      <c r="Q6484" s="10" t="str">
        <f t="shared" si="101"/>
        <v>Incomplete</v>
      </c>
    </row>
    <row r="6485" spans="1:17">
      <c r="A6485" s="12">
        <v>46331</v>
      </c>
      <c r="B6485" s="10">
        <v>16</v>
      </c>
      <c r="Q6485" s="10" t="str">
        <f t="shared" si="101"/>
        <v>Incomplete</v>
      </c>
    </row>
    <row r="6486" spans="1:17">
      <c r="A6486" s="12">
        <v>46331</v>
      </c>
      <c r="B6486" s="10">
        <v>17</v>
      </c>
      <c r="Q6486" s="10" t="str">
        <f t="shared" si="101"/>
        <v>Incomplete</v>
      </c>
    </row>
    <row r="6487" spans="1:17">
      <c r="A6487" s="12">
        <v>46331</v>
      </c>
      <c r="B6487" s="10">
        <v>18</v>
      </c>
      <c r="Q6487" s="10" t="str">
        <f t="shared" si="101"/>
        <v>Incomplete</v>
      </c>
    </row>
    <row r="6488" spans="1:17">
      <c r="A6488" s="12">
        <v>46331</v>
      </c>
      <c r="B6488" s="10">
        <v>19</v>
      </c>
      <c r="Q6488" s="10" t="str">
        <f t="shared" si="101"/>
        <v>Incomplete</v>
      </c>
    </row>
    <row r="6489" spans="1:17">
      <c r="A6489" s="12">
        <v>46331</v>
      </c>
      <c r="B6489" s="10">
        <v>20</v>
      </c>
      <c r="Q6489" s="10" t="str">
        <f t="shared" si="101"/>
        <v>Incomplete</v>
      </c>
    </row>
    <row r="6490" spans="1:17">
      <c r="A6490" s="12">
        <v>46331</v>
      </c>
      <c r="B6490" s="10">
        <v>21</v>
      </c>
      <c r="Q6490" s="10" t="str">
        <f t="shared" si="101"/>
        <v>Incomplete</v>
      </c>
    </row>
    <row r="6491" spans="1:17">
      <c r="A6491" s="12">
        <v>46332</v>
      </c>
      <c r="B6491" s="10">
        <v>1</v>
      </c>
      <c r="Q6491" s="10" t="str">
        <f t="shared" si="101"/>
        <v>Incomplete</v>
      </c>
    </row>
    <row r="6492" spans="1:17">
      <c r="A6492" s="12">
        <v>46332</v>
      </c>
      <c r="B6492" s="10">
        <v>2</v>
      </c>
      <c r="Q6492" s="10" t="str">
        <f t="shared" si="101"/>
        <v>Incomplete</v>
      </c>
    </row>
    <row r="6493" spans="1:17">
      <c r="A6493" s="12">
        <v>46332</v>
      </c>
      <c r="B6493" s="10">
        <v>3</v>
      </c>
      <c r="Q6493" s="10" t="str">
        <f t="shared" si="101"/>
        <v>Incomplete</v>
      </c>
    </row>
    <row r="6494" spans="1:17">
      <c r="A6494" s="12">
        <v>46332</v>
      </c>
      <c r="B6494" s="10">
        <v>4</v>
      </c>
      <c r="Q6494" s="10" t="str">
        <f t="shared" si="101"/>
        <v>Incomplete</v>
      </c>
    </row>
    <row r="6495" spans="1:17">
      <c r="A6495" s="12">
        <v>46332</v>
      </c>
      <c r="B6495" s="10">
        <v>5</v>
      </c>
      <c r="Q6495" s="10" t="str">
        <f t="shared" si="101"/>
        <v>Incomplete</v>
      </c>
    </row>
    <row r="6496" spans="1:17">
      <c r="A6496" s="12">
        <v>46332</v>
      </c>
      <c r="B6496" s="10">
        <v>6</v>
      </c>
      <c r="Q6496" s="10" t="str">
        <f t="shared" si="101"/>
        <v>Incomplete</v>
      </c>
    </row>
    <row r="6497" spans="1:17">
      <c r="A6497" s="12">
        <v>46332</v>
      </c>
      <c r="B6497" s="10">
        <v>7</v>
      </c>
      <c r="Q6497" s="10" t="str">
        <f t="shared" si="101"/>
        <v>Incomplete</v>
      </c>
    </row>
    <row r="6498" spans="1:17">
      <c r="A6498" s="12">
        <v>46332</v>
      </c>
      <c r="B6498" s="10">
        <v>8</v>
      </c>
      <c r="Q6498" s="10" t="str">
        <f t="shared" si="101"/>
        <v>Incomplete</v>
      </c>
    </row>
    <row r="6499" spans="1:17">
      <c r="A6499" s="12">
        <v>46332</v>
      </c>
      <c r="B6499" s="10">
        <v>9</v>
      </c>
      <c r="Q6499" s="10" t="str">
        <f t="shared" si="101"/>
        <v>Incomplete</v>
      </c>
    </row>
    <row r="6500" spans="1:17">
      <c r="A6500" s="12">
        <v>46332</v>
      </c>
      <c r="B6500" s="10">
        <v>10</v>
      </c>
      <c r="Q6500" s="10" t="str">
        <f t="shared" si="101"/>
        <v>Incomplete</v>
      </c>
    </row>
    <row r="6501" spans="1:17">
      <c r="A6501" s="12">
        <v>46332</v>
      </c>
      <c r="B6501" s="10">
        <v>11</v>
      </c>
      <c r="Q6501" s="10" t="str">
        <f t="shared" si="101"/>
        <v>Incomplete</v>
      </c>
    </row>
    <row r="6502" spans="1:17">
      <c r="A6502" s="12">
        <v>46332</v>
      </c>
      <c r="B6502" s="10">
        <v>12</v>
      </c>
      <c r="Q6502" s="10" t="str">
        <f t="shared" si="101"/>
        <v>Incomplete</v>
      </c>
    </row>
    <row r="6503" spans="1:17">
      <c r="A6503" s="12">
        <v>46332</v>
      </c>
      <c r="B6503" s="10">
        <v>13</v>
      </c>
      <c r="Q6503" s="10" t="str">
        <f t="shared" si="101"/>
        <v>Incomplete</v>
      </c>
    </row>
    <row r="6504" spans="1:17">
      <c r="A6504" s="12">
        <v>46332</v>
      </c>
      <c r="B6504" s="10">
        <v>14</v>
      </c>
      <c r="Q6504" s="10" t="str">
        <f t="shared" si="101"/>
        <v>Incomplete</v>
      </c>
    </row>
    <row r="6505" spans="1:17">
      <c r="A6505" s="12">
        <v>46332</v>
      </c>
      <c r="B6505" s="10">
        <v>15</v>
      </c>
      <c r="Q6505" s="10" t="str">
        <f t="shared" si="101"/>
        <v>Incomplete</v>
      </c>
    </row>
    <row r="6506" spans="1:17">
      <c r="A6506" s="12">
        <v>46332</v>
      </c>
      <c r="B6506" s="10">
        <v>16</v>
      </c>
      <c r="Q6506" s="10" t="str">
        <f t="shared" si="101"/>
        <v>Incomplete</v>
      </c>
    </row>
    <row r="6507" spans="1:17">
      <c r="A6507" s="12">
        <v>46332</v>
      </c>
      <c r="B6507" s="10">
        <v>17</v>
      </c>
      <c r="Q6507" s="10" t="str">
        <f t="shared" si="101"/>
        <v>Incomplete</v>
      </c>
    </row>
    <row r="6508" spans="1:17">
      <c r="A6508" s="12">
        <v>46332</v>
      </c>
      <c r="B6508" s="10">
        <v>18</v>
      </c>
      <c r="Q6508" s="10" t="str">
        <f t="shared" si="101"/>
        <v>Incomplete</v>
      </c>
    </row>
    <row r="6509" spans="1:17">
      <c r="A6509" s="12">
        <v>46332</v>
      </c>
      <c r="B6509" s="10">
        <v>19</v>
      </c>
      <c r="Q6509" s="10" t="str">
        <f t="shared" si="101"/>
        <v>Incomplete</v>
      </c>
    </row>
    <row r="6510" spans="1:17">
      <c r="A6510" s="12">
        <v>46332</v>
      </c>
      <c r="B6510" s="10">
        <v>20</v>
      </c>
      <c r="Q6510" s="10" t="str">
        <f t="shared" si="101"/>
        <v>Incomplete</v>
      </c>
    </row>
    <row r="6511" spans="1:17">
      <c r="A6511" s="12">
        <v>46332</v>
      </c>
      <c r="B6511" s="10">
        <v>21</v>
      </c>
      <c r="Q6511" s="10" t="str">
        <f t="shared" si="101"/>
        <v>Incomplete</v>
      </c>
    </row>
    <row r="6512" spans="1:17">
      <c r="A6512" s="12">
        <v>46333</v>
      </c>
      <c r="B6512" s="10">
        <v>1</v>
      </c>
      <c r="Q6512" s="10" t="str">
        <f t="shared" si="101"/>
        <v>Incomplete</v>
      </c>
    </row>
    <row r="6513" spans="1:17">
      <c r="A6513" s="12">
        <v>46333</v>
      </c>
      <c r="B6513" s="10">
        <v>2</v>
      </c>
      <c r="Q6513" s="10" t="str">
        <f t="shared" si="101"/>
        <v>Incomplete</v>
      </c>
    </row>
    <row r="6514" spans="1:17">
      <c r="A6514" s="12">
        <v>46333</v>
      </c>
      <c r="B6514" s="10">
        <v>3</v>
      </c>
      <c r="Q6514" s="10" t="str">
        <f t="shared" si="101"/>
        <v>Incomplete</v>
      </c>
    </row>
    <row r="6515" spans="1:17">
      <c r="A6515" s="12">
        <v>46333</v>
      </c>
      <c r="B6515" s="10">
        <v>4</v>
      </c>
      <c r="Q6515" s="10" t="str">
        <f t="shared" si="101"/>
        <v>Incomplete</v>
      </c>
    </row>
    <row r="6516" spans="1:17">
      <c r="A6516" s="12">
        <v>46333</v>
      </c>
      <c r="B6516" s="10">
        <v>5</v>
      </c>
      <c r="Q6516" s="10" t="str">
        <f t="shared" si="101"/>
        <v>Incomplete</v>
      </c>
    </row>
    <row r="6517" spans="1:17">
      <c r="A6517" s="12">
        <v>46333</v>
      </c>
      <c r="B6517" s="10">
        <v>6</v>
      </c>
      <c r="Q6517" s="10" t="str">
        <f t="shared" si="101"/>
        <v>Incomplete</v>
      </c>
    </row>
    <row r="6518" spans="1:17">
      <c r="A6518" s="12">
        <v>46333</v>
      </c>
      <c r="B6518" s="10">
        <v>7</v>
      </c>
      <c r="Q6518" s="10" t="str">
        <f t="shared" si="101"/>
        <v>Incomplete</v>
      </c>
    </row>
    <row r="6519" spans="1:17">
      <c r="A6519" s="12">
        <v>46333</v>
      </c>
      <c r="B6519" s="10">
        <v>8</v>
      </c>
      <c r="Q6519" s="10" t="str">
        <f t="shared" si="101"/>
        <v>Incomplete</v>
      </c>
    </row>
    <row r="6520" spans="1:17">
      <c r="A6520" s="12">
        <v>46333</v>
      </c>
      <c r="B6520" s="10">
        <v>9</v>
      </c>
      <c r="Q6520" s="10" t="str">
        <f t="shared" si="101"/>
        <v>Incomplete</v>
      </c>
    </row>
    <row r="6521" spans="1:17">
      <c r="A6521" s="12">
        <v>46333</v>
      </c>
      <c r="B6521" s="10">
        <v>10</v>
      </c>
      <c r="Q6521" s="10" t="str">
        <f t="shared" si="101"/>
        <v>Incomplete</v>
      </c>
    </row>
    <row r="6522" spans="1:17">
      <c r="A6522" s="12">
        <v>46333</v>
      </c>
      <c r="B6522" s="10">
        <v>11</v>
      </c>
      <c r="Q6522" s="10" t="str">
        <f t="shared" si="101"/>
        <v>Incomplete</v>
      </c>
    </row>
    <row r="6523" spans="1:17">
      <c r="A6523" s="12">
        <v>46333</v>
      </c>
      <c r="B6523" s="10">
        <v>12</v>
      </c>
      <c r="Q6523" s="10" t="str">
        <f t="shared" si="101"/>
        <v>Incomplete</v>
      </c>
    </row>
    <row r="6524" spans="1:17">
      <c r="A6524" s="12">
        <v>46333</v>
      </c>
      <c r="B6524" s="10">
        <v>13</v>
      </c>
      <c r="Q6524" s="10" t="str">
        <f t="shared" si="101"/>
        <v>Incomplete</v>
      </c>
    </row>
    <row r="6525" spans="1:17">
      <c r="A6525" s="12">
        <v>46333</v>
      </c>
      <c r="B6525" s="10">
        <v>14</v>
      </c>
      <c r="Q6525" s="10" t="str">
        <f t="shared" si="101"/>
        <v>Incomplete</v>
      </c>
    </row>
    <row r="6526" spans="1:17">
      <c r="A6526" s="12">
        <v>46333</v>
      </c>
      <c r="B6526" s="10">
        <v>15</v>
      </c>
      <c r="Q6526" s="10" t="str">
        <f t="shared" si="101"/>
        <v>Incomplete</v>
      </c>
    </row>
    <row r="6527" spans="1:17">
      <c r="A6527" s="12">
        <v>46333</v>
      </c>
      <c r="B6527" s="10">
        <v>16</v>
      </c>
      <c r="Q6527" s="10" t="str">
        <f t="shared" si="101"/>
        <v>Incomplete</v>
      </c>
    </row>
    <row r="6528" spans="1:17">
      <c r="A6528" s="12">
        <v>46333</v>
      </c>
      <c r="B6528" s="10">
        <v>17</v>
      </c>
      <c r="Q6528" s="10" t="str">
        <f t="shared" si="101"/>
        <v>Incomplete</v>
      </c>
    </row>
    <row r="6529" spans="1:17">
      <c r="A6529" s="12">
        <v>46333</v>
      </c>
      <c r="B6529" s="10">
        <v>18</v>
      </c>
      <c r="Q6529" s="10" t="str">
        <f t="shared" si="101"/>
        <v>Incomplete</v>
      </c>
    </row>
    <row r="6530" spans="1:17">
      <c r="A6530" s="12">
        <v>46333</v>
      </c>
      <c r="B6530" s="10">
        <v>19</v>
      </c>
      <c r="Q6530" s="10" t="str">
        <f t="shared" ref="Q6530:Q6593" si="102">IF(AND(C6530&lt;&gt;"",J6530&lt;&gt;"",K6530&lt;&gt;"",L6530&lt;&gt;"",O6530="Yes"),"Complete","Incomplete")</f>
        <v>Incomplete</v>
      </c>
    </row>
    <row r="6531" spans="1:17">
      <c r="A6531" s="12">
        <v>46333</v>
      </c>
      <c r="B6531" s="10">
        <v>20</v>
      </c>
      <c r="Q6531" s="10" t="str">
        <f t="shared" si="102"/>
        <v>Incomplete</v>
      </c>
    </row>
    <row r="6532" spans="1:17">
      <c r="A6532" s="12">
        <v>46333</v>
      </c>
      <c r="B6532" s="10">
        <v>21</v>
      </c>
      <c r="Q6532" s="10" t="str">
        <f t="shared" si="102"/>
        <v>Incomplete</v>
      </c>
    </row>
    <row r="6533" spans="1:17">
      <c r="A6533" s="12">
        <v>46334</v>
      </c>
      <c r="B6533" s="10">
        <v>1</v>
      </c>
      <c r="Q6533" s="10" t="str">
        <f t="shared" si="102"/>
        <v>Incomplete</v>
      </c>
    </row>
    <row r="6534" spans="1:17">
      <c r="A6534" s="12">
        <v>46334</v>
      </c>
      <c r="B6534" s="10">
        <v>2</v>
      </c>
      <c r="Q6534" s="10" t="str">
        <f t="shared" si="102"/>
        <v>Incomplete</v>
      </c>
    </row>
    <row r="6535" spans="1:17">
      <c r="A6535" s="12">
        <v>46334</v>
      </c>
      <c r="B6535" s="10">
        <v>3</v>
      </c>
      <c r="Q6535" s="10" t="str">
        <f t="shared" si="102"/>
        <v>Incomplete</v>
      </c>
    </row>
    <row r="6536" spans="1:17">
      <c r="A6536" s="12">
        <v>46334</v>
      </c>
      <c r="B6536" s="10">
        <v>4</v>
      </c>
      <c r="Q6536" s="10" t="str">
        <f t="shared" si="102"/>
        <v>Incomplete</v>
      </c>
    </row>
    <row r="6537" spans="1:17">
      <c r="A6537" s="12">
        <v>46334</v>
      </c>
      <c r="B6537" s="10">
        <v>5</v>
      </c>
      <c r="Q6537" s="10" t="str">
        <f t="shared" si="102"/>
        <v>Incomplete</v>
      </c>
    </row>
    <row r="6538" spans="1:17">
      <c r="A6538" s="12">
        <v>46334</v>
      </c>
      <c r="B6538" s="10">
        <v>6</v>
      </c>
      <c r="Q6538" s="10" t="str">
        <f t="shared" si="102"/>
        <v>Incomplete</v>
      </c>
    </row>
    <row r="6539" spans="1:17">
      <c r="A6539" s="12">
        <v>46334</v>
      </c>
      <c r="B6539" s="10">
        <v>7</v>
      </c>
      <c r="Q6539" s="10" t="str">
        <f t="shared" si="102"/>
        <v>Incomplete</v>
      </c>
    </row>
    <row r="6540" spans="1:17">
      <c r="A6540" s="12">
        <v>46334</v>
      </c>
      <c r="B6540" s="10">
        <v>8</v>
      </c>
      <c r="Q6540" s="10" t="str">
        <f t="shared" si="102"/>
        <v>Incomplete</v>
      </c>
    </row>
    <row r="6541" spans="1:17">
      <c r="A6541" s="12">
        <v>46334</v>
      </c>
      <c r="B6541" s="10">
        <v>9</v>
      </c>
      <c r="Q6541" s="10" t="str">
        <f t="shared" si="102"/>
        <v>Incomplete</v>
      </c>
    </row>
    <row r="6542" spans="1:17">
      <c r="A6542" s="12">
        <v>46334</v>
      </c>
      <c r="B6542" s="10">
        <v>10</v>
      </c>
      <c r="Q6542" s="10" t="str">
        <f t="shared" si="102"/>
        <v>Incomplete</v>
      </c>
    </row>
    <row r="6543" spans="1:17">
      <c r="A6543" s="12">
        <v>46334</v>
      </c>
      <c r="B6543" s="10">
        <v>11</v>
      </c>
      <c r="Q6543" s="10" t="str">
        <f t="shared" si="102"/>
        <v>Incomplete</v>
      </c>
    </row>
    <row r="6544" spans="1:17">
      <c r="A6544" s="12">
        <v>46334</v>
      </c>
      <c r="B6544" s="10">
        <v>12</v>
      </c>
      <c r="Q6544" s="10" t="str">
        <f t="shared" si="102"/>
        <v>Incomplete</v>
      </c>
    </row>
    <row r="6545" spans="1:17">
      <c r="A6545" s="12">
        <v>46334</v>
      </c>
      <c r="B6545" s="10">
        <v>13</v>
      </c>
      <c r="Q6545" s="10" t="str">
        <f t="shared" si="102"/>
        <v>Incomplete</v>
      </c>
    </row>
    <row r="6546" spans="1:17">
      <c r="A6546" s="12">
        <v>46334</v>
      </c>
      <c r="B6546" s="10">
        <v>14</v>
      </c>
      <c r="Q6546" s="10" t="str">
        <f t="shared" si="102"/>
        <v>Incomplete</v>
      </c>
    </row>
    <row r="6547" spans="1:17">
      <c r="A6547" s="12">
        <v>46334</v>
      </c>
      <c r="B6547" s="10">
        <v>15</v>
      </c>
      <c r="Q6547" s="10" t="str">
        <f t="shared" si="102"/>
        <v>Incomplete</v>
      </c>
    </row>
    <row r="6548" spans="1:17">
      <c r="A6548" s="12">
        <v>46334</v>
      </c>
      <c r="B6548" s="10">
        <v>16</v>
      </c>
      <c r="Q6548" s="10" t="str">
        <f t="shared" si="102"/>
        <v>Incomplete</v>
      </c>
    </row>
    <row r="6549" spans="1:17">
      <c r="A6549" s="12">
        <v>46334</v>
      </c>
      <c r="B6549" s="10">
        <v>17</v>
      </c>
      <c r="Q6549" s="10" t="str">
        <f t="shared" si="102"/>
        <v>Incomplete</v>
      </c>
    </row>
    <row r="6550" spans="1:17">
      <c r="A6550" s="12">
        <v>46334</v>
      </c>
      <c r="B6550" s="10">
        <v>18</v>
      </c>
      <c r="Q6550" s="10" t="str">
        <f t="shared" si="102"/>
        <v>Incomplete</v>
      </c>
    </row>
    <row r="6551" spans="1:17">
      <c r="A6551" s="12">
        <v>46334</v>
      </c>
      <c r="B6551" s="10">
        <v>19</v>
      </c>
      <c r="Q6551" s="10" t="str">
        <f t="shared" si="102"/>
        <v>Incomplete</v>
      </c>
    </row>
    <row r="6552" spans="1:17">
      <c r="A6552" s="12">
        <v>46334</v>
      </c>
      <c r="B6552" s="10">
        <v>20</v>
      </c>
      <c r="Q6552" s="10" t="str">
        <f t="shared" si="102"/>
        <v>Incomplete</v>
      </c>
    </row>
    <row r="6553" spans="1:17">
      <c r="A6553" s="12">
        <v>46334</v>
      </c>
      <c r="B6553" s="10">
        <v>21</v>
      </c>
      <c r="Q6553" s="10" t="str">
        <f t="shared" si="102"/>
        <v>Incomplete</v>
      </c>
    </row>
    <row r="6554" spans="1:17">
      <c r="A6554" s="12">
        <v>46335</v>
      </c>
      <c r="B6554" s="10">
        <v>1</v>
      </c>
      <c r="Q6554" s="10" t="str">
        <f t="shared" si="102"/>
        <v>Incomplete</v>
      </c>
    </row>
    <row r="6555" spans="1:17">
      <c r="A6555" s="12">
        <v>46335</v>
      </c>
      <c r="B6555" s="10">
        <v>2</v>
      </c>
      <c r="Q6555" s="10" t="str">
        <f t="shared" si="102"/>
        <v>Incomplete</v>
      </c>
    </row>
    <row r="6556" spans="1:17">
      <c r="A6556" s="12">
        <v>46335</v>
      </c>
      <c r="B6556" s="10">
        <v>3</v>
      </c>
      <c r="Q6556" s="10" t="str">
        <f t="shared" si="102"/>
        <v>Incomplete</v>
      </c>
    </row>
    <row r="6557" spans="1:17">
      <c r="A6557" s="12">
        <v>46335</v>
      </c>
      <c r="B6557" s="10">
        <v>4</v>
      </c>
      <c r="Q6557" s="10" t="str">
        <f t="shared" si="102"/>
        <v>Incomplete</v>
      </c>
    </row>
    <row r="6558" spans="1:17">
      <c r="A6558" s="12">
        <v>46335</v>
      </c>
      <c r="B6558" s="10">
        <v>5</v>
      </c>
      <c r="Q6558" s="10" t="str">
        <f t="shared" si="102"/>
        <v>Incomplete</v>
      </c>
    </row>
    <row r="6559" spans="1:17">
      <c r="A6559" s="12">
        <v>46335</v>
      </c>
      <c r="B6559" s="10">
        <v>6</v>
      </c>
      <c r="Q6559" s="10" t="str">
        <f t="shared" si="102"/>
        <v>Incomplete</v>
      </c>
    </row>
    <row r="6560" spans="1:17">
      <c r="A6560" s="12">
        <v>46335</v>
      </c>
      <c r="B6560" s="10">
        <v>7</v>
      </c>
      <c r="Q6560" s="10" t="str">
        <f t="shared" si="102"/>
        <v>Incomplete</v>
      </c>
    </row>
    <row r="6561" spans="1:17">
      <c r="A6561" s="12">
        <v>46335</v>
      </c>
      <c r="B6561" s="10">
        <v>8</v>
      </c>
      <c r="Q6561" s="10" t="str">
        <f t="shared" si="102"/>
        <v>Incomplete</v>
      </c>
    </row>
    <row r="6562" spans="1:17">
      <c r="A6562" s="12">
        <v>46335</v>
      </c>
      <c r="B6562" s="10">
        <v>9</v>
      </c>
      <c r="Q6562" s="10" t="str">
        <f t="shared" si="102"/>
        <v>Incomplete</v>
      </c>
    </row>
    <row r="6563" spans="1:17">
      <c r="A6563" s="12">
        <v>46335</v>
      </c>
      <c r="B6563" s="10">
        <v>10</v>
      </c>
      <c r="Q6563" s="10" t="str">
        <f t="shared" si="102"/>
        <v>Incomplete</v>
      </c>
    </row>
    <row r="6564" spans="1:17">
      <c r="A6564" s="12">
        <v>46335</v>
      </c>
      <c r="B6564" s="10">
        <v>11</v>
      </c>
      <c r="Q6564" s="10" t="str">
        <f t="shared" si="102"/>
        <v>Incomplete</v>
      </c>
    </row>
    <row r="6565" spans="1:17">
      <c r="A6565" s="12">
        <v>46335</v>
      </c>
      <c r="B6565" s="10">
        <v>12</v>
      </c>
      <c r="Q6565" s="10" t="str">
        <f t="shared" si="102"/>
        <v>Incomplete</v>
      </c>
    </row>
    <row r="6566" spans="1:17">
      <c r="A6566" s="12">
        <v>46335</v>
      </c>
      <c r="B6566" s="10">
        <v>13</v>
      </c>
      <c r="Q6566" s="10" t="str">
        <f t="shared" si="102"/>
        <v>Incomplete</v>
      </c>
    </row>
    <row r="6567" spans="1:17">
      <c r="A6567" s="12">
        <v>46335</v>
      </c>
      <c r="B6567" s="10">
        <v>14</v>
      </c>
      <c r="Q6567" s="10" t="str">
        <f t="shared" si="102"/>
        <v>Incomplete</v>
      </c>
    </row>
    <row r="6568" spans="1:17">
      <c r="A6568" s="12">
        <v>46335</v>
      </c>
      <c r="B6568" s="10">
        <v>15</v>
      </c>
      <c r="Q6568" s="10" t="str">
        <f t="shared" si="102"/>
        <v>Incomplete</v>
      </c>
    </row>
    <row r="6569" spans="1:17">
      <c r="A6569" s="12">
        <v>46335</v>
      </c>
      <c r="B6569" s="10">
        <v>16</v>
      </c>
      <c r="Q6569" s="10" t="str">
        <f t="shared" si="102"/>
        <v>Incomplete</v>
      </c>
    </row>
    <row r="6570" spans="1:17">
      <c r="A6570" s="12">
        <v>46335</v>
      </c>
      <c r="B6570" s="10">
        <v>17</v>
      </c>
      <c r="Q6570" s="10" t="str">
        <f t="shared" si="102"/>
        <v>Incomplete</v>
      </c>
    </row>
    <row r="6571" spans="1:17">
      <c r="A6571" s="12">
        <v>46335</v>
      </c>
      <c r="B6571" s="10">
        <v>18</v>
      </c>
      <c r="Q6571" s="10" t="str">
        <f t="shared" si="102"/>
        <v>Incomplete</v>
      </c>
    </row>
    <row r="6572" spans="1:17">
      <c r="A6572" s="12">
        <v>46335</v>
      </c>
      <c r="B6572" s="10">
        <v>19</v>
      </c>
      <c r="Q6572" s="10" t="str">
        <f t="shared" si="102"/>
        <v>Incomplete</v>
      </c>
    </row>
    <row r="6573" spans="1:17">
      <c r="A6573" s="12">
        <v>46335</v>
      </c>
      <c r="B6573" s="10">
        <v>20</v>
      </c>
      <c r="Q6573" s="10" t="str">
        <f t="shared" si="102"/>
        <v>Incomplete</v>
      </c>
    </row>
    <row r="6574" spans="1:17">
      <c r="A6574" s="12">
        <v>46335</v>
      </c>
      <c r="B6574" s="10">
        <v>21</v>
      </c>
      <c r="Q6574" s="10" t="str">
        <f t="shared" si="102"/>
        <v>Incomplete</v>
      </c>
    </row>
    <row r="6575" spans="1:17">
      <c r="A6575" s="12">
        <v>46336</v>
      </c>
      <c r="B6575" s="10">
        <v>1</v>
      </c>
      <c r="Q6575" s="10" t="str">
        <f t="shared" si="102"/>
        <v>Incomplete</v>
      </c>
    </row>
    <row r="6576" spans="1:17">
      <c r="A6576" s="12">
        <v>46336</v>
      </c>
      <c r="B6576" s="10">
        <v>2</v>
      </c>
      <c r="Q6576" s="10" t="str">
        <f t="shared" si="102"/>
        <v>Incomplete</v>
      </c>
    </row>
    <row r="6577" spans="1:17">
      <c r="A6577" s="12">
        <v>46336</v>
      </c>
      <c r="B6577" s="10">
        <v>3</v>
      </c>
      <c r="Q6577" s="10" t="str">
        <f t="shared" si="102"/>
        <v>Incomplete</v>
      </c>
    </row>
    <row r="6578" spans="1:17">
      <c r="A6578" s="12">
        <v>46336</v>
      </c>
      <c r="B6578" s="10">
        <v>4</v>
      </c>
      <c r="Q6578" s="10" t="str">
        <f t="shared" si="102"/>
        <v>Incomplete</v>
      </c>
    </row>
    <row r="6579" spans="1:17">
      <c r="A6579" s="12">
        <v>46336</v>
      </c>
      <c r="B6579" s="10">
        <v>5</v>
      </c>
      <c r="Q6579" s="10" t="str">
        <f t="shared" si="102"/>
        <v>Incomplete</v>
      </c>
    </row>
    <row r="6580" spans="1:17">
      <c r="A6580" s="12">
        <v>46336</v>
      </c>
      <c r="B6580" s="10">
        <v>6</v>
      </c>
      <c r="Q6580" s="10" t="str">
        <f t="shared" si="102"/>
        <v>Incomplete</v>
      </c>
    </row>
    <row r="6581" spans="1:17">
      <c r="A6581" s="12">
        <v>46336</v>
      </c>
      <c r="B6581" s="10">
        <v>7</v>
      </c>
      <c r="Q6581" s="10" t="str">
        <f t="shared" si="102"/>
        <v>Incomplete</v>
      </c>
    </row>
    <row r="6582" spans="1:17">
      <c r="A6582" s="12">
        <v>46336</v>
      </c>
      <c r="B6582" s="10">
        <v>8</v>
      </c>
      <c r="Q6582" s="10" t="str">
        <f t="shared" si="102"/>
        <v>Incomplete</v>
      </c>
    </row>
    <row r="6583" spans="1:17">
      <c r="A6583" s="12">
        <v>46336</v>
      </c>
      <c r="B6583" s="10">
        <v>9</v>
      </c>
      <c r="Q6583" s="10" t="str">
        <f t="shared" si="102"/>
        <v>Incomplete</v>
      </c>
    </row>
    <row r="6584" spans="1:17">
      <c r="A6584" s="12">
        <v>46336</v>
      </c>
      <c r="B6584" s="10">
        <v>10</v>
      </c>
      <c r="Q6584" s="10" t="str">
        <f t="shared" si="102"/>
        <v>Incomplete</v>
      </c>
    </row>
    <row r="6585" spans="1:17">
      <c r="A6585" s="12">
        <v>46336</v>
      </c>
      <c r="B6585" s="10">
        <v>11</v>
      </c>
      <c r="Q6585" s="10" t="str">
        <f t="shared" si="102"/>
        <v>Incomplete</v>
      </c>
    </row>
    <row r="6586" spans="1:17">
      <c r="A6586" s="12">
        <v>46336</v>
      </c>
      <c r="B6586" s="10">
        <v>12</v>
      </c>
      <c r="Q6586" s="10" t="str">
        <f t="shared" si="102"/>
        <v>Incomplete</v>
      </c>
    </row>
    <row r="6587" spans="1:17">
      <c r="A6587" s="12">
        <v>46336</v>
      </c>
      <c r="B6587" s="10">
        <v>13</v>
      </c>
      <c r="Q6587" s="10" t="str">
        <f t="shared" si="102"/>
        <v>Incomplete</v>
      </c>
    </row>
    <row r="6588" spans="1:17">
      <c r="A6588" s="12">
        <v>46336</v>
      </c>
      <c r="B6588" s="10">
        <v>14</v>
      </c>
      <c r="Q6588" s="10" t="str">
        <f t="shared" si="102"/>
        <v>Incomplete</v>
      </c>
    </row>
    <row r="6589" spans="1:17">
      <c r="A6589" s="12">
        <v>46336</v>
      </c>
      <c r="B6589" s="10">
        <v>15</v>
      </c>
      <c r="Q6589" s="10" t="str">
        <f t="shared" si="102"/>
        <v>Incomplete</v>
      </c>
    </row>
    <row r="6590" spans="1:17">
      <c r="A6590" s="12">
        <v>46336</v>
      </c>
      <c r="B6590" s="10">
        <v>16</v>
      </c>
      <c r="Q6590" s="10" t="str">
        <f t="shared" si="102"/>
        <v>Incomplete</v>
      </c>
    </row>
    <row r="6591" spans="1:17">
      <c r="A6591" s="12">
        <v>46336</v>
      </c>
      <c r="B6591" s="10">
        <v>17</v>
      </c>
      <c r="Q6591" s="10" t="str">
        <f t="shared" si="102"/>
        <v>Incomplete</v>
      </c>
    </row>
    <row r="6592" spans="1:17">
      <c r="A6592" s="12">
        <v>46336</v>
      </c>
      <c r="B6592" s="10">
        <v>18</v>
      </c>
      <c r="Q6592" s="10" t="str">
        <f t="shared" si="102"/>
        <v>Incomplete</v>
      </c>
    </row>
    <row r="6593" spans="1:17">
      <c r="A6593" s="12">
        <v>46336</v>
      </c>
      <c r="B6593" s="10">
        <v>19</v>
      </c>
      <c r="Q6593" s="10" t="str">
        <f t="shared" si="102"/>
        <v>Incomplete</v>
      </c>
    </row>
    <row r="6594" spans="1:17">
      <c r="A6594" s="12">
        <v>46336</v>
      </c>
      <c r="B6594" s="10">
        <v>20</v>
      </c>
      <c r="Q6594" s="10" t="str">
        <f t="shared" ref="Q6594:Q6657" si="103">IF(AND(C6594&lt;&gt;"",J6594&lt;&gt;"",K6594&lt;&gt;"",L6594&lt;&gt;"",O6594="Yes"),"Complete","Incomplete")</f>
        <v>Incomplete</v>
      </c>
    </row>
    <row r="6595" spans="1:17">
      <c r="A6595" s="12">
        <v>46336</v>
      </c>
      <c r="B6595" s="10">
        <v>21</v>
      </c>
      <c r="Q6595" s="10" t="str">
        <f t="shared" si="103"/>
        <v>Incomplete</v>
      </c>
    </row>
    <row r="6596" spans="1:17">
      <c r="A6596" s="12">
        <v>46337</v>
      </c>
      <c r="B6596" s="10">
        <v>1</v>
      </c>
      <c r="Q6596" s="10" t="str">
        <f t="shared" si="103"/>
        <v>Incomplete</v>
      </c>
    </row>
    <row r="6597" spans="1:17">
      <c r="A6597" s="12">
        <v>46337</v>
      </c>
      <c r="B6597" s="10">
        <v>2</v>
      </c>
      <c r="Q6597" s="10" t="str">
        <f t="shared" si="103"/>
        <v>Incomplete</v>
      </c>
    </row>
    <row r="6598" spans="1:17">
      <c r="A6598" s="12">
        <v>46337</v>
      </c>
      <c r="B6598" s="10">
        <v>3</v>
      </c>
      <c r="Q6598" s="10" t="str">
        <f t="shared" si="103"/>
        <v>Incomplete</v>
      </c>
    </row>
    <row r="6599" spans="1:17">
      <c r="A6599" s="12">
        <v>46337</v>
      </c>
      <c r="B6599" s="10">
        <v>4</v>
      </c>
      <c r="Q6599" s="10" t="str">
        <f t="shared" si="103"/>
        <v>Incomplete</v>
      </c>
    </row>
    <row r="6600" spans="1:17">
      <c r="A6600" s="12">
        <v>46337</v>
      </c>
      <c r="B6600" s="10">
        <v>5</v>
      </c>
      <c r="Q6600" s="10" t="str">
        <f t="shared" si="103"/>
        <v>Incomplete</v>
      </c>
    </row>
    <row r="6601" spans="1:17">
      <c r="A6601" s="12">
        <v>46337</v>
      </c>
      <c r="B6601" s="10">
        <v>6</v>
      </c>
      <c r="Q6601" s="10" t="str">
        <f t="shared" si="103"/>
        <v>Incomplete</v>
      </c>
    </row>
    <row r="6602" spans="1:17">
      <c r="A6602" s="12">
        <v>46337</v>
      </c>
      <c r="B6602" s="10">
        <v>7</v>
      </c>
      <c r="Q6602" s="10" t="str">
        <f t="shared" si="103"/>
        <v>Incomplete</v>
      </c>
    </row>
    <row r="6603" spans="1:17">
      <c r="A6603" s="12">
        <v>46337</v>
      </c>
      <c r="B6603" s="10">
        <v>8</v>
      </c>
      <c r="Q6603" s="10" t="str">
        <f t="shared" si="103"/>
        <v>Incomplete</v>
      </c>
    </row>
    <row r="6604" spans="1:17">
      <c r="A6604" s="12">
        <v>46337</v>
      </c>
      <c r="B6604" s="10">
        <v>9</v>
      </c>
      <c r="Q6604" s="10" t="str">
        <f t="shared" si="103"/>
        <v>Incomplete</v>
      </c>
    </row>
    <row r="6605" spans="1:17">
      <c r="A6605" s="12">
        <v>46337</v>
      </c>
      <c r="B6605" s="10">
        <v>10</v>
      </c>
      <c r="Q6605" s="10" t="str">
        <f t="shared" si="103"/>
        <v>Incomplete</v>
      </c>
    </row>
    <row r="6606" spans="1:17">
      <c r="A6606" s="12">
        <v>46337</v>
      </c>
      <c r="B6606" s="10">
        <v>11</v>
      </c>
      <c r="Q6606" s="10" t="str">
        <f t="shared" si="103"/>
        <v>Incomplete</v>
      </c>
    </row>
    <row r="6607" spans="1:17">
      <c r="A6607" s="12">
        <v>46337</v>
      </c>
      <c r="B6607" s="10">
        <v>12</v>
      </c>
      <c r="Q6607" s="10" t="str">
        <f t="shared" si="103"/>
        <v>Incomplete</v>
      </c>
    </row>
    <row r="6608" spans="1:17">
      <c r="A6608" s="12">
        <v>46337</v>
      </c>
      <c r="B6608" s="10">
        <v>13</v>
      </c>
      <c r="Q6608" s="10" t="str">
        <f t="shared" si="103"/>
        <v>Incomplete</v>
      </c>
    </row>
    <row r="6609" spans="1:17">
      <c r="A6609" s="12">
        <v>46337</v>
      </c>
      <c r="B6609" s="10">
        <v>14</v>
      </c>
      <c r="Q6609" s="10" t="str">
        <f t="shared" si="103"/>
        <v>Incomplete</v>
      </c>
    </row>
    <row r="6610" spans="1:17">
      <c r="A6610" s="12">
        <v>46337</v>
      </c>
      <c r="B6610" s="10">
        <v>15</v>
      </c>
      <c r="Q6610" s="10" t="str">
        <f t="shared" si="103"/>
        <v>Incomplete</v>
      </c>
    </row>
    <row r="6611" spans="1:17">
      <c r="A6611" s="12">
        <v>46337</v>
      </c>
      <c r="B6611" s="10">
        <v>16</v>
      </c>
      <c r="Q6611" s="10" t="str">
        <f t="shared" si="103"/>
        <v>Incomplete</v>
      </c>
    </row>
    <row r="6612" spans="1:17">
      <c r="A6612" s="12">
        <v>46337</v>
      </c>
      <c r="B6612" s="10">
        <v>17</v>
      </c>
      <c r="Q6612" s="10" t="str">
        <f t="shared" si="103"/>
        <v>Incomplete</v>
      </c>
    </row>
    <row r="6613" spans="1:17">
      <c r="A6613" s="12">
        <v>46337</v>
      </c>
      <c r="B6613" s="10">
        <v>18</v>
      </c>
      <c r="Q6613" s="10" t="str">
        <f t="shared" si="103"/>
        <v>Incomplete</v>
      </c>
    </row>
    <row r="6614" spans="1:17">
      <c r="A6614" s="12">
        <v>46337</v>
      </c>
      <c r="B6614" s="10">
        <v>19</v>
      </c>
      <c r="Q6614" s="10" t="str">
        <f t="shared" si="103"/>
        <v>Incomplete</v>
      </c>
    </row>
    <row r="6615" spans="1:17">
      <c r="A6615" s="12">
        <v>46337</v>
      </c>
      <c r="B6615" s="10">
        <v>20</v>
      </c>
      <c r="Q6615" s="10" t="str">
        <f t="shared" si="103"/>
        <v>Incomplete</v>
      </c>
    </row>
    <row r="6616" spans="1:17">
      <c r="A6616" s="12">
        <v>46337</v>
      </c>
      <c r="B6616" s="10">
        <v>21</v>
      </c>
      <c r="Q6616" s="10" t="str">
        <f t="shared" si="103"/>
        <v>Incomplete</v>
      </c>
    </row>
    <row r="6617" spans="1:17">
      <c r="A6617" s="12">
        <v>46338</v>
      </c>
      <c r="B6617" s="10">
        <v>1</v>
      </c>
      <c r="Q6617" s="10" t="str">
        <f t="shared" si="103"/>
        <v>Incomplete</v>
      </c>
    </row>
    <row r="6618" spans="1:17">
      <c r="A6618" s="12">
        <v>46338</v>
      </c>
      <c r="B6618" s="10">
        <v>2</v>
      </c>
      <c r="Q6618" s="10" t="str">
        <f t="shared" si="103"/>
        <v>Incomplete</v>
      </c>
    </row>
    <row r="6619" spans="1:17">
      <c r="A6619" s="12">
        <v>46338</v>
      </c>
      <c r="B6619" s="10">
        <v>3</v>
      </c>
      <c r="Q6619" s="10" t="str">
        <f t="shared" si="103"/>
        <v>Incomplete</v>
      </c>
    </row>
    <row r="6620" spans="1:17">
      <c r="A6620" s="12">
        <v>46338</v>
      </c>
      <c r="B6620" s="10">
        <v>4</v>
      </c>
      <c r="Q6620" s="10" t="str">
        <f t="shared" si="103"/>
        <v>Incomplete</v>
      </c>
    </row>
    <row r="6621" spans="1:17">
      <c r="A6621" s="12">
        <v>46338</v>
      </c>
      <c r="B6621" s="10">
        <v>5</v>
      </c>
      <c r="Q6621" s="10" t="str">
        <f t="shared" si="103"/>
        <v>Incomplete</v>
      </c>
    </row>
    <row r="6622" spans="1:17">
      <c r="A6622" s="12">
        <v>46338</v>
      </c>
      <c r="B6622" s="10">
        <v>6</v>
      </c>
      <c r="Q6622" s="10" t="str">
        <f t="shared" si="103"/>
        <v>Incomplete</v>
      </c>
    </row>
    <row r="6623" spans="1:17">
      <c r="A6623" s="12">
        <v>46338</v>
      </c>
      <c r="B6623" s="10">
        <v>7</v>
      </c>
      <c r="Q6623" s="10" t="str">
        <f t="shared" si="103"/>
        <v>Incomplete</v>
      </c>
    </row>
    <row r="6624" spans="1:17">
      <c r="A6624" s="12">
        <v>46338</v>
      </c>
      <c r="B6624" s="10">
        <v>8</v>
      </c>
      <c r="Q6624" s="10" t="str">
        <f t="shared" si="103"/>
        <v>Incomplete</v>
      </c>
    </row>
    <row r="6625" spans="1:17">
      <c r="A6625" s="12">
        <v>46338</v>
      </c>
      <c r="B6625" s="10">
        <v>9</v>
      </c>
      <c r="Q6625" s="10" t="str">
        <f t="shared" si="103"/>
        <v>Incomplete</v>
      </c>
    </row>
    <row r="6626" spans="1:17">
      <c r="A6626" s="12">
        <v>46338</v>
      </c>
      <c r="B6626" s="10">
        <v>10</v>
      </c>
      <c r="Q6626" s="10" t="str">
        <f t="shared" si="103"/>
        <v>Incomplete</v>
      </c>
    </row>
    <row r="6627" spans="1:17">
      <c r="A6627" s="12">
        <v>46338</v>
      </c>
      <c r="B6627" s="10">
        <v>11</v>
      </c>
      <c r="Q6627" s="10" t="str">
        <f t="shared" si="103"/>
        <v>Incomplete</v>
      </c>
    </row>
    <row r="6628" spans="1:17">
      <c r="A6628" s="12">
        <v>46338</v>
      </c>
      <c r="B6628" s="10">
        <v>12</v>
      </c>
      <c r="Q6628" s="10" t="str">
        <f t="shared" si="103"/>
        <v>Incomplete</v>
      </c>
    </row>
    <row r="6629" spans="1:17">
      <c r="A6629" s="12">
        <v>46338</v>
      </c>
      <c r="B6629" s="10">
        <v>13</v>
      </c>
      <c r="Q6629" s="10" t="str">
        <f t="shared" si="103"/>
        <v>Incomplete</v>
      </c>
    </row>
    <row r="6630" spans="1:17">
      <c r="A6630" s="12">
        <v>46338</v>
      </c>
      <c r="B6630" s="10">
        <v>14</v>
      </c>
      <c r="Q6630" s="10" t="str">
        <f t="shared" si="103"/>
        <v>Incomplete</v>
      </c>
    </row>
    <row r="6631" spans="1:17">
      <c r="A6631" s="12">
        <v>46338</v>
      </c>
      <c r="B6631" s="10">
        <v>15</v>
      </c>
      <c r="Q6631" s="10" t="str">
        <f t="shared" si="103"/>
        <v>Incomplete</v>
      </c>
    </row>
    <row r="6632" spans="1:17">
      <c r="A6632" s="12">
        <v>46338</v>
      </c>
      <c r="B6632" s="10">
        <v>16</v>
      </c>
      <c r="Q6632" s="10" t="str">
        <f t="shared" si="103"/>
        <v>Incomplete</v>
      </c>
    </row>
    <row r="6633" spans="1:17">
      <c r="A6633" s="12">
        <v>46338</v>
      </c>
      <c r="B6633" s="10">
        <v>17</v>
      </c>
      <c r="Q6633" s="10" t="str">
        <f t="shared" si="103"/>
        <v>Incomplete</v>
      </c>
    </row>
    <row r="6634" spans="1:17">
      <c r="A6634" s="12">
        <v>46338</v>
      </c>
      <c r="B6634" s="10">
        <v>18</v>
      </c>
      <c r="Q6634" s="10" t="str">
        <f t="shared" si="103"/>
        <v>Incomplete</v>
      </c>
    </row>
    <row r="6635" spans="1:17">
      <c r="A6635" s="12">
        <v>46338</v>
      </c>
      <c r="B6635" s="10">
        <v>19</v>
      </c>
      <c r="Q6635" s="10" t="str">
        <f t="shared" si="103"/>
        <v>Incomplete</v>
      </c>
    </row>
    <row r="6636" spans="1:17">
      <c r="A6636" s="12">
        <v>46338</v>
      </c>
      <c r="B6636" s="10">
        <v>20</v>
      </c>
      <c r="Q6636" s="10" t="str">
        <f t="shared" si="103"/>
        <v>Incomplete</v>
      </c>
    </row>
    <row r="6637" spans="1:17">
      <c r="A6637" s="12">
        <v>46338</v>
      </c>
      <c r="B6637" s="10">
        <v>21</v>
      </c>
      <c r="Q6637" s="10" t="str">
        <f t="shared" si="103"/>
        <v>Incomplete</v>
      </c>
    </row>
    <row r="6638" spans="1:17">
      <c r="A6638" s="12">
        <v>46339</v>
      </c>
      <c r="B6638" s="10">
        <v>1</v>
      </c>
      <c r="Q6638" s="10" t="str">
        <f t="shared" si="103"/>
        <v>Incomplete</v>
      </c>
    </row>
    <row r="6639" spans="1:17">
      <c r="A6639" s="12">
        <v>46339</v>
      </c>
      <c r="B6639" s="10">
        <v>2</v>
      </c>
      <c r="Q6639" s="10" t="str">
        <f t="shared" si="103"/>
        <v>Incomplete</v>
      </c>
    </row>
    <row r="6640" spans="1:17">
      <c r="A6640" s="12">
        <v>46339</v>
      </c>
      <c r="B6640" s="10">
        <v>3</v>
      </c>
      <c r="Q6640" s="10" t="str">
        <f t="shared" si="103"/>
        <v>Incomplete</v>
      </c>
    </row>
    <row r="6641" spans="1:17">
      <c r="A6641" s="12">
        <v>46339</v>
      </c>
      <c r="B6641" s="10">
        <v>4</v>
      </c>
      <c r="Q6641" s="10" t="str">
        <f t="shared" si="103"/>
        <v>Incomplete</v>
      </c>
    </row>
    <row r="6642" spans="1:17">
      <c r="A6642" s="12">
        <v>46339</v>
      </c>
      <c r="B6642" s="10">
        <v>5</v>
      </c>
      <c r="Q6642" s="10" t="str">
        <f t="shared" si="103"/>
        <v>Incomplete</v>
      </c>
    </row>
    <row r="6643" spans="1:17">
      <c r="A6643" s="12">
        <v>46339</v>
      </c>
      <c r="B6643" s="10">
        <v>6</v>
      </c>
      <c r="Q6643" s="10" t="str">
        <f t="shared" si="103"/>
        <v>Incomplete</v>
      </c>
    </row>
    <row r="6644" spans="1:17">
      <c r="A6644" s="12">
        <v>46339</v>
      </c>
      <c r="B6644" s="10">
        <v>7</v>
      </c>
      <c r="Q6644" s="10" t="str">
        <f t="shared" si="103"/>
        <v>Incomplete</v>
      </c>
    </row>
    <row r="6645" spans="1:17">
      <c r="A6645" s="12">
        <v>46339</v>
      </c>
      <c r="B6645" s="10">
        <v>8</v>
      </c>
      <c r="Q6645" s="10" t="str">
        <f t="shared" si="103"/>
        <v>Incomplete</v>
      </c>
    </row>
    <row r="6646" spans="1:17">
      <c r="A6646" s="12">
        <v>46339</v>
      </c>
      <c r="B6646" s="10">
        <v>9</v>
      </c>
      <c r="Q6646" s="10" t="str">
        <f t="shared" si="103"/>
        <v>Incomplete</v>
      </c>
    </row>
    <row r="6647" spans="1:17">
      <c r="A6647" s="12">
        <v>46339</v>
      </c>
      <c r="B6647" s="10">
        <v>10</v>
      </c>
      <c r="Q6647" s="10" t="str">
        <f t="shared" si="103"/>
        <v>Incomplete</v>
      </c>
    </row>
    <row r="6648" spans="1:17">
      <c r="A6648" s="12">
        <v>46339</v>
      </c>
      <c r="B6648" s="10">
        <v>11</v>
      </c>
      <c r="Q6648" s="10" t="str">
        <f t="shared" si="103"/>
        <v>Incomplete</v>
      </c>
    </row>
    <row r="6649" spans="1:17">
      <c r="A6649" s="12">
        <v>46339</v>
      </c>
      <c r="B6649" s="10">
        <v>12</v>
      </c>
      <c r="Q6649" s="10" t="str">
        <f t="shared" si="103"/>
        <v>Incomplete</v>
      </c>
    </row>
    <row r="6650" spans="1:17">
      <c r="A6650" s="12">
        <v>46339</v>
      </c>
      <c r="B6650" s="10">
        <v>13</v>
      </c>
      <c r="Q6650" s="10" t="str">
        <f t="shared" si="103"/>
        <v>Incomplete</v>
      </c>
    </row>
    <row r="6651" spans="1:17">
      <c r="A6651" s="12">
        <v>46339</v>
      </c>
      <c r="B6651" s="10">
        <v>14</v>
      </c>
      <c r="Q6651" s="10" t="str">
        <f t="shared" si="103"/>
        <v>Incomplete</v>
      </c>
    </row>
    <row r="6652" spans="1:17">
      <c r="A6652" s="12">
        <v>46339</v>
      </c>
      <c r="B6652" s="10">
        <v>15</v>
      </c>
      <c r="Q6652" s="10" t="str">
        <f t="shared" si="103"/>
        <v>Incomplete</v>
      </c>
    </row>
    <row r="6653" spans="1:17">
      <c r="A6653" s="12">
        <v>46339</v>
      </c>
      <c r="B6653" s="10">
        <v>16</v>
      </c>
      <c r="Q6653" s="10" t="str">
        <f t="shared" si="103"/>
        <v>Incomplete</v>
      </c>
    </row>
    <row r="6654" spans="1:17">
      <c r="A6654" s="12">
        <v>46339</v>
      </c>
      <c r="B6654" s="10">
        <v>17</v>
      </c>
      <c r="Q6654" s="10" t="str">
        <f t="shared" si="103"/>
        <v>Incomplete</v>
      </c>
    </row>
    <row r="6655" spans="1:17">
      <c r="A6655" s="12">
        <v>46339</v>
      </c>
      <c r="B6655" s="10">
        <v>18</v>
      </c>
      <c r="Q6655" s="10" t="str">
        <f t="shared" si="103"/>
        <v>Incomplete</v>
      </c>
    </row>
    <row r="6656" spans="1:17">
      <c r="A6656" s="12">
        <v>46339</v>
      </c>
      <c r="B6656" s="10">
        <v>19</v>
      </c>
      <c r="Q6656" s="10" t="str">
        <f t="shared" si="103"/>
        <v>Incomplete</v>
      </c>
    </row>
    <row r="6657" spans="1:17">
      <c r="A6657" s="12">
        <v>46339</v>
      </c>
      <c r="B6657" s="10">
        <v>20</v>
      </c>
      <c r="Q6657" s="10" t="str">
        <f t="shared" si="103"/>
        <v>Incomplete</v>
      </c>
    </row>
    <row r="6658" spans="1:17">
      <c r="A6658" s="12">
        <v>46339</v>
      </c>
      <c r="B6658" s="10">
        <v>21</v>
      </c>
      <c r="Q6658" s="10" t="str">
        <f t="shared" ref="Q6658:Q6721" si="104">IF(AND(C6658&lt;&gt;"",J6658&lt;&gt;"",K6658&lt;&gt;"",L6658&lt;&gt;"",O6658="Yes"),"Complete","Incomplete")</f>
        <v>Incomplete</v>
      </c>
    </row>
    <row r="6659" spans="1:17">
      <c r="A6659" s="12">
        <v>46340</v>
      </c>
      <c r="B6659" s="10">
        <v>1</v>
      </c>
      <c r="Q6659" s="10" t="str">
        <f t="shared" si="104"/>
        <v>Incomplete</v>
      </c>
    </row>
    <row r="6660" spans="1:17">
      <c r="A6660" s="12">
        <v>46340</v>
      </c>
      <c r="B6660" s="10">
        <v>2</v>
      </c>
      <c r="Q6660" s="10" t="str">
        <f t="shared" si="104"/>
        <v>Incomplete</v>
      </c>
    </row>
    <row r="6661" spans="1:17">
      <c r="A6661" s="12">
        <v>46340</v>
      </c>
      <c r="B6661" s="10">
        <v>3</v>
      </c>
      <c r="Q6661" s="10" t="str">
        <f t="shared" si="104"/>
        <v>Incomplete</v>
      </c>
    </row>
    <row r="6662" spans="1:17">
      <c r="A6662" s="12">
        <v>46340</v>
      </c>
      <c r="B6662" s="10">
        <v>4</v>
      </c>
      <c r="Q6662" s="10" t="str">
        <f t="shared" si="104"/>
        <v>Incomplete</v>
      </c>
    </row>
    <row r="6663" spans="1:17">
      <c r="A6663" s="12">
        <v>46340</v>
      </c>
      <c r="B6663" s="10">
        <v>5</v>
      </c>
      <c r="Q6663" s="10" t="str">
        <f t="shared" si="104"/>
        <v>Incomplete</v>
      </c>
    </row>
    <row r="6664" spans="1:17">
      <c r="A6664" s="12">
        <v>46340</v>
      </c>
      <c r="B6664" s="10">
        <v>6</v>
      </c>
      <c r="Q6664" s="10" t="str">
        <f t="shared" si="104"/>
        <v>Incomplete</v>
      </c>
    </row>
    <row r="6665" spans="1:17">
      <c r="A6665" s="12">
        <v>46340</v>
      </c>
      <c r="B6665" s="10">
        <v>7</v>
      </c>
      <c r="Q6665" s="10" t="str">
        <f t="shared" si="104"/>
        <v>Incomplete</v>
      </c>
    </row>
    <row r="6666" spans="1:17">
      <c r="A6666" s="12">
        <v>46340</v>
      </c>
      <c r="B6666" s="10">
        <v>8</v>
      </c>
      <c r="Q6666" s="10" t="str">
        <f t="shared" si="104"/>
        <v>Incomplete</v>
      </c>
    </row>
    <row r="6667" spans="1:17">
      <c r="A6667" s="12">
        <v>46340</v>
      </c>
      <c r="B6667" s="10">
        <v>9</v>
      </c>
      <c r="Q6667" s="10" t="str">
        <f t="shared" si="104"/>
        <v>Incomplete</v>
      </c>
    </row>
    <row r="6668" spans="1:17">
      <c r="A6668" s="12">
        <v>46340</v>
      </c>
      <c r="B6668" s="10">
        <v>10</v>
      </c>
      <c r="Q6668" s="10" t="str">
        <f t="shared" si="104"/>
        <v>Incomplete</v>
      </c>
    </row>
    <row r="6669" spans="1:17">
      <c r="A6669" s="12">
        <v>46340</v>
      </c>
      <c r="B6669" s="10">
        <v>11</v>
      </c>
      <c r="Q6669" s="10" t="str">
        <f t="shared" si="104"/>
        <v>Incomplete</v>
      </c>
    </row>
    <row r="6670" spans="1:17">
      <c r="A6670" s="12">
        <v>46340</v>
      </c>
      <c r="B6670" s="10">
        <v>12</v>
      </c>
      <c r="Q6670" s="10" t="str">
        <f t="shared" si="104"/>
        <v>Incomplete</v>
      </c>
    </row>
    <row r="6671" spans="1:17">
      <c r="A6671" s="12">
        <v>46340</v>
      </c>
      <c r="B6671" s="10">
        <v>13</v>
      </c>
      <c r="Q6671" s="10" t="str">
        <f t="shared" si="104"/>
        <v>Incomplete</v>
      </c>
    </row>
    <row r="6672" spans="1:17">
      <c r="A6672" s="12">
        <v>46340</v>
      </c>
      <c r="B6672" s="10">
        <v>14</v>
      </c>
      <c r="Q6672" s="10" t="str">
        <f t="shared" si="104"/>
        <v>Incomplete</v>
      </c>
    </row>
    <row r="6673" spans="1:17">
      <c r="A6673" s="12">
        <v>46340</v>
      </c>
      <c r="B6673" s="10">
        <v>15</v>
      </c>
      <c r="Q6673" s="10" t="str">
        <f t="shared" si="104"/>
        <v>Incomplete</v>
      </c>
    </row>
    <row r="6674" spans="1:17">
      <c r="A6674" s="12">
        <v>46340</v>
      </c>
      <c r="B6674" s="10">
        <v>16</v>
      </c>
      <c r="Q6674" s="10" t="str">
        <f t="shared" si="104"/>
        <v>Incomplete</v>
      </c>
    </row>
    <row r="6675" spans="1:17">
      <c r="A6675" s="12">
        <v>46340</v>
      </c>
      <c r="B6675" s="10">
        <v>17</v>
      </c>
      <c r="Q6675" s="10" t="str">
        <f t="shared" si="104"/>
        <v>Incomplete</v>
      </c>
    </row>
    <row r="6676" spans="1:17">
      <c r="A6676" s="12">
        <v>46340</v>
      </c>
      <c r="B6676" s="10">
        <v>18</v>
      </c>
      <c r="Q6676" s="10" t="str">
        <f t="shared" si="104"/>
        <v>Incomplete</v>
      </c>
    </row>
    <row r="6677" spans="1:17">
      <c r="A6677" s="12">
        <v>46340</v>
      </c>
      <c r="B6677" s="10">
        <v>19</v>
      </c>
      <c r="Q6677" s="10" t="str">
        <f t="shared" si="104"/>
        <v>Incomplete</v>
      </c>
    </row>
    <row r="6678" spans="1:17">
      <c r="A6678" s="12">
        <v>46340</v>
      </c>
      <c r="B6678" s="10">
        <v>20</v>
      </c>
      <c r="Q6678" s="10" t="str">
        <f t="shared" si="104"/>
        <v>Incomplete</v>
      </c>
    </row>
    <row r="6679" spans="1:17">
      <c r="A6679" s="12">
        <v>46340</v>
      </c>
      <c r="B6679" s="10">
        <v>21</v>
      </c>
      <c r="Q6679" s="10" t="str">
        <f t="shared" si="104"/>
        <v>Incomplete</v>
      </c>
    </row>
    <row r="6680" spans="1:17">
      <c r="A6680" s="12">
        <v>46341</v>
      </c>
      <c r="B6680" s="10">
        <v>1</v>
      </c>
      <c r="Q6680" s="10" t="str">
        <f t="shared" si="104"/>
        <v>Incomplete</v>
      </c>
    </row>
    <row r="6681" spans="1:17">
      <c r="A6681" s="12">
        <v>46341</v>
      </c>
      <c r="B6681" s="10">
        <v>2</v>
      </c>
      <c r="Q6681" s="10" t="str">
        <f t="shared" si="104"/>
        <v>Incomplete</v>
      </c>
    </row>
    <row r="6682" spans="1:17">
      <c r="A6682" s="12">
        <v>46341</v>
      </c>
      <c r="B6682" s="10">
        <v>3</v>
      </c>
      <c r="Q6682" s="10" t="str">
        <f t="shared" si="104"/>
        <v>Incomplete</v>
      </c>
    </row>
    <row r="6683" spans="1:17">
      <c r="A6683" s="12">
        <v>46341</v>
      </c>
      <c r="B6683" s="10">
        <v>4</v>
      </c>
      <c r="Q6683" s="10" t="str">
        <f t="shared" si="104"/>
        <v>Incomplete</v>
      </c>
    </row>
    <row r="6684" spans="1:17">
      <c r="A6684" s="12">
        <v>46341</v>
      </c>
      <c r="B6684" s="10">
        <v>5</v>
      </c>
      <c r="Q6684" s="10" t="str">
        <f t="shared" si="104"/>
        <v>Incomplete</v>
      </c>
    </row>
    <row r="6685" spans="1:17">
      <c r="A6685" s="12">
        <v>46341</v>
      </c>
      <c r="B6685" s="10">
        <v>6</v>
      </c>
      <c r="Q6685" s="10" t="str">
        <f t="shared" si="104"/>
        <v>Incomplete</v>
      </c>
    </row>
    <row r="6686" spans="1:17">
      <c r="A6686" s="12">
        <v>46341</v>
      </c>
      <c r="B6686" s="10">
        <v>7</v>
      </c>
      <c r="Q6686" s="10" t="str">
        <f t="shared" si="104"/>
        <v>Incomplete</v>
      </c>
    </row>
    <row r="6687" spans="1:17">
      <c r="A6687" s="12">
        <v>46341</v>
      </c>
      <c r="B6687" s="10">
        <v>8</v>
      </c>
      <c r="Q6687" s="10" t="str">
        <f t="shared" si="104"/>
        <v>Incomplete</v>
      </c>
    </row>
    <row r="6688" spans="1:17">
      <c r="A6688" s="12">
        <v>46341</v>
      </c>
      <c r="B6688" s="10">
        <v>9</v>
      </c>
      <c r="Q6688" s="10" t="str">
        <f t="shared" si="104"/>
        <v>Incomplete</v>
      </c>
    </row>
    <row r="6689" spans="1:17">
      <c r="A6689" s="12">
        <v>46341</v>
      </c>
      <c r="B6689" s="10">
        <v>10</v>
      </c>
      <c r="Q6689" s="10" t="str">
        <f t="shared" si="104"/>
        <v>Incomplete</v>
      </c>
    </row>
    <row r="6690" spans="1:17">
      <c r="A6690" s="12">
        <v>46341</v>
      </c>
      <c r="B6690" s="10">
        <v>11</v>
      </c>
      <c r="Q6690" s="10" t="str">
        <f t="shared" si="104"/>
        <v>Incomplete</v>
      </c>
    </row>
    <row r="6691" spans="1:17">
      <c r="A6691" s="12">
        <v>46341</v>
      </c>
      <c r="B6691" s="10">
        <v>12</v>
      </c>
      <c r="Q6691" s="10" t="str">
        <f t="shared" si="104"/>
        <v>Incomplete</v>
      </c>
    </row>
    <row r="6692" spans="1:17">
      <c r="A6692" s="12">
        <v>46341</v>
      </c>
      <c r="B6692" s="10">
        <v>13</v>
      </c>
      <c r="Q6692" s="10" t="str">
        <f t="shared" si="104"/>
        <v>Incomplete</v>
      </c>
    </row>
    <row r="6693" spans="1:17">
      <c r="A6693" s="12">
        <v>46341</v>
      </c>
      <c r="B6693" s="10">
        <v>14</v>
      </c>
      <c r="Q6693" s="10" t="str">
        <f t="shared" si="104"/>
        <v>Incomplete</v>
      </c>
    </row>
    <row r="6694" spans="1:17">
      <c r="A6694" s="12">
        <v>46341</v>
      </c>
      <c r="B6694" s="10">
        <v>15</v>
      </c>
      <c r="Q6694" s="10" t="str">
        <f t="shared" si="104"/>
        <v>Incomplete</v>
      </c>
    </row>
    <row r="6695" spans="1:17">
      <c r="A6695" s="12">
        <v>46341</v>
      </c>
      <c r="B6695" s="10">
        <v>16</v>
      </c>
      <c r="Q6695" s="10" t="str">
        <f t="shared" si="104"/>
        <v>Incomplete</v>
      </c>
    </row>
    <row r="6696" spans="1:17">
      <c r="A6696" s="12">
        <v>46341</v>
      </c>
      <c r="B6696" s="10">
        <v>17</v>
      </c>
      <c r="Q6696" s="10" t="str">
        <f t="shared" si="104"/>
        <v>Incomplete</v>
      </c>
    </row>
    <row r="6697" spans="1:17">
      <c r="A6697" s="12">
        <v>46341</v>
      </c>
      <c r="B6697" s="10">
        <v>18</v>
      </c>
      <c r="Q6697" s="10" t="str">
        <f t="shared" si="104"/>
        <v>Incomplete</v>
      </c>
    </row>
    <row r="6698" spans="1:17">
      <c r="A6698" s="12">
        <v>46341</v>
      </c>
      <c r="B6698" s="10">
        <v>19</v>
      </c>
      <c r="Q6698" s="10" t="str">
        <f t="shared" si="104"/>
        <v>Incomplete</v>
      </c>
    </row>
    <row r="6699" spans="1:17">
      <c r="A6699" s="12">
        <v>46341</v>
      </c>
      <c r="B6699" s="10">
        <v>20</v>
      </c>
      <c r="Q6699" s="10" t="str">
        <f t="shared" si="104"/>
        <v>Incomplete</v>
      </c>
    </row>
    <row r="6700" spans="1:17">
      <c r="A6700" s="12">
        <v>46341</v>
      </c>
      <c r="B6700" s="10">
        <v>21</v>
      </c>
      <c r="Q6700" s="10" t="str">
        <f t="shared" si="104"/>
        <v>Incomplete</v>
      </c>
    </row>
    <row r="6701" spans="1:17">
      <c r="A6701" s="12">
        <v>46342</v>
      </c>
      <c r="B6701" s="10">
        <v>1</v>
      </c>
      <c r="Q6701" s="10" t="str">
        <f t="shared" si="104"/>
        <v>Incomplete</v>
      </c>
    </row>
    <row r="6702" spans="1:17">
      <c r="A6702" s="12">
        <v>46342</v>
      </c>
      <c r="B6702" s="10">
        <v>2</v>
      </c>
      <c r="Q6702" s="10" t="str">
        <f t="shared" si="104"/>
        <v>Incomplete</v>
      </c>
    </row>
    <row r="6703" spans="1:17">
      <c r="A6703" s="12">
        <v>46342</v>
      </c>
      <c r="B6703" s="10">
        <v>3</v>
      </c>
      <c r="Q6703" s="10" t="str">
        <f t="shared" si="104"/>
        <v>Incomplete</v>
      </c>
    </row>
    <row r="6704" spans="1:17">
      <c r="A6704" s="12">
        <v>46342</v>
      </c>
      <c r="B6704" s="10">
        <v>4</v>
      </c>
      <c r="Q6704" s="10" t="str">
        <f t="shared" si="104"/>
        <v>Incomplete</v>
      </c>
    </row>
    <row r="6705" spans="1:17">
      <c r="A6705" s="12">
        <v>46342</v>
      </c>
      <c r="B6705" s="10">
        <v>5</v>
      </c>
      <c r="Q6705" s="10" t="str">
        <f t="shared" si="104"/>
        <v>Incomplete</v>
      </c>
    </row>
    <row r="6706" spans="1:17">
      <c r="A6706" s="12">
        <v>46342</v>
      </c>
      <c r="B6706" s="10">
        <v>6</v>
      </c>
      <c r="Q6706" s="10" t="str">
        <f t="shared" si="104"/>
        <v>Incomplete</v>
      </c>
    </row>
    <row r="6707" spans="1:17">
      <c r="A6707" s="12">
        <v>46342</v>
      </c>
      <c r="B6707" s="10">
        <v>7</v>
      </c>
      <c r="Q6707" s="10" t="str">
        <f t="shared" si="104"/>
        <v>Incomplete</v>
      </c>
    </row>
    <row r="6708" spans="1:17">
      <c r="A6708" s="12">
        <v>46342</v>
      </c>
      <c r="B6708" s="10">
        <v>8</v>
      </c>
      <c r="Q6708" s="10" t="str">
        <f t="shared" si="104"/>
        <v>Incomplete</v>
      </c>
    </row>
    <row r="6709" spans="1:17">
      <c r="A6709" s="12">
        <v>46342</v>
      </c>
      <c r="B6709" s="10">
        <v>9</v>
      </c>
      <c r="Q6709" s="10" t="str">
        <f t="shared" si="104"/>
        <v>Incomplete</v>
      </c>
    </row>
    <row r="6710" spans="1:17">
      <c r="A6710" s="12">
        <v>46342</v>
      </c>
      <c r="B6710" s="10">
        <v>10</v>
      </c>
      <c r="Q6710" s="10" t="str">
        <f t="shared" si="104"/>
        <v>Incomplete</v>
      </c>
    </row>
    <row r="6711" spans="1:17">
      <c r="A6711" s="12">
        <v>46342</v>
      </c>
      <c r="B6711" s="10">
        <v>11</v>
      </c>
      <c r="Q6711" s="10" t="str">
        <f t="shared" si="104"/>
        <v>Incomplete</v>
      </c>
    </row>
    <row r="6712" spans="1:17">
      <c r="A6712" s="12">
        <v>46342</v>
      </c>
      <c r="B6712" s="10">
        <v>12</v>
      </c>
      <c r="Q6712" s="10" t="str">
        <f t="shared" si="104"/>
        <v>Incomplete</v>
      </c>
    </row>
    <row r="6713" spans="1:17">
      <c r="A6713" s="12">
        <v>46342</v>
      </c>
      <c r="B6713" s="10">
        <v>13</v>
      </c>
      <c r="Q6713" s="10" t="str">
        <f t="shared" si="104"/>
        <v>Incomplete</v>
      </c>
    </row>
    <row r="6714" spans="1:17">
      <c r="A6714" s="12">
        <v>46342</v>
      </c>
      <c r="B6714" s="10">
        <v>14</v>
      </c>
      <c r="Q6714" s="10" t="str">
        <f t="shared" si="104"/>
        <v>Incomplete</v>
      </c>
    </row>
    <row r="6715" spans="1:17">
      <c r="A6715" s="12">
        <v>46342</v>
      </c>
      <c r="B6715" s="10">
        <v>15</v>
      </c>
      <c r="Q6715" s="10" t="str">
        <f t="shared" si="104"/>
        <v>Incomplete</v>
      </c>
    </row>
    <row r="6716" spans="1:17">
      <c r="A6716" s="12">
        <v>46342</v>
      </c>
      <c r="B6716" s="10">
        <v>16</v>
      </c>
      <c r="Q6716" s="10" t="str">
        <f t="shared" si="104"/>
        <v>Incomplete</v>
      </c>
    </row>
    <row r="6717" spans="1:17">
      <c r="A6717" s="12">
        <v>46342</v>
      </c>
      <c r="B6717" s="10">
        <v>17</v>
      </c>
      <c r="Q6717" s="10" t="str">
        <f t="shared" si="104"/>
        <v>Incomplete</v>
      </c>
    </row>
    <row r="6718" spans="1:17">
      <c r="A6718" s="12">
        <v>46342</v>
      </c>
      <c r="B6718" s="10">
        <v>18</v>
      </c>
      <c r="Q6718" s="10" t="str">
        <f t="shared" si="104"/>
        <v>Incomplete</v>
      </c>
    </row>
    <row r="6719" spans="1:17">
      <c r="A6719" s="12">
        <v>46342</v>
      </c>
      <c r="B6719" s="10">
        <v>19</v>
      </c>
      <c r="Q6719" s="10" t="str">
        <f t="shared" si="104"/>
        <v>Incomplete</v>
      </c>
    </row>
    <row r="6720" spans="1:17">
      <c r="A6720" s="12">
        <v>46342</v>
      </c>
      <c r="B6720" s="10">
        <v>20</v>
      </c>
      <c r="Q6720" s="10" t="str">
        <f t="shared" si="104"/>
        <v>Incomplete</v>
      </c>
    </row>
    <row r="6721" spans="1:17">
      <c r="A6721" s="12">
        <v>46342</v>
      </c>
      <c r="B6721" s="10">
        <v>21</v>
      </c>
      <c r="Q6721" s="10" t="str">
        <f t="shared" si="104"/>
        <v>Incomplete</v>
      </c>
    </row>
    <row r="6722" spans="1:17">
      <c r="A6722" s="12">
        <v>46343</v>
      </c>
      <c r="B6722" s="10">
        <v>1</v>
      </c>
      <c r="Q6722" s="10" t="str">
        <f t="shared" ref="Q6722:Q6785" si="105">IF(AND(C6722&lt;&gt;"",J6722&lt;&gt;"",K6722&lt;&gt;"",L6722&lt;&gt;"",O6722="Yes"),"Complete","Incomplete")</f>
        <v>Incomplete</v>
      </c>
    </row>
    <row r="6723" spans="1:17">
      <c r="A6723" s="12">
        <v>46343</v>
      </c>
      <c r="B6723" s="10">
        <v>2</v>
      </c>
      <c r="Q6723" s="10" t="str">
        <f t="shared" si="105"/>
        <v>Incomplete</v>
      </c>
    </row>
    <row r="6724" spans="1:17">
      <c r="A6724" s="12">
        <v>46343</v>
      </c>
      <c r="B6724" s="10">
        <v>3</v>
      </c>
      <c r="Q6724" s="10" t="str">
        <f t="shared" si="105"/>
        <v>Incomplete</v>
      </c>
    </row>
    <row r="6725" spans="1:17">
      <c r="A6725" s="12">
        <v>46343</v>
      </c>
      <c r="B6725" s="10">
        <v>4</v>
      </c>
      <c r="Q6725" s="10" t="str">
        <f t="shared" si="105"/>
        <v>Incomplete</v>
      </c>
    </row>
    <row r="6726" spans="1:17">
      <c r="A6726" s="12">
        <v>46343</v>
      </c>
      <c r="B6726" s="10">
        <v>5</v>
      </c>
      <c r="Q6726" s="10" t="str">
        <f t="shared" si="105"/>
        <v>Incomplete</v>
      </c>
    </row>
    <row r="6727" spans="1:17">
      <c r="A6727" s="12">
        <v>46343</v>
      </c>
      <c r="B6727" s="10">
        <v>6</v>
      </c>
      <c r="Q6727" s="10" t="str">
        <f t="shared" si="105"/>
        <v>Incomplete</v>
      </c>
    </row>
    <row r="6728" spans="1:17">
      <c r="A6728" s="12">
        <v>46343</v>
      </c>
      <c r="B6728" s="10">
        <v>7</v>
      </c>
      <c r="Q6728" s="10" t="str">
        <f t="shared" si="105"/>
        <v>Incomplete</v>
      </c>
    </row>
    <row r="6729" spans="1:17">
      <c r="A6729" s="12">
        <v>46343</v>
      </c>
      <c r="B6729" s="10">
        <v>8</v>
      </c>
      <c r="Q6729" s="10" t="str">
        <f t="shared" si="105"/>
        <v>Incomplete</v>
      </c>
    </row>
    <row r="6730" spans="1:17">
      <c r="A6730" s="12">
        <v>46343</v>
      </c>
      <c r="B6730" s="10">
        <v>9</v>
      </c>
      <c r="Q6730" s="10" t="str">
        <f t="shared" si="105"/>
        <v>Incomplete</v>
      </c>
    </row>
    <row r="6731" spans="1:17">
      <c r="A6731" s="12">
        <v>46343</v>
      </c>
      <c r="B6731" s="10">
        <v>10</v>
      </c>
      <c r="Q6731" s="10" t="str">
        <f t="shared" si="105"/>
        <v>Incomplete</v>
      </c>
    </row>
    <row r="6732" spans="1:17">
      <c r="A6732" s="12">
        <v>46343</v>
      </c>
      <c r="B6732" s="10">
        <v>11</v>
      </c>
      <c r="Q6732" s="10" t="str">
        <f t="shared" si="105"/>
        <v>Incomplete</v>
      </c>
    </row>
    <row r="6733" spans="1:17">
      <c r="A6733" s="12">
        <v>46343</v>
      </c>
      <c r="B6733" s="10">
        <v>12</v>
      </c>
      <c r="Q6733" s="10" t="str">
        <f t="shared" si="105"/>
        <v>Incomplete</v>
      </c>
    </row>
    <row r="6734" spans="1:17">
      <c r="A6734" s="12">
        <v>46343</v>
      </c>
      <c r="B6734" s="10">
        <v>13</v>
      </c>
      <c r="Q6734" s="10" t="str">
        <f t="shared" si="105"/>
        <v>Incomplete</v>
      </c>
    </row>
    <row r="6735" spans="1:17">
      <c r="A6735" s="12">
        <v>46343</v>
      </c>
      <c r="B6735" s="10">
        <v>14</v>
      </c>
      <c r="Q6735" s="10" t="str">
        <f t="shared" si="105"/>
        <v>Incomplete</v>
      </c>
    </row>
    <row r="6736" spans="1:17">
      <c r="A6736" s="12">
        <v>46343</v>
      </c>
      <c r="B6736" s="10">
        <v>15</v>
      </c>
      <c r="Q6736" s="10" t="str">
        <f t="shared" si="105"/>
        <v>Incomplete</v>
      </c>
    </row>
    <row r="6737" spans="1:17">
      <c r="A6737" s="12">
        <v>46343</v>
      </c>
      <c r="B6737" s="10">
        <v>16</v>
      </c>
      <c r="Q6737" s="10" t="str">
        <f t="shared" si="105"/>
        <v>Incomplete</v>
      </c>
    </row>
    <row r="6738" spans="1:17">
      <c r="A6738" s="12">
        <v>46343</v>
      </c>
      <c r="B6738" s="10">
        <v>17</v>
      </c>
      <c r="Q6738" s="10" t="str">
        <f t="shared" si="105"/>
        <v>Incomplete</v>
      </c>
    </row>
    <row r="6739" spans="1:17">
      <c r="A6739" s="12">
        <v>46343</v>
      </c>
      <c r="B6739" s="10">
        <v>18</v>
      </c>
      <c r="Q6739" s="10" t="str">
        <f t="shared" si="105"/>
        <v>Incomplete</v>
      </c>
    </row>
    <row r="6740" spans="1:17">
      <c r="A6740" s="12">
        <v>46343</v>
      </c>
      <c r="B6740" s="10">
        <v>19</v>
      </c>
      <c r="Q6740" s="10" t="str">
        <f t="shared" si="105"/>
        <v>Incomplete</v>
      </c>
    </row>
    <row r="6741" spans="1:17">
      <c r="A6741" s="12">
        <v>46343</v>
      </c>
      <c r="B6741" s="10">
        <v>20</v>
      </c>
      <c r="Q6741" s="10" t="str">
        <f t="shared" si="105"/>
        <v>Incomplete</v>
      </c>
    </row>
    <row r="6742" spans="1:17">
      <c r="A6742" s="12">
        <v>46343</v>
      </c>
      <c r="B6742" s="10">
        <v>21</v>
      </c>
      <c r="Q6742" s="10" t="str">
        <f t="shared" si="105"/>
        <v>Incomplete</v>
      </c>
    </row>
    <row r="6743" spans="1:17">
      <c r="A6743" s="12">
        <v>46344</v>
      </c>
      <c r="B6743" s="10">
        <v>1</v>
      </c>
      <c r="Q6743" s="10" t="str">
        <f t="shared" si="105"/>
        <v>Incomplete</v>
      </c>
    </row>
    <row r="6744" spans="1:17">
      <c r="A6744" s="12">
        <v>46344</v>
      </c>
      <c r="B6744" s="10">
        <v>2</v>
      </c>
      <c r="Q6744" s="10" t="str">
        <f t="shared" si="105"/>
        <v>Incomplete</v>
      </c>
    </row>
    <row r="6745" spans="1:17">
      <c r="A6745" s="12">
        <v>46344</v>
      </c>
      <c r="B6745" s="10">
        <v>3</v>
      </c>
      <c r="Q6745" s="10" t="str">
        <f t="shared" si="105"/>
        <v>Incomplete</v>
      </c>
    </row>
    <row r="6746" spans="1:17">
      <c r="A6746" s="12">
        <v>46344</v>
      </c>
      <c r="B6746" s="10">
        <v>4</v>
      </c>
      <c r="Q6746" s="10" t="str">
        <f t="shared" si="105"/>
        <v>Incomplete</v>
      </c>
    </row>
    <row r="6747" spans="1:17">
      <c r="A6747" s="12">
        <v>46344</v>
      </c>
      <c r="B6747" s="10">
        <v>5</v>
      </c>
      <c r="Q6747" s="10" t="str">
        <f t="shared" si="105"/>
        <v>Incomplete</v>
      </c>
    </row>
    <row r="6748" spans="1:17">
      <c r="A6748" s="12">
        <v>46344</v>
      </c>
      <c r="B6748" s="10">
        <v>6</v>
      </c>
      <c r="Q6748" s="10" t="str">
        <f t="shared" si="105"/>
        <v>Incomplete</v>
      </c>
    </row>
    <row r="6749" spans="1:17">
      <c r="A6749" s="12">
        <v>46344</v>
      </c>
      <c r="B6749" s="10">
        <v>7</v>
      </c>
      <c r="Q6749" s="10" t="str">
        <f t="shared" si="105"/>
        <v>Incomplete</v>
      </c>
    </row>
    <row r="6750" spans="1:17">
      <c r="A6750" s="12">
        <v>46344</v>
      </c>
      <c r="B6750" s="10">
        <v>8</v>
      </c>
      <c r="Q6750" s="10" t="str">
        <f t="shared" si="105"/>
        <v>Incomplete</v>
      </c>
    </row>
    <row r="6751" spans="1:17">
      <c r="A6751" s="12">
        <v>46344</v>
      </c>
      <c r="B6751" s="10">
        <v>9</v>
      </c>
      <c r="Q6751" s="10" t="str">
        <f t="shared" si="105"/>
        <v>Incomplete</v>
      </c>
    </row>
    <row r="6752" spans="1:17">
      <c r="A6752" s="12">
        <v>46344</v>
      </c>
      <c r="B6752" s="10">
        <v>10</v>
      </c>
      <c r="Q6752" s="10" t="str">
        <f t="shared" si="105"/>
        <v>Incomplete</v>
      </c>
    </row>
    <row r="6753" spans="1:17">
      <c r="A6753" s="12">
        <v>46344</v>
      </c>
      <c r="B6753" s="10">
        <v>11</v>
      </c>
      <c r="Q6753" s="10" t="str">
        <f t="shared" si="105"/>
        <v>Incomplete</v>
      </c>
    </row>
    <row r="6754" spans="1:17">
      <c r="A6754" s="12">
        <v>46344</v>
      </c>
      <c r="B6754" s="10">
        <v>12</v>
      </c>
      <c r="Q6754" s="10" t="str">
        <f t="shared" si="105"/>
        <v>Incomplete</v>
      </c>
    </row>
    <row r="6755" spans="1:17">
      <c r="A6755" s="12">
        <v>46344</v>
      </c>
      <c r="B6755" s="10">
        <v>13</v>
      </c>
      <c r="Q6755" s="10" t="str">
        <f t="shared" si="105"/>
        <v>Incomplete</v>
      </c>
    </row>
    <row r="6756" spans="1:17">
      <c r="A6756" s="12">
        <v>46344</v>
      </c>
      <c r="B6756" s="10">
        <v>14</v>
      </c>
      <c r="Q6756" s="10" t="str">
        <f t="shared" si="105"/>
        <v>Incomplete</v>
      </c>
    </row>
    <row r="6757" spans="1:17">
      <c r="A6757" s="12">
        <v>46344</v>
      </c>
      <c r="B6757" s="10">
        <v>15</v>
      </c>
      <c r="Q6757" s="10" t="str">
        <f t="shared" si="105"/>
        <v>Incomplete</v>
      </c>
    </row>
    <row r="6758" spans="1:17">
      <c r="A6758" s="12">
        <v>46344</v>
      </c>
      <c r="B6758" s="10">
        <v>16</v>
      </c>
      <c r="Q6758" s="10" t="str">
        <f t="shared" si="105"/>
        <v>Incomplete</v>
      </c>
    </row>
    <row r="6759" spans="1:17">
      <c r="A6759" s="12">
        <v>46344</v>
      </c>
      <c r="B6759" s="10">
        <v>17</v>
      </c>
      <c r="Q6759" s="10" t="str">
        <f t="shared" si="105"/>
        <v>Incomplete</v>
      </c>
    </row>
    <row r="6760" spans="1:17">
      <c r="A6760" s="12">
        <v>46344</v>
      </c>
      <c r="B6760" s="10">
        <v>18</v>
      </c>
      <c r="Q6760" s="10" t="str">
        <f t="shared" si="105"/>
        <v>Incomplete</v>
      </c>
    </row>
    <row r="6761" spans="1:17">
      <c r="A6761" s="12">
        <v>46344</v>
      </c>
      <c r="B6761" s="10">
        <v>19</v>
      </c>
      <c r="Q6761" s="10" t="str">
        <f t="shared" si="105"/>
        <v>Incomplete</v>
      </c>
    </row>
    <row r="6762" spans="1:17">
      <c r="A6762" s="12">
        <v>46344</v>
      </c>
      <c r="B6762" s="10">
        <v>20</v>
      </c>
      <c r="Q6762" s="10" t="str">
        <f t="shared" si="105"/>
        <v>Incomplete</v>
      </c>
    </row>
    <row r="6763" spans="1:17">
      <c r="A6763" s="12">
        <v>46344</v>
      </c>
      <c r="B6763" s="10">
        <v>21</v>
      </c>
      <c r="Q6763" s="10" t="str">
        <f t="shared" si="105"/>
        <v>Incomplete</v>
      </c>
    </row>
    <row r="6764" spans="1:17">
      <c r="A6764" s="12">
        <v>46345</v>
      </c>
      <c r="B6764" s="10">
        <v>1</v>
      </c>
      <c r="Q6764" s="10" t="str">
        <f t="shared" si="105"/>
        <v>Incomplete</v>
      </c>
    </row>
    <row r="6765" spans="1:17">
      <c r="A6765" s="12">
        <v>46345</v>
      </c>
      <c r="B6765" s="10">
        <v>2</v>
      </c>
      <c r="Q6765" s="10" t="str">
        <f t="shared" si="105"/>
        <v>Incomplete</v>
      </c>
    </row>
    <row r="6766" spans="1:17">
      <c r="A6766" s="12">
        <v>46345</v>
      </c>
      <c r="B6766" s="10">
        <v>3</v>
      </c>
      <c r="Q6766" s="10" t="str">
        <f t="shared" si="105"/>
        <v>Incomplete</v>
      </c>
    </row>
    <row r="6767" spans="1:17">
      <c r="A6767" s="12">
        <v>46345</v>
      </c>
      <c r="B6767" s="10">
        <v>4</v>
      </c>
      <c r="Q6767" s="10" t="str">
        <f t="shared" si="105"/>
        <v>Incomplete</v>
      </c>
    </row>
    <row r="6768" spans="1:17">
      <c r="A6768" s="12">
        <v>46345</v>
      </c>
      <c r="B6768" s="10">
        <v>5</v>
      </c>
      <c r="Q6768" s="10" t="str">
        <f t="shared" si="105"/>
        <v>Incomplete</v>
      </c>
    </row>
    <row r="6769" spans="1:17">
      <c r="A6769" s="12">
        <v>46345</v>
      </c>
      <c r="B6769" s="10">
        <v>6</v>
      </c>
      <c r="Q6769" s="10" t="str">
        <f t="shared" si="105"/>
        <v>Incomplete</v>
      </c>
    </row>
    <row r="6770" spans="1:17">
      <c r="A6770" s="12">
        <v>46345</v>
      </c>
      <c r="B6770" s="10">
        <v>7</v>
      </c>
      <c r="Q6770" s="10" t="str">
        <f t="shared" si="105"/>
        <v>Incomplete</v>
      </c>
    </row>
    <row r="6771" spans="1:17">
      <c r="A6771" s="12">
        <v>46345</v>
      </c>
      <c r="B6771" s="10">
        <v>8</v>
      </c>
      <c r="Q6771" s="10" t="str">
        <f t="shared" si="105"/>
        <v>Incomplete</v>
      </c>
    </row>
    <row r="6772" spans="1:17">
      <c r="A6772" s="12">
        <v>46345</v>
      </c>
      <c r="B6772" s="10">
        <v>9</v>
      </c>
      <c r="Q6772" s="10" t="str">
        <f t="shared" si="105"/>
        <v>Incomplete</v>
      </c>
    </row>
    <row r="6773" spans="1:17">
      <c r="A6773" s="12">
        <v>46345</v>
      </c>
      <c r="B6773" s="10">
        <v>10</v>
      </c>
      <c r="Q6773" s="10" t="str">
        <f t="shared" si="105"/>
        <v>Incomplete</v>
      </c>
    </row>
    <row r="6774" spans="1:17">
      <c r="A6774" s="12">
        <v>46345</v>
      </c>
      <c r="B6774" s="10">
        <v>11</v>
      </c>
      <c r="Q6774" s="10" t="str">
        <f t="shared" si="105"/>
        <v>Incomplete</v>
      </c>
    </row>
    <row r="6775" spans="1:17">
      <c r="A6775" s="12">
        <v>46345</v>
      </c>
      <c r="B6775" s="10">
        <v>12</v>
      </c>
      <c r="Q6775" s="10" t="str">
        <f t="shared" si="105"/>
        <v>Incomplete</v>
      </c>
    </row>
    <row r="6776" spans="1:17">
      <c r="A6776" s="12">
        <v>46345</v>
      </c>
      <c r="B6776" s="10">
        <v>13</v>
      </c>
      <c r="Q6776" s="10" t="str">
        <f t="shared" si="105"/>
        <v>Incomplete</v>
      </c>
    </row>
    <row r="6777" spans="1:17">
      <c r="A6777" s="12">
        <v>46345</v>
      </c>
      <c r="B6777" s="10">
        <v>14</v>
      </c>
      <c r="Q6777" s="10" t="str">
        <f t="shared" si="105"/>
        <v>Incomplete</v>
      </c>
    </row>
    <row r="6778" spans="1:17">
      <c r="A6778" s="12">
        <v>46345</v>
      </c>
      <c r="B6778" s="10">
        <v>15</v>
      </c>
      <c r="Q6778" s="10" t="str">
        <f t="shared" si="105"/>
        <v>Incomplete</v>
      </c>
    </row>
    <row r="6779" spans="1:17">
      <c r="A6779" s="12">
        <v>46345</v>
      </c>
      <c r="B6779" s="10">
        <v>16</v>
      </c>
      <c r="Q6779" s="10" t="str">
        <f t="shared" si="105"/>
        <v>Incomplete</v>
      </c>
    </row>
    <row r="6780" spans="1:17">
      <c r="A6780" s="12">
        <v>46345</v>
      </c>
      <c r="B6780" s="10">
        <v>17</v>
      </c>
      <c r="Q6780" s="10" t="str">
        <f t="shared" si="105"/>
        <v>Incomplete</v>
      </c>
    </row>
    <row r="6781" spans="1:17">
      <c r="A6781" s="12">
        <v>46345</v>
      </c>
      <c r="B6781" s="10">
        <v>18</v>
      </c>
      <c r="Q6781" s="10" t="str">
        <f t="shared" si="105"/>
        <v>Incomplete</v>
      </c>
    </row>
    <row r="6782" spans="1:17">
      <c r="A6782" s="12">
        <v>46345</v>
      </c>
      <c r="B6782" s="10">
        <v>19</v>
      </c>
      <c r="Q6782" s="10" t="str">
        <f t="shared" si="105"/>
        <v>Incomplete</v>
      </c>
    </row>
    <row r="6783" spans="1:17">
      <c r="A6783" s="12">
        <v>46345</v>
      </c>
      <c r="B6783" s="10">
        <v>20</v>
      </c>
      <c r="Q6783" s="10" t="str">
        <f t="shared" si="105"/>
        <v>Incomplete</v>
      </c>
    </row>
    <row r="6784" spans="1:17">
      <c r="A6784" s="12">
        <v>46345</v>
      </c>
      <c r="B6784" s="10">
        <v>21</v>
      </c>
      <c r="Q6784" s="10" t="str">
        <f t="shared" si="105"/>
        <v>Incomplete</v>
      </c>
    </row>
    <row r="6785" spans="1:17">
      <c r="A6785" s="12">
        <v>46346</v>
      </c>
      <c r="B6785" s="10">
        <v>1</v>
      </c>
      <c r="Q6785" s="10" t="str">
        <f t="shared" si="105"/>
        <v>Incomplete</v>
      </c>
    </row>
    <row r="6786" spans="1:17">
      <c r="A6786" s="12">
        <v>46346</v>
      </c>
      <c r="B6786" s="10">
        <v>2</v>
      </c>
      <c r="Q6786" s="10" t="str">
        <f t="shared" ref="Q6786:Q6849" si="106">IF(AND(C6786&lt;&gt;"",J6786&lt;&gt;"",K6786&lt;&gt;"",L6786&lt;&gt;"",O6786="Yes"),"Complete","Incomplete")</f>
        <v>Incomplete</v>
      </c>
    </row>
    <row r="6787" spans="1:17">
      <c r="A6787" s="12">
        <v>46346</v>
      </c>
      <c r="B6787" s="10">
        <v>3</v>
      </c>
      <c r="Q6787" s="10" t="str">
        <f t="shared" si="106"/>
        <v>Incomplete</v>
      </c>
    </row>
    <row r="6788" spans="1:17">
      <c r="A6788" s="12">
        <v>46346</v>
      </c>
      <c r="B6788" s="10">
        <v>4</v>
      </c>
      <c r="Q6788" s="10" t="str">
        <f t="shared" si="106"/>
        <v>Incomplete</v>
      </c>
    </row>
    <row r="6789" spans="1:17">
      <c r="A6789" s="12">
        <v>46346</v>
      </c>
      <c r="B6789" s="10">
        <v>5</v>
      </c>
      <c r="Q6789" s="10" t="str">
        <f t="shared" si="106"/>
        <v>Incomplete</v>
      </c>
    </row>
    <row r="6790" spans="1:17">
      <c r="A6790" s="12">
        <v>46346</v>
      </c>
      <c r="B6790" s="10">
        <v>6</v>
      </c>
      <c r="Q6790" s="10" t="str">
        <f t="shared" si="106"/>
        <v>Incomplete</v>
      </c>
    </row>
    <row r="6791" spans="1:17">
      <c r="A6791" s="12">
        <v>46346</v>
      </c>
      <c r="B6791" s="10">
        <v>7</v>
      </c>
      <c r="Q6791" s="10" t="str">
        <f t="shared" si="106"/>
        <v>Incomplete</v>
      </c>
    </row>
    <row r="6792" spans="1:17">
      <c r="A6792" s="12">
        <v>46346</v>
      </c>
      <c r="B6792" s="10">
        <v>8</v>
      </c>
      <c r="Q6792" s="10" t="str">
        <f t="shared" si="106"/>
        <v>Incomplete</v>
      </c>
    </row>
    <row r="6793" spans="1:17">
      <c r="A6793" s="12">
        <v>46346</v>
      </c>
      <c r="B6793" s="10">
        <v>9</v>
      </c>
      <c r="Q6793" s="10" t="str">
        <f t="shared" si="106"/>
        <v>Incomplete</v>
      </c>
    </row>
    <row r="6794" spans="1:17">
      <c r="A6794" s="12">
        <v>46346</v>
      </c>
      <c r="B6794" s="10">
        <v>10</v>
      </c>
      <c r="Q6794" s="10" t="str">
        <f t="shared" si="106"/>
        <v>Incomplete</v>
      </c>
    </row>
    <row r="6795" spans="1:17">
      <c r="A6795" s="12">
        <v>46346</v>
      </c>
      <c r="B6795" s="10">
        <v>11</v>
      </c>
      <c r="Q6795" s="10" t="str">
        <f t="shared" si="106"/>
        <v>Incomplete</v>
      </c>
    </row>
    <row r="6796" spans="1:17">
      <c r="A6796" s="12">
        <v>46346</v>
      </c>
      <c r="B6796" s="10">
        <v>12</v>
      </c>
      <c r="Q6796" s="10" t="str">
        <f t="shared" si="106"/>
        <v>Incomplete</v>
      </c>
    </row>
    <row r="6797" spans="1:17">
      <c r="A6797" s="12">
        <v>46346</v>
      </c>
      <c r="B6797" s="10">
        <v>13</v>
      </c>
      <c r="Q6797" s="10" t="str">
        <f t="shared" si="106"/>
        <v>Incomplete</v>
      </c>
    </row>
    <row r="6798" spans="1:17">
      <c r="A6798" s="12">
        <v>46346</v>
      </c>
      <c r="B6798" s="10">
        <v>14</v>
      </c>
      <c r="Q6798" s="10" t="str">
        <f t="shared" si="106"/>
        <v>Incomplete</v>
      </c>
    </row>
    <row r="6799" spans="1:17">
      <c r="A6799" s="12">
        <v>46346</v>
      </c>
      <c r="B6799" s="10">
        <v>15</v>
      </c>
      <c r="Q6799" s="10" t="str">
        <f t="shared" si="106"/>
        <v>Incomplete</v>
      </c>
    </row>
    <row r="6800" spans="1:17">
      <c r="A6800" s="12">
        <v>46346</v>
      </c>
      <c r="B6800" s="10">
        <v>16</v>
      </c>
      <c r="Q6800" s="10" t="str">
        <f t="shared" si="106"/>
        <v>Incomplete</v>
      </c>
    </row>
    <row r="6801" spans="1:17">
      <c r="A6801" s="12">
        <v>46346</v>
      </c>
      <c r="B6801" s="10">
        <v>17</v>
      </c>
      <c r="Q6801" s="10" t="str">
        <f t="shared" si="106"/>
        <v>Incomplete</v>
      </c>
    </row>
    <row r="6802" spans="1:17">
      <c r="A6802" s="12">
        <v>46346</v>
      </c>
      <c r="B6802" s="10">
        <v>18</v>
      </c>
      <c r="Q6802" s="10" t="str">
        <f t="shared" si="106"/>
        <v>Incomplete</v>
      </c>
    </row>
    <row r="6803" spans="1:17">
      <c r="A6803" s="12">
        <v>46346</v>
      </c>
      <c r="B6803" s="10">
        <v>19</v>
      </c>
      <c r="Q6803" s="10" t="str">
        <f t="shared" si="106"/>
        <v>Incomplete</v>
      </c>
    </row>
    <row r="6804" spans="1:17">
      <c r="A6804" s="12">
        <v>46346</v>
      </c>
      <c r="B6804" s="10">
        <v>20</v>
      </c>
      <c r="Q6804" s="10" t="str">
        <f t="shared" si="106"/>
        <v>Incomplete</v>
      </c>
    </row>
    <row r="6805" spans="1:17">
      <c r="A6805" s="12">
        <v>46346</v>
      </c>
      <c r="B6805" s="10">
        <v>21</v>
      </c>
      <c r="Q6805" s="10" t="str">
        <f t="shared" si="106"/>
        <v>Incomplete</v>
      </c>
    </row>
    <row r="6806" spans="1:17">
      <c r="A6806" s="12">
        <v>46347</v>
      </c>
      <c r="B6806" s="10">
        <v>1</v>
      </c>
      <c r="Q6806" s="10" t="str">
        <f t="shared" si="106"/>
        <v>Incomplete</v>
      </c>
    </row>
    <row r="6807" spans="1:17">
      <c r="A6807" s="12">
        <v>46347</v>
      </c>
      <c r="B6807" s="10">
        <v>2</v>
      </c>
      <c r="Q6807" s="10" t="str">
        <f t="shared" si="106"/>
        <v>Incomplete</v>
      </c>
    </row>
    <row r="6808" spans="1:17">
      <c r="A6808" s="12">
        <v>46347</v>
      </c>
      <c r="B6808" s="10">
        <v>3</v>
      </c>
      <c r="Q6808" s="10" t="str">
        <f t="shared" si="106"/>
        <v>Incomplete</v>
      </c>
    </row>
    <row r="6809" spans="1:17">
      <c r="A6809" s="12">
        <v>46347</v>
      </c>
      <c r="B6809" s="10">
        <v>4</v>
      </c>
      <c r="Q6809" s="10" t="str">
        <f t="shared" si="106"/>
        <v>Incomplete</v>
      </c>
    </row>
    <row r="6810" spans="1:17">
      <c r="A6810" s="12">
        <v>46347</v>
      </c>
      <c r="B6810" s="10">
        <v>5</v>
      </c>
      <c r="Q6810" s="10" t="str">
        <f t="shared" si="106"/>
        <v>Incomplete</v>
      </c>
    </row>
    <row r="6811" spans="1:17">
      <c r="A6811" s="12">
        <v>46347</v>
      </c>
      <c r="B6811" s="10">
        <v>6</v>
      </c>
      <c r="Q6811" s="10" t="str">
        <f t="shared" si="106"/>
        <v>Incomplete</v>
      </c>
    </row>
    <row r="6812" spans="1:17">
      <c r="A6812" s="12">
        <v>46347</v>
      </c>
      <c r="B6812" s="10">
        <v>7</v>
      </c>
      <c r="Q6812" s="10" t="str">
        <f t="shared" si="106"/>
        <v>Incomplete</v>
      </c>
    </row>
    <row r="6813" spans="1:17">
      <c r="A6813" s="12">
        <v>46347</v>
      </c>
      <c r="B6813" s="10">
        <v>8</v>
      </c>
      <c r="Q6813" s="10" t="str">
        <f t="shared" si="106"/>
        <v>Incomplete</v>
      </c>
    </row>
    <row r="6814" spans="1:17">
      <c r="A6814" s="12">
        <v>46347</v>
      </c>
      <c r="B6814" s="10">
        <v>9</v>
      </c>
      <c r="Q6814" s="10" t="str">
        <f t="shared" si="106"/>
        <v>Incomplete</v>
      </c>
    </row>
    <row r="6815" spans="1:17">
      <c r="A6815" s="12">
        <v>46347</v>
      </c>
      <c r="B6815" s="10">
        <v>10</v>
      </c>
      <c r="Q6815" s="10" t="str">
        <f t="shared" si="106"/>
        <v>Incomplete</v>
      </c>
    </row>
    <row r="6816" spans="1:17">
      <c r="A6816" s="12">
        <v>46347</v>
      </c>
      <c r="B6816" s="10">
        <v>11</v>
      </c>
      <c r="Q6816" s="10" t="str">
        <f t="shared" si="106"/>
        <v>Incomplete</v>
      </c>
    </row>
    <row r="6817" spans="1:17">
      <c r="A6817" s="12">
        <v>46347</v>
      </c>
      <c r="B6817" s="10">
        <v>12</v>
      </c>
      <c r="Q6817" s="10" t="str">
        <f t="shared" si="106"/>
        <v>Incomplete</v>
      </c>
    </row>
    <row r="6818" spans="1:17">
      <c r="A6818" s="12">
        <v>46347</v>
      </c>
      <c r="B6818" s="10">
        <v>13</v>
      </c>
      <c r="Q6818" s="10" t="str">
        <f t="shared" si="106"/>
        <v>Incomplete</v>
      </c>
    </row>
    <row r="6819" spans="1:17">
      <c r="A6819" s="12">
        <v>46347</v>
      </c>
      <c r="B6819" s="10">
        <v>14</v>
      </c>
      <c r="Q6819" s="10" t="str">
        <f t="shared" si="106"/>
        <v>Incomplete</v>
      </c>
    </row>
    <row r="6820" spans="1:17">
      <c r="A6820" s="12">
        <v>46347</v>
      </c>
      <c r="B6820" s="10">
        <v>15</v>
      </c>
      <c r="Q6820" s="10" t="str">
        <f t="shared" si="106"/>
        <v>Incomplete</v>
      </c>
    </row>
    <row r="6821" spans="1:17">
      <c r="A6821" s="12">
        <v>46347</v>
      </c>
      <c r="B6821" s="10">
        <v>16</v>
      </c>
      <c r="Q6821" s="10" t="str">
        <f t="shared" si="106"/>
        <v>Incomplete</v>
      </c>
    </row>
    <row r="6822" spans="1:17">
      <c r="A6822" s="12">
        <v>46347</v>
      </c>
      <c r="B6822" s="10">
        <v>17</v>
      </c>
      <c r="Q6822" s="10" t="str">
        <f t="shared" si="106"/>
        <v>Incomplete</v>
      </c>
    </row>
    <row r="6823" spans="1:17">
      <c r="A6823" s="12">
        <v>46347</v>
      </c>
      <c r="B6823" s="10">
        <v>18</v>
      </c>
      <c r="Q6823" s="10" t="str">
        <f t="shared" si="106"/>
        <v>Incomplete</v>
      </c>
    </row>
    <row r="6824" spans="1:17">
      <c r="A6824" s="12">
        <v>46347</v>
      </c>
      <c r="B6824" s="10">
        <v>19</v>
      </c>
      <c r="Q6824" s="10" t="str">
        <f t="shared" si="106"/>
        <v>Incomplete</v>
      </c>
    </row>
    <row r="6825" spans="1:17">
      <c r="A6825" s="12">
        <v>46347</v>
      </c>
      <c r="B6825" s="10">
        <v>20</v>
      </c>
      <c r="Q6825" s="10" t="str">
        <f t="shared" si="106"/>
        <v>Incomplete</v>
      </c>
    </row>
    <row r="6826" spans="1:17">
      <c r="A6826" s="12">
        <v>46347</v>
      </c>
      <c r="B6826" s="10">
        <v>21</v>
      </c>
      <c r="Q6826" s="10" t="str">
        <f t="shared" si="106"/>
        <v>Incomplete</v>
      </c>
    </row>
    <row r="6827" spans="1:17">
      <c r="A6827" s="12">
        <v>46348</v>
      </c>
      <c r="B6827" s="10">
        <v>1</v>
      </c>
      <c r="Q6827" s="10" t="str">
        <f t="shared" si="106"/>
        <v>Incomplete</v>
      </c>
    </row>
    <row r="6828" spans="1:17">
      <c r="A6828" s="12">
        <v>46348</v>
      </c>
      <c r="B6828" s="10">
        <v>2</v>
      </c>
      <c r="Q6828" s="10" t="str">
        <f t="shared" si="106"/>
        <v>Incomplete</v>
      </c>
    </row>
    <row r="6829" spans="1:17">
      <c r="A6829" s="12">
        <v>46348</v>
      </c>
      <c r="B6829" s="10">
        <v>3</v>
      </c>
      <c r="Q6829" s="10" t="str">
        <f t="shared" si="106"/>
        <v>Incomplete</v>
      </c>
    </row>
    <row r="6830" spans="1:17">
      <c r="A6830" s="12">
        <v>46348</v>
      </c>
      <c r="B6830" s="10">
        <v>4</v>
      </c>
      <c r="Q6830" s="10" t="str">
        <f t="shared" si="106"/>
        <v>Incomplete</v>
      </c>
    </row>
    <row r="6831" spans="1:17">
      <c r="A6831" s="12">
        <v>46348</v>
      </c>
      <c r="B6831" s="10">
        <v>5</v>
      </c>
      <c r="Q6831" s="10" t="str">
        <f t="shared" si="106"/>
        <v>Incomplete</v>
      </c>
    </row>
    <row r="6832" spans="1:17">
      <c r="A6832" s="12">
        <v>46348</v>
      </c>
      <c r="B6832" s="10">
        <v>6</v>
      </c>
      <c r="Q6832" s="10" t="str">
        <f t="shared" si="106"/>
        <v>Incomplete</v>
      </c>
    </row>
    <row r="6833" spans="1:17">
      <c r="A6833" s="12">
        <v>46348</v>
      </c>
      <c r="B6833" s="10">
        <v>7</v>
      </c>
      <c r="Q6833" s="10" t="str">
        <f t="shared" si="106"/>
        <v>Incomplete</v>
      </c>
    </row>
    <row r="6834" spans="1:17">
      <c r="A6834" s="12">
        <v>46348</v>
      </c>
      <c r="B6834" s="10">
        <v>8</v>
      </c>
      <c r="Q6834" s="10" t="str">
        <f t="shared" si="106"/>
        <v>Incomplete</v>
      </c>
    </row>
    <row r="6835" spans="1:17">
      <c r="A6835" s="12">
        <v>46348</v>
      </c>
      <c r="B6835" s="10">
        <v>9</v>
      </c>
      <c r="Q6835" s="10" t="str">
        <f t="shared" si="106"/>
        <v>Incomplete</v>
      </c>
    </row>
    <row r="6836" spans="1:17">
      <c r="A6836" s="12">
        <v>46348</v>
      </c>
      <c r="B6836" s="10">
        <v>10</v>
      </c>
      <c r="Q6836" s="10" t="str">
        <f t="shared" si="106"/>
        <v>Incomplete</v>
      </c>
    </row>
    <row r="6837" spans="1:17">
      <c r="A6837" s="12">
        <v>46348</v>
      </c>
      <c r="B6837" s="10">
        <v>11</v>
      </c>
      <c r="Q6837" s="10" t="str">
        <f t="shared" si="106"/>
        <v>Incomplete</v>
      </c>
    </row>
    <row r="6838" spans="1:17">
      <c r="A6838" s="12">
        <v>46348</v>
      </c>
      <c r="B6838" s="10">
        <v>12</v>
      </c>
      <c r="Q6838" s="10" t="str">
        <f t="shared" si="106"/>
        <v>Incomplete</v>
      </c>
    </row>
    <row r="6839" spans="1:17">
      <c r="A6839" s="12">
        <v>46348</v>
      </c>
      <c r="B6839" s="10">
        <v>13</v>
      </c>
      <c r="Q6839" s="10" t="str">
        <f t="shared" si="106"/>
        <v>Incomplete</v>
      </c>
    </row>
    <row r="6840" spans="1:17">
      <c r="A6840" s="12">
        <v>46348</v>
      </c>
      <c r="B6840" s="10">
        <v>14</v>
      </c>
      <c r="Q6840" s="10" t="str">
        <f t="shared" si="106"/>
        <v>Incomplete</v>
      </c>
    </row>
    <row r="6841" spans="1:17">
      <c r="A6841" s="12">
        <v>46348</v>
      </c>
      <c r="B6841" s="10">
        <v>15</v>
      </c>
      <c r="Q6841" s="10" t="str">
        <f t="shared" si="106"/>
        <v>Incomplete</v>
      </c>
    </row>
    <row r="6842" spans="1:17">
      <c r="A6842" s="12">
        <v>46348</v>
      </c>
      <c r="B6842" s="10">
        <v>16</v>
      </c>
      <c r="Q6842" s="10" t="str">
        <f t="shared" si="106"/>
        <v>Incomplete</v>
      </c>
    </row>
    <row r="6843" spans="1:17">
      <c r="A6843" s="12">
        <v>46348</v>
      </c>
      <c r="B6843" s="10">
        <v>17</v>
      </c>
      <c r="Q6843" s="10" t="str">
        <f t="shared" si="106"/>
        <v>Incomplete</v>
      </c>
    </row>
    <row r="6844" spans="1:17">
      <c r="A6844" s="12">
        <v>46348</v>
      </c>
      <c r="B6844" s="10">
        <v>18</v>
      </c>
      <c r="Q6844" s="10" t="str">
        <f t="shared" si="106"/>
        <v>Incomplete</v>
      </c>
    </row>
    <row r="6845" spans="1:17">
      <c r="A6845" s="12">
        <v>46348</v>
      </c>
      <c r="B6845" s="10">
        <v>19</v>
      </c>
      <c r="Q6845" s="10" t="str">
        <f t="shared" si="106"/>
        <v>Incomplete</v>
      </c>
    </row>
    <row r="6846" spans="1:17">
      <c r="A6846" s="12">
        <v>46348</v>
      </c>
      <c r="B6846" s="10">
        <v>20</v>
      </c>
      <c r="Q6846" s="10" t="str">
        <f t="shared" si="106"/>
        <v>Incomplete</v>
      </c>
    </row>
    <row r="6847" spans="1:17">
      <c r="A6847" s="12">
        <v>46348</v>
      </c>
      <c r="B6847" s="10">
        <v>21</v>
      </c>
      <c r="Q6847" s="10" t="str">
        <f t="shared" si="106"/>
        <v>Incomplete</v>
      </c>
    </row>
    <row r="6848" spans="1:17">
      <c r="A6848" s="12">
        <v>46349</v>
      </c>
      <c r="B6848" s="10">
        <v>1</v>
      </c>
      <c r="Q6848" s="10" t="str">
        <f t="shared" si="106"/>
        <v>Incomplete</v>
      </c>
    </row>
    <row r="6849" spans="1:17">
      <c r="A6849" s="12">
        <v>46349</v>
      </c>
      <c r="B6849" s="10">
        <v>2</v>
      </c>
      <c r="Q6849" s="10" t="str">
        <f t="shared" si="106"/>
        <v>Incomplete</v>
      </c>
    </row>
    <row r="6850" spans="1:17">
      <c r="A6850" s="12">
        <v>46349</v>
      </c>
      <c r="B6850" s="10">
        <v>3</v>
      </c>
      <c r="Q6850" s="10" t="str">
        <f t="shared" ref="Q6850:Q6913" si="107">IF(AND(C6850&lt;&gt;"",J6850&lt;&gt;"",K6850&lt;&gt;"",L6850&lt;&gt;"",O6850="Yes"),"Complete","Incomplete")</f>
        <v>Incomplete</v>
      </c>
    </row>
    <row r="6851" spans="1:17">
      <c r="A6851" s="12">
        <v>46349</v>
      </c>
      <c r="B6851" s="10">
        <v>4</v>
      </c>
      <c r="Q6851" s="10" t="str">
        <f t="shared" si="107"/>
        <v>Incomplete</v>
      </c>
    </row>
    <row r="6852" spans="1:17">
      <c r="A6852" s="12">
        <v>46349</v>
      </c>
      <c r="B6852" s="10">
        <v>5</v>
      </c>
      <c r="Q6852" s="10" t="str">
        <f t="shared" si="107"/>
        <v>Incomplete</v>
      </c>
    </row>
    <row r="6853" spans="1:17">
      <c r="A6853" s="12">
        <v>46349</v>
      </c>
      <c r="B6853" s="10">
        <v>6</v>
      </c>
      <c r="Q6853" s="10" t="str">
        <f t="shared" si="107"/>
        <v>Incomplete</v>
      </c>
    </row>
    <row r="6854" spans="1:17">
      <c r="A6854" s="12">
        <v>46349</v>
      </c>
      <c r="B6854" s="10">
        <v>7</v>
      </c>
      <c r="Q6854" s="10" t="str">
        <f t="shared" si="107"/>
        <v>Incomplete</v>
      </c>
    </row>
    <row r="6855" spans="1:17">
      <c r="A6855" s="12">
        <v>46349</v>
      </c>
      <c r="B6855" s="10">
        <v>8</v>
      </c>
      <c r="Q6855" s="10" t="str">
        <f t="shared" si="107"/>
        <v>Incomplete</v>
      </c>
    </row>
    <row r="6856" spans="1:17">
      <c r="A6856" s="12">
        <v>46349</v>
      </c>
      <c r="B6856" s="10">
        <v>9</v>
      </c>
      <c r="Q6856" s="10" t="str">
        <f t="shared" si="107"/>
        <v>Incomplete</v>
      </c>
    </row>
    <row r="6857" spans="1:17">
      <c r="A6857" s="12">
        <v>46349</v>
      </c>
      <c r="B6857" s="10">
        <v>10</v>
      </c>
      <c r="Q6857" s="10" t="str">
        <f t="shared" si="107"/>
        <v>Incomplete</v>
      </c>
    </row>
    <row r="6858" spans="1:17">
      <c r="A6858" s="12">
        <v>46349</v>
      </c>
      <c r="B6858" s="10">
        <v>11</v>
      </c>
      <c r="Q6858" s="10" t="str">
        <f t="shared" si="107"/>
        <v>Incomplete</v>
      </c>
    </row>
    <row r="6859" spans="1:17">
      <c r="A6859" s="12">
        <v>46349</v>
      </c>
      <c r="B6859" s="10">
        <v>12</v>
      </c>
      <c r="Q6859" s="10" t="str">
        <f t="shared" si="107"/>
        <v>Incomplete</v>
      </c>
    </row>
    <row r="6860" spans="1:17">
      <c r="A6860" s="12">
        <v>46349</v>
      </c>
      <c r="B6860" s="10">
        <v>13</v>
      </c>
      <c r="Q6860" s="10" t="str">
        <f t="shared" si="107"/>
        <v>Incomplete</v>
      </c>
    </row>
    <row r="6861" spans="1:17">
      <c r="A6861" s="12">
        <v>46349</v>
      </c>
      <c r="B6861" s="10">
        <v>14</v>
      </c>
      <c r="Q6861" s="10" t="str">
        <f t="shared" si="107"/>
        <v>Incomplete</v>
      </c>
    </row>
    <row r="6862" spans="1:17">
      <c r="A6862" s="12">
        <v>46349</v>
      </c>
      <c r="B6862" s="10">
        <v>15</v>
      </c>
      <c r="Q6862" s="10" t="str">
        <f t="shared" si="107"/>
        <v>Incomplete</v>
      </c>
    </row>
    <row r="6863" spans="1:17">
      <c r="A6863" s="12">
        <v>46349</v>
      </c>
      <c r="B6863" s="10">
        <v>16</v>
      </c>
      <c r="Q6863" s="10" t="str">
        <f t="shared" si="107"/>
        <v>Incomplete</v>
      </c>
    </row>
    <row r="6864" spans="1:17">
      <c r="A6864" s="12">
        <v>46349</v>
      </c>
      <c r="B6864" s="10">
        <v>17</v>
      </c>
      <c r="Q6864" s="10" t="str">
        <f t="shared" si="107"/>
        <v>Incomplete</v>
      </c>
    </row>
    <row r="6865" spans="1:17">
      <c r="A6865" s="12">
        <v>46349</v>
      </c>
      <c r="B6865" s="10">
        <v>18</v>
      </c>
      <c r="Q6865" s="10" t="str">
        <f t="shared" si="107"/>
        <v>Incomplete</v>
      </c>
    </row>
    <row r="6866" spans="1:17">
      <c r="A6866" s="12">
        <v>46349</v>
      </c>
      <c r="B6866" s="10">
        <v>19</v>
      </c>
      <c r="Q6866" s="10" t="str">
        <f t="shared" si="107"/>
        <v>Incomplete</v>
      </c>
    </row>
    <row r="6867" spans="1:17">
      <c r="A6867" s="12">
        <v>46349</v>
      </c>
      <c r="B6867" s="10">
        <v>20</v>
      </c>
      <c r="Q6867" s="10" t="str">
        <f t="shared" si="107"/>
        <v>Incomplete</v>
      </c>
    </row>
    <row r="6868" spans="1:17">
      <c r="A6868" s="12">
        <v>46349</v>
      </c>
      <c r="B6868" s="10">
        <v>21</v>
      </c>
      <c r="Q6868" s="10" t="str">
        <f t="shared" si="107"/>
        <v>Incomplete</v>
      </c>
    </row>
    <row r="6869" spans="1:17">
      <c r="A6869" s="12">
        <v>46350</v>
      </c>
      <c r="B6869" s="10">
        <v>1</v>
      </c>
      <c r="Q6869" s="10" t="str">
        <f t="shared" si="107"/>
        <v>Incomplete</v>
      </c>
    </row>
    <row r="6870" spans="1:17">
      <c r="A6870" s="12">
        <v>46350</v>
      </c>
      <c r="B6870" s="10">
        <v>2</v>
      </c>
      <c r="Q6870" s="10" t="str">
        <f t="shared" si="107"/>
        <v>Incomplete</v>
      </c>
    </row>
    <row r="6871" spans="1:17">
      <c r="A6871" s="12">
        <v>46350</v>
      </c>
      <c r="B6871" s="10">
        <v>3</v>
      </c>
      <c r="Q6871" s="10" t="str">
        <f t="shared" si="107"/>
        <v>Incomplete</v>
      </c>
    </row>
    <row r="6872" spans="1:17">
      <c r="A6872" s="12">
        <v>46350</v>
      </c>
      <c r="B6872" s="10">
        <v>4</v>
      </c>
      <c r="Q6872" s="10" t="str">
        <f t="shared" si="107"/>
        <v>Incomplete</v>
      </c>
    </row>
    <row r="6873" spans="1:17">
      <c r="A6873" s="12">
        <v>46350</v>
      </c>
      <c r="B6873" s="10">
        <v>5</v>
      </c>
      <c r="Q6873" s="10" t="str">
        <f t="shared" si="107"/>
        <v>Incomplete</v>
      </c>
    </row>
    <row r="6874" spans="1:17">
      <c r="A6874" s="12">
        <v>46350</v>
      </c>
      <c r="B6874" s="10">
        <v>6</v>
      </c>
      <c r="Q6874" s="10" t="str">
        <f t="shared" si="107"/>
        <v>Incomplete</v>
      </c>
    </row>
    <row r="6875" spans="1:17">
      <c r="A6875" s="12">
        <v>46350</v>
      </c>
      <c r="B6875" s="10">
        <v>7</v>
      </c>
      <c r="Q6875" s="10" t="str">
        <f t="shared" si="107"/>
        <v>Incomplete</v>
      </c>
    </row>
    <row r="6876" spans="1:17">
      <c r="A6876" s="12">
        <v>46350</v>
      </c>
      <c r="B6876" s="10">
        <v>8</v>
      </c>
      <c r="Q6876" s="10" t="str">
        <f t="shared" si="107"/>
        <v>Incomplete</v>
      </c>
    </row>
    <row r="6877" spans="1:17">
      <c r="A6877" s="12">
        <v>46350</v>
      </c>
      <c r="B6877" s="10">
        <v>9</v>
      </c>
      <c r="Q6877" s="10" t="str">
        <f t="shared" si="107"/>
        <v>Incomplete</v>
      </c>
    </row>
    <row r="6878" spans="1:17">
      <c r="A6878" s="12">
        <v>46350</v>
      </c>
      <c r="B6878" s="10">
        <v>10</v>
      </c>
      <c r="Q6878" s="10" t="str">
        <f t="shared" si="107"/>
        <v>Incomplete</v>
      </c>
    </row>
    <row r="6879" spans="1:17">
      <c r="A6879" s="12">
        <v>46350</v>
      </c>
      <c r="B6879" s="10">
        <v>11</v>
      </c>
      <c r="Q6879" s="10" t="str">
        <f t="shared" si="107"/>
        <v>Incomplete</v>
      </c>
    </row>
    <row r="6880" spans="1:17">
      <c r="A6880" s="12">
        <v>46350</v>
      </c>
      <c r="B6880" s="10">
        <v>12</v>
      </c>
      <c r="Q6880" s="10" t="str">
        <f t="shared" si="107"/>
        <v>Incomplete</v>
      </c>
    </row>
    <row r="6881" spans="1:17">
      <c r="A6881" s="12">
        <v>46350</v>
      </c>
      <c r="B6881" s="10">
        <v>13</v>
      </c>
      <c r="Q6881" s="10" t="str">
        <f t="shared" si="107"/>
        <v>Incomplete</v>
      </c>
    </row>
    <row r="6882" spans="1:17">
      <c r="A6882" s="12">
        <v>46350</v>
      </c>
      <c r="B6882" s="10">
        <v>14</v>
      </c>
      <c r="Q6882" s="10" t="str">
        <f t="shared" si="107"/>
        <v>Incomplete</v>
      </c>
    </row>
    <row r="6883" spans="1:17">
      <c r="A6883" s="12">
        <v>46350</v>
      </c>
      <c r="B6883" s="10">
        <v>15</v>
      </c>
      <c r="Q6883" s="10" t="str">
        <f t="shared" si="107"/>
        <v>Incomplete</v>
      </c>
    </row>
    <row r="6884" spans="1:17">
      <c r="A6884" s="12">
        <v>46350</v>
      </c>
      <c r="B6884" s="10">
        <v>16</v>
      </c>
      <c r="Q6884" s="10" t="str">
        <f t="shared" si="107"/>
        <v>Incomplete</v>
      </c>
    </row>
    <row r="6885" spans="1:17">
      <c r="A6885" s="12">
        <v>46350</v>
      </c>
      <c r="B6885" s="10">
        <v>17</v>
      </c>
      <c r="Q6885" s="10" t="str">
        <f t="shared" si="107"/>
        <v>Incomplete</v>
      </c>
    </row>
    <row r="6886" spans="1:17">
      <c r="A6886" s="12">
        <v>46350</v>
      </c>
      <c r="B6886" s="10">
        <v>18</v>
      </c>
      <c r="Q6886" s="10" t="str">
        <f t="shared" si="107"/>
        <v>Incomplete</v>
      </c>
    </row>
    <row r="6887" spans="1:17">
      <c r="A6887" s="12">
        <v>46350</v>
      </c>
      <c r="B6887" s="10">
        <v>19</v>
      </c>
      <c r="Q6887" s="10" t="str">
        <f t="shared" si="107"/>
        <v>Incomplete</v>
      </c>
    </row>
    <row r="6888" spans="1:17">
      <c r="A6888" s="12">
        <v>46350</v>
      </c>
      <c r="B6888" s="10">
        <v>20</v>
      </c>
      <c r="Q6888" s="10" t="str">
        <f t="shared" si="107"/>
        <v>Incomplete</v>
      </c>
    </row>
    <row r="6889" spans="1:17">
      <c r="A6889" s="12">
        <v>46350</v>
      </c>
      <c r="B6889" s="10">
        <v>21</v>
      </c>
      <c r="Q6889" s="10" t="str">
        <f t="shared" si="107"/>
        <v>Incomplete</v>
      </c>
    </row>
    <row r="6890" spans="1:17">
      <c r="A6890" s="12">
        <v>46351</v>
      </c>
      <c r="B6890" s="10">
        <v>1</v>
      </c>
      <c r="Q6890" s="10" t="str">
        <f t="shared" si="107"/>
        <v>Incomplete</v>
      </c>
    </row>
    <row r="6891" spans="1:17">
      <c r="A6891" s="12">
        <v>46351</v>
      </c>
      <c r="B6891" s="10">
        <v>2</v>
      </c>
      <c r="Q6891" s="10" t="str">
        <f t="shared" si="107"/>
        <v>Incomplete</v>
      </c>
    </row>
    <row r="6892" spans="1:17">
      <c r="A6892" s="12">
        <v>46351</v>
      </c>
      <c r="B6892" s="10">
        <v>3</v>
      </c>
      <c r="Q6892" s="10" t="str">
        <f t="shared" si="107"/>
        <v>Incomplete</v>
      </c>
    </row>
    <row r="6893" spans="1:17">
      <c r="A6893" s="12">
        <v>46351</v>
      </c>
      <c r="B6893" s="10">
        <v>4</v>
      </c>
      <c r="Q6893" s="10" t="str">
        <f t="shared" si="107"/>
        <v>Incomplete</v>
      </c>
    </row>
    <row r="6894" spans="1:17">
      <c r="A6894" s="12">
        <v>46351</v>
      </c>
      <c r="B6894" s="10">
        <v>5</v>
      </c>
      <c r="Q6894" s="10" t="str">
        <f t="shared" si="107"/>
        <v>Incomplete</v>
      </c>
    </row>
    <row r="6895" spans="1:17">
      <c r="A6895" s="12">
        <v>46351</v>
      </c>
      <c r="B6895" s="10">
        <v>6</v>
      </c>
      <c r="Q6895" s="10" t="str">
        <f t="shared" si="107"/>
        <v>Incomplete</v>
      </c>
    </row>
    <row r="6896" spans="1:17">
      <c r="A6896" s="12">
        <v>46351</v>
      </c>
      <c r="B6896" s="10">
        <v>7</v>
      </c>
      <c r="Q6896" s="10" t="str">
        <f t="shared" si="107"/>
        <v>Incomplete</v>
      </c>
    </row>
    <row r="6897" spans="1:17">
      <c r="A6897" s="12">
        <v>46351</v>
      </c>
      <c r="B6897" s="10">
        <v>8</v>
      </c>
      <c r="Q6897" s="10" t="str">
        <f t="shared" si="107"/>
        <v>Incomplete</v>
      </c>
    </row>
    <row r="6898" spans="1:17">
      <c r="A6898" s="12">
        <v>46351</v>
      </c>
      <c r="B6898" s="10">
        <v>9</v>
      </c>
      <c r="Q6898" s="10" t="str">
        <f t="shared" si="107"/>
        <v>Incomplete</v>
      </c>
    </row>
    <row r="6899" spans="1:17">
      <c r="A6899" s="12">
        <v>46351</v>
      </c>
      <c r="B6899" s="10">
        <v>10</v>
      </c>
      <c r="Q6899" s="10" t="str">
        <f t="shared" si="107"/>
        <v>Incomplete</v>
      </c>
    </row>
    <row r="6900" spans="1:17">
      <c r="A6900" s="12">
        <v>46351</v>
      </c>
      <c r="B6900" s="10">
        <v>11</v>
      </c>
      <c r="Q6900" s="10" t="str">
        <f t="shared" si="107"/>
        <v>Incomplete</v>
      </c>
    </row>
    <row r="6901" spans="1:17">
      <c r="A6901" s="12">
        <v>46351</v>
      </c>
      <c r="B6901" s="10">
        <v>12</v>
      </c>
      <c r="Q6901" s="10" t="str">
        <f t="shared" si="107"/>
        <v>Incomplete</v>
      </c>
    </row>
    <row r="6902" spans="1:17">
      <c r="A6902" s="12">
        <v>46351</v>
      </c>
      <c r="B6902" s="10">
        <v>13</v>
      </c>
      <c r="Q6902" s="10" t="str">
        <f t="shared" si="107"/>
        <v>Incomplete</v>
      </c>
    </row>
    <row r="6903" spans="1:17">
      <c r="A6903" s="12">
        <v>46351</v>
      </c>
      <c r="B6903" s="10">
        <v>14</v>
      </c>
      <c r="Q6903" s="10" t="str">
        <f t="shared" si="107"/>
        <v>Incomplete</v>
      </c>
    </row>
    <row r="6904" spans="1:17">
      <c r="A6904" s="12">
        <v>46351</v>
      </c>
      <c r="B6904" s="10">
        <v>15</v>
      </c>
      <c r="Q6904" s="10" t="str">
        <f t="shared" si="107"/>
        <v>Incomplete</v>
      </c>
    </row>
    <row r="6905" spans="1:17">
      <c r="A6905" s="12">
        <v>46351</v>
      </c>
      <c r="B6905" s="10">
        <v>16</v>
      </c>
      <c r="Q6905" s="10" t="str">
        <f t="shared" si="107"/>
        <v>Incomplete</v>
      </c>
    </row>
    <row r="6906" spans="1:17">
      <c r="A6906" s="12">
        <v>46351</v>
      </c>
      <c r="B6906" s="10">
        <v>17</v>
      </c>
      <c r="Q6906" s="10" t="str">
        <f t="shared" si="107"/>
        <v>Incomplete</v>
      </c>
    </row>
    <row r="6907" spans="1:17">
      <c r="A6907" s="12">
        <v>46351</v>
      </c>
      <c r="B6907" s="10">
        <v>18</v>
      </c>
      <c r="Q6907" s="10" t="str">
        <f t="shared" si="107"/>
        <v>Incomplete</v>
      </c>
    </row>
    <row r="6908" spans="1:17">
      <c r="A6908" s="12">
        <v>46351</v>
      </c>
      <c r="B6908" s="10">
        <v>19</v>
      </c>
      <c r="Q6908" s="10" t="str">
        <f t="shared" si="107"/>
        <v>Incomplete</v>
      </c>
    </row>
    <row r="6909" spans="1:17">
      <c r="A6909" s="12">
        <v>46351</v>
      </c>
      <c r="B6909" s="10">
        <v>20</v>
      </c>
      <c r="Q6909" s="10" t="str">
        <f t="shared" si="107"/>
        <v>Incomplete</v>
      </c>
    </row>
    <row r="6910" spans="1:17">
      <c r="A6910" s="12">
        <v>46351</v>
      </c>
      <c r="B6910" s="10">
        <v>21</v>
      </c>
      <c r="Q6910" s="10" t="str">
        <f t="shared" si="107"/>
        <v>Incomplete</v>
      </c>
    </row>
    <row r="6911" spans="1:17">
      <c r="A6911" s="12">
        <v>46352</v>
      </c>
      <c r="B6911" s="10">
        <v>1</v>
      </c>
      <c r="Q6911" s="10" t="str">
        <f t="shared" si="107"/>
        <v>Incomplete</v>
      </c>
    </row>
    <row r="6912" spans="1:17">
      <c r="A6912" s="12">
        <v>46352</v>
      </c>
      <c r="B6912" s="10">
        <v>2</v>
      </c>
      <c r="Q6912" s="10" t="str">
        <f t="shared" si="107"/>
        <v>Incomplete</v>
      </c>
    </row>
    <row r="6913" spans="1:17">
      <c r="A6913" s="12">
        <v>46352</v>
      </c>
      <c r="B6913" s="10">
        <v>3</v>
      </c>
      <c r="Q6913" s="10" t="str">
        <f t="shared" si="107"/>
        <v>Incomplete</v>
      </c>
    </row>
    <row r="6914" spans="1:17">
      <c r="A6914" s="12">
        <v>46352</v>
      </c>
      <c r="B6914" s="10">
        <v>4</v>
      </c>
      <c r="Q6914" s="10" t="str">
        <f t="shared" ref="Q6914:Q6977" si="108">IF(AND(C6914&lt;&gt;"",J6914&lt;&gt;"",K6914&lt;&gt;"",L6914&lt;&gt;"",O6914="Yes"),"Complete","Incomplete")</f>
        <v>Incomplete</v>
      </c>
    </row>
    <row r="6915" spans="1:17">
      <c r="A6915" s="12">
        <v>46352</v>
      </c>
      <c r="B6915" s="10">
        <v>5</v>
      </c>
      <c r="Q6915" s="10" t="str">
        <f t="shared" si="108"/>
        <v>Incomplete</v>
      </c>
    </row>
    <row r="6916" spans="1:17">
      <c r="A6916" s="12">
        <v>46352</v>
      </c>
      <c r="B6916" s="10">
        <v>6</v>
      </c>
      <c r="Q6916" s="10" t="str">
        <f t="shared" si="108"/>
        <v>Incomplete</v>
      </c>
    </row>
    <row r="6917" spans="1:17">
      <c r="A6917" s="12">
        <v>46352</v>
      </c>
      <c r="B6917" s="10">
        <v>7</v>
      </c>
      <c r="Q6917" s="10" t="str">
        <f t="shared" si="108"/>
        <v>Incomplete</v>
      </c>
    </row>
    <row r="6918" spans="1:17">
      <c r="A6918" s="12">
        <v>46352</v>
      </c>
      <c r="B6918" s="10">
        <v>8</v>
      </c>
      <c r="Q6918" s="10" t="str">
        <f t="shared" si="108"/>
        <v>Incomplete</v>
      </c>
    </row>
    <row r="6919" spans="1:17">
      <c r="A6919" s="12">
        <v>46352</v>
      </c>
      <c r="B6919" s="10">
        <v>9</v>
      </c>
      <c r="Q6919" s="10" t="str">
        <f t="shared" si="108"/>
        <v>Incomplete</v>
      </c>
    </row>
    <row r="6920" spans="1:17">
      <c r="A6920" s="12">
        <v>46352</v>
      </c>
      <c r="B6920" s="10">
        <v>10</v>
      </c>
      <c r="Q6920" s="10" t="str">
        <f t="shared" si="108"/>
        <v>Incomplete</v>
      </c>
    </row>
    <row r="6921" spans="1:17">
      <c r="A6921" s="12">
        <v>46352</v>
      </c>
      <c r="B6921" s="10">
        <v>11</v>
      </c>
      <c r="Q6921" s="10" t="str">
        <f t="shared" si="108"/>
        <v>Incomplete</v>
      </c>
    </row>
    <row r="6922" spans="1:17">
      <c r="A6922" s="12">
        <v>46352</v>
      </c>
      <c r="B6922" s="10">
        <v>12</v>
      </c>
      <c r="Q6922" s="10" t="str">
        <f t="shared" si="108"/>
        <v>Incomplete</v>
      </c>
    </row>
    <row r="6923" spans="1:17">
      <c r="A6923" s="12">
        <v>46352</v>
      </c>
      <c r="B6923" s="10">
        <v>13</v>
      </c>
      <c r="Q6923" s="10" t="str">
        <f t="shared" si="108"/>
        <v>Incomplete</v>
      </c>
    </row>
    <row r="6924" spans="1:17">
      <c r="A6924" s="12">
        <v>46352</v>
      </c>
      <c r="B6924" s="10">
        <v>14</v>
      </c>
      <c r="Q6924" s="10" t="str">
        <f t="shared" si="108"/>
        <v>Incomplete</v>
      </c>
    </row>
    <row r="6925" spans="1:17">
      <c r="A6925" s="12">
        <v>46352</v>
      </c>
      <c r="B6925" s="10">
        <v>15</v>
      </c>
      <c r="Q6925" s="10" t="str">
        <f t="shared" si="108"/>
        <v>Incomplete</v>
      </c>
    </row>
    <row r="6926" spans="1:17">
      <c r="A6926" s="12">
        <v>46352</v>
      </c>
      <c r="B6926" s="10">
        <v>16</v>
      </c>
      <c r="Q6926" s="10" t="str">
        <f t="shared" si="108"/>
        <v>Incomplete</v>
      </c>
    </row>
    <row r="6927" spans="1:17">
      <c r="A6927" s="12">
        <v>46352</v>
      </c>
      <c r="B6927" s="10">
        <v>17</v>
      </c>
      <c r="Q6927" s="10" t="str">
        <f t="shared" si="108"/>
        <v>Incomplete</v>
      </c>
    </row>
    <row r="6928" spans="1:17">
      <c r="A6928" s="12">
        <v>46352</v>
      </c>
      <c r="B6928" s="10">
        <v>18</v>
      </c>
      <c r="Q6928" s="10" t="str">
        <f t="shared" si="108"/>
        <v>Incomplete</v>
      </c>
    </row>
    <row r="6929" spans="1:17">
      <c r="A6929" s="12">
        <v>46352</v>
      </c>
      <c r="B6929" s="10">
        <v>19</v>
      </c>
      <c r="Q6929" s="10" t="str">
        <f t="shared" si="108"/>
        <v>Incomplete</v>
      </c>
    </row>
    <row r="6930" spans="1:17">
      <c r="A6930" s="12">
        <v>46352</v>
      </c>
      <c r="B6930" s="10">
        <v>20</v>
      </c>
      <c r="Q6930" s="10" t="str">
        <f t="shared" si="108"/>
        <v>Incomplete</v>
      </c>
    </row>
    <row r="6931" spans="1:17">
      <c r="A6931" s="12">
        <v>46352</v>
      </c>
      <c r="B6931" s="10">
        <v>21</v>
      </c>
      <c r="Q6931" s="10" t="str">
        <f t="shared" si="108"/>
        <v>Incomplete</v>
      </c>
    </row>
    <row r="6932" spans="1:17">
      <c r="A6932" s="12">
        <v>46353</v>
      </c>
      <c r="B6932" s="10">
        <v>1</v>
      </c>
      <c r="Q6932" s="10" t="str">
        <f t="shared" si="108"/>
        <v>Incomplete</v>
      </c>
    </row>
    <row r="6933" spans="1:17">
      <c r="A6933" s="12">
        <v>46353</v>
      </c>
      <c r="B6933" s="10">
        <v>2</v>
      </c>
      <c r="Q6933" s="10" t="str">
        <f t="shared" si="108"/>
        <v>Incomplete</v>
      </c>
    </row>
    <row r="6934" spans="1:17">
      <c r="A6934" s="12">
        <v>46353</v>
      </c>
      <c r="B6934" s="10">
        <v>3</v>
      </c>
      <c r="Q6934" s="10" t="str">
        <f t="shared" si="108"/>
        <v>Incomplete</v>
      </c>
    </row>
    <row r="6935" spans="1:17">
      <c r="A6935" s="12">
        <v>46353</v>
      </c>
      <c r="B6935" s="10">
        <v>4</v>
      </c>
      <c r="Q6935" s="10" t="str">
        <f t="shared" si="108"/>
        <v>Incomplete</v>
      </c>
    </row>
    <row r="6936" spans="1:17">
      <c r="A6936" s="12">
        <v>46353</v>
      </c>
      <c r="B6936" s="10">
        <v>5</v>
      </c>
      <c r="Q6936" s="10" t="str">
        <f t="shared" si="108"/>
        <v>Incomplete</v>
      </c>
    </row>
    <row r="6937" spans="1:17">
      <c r="A6937" s="12">
        <v>46353</v>
      </c>
      <c r="B6937" s="10">
        <v>6</v>
      </c>
      <c r="Q6937" s="10" t="str">
        <f t="shared" si="108"/>
        <v>Incomplete</v>
      </c>
    </row>
    <row r="6938" spans="1:17">
      <c r="A6938" s="12">
        <v>46353</v>
      </c>
      <c r="B6938" s="10">
        <v>7</v>
      </c>
      <c r="Q6938" s="10" t="str">
        <f t="shared" si="108"/>
        <v>Incomplete</v>
      </c>
    </row>
    <row r="6939" spans="1:17">
      <c r="A6939" s="12">
        <v>46353</v>
      </c>
      <c r="B6939" s="10">
        <v>8</v>
      </c>
      <c r="Q6939" s="10" t="str">
        <f t="shared" si="108"/>
        <v>Incomplete</v>
      </c>
    </row>
    <row r="6940" spans="1:17">
      <c r="A6940" s="12">
        <v>46353</v>
      </c>
      <c r="B6940" s="10">
        <v>9</v>
      </c>
      <c r="Q6940" s="10" t="str">
        <f t="shared" si="108"/>
        <v>Incomplete</v>
      </c>
    </row>
    <row r="6941" spans="1:17">
      <c r="A6941" s="12">
        <v>46353</v>
      </c>
      <c r="B6941" s="10">
        <v>10</v>
      </c>
      <c r="Q6941" s="10" t="str">
        <f t="shared" si="108"/>
        <v>Incomplete</v>
      </c>
    </row>
    <row r="6942" spans="1:17">
      <c r="A6942" s="12">
        <v>46353</v>
      </c>
      <c r="B6942" s="10">
        <v>11</v>
      </c>
      <c r="Q6942" s="10" t="str">
        <f t="shared" si="108"/>
        <v>Incomplete</v>
      </c>
    </row>
    <row r="6943" spans="1:17">
      <c r="A6943" s="12">
        <v>46353</v>
      </c>
      <c r="B6943" s="10">
        <v>12</v>
      </c>
      <c r="Q6943" s="10" t="str">
        <f t="shared" si="108"/>
        <v>Incomplete</v>
      </c>
    </row>
    <row r="6944" spans="1:17">
      <c r="A6944" s="12">
        <v>46353</v>
      </c>
      <c r="B6944" s="10">
        <v>13</v>
      </c>
      <c r="Q6944" s="10" t="str">
        <f t="shared" si="108"/>
        <v>Incomplete</v>
      </c>
    </row>
    <row r="6945" spans="1:17">
      <c r="A6945" s="12">
        <v>46353</v>
      </c>
      <c r="B6945" s="10">
        <v>14</v>
      </c>
      <c r="Q6945" s="10" t="str">
        <f t="shared" si="108"/>
        <v>Incomplete</v>
      </c>
    </row>
    <row r="6946" spans="1:17">
      <c r="A6946" s="12">
        <v>46353</v>
      </c>
      <c r="B6946" s="10">
        <v>15</v>
      </c>
      <c r="Q6946" s="10" t="str">
        <f t="shared" si="108"/>
        <v>Incomplete</v>
      </c>
    </row>
    <row r="6947" spans="1:17">
      <c r="A6947" s="12">
        <v>46353</v>
      </c>
      <c r="B6947" s="10">
        <v>16</v>
      </c>
      <c r="Q6947" s="10" t="str">
        <f t="shared" si="108"/>
        <v>Incomplete</v>
      </c>
    </row>
    <row r="6948" spans="1:17">
      <c r="A6948" s="12">
        <v>46353</v>
      </c>
      <c r="B6948" s="10">
        <v>17</v>
      </c>
      <c r="Q6948" s="10" t="str">
        <f t="shared" si="108"/>
        <v>Incomplete</v>
      </c>
    </row>
    <row r="6949" spans="1:17">
      <c r="A6949" s="12">
        <v>46353</v>
      </c>
      <c r="B6949" s="10">
        <v>18</v>
      </c>
      <c r="Q6949" s="10" t="str">
        <f t="shared" si="108"/>
        <v>Incomplete</v>
      </c>
    </row>
    <row r="6950" spans="1:17">
      <c r="A6950" s="12">
        <v>46353</v>
      </c>
      <c r="B6950" s="10">
        <v>19</v>
      </c>
      <c r="Q6950" s="10" t="str">
        <f t="shared" si="108"/>
        <v>Incomplete</v>
      </c>
    </row>
    <row r="6951" spans="1:17">
      <c r="A6951" s="12">
        <v>46353</v>
      </c>
      <c r="B6951" s="10">
        <v>20</v>
      </c>
      <c r="Q6951" s="10" t="str">
        <f t="shared" si="108"/>
        <v>Incomplete</v>
      </c>
    </row>
    <row r="6952" spans="1:17">
      <c r="A6952" s="12">
        <v>46353</v>
      </c>
      <c r="B6952" s="10">
        <v>21</v>
      </c>
      <c r="Q6952" s="10" t="str">
        <f t="shared" si="108"/>
        <v>Incomplete</v>
      </c>
    </row>
    <row r="6953" spans="1:17">
      <c r="A6953" s="12">
        <v>46354</v>
      </c>
      <c r="B6953" s="10">
        <v>1</v>
      </c>
      <c r="Q6953" s="10" t="str">
        <f t="shared" si="108"/>
        <v>Incomplete</v>
      </c>
    </row>
    <row r="6954" spans="1:17">
      <c r="A6954" s="12">
        <v>46354</v>
      </c>
      <c r="B6954" s="10">
        <v>2</v>
      </c>
      <c r="Q6954" s="10" t="str">
        <f t="shared" si="108"/>
        <v>Incomplete</v>
      </c>
    </row>
    <row r="6955" spans="1:17">
      <c r="A6955" s="12">
        <v>46354</v>
      </c>
      <c r="B6955" s="10">
        <v>3</v>
      </c>
      <c r="Q6955" s="10" t="str">
        <f t="shared" si="108"/>
        <v>Incomplete</v>
      </c>
    </row>
    <row r="6956" spans="1:17">
      <c r="A6956" s="12">
        <v>46354</v>
      </c>
      <c r="B6956" s="10">
        <v>4</v>
      </c>
      <c r="Q6956" s="10" t="str">
        <f t="shared" si="108"/>
        <v>Incomplete</v>
      </c>
    </row>
    <row r="6957" spans="1:17">
      <c r="A6957" s="12">
        <v>46354</v>
      </c>
      <c r="B6957" s="10">
        <v>5</v>
      </c>
      <c r="Q6957" s="10" t="str">
        <f t="shared" si="108"/>
        <v>Incomplete</v>
      </c>
    </row>
    <row r="6958" spans="1:17">
      <c r="A6958" s="12">
        <v>46354</v>
      </c>
      <c r="B6958" s="10">
        <v>6</v>
      </c>
      <c r="Q6958" s="10" t="str">
        <f t="shared" si="108"/>
        <v>Incomplete</v>
      </c>
    </row>
    <row r="6959" spans="1:17">
      <c r="A6959" s="12">
        <v>46354</v>
      </c>
      <c r="B6959" s="10">
        <v>7</v>
      </c>
      <c r="Q6959" s="10" t="str">
        <f t="shared" si="108"/>
        <v>Incomplete</v>
      </c>
    </row>
    <row r="6960" spans="1:17">
      <c r="A6960" s="12">
        <v>46354</v>
      </c>
      <c r="B6960" s="10">
        <v>8</v>
      </c>
      <c r="Q6960" s="10" t="str">
        <f t="shared" si="108"/>
        <v>Incomplete</v>
      </c>
    </row>
    <row r="6961" spans="1:17">
      <c r="A6961" s="12">
        <v>46354</v>
      </c>
      <c r="B6961" s="10">
        <v>9</v>
      </c>
      <c r="Q6961" s="10" t="str">
        <f t="shared" si="108"/>
        <v>Incomplete</v>
      </c>
    </row>
    <row r="6962" spans="1:17">
      <c r="A6962" s="12">
        <v>46354</v>
      </c>
      <c r="B6962" s="10">
        <v>10</v>
      </c>
      <c r="Q6962" s="10" t="str">
        <f t="shared" si="108"/>
        <v>Incomplete</v>
      </c>
    </row>
    <row r="6963" spans="1:17">
      <c r="A6963" s="12">
        <v>46354</v>
      </c>
      <c r="B6963" s="10">
        <v>11</v>
      </c>
      <c r="Q6963" s="10" t="str">
        <f t="shared" si="108"/>
        <v>Incomplete</v>
      </c>
    </row>
    <row r="6964" spans="1:17">
      <c r="A6964" s="12">
        <v>46354</v>
      </c>
      <c r="B6964" s="10">
        <v>12</v>
      </c>
      <c r="Q6964" s="10" t="str">
        <f t="shared" si="108"/>
        <v>Incomplete</v>
      </c>
    </row>
    <row r="6965" spans="1:17">
      <c r="A6965" s="12">
        <v>46354</v>
      </c>
      <c r="B6965" s="10">
        <v>13</v>
      </c>
      <c r="Q6965" s="10" t="str">
        <f t="shared" si="108"/>
        <v>Incomplete</v>
      </c>
    </row>
    <row r="6966" spans="1:17">
      <c r="A6966" s="12">
        <v>46354</v>
      </c>
      <c r="B6966" s="10">
        <v>14</v>
      </c>
      <c r="Q6966" s="10" t="str">
        <f t="shared" si="108"/>
        <v>Incomplete</v>
      </c>
    </row>
    <row r="6967" spans="1:17">
      <c r="A6967" s="12">
        <v>46354</v>
      </c>
      <c r="B6967" s="10">
        <v>15</v>
      </c>
      <c r="Q6967" s="10" t="str">
        <f t="shared" si="108"/>
        <v>Incomplete</v>
      </c>
    </row>
    <row r="6968" spans="1:17">
      <c r="A6968" s="12">
        <v>46354</v>
      </c>
      <c r="B6968" s="10">
        <v>16</v>
      </c>
      <c r="Q6968" s="10" t="str">
        <f t="shared" si="108"/>
        <v>Incomplete</v>
      </c>
    </row>
    <row r="6969" spans="1:17">
      <c r="A6969" s="12">
        <v>46354</v>
      </c>
      <c r="B6969" s="10">
        <v>17</v>
      </c>
      <c r="Q6969" s="10" t="str">
        <f t="shared" si="108"/>
        <v>Incomplete</v>
      </c>
    </row>
    <row r="6970" spans="1:17">
      <c r="A6970" s="12">
        <v>46354</v>
      </c>
      <c r="B6970" s="10">
        <v>18</v>
      </c>
      <c r="Q6970" s="10" t="str">
        <f t="shared" si="108"/>
        <v>Incomplete</v>
      </c>
    </row>
    <row r="6971" spans="1:17">
      <c r="A6971" s="12">
        <v>46354</v>
      </c>
      <c r="B6971" s="10">
        <v>19</v>
      </c>
      <c r="Q6971" s="10" t="str">
        <f t="shared" si="108"/>
        <v>Incomplete</v>
      </c>
    </row>
    <row r="6972" spans="1:17">
      <c r="A6972" s="12">
        <v>46354</v>
      </c>
      <c r="B6972" s="10">
        <v>20</v>
      </c>
      <c r="Q6972" s="10" t="str">
        <f t="shared" si="108"/>
        <v>Incomplete</v>
      </c>
    </row>
    <row r="6973" spans="1:17">
      <c r="A6973" s="12">
        <v>46354</v>
      </c>
      <c r="B6973" s="10">
        <v>21</v>
      </c>
      <c r="Q6973" s="10" t="str">
        <f t="shared" si="108"/>
        <v>Incomplete</v>
      </c>
    </row>
    <row r="6974" spans="1:17">
      <c r="A6974" s="12">
        <v>46355</v>
      </c>
      <c r="B6974" s="10">
        <v>1</v>
      </c>
      <c r="Q6974" s="10" t="str">
        <f t="shared" si="108"/>
        <v>Incomplete</v>
      </c>
    </row>
    <row r="6975" spans="1:17">
      <c r="A6975" s="12">
        <v>46355</v>
      </c>
      <c r="B6975" s="10">
        <v>2</v>
      </c>
      <c r="Q6975" s="10" t="str">
        <f t="shared" si="108"/>
        <v>Incomplete</v>
      </c>
    </row>
    <row r="6976" spans="1:17">
      <c r="A6976" s="12">
        <v>46355</v>
      </c>
      <c r="B6976" s="10">
        <v>3</v>
      </c>
      <c r="Q6976" s="10" t="str">
        <f t="shared" si="108"/>
        <v>Incomplete</v>
      </c>
    </row>
    <row r="6977" spans="1:17">
      <c r="A6977" s="12">
        <v>46355</v>
      </c>
      <c r="B6977" s="10">
        <v>4</v>
      </c>
      <c r="Q6977" s="10" t="str">
        <f t="shared" si="108"/>
        <v>Incomplete</v>
      </c>
    </row>
    <row r="6978" spans="1:17">
      <c r="A6978" s="12">
        <v>46355</v>
      </c>
      <c r="B6978" s="10">
        <v>5</v>
      </c>
      <c r="Q6978" s="10" t="str">
        <f t="shared" ref="Q6978:Q7041" si="109">IF(AND(C6978&lt;&gt;"",J6978&lt;&gt;"",K6978&lt;&gt;"",L6978&lt;&gt;"",O6978="Yes"),"Complete","Incomplete")</f>
        <v>Incomplete</v>
      </c>
    </row>
    <row r="6979" spans="1:17">
      <c r="A6979" s="12">
        <v>46355</v>
      </c>
      <c r="B6979" s="10">
        <v>6</v>
      </c>
      <c r="Q6979" s="10" t="str">
        <f t="shared" si="109"/>
        <v>Incomplete</v>
      </c>
    </row>
    <row r="6980" spans="1:17">
      <c r="A6980" s="12">
        <v>46355</v>
      </c>
      <c r="B6980" s="10">
        <v>7</v>
      </c>
      <c r="Q6980" s="10" t="str">
        <f t="shared" si="109"/>
        <v>Incomplete</v>
      </c>
    </row>
    <row r="6981" spans="1:17">
      <c r="A6981" s="12">
        <v>46355</v>
      </c>
      <c r="B6981" s="10">
        <v>8</v>
      </c>
      <c r="Q6981" s="10" t="str">
        <f t="shared" si="109"/>
        <v>Incomplete</v>
      </c>
    </row>
    <row r="6982" spans="1:17">
      <c r="A6982" s="12">
        <v>46355</v>
      </c>
      <c r="B6982" s="10">
        <v>9</v>
      </c>
      <c r="Q6982" s="10" t="str">
        <f t="shared" si="109"/>
        <v>Incomplete</v>
      </c>
    </row>
    <row r="6983" spans="1:17">
      <c r="A6983" s="12">
        <v>46355</v>
      </c>
      <c r="B6983" s="10">
        <v>10</v>
      </c>
      <c r="Q6983" s="10" t="str">
        <f t="shared" si="109"/>
        <v>Incomplete</v>
      </c>
    </row>
    <row r="6984" spans="1:17">
      <c r="A6984" s="12">
        <v>46355</v>
      </c>
      <c r="B6984" s="10">
        <v>11</v>
      </c>
      <c r="Q6984" s="10" t="str">
        <f t="shared" si="109"/>
        <v>Incomplete</v>
      </c>
    </row>
    <row r="6985" spans="1:17">
      <c r="A6985" s="12">
        <v>46355</v>
      </c>
      <c r="B6985" s="10">
        <v>12</v>
      </c>
      <c r="Q6985" s="10" t="str">
        <f t="shared" si="109"/>
        <v>Incomplete</v>
      </c>
    </row>
    <row r="6986" spans="1:17">
      <c r="A6986" s="12">
        <v>46355</v>
      </c>
      <c r="B6986" s="10">
        <v>13</v>
      </c>
      <c r="Q6986" s="10" t="str">
        <f t="shared" si="109"/>
        <v>Incomplete</v>
      </c>
    </row>
    <row r="6987" spans="1:17">
      <c r="A6987" s="12">
        <v>46355</v>
      </c>
      <c r="B6987" s="10">
        <v>14</v>
      </c>
      <c r="Q6987" s="10" t="str">
        <f t="shared" si="109"/>
        <v>Incomplete</v>
      </c>
    </row>
    <row r="6988" spans="1:17">
      <c r="A6988" s="12">
        <v>46355</v>
      </c>
      <c r="B6988" s="10">
        <v>15</v>
      </c>
      <c r="Q6988" s="10" t="str">
        <f t="shared" si="109"/>
        <v>Incomplete</v>
      </c>
    </row>
    <row r="6989" spans="1:17">
      <c r="A6989" s="12">
        <v>46355</v>
      </c>
      <c r="B6989" s="10">
        <v>16</v>
      </c>
      <c r="Q6989" s="10" t="str">
        <f t="shared" si="109"/>
        <v>Incomplete</v>
      </c>
    </row>
    <row r="6990" spans="1:17">
      <c r="A6990" s="12">
        <v>46355</v>
      </c>
      <c r="B6990" s="10">
        <v>17</v>
      </c>
      <c r="Q6990" s="10" t="str">
        <f t="shared" si="109"/>
        <v>Incomplete</v>
      </c>
    </row>
    <row r="6991" spans="1:17">
      <c r="A6991" s="12">
        <v>46355</v>
      </c>
      <c r="B6991" s="10">
        <v>18</v>
      </c>
      <c r="Q6991" s="10" t="str">
        <f t="shared" si="109"/>
        <v>Incomplete</v>
      </c>
    </row>
    <row r="6992" spans="1:17">
      <c r="A6992" s="12">
        <v>46355</v>
      </c>
      <c r="B6992" s="10">
        <v>19</v>
      </c>
      <c r="Q6992" s="10" t="str">
        <f t="shared" si="109"/>
        <v>Incomplete</v>
      </c>
    </row>
    <row r="6993" spans="1:17">
      <c r="A6993" s="12">
        <v>46355</v>
      </c>
      <c r="B6993" s="10">
        <v>20</v>
      </c>
      <c r="Q6993" s="10" t="str">
        <f t="shared" si="109"/>
        <v>Incomplete</v>
      </c>
    </row>
    <row r="6994" spans="1:17">
      <c r="A6994" s="12">
        <v>46355</v>
      </c>
      <c r="B6994" s="10">
        <v>21</v>
      </c>
      <c r="Q6994" s="10" t="str">
        <f t="shared" si="109"/>
        <v>Incomplete</v>
      </c>
    </row>
    <row r="6995" spans="1:17">
      <c r="A6995" s="12">
        <v>46356</v>
      </c>
      <c r="B6995" s="10">
        <v>1</v>
      </c>
      <c r="Q6995" s="10" t="str">
        <f t="shared" si="109"/>
        <v>Incomplete</v>
      </c>
    </row>
    <row r="6996" spans="1:17">
      <c r="A6996" s="12">
        <v>46356</v>
      </c>
      <c r="B6996" s="10">
        <v>2</v>
      </c>
      <c r="Q6996" s="10" t="str">
        <f t="shared" si="109"/>
        <v>Incomplete</v>
      </c>
    </row>
    <row r="6997" spans="1:17">
      <c r="A6997" s="12">
        <v>46356</v>
      </c>
      <c r="B6997" s="10">
        <v>3</v>
      </c>
      <c r="Q6997" s="10" t="str">
        <f t="shared" si="109"/>
        <v>Incomplete</v>
      </c>
    </row>
    <row r="6998" spans="1:17">
      <c r="A6998" s="12">
        <v>46356</v>
      </c>
      <c r="B6998" s="10">
        <v>4</v>
      </c>
      <c r="Q6998" s="10" t="str">
        <f t="shared" si="109"/>
        <v>Incomplete</v>
      </c>
    </row>
    <row r="6999" spans="1:17">
      <c r="A6999" s="12">
        <v>46356</v>
      </c>
      <c r="B6999" s="10">
        <v>5</v>
      </c>
      <c r="Q6999" s="10" t="str">
        <f t="shared" si="109"/>
        <v>Incomplete</v>
      </c>
    </row>
    <row r="7000" spans="1:17">
      <c r="A7000" s="12">
        <v>46356</v>
      </c>
      <c r="B7000" s="10">
        <v>6</v>
      </c>
      <c r="Q7000" s="10" t="str">
        <f t="shared" si="109"/>
        <v>Incomplete</v>
      </c>
    </row>
    <row r="7001" spans="1:17">
      <c r="A7001" s="12">
        <v>46356</v>
      </c>
      <c r="B7001" s="10">
        <v>7</v>
      </c>
      <c r="Q7001" s="10" t="str">
        <f t="shared" si="109"/>
        <v>Incomplete</v>
      </c>
    </row>
    <row r="7002" spans="1:17">
      <c r="A7002" s="12">
        <v>46356</v>
      </c>
      <c r="B7002" s="10">
        <v>8</v>
      </c>
      <c r="Q7002" s="10" t="str">
        <f t="shared" si="109"/>
        <v>Incomplete</v>
      </c>
    </row>
    <row r="7003" spans="1:17">
      <c r="A7003" s="12">
        <v>46356</v>
      </c>
      <c r="B7003" s="10">
        <v>9</v>
      </c>
      <c r="Q7003" s="10" t="str">
        <f t="shared" si="109"/>
        <v>Incomplete</v>
      </c>
    </row>
    <row r="7004" spans="1:17">
      <c r="A7004" s="12">
        <v>46356</v>
      </c>
      <c r="B7004" s="10">
        <v>10</v>
      </c>
      <c r="Q7004" s="10" t="str">
        <f t="shared" si="109"/>
        <v>Incomplete</v>
      </c>
    </row>
    <row r="7005" spans="1:17">
      <c r="A7005" s="12">
        <v>46356</v>
      </c>
      <c r="B7005" s="10">
        <v>11</v>
      </c>
      <c r="Q7005" s="10" t="str">
        <f t="shared" si="109"/>
        <v>Incomplete</v>
      </c>
    </row>
    <row r="7006" spans="1:17">
      <c r="A7006" s="12">
        <v>46356</v>
      </c>
      <c r="B7006" s="10">
        <v>12</v>
      </c>
      <c r="Q7006" s="10" t="str">
        <f t="shared" si="109"/>
        <v>Incomplete</v>
      </c>
    </row>
    <row r="7007" spans="1:17">
      <c r="A7007" s="12">
        <v>46356</v>
      </c>
      <c r="B7007" s="10">
        <v>13</v>
      </c>
      <c r="Q7007" s="10" t="str">
        <f t="shared" si="109"/>
        <v>Incomplete</v>
      </c>
    </row>
    <row r="7008" spans="1:17">
      <c r="A7008" s="12">
        <v>46356</v>
      </c>
      <c r="B7008" s="10">
        <v>14</v>
      </c>
      <c r="Q7008" s="10" t="str">
        <f t="shared" si="109"/>
        <v>Incomplete</v>
      </c>
    </row>
    <row r="7009" spans="1:17">
      <c r="A7009" s="12">
        <v>46356</v>
      </c>
      <c r="B7009" s="10">
        <v>15</v>
      </c>
      <c r="Q7009" s="10" t="str">
        <f t="shared" si="109"/>
        <v>Incomplete</v>
      </c>
    </row>
    <row r="7010" spans="1:17">
      <c r="A7010" s="12">
        <v>46356</v>
      </c>
      <c r="B7010" s="10">
        <v>16</v>
      </c>
      <c r="Q7010" s="10" t="str">
        <f t="shared" si="109"/>
        <v>Incomplete</v>
      </c>
    </row>
    <row r="7011" spans="1:17">
      <c r="A7011" s="12">
        <v>46356</v>
      </c>
      <c r="B7011" s="10">
        <v>17</v>
      </c>
      <c r="Q7011" s="10" t="str">
        <f t="shared" si="109"/>
        <v>Incomplete</v>
      </c>
    </row>
    <row r="7012" spans="1:17">
      <c r="A7012" s="12">
        <v>46356</v>
      </c>
      <c r="B7012" s="10">
        <v>18</v>
      </c>
      <c r="Q7012" s="10" t="str">
        <f t="shared" si="109"/>
        <v>Incomplete</v>
      </c>
    </row>
    <row r="7013" spans="1:17">
      <c r="A7013" s="12">
        <v>46356</v>
      </c>
      <c r="B7013" s="10">
        <v>19</v>
      </c>
      <c r="Q7013" s="10" t="str">
        <f t="shared" si="109"/>
        <v>Incomplete</v>
      </c>
    </row>
    <row r="7014" spans="1:17">
      <c r="A7014" s="12">
        <v>46356</v>
      </c>
      <c r="B7014" s="10">
        <v>20</v>
      </c>
      <c r="Q7014" s="10" t="str">
        <f t="shared" si="109"/>
        <v>Incomplete</v>
      </c>
    </row>
    <row r="7015" spans="1:17">
      <c r="A7015" s="12">
        <v>46356</v>
      </c>
      <c r="B7015" s="10">
        <v>21</v>
      </c>
      <c r="Q7015" s="10" t="str">
        <f t="shared" si="109"/>
        <v>Incomplete</v>
      </c>
    </row>
    <row r="7016" spans="1:17">
      <c r="A7016" s="12">
        <v>46357</v>
      </c>
      <c r="B7016" s="10">
        <v>1</v>
      </c>
      <c r="Q7016" s="10" t="str">
        <f t="shared" si="109"/>
        <v>Incomplete</v>
      </c>
    </row>
    <row r="7017" spans="1:17">
      <c r="A7017" s="12">
        <v>46357</v>
      </c>
      <c r="B7017" s="10">
        <v>2</v>
      </c>
      <c r="Q7017" s="10" t="str">
        <f t="shared" si="109"/>
        <v>Incomplete</v>
      </c>
    </row>
    <row r="7018" spans="1:17">
      <c r="A7018" s="12">
        <v>46357</v>
      </c>
      <c r="B7018" s="10">
        <v>3</v>
      </c>
      <c r="Q7018" s="10" t="str">
        <f t="shared" si="109"/>
        <v>Incomplete</v>
      </c>
    </row>
    <row r="7019" spans="1:17">
      <c r="A7019" s="12">
        <v>46357</v>
      </c>
      <c r="B7019" s="10">
        <v>4</v>
      </c>
      <c r="Q7019" s="10" t="str">
        <f t="shared" si="109"/>
        <v>Incomplete</v>
      </c>
    </row>
    <row r="7020" spans="1:17">
      <c r="A7020" s="12">
        <v>46357</v>
      </c>
      <c r="B7020" s="10">
        <v>5</v>
      </c>
      <c r="Q7020" s="10" t="str">
        <f t="shared" si="109"/>
        <v>Incomplete</v>
      </c>
    </row>
    <row r="7021" spans="1:17">
      <c r="A7021" s="12">
        <v>46357</v>
      </c>
      <c r="B7021" s="10">
        <v>6</v>
      </c>
      <c r="Q7021" s="10" t="str">
        <f t="shared" si="109"/>
        <v>Incomplete</v>
      </c>
    </row>
    <row r="7022" spans="1:17">
      <c r="A7022" s="12">
        <v>46357</v>
      </c>
      <c r="B7022" s="10">
        <v>7</v>
      </c>
      <c r="Q7022" s="10" t="str">
        <f t="shared" si="109"/>
        <v>Incomplete</v>
      </c>
    </row>
    <row r="7023" spans="1:17">
      <c r="A7023" s="12">
        <v>46357</v>
      </c>
      <c r="B7023" s="10">
        <v>8</v>
      </c>
      <c r="Q7023" s="10" t="str">
        <f t="shared" si="109"/>
        <v>Incomplete</v>
      </c>
    </row>
    <row r="7024" spans="1:17">
      <c r="A7024" s="12">
        <v>46357</v>
      </c>
      <c r="B7024" s="10">
        <v>9</v>
      </c>
      <c r="Q7024" s="10" t="str">
        <f t="shared" si="109"/>
        <v>Incomplete</v>
      </c>
    </row>
    <row r="7025" spans="1:17">
      <c r="A7025" s="12">
        <v>46357</v>
      </c>
      <c r="B7025" s="10">
        <v>10</v>
      </c>
      <c r="Q7025" s="10" t="str">
        <f t="shared" si="109"/>
        <v>Incomplete</v>
      </c>
    </row>
    <row r="7026" spans="1:17">
      <c r="A7026" s="12">
        <v>46357</v>
      </c>
      <c r="B7026" s="10">
        <v>11</v>
      </c>
      <c r="Q7026" s="10" t="str">
        <f t="shared" si="109"/>
        <v>Incomplete</v>
      </c>
    </row>
    <row r="7027" spans="1:17">
      <c r="A7027" s="12">
        <v>46357</v>
      </c>
      <c r="B7027" s="10">
        <v>12</v>
      </c>
      <c r="Q7027" s="10" t="str">
        <f t="shared" si="109"/>
        <v>Incomplete</v>
      </c>
    </row>
    <row r="7028" spans="1:17">
      <c r="A7028" s="12">
        <v>46357</v>
      </c>
      <c r="B7028" s="10">
        <v>13</v>
      </c>
      <c r="Q7028" s="10" t="str">
        <f t="shared" si="109"/>
        <v>Incomplete</v>
      </c>
    </row>
    <row r="7029" spans="1:17">
      <c r="A7029" s="12">
        <v>46357</v>
      </c>
      <c r="B7029" s="10">
        <v>14</v>
      </c>
      <c r="Q7029" s="10" t="str">
        <f t="shared" si="109"/>
        <v>Incomplete</v>
      </c>
    </row>
    <row r="7030" spans="1:17">
      <c r="A7030" s="12">
        <v>46357</v>
      </c>
      <c r="B7030" s="10">
        <v>15</v>
      </c>
      <c r="Q7030" s="10" t="str">
        <f t="shared" si="109"/>
        <v>Incomplete</v>
      </c>
    </row>
    <row r="7031" spans="1:17">
      <c r="A7031" s="12">
        <v>46357</v>
      </c>
      <c r="B7031" s="10">
        <v>16</v>
      </c>
      <c r="Q7031" s="10" t="str">
        <f t="shared" si="109"/>
        <v>Incomplete</v>
      </c>
    </row>
    <row r="7032" spans="1:17">
      <c r="A7032" s="12">
        <v>46357</v>
      </c>
      <c r="B7032" s="10">
        <v>17</v>
      </c>
      <c r="Q7032" s="10" t="str">
        <f t="shared" si="109"/>
        <v>Incomplete</v>
      </c>
    </row>
    <row r="7033" spans="1:17">
      <c r="A7033" s="12">
        <v>46357</v>
      </c>
      <c r="B7033" s="10">
        <v>18</v>
      </c>
      <c r="Q7033" s="10" t="str">
        <f t="shared" si="109"/>
        <v>Incomplete</v>
      </c>
    </row>
    <row r="7034" spans="1:17">
      <c r="A7034" s="12">
        <v>46357</v>
      </c>
      <c r="B7034" s="10">
        <v>19</v>
      </c>
      <c r="Q7034" s="10" t="str">
        <f t="shared" si="109"/>
        <v>Incomplete</v>
      </c>
    </row>
    <row r="7035" spans="1:17">
      <c r="A7035" s="12">
        <v>46357</v>
      </c>
      <c r="B7035" s="10">
        <v>20</v>
      </c>
      <c r="Q7035" s="10" t="str">
        <f t="shared" si="109"/>
        <v>Incomplete</v>
      </c>
    </row>
    <row r="7036" spans="1:17">
      <c r="A7036" s="12">
        <v>46357</v>
      </c>
      <c r="B7036" s="10">
        <v>21</v>
      </c>
      <c r="Q7036" s="10" t="str">
        <f t="shared" si="109"/>
        <v>Incomplete</v>
      </c>
    </row>
    <row r="7037" spans="1:17">
      <c r="A7037" s="12">
        <v>46358</v>
      </c>
      <c r="B7037" s="10">
        <v>1</v>
      </c>
      <c r="Q7037" s="10" t="str">
        <f t="shared" si="109"/>
        <v>Incomplete</v>
      </c>
    </row>
    <row r="7038" spans="1:17">
      <c r="A7038" s="12">
        <v>46358</v>
      </c>
      <c r="B7038" s="10">
        <v>2</v>
      </c>
      <c r="Q7038" s="10" t="str">
        <f t="shared" si="109"/>
        <v>Incomplete</v>
      </c>
    </row>
    <row r="7039" spans="1:17">
      <c r="A7039" s="12">
        <v>46358</v>
      </c>
      <c r="B7039" s="10">
        <v>3</v>
      </c>
      <c r="Q7039" s="10" t="str">
        <f t="shared" si="109"/>
        <v>Incomplete</v>
      </c>
    </row>
    <row r="7040" spans="1:17">
      <c r="A7040" s="12">
        <v>46358</v>
      </c>
      <c r="B7040" s="10">
        <v>4</v>
      </c>
      <c r="Q7040" s="10" t="str">
        <f t="shared" si="109"/>
        <v>Incomplete</v>
      </c>
    </row>
    <row r="7041" spans="1:17">
      <c r="A7041" s="12">
        <v>46358</v>
      </c>
      <c r="B7041" s="10">
        <v>5</v>
      </c>
      <c r="Q7041" s="10" t="str">
        <f t="shared" si="109"/>
        <v>Incomplete</v>
      </c>
    </row>
    <row r="7042" spans="1:17">
      <c r="A7042" s="12">
        <v>46358</v>
      </c>
      <c r="B7042" s="10">
        <v>6</v>
      </c>
      <c r="Q7042" s="10" t="str">
        <f t="shared" ref="Q7042:Q7105" si="110">IF(AND(C7042&lt;&gt;"",J7042&lt;&gt;"",K7042&lt;&gt;"",L7042&lt;&gt;"",O7042="Yes"),"Complete","Incomplete")</f>
        <v>Incomplete</v>
      </c>
    </row>
    <row r="7043" spans="1:17">
      <c r="A7043" s="12">
        <v>46358</v>
      </c>
      <c r="B7043" s="10">
        <v>7</v>
      </c>
      <c r="Q7043" s="10" t="str">
        <f t="shared" si="110"/>
        <v>Incomplete</v>
      </c>
    </row>
    <row r="7044" spans="1:17">
      <c r="A7044" s="12">
        <v>46358</v>
      </c>
      <c r="B7044" s="10">
        <v>8</v>
      </c>
      <c r="Q7044" s="10" t="str">
        <f t="shared" si="110"/>
        <v>Incomplete</v>
      </c>
    </row>
    <row r="7045" spans="1:17">
      <c r="A7045" s="12">
        <v>46358</v>
      </c>
      <c r="B7045" s="10">
        <v>9</v>
      </c>
      <c r="Q7045" s="10" t="str">
        <f t="shared" si="110"/>
        <v>Incomplete</v>
      </c>
    </row>
    <row r="7046" spans="1:17">
      <c r="A7046" s="12">
        <v>46358</v>
      </c>
      <c r="B7046" s="10">
        <v>10</v>
      </c>
      <c r="Q7046" s="10" t="str">
        <f t="shared" si="110"/>
        <v>Incomplete</v>
      </c>
    </row>
    <row r="7047" spans="1:17">
      <c r="A7047" s="12">
        <v>46358</v>
      </c>
      <c r="B7047" s="10">
        <v>11</v>
      </c>
      <c r="Q7047" s="10" t="str">
        <f t="shared" si="110"/>
        <v>Incomplete</v>
      </c>
    </row>
    <row r="7048" spans="1:17">
      <c r="A7048" s="12">
        <v>46358</v>
      </c>
      <c r="B7048" s="10">
        <v>12</v>
      </c>
      <c r="Q7048" s="10" t="str">
        <f t="shared" si="110"/>
        <v>Incomplete</v>
      </c>
    </row>
    <row r="7049" spans="1:17">
      <c r="A7049" s="12">
        <v>46358</v>
      </c>
      <c r="B7049" s="10">
        <v>13</v>
      </c>
      <c r="Q7049" s="10" t="str">
        <f t="shared" si="110"/>
        <v>Incomplete</v>
      </c>
    </row>
    <row r="7050" spans="1:17">
      <c r="A7050" s="12">
        <v>46358</v>
      </c>
      <c r="B7050" s="10">
        <v>14</v>
      </c>
      <c r="Q7050" s="10" t="str">
        <f t="shared" si="110"/>
        <v>Incomplete</v>
      </c>
    </row>
    <row r="7051" spans="1:17">
      <c r="A7051" s="12">
        <v>46358</v>
      </c>
      <c r="B7051" s="10">
        <v>15</v>
      </c>
      <c r="Q7051" s="10" t="str">
        <f t="shared" si="110"/>
        <v>Incomplete</v>
      </c>
    </row>
    <row r="7052" spans="1:17">
      <c r="A7052" s="12">
        <v>46358</v>
      </c>
      <c r="B7052" s="10">
        <v>16</v>
      </c>
      <c r="Q7052" s="10" t="str">
        <f t="shared" si="110"/>
        <v>Incomplete</v>
      </c>
    </row>
    <row r="7053" spans="1:17">
      <c r="A7053" s="12">
        <v>46358</v>
      </c>
      <c r="B7053" s="10">
        <v>17</v>
      </c>
      <c r="Q7053" s="10" t="str">
        <f t="shared" si="110"/>
        <v>Incomplete</v>
      </c>
    </row>
    <row r="7054" spans="1:17">
      <c r="A7054" s="12">
        <v>46358</v>
      </c>
      <c r="B7054" s="10">
        <v>18</v>
      </c>
      <c r="Q7054" s="10" t="str">
        <f t="shared" si="110"/>
        <v>Incomplete</v>
      </c>
    </row>
    <row r="7055" spans="1:17">
      <c r="A7055" s="12">
        <v>46358</v>
      </c>
      <c r="B7055" s="10">
        <v>19</v>
      </c>
      <c r="Q7055" s="10" t="str">
        <f t="shared" si="110"/>
        <v>Incomplete</v>
      </c>
    </row>
    <row r="7056" spans="1:17">
      <c r="A7056" s="12">
        <v>46358</v>
      </c>
      <c r="B7056" s="10">
        <v>20</v>
      </c>
      <c r="Q7056" s="10" t="str">
        <f t="shared" si="110"/>
        <v>Incomplete</v>
      </c>
    </row>
    <row r="7057" spans="1:17">
      <c r="A7057" s="12">
        <v>46358</v>
      </c>
      <c r="B7057" s="10">
        <v>21</v>
      </c>
      <c r="Q7057" s="10" t="str">
        <f t="shared" si="110"/>
        <v>Incomplete</v>
      </c>
    </row>
    <row r="7058" spans="1:17">
      <c r="A7058" s="12">
        <v>46359</v>
      </c>
      <c r="B7058" s="10">
        <v>1</v>
      </c>
      <c r="Q7058" s="10" t="str">
        <f t="shared" si="110"/>
        <v>Incomplete</v>
      </c>
    </row>
    <row r="7059" spans="1:17">
      <c r="A7059" s="12">
        <v>46359</v>
      </c>
      <c r="B7059" s="10">
        <v>2</v>
      </c>
      <c r="Q7059" s="10" t="str">
        <f t="shared" si="110"/>
        <v>Incomplete</v>
      </c>
    </row>
    <row r="7060" spans="1:17">
      <c r="A7060" s="12">
        <v>46359</v>
      </c>
      <c r="B7060" s="10">
        <v>3</v>
      </c>
      <c r="Q7060" s="10" t="str">
        <f t="shared" si="110"/>
        <v>Incomplete</v>
      </c>
    </row>
    <row r="7061" spans="1:17">
      <c r="A7061" s="12">
        <v>46359</v>
      </c>
      <c r="B7061" s="10">
        <v>4</v>
      </c>
      <c r="Q7061" s="10" t="str">
        <f t="shared" si="110"/>
        <v>Incomplete</v>
      </c>
    </row>
    <row r="7062" spans="1:17">
      <c r="A7062" s="12">
        <v>46359</v>
      </c>
      <c r="B7062" s="10">
        <v>5</v>
      </c>
      <c r="Q7062" s="10" t="str">
        <f t="shared" si="110"/>
        <v>Incomplete</v>
      </c>
    </row>
    <row r="7063" spans="1:17">
      <c r="A7063" s="12">
        <v>46359</v>
      </c>
      <c r="B7063" s="10">
        <v>6</v>
      </c>
      <c r="Q7063" s="10" t="str">
        <f t="shared" si="110"/>
        <v>Incomplete</v>
      </c>
    </row>
    <row r="7064" spans="1:17">
      <c r="A7064" s="12">
        <v>46359</v>
      </c>
      <c r="B7064" s="10">
        <v>7</v>
      </c>
      <c r="Q7064" s="10" t="str">
        <f t="shared" si="110"/>
        <v>Incomplete</v>
      </c>
    </row>
    <row r="7065" spans="1:17">
      <c r="A7065" s="12">
        <v>46359</v>
      </c>
      <c r="B7065" s="10">
        <v>8</v>
      </c>
      <c r="Q7065" s="10" t="str">
        <f t="shared" si="110"/>
        <v>Incomplete</v>
      </c>
    </row>
    <row r="7066" spans="1:17">
      <c r="A7066" s="12">
        <v>46359</v>
      </c>
      <c r="B7066" s="10">
        <v>9</v>
      </c>
      <c r="Q7066" s="10" t="str">
        <f t="shared" si="110"/>
        <v>Incomplete</v>
      </c>
    </row>
    <row r="7067" spans="1:17">
      <c r="A7067" s="12">
        <v>46359</v>
      </c>
      <c r="B7067" s="10">
        <v>10</v>
      </c>
      <c r="Q7067" s="10" t="str">
        <f t="shared" si="110"/>
        <v>Incomplete</v>
      </c>
    </row>
    <row r="7068" spans="1:17">
      <c r="A7068" s="12">
        <v>46359</v>
      </c>
      <c r="B7068" s="10">
        <v>11</v>
      </c>
      <c r="Q7068" s="10" t="str">
        <f t="shared" si="110"/>
        <v>Incomplete</v>
      </c>
    </row>
    <row r="7069" spans="1:17">
      <c r="A7069" s="12">
        <v>46359</v>
      </c>
      <c r="B7069" s="10">
        <v>12</v>
      </c>
      <c r="Q7069" s="10" t="str">
        <f t="shared" si="110"/>
        <v>Incomplete</v>
      </c>
    </row>
    <row r="7070" spans="1:17">
      <c r="A7070" s="12">
        <v>46359</v>
      </c>
      <c r="B7070" s="10">
        <v>13</v>
      </c>
      <c r="Q7070" s="10" t="str">
        <f t="shared" si="110"/>
        <v>Incomplete</v>
      </c>
    </row>
    <row r="7071" spans="1:17">
      <c r="A7071" s="12">
        <v>46359</v>
      </c>
      <c r="B7071" s="10">
        <v>14</v>
      </c>
      <c r="Q7071" s="10" t="str">
        <f t="shared" si="110"/>
        <v>Incomplete</v>
      </c>
    </row>
    <row r="7072" spans="1:17">
      <c r="A7072" s="12">
        <v>46359</v>
      </c>
      <c r="B7072" s="10">
        <v>15</v>
      </c>
      <c r="Q7072" s="10" t="str">
        <f t="shared" si="110"/>
        <v>Incomplete</v>
      </c>
    </row>
    <row r="7073" spans="1:17">
      <c r="A7073" s="12">
        <v>46359</v>
      </c>
      <c r="B7073" s="10">
        <v>16</v>
      </c>
      <c r="Q7073" s="10" t="str">
        <f t="shared" si="110"/>
        <v>Incomplete</v>
      </c>
    </row>
    <row r="7074" spans="1:17">
      <c r="A7074" s="12">
        <v>46359</v>
      </c>
      <c r="B7074" s="10">
        <v>17</v>
      </c>
      <c r="Q7074" s="10" t="str">
        <f t="shared" si="110"/>
        <v>Incomplete</v>
      </c>
    </row>
    <row r="7075" spans="1:17">
      <c r="A7075" s="12">
        <v>46359</v>
      </c>
      <c r="B7075" s="10">
        <v>18</v>
      </c>
      <c r="Q7075" s="10" t="str">
        <f t="shared" si="110"/>
        <v>Incomplete</v>
      </c>
    </row>
    <row r="7076" spans="1:17">
      <c r="A7076" s="12">
        <v>46359</v>
      </c>
      <c r="B7076" s="10">
        <v>19</v>
      </c>
      <c r="Q7076" s="10" t="str">
        <f t="shared" si="110"/>
        <v>Incomplete</v>
      </c>
    </row>
    <row r="7077" spans="1:17">
      <c r="A7077" s="12">
        <v>46359</v>
      </c>
      <c r="B7077" s="10">
        <v>20</v>
      </c>
      <c r="Q7077" s="10" t="str">
        <f t="shared" si="110"/>
        <v>Incomplete</v>
      </c>
    </row>
    <row r="7078" spans="1:17">
      <c r="A7078" s="12">
        <v>46359</v>
      </c>
      <c r="B7078" s="10">
        <v>21</v>
      </c>
      <c r="Q7078" s="10" t="str">
        <f t="shared" si="110"/>
        <v>Incomplete</v>
      </c>
    </row>
    <row r="7079" spans="1:17">
      <c r="A7079" s="12">
        <v>46360</v>
      </c>
      <c r="B7079" s="10">
        <v>1</v>
      </c>
      <c r="Q7079" s="10" t="str">
        <f t="shared" si="110"/>
        <v>Incomplete</v>
      </c>
    </row>
    <row r="7080" spans="1:17">
      <c r="A7080" s="12">
        <v>46360</v>
      </c>
      <c r="B7080" s="10">
        <v>2</v>
      </c>
      <c r="Q7080" s="10" t="str">
        <f t="shared" si="110"/>
        <v>Incomplete</v>
      </c>
    </row>
    <row r="7081" spans="1:17">
      <c r="A7081" s="12">
        <v>46360</v>
      </c>
      <c r="B7081" s="10">
        <v>3</v>
      </c>
      <c r="Q7081" s="10" t="str">
        <f t="shared" si="110"/>
        <v>Incomplete</v>
      </c>
    </row>
    <row r="7082" spans="1:17">
      <c r="A7082" s="12">
        <v>46360</v>
      </c>
      <c r="B7082" s="10">
        <v>4</v>
      </c>
      <c r="Q7082" s="10" t="str">
        <f t="shared" si="110"/>
        <v>Incomplete</v>
      </c>
    </row>
    <row r="7083" spans="1:17">
      <c r="A7083" s="12">
        <v>46360</v>
      </c>
      <c r="B7083" s="10">
        <v>5</v>
      </c>
      <c r="Q7083" s="10" t="str">
        <f t="shared" si="110"/>
        <v>Incomplete</v>
      </c>
    </row>
    <row r="7084" spans="1:17">
      <c r="A7084" s="12">
        <v>46360</v>
      </c>
      <c r="B7084" s="10">
        <v>6</v>
      </c>
      <c r="Q7084" s="10" t="str">
        <f t="shared" si="110"/>
        <v>Incomplete</v>
      </c>
    </row>
    <row r="7085" spans="1:17">
      <c r="A7085" s="12">
        <v>46360</v>
      </c>
      <c r="B7085" s="10">
        <v>7</v>
      </c>
      <c r="Q7085" s="10" t="str">
        <f t="shared" si="110"/>
        <v>Incomplete</v>
      </c>
    </row>
    <row r="7086" spans="1:17">
      <c r="A7086" s="12">
        <v>46360</v>
      </c>
      <c r="B7086" s="10">
        <v>8</v>
      </c>
      <c r="Q7086" s="10" t="str">
        <f t="shared" si="110"/>
        <v>Incomplete</v>
      </c>
    </row>
    <row r="7087" spans="1:17">
      <c r="A7087" s="12">
        <v>46360</v>
      </c>
      <c r="B7087" s="10">
        <v>9</v>
      </c>
      <c r="Q7087" s="10" t="str">
        <f t="shared" si="110"/>
        <v>Incomplete</v>
      </c>
    </row>
    <row r="7088" spans="1:17">
      <c r="A7088" s="12">
        <v>46360</v>
      </c>
      <c r="B7088" s="10">
        <v>10</v>
      </c>
      <c r="Q7088" s="10" t="str">
        <f t="shared" si="110"/>
        <v>Incomplete</v>
      </c>
    </row>
    <row r="7089" spans="1:17">
      <c r="A7089" s="12">
        <v>46360</v>
      </c>
      <c r="B7089" s="10">
        <v>11</v>
      </c>
      <c r="Q7089" s="10" t="str">
        <f t="shared" si="110"/>
        <v>Incomplete</v>
      </c>
    </row>
    <row r="7090" spans="1:17">
      <c r="A7090" s="12">
        <v>46360</v>
      </c>
      <c r="B7090" s="10">
        <v>12</v>
      </c>
      <c r="Q7090" s="10" t="str">
        <f t="shared" si="110"/>
        <v>Incomplete</v>
      </c>
    </row>
    <row r="7091" spans="1:17">
      <c r="A7091" s="12">
        <v>46360</v>
      </c>
      <c r="B7091" s="10">
        <v>13</v>
      </c>
      <c r="Q7091" s="10" t="str">
        <f t="shared" si="110"/>
        <v>Incomplete</v>
      </c>
    </row>
    <row r="7092" spans="1:17">
      <c r="A7092" s="12">
        <v>46360</v>
      </c>
      <c r="B7092" s="10">
        <v>14</v>
      </c>
      <c r="Q7092" s="10" t="str">
        <f t="shared" si="110"/>
        <v>Incomplete</v>
      </c>
    </row>
    <row r="7093" spans="1:17">
      <c r="A7093" s="12">
        <v>46360</v>
      </c>
      <c r="B7093" s="10">
        <v>15</v>
      </c>
      <c r="Q7093" s="10" t="str">
        <f t="shared" si="110"/>
        <v>Incomplete</v>
      </c>
    </row>
    <row r="7094" spans="1:17">
      <c r="A7094" s="12">
        <v>46360</v>
      </c>
      <c r="B7094" s="10">
        <v>16</v>
      </c>
      <c r="Q7094" s="10" t="str">
        <f t="shared" si="110"/>
        <v>Incomplete</v>
      </c>
    </row>
    <row r="7095" spans="1:17">
      <c r="A7095" s="12">
        <v>46360</v>
      </c>
      <c r="B7095" s="10">
        <v>17</v>
      </c>
      <c r="Q7095" s="10" t="str">
        <f t="shared" si="110"/>
        <v>Incomplete</v>
      </c>
    </row>
    <row r="7096" spans="1:17">
      <c r="A7096" s="12">
        <v>46360</v>
      </c>
      <c r="B7096" s="10">
        <v>18</v>
      </c>
      <c r="Q7096" s="10" t="str">
        <f t="shared" si="110"/>
        <v>Incomplete</v>
      </c>
    </row>
    <row r="7097" spans="1:17">
      <c r="A7097" s="12">
        <v>46360</v>
      </c>
      <c r="B7097" s="10">
        <v>19</v>
      </c>
      <c r="Q7097" s="10" t="str">
        <f t="shared" si="110"/>
        <v>Incomplete</v>
      </c>
    </row>
    <row r="7098" spans="1:17">
      <c r="A7098" s="12">
        <v>46360</v>
      </c>
      <c r="B7098" s="10">
        <v>20</v>
      </c>
      <c r="Q7098" s="10" t="str">
        <f t="shared" si="110"/>
        <v>Incomplete</v>
      </c>
    </row>
    <row r="7099" spans="1:17">
      <c r="A7099" s="12">
        <v>46360</v>
      </c>
      <c r="B7099" s="10">
        <v>21</v>
      </c>
      <c r="Q7099" s="10" t="str">
        <f t="shared" si="110"/>
        <v>Incomplete</v>
      </c>
    </row>
    <row r="7100" spans="1:17">
      <c r="A7100" s="12">
        <v>46361</v>
      </c>
      <c r="B7100" s="10">
        <v>1</v>
      </c>
      <c r="Q7100" s="10" t="str">
        <f t="shared" si="110"/>
        <v>Incomplete</v>
      </c>
    </row>
    <row r="7101" spans="1:17">
      <c r="A7101" s="12">
        <v>46361</v>
      </c>
      <c r="B7101" s="10">
        <v>2</v>
      </c>
      <c r="Q7101" s="10" t="str">
        <f t="shared" si="110"/>
        <v>Incomplete</v>
      </c>
    </row>
    <row r="7102" spans="1:17">
      <c r="A7102" s="12">
        <v>46361</v>
      </c>
      <c r="B7102" s="10">
        <v>3</v>
      </c>
      <c r="Q7102" s="10" t="str">
        <f t="shared" si="110"/>
        <v>Incomplete</v>
      </c>
    </row>
    <row r="7103" spans="1:17">
      <c r="A7103" s="12">
        <v>46361</v>
      </c>
      <c r="B7103" s="10">
        <v>4</v>
      </c>
      <c r="Q7103" s="10" t="str">
        <f t="shared" si="110"/>
        <v>Incomplete</v>
      </c>
    </row>
    <row r="7104" spans="1:17">
      <c r="A7104" s="12">
        <v>46361</v>
      </c>
      <c r="B7104" s="10">
        <v>5</v>
      </c>
      <c r="Q7104" s="10" t="str">
        <f t="shared" si="110"/>
        <v>Incomplete</v>
      </c>
    </row>
    <row r="7105" spans="1:17">
      <c r="A7105" s="12">
        <v>46361</v>
      </c>
      <c r="B7105" s="10">
        <v>6</v>
      </c>
      <c r="Q7105" s="10" t="str">
        <f t="shared" si="110"/>
        <v>Incomplete</v>
      </c>
    </row>
    <row r="7106" spans="1:17">
      <c r="A7106" s="12">
        <v>46361</v>
      </c>
      <c r="B7106" s="10">
        <v>7</v>
      </c>
      <c r="Q7106" s="10" t="str">
        <f t="shared" ref="Q7106:Q7169" si="111">IF(AND(C7106&lt;&gt;"",J7106&lt;&gt;"",K7106&lt;&gt;"",L7106&lt;&gt;"",O7106="Yes"),"Complete","Incomplete")</f>
        <v>Incomplete</v>
      </c>
    </row>
    <row r="7107" spans="1:17">
      <c r="A7107" s="12">
        <v>46361</v>
      </c>
      <c r="B7107" s="10">
        <v>8</v>
      </c>
      <c r="Q7107" s="10" t="str">
        <f t="shared" si="111"/>
        <v>Incomplete</v>
      </c>
    </row>
    <row r="7108" spans="1:17">
      <c r="A7108" s="12">
        <v>46361</v>
      </c>
      <c r="B7108" s="10">
        <v>9</v>
      </c>
      <c r="Q7108" s="10" t="str">
        <f t="shared" si="111"/>
        <v>Incomplete</v>
      </c>
    </row>
    <row r="7109" spans="1:17">
      <c r="A7109" s="12">
        <v>46361</v>
      </c>
      <c r="B7109" s="10">
        <v>10</v>
      </c>
      <c r="Q7109" s="10" t="str">
        <f t="shared" si="111"/>
        <v>Incomplete</v>
      </c>
    </row>
    <row r="7110" spans="1:17">
      <c r="A7110" s="12">
        <v>46361</v>
      </c>
      <c r="B7110" s="10">
        <v>11</v>
      </c>
      <c r="Q7110" s="10" t="str">
        <f t="shared" si="111"/>
        <v>Incomplete</v>
      </c>
    </row>
    <row r="7111" spans="1:17">
      <c r="A7111" s="12">
        <v>46361</v>
      </c>
      <c r="B7111" s="10">
        <v>12</v>
      </c>
      <c r="Q7111" s="10" t="str">
        <f t="shared" si="111"/>
        <v>Incomplete</v>
      </c>
    </row>
    <row r="7112" spans="1:17">
      <c r="A7112" s="12">
        <v>46361</v>
      </c>
      <c r="B7112" s="10">
        <v>13</v>
      </c>
      <c r="Q7112" s="10" t="str">
        <f t="shared" si="111"/>
        <v>Incomplete</v>
      </c>
    </row>
    <row r="7113" spans="1:17">
      <c r="A7113" s="12">
        <v>46361</v>
      </c>
      <c r="B7113" s="10">
        <v>14</v>
      </c>
      <c r="Q7113" s="10" t="str">
        <f t="shared" si="111"/>
        <v>Incomplete</v>
      </c>
    </row>
    <row r="7114" spans="1:17">
      <c r="A7114" s="12">
        <v>46361</v>
      </c>
      <c r="B7114" s="10">
        <v>15</v>
      </c>
      <c r="Q7114" s="10" t="str">
        <f t="shared" si="111"/>
        <v>Incomplete</v>
      </c>
    </row>
    <row r="7115" spans="1:17">
      <c r="A7115" s="12">
        <v>46361</v>
      </c>
      <c r="B7115" s="10">
        <v>16</v>
      </c>
      <c r="Q7115" s="10" t="str">
        <f t="shared" si="111"/>
        <v>Incomplete</v>
      </c>
    </row>
    <row r="7116" spans="1:17">
      <c r="A7116" s="12">
        <v>46361</v>
      </c>
      <c r="B7116" s="10">
        <v>17</v>
      </c>
      <c r="Q7116" s="10" t="str">
        <f t="shared" si="111"/>
        <v>Incomplete</v>
      </c>
    </row>
    <row r="7117" spans="1:17">
      <c r="A7117" s="12">
        <v>46361</v>
      </c>
      <c r="B7117" s="10">
        <v>18</v>
      </c>
      <c r="Q7117" s="10" t="str">
        <f t="shared" si="111"/>
        <v>Incomplete</v>
      </c>
    </row>
    <row r="7118" spans="1:17">
      <c r="A7118" s="12">
        <v>46361</v>
      </c>
      <c r="B7118" s="10">
        <v>19</v>
      </c>
      <c r="Q7118" s="10" t="str">
        <f t="shared" si="111"/>
        <v>Incomplete</v>
      </c>
    </row>
    <row r="7119" spans="1:17">
      <c r="A7119" s="12">
        <v>46361</v>
      </c>
      <c r="B7119" s="10">
        <v>20</v>
      </c>
      <c r="Q7119" s="10" t="str">
        <f t="shared" si="111"/>
        <v>Incomplete</v>
      </c>
    </row>
    <row r="7120" spans="1:17">
      <c r="A7120" s="12">
        <v>46361</v>
      </c>
      <c r="B7120" s="10">
        <v>21</v>
      </c>
      <c r="Q7120" s="10" t="str">
        <f t="shared" si="111"/>
        <v>Incomplete</v>
      </c>
    </row>
    <row r="7121" spans="1:17">
      <c r="A7121" s="12">
        <v>46362</v>
      </c>
      <c r="B7121" s="10">
        <v>1</v>
      </c>
      <c r="Q7121" s="10" t="str">
        <f t="shared" si="111"/>
        <v>Incomplete</v>
      </c>
    </row>
    <row r="7122" spans="1:17">
      <c r="A7122" s="12">
        <v>46362</v>
      </c>
      <c r="B7122" s="10">
        <v>2</v>
      </c>
      <c r="Q7122" s="10" t="str">
        <f t="shared" si="111"/>
        <v>Incomplete</v>
      </c>
    </row>
    <row r="7123" spans="1:17">
      <c r="A7123" s="12">
        <v>46362</v>
      </c>
      <c r="B7123" s="10">
        <v>3</v>
      </c>
      <c r="Q7123" s="10" t="str">
        <f t="shared" si="111"/>
        <v>Incomplete</v>
      </c>
    </row>
    <row r="7124" spans="1:17">
      <c r="A7124" s="12">
        <v>46362</v>
      </c>
      <c r="B7124" s="10">
        <v>4</v>
      </c>
      <c r="Q7124" s="10" t="str">
        <f t="shared" si="111"/>
        <v>Incomplete</v>
      </c>
    </row>
    <row r="7125" spans="1:17">
      <c r="A7125" s="12">
        <v>46362</v>
      </c>
      <c r="B7125" s="10">
        <v>5</v>
      </c>
      <c r="Q7125" s="10" t="str">
        <f t="shared" si="111"/>
        <v>Incomplete</v>
      </c>
    </row>
    <row r="7126" spans="1:17">
      <c r="A7126" s="12">
        <v>46362</v>
      </c>
      <c r="B7126" s="10">
        <v>6</v>
      </c>
      <c r="Q7126" s="10" t="str">
        <f t="shared" si="111"/>
        <v>Incomplete</v>
      </c>
    </row>
    <row r="7127" spans="1:17">
      <c r="A7127" s="12">
        <v>46362</v>
      </c>
      <c r="B7127" s="10">
        <v>7</v>
      </c>
      <c r="Q7127" s="10" t="str">
        <f t="shared" si="111"/>
        <v>Incomplete</v>
      </c>
    </row>
    <row r="7128" spans="1:17">
      <c r="A7128" s="12">
        <v>46362</v>
      </c>
      <c r="B7128" s="10">
        <v>8</v>
      </c>
      <c r="Q7128" s="10" t="str">
        <f t="shared" si="111"/>
        <v>Incomplete</v>
      </c>
    </row>
    <row r="7129" spans="1:17">
      <c r="A7129" s="12">
        <v>46362</v>
      </c>
      <c r="B7129" s="10">
        <v>9</v>
      </c>
      <c r="Q7129" s="10" t="str">
        <f t="shared" si="111"/>
        <v>Incomplete</v>
      </c>
    </row>
    <row r="7130" spans="1:17">
      <c r="A7130" s="12">
        <v>46362</v>
      </c>
      <c r="B7130" s="10">
        <v>10</v>
      </c>
      <c r="Q7130" s="10" t="str">
        <f t="shared" si="111"/>
        <v>Incomplete</v>
      </c>
    </row>
    <row r="7131" spans="1:17">
      <c r="A7131" s="12">
        <v>46362</v>
      </c>
      <c r="B7131" s="10">
        <v>11</v>
      </c>
      <c r="Q7131" s="10" t="str">
        <f t="shared" si="111"/>
        <v>Incomplete</v>
      </c>
    </row>
    <row r="7132" spans="1:17">
      <c r="A7132" s="12">
        <v>46362</v>
      </c>
      <c r="B7132" s="10">
        <v>12</v>
      </c>
      <c r="Q7132" s="10" t="str">
        <f t="shared" si="111"/>
        <v>Incomplete</v>
      </c>
    </row>
    <row r="7133" spans="1:17">
      <c r="A7133" s="12">
        <v>46362</v>
      </c>
      <c r="B7133" s="10">
        <v>13</v>
      </c>
      <c r="Q7133" s="10" t="str">
        <f t="shared" si="111"/>
        <v>Incomplete</v>
      </c>
    </row>
    <row r="7134" spans="1:17">
      <c r="A7134" s="12">
        <v>46362</v>
      </c>
      <c r="B7134" s="10">
        <v>14</v>
      </c>
      <c r="Q7134" s="10" t="str">
        <f t="shared" si="111"/>
        <v>Incomplete</v>
      </c>
    </row>
    <row r="7135" spans="1:17">
      <c r="A7135" s="12">
        <v>46362</v>
      </c>
      <c r="B7135" s="10">
        <v>15</v>
      </c>
      <c r="Q7135" s="10" t="str">
        <f t="shared" si="111"/>
        <v>Incomplete</v>
      </c>
    </row>
    <row r="7136" spans="1:17">
      <c r="A7136" s="12">
        <v>46362</v>
      </c>
      <c r="B7136" s="10">
        <v>16</v>
      </c>
      <c r="Q7136" s="10" t="str">
        <f t="shared" si="111"/>
        <v>Incomplete</v>
      </c>
    </row>
    <row r="7137" spans="1:17">
      <c r="A7137" s="12">
        <v>46362</v>
      </c>
      <c r="B7137" s="10">
        <v>17</v>
      </c>
      <c r="Q7137" s="10" t="str">
        <f t="shared" si="111"/>
        <v>Incomplete</v>
      </c>
    </row>
    <row r="7138" spans="1:17">
      <c r="A7138" s="12">
        <v>46362</v>
      </c>
      <c r="B7138" s="10">
        <v>18</v>
      </c>
      <c r="Q7138" s="10" t="str">
        <f t="shared" si="111"/>
        <v>Incomplete</v>
      </c>
    </row>
    <row r="7139" spans="1:17">
      <c r="A7139" s="12">
        <v>46362</v>
      </c>
      <c r="B7139" s="10">
        <v>19</v>
      </c>
      <c r="Q7139" s="10" t="str">
        <f t="shared" si="111"/>
        <v>Incomplete</v>
      </c>
    </row>
    <row r="7140" spans="1:17">
      <c r="A7140" s="12">
        <v>46362</v>
      </c>
      <c r="B7140" s="10">
        <v>20</v>
      </c>
      <c r="Q7140" s="10" t="str">
        <f t="shared" si="111"/>
        <v>Incomplete</v>
      </c>
    </row>
    <row r="7141" spans="1:17">
      <c r="A7141" s="12">
        <v>46362</v>
      </c>
      <c r="B7141" s="10">
        <v>21</v>
      </c>
      <c r="Q7141" s="10" t="str">
        <f t="shared" si="111"/>
        <v>Incomplete</v>
      </c>
    </row>
    <row r="7142" spans="1:17">
      <c r="A7142" s="12">
        <v>46363</v>
      </c>
      <c r="B7142" s="10">
        <v>1</v>
      </c>
      <c r="Q7142" s="10" t="str">
        <f t="shared" si="111"/>
        <v>Incomplete</v>
      </c>
    </row>
    <row r="7143" spans="1:17">
      <c r="A7143" s="12">
        <v>46363</v>
      </c>
      <c r="B7143" s="10">
        <v>2</v>
      </c>
      <c r="Q7143" s="10" t="str">
        <f t="shared" si="111"/>
        <v>Incomplete</v>
      </c>
    </row>
    <row r="7144" spans="1:17">
      <c r="A7144" s="12">
        <v>46363</v>
      </c>
      <c r="B7144" s="10">
        <v>3</v>
      </c>
      <c r="Q7144" s="10" t="str">
        <f t="shared" si="111"/>
        <v>Incomplete</v>
      </c>
    </row>
    <row r="7145" spans="1:17">
      <c r="A7145" s="12">
        <v>46363</v>
      </c>
      <c r="B7145" s="10">
        <v>4</v>
      </c>
      <c r="Q7145" s="10" t="str">
        <f t="shared" si="111"/>
        <v>Incomplete</v>
      </c>
    </row>
    <row r="7146" spans="1:17">
      <c r="A7146" s="12">
        <v>46363</v>
      </c>
      <c r="B7146" s="10">
        <v>5</v>
      </c>
      <c r="Q7146" s="10" t="str">
        <f t="shared" si="111"/>
        <v>Incomplete</v>
      </c>
    </row>
    <row r="7147" spans="1:17">
      <c r="A7147" s="12">
        <v>46363</v>
      </c>
      <c r="B7147" s="10">
        <v>6</v>
      </c>
      <c r="Q7147" s="10" t="str">
        <f t="shared" si="111"/>
        <v>Incomplete</v>
      </c>
    </row>
    <row r="7148" spans="1:17">
      <c r="A7148" s="12">
        <v>46363</v>
      </c>
      <c r="B7148" s="10">
        <v>7</v>
      </c>
      <c r="Q7148" s="10" t="str">
        <f t="shared" si="111"/>
        <v>Incomplete</v>
      </c>
    </row>
    <row r="7149" spans="1:17">
      <c r="A7149" s="12">
        <v>46363</v>
      </c>
      <c r="B7149" s="10">
        <v>8</v>
      </c>
      <c r="Q7149" s="10" t="str">
        <f t="shared" si="111"/>
        <v>Incomplete</v>
      </c>
    </row>
    <row r="7150" spans="1:17">
      <c r="A7150" s="12">
        <v>46363</v>
      </c>
      <c r="B7150" s="10">
        <v>9</v>
      </c>
      <c r="Q7150" s="10" t="str">
        <f t="shared" si="111"/>
        <v>Incomplete</v>
      </c>
    </row>
    <row r="7151" spans="1:17">
      <c r="A7151" s="12">
        <v>46363</v>
      </c>
      <c r="B7151" s="10">
        <v>10</v>
      </c>
      <c r="Q7151" s="10" t="str">
        <f t="shared" si="111"/>
        <v>Incomplete</v>
      </c>
    </row>
    <row r="7152" spans="1:17">
      <c r="A7152" s="12">
        <v>46363</v>
      </c>
      <c r="B7152" s="10">
        <v>11</v>
      </c>
      <c r="Q7152" s="10" t="str">
        <f t="shared" si="111"/>
        <v>Incomplete</v>
      </c>
    </row>
    <row r="7153" spans="1:17">
      <c r="A7153" s="12">
        <v>46363</v>
      </c>
      <c r="B7153" s="10">
        <v>12</v>
      </c>
      <c r="Q7153" s="10" t="str">
        <f t="shared" si="111"/>
        <v>Incomplete</v>
      </c>
    </row>
    <row r="7154" spans="1:17">
      <c r="A7154" s="12">
        <v>46363</v>
      </c>
      <c r="B7154" s="10">
        <v>13</v>
      </c>
      <c r="Q7154" s="10" t="str">
        <f t="shared" si="111"/>
        <v>Incomplete</v>
      </c>
    </row>
    <row r="7155" spans="1:17">
      <c r="A7155" s="12">
        <v>46363</v>
      </c>
      <c r="B7155" s="10">
        <v>14</v>
      </c>
      <c r="Q7155" s="10" t="str">
        <f t="shared" si="111"/>
        <v>Incomplete</v>
      </c>
    </row>
    <row r="7156" spans="1:17">
      <c r="A7156" s="12">
        <v>46363</v>
      </c>
      <c r="B7156" s="10">
        <v>15</v>
      </c>
      <c r="Q7156" s="10" t="str">
        <f t="shared" si="111"/>
        <v>Incomplete</v>
      </c>
    </row>
    <row r="7157" spans="1:17">
      <c r="A7157" s="12">
        <v>46363</v>
      </c>
      <c r="B7157" s="10">
        <v>16</v>
      </c>
      <c r="Q7157" s="10" t="str">
        <f t="shared" si="111"/>
        <v>Incomplete</v>
      </c>
    </row>
    <row r="7158" spans="1:17">
      <c r="A7158" s="12">
        <v>46363</v>
      </c>
      <c r="B7158" s="10">
        <v>17</v>
      </c>
      <c r="Q7158" s="10" t="str">
        <f t="shared" si="111"/>
        <v>Incomplete</v>
      </c>
    </row>
    <row r="7159" spans="1:17">
      <c r="A7159" s="12">
        <v>46363</v>
      </c>
      <c r="B7159" s="10">
        <v>18</v>
      </c>
      <c r="Q7159" s="10" t="str">
        <f t="shared" si="111"/>
        <v>Incomplete</v>
      </c>
    </row>
    <row r="7160" spans="1:17">
      <c r="A7160" s="12">
        <v>46363</v>
      </c>
      <c r="B7160" s="10">
        <v>19</v>
      </c>
      <c r="Q7160" s="10" t="str">
        <f t="shared" si="111"/>
        <v>Incomplete</v>
      </c>
    </row>
    <row r="7161" spans="1:17">
      <c r="A7161" s="12">
        <v>46363</v>
      </c>
      <c r="B7161" s="10">
        <v>20</v>
      </c>
      <c r="Q7161" s="10" t="str">
        <f t="shared" si="111"/>
        <v>Incomplete</v>
      </c>
    </row>
    <row r="7162" spans="1:17">
      <c r="A7162" s="12">
        <v>46363</v>
      </c>
      <c r="B7162" s="10">
        <v>21</v>
      </c>
      <c r="Q7162" s="10" t="str">
        <f t="shared" si="111"/>
        <v>Incomplete</v>
      </c>
    </row>
    <row r="7163" spans="1:17">
      <c r="A7163" s="12">
        <v>46364</v>
      </c>
      <c r="B7163" s="10">
        <v>1</v>
      </c>
      <c r="Q7163" s="10" t="str">
        <f t="shared" si="111"/>
        <v>Incomplete</v>
      </c>
    </row>
    <row r="7164" spans="1:17">
      <c r="A7164" s="12">
        <v>46364</v>
      </c>
      <c r="B7164" s="10">
        <v>2</v>
      </c>
      <c r="Q7164" s="10" t="str">
        <f t="shared" si="111"/>
        <v>Incomplete</v>
      </c>
    </row>
    <row r="7165" spans="1:17">
      <c r="A7165" s="12">
        <v>46364</v>
      </c>
      <c r="B7165" s="10">
        <v>3</v>
      </c>
      <c r="Q7165" s="10" t="str">
        <f t="shared" si="111"/>
        <v>Incomplete</v>
      </c>
    </row>
    <row r="7166" spans="1:17">
      <c r="A7166" s="12">
        <v>46364</v>
      </c>
      <c r="B7166" s="10">
        <v>4</v>
      </c>
      <c r="Q7166" s="10" t="str">
        <f t="shared" si="111"/>
        <v>Incomplete</v>
      </c>
    </row>
    <row r="7167" spans="1:17">
      <c r="A7167" s="12">
        <v>46364</v>
      </c>
      <c r="B7167" s="10">
        <v>5</v>
      </c>
      <c r="Q7167" s="10" t="str">
        <f t="shared" si="111"/>
        <v>Incomplete</v>
      </c>
    </row>
    <row r="7168" spans="1:17">
      <c r="A7168" s="12">
        <v>46364</v>
      </c>
      <c r="B7168" s="10">
        <v>6</v>
      </c>
      <c r="Q7168" s="10" t="str">
        <f t="shared" si="111"/>
        <v>Incomplete</v>
      </c>
    </row>
    <row r="7169" spans="1:17">
      <c r="A7169" s="12">
        <v>46364</v>
      </c>
      <c r="B7169" s="10">
        <v>7</v>
      </c>
      <c r="Q7169" s="10" t="str">
        <f t="shared" si="111"/>
        <v>Incomplete</v>
      </c>
    </row>
    <row r="7170" spans="1:17">
      <c r="A7170" s="12">
        <v>46364</v>
      </c>
      <c r="B7170" s="10">
        <v>8</v>
      </c>
      <c r="Q7170" s="10" t="str">
        <f t="shared" ref="Q7170:Q7233" si="112">IF(AND(C7170&lt;&gt;"",J7170&lt;&gt;"",K7170&lt;&gt;"",L7170&lt;&gt;"",O7170="Yes"),"Complete","Incomplete")</f>
        <v>Incomplete</v>
      </c>
    </row>
    <row r="7171" spans="1:17">
      <c r="A7171" s="12">
        <v>46364</v>
      </c>
      <c r="B7171" s="10">
        <v>9</v>
      </c>
      <c r="Q7171" s="10" t="str">
        <f t="shared" si="112"/>
        <v>Incomplete</v>
      </c>
    </row>
    <row r="7172" spans="1:17">
      <c r="A7172" s="12">
        <v>46364</v>
      </c>
      <c r="B7172" s="10">
        <v>10</v>
      </c>
      <c r="Q7172" s="10" t="str">
        <f t="shared" si="112"/>
        <v>Incomplete</v>
      </c>
    </row>
    <row r="7173" spans="1:17">
      <c r="A7173" s="12">
        <v>46364</v>
      </c>
      <c r="B7173" s="10">
        <v>11</v>
      </c>
      <c r="Q7173" s="10" t="str">
        <f t="shared" si="112"/>
        <v>Incomplete</v>
      </c>
    </row>
    <row r="7174" spans="1:17">
      <c r="A7174" s="12">
        <v>46364</v>
      </c>
      <c r="B7174" s="10">
        <v>12</v>
      </c>
      <c r="Q7174" s="10" t="str">
        <f t="shared" si="112"/>
        <v>Incomplete</v>
      </c>
    </row>
    <row r="7175" spans="1:17">
      <c r="A7175" s="12">
        <v>46364</v>
      </c>
      <c r="B7175" s="10">
        <v>13</v>
      </c>
      <c r="Q7175" s="10" t="str">
        <f t="shared" si="112"/>
        <v>Incomplete</v>
      </c>
    </row>
    <row r="7176" spans="1:17">
      <c r="A7176" s="12">
        <v>46364</v>
      </c>
      <c r="B7176" s="10">
        <v>14</v>
      </c>
      <c r="Q7176" s="10" t="str">
        <f t="shared" si="112"/>
        <v>Incomplete</v>
      </c>
    </row>
    <row r="7177" spans="1:17">
      <c r="A7177" s="12">
        <v>46364</v>
      </c>
      <c r="B7177" s="10">
        <v>15</v>
      </c>
      <c r="Q7177" s="10" t="str">
        <f t="shared" si="112"/>
        <v>Incomplete</v>
      </c>
    </row>
    <row r="7178" spans="1:17">
      <c r="A7178" s="12">
        <v>46364</v>
      </c>
      <c r="B7178" s="10">
        <v>16</v>
      </c>
      <c r="Q7178" s="10" t="str">
        <f t="shared" si="112"/>
        <v>Incomplete</v>
      </c>
    </row>
    <row r="7179" spans="1:17">
      <c r="A7179" s="12">
        <v>46364</v>
      </c>
      <c r="B7179" s="10">
        <v>17</v>
      </c>
      <c r="Q7179" s="10" t="str">
        <f t="shared" si="112"/>
        <v>Incomplete</v>
      </c>
    </row>
    <row r="7180" spans="1:17">
      <c r="A7180" s="12">
        <v>46364</v>
      </c>
      <c r="B7180" s="10">
        <v>18</v>
      </c>
      <c r="Q7180" s="10" t="str">
        <f t="shared" si="112"/>
        <v>Incomplete</v>
      </c>
    </row>
    <row r="7181" spans="1:17">
      <c r="A7181" s="12">
        <v>46364</v>
      </c>
      <c r="B7181" s="10">
        <v>19</v>
      </c>
      <c r="Q7181" s="10" t="str">
        <f t="shared" si="112"/>
        <v>Incomplete</v>
      </c>
    </row>
    <row r="7182" spans="1:17">
      <c r="A7182" s="12">
        <v>46364</v>
      </c>
      <c r="B7182" s="10">
        <v>20</v>
      </c>
      <c r="Q7182" s="10" t="str">
        <f t="shared" si="112"/>
        <v>Incomplete</v>
      </c>
    </row>
    <row r="7183" spans="1:17">
      <c r="A7183" s="12">
        <v>46364</v>
      </c>
      <c r="B7183" s="10">
        <v>21</v>
      </c>
      <c r="Q7183" s="10" t="str">
        <f t="shared" si="112"/>
        <v>Incomplete</v>
      </c>
    </row>
    <row r="7184" spans="1:17">
      <c r="A7184" s="12">
        <v>46365</v>
      </c>
      <c r="B7184" s="10">
        <v>1</v>
      </c>
      <c r="Q7184" s="10" t="str">
        <f t="shared" si="112"/>
        <v>Incomplete</v>
      </c>
    </row>
    <row r="7185" spans="1:17">
      <c r="A7185" s="12">
        <v>46365</v>
      </c>
      <c r="B7185" s="10">
        <v>2</v>
      </c>
      <c r="Q7185" s="10" t="str">
        <f t="shared" si="112"/>
        <v>Incomplete</v>
      </c>
    </row>
    <row r="7186" spans="1:17">
      <c r="A7186" s="12">
        <v>46365</v>
      </c>
      <c r="B7186" s="10">
        <v>3</v>
      </c>
      <c r="Q7186" s="10" t="str">
        <f t="shared" si="112"/>
        <v>Incomplete</v>
      </c>
    </row>
    <row r="7187" spans="1:17">
      <c r="A7187" s="12">
        <v>46365</v>
      </c>
      <c r="B7187" s="10">
        <v>4</v>
      </c>
      <c r="Q7187" s="10" t="str">
        <f t="shared" si="112"/>
        <v>Incomplete</v>
      </c>
    </row>
    <row r="7188" spans="1:17">
      <c r="A7188" s="12">
        <v>46365</v>
      </c>
      <c r="B7188" s="10">
        <v>5</v>
      </c>
      <c r="Q7188" s="10" t="str">
        <f t="shared" si="112"/>
        <v>Incomplete</v>
      </c>
    </row>
    <row r="7189" spans="1:17">
      <c r="A7189" s="12">
        <v>46365</v>
      </c>
      <c r="B7189" s="10">
        <v>6</v>
      </c>
      <c r="Q7189" s="10" t="str">
        <f t="shared" si="112"/>
        <v>Incomplete</v>
      </c>
    </row>
    <row r="7190" spans="1:17">
      <c r="A7190" s="12">
        <v>46365</v>
      </c>
      <c r="B7190" s="10">
        <v>7</v>
      </c>
      <c r="Q7190" s="10" t="str">
        <f t="shared" si="112"/>
        <v>Incomplete</v>
      </c>
    </row>
    <row r="7191" spans="1:17">
      <c r="A7191" s="12">
        <v>46365</v>
      </c>
      <c r="B7191" s="10">
        <v>8</v>
      </c>
      <c r="Q7191" s="10" t="str">
        <f t="shared" si="112"/>
        <v>Incomplete</v>
      </c>
    </row>
    <row r="7192" spans="1:17">
      <c r="A7192" s="12">
        <v>46365</v>
      </c>
      <c r="B7192" s="10">
        <v>9</v>
      </c>
      <c r="Q7192" s="10" t="str">
        <f t="shared" si="112"/>
        <v>Incomplete</v>
      </c>
    </row>
    <row r="7193" spans="1:17">
      <c r="A7193" s="12">
        <v>46365</v>
      </c>
      <c r="B7193" s="10">
        <v>10</v>
      </c>
      <c r="Q7193" s="10" t="str">
        <f t="shared" si="112"/>
        <v>Incomplete</v>
      </c>
    </row>
    <row r="7194" spans="1:17">
      <c r="A7194" s="12">
        <v>46365</v>
      </c>
      <c r="B7194" s="10">
        <v>11</v>
      </c>
      <c r="Q7194" s="10" t="str">
        <f t="shared" si="112"/>
        <v>Incomplete</v>
      </c>
    </row>
    <row r="7195" spans="1:17">
      <c r="A7195" s="12">
        <v>46365</v>
      </c>
      <c r="B7195" s="10">
        <v>12</v>
      </c>
      <c r="Q7195" s="10" t="str">
        <f t="shared" si="112"/>
        <v>Incomplete</v>
      </c>
    </row>
    <row r="7196" spans="1:17">
      <c r="A7196" s="12">
        <v>46365</v>
      </c>
      <c r="B7196" s="10">
        <v>13</v>
      </c>
      <c r="Q7196" s="10" t="str">
        <f t="shared" si="112"/>
        <v>Incomplete</v>
      </c>
    </row>
    <row r="7197" spans="1:17">
      <c r="A7197" s="12">
        <v>46365</v>
      </c>
      <c r="B7197" s="10">
        <v>14</v>
      </c>
      <c r="Q7197" s="10" t="str">
        <f t="shared" si="112"/>
        <v>Incomplete</v>
      </c>
    </row>
    <row r="7198" spans="1:17">
      <c r="A7198" s="12">
        <v>46365</v>
      </c>
      <c r="B7198" s="10">
        <v>15</v>
      </c>
      <c r="Q7198" s="10" t="str">
        <f t="shared" si="112"/>
        <v>Incomplete</v>
      </c>
    </row>
    <row r="7199" spans="1:17">
      <c r="A7199" s="12">
        <v>46365</v>
      </c>
      <c r="B7199" s="10">
        <v>16</v>
      </c>
      <c r="Q7199" s="10" t="str">
        <f t="shared" si="112"/>
        <v>Incomplete</v>
      </c>
    </row>
    <row r="7200" spans="1:17">
      <c r="A7200" s="12">
        <v>46365</v>
      </c>
      <c r="B7200" s="10">
        <v>17</v>
      </c>
      <c r="Q7200" s="10" t="str">
        <f t="shared" si="112"/>
        <v>Incomplete</v>
      </c>
    </row>
    <row r="7201" spans="1:17">
      <c r="A7201" s="12">
        <v>46365</v>
      </c>
      <c r="B7201" s="10">
        <v>18</v>
      </c>
      <c r="Q7201" s="10" t="str">
        <f t="shared" si="112"/>
        <v>Incomplete</v>
      </c>
    </row>
    <row r="7202" spans="1:17">
      <c r="A7202" s="12">
        <v>46365</v>
      </c>
      <c r="B7202" s="10">
        <v>19</v>
      </c>
      <c r="Q7202" s="10" t="str">
        <f t="shared" si="112"/>
        <v>Incomplete</v>
      </c>
    </row>
    <row r="7203" spans="1:17">
      <c r="A7203" s="12">
        <v>46365</v>
      </c>
      <c r="B7203" s="10">
        <v>20</v>
      </c>
      <c r="Q7203" s="10" t="str">
        <f t="shared" si="112"/>
        <v>Incomplete</v>
      </c>
    </row>
    <row r="7204" spans="1:17">
      <c r="A7204" s="12">
        <v>46365</v>
      </c>
      <c r="B7204" s="10">
        <v>21</v>
      </c>
      <c r="Q7204" s="10" t="str">
        <f t="shared" si="112"/>
        <v>Incomplete</v>
      </c>
    </row>
    <row r="7205" spans="1:17">
      <c r="A7205" s="12">
        <v>46366</v>
      </c>
      <c r="B7205" s="10">
        <v>1</v>
      </c>
      <c r="Q7205" s="10" t="str">
        <f t="shared" si="112"/>
        <v>Incomplete</v>
      </c>
    </row>
    <row r="7206" spans="1:17">
      <c r="A7206" s="12">
        <v>46366</v>
      </c>
      <c r="B7206" s="10">
        <v>2</v>
      </c>
      <c r="Q7206" s="10" t="str">
        <f t="shared" si="112"/>
        <v>Incomplete</v>
      </c>
    </row>
    <row r="7207" spans="1:17">
      <c r="A7207" s="12">
        <v>46366</v>
      </c>
      <c r="B7207" s="10">
        <v>3</v>
      </c>
      <c r="Q7207" s="10" t="str">
        <f t="shared" si="112"/>
        <v>Incomplete</v>
      </c>
    </row>
    <row r="7208" spans="1:17">
      <c r="A7208" s="12">
        <v>46366</v>
      </c>
      <c r="B7208" s="10">
        <v>4</v>
      </c>
      <c r="Q7208" s="10" t="str">
        <f t="shared" si="112"/>
        <v>Incomplete</v>
      </c>
    </row>
    <row r="7209" spans="1:17">
      <c r="A7209" s="12">
        <v>46366</v>
      </c>
      <c r="B7209" s="10">
        <v>5</v>
      </c>
      <c r="Q7209" s="10" t="str">
        <f t="shared" si="112"/>
        <v>Incomplete</v>
      </c>
    </row>
    <row r="7210" spans="1:17">
      <c r="A7210" s="12">
        <v>46366</v>
      </c>
      <c r="B7210" s="10">
        <v>6</v>
      </c>
      <c r="Q7210" s="10" t="str">
        <f t="shared" si="112"/>
        <v>Incomplete</v>
      </c>
    </row>
    <row r="7211" spans="1:17">
      <c r="A7211" s="12">
        <v>46366</v>
      </c>
      <c r="B7211" s="10">
        <v>7</v>
      </c>
      <c r="Q7211" s="10" t="str">
        <f t="shared" si="112"/>
        <v>Incomplete</v>
      </c>
    </row>
    <row r="7212" spans="1:17">
      <c r="A7212" s="12">
        <v>46366</v>
      </c>
      <c r="B7212" s="10">
        <v>8</v>
      </c>
      <c r="Q7212" s="10" t="str">
        <f t="shared" si="112"/>
        <v>Incomplete</v>
      </c>
    </row>
    <row r="7213" spans="1:17">
      <c r="A7213" s="12">
        <v>46366</v>
      </c>
      <c r="B7213" s="10">
        <v>9</v>
      </c>
      <c r="Q7213" s="10" t="str">
        <f t="shared" si="112"/>
        <v>Incomplete</v>
      </c>
    </row>
    <row r="7214" spans="1:17">
      <c r="A7214" s="12">
        <v>46366</v>
      </c>
      <c r="B7214" s="10">
        <v>10</v>
      </c>
      <c r="Q7214" s="10" t="str">
        <f t="shared" si="112"/>
        <v>Incomplete</v>
      </c>
    </row>
    <row r="7215" spans="1:17">
      <c r="A7215" s="12">
        <v>46366</v>
      </c>
      <c r="B7215" s="10">
        <v>11</v>
      </c>
      <c r="Q7215" s="10" t="str">
        <f t="shared" si="112"/>
        <v>Incomplete</v>
      </c>
    </row>
    <row r="7216" spans="1:17">
      <c r="A7216" s="12">
        <v>46366</v>
      </c>
      <c r="B7216" s="10">
        <v>12</v>
      </c>
      <c r="Q7216" s="10" t="str">
        <f t="shared" si="112"/>
        <v>Incomplete</v>
      </c>
    </row>
    <row r="7217" spans="1:17">
      <c r="A7217" s="12">
        <v>46366</v>
      </c>
      <c r="B7217" s="10">
        <v>13</v>
      </c>
      <c r="Q7217" s="10" t="str">
        <f t="shared" si="112"/>
        <v>Incomplete</v>
      </c>
    </row>
    <row r="7218" spans="1:17">
      <c r="A7218" s="12">
        <v>46366</v>
      </c>
      <c r="B7218" s="10">
        <v>14</v>
      </c>
      <c r="Q7218" s="10" t="str">
        <f t="shared" si="112"/>
        <v>Incomplete</v>
      </c>
    </row>
    <row r="7219" spans="1:17">
      <c r="A7219" s="12">
        <v>46366</v>
      </c>
      <c r="B7219" s="10">
        <v>15</v>
      </c>
      <c r="Q7219" s="10" t="str">
        <f t="shared" si="112"/>
        <v>Incomplete</v>
      </c>
    </row>
    <row r="7220" spans="1:17">
      <c r="A7220" s="12">
        <v>46366</v>
      </c>
      <c r="B7220" s="10">
        <v>16</v>
      </c>
      <c r="Q7220" s="10" t="str">
        <f t="shared" si="112"/>
        <v>Incomplete</v>
      </c>
    </row>
    <row r="7221" spans="1:17">
      <c r="A7221" s="12">
        <v>46366</v>
      </c>
      <c r="B7221" s="10">
        <v>17</v>
      </c>
      <c r="Q7221" s="10" t="str">
        <f t="shared" si="112"/>
        <v>Incomplete</v>
      </c>
    </row>
    <row r="7222" spans="1:17">
      <c r="A7222" s="12">
        <v>46366</v>
      </c>
      <c r="B7222" s="10">
        <v>18</v>
      </c>
      <c r="Q7222" s="10" t="str">
        <f t="shared" si="112"/>
        <v>Incomplete</v>
      </c>
    </row>
    <row r="7223" spans="1:17">
      <c r="A7223" s="12">
        <v>46366</v>
      </c>
      <c r="B7223" s="10">
        <v>19</v>
      </c>
      <c r="Q7223" s="10" t="str">
        <f t="shared" si="112"/>
        <v>Incomplete</v>
      </c>
    </row>
    <row r="7224" spans="1:17">
      <c r="A7224" s="12">
        <v>46366</v>
      </c>
      <c r="B7224" s="10">
        <v>20</v>
      </c>
      <c r="Q7224" s="10" t="str">
        <f t="shared" si="112"/>
        <v>Incomplete</v>
      </c>
    </row>
    <row r="7225" spans="1:17">
      <c r="A7225" s="12">
        <v>46366</v>
      </c>
      <c r="B7225" s="10">
        <v>21</v>
      </c>
      <c r="Q7225" s="10" t="str">
        <f t="shared" si="112"/>
        <v>Incomplete</v>
      </c>
    </row>
    <row r="7226" spans="1:17">
      <c r="A7226" s="12">
        <v>46367</v>
      </c>
      <c r="B7226" s="10">
        <v>1</v>
      </c>
      <c r="Q7226" s="10" t="str">
        <f t="shared" si="112"/>
        <v>Incomplete</v>
      </c>
    </row>
    <row r="7227" spans="1:17">
      <c r="A7227" s="12">
        <v>46367</v>
      </c>
      <c r="B7227" s="10">
        <v>2</v>
      </c>
      <c r="Q7227" s="10" t="str">
        <f t="shared" si="112"/>
        <v>Incomplete</v>
      </c>
    </row>
    <row r="7228" spans="1:17">
      <c r="A7228" s="12">
        <v>46367</v>
      </c>
      <c r="B7228" s="10">
        <v>3</v>
      </c>
      <c r="Q7228" s="10" t="str">
        <f t="shared" si="112"/>
        <v>Incomplete</v>
      </c>
    </row>
    <row r="7229" spans="1:17">
      <c r="A7229" s="12">
        <v>46367</v>
      </c>
      <c r="B7229" s="10">
        <v>4</v>
      </c>
      <c r="Q7229" s="10" t="str">
        <f t="shared" si="112"/>
        <v>Incomplete</v>
      </c>
    </row>
    <row r="7230" spans="1:17">
      <c r="A7230" s="12">
        <v>46367</v>
      </c>
      <c r="B7230" s="10">
        <v>5</v>
      </c>
      <c r="Q7230" s="10" t="str">
        <f t="shared" si="112"/>
        <v>Incomplete</v>
      </c>
    </row>
    <row r="7231" spans="1:17">
      <c r="A7231" s="12">
        <v>46367</v>
      </c>
      <c r="B7231" s="10">
        <v>6</v>
      </c>
      <c r="Q7231" s="10" t="str">
        <f t="shared" si="112"/>
        <v>Incomplete</v>
      </c>
    </row>
    <row r="7232" spans="1:17">
      <c r="A7232" s="12">
        <v>46367</v>
      </c>
      <c r="B7232" s="10">
        <v>7</v>
      </c>
      <c r="Q7232" s="10" t="str">
        <f t="shared" si="112"/>
        <v>Incomplete</v>
      </c>
    </row>
    <row r="7233" spans="1:17">
      <c r="A7233" s="12">
        <v>46367</v>
      </c>
      <c r="B7233" s="10">
        <v>8</v>
      </c>
      <c r="Q7233" s="10" t="str">
        <f t="shared" si="112"/>
        <v>Incomplete</v>
      </c>
    </row>
    <row r="7234" spans="1:17">
      <c r="A7234" s="12">
        <v>46367</v>
      </c>
      <c r="B7234" s="10">
        <v>9</v>
      </c>
      <c r="Q7234" s="10" t="str">
        <f t="shared" ref="Q7234:Q7297" si="113">IF(AND(C7234&lt;&gt;"",J7234&lt;&gt;"",K7234&lt;&gt;"",L7234&lt;&gt;"",O7234="Yes"),"Complete","Incomplete")</f>
        <v>Incomplete</v>
      </c>
    </row>
    <row r="7235" spans="1:17">
      <c r="A7235" s="12">
        <v>46367</v>
      </c>
      <c r="B7235" s="10">
        <v>10</v>
      </c>
      <c r="Q7235" s="10" t="str">
        <f t="shared" si="113"/>
        <v>Incomplete</v>
      </c>
    </row>
    <row r="7236" spans="1:17">
      <c r="A7236" s="12">
        <v>46367</v>
      </c>
      <c r="B7236" s="10">
        <v>11</v>
      </c>
      <c r="Q7236" s="10" t="str">
        <f t="shared" si="113"/>
        <v>Incomplete</v>
      </c>
    </row>
    <row r="7237" spans="1:17">
      <c r="A7237" s="12">
        <v>46367</v>
      </c>
      <c r="B7237" s="10">
        <v>12</v>
      </c>
      <c r="Q7237" s="10" t="str">
        <f t="shared" si="113"/>
        <v>Incomplete</v>
      </c>
    </row>
    <row r="7238" spans="1:17">
      <c r="A7238" s="12">
        <v>46367</v>
      </c>
      <c r="B7238" s="10">
        <v>13</v>
      </c>
      <c r="Q7238" s="10" t="str">
        <f t="shared" si="113"/>
        <v>Incomplete</v>
      </c>
    </row>
    <row r="7239" spans="1:17">
      <c r="A7239" s="12">
        <v>46367</v>
      </c>
      <c r="B7239" s="10">
        <v>14</v>
      </c>
      <c r="Q7239" s="10" t="str">
        <f t="shared" si="113"/>
        <v>Incomplete</v>
      </c>
    </row>
    <row r="7240" spans="1:17">
      <c r="A7240" s="12">
        <v>46367</v>
      </c>
      <c r="B7240" s="10">
        <v>15</v>
      </c>
      <c r="Q7240" s="10" t="str">
        <f t="shared" si="113"/>
        <v>Incomplete</v>
      </c>
    </row>
    <row r="7241" spans="1:17">
      <c r="A7241" s="12">
        <v>46367</v>
      </c>
      <c r="B7241" s="10">
        <v>16</v>
      </c>
      <c r="Q7241" s="10" t="str">
        <f t="shared" si="113"/>
        <v>Incomplete</v>
      </c>
    </row>
    <row r="7242" spans="1:17">
      <c r="A7242" s="12">
        <v>46367</v>
      </c>
      <c r="B7242" s="10">
        <v>17</v>
      </c>
      <c r="Q7242" s="10" t="str">
        <f t="shared" si="113"/>
        <v>Incomplete</v>
      </c>
    </row>
    <row r="7243" spans="1:17">
      <c r="A7243" s="12">
        <v>46367</v>
      </c>
      <c r="B7243" s="10">
        <v>18</v>
      </c>
      <c r="Q7243" s="10" t="str">
        <f t="shared" si="113"/>
        <v>Incomplete</v>
      </c>
    </row>
    <row r="7244" spans="1:17">
      <c r="A7244" s="12">
        <v>46367</v>
      </c>
      <c r="B7244" s="10">
        <v>19</v>
      </c>
      <c r="Q7244" s="10" t="str">
        <f t="shared" si="113"/>
        <v>Incomplete</v>
      </c>
    </row>
    <row r="7245" spans="1:17">
      <c r="A7245" s="12">
        <v>46367</v>
      </c>
      <c r="B7245" s="10">
        <v>20</v>
      </c>
      <c r="Q7245" s="10" t="str">
        <f t="shared" si="113"/>
        <v>Incomplete</v>
      </c>
    </row>
    <row r="7246" spans="1:17">
      <c r="A7246" s="12">
        <v>46367</v>
      </c>
      <c r="B7246" s="10">
        <v>21</v>
      </c>
      <c r="Q7246" s="10" t="str">
        <f t="shared" si="113"/>
        <v>Incomplete</v>
      </c>
    </row>
    <row r="7247" spans="1:17">
      <c r="A7247" s="12">
        <v>46368</v>
      </c>
      <c r="B7247" s="10">
        <v>1</v>
      </c>
      <c r="Q7247" s="10" t="str">
        <f t="shared" si="113"/>
        <v>Incomplete</v>
      </c>
    </row>
    <row r="7248" spans="1:17">
      <c r="A7248" s="12">
        <v>46368</v>
      </c>
      <c r="B7248" s="10">
        <v>2</v>
      </c>
      <c r="Q7248" s="10" t="str">
        <f t="shared" si="113"/>
        <v>Incomplete</v>
      </c>
    </row>
    <row r="7249" spans="1:17">
      <c r="A7249" s="12">
        <v>46368</v>
      </c>
      <c r="B7249" s="10">
        <v>3</v>
      </c>
      <c r="Q7249" s="10" t="str">
        <f t="shared" si="113"/>
        <v>Incomplete</v>
      </c>
    </row>
    <row r="7250" spans="1:17">
      <c r="A7250" s="12">
        <v>46368</v>
      </c>
      <c r="B7250" s="10">
        <v>4</v>
      </c>
      <c r="Q7250" s="10" t="str">
        <f t="shared" si="113"/>
        <v>Incomplete</v>
      </c>
    </row>
    <row r="7251" spans="1:17">
      <c r="A7251" s="12">
        <v>46368</v>
      </c>
      <c r="B7251" s="10">
        <v>5</v>
      </c>
      <c r="Q7251" s="10" t="str">
        <f t="shared" si="113"/>
        <v>Incomplete</v>
      </c>
    </row>
    <row r="7252" spans="1:17">
      <c r="A7252" s="12">
        <v>46368</v>
      </c>
      <c r="B7252" s="10">
        <v>6</v>
      </c>
      <c r="Q7252" s="10" t="str">
        <f t="shared" si="113"/>
        <v>Incomplete</v>
      </c>
    </row>
    <row r="7253" spans="1:17">
      <c r="A7253" s="12">
        <v>46368</v>
      </c>
      <c r="B7253" s="10">
        <v>7</v>
      </c>
      <c r="Q7253" s="10" t="str">
        <f t="shared" si="113"/>
        <v>Incomplete</v>
      </c>
    </row>
    <row r="7254" spans="1:17">
      <c r="A7254" s="12">
        <v>46368</v>
      </c>
      <c r="B7254" s="10">
        <v>8</v>
      </c>
      <c r="Q7254" s="10" t="str">
        <f t="shared" si="113"/>
        <v>Incomplete</v>
      </c>
    </row>
    <row r="7255" spans="1:17">
      <c r="A7255" s="12">
        <v>46368</v>
      </c>
      <c r="B7255" s="10">
        <v>9</v>
      </c>
      <c r="Q7255" s="10" t="str">
        <f t="shared" si="113"/>
        <v>Incomplete</v>
      </c>
    </row>
    <row r="7256" spans="1:17">
      <c r="A7256" s="12">
        <v>46368</v>
      </c>
      <c r="B7256" s="10">
        <v>10</v>
      </c>
      <c r="Q7256" s="10" t="str">
        <f t="shared" si="113"/>
        <v>Incomplete</v>
      </c>
    </row>
    <row r="7257" spans="1:17">
      <c r="A7257" s="12">
        <v>46368</v>
      </c>
      <c r="B7257" s="10">
        <v>11</v>
      </c>
      <c r="Q7257" s="10" t="str">
        <f t="shared" si="113"/>
        <v>Incomplete</v>
      </c>
    </row>
    <row r="7258" spans="1:17">
      <c r="A7258" s="12">
        <v>46368</v>
      </c>
      <c r="B7258" s="10">
        <v>12</v>
      </c>
      <c r="Q7258" s="10" t="str">
        <f t="shared" si="113"/>
        <v>Incomplete</v>
      </c>
    </row>
    <row r="7259" spans="1:17">
      <c r="A7259" s="12">
        <v>46368</v>
      </c>
      <c r="B7259" s="10">
        <v>13</v>
      </c>
      <c r="Q7259" s="10" t="str">
        <f t="shared" si="113"/>
        <v>Incomplete</v>
      </c>
    </row>
    <row r="7260" spans="1:17">
      <c r="A7260" s="12">
        <v>46368</v>
      </c>
      <c r="B7260" s="10">
        <v>14</v>
      </c>
      <c r="Q7260" s="10" t="str">
        <f t="shared" si="113"/>
        <v>Incomplete</v>
      </c>
    </row>
    <row r="7261" spans="1:17">
      <c r="A7261" s="12">
        <v>46368</v>
      </c>
      <c r="B7261" s="10">
        <v>15</v>
      </c>
      <c r="Q7261" s="10" t="str">
        <f t="shared" si="113"/>
        <v>Incomplete</v>
      </c>
    </row>
    <row r="7262" spans="1:17">
      <c r="A7262" s="12">
        <v>46368</v>
      </c>
      <c r="B7262" s="10">
        <v>16</v>
      </c>
      <c r="Q7262" s="10" t="str">
        <f t="shared" si="113"/>
        <v>Incomplete</v>
      </c>
    </row>
    <row r="7263" spans="1:17">
      <c r="A7263" s="12">
        <v>46368</v>
      </c>
      <c r="B7263" s="10">
        <v>17</v>
      </c>
      <c r="Q7263" s="10" t="str">
        <f t="shared" si="113"/>
        <v>Incomplete</v>
      </c>
    </row>
    <row r="7264" spans="1:17">
      <c r="A7264" s="12">
        <v>46368</v>
      </c>
      <c r="B7264" s="10">
        <v>18</v>
      </c>
      <c r="Q7264" s="10" t="str">
        <f t="shared" si="113"/>
        <v>Incomplete</v>
      </c>
    </row>
    <row r="7265" spans="1:17">
      <c r="A7265" s="12">
        <v>46368</v>
      </c>
      <c r="B7265" s="10">
        <v>19</v>
      </c>
      <c r="Q7265" s="10" t="str">
        <f t="shared" si="113"/>
        <v>Incomplete</v>
      </c>
    </row>
    <row r="7266" spans="1:17">
      <c r="A7266" s="12">
        <v>46368</v>
      </c>
      <c r="B7266" s="10">
        <v>20</v>
      </c>
      <c r="Q7266" s="10" t="str">
        <f t="shared" si="113"/>
        <v>Incomplete</v>
      </c>
    </row>
    <row r="7267" spans="1:17">
      <c r="A7267" s="12">
        <v>46368</v>
      </c>
      <c r="B7267" s="10">
        <v>21</v>
      </c>
      <c r="Q7267" s="10" t="str">
        <f t="shared" si="113"/>
        <v>Incomplete</v>
      </c>
    </row>
    <row r="7268" spans="1:17">
      <c r="A7268" s="12">
        <v>46369</v>
      </c>
      <c r="B7268" s="10">
        <v>1</v>
      </c>
      <c r="Q7268" s="10" t="str">
        <f t="shared" si="113"/>
        <v>Incomplete</v>
      </c>
    </row>
    <row r="7269" spans="1:17">
      <c r="A7269" s="12">
        <v>46369</v>
      </c>
      <c r="B7269" s="10">
        <v>2</v>
      </c>
      <c r="Q7269" s="10" t="str">
        <f t="shared" si="113"/>
        <v>Incomplete</v>
      </c>
    </row>
    <row r="7270" spans="1:17">
      <c r="A7270" s="12">
        <v>46369</v>
      </c>
      <c r="B7270" s="10">
        <v>3</v>
      </c>
      <c r="Q7270" s="10" t="str">
        <f t="shared" si="113"/>
        <v>Incomplete</v>
      </c>
    </row>
    <row r="7271" spans="1:17">
      <c r="A7271" s="12">
        <v>46369</v>
      </c>
      <c r="B7271" s="10">
        <v>4</v>
      </c>
      <c r="Q7271" s="10" t="str">
        <f t="shared" si="113"/>
        <v>Incomplete</v>
      </c>
    </row>
    <row r="7272" spans="1:17">
      <c r="A7272" s="12">
        <v>46369</v>
      </c>
      <c r="B7272" s="10">
        <v>5</v>
      </c>
      <c r="Q7272" s="10" t="str">
        <f t="shared" si="113"/>
        <v>Incomplete</v>
      </c>
    </row>
    <row r="7273" spans="1:17">
      <c r="A7273" s="12">
        <v>46369</v>
      </c>
      <c r="B7273" s="10">
        <v>6</v>
      </c>
      <c r="Q7273" s="10" t="str">
        <f t="shared" si="113"/>
        <v>Incomplete</v>
      </c>
    </row>
    <row r="7274" spans="1:17">
      <c r="A7274" s="12">
        <v>46369</v>
      </c>
      <c r="B7274" s="10">
        <v>7</v>
      </c>
      <c r="Q7274" s="10" t="str">
        <f t="shared" si="113"/>
        <v>Incomplete</v>
      </c>
    </row>
    <row r="7275" spans="1:17">
      <c r="A7275" s="12">
        <v>46369</v>
      </c>
      <c r="B7275" s="10">
        <v>8</v>
      </c>
      <c r="Q7275" s="10" t="str">
        <f t="shared" si="113"/>
        <v>Incomplete</v>
      </c>
    </row>
    <row r="7276" spans="1:17">
      <c r="A7276" s="12">
        <v>46369</v>
      </c>
      <c r="B7276" s="10">
        <v>9</v>
      </c>
      <c r="Q7276" s="10" t="str">
        <f t="shared" si="113"/>
        <v>Incomplete</v>
      </c>
    </row>
    <row r="7277" spans="1:17">
      <c r="A7277" s="12">
        <v>46369</v>
      </c>
      <c r="B7277" s="10">
        <v>10</v>
      </c>
      <c r="Q7277" s="10" t="str">
        <f t="shared" si="113"/>
        <v>Incomplete</v>
      </c>
    </row>
    <row r="7278" spans="1:17">
      <c r="A7278" s="12">
        <v>46369</v>
      </c>
      <c r="B7278" s="10">
        <v>11</v>
      </c>
      <c r="Q7278" s="10" t="str">
        <f t="shared" si="113"/>
        <v>Incomplete</v>
      </c>
    </row>
    <row r="7279" spans="1:17">
      <c r="A7279" s="12">
        <v>46369</v>
      </c>
      <c r="B7279" s="10">
        <v>12</v>
      </c>
      <c r="Q7279" s="10" t="str">
        <f t="shared" si="113"/>
        <v>Incomplete</v>
      </c>
    </row>
    <row r="7280" spans="1:17">
      <c r="A7280" s="12">
        <v>46369</v>
      </c>
      <c r="B7280" s="10">
        <v>13</v>
      </c>
      <c r="Q7280" s="10" t="str">
        <f t="shared" si="113"/>
        <v>Incomplete</v>
      </c>
    </row>
    <row r="7281" spans="1:17">
      <c r="A7281" s="12">
        <v>46369</v>
      </c>
      <c r="B7281" s="10">
        <v>14</v>
      </c>
      <c r="Q7281" s="10" t="str">
        <f t="shared" si="113"/>
        <v>Incomplete</v>
      </c>
    </row>
    <row r="7282" spans="1:17">
      <c r="A7282" s="12">
        <v>46369</v>
      </c>
      <c r="B7282" s="10">
        <v>15</v>
      </c>
      <c r="Q7282" s="10" t="str">
        <f t="shared" si="113"/>
        <v>Incomplete</v>
      </c>
    </row>
    <row r="7283" spans="1:17">
      <c r="A7283" s="12">
        <v>46369</v>
      </c>
      <c r="B7283" s="10">
        <v>16</v>
      </c>
      <c r="Q7283" s="10" t="str">
        <f t="shared" si="113"/>
        <v>Incomplete</v>
      </c>
    </row>
    <row r="7284" spans="1:17">
      <c r="A7284" s="12">
        <v>46369</v>
      </c>
      <c r="B7284" s="10">
        <v>17</v>
      </c>
      <c r="Q7284" s="10" t="str">
        <f t="shared" si="113"/>
        <v>Incomplete</v>
      </c>
    </row>
    <row r="7285" spans="1:17">
      <c r="A7285" s="12">
        <v>46369</v>
      </c>
      <c r="B7285" s="10">
        <v>18</v>
      </c>
      <c r="Q7285" s="10" t="str">
        <f t="shared" si="113"/>
        <v>Incomplete</v>
      </c>
    </row>
    <row r="7286" spans="1:17">
      <c r="A7286" s="12">
        <v>46369</v>
      </c>
      <c r="B7286" s="10">
        <v>19</v>
      </c>
      <c r="Q7286" s="10" t="str">
        <f t="shared" si="113"/>
        <v>Incomplete</v>
      </c>
    </row>
    <row r="7287" spans="1:17">
      <c r="A7287" s="12">
        <v>46369</v>
      </c>
      <c r="B7287" s="10">
        <v>20</v>
      </c>
      <c r="Q7287" s="10" t="str">
        <f t="shared" si="113"/>
        <v>Incomplete</v>
      </c>
    </row>
    <row r="7288" spans="1:17">
      <c r="A7288" s="12">
        <v>46369</v>
      </c>
      <c r="B7288" s="10">
        <v>21</v>
      </c>
      <c r="Q7288" s="10" t="str">
        <f t="shared" si="113"/>
        <v>Incomplete</v>
      </c>
    </row>
    <row r="7289" spans="1:17">
      <c r="A7289" s="12">
        <v>46370</v>
      </c>
      <c r="B7289" s="10">
        <v>1</v>
      </c>
      <c r="Q7289" s="10" t="str">
        <f t="shared" si="113"/>
        <v>Incomplete</v>
      </c>
    </row>
    <row r="7290" spans="1:17">
      <c r="A7290" s="12">
        <v>46370</v>
      </c>
      <c r="B7290" s="10">
        <v>2</v>
      </c>
      <c r="Q7290" s="10" t="str">
        <f t="shared" si="113"/>
        <v>Incomplete</v>
      </c>
    </row>
    <row r="7291" spans="1:17">
      <c r="A7291" s="12">
        <v>46370</v>
      </c>
      <c r="B7291" s="10">
        <v>3</v>
      </c>
      <c r="Q7291" s="10" t="str">
        <f t="shared" si="113"/>
        <v>Incomplete</v>
      </c>
    </row>
    <row r="7292" spans="1:17">
      <c r="A7292" s="12">
        <v>46370</v>
      </c>
      <c r="B7292" s="10">
        <v>4</v>
      </c>
      <c r="Q7292" s="10" t="str">
        <f t="shared" si="113"/>
        <v>Incomplete</v>
      </c>
    </row>
    <row r="7293" spans="1:17">
      <c r="A7293" s="12">
        <v>46370</v>
      </c>
      <c r="B7293" s="10">
        <v>5</v>
      </c>
      <c r="Q7293" s="10" t="str">
        <f t="shared" si="113"/>
        <v>Incomplete</v>
      </c>
    </row>
    <row r="7294" spans="1:17">
      <c r="A7294" s="12">
        <v>46370</v>
      </c>
      <c r="B7294" s="10">
        <v>6</v>
      </c>
      <c r="Q7294" s="10" t="str">
        <f t="shared" si="113"/>
        <v>Incomplete</v>
      </c>
    </row>
    <row r="7295" spans="1:17">
      <c r="A7295" s="12">
        <v>46370</v>
      </c>
      <c r="B7295" s="10">
        <v>7</v>
      </c>
      <c r="Q7295" s="10" t="str">
        <f t="shared" si="113"/>
        <v>Incomplete</v>
      </c>
    </row>
    <row r="7296" spans="1:17">
      <c r="A7296" s="12">
        <v>46370</v>
      </c>
      <c r="B7296" s="10">
        <v>8</v>
      </c>
      <c r="Q7296" s="10" t="str">
        <f t="shared" si="113"/>
        <v>Incomplete</v>
      </c>
    </row>
    <row r="7297" spans="1:17">
      <c r="A7297" s="12">
        <v>46370</v>
      </c>
      <c r="B7297" s="10">
        <v>9</v>
      </c>
      <c r="Q7297" s="10" t="str">
        <f t="shared" si="113"/>
        <v>Incomplete</v>
      </c>
    </row>
    <row r="7298" spans="1:17">
      <c r="A7298" s="12">
        <v>46370</v>
      </c>
      <c r="B7298" s="10">
        <v>10</v>
      </c>
      <c r="Q7298" s="10" t="str">
        <f t="shared" ref="Q7298:Q7361" si="114">IF(AND(C7298&lt;&gt;"",J7298&lt;&gt;"",K7298&lt;&gt;"",L7298&lt;&gt;"",O7298="Yes"),"Complete","Incomplete")</f>
        <v>Incomplete</v>
      </c>
    </row>
    <row r="7299" spans="1:17">
      <c r="A7299" s="12">
        <v>46370</v>
      </c>
      <c r="B7299" s="10">
        <v>11</v>
      </c>
      <c r="Q7299" s="10" t="str">
        <f t="shared" si="114"/>
        <v>Incomplete</v>
      </c>
    </row>
    <row r="7300" spans="1:17">
      <c r="A7300" s="12">
        <v>46370</v>
      </c>
      <c r="B7300" s="10">
        <v>12</v>
      </c>
      <c r="Q7300" s="10" t="str">
        <f t="shared" si="114"/>
        <v>Incomplete</v>
      </c>
    </row>
    <row r="7301" spans="1:17">
      <c r="A7301" s="12">
        <v>46370</v>
      </c>
      <c r="B7301" s="10">
        <v>13</v>
      </c>
      <c r="Q7301" s="10" t="str">
        <f t="shared" si="114"/>
        <v>Incomplete</v>
      </c>
    </row>
    <row r="7302" spans="1:17">
      <c r="A7302" s="12">
        <v>46370</v>
      </c>
      <c r="B7302" s="10">
        <v>14</v>
      </c>
      <c r="Q7302" s="10" t="str">
        <f t="shared" si="114"/>
        <v>Incomplete</v>
      </c>
    </row>
    <row r="7303" spans="1:17">
      <c r="A7303" s="12">
        <v>46370</v>
      </c>
      <c r="B7303" s="10">
        <v>15</v>
      </c>
      <c r="Q7303" s="10" t="str">
        <f t="shared" si="114"/>
        <v>Incomplete</v>
      </c>
    </row>
    <row r="7304" spans="1:17">
      <c r="A7304" s="12">
        <v>46370</v>
      </c>
      <c r="B7304" s="10">
        <v>16</v>
      </c>
      <c r="Q7304" s="10" t="str">
        <f t="shared" si="114"/>
        <v>Incomplete</v>
      </c>
    </row>
    <row r="7305" spans="1:17">
      <c r="A7305" s="12">
        <v>46370</v>
      </c>
      <c r="B7305" s="10">
        <v>17</v>
      </c>
      <c r="Q7305" s="10" t="str">
        <f t="shared" si="114"/>
        <v>Incomplete</v>
      </c>
    </row>
    <row r="7306" spans="1:17">
      <c r="A7306" s="12">
        <v>46370</v>
      </c>
      <c r="B7306" s="10">
        <v>18</v>
      </c>
      <c r="Q7306" s="10" t="str">
        <f t="shared" si="114"/>
        <v>Incomplete</v>
      </c>
    </row>
    <row r="7307" spans="1:17">
      <c r="A7307" s="12">
        <v>46370</v>
      </c>
      <c r="B7307" s="10">
        <v>19</v>
      </c>
      <c r="Q7307" s="10" t="str">
        <f t="shared" si="114"/>
        <v>Incomplete</v>
      </c>
    </row>
    <row r="7308" spans="1:17">
      <c r="A7308" s="12">
        <v>46370</v>
      </c>
      <c r="B7308" s="10">
        <v>20</v>
      </c>
      <c r="Q7308" s="10" t="str">
        <f t="shared" si="114"/>
        <v>Incomplete</v>
      </c>
    </row>
    <row r="7309" spans="1:17">
      <c r="A7309" s="12">
        <v>46370</v>
      </c>
      <c r="B7309" s="10">
        <v>21</v>
      </c>
      <c r="Q7309" s="10" t="str">
        <f t="shared" si="114"/>
        <v>Incomplete</v>
      </c>
    </row>
    <row r="7310" spans="1:17">
      <c r="A7310" s="12">
        <v>46371</v>
      </c>
      <c r="B7310" s="10">
        <v>1</v>
      </c>
      <c r="Q7310" s="10" t="str">
        <f t="shared" si="114"/>
        <v>Incomplete</v>
      </c>
    </row>
    <row r="7311" spans="1:17">
      <c r="A7311" s="12">
        <v>46371</v>
      </c>
      <c r="B7311" s="10">
        <v>2</v>
      </c>
      <c r="Q7311" s="10" t="str">
        <f t="shared" si="114"/>
        <v>Incomplete</v>
      </c>
    </row>
    <row r="7312" spans="1:17">
      <c r="A7312" s="12">
        <v>46371</v>
      </c>
      <c r="B7312" s="10">
        <v>3</v>
      </c>
      <c r="Q7312" s="10" t="str">
        <f t="shared" si="114"/>
        <v>Incomplete</v>
      </c>
    </row>
    <row r="7313" spans="1:17">
      <c r="A7313" s="12">
        <v>46371</v>
      </c>
      <c r="B7313" s="10">
        <v>4</v>
      </c>
      <c r="Q7313" s="10" t="str">
        <f t="shared" si="114"/>
        <v>Incomplete</v>
      </c>
    </row>
    <row r="7314" spans="1:17">
      <c r="A7314" s="12">
        <v>46371</v>
      </c>
      <c r="B7314" s="10">
        <v>5</v>
      </c>
      <c r="Q7314" s="10" t="str">
        <f t="shared" si="114"/>
        <v>Incomplete</v>
      </c>
    </row>
    <row r="7315" spans="1:17">
      <c r="A7315" s="12">
        <v>46371</v>
      </c>
      <c r="B7315" s="10">
        <v>6</v>
      </c>
      <c r="Q7315" s="10" t="str">
        <f t="shared" si="114"/>
        <v>Incomplete</v>
      </c>
    </row>
    <row r="7316" spans="1:17">
      <c r="A7316" s="12">
        <v>46371</v>
      </c>
      <c r="B7316" s="10">
        <v>7</v>
      </c>
      <c r="Q7316" s="10" t="str">
        <f t="shared" si="114"/>
        <v>Incomplete</v>
      </c>
    </row>
    <row r="7317" spans="1:17">
      <c r="A7317" s="12">
        <v>46371</v>
      </c>
      <c r="B7317" s="10">
        <v>8</v>
      </c>
      <c r="Q7317" s="10" t="str">
        <f t="shared" si="114"/>
        <v>Incomplete</v>
      </c>
    </row>
    <row r="7318" spans="1:17">
      <c r="A7318" s="12">
        <v>46371</v>
      </c>
      <c r="B7318" s="10">
        <v>9</v>
      </c>
      <c r="Q7318" s="10" t="str">
        <f t="shared" si="114"/>
        <v>Incomplete</v>
      </c>
    </row>
    <row r="7319" spans="1:17">
      <c r="A7319" s="12">
        <v>46371</v>
      </c>
      <c r="B7319" s="10">
        <v>10</v>
      </c>
      <c r="Q7319" s="10" t="str">
        <f t="shared" si="114"/>
        <v>Incomplete</v>
      </c>
    </row>
    <row r="7320" spans="1:17">
      <c r="A7320" s="12">
        <v>46371</v>
      </c>
      <c r="B7320" s="10">
        <v>11</v>
      </c>
      <c r="Q7320" s="10" t="str">
        <f t="shared" si="114"/>
        <v>Incomplete</v>
      </c>
    </row>
    <row r="7321" spans="1:17">
      <c r="A7321" s="12">
        <v>46371</v>
      </c>
      <c r="B7321" s="10">
        <v>12</v>
      </c>
      <c r="Q7321" s="10" t="str">
        <f t="shared" si="114"/>
        <v>Incomplete</v>
      </c>
    </row>
    <row r="7322" spans="1:17">
      <c r="A7322" s="12">
        <v>46371</v>
      </c>
      <c r="B7322" s="10">
        <v>13</v>
      </c>
      <c r="Q7322" s="10" t="str">
        <f t="shared" si="114"/>
        <v>Incomplete</v>
      </c>
    </row>
    <row r="7323" spans="1:17">
      <c r="A7323" s="12">
        <v>46371</v>
      </c>
      <c r="B7323" s="10">
        <v>14</v>
      </c>
      <c r="Q7323" s="10" t="str">
        <f t="shared" si="114"/>
        <v>Incomplete</v>
      </c>
    </row>
    <row r="7324" spans="1:17">
      <c r="A7324" s="12">
        <v>46371</v>
      </c>
      <c r="B7324" s="10">
        <v>15</v>
      </c>
      <c r="Q7324" s="10" t="str">
        <f t="shared" si="114"/>
        <v>Incomplete</v>
      </c>
    </row>
    <row r="7325" spans="1:17">
      <c r="A7325" s="12">
        <v>46371</v>
      </c>
      <c r="B7325" s="10">
        <v>16</v>
      </c>
      <c r="Q7325" s="10" t="str">
        <f t="shared" si="114"/>
        <v>Incomplete</v>
      </c>
    </row>
    <row r="7326" spans="1:17">
      <c r="A7326" s="12">
        <v>46371</v>
      </c>
      <c r="B7326" s="10">
        <v>17</v>
      </c>
      <c r="Q7326" s="10" t="str">
        <f t="shared" si="114"/>
        <v>Incomplete</v>
      </c>
    </row>
    <row r="7327" spans="1:17">
      <c r="A7327" s="12">
        <v>46371</v>
      </c>
      <c r="B7327" s="10">
        <v>18</v>
      </c>
      <c r="Q7327" s="10" t="str">
        <f t="shared" si="114"/>
        <v>Incomplete</v>
      </c>
    </row>
    <row r="7328" spans="1:17">
      <c r="A7328" s="12">
        <v>46371</v>
      </c>
      <c r="B7328" s="10">
        <v>19</v>
      </c>
      <c r="Q7328" s="10" t="str">
        <f t="shared" si="114"/>
        <v>Incomplete</v>
      </c>
    </row>
    <row r="7329" spans="1:17">
      <c r="A7329" s="12">
        <v>46371</v>
      </c>
      <c r="B7329" s="10">
        <v>20</v>
      </c>
      <c r="Q7329" s="10" t="str">
        <f t="shared" si="114"/>
        <v>Incomplete</v>
      </c>
    </row>
    <row r="7330" spans="1:17">
      <c r="A7330" s="12">
        <v>46371</v>
      </c>
      <c r="B7330" s="10">
        <v>21</v>
      </c>
      <c r="Q7330" s="10" t="str">
        <f t="shared" si="114"/>
        <v>Incomplete</v>
      </c>
    </row>
    <row r="7331" spans="1:17">
      <c r="A7331" s="12">
        <v>46372</v>
      </c>
      <c r="B7331" s="10">
        <v>1</v>
      </c>
      <c r="Q7331" s="10" t="str">
        <f t="shared" si="114"/>
        <v>Incomplete</v>
      </c>
    </row>
    <row r="7332" spans="1:17">
      <c r="A7332" s="12">
        <v>46372</v>
      </c>
      <c r="B7332" s="10">
        <v>2</v>
      </c>
      <c r="Q7332" s="10" t="str">
        <f t="shared" si="114"/>
        <v>Incomplete</v>
      </c>
    </row>
    <row r="7333" spans="1:17">
      <c r="A7333" s="12">
        <v>46372</v>
      </c>
      <c r="B7333" s="10">
        <v>3</v>
      </c>
      <c r="Q7333" s="10" t="str">
        <f t="shared" si="114"/>
        <v>Incomplete</v>
      </c>
    </row>
    <row r="7334" spans="1:17">
      <c r="A7334" s="12">
        <v>46372</v>
      </c>
      <c r="B7334" s="10">
        <v>4</v>
      </c>
      <c r="Q7334" s="10" t="str">
        <f t="shared" si="114"/>
        <v>Incomplete</v>
      </c>
    </row>
    <row r="7335" spans="1:17">
      <c r="A7335" s="12">
        <v>46372</v>
      </c>
      <c r="B7335" s="10">
        <v>5</v>
      </c>
      <c r="Q7335" s="10" t="str">
        <f t="shared" si="114"/>
        <v>Incomplete</v>
      </c>
    </row>
    <row r="7336" spans="1:17">
      <c r="A7336" s="12">
        <v>46372</v>
      </c>
      <c r="B7336" s="10">
        <v>6</v>
      </c>
      <c r="Q7336" s="10" t="str">
        <f t="shared" si="114"/>
        <v>Incomplete</v>
      </c>
    </row>
    <row r="7337" spans="1:17">
      <c r="A7337" s="12">
        <v>46372</v>
      </c>
      <c r="B7337" s="10">
        <v>7</v>
      </c>
      <c r="Q7337" s="10" t="str">
        <f t="shared" si="114"/>
        <v>Incomplete</v>
      </c>
    </row>
    <row r="7338" spans="1:17">
      <c r="A7338" s="12">
        <v>46372</v>
      </c>
      <c r="B7338" s="10">
        <v>8</v>
      </c>
      <c r="Q7338" s="10" t="str">
        <f t="shared" si="114"/>
        <v>Incomplete</v>
      </c>
    </row>
    <row r="7339" spans="1:17">
      <c r="A7339" s="12">
        <v>46372</v>
      </c>
      <c r="B7339" s="10">
        <v>9</v>
      </c>
      <c r="Q7339" s="10" t="str">
        <f t="shared" si="114"/>
        <v>Incomplete</v>
      </c>
    </row>
    <row r="7340" spans="1:17">
      <c r="A7340" s="12">
        <v>46372</v>
      </c>
      <c r="B7340" s="10">
        <v>10</v>
      </c>
      <c r="Q7340" s="10" t="str">
        <f t="shared" si="114"/>
        <v>Incomplete</v>
      </c>
    </row>
    <row r="7341" spans="1:17">
      <c r="A7341" s="12">
        <v>46372</v>
      </c>
      <c r="B7341" s="10">
        <v>11</v>
      </c>
      <c r="Q7341" s="10" t="str">
        <f t="shared" si="114"/>
        <v>Incomplete</v>
      </c>
    </row>
    <row r="7342" spans="1:17">
      <c r="A7342" s="12">
        <v>46372</v>
      </c>
      <c r="B7342" s="10">
        <v>12</v>
      </c>
      <c r="Q7342" s="10" t="str">
        <f t="shared" si="114"/>
        <v>Incomplete</v>
      </c>
    </row>
    <row r="7343" spans="1:17">
      <c r="A7343" s="12">
        <v>46372</v>
      </c>
      <c r="B7343" s="10">
        <v>13</v>
      </c>
      <c r="Q7343" s="10" t="str">
        <f t="shared" si="114"/>
        <v>Incomplete</v>
      </c>
    </row>
    <row r="7344" spans="1:17">
      <c r="A7344" s="12">
        <v>46372</v>
      </c>
      <c r="B7344" s="10">
        <v>14</v>
      </c>
      <c r="Q7344" s="10" t="str">
        <f t="shared" si="114"/>
        <v>Incomplete</v>
      </c>
    </row>
    <row r="7345" spans="1:17">
      <c r="A7345" s="12">
        <v>46372</v>
      </c>
      <c r="B7345" s="10">
        <v>15</v>
      </c>
      <c r="Q7345" s="10" t="str">
        <f t="shared" si="114"/>
        <v>Incomplete</v>
      </c>
    </row>
    <row r="7346" spans="1:17">
      <c r="A7346" s="12">
        <v>46372</v>
      </c>
      <c r="B7346" s="10">
        <v>16</v>
      </c>
      <c r="Q7346" s="10" t="str">
        <f t="shared" si="114"/>
        <v>Incomplete</v>
      </c>
    </row>
    <row r="7347" spans="1:17">
      <c r="A7347" s="12">
        <v>46372</v>
      </c>
      <c r="B7347" s="10">
        <v>17</v>
      </c>
      <c r="Q7347" s="10" t="str">
        <f t="shared" si="114"/>
        <v>Incomplete</v>
      </c>
    </row>
    <row r="7348" spans="1:17">
      <c r="A7348" s="12">
        <v>46372</v>
      </c>
      <c r="B7348" s="10">
        <v>18</v>
      </c>
      <c r="Q7348" s="10" t="str">
        <f t="shared" si="114"/>
        <v>Incomplete</v>
      </c>
    </row>
    <row r="7349" spans="1:17">
      <c r="A7349" s="12">
        <v>46372</v>
      </c>
      <c r="B7349" s="10">
        <v>19</v>
      </c>
      <c r="Q7349" s="10" t="str">
        <f t="shared" si="114"/>
        <v>Incomplete</v>
      </c>
    </row>
    <row r="7350" spans="1:17">
      <c r="A7350" s="12">
        <v>46372</v>
      </c>
      <c r="B7350" s="10">
        <v>20</v>
      </c>
      <c r="Q7350" s="10" t="str">
        <f t="shared" si="114"/>
        <v>Incomplete</v>
      </c>
    </row>
    <row r="7351" spans="1:17">
      <c r="A7351" s="12">
        <v>46372</v>
      </c>
      <c r="B7351" s="10">
        <v>21</v>
      </c>
      <c r="Q7351" s="10" t="str">
        <f t="shared" si="114"/>
        <v>Incomplete</v>
      </c>
    </row>
    <row r="7352" spans="1:17">
      <c r="A7352" s="12">
        <v>46373</v>
      </c>
      <c r="B7352" s="10">
        <v>1</v>
      </c>
      <c r="Q7352" s="10" t="str">
        <f t="shared" si="114"/>
        <v>Incomplete</v>
      </c>
    </row>
    <row r="7353" spans="1:17">
      <c r="A7353" s="12">
        <v>46373</v>
      </c>
      <c r="B7353" s="10">
        <v>2</v>
      </c>
      <c r="Q7353" s="10" t="str">
        <f t="shared" si="114"/>
        <v>Incomplete</v>
      </c>
    </row>
    <row r="7354" spans="1:17">
      <c r="A7354" s="12">
        <v>46373</v>
      </c>
      <c r="B7354" s="10">
        <v>3</v>
      </c>
      <c r="Q7354" s="10" t="str">
        <f t="shared" si="114"/>
        <v>Incomplete</v>
      </c>
    </row>
    <row r="7355" spans="1:17">
      <c r="A7355" s="12">
        <v>46373</v>
      </c>
      <c r="B7355" s="10">
        <v>4</v>
      </c>
      <c r="Q7355" s="10" t="str">
        <f t="shared" si="114"/>
        <v>Incomplete</v>
      </c>
    </row>
    <row r="7356" spans="1:17">
      <c r="A7356" s="12">
        <v>46373</v>
      </c>
      <c r="B7356" s="10">
        <v>5</v>
      </c>
      <c r="Q7356" s="10" t="str">
        <f t="shared" si="114"/>
        <v>Incomplete</v>
      </c>
    </row>
    <row r="7357" spans="1:17">
      <c r="A7357" s="12">
        <v>46373</v>
      </c>
      <c r="B7357" s="10">
        <v>6</v>
      </c>
      <c r="Q7357" s="10" t="str">
        <f t="shared" si="114"/>
        <v>Incomplete</v>
      </c>
    </row>
    <row r="7358" spans="1:17">
      <c r="A7358" s="12">
        <v>46373</v>
      </c>
      <c r="B7358" s="10">
        <v>7</v>
      </c>
      <c r="Q7358" s="10" t="str">
        <f t="shared" si="114"/>
        <v>Incomplete</v>
      </c>
    </row>
    <row r="7359" spans="1:17">
      <c r="A7359" s="12">
        <v>46373</v>
      </c>
      <c r="B7359" s="10">
        <v>8</v>
      </c>
      <c r="Q7359" s="10" t="str">
        <f t="shared" si="114"/>
        <v>Incomplete</v>
      </c>
    </row>
    <row r="7360" spans="1:17">
      <c r="A7360" s="12">
        <v>46373</v>
      </c>
      <c r="B7360" s="10">
        <v>9</v>
      </c>
      <c r="Q7360" s="10" t="str">
        <f t="shared" si="114"/>
        <v>Incomplete</v>
      </c>
    </row>
    <row r="7361" spans="1:17">
      <c r="A7361" s="12">
        <v>46373</v>
      </c>
      <c r="B7361" s="10">
        <v>10</v>
      </c>
      <c r="Q7361" s="10" t="str">
        <f t="shared" si="114"/>
        <v>Incomplete</v>
      </c>
    </row>
    <row r="7362" spans="1:17">
      <c r="A7362" s="12">
        <v>46373</v>
      </c>
      <c r="B7362" s="10">
        <v>11</v>
      </c>
      <c r="Q7362" s="10" t="str">
        <f t="shared" ref="Q7362:Q7425" si="115">IF(AND(C7362&lt;&gt;"",J7362&lt;&gt;"",K7362&lt;&gt;"",L7362&lt;&gt;"",O7362="Yes"),"Complete","Incomplete")</f>
        <v>Incomplete</v>
      </c>
    </row>
    <row r="7363" spans="1:17">
      <c r="A7363" s="12">
        <v>46373</v>
      </c>
      <c r="B7363" s="10">
        <v>12</v>
      </c>
      <c r="Q7363" s="10" t="str">
        <f t="shared" si="115"/>
        <v>Incomplete</v>
      </c>
    </row>
    <row r="7364" spans="1:17">
      <c r="A7364" s="12">
        <v>46373</v>
      </c>
      <c r="B7364" s="10">
        <v>13</v>
      </c>
      <c r="Q7364" s="10" t="str">
        <f t="shared" si="115"/>
        <v>Incomplete</v>
      </c>
    </row>
    <row r="7365" spans="1:17">
      <c r="A7365" s="12">
        <v>46373</v>
      </c>
      <c r="B7365" s="10">
        <v>14</v>
      </c>
      <c r="Q7365" s="10" t="str">
        <f t="shared" si="115"/>
        <v>Incomplete</v>
      </c>
    </row>
    <row r="7366" spans="1:17">
      <c r="A7366" s="12">
        <v>46373</v>
      </c>
      <c r="B7366" s="10">
        <v>15</v>
      </c>
      <c r="Q7366" s="10" t="str">
        <f t="shared" si="115"/>
        <v>Incomplete</v>
      </c>
    </row>
    <row r="7367" spans="1:17">
      <c r="A7367" s="12">
        <v>46373</v>
      </c>
      <c r="B7367" s="10">
        <v>16</v>
      </c>
      <c r="Q7367" s="10" t="str">
        <f t="shared" si="115"/>
        <v>Incomplete</v>
      </c>
    </row>
    <row r="7368" spans="1:17">
      <c r="A7368" s="12">
        <v>46373</v>
      </c>
      <c r="B7368" s="10">
        <v>17</v>
      </c>
      <c r="Q7368" s="10" t="str">
        <f t="shared" si="115"/>
        <v>Incomplete</v>
      </c>
    </row>
    <row r="7369" spans="1:17">
      <c r="A7369" s="12">
        <v>46373</v>
      </c>
      <c r="B7369" s="10">
        <v>18</v>
      </c>
      <c r="Q7369" s="10" t="str">
        <f t="shared" si="115"/>
        <v>Incomplete</v>
      </c>
    </row>
    <row r="7370" spans="1:17">
      <c r="A7370" s="12">
        <v>46373</v>
      </c>
      <c r="B7370" s="10">
        <v>19</v>
      </c>
      <c r="Q7370" s="10" t="str">
        <f t="shared" si="115"/>
        <v>Incomplete</v>
      </c>
    </row>
    <row r="7371" spans="1:17">
      <c r="A7371" s="12">
        <v>46373</v>
      </c>
      <c r="B7371" s="10">
        <v>20</v>
      </c>
      <c r="Q7371" s="10" t="str">
        <f t="shared" si="115"/>
        <v>Incomplete</v>
      </c>
    </row>
    <row r="7372" spans="1:17">
      <c r="A7372" s="12">
        <v>46373</v>
      </c>
      <c r="B7372" s="10">
        <v>21</v>
      </c>
      <c r="Q7372" s="10" t="str">
        <f t="shared" si="115"/>
        <v>Incomplete</v>
      </c>
    </row>
    <row r="7373" spans="1:17">
      <c r="A7373" s="12">
        <v>46374</v>
      </c>
      <c r="B7373" s="10">
        <v>1</v>
      </c>
      <c r="Q7373" s="10" t="str">
        <f t="shared" si="115"/>
        <v>Incomplete</v>
      </c>
    </row>
    <row r="7374" spans="1:17">
      <c r="A7374" s="12">
        <v>46374</v>
      </c>
      <c r="B7374" s="10">
        <v>2</v>
      </c>
      <c r="Q7374" s="10" t="str">
        <f t="shared" si="115"/>
        <v>Incomplete</v>
      </c>
    </row>
    <row r="7375" spans="1:17">
      <c r="A7375" s="12">
        <v>46374</v>
      </c>
      <c r="B7375" s="10">
        <v>3</v>
      </c>
      <c r="Q7375" s="10" t="str">
        <f t="shared" si="115"/>
        <v>Incomplete</v>
      </c>
    </row>
    <row r="7376" spans="1:17">
      <c r="A7376" s="12">
        <v>46374</v>
      </c>
      <c r="B7376" s="10">
        <v>4</v>
      </c>
      <c r="Q7376" s="10" t="str">
        <f t="shared" si="115"/>
        <v>Incomplete</v>
      </c>
    </row>
    <row r="7377" spans="1:17">
      <c r="A7377" s="12">
        <v>46374</v>
      </c>
      <c r="B7377" s="10">
        <v>5</v>
      </c>
      <c r="Q7377" s="10" t="str">
        <f t="shared" si="115"/>
        <v>Incomplete</v>
      </c>
    </row>
    <row r="7378" spans="1:17">
      <c r="A7378" s="12">
        <v>46374</v>
      </c>
      <c r="B7378" s="10">
        <v>6</v>
      </c>
      <c r="Q7378" s="10" t="str">
        <f t="shared" si="115"/>
        <v>Incomplete</v>
      </c>
    </row>
    <row r="7379" spans="1:17">
      <c r="A7379" s="12">
        <v>46374</v>
      </c>
      <c r="B7379" s="10">
        <v>7</v>
      </c>
      <c r="Q7379" s="10" t="str">
        <f t="shared" si="115"/>
        <v>Incomplete</v>
      </c>
    </row>
    <row r="7380" spans="1:17">
      <c r="A7380" s="12">
        <v>46374</v>
      </c>
      <c r="B7380" s="10">
        <v>8</v>
      </c>
      <c r="Q7380" s="10" t="str">
        <f t="shared" si="115"/>
        <v>Incomplete</v>
      </c>
    </row>
    <row r="7381" spans="1:17">
      <c r="A7381" s="12">
        <v>46374</v>
      </c>
      <c r="B7381" s="10">
        <v>9</v>
      </c>
      <c r="Q7381" s="10" t="str">
        <f t="shared" si="115"/>
        <v>Incomplete</v>
      </c>
    </row>
    <row r="7382" spans="1:17">
      <c r="A7382" s="12">
        <v>46374</v>
      </c>
      <c r="B7382" s="10">
        <v>10</v>
      </c>
      <c r="Q7382" s="10" t="str">
        <f t="shared" si="115"/>
        <v>Incomplete</v>
      </c>
    </row>
    <row r="7383" spans="1:17">
      <c r="A7383" s="12">
        <v>46374</v>
      </c>
      <c r="B7383" s="10">
        <v>11</v>
      </c>
      <c r="Q7383" s="10" t="str">
        <f t="shared" si="115"/>
        <v>Incomplete</v>
      </c>
    </row>
    <row r="7384" spans="1:17">
      <c r="A7384" s="12">
        <v>46374</v>
      </c>
      <c r="B7384" s="10">
        <v>12</v>
      </c>
      <c r="Q7384" s="10" t="str">
        <f t="shared" si="115"/>
        <v>Incomplete</v>
      </c>
    </row>
    <row r="7385" spans="1:17">
      <c r="A7385" s="12">
        <v>46374</v>
      </c>
      <c r="B7385" s="10">
        <v>13</v>
      </c>
      <c r="Q7385" s="10" t="str">
        <f t="shared" si="115"/>
        <v>Incomplete</v>
      </c>
    </row>
    <row r="7386" spans="1:17">
      <c r="A7386" s="12">
        <v>46374</v>
      </c>
      <c r="B7386" s="10">
        <v>14</v>
      </c>
      <c r="Q7386" s="10" t="str">
        <f t="shared" si="115"/>
        <v>Incomplete</v>
      </c>
    </row>
    <row r="7387" spans="1:17">
      <c r="A7387" s="12">
        <v>46374</v>
      </c>
      <c r="B7387" s="10">
        <v>15</v>
      </c>
      <c r="Q7387" s="10" t="str">
        <f t="shared" si="115"/>
        <v>Incomplete</v>
      </c>
    </row>
    <row r="7388" spans="1:17">
      <c r="A7388" s="12">
        <v>46374</v>
      </c>
      <c r="B7388" s="10">
        <v>16</v>
      </c>
      <c r="Q7388" s="10" t="str">
        <f t="shared" si="115"/>
        <v>Incomplete</v>
      </c>
    </row>
    <row r="7389" spans="1:17">
      <c r="A7389" s="12">
        <v>46374</v>
      </c>
      <c r="B7389" s="10">
        <v>17</v>
      </c>
      <c r="Q7389" s="10" t="str">
        <f t="shared" si="115"/>
        <v>Incomplete</v>
      </c>
    </row>
    <row r="7390" spans="1:17">
      <c r="A7390" s="12">
        <v>46374</v>
      </c>
      <c r="B7390" s="10">
        <v>18</v>
      </c>
      <c r="Q7390" s="10" t="str">
        <f t="shared" si="115"/>
        <v>Incomplete</v>
      </c>
    </row>
    <row r="7391" spans="1:17">
      <c r="A7391" s="12">
        <v>46374</v>
      </c>
      <c r="B7391" s="10">
        <v>19</v>
      </c>
      <c r="Q7391" s="10" t="str">
        <f t="shared" si="115"/>
        <v>Incomplete</v>
      </c>
    </row>
    <row r="7392" spans="1:17">
      <c r="A7392" s="12">
        <v>46374</v>
      </c>
      <c r="B7392" s="10">
        <v>20</v>
      </c>
      <c r="Q7392" s="10" t="str">
        <f t="shared" si="115"/>
        <v>Incomplete</v>
      </c>
    </row>
    <row r="7393" spans="1:17">
      <c r="A7393" s="12">
        <v>46374</v>
      </c>
      <c r="B7393" s="10">
        <v>21</v>
      </c>
      <c r="Q7393" s="10" t="str">
        <f t="shared" si="115"/>
        <v>Incomplete</v>
      </c>
    </row>
    <row r="7394" spans="1:17">
      <c r="A7394" s="12">
        <v>46375</v>
      </c>
      <c r="B7394" s="10">
        <v>1</v>
      </c>
      <c r="Q7394" s="10" t="str">
        <f t="shared" si="115"/>
        <v>Incomplete</v>
      </c>
    </row>
    <row r="7395" spans="1:17">
      <c r="A7395" s="12">
        <v>46375</v>
      </c>
      <c r="B7395" s="10">
        <v>2</v>
      </c>
      <c r="Q7395" s="10" t="str">
        <f t="shared" si="115"/>
        <v>Incomplete</v>
      </c>
    </row>
    <row r="7396" spans="1:17">
      <c r="A7396" s="12">
        <v>46375</v>
      </c>
      <c r="B7396" s="10">
        <v>3</v>
      </c>
      <c r="Q7396" s="10" t="str">
        <f t="shared" si="115"/>
        <v>Incomplete</v>
      </c>
    </row>
    <row r="7397" spans="1:17">
      <c r="A7397" s="12">
        <v>46375</v>
      </c>
      <c r="B7397" s="10">
        <v>4</v>
      </c>
      <c r="Q7397" s="10" t="str">
        <f t="shared" si="115"/>
        <v>Incomplete</v>
      </c>
    </row>
    <row r="7398" spans="1:17">
      <c r="A7398" s="12">
        <v>46375</v>
      </c>
      <c r="B7398" s="10">
        <v>5</v>
      </c>
      <c r="Q7398" s="10" t="str">
        <f t="shared" si="115"/>
        <v>Incomplete</v>
      </c>
    </row>
    <row r="7399" spans="1:17">
      <c r="A7399" s="12">
        <v>46375</v>
      </c>
      <c r="B7399" s="10">
        <v>6</v>
      </c>
      <c r="Q7399" s="10" t="str">
        <f t="shared" si="115"/>
        <v>Incomplete</v>
      </c>
    </row>
    <row r="7400" spans="1:17">
      <c r="A7400" s="12">
        <v>46375</v>
      </c>
      <c r="B7400" s="10">
        <v>7</v>
      </c>
      <c r="Q7400" s="10" t="str">
        <f t="shared" si="115"/>
        <v>Incomplete</v>
      </c>
    </row>
    <row r="7401" spans="1:17">
      <c r="A7401" s="12">
        <v>46375</v>
      </c>
      <c r="B7401" s="10">
        <v>8</v>
      </c>
      <c r="Q7401" s="10" t="str">
        <f t="shared" si="115"/>
        <v>Incomplete</v>
      </c>
    </row>
    <row r="7402" spans="1:17">
      <c r="A7402" s="12">
        <v>46375</v>
      </c>
      <c r="B7402" s="10">
        <v>9</v>
      </c>
      <c r="Q7402" s="10" t="str">
        <f t="shared" si="115"/>
        <v>Incomplete</v>
      </c>
    </row>
    <row r="7403" spans="1:17">
      <c r="A7403" s="12">
        <v>46375</v>
      </c>
      <c r="B7403" s="10">
        <v>10</v>
      </c>
      <c r="Q7403" s="10" t="str">
        <f t="shared" si="115"/>
        <v>Incomplete</v>
      </c>
    </row>
    <row r="7404" spans="1:17">
      <c r="A7404" s="12">
        <v>46375</v>
      </c>
      <c r="B7404" s="10">
        <v>11</v>
      </c>
      <c r="Q7404" s="10" t="str">
        <f t="shared" si="115"/>
        <v>Incomplete</v>
      </c>
    </row>
    <row r="7405" spans="1:17">
      <c r="A7405" s="12">
        <v>46375</v>
      </c>
      <c r="B7405" s="10">
        <v>12</v>
      </c>
      <c r="Q7405" s="10" t="str">
        <f t="shared" si="115"/>
        <v>Incomplete</v>
      </c>
    </row>
    <row r="7406" spans="1:17">
      <c r="A7406" s="12">
        <v>46375</v>
      </c>
      <c r="B7406" s="10">
        <v>13</v>
      </c>
      <c r="Q7406" s="10" t="str">
        <f t="shared" si="115"/>
        <v>Incomplete</v>
      </c>
    </row>
    <row r="7407" spans="1:17">
      <c r="A7407" s="12">
        <v>46375</v>
      </c>
      <c r="B7407" s="10">
        <v>14</v>
      </c>
      <c r="Q7407" s="10" t="str">
        <f t="shared" si="115"/>
        <v>Incomplete</v>
      </c>
    </row>
    <row r="7408" spans="1:17">
      <c r="A7408" s="12">
        <v>46375</v>
      </c>
      <c r="B7408" s="10">
        <v>15</v>
      </c>
      <c r="Q7408" s="10" t="str">
        <f t="shared" si="115"/>
        <v>Incomplete</v>
      </c>
    </row>
    <row r="7409" spans="1:17">
      <c r="A7409" s="12">
        <v>46375</v>
      </c>
      <c r="B7409" s="10">
        <v>16</v>
      </c>
      <c r="Q7409" s="10" t="str">
        <f t="shared" si="115"/>
        <v>Incomplete</v>
      </c>
    </row>
    <row r="7410" spans="1:17">
      <c r="A7410" s="12">
        <v>46375</v>
      </c>
      <c r="B7410" s="10">
        <v>17</v>
      </c>
      <c r="Q7410" s="10" t="str">
        <f t="shared" si="115"/>
        <v>Incomplete</v>
      </c>
    </row>
    <row r="7411" spans="1:17">
      <c r="A7411" s="12">
        <v>46375</v>
      </c>
      <c r="B7411" s="10">
        <v>18</v>
      </c>
      <c r="Q7411" s="10" t="str">
        <f t="shared" si="115"/>
        <v>Incomplete</v>
      </c>
    </row>
    <row r="7412" spans="1:17">
      <c r="A7412" s="12">
        <v>46375</v>
      </c>
      <c r="B7412" s="10">
        <v>19</v>
      </c>
      <c r="Q7412" s="10" t="str">
        <f t="shared" si="115"/>
        <v>Incomplete</v>
      </c>
    </row>
    <row r="7413" spans="1:17">
      <c r="A7413" s="12">
        <v>46375</v>
      </c>
      <c r="B7413" s="10">
        <v>20</v>
      </c>
      <c r="Q7413" s="10" t="str">
        <f t="shared" si="115"/>
        <v>Incomplete</v>
      </c>
    </row>
    <row r="7414" spans="1:17">
      <c r="A7414" s="12">
        <v>46375</v>
      </c>
      <c r="B7414" s="10">
        <v>21</v>
      </c>
      <c r="Q7414" s="10" t="str">
        <f t="shared" si="115"/>
        <v>Incomplete</v>
      </c>
    </row>
    <row r="7415" spans="1:17">
      <c r="A7415" s="12">
        <v>46376</v>
      </c>
      <c r="B7415" s="10">
        <v>1</v>
      </c>
      <c r="Q7415" s="10" t="str">
        <f t="shared" si="115"/>
        <v>Incomplete</v>
      </c>
    </row>
    <row r="7416" spans="1:17">
      <c r="A7416" s="12">
        <v>46376</v>
      </c>
      <c r="B7416" s="10">
        <v>2</v>
      </c>
      <c r="Q7416" s="10" t="str">
        <f t="shared" si="115"/>
        <v>Incomplete</v>
      </c>
    </row>
    <row r="7417" spans="1:17">
      <c r="A7417" s="12">
        <v>46376</v>
      </c>
      <c r="B7417" s="10">
        <v>3</v>
      </c>
      <c r="Q7417" s="10" t="str">
        <f t="shared" si="115"/>
        <v>Incomplete</v>
      </c>
    </row>
    <row r="7418" spans="1:17">
      <c r="A7418" s="12">
        <v>46376</v>
      </c>
      <c r="B7418" s="10">
        <v>4</v>
      </c>
      <c r="Q7418" s="10" t="str">
        <f t="shared" si="115"/>
        <v>Incomplete</v>
      </c>
    </row>
    <row r="7419" spans="1:17">
      <c r="A7419" s="12">
        <v>46376</v>
      </c>
      <c r="B7419" s="10">
        <v>5</v>
      </c>
      <c r="Q7419" s="10" t="str">
        <f t="shared" si="115"/>
        <v>Incomplete</v>
      </c>
    </row>
    <row r="7420" spans="1:17">
      <c r="A7420" s="12">
        <v>46376</v>
      </c>
      <c r="B7420" s="10">
        <v>6</v>
      </c>
      <c r="Q7420" s="10" t="str">
        <f t="shared" si="115"/>
        <v>Incomplete</v>
      </c>
    </row>
    <row r="7421" spans="1:17">
      <c r="A7421" s="12">
        <v>46376</v>
      </c>
      <c r="B7421" s="10">
        <v>7</v>
      </c>
      <c r="Q7421" s="10" t="str">
        <f t="shared" si="115"/>
        <v>Incomplete</v>
      </c>
    </row>
    <row r="7422" spans="1:17">
      <c r="A7422" s="12">
        <v>46376</v>
      </c>
      <c r="B7422" s="10">
        <v>8</v>
      </c>
      <c r="Q7422" s="10" t="str">
        <f t="shared" si="115"/>
        <v>Incomplete</v>
      </c>
    </row>
    <row r="7423" spans="1:17">
      <c r="A7423" s="12">
        <v>46376</v>
      </c>
      <c r="B7423" s="10">
        <v>9</v>
      </c>
      <c r="Q7423" s="10" t="str">
        <f t="shared" si="115"/>
        <v>Incomplete</v>
      </c>
    </row>
    <row r="7424" spans="1:17">
      <c r="A7424" s="12">
        <v>46376</v>
      </c>
      <c r="B7424" s="10">
        <v>10</v>
      </c>
      <c r="Q7424" s="10" t="str">
        <f t="shared" si="115"/>
        <v>Incomplete</v>
      </c>
    </row>
    <row r="7425" spans="1:17">
      <c r="A7425" s="12">
        <v>46376</v>
      </c>
      <c r="B7425" s="10">
        <v>11</v>
      </c>
      <c r="Q7425" s="10" t="str">
        <f t="shared" si="115"/>
        <v>Incomplete</v>
      </c>
    </row>
    <row r="7426" spans="1:17">
      <c r="A7426" s="12">
        <v>46376</v>
      </c>
      <c r="B7426" s="10">
        <v>12</v>
      </c>
      <c r="Q7426" s="10" t="str">
        <f t="shared" ref="Q7426:Q7489" si="116">IF(AND(C7426&lt;&gt;"",J7426&lt;&gt;"",K7426&lt;&gt;"",L7426&lt;&gt;"",O7426="Yes"),"Complete","Incomplete")</f>
        <v>Incomplete</v>
      </c>
    </row>
    <row r="7427" spans="1:17">
      <c r="A7427" s="12">
        <v>46376</v>
      </c>
      <c r="B7427" s="10">
        <v>13</v>
      </c>
      <c r="Q7427" s="10" t="str">
        <f t="shared" si="116"/>
        <v>Incomplete</v>
      </c>
    </row>
    <row r="7428" spans="1:17">
      <c r="A7428" s="12">
        <v>46376</v>
      </c>
      <c r="B7428" s="10">
        <v>14</v>
      </c>
      <c r="Q7428" s="10" t="str">
        <f t="shared" si="116"/>
        <v>Incomplete</v>
      </c>
    </row>
    <row r="7429" spans="1:17">
      <c r="A7429" s="12">
        <v>46376</v>
      </c>
      <c r="B7429" s="10">
        <v>15</v>
      </c>
      <c r="Q7429" s="10" t="str">
        <f t="shared" si="116"/>
        <v>Incomplete</v>
      </c>
    </row>
    <row r="7430" spans="1:17">
      <c r="A7430" s="12">
        <v>46376</v>
      </c>
      <c r="B7430" s="10">
        <v>16</v>
      </c>
      <c r="Q7430" s="10" t="str">
        <f t="shared" si="116"/>
        <v>Incomplete</v>
      </c>
    </row>
    <row r="7431" spans="1:17">
      <c r="A7431" s="12">
        <v>46376</v>
      </c>
      <c r="B7431" s="10">
        <v>17</v>
      </c>
      <c r="Q7431" s="10" t="str">
        <f t="shared" si="116"/>
        <v>Incomplete</v>
      </c>
    </row>
    <row r="7432" spans="1:17">
      <c r="A7432" s="12">
        <v>46376</v>
      </c>
      <c r="B7432" s="10">
        <v>18</v>
      </c>
      <c r="Q7432" s="10" t="str">
        <f t="shared" si="116"/>
        <v>Incomplete</v>
      </c>
    </row>
    <row r="7433" spans="1:17">
      <c r="A7433" s="12">
        <v>46376</v>
      </c>
      <c r="B7433" s="10">
        <v>19</v>
      </c>
      <c r="Q7433" s="10" t="str">
        <f t="shared" si="116"/>
        <v>Incomplete</v>
      </c>
    </row>
    <row r="7434" spans="1:17">
      <c r="A7434" s="12">
        <v>46376</v>
      </c>
      <c r="B7434" s="10">
        <v>20</v>
      </c>
      <c r="Q7434" s="10" t="str">
        <f t="shared" si="116"/>
        <v>Incomplete</v>
      </c>
    </row>
    <row r="7435" spans="1:17">
      <c r="A7435" s="12">
        <v>46376</v>
      </c>
      <c r="B7435" s="10">
        <v>21</v>
      </c>
      <c r="Q7435" s="10" t="str">
        <f t="shared" si="116"/>
        <v>Incomplete</v>
      </c>
    </row>
    <row r="7436" spans="1:17">
      <c r="A7436" s="12">
        <v>46377</v>
      </c>
      <c r="B7436" s="10">
        <v>1</v>
      </c>
      <c r="Q7436" s="10" t="str">
        <f t="shared" si="116"/>
        <v>Incomplete</v>
      </c>
    </row>
    <row r="7437" spans="1:17">
      <c r="A7437" s="12">
        <v>46377</v>
      </c>
      <c r="B7437" s="10">
        <v>2</v>
      </c>
      <c r="Q7437" s="10" t="str">
        <f t="shared" si="116"/>
        <v>Incomplete</v>
      </c>
    </row>
    <row r="7438" spans="1:17">
      <c r="A7438" s="12">
        <v>46377</v>
      </c>
      <c r="B7438" s="10">
        <v>3</v>
      </c>
      <c r="Q7438" s="10" t="str">
        <f t="shared" si="116"/>
        <v>Incomplete</v>
      </c>
    </row>
    <row r="7439" spans="1:17">
      <c r="A7439" s="12">
        <v>46377</v>
      </c>
      <c r="B7439" s="10">
        <v>4</v>
      </c>
      <c r="Q7439" s="10" t="str">
        <f t="shared" si="116"/>
        <v>Incomplete</v>
      </c>
    </row>
    <row r="7440" spans="1:17">
      <c r="A7440" s="12">
        <v>46377</v>
      </c>
      <c r="B7440" s="10">
        <v>5</v>
      </c>
      <c r="Q7440" s="10" t="str">
        <f t="shared" si="116"/>
        <v>Incomplete</v>
      </c>
    </row>
    <row r="7441" spans="1:17">
      <c r="A7441" s="12">
        <v>46377</v>
      </c>
      <c r="B7441" s="10">
        <v>6</v>
      </c>
      <c r="Q7441" s="10" t="str">
        <f t="shared" si="116"/>
        <v>Incomplete</v>
      </c>
    </row>
    <row r="7442" spans="1:17">
      <c r="A7442" s="12">
        <v>46377</v>
      </c>
      <c r="B7442" s="10">
        <v>7</v>
      </c>
      <c r="Q7442" s="10" t="str">
        <f t="shared" si="116"/>
        <v>Incomplete</v>
      </c>
    </row>
    <row r="7443" spans="1:17">
      <c r="A7443" s="12">
        <v>46377</v>
      </c>
      <c r="B7443" s="10">
        <v>8</v>
      </c>
      <c r="Q7443" s="10" t="str">
        <f t="shared" si="116"/>
        <v>Incomplete</v>
      </c>
    </row>
    <row r="7444" spans="1:17">
      <c r="A7444" s="12">
        <v>46377</v>
      </c>
      <c r="B7444" s="10">
        <v>9</v>
      </c>
      <c r="Q7444" s="10" t="str">
        <f t="shared" si="116"/>
        <v>Incomplete</v>
      </c>
    </row>
    <row r="7445" spans="1:17">
      <c r="A7445" s="12">
        <v>46377</v>
      </c>
      <c r="B7445" s="10">
        <v>10</v>
      </c>
      <c r="Q7445" s="10" t="str">
        <f t="shared" si="116"/>
        <v>Incomplete</v>
      </c>
    </row>
    <row r="7446" spans="1:17">
      <c r="A7446" s="12">
        <v>46377</v>
      </c>
      <c r="B7446" s="10">
        <v>11</v>
      </c>
      <c r="Q7446" s="10" t="str">
        <f t="shared" si="116"/>
        <v>Incomplete</v>
      </c>
    </row>
    <row r="7447" spans="1:17">
      <c r="A7447" s="12">
        <v>46377</v>
      </c>
      <c r="B7447" s="10">
        <v>12</v>
      </c>
      <c r="Q7447" s="10" t="str">
        <f t="shared" si="116"/>
        <v>Incomplete</v>
      </c>
    </row>
    <row r="7448" spans="1:17">
      <c r="A7448" s="12">
        <v>46377</v>
      </c>
      <c r="B7448" s="10">
        <v>13</v>
      </c>
      <c r="Q7448" s="10" t="str">
        <f t="shared" si="116"/>
        <v>Incomplete</v>
      </c>
    </row>
    <row r="7449" spans="1:17">
      <c r="A7449" s="12">
        <v>46377</v>
      </c>
      <c r="B7449" s="10">
        <v>14</v>
      </c>
      <c r="Q7449" s="10" t="str">
        <f t="shared" si="116"/>
        <v>Incomplete</v>
      </c>
    </row>
    <row r="7450" spans="1:17">
      <c r="A7450" s="12">
        <v>46377</v>
      </c>
      <c r="B7450" s="10">
        <v>15</v>
      </c>
      <c r="Q7450" s="10" t="str">
        <f t="shared" si="116"/>
        <v>Incomplete</v>
      </c>
    </row>
    <row r="7451" spans="1:17">
      <c r="A7451" s="12">
        <v>46377</v>
      </c>
      <c r="B7451" s="10">
        <v>16</v>
      </c>
      <c r="Q7451" s="10" t="str">
        <f t="shared" si="116"/>
        <v>Incomplete</v>
      </c>
    </row>
    <row r="7452" spans="1:17">
      <c r="A7452" s="12">
        <v>46377</v>
      </c>
      <c r="B7452" s="10">
        <v>17</v>
      </c>
      <c r="Q7452" s="10" t="str">
        <f t="shared" si="116"/>
        <v>Incomplete</v>
      </c>
    </row>
    <row r="7453" spans="1:17">
      <c r="A7453" s="12">
        <v>46377</v>
      </c>
      <c r="B7453" s="10">
        <v>18</v>
      </c>
      <c r="Q7453" s="10" t="str">
        <f t="shared" si="116"/>
        <v>Incomplete</v>
      </c>
    </row>
    <row r="7454" spans="1:17">
      <c r="A7454" s="12">
        <v>46377</v>
      </c>
      <c r="B7454" s="10">
        <v>19</v>
      </c>
      <c r="Q7454" s="10" t="str">
        <f t="shared" si="116"/>
        <v>Incomplete</v>
      </c>
    </row>
    <row r="7455" spans="1:17">
      <c r="A7455" s="12">
        <v>46377</v>
      </c>
      <c r="B7455" s="10">
        <v>20</v>
      </c>
      <c r="Q7455" s="10" t="str">
        <f t="shared" si="116"/>
        <v>Incomplete</v>
      </c>
    </row>
    <row r="7456" spans="1:17">
      <c r="A7456" s="12">
        <v>46377</v>
      </c>
      <c r="B7456" s="10">
        <v>21</v>
      </c>
      <c r="Q7456" s="10" t="str">
        <f t="shared" si="116"/>
        <v>Incomplete</v>
      </c>
    </row>
    <row r="7457" spans="1:17">
      <c r="A7457" s="12">
        <v>46378</v>
      </c>
      <c r="B7457" s="10">
        <v>1</v>
      </c>
      <c r="Q7457" s="10" t="str">
        <f t="shared" si="116"/>
        <v>Incomplete</v>
      </c>
    </row>
    <row r="7458" spans="1:17">
      <c r="A7458" s="12">
        <v>46378</v>
      </c>
      <c r="B7458" s="10">
        <v>2</v>
      </c>
      <c r="Q7458" s="10" t="str">
        <f t="shared" si="116"/>
        <v>Incomplete</v>
      </c>
    </row>
    <row r="7459" spans="1:17">
      <c r="A7459" s="12">
        <v>46378</v>
      </c>
      <c r="B7459" s="10">
        <v>3</v>
      </c>
      <c r="Q7459" s="10" t="str">
        <f t="shared" si="116"/>
        <v>Incomplete</v>
      </c>
    </row>
    <row r="7460" spans="1:17">
      <c r="A7460" s="12">
        <v>46378</v>
      </c>
      <c r="B7460" s="10">
        <v>4</v>
      </c>
      <c r="Q7460" s="10" t="str">
        <f t="shared" si="116"/>
        <v>Incomplete</v>
      </c>
    </row>
    <row r="7461" spans="1:17">
      <c r="A7461" s="12">
        <v>46378</v>
      </c>
      <c r="B7461" s="10">
        <v>5</v>
      </c>
      <c r="Q7461" s="10" t="str">
        <f t="shared" si="116"/>
        <v>Incomplete</v>
      </c>
    </row>
    <row r="7462" spans="1:17">
      <c r="A7462" s="12">
        <v>46378</v>
      </c>
      <c r="B7462" s="10">
        <v>6</v>
      </c>
      <c r="Q7462" s="10" t="str">
        <f t="shared" si="116"/>
        <v>Incomplete</v>
      </c>
    </row>
    <row r="7463" spans="1:17">
      <c r="A7463" s="12">
        <v>46378</v>
      </c>
      <c r="B7463" s="10">
        <v>7</v>
      </c>
      <c r="Q7463" s="10" t="str">
        <f t="shared" si="116"/>
        <v>Incomplete</v>
      </c>
    </row>
    <row r="7464" spans="1:17">
      <c r="A7464" s="12">
        <v>46378</v>
      </c>
      <c r="B7464" s="10">
        <v>8</v>
      </c>
      <c r="Q7464" s="10" t="str">
        <f t="shared" si="116"/>
        <v>Incomplete</v>
      </c>
    </row>
    <row r="7465" spans="1:17">
      <c r="A7465" s="12">
        <v>46378</v>
      </c>
      <c r="B7465" s="10">
        <v>9</v>
      </c>
      <c r="Q7465" s="10" t="str">
        <f t="shared" si="116"/>
        <v>Incomplete</v>
      </c>
    </row>
    <row r="7466" spans="1:17">
      <c r="A7466" s="12">
        <v>46378</v>
      </c>
      <c r="B7466" s="10">
        <v>10</v>
      </c>
      <c r="Q7466" s="10" t="str">
        <f t="shared" si="116"/>
        <v>Incomplete</v>
      </c>
    </row>
    <row r="7467" spans="1:17">
      <c r="A7467" s="12">
        <v>46378</v>
      </c>
      <c r="B7467" s="10">
        <v>11</v>
      </c>
      <c r="Q7467" s="10" t="str">
        <f t="shared" si="116"/>
        <v>Incomplete</v>
      </c>
    </row>
    <row r="7468" spans="1:17">
      <c r="A7468" s="12">
        <v>46378</v>
      </c>
      <c r="B7468" s="10">
        <v>12</v>
      </c>
      <c r="Q7468" s="10" t="str">
        <f t="shared" si="116"/>
        <v>Incomplete</v>
      </c>
    </row>
    <row r="7469" spans="1:17">
      <c r="A7469" s="12">
        <v>46378</v>
      </c>
      <c r="B7469" s="10">
        <v>13</v>
      </c>
      <c r="Q7469" s="10" t="str">
        <f t="shared" si="116"/>
        <v>Incomplete</v>
      </c>
    </row>
    <row r="7470" spans="1:17">
      <c r="A7470" s="12">
        <v>46378</v>
      </c>
      <c r="B7470" s="10">
        <v>14</v>
      </c>
      <c r="Q7470" s="10" t="str">
        <f t="shared" si="116"/>
        <v>Incomplete</v>
      </c>
    </row>
    <row r="7471" spans="1:17">
      <c r="A7471" s="12">
        <v>46378</v>
      </c>
      <c r="B7471" s="10">
        <v>15</v>
      </c>
      <c r="Q7471" s="10" t="str">
        <f t="shared" si="116"/>
        <v>Incomplete</v>
      </c>
    </row>
    <row r="7472" spans="1:17">
      <c r="A7472" s="12">
        <v>46378</v>
      </c>
      <c r="B7472" s="10">
        <v>16</v>
      </c>
      <c r="Q7472" s="10" t="str">
        <f t="shared" si="116"/>
        <v>Incomplete</v>
      </c>
    </row>
    <row r="7473" spans="1:17">
      <c r="A7473" s="12">
        <v>46378</v>
      </c>
      <c r="B7473" s="10">
        <v>17</v>
      </c>
      <c r="Q7473" s="10" t="str">
        <f t="shared" si="116"/>
        <v>Incomplete</v>
      </c>
    </row>
    <row r="7474" spans="1:17">
      <c r="A7474" s="12">
        <v>46378</v>
      </c>
      <c r="B7474" s="10">
        <v>18</v>
      </c>
      <c r="Q7474" s="10" t="str">
        <f t="shared" si="116"/>
        <v>Incomplete</v>
      </c>
    </row>
    <row r="7475" spans="1:17">
      <c r="A7475" s="12">
        <v>46378</v>
      </c>
      <c r="B7475" s="10">
        <v>19</v>
      </c>
      <c r="Q7475" s="10" t="str">
        <f t="shared" si="116"/>
        <v>Incomplete</v>
      </c>
    </row>
    <row r="7476" spans="1:17">
      <c r="A7476" s="12">
        <v>46378</v>
      </c>
      <c r="B7476" s="10">
        <v>20</v>
      </c>
      <c r="Q7476" s="10" t="str">
        <f t="shared" si="116"/>
        <v>Incomplete</v>
      </c>
    </row>
    <row r="7477" spans="1:17">
      <c r="A7477" s="12">
        <v>46378</v>
      </c>
      <c r="B7477" s="10">
        <v>21</v>
      </c>
      <c r="Q7477" s="10" t="str">
        <f t="shared" si="116"/>
        <v>Incomplete</v>
      </c>
    </row>
    <row r="7478" spans="1:17">
      <c r="A7478" s="12">
        <v>46379</v>
      </c>
      <c r="B7478" s="10">
        <v>1</v>
      </c>
      <c r="Q7478" s="10" t="str">
        <f t="shared" si="116"/>
        <v>Incomplete</v>
      </c>
    </row>
    <row r="7479" spans="1:17">
      <c r="A7479" s="12">
        <v>46379</v>
      </c>
      <c r="B7479" s="10">
        <v>2</v>
      </c>
      <c r="Q7479" s="10" t="str">
        <f t="shared" si="116"/>
        <v>Incomplete</v>
      </c>
    </row>
    <row r="7480" spans="1:17">
      <c r="A7480" s="12">
        <v>46379</v>
      </c>
      <c r="B7480" s="10">
        <v>3</v>
      </c>
      <c r="Q7480" s="10" t="str">
        <f t="shared" si="116"/>
        <v>Incomplete</v>
      </c>
    </row>
    <row r="7481" spans="1:17">
      <c r="A7481" s="12">
        <v>46379</v>
      </c>
      <c r="B7481" s="10">
        <v>4</v>
      </c>
      <c r="Q7481" s="10" t="str">
        <f t="shared" si="116"/>
        <v>Incomplete</v>
      </c>
    </row>
    <row r="7482" spans="1:17">
      <c r="A7482" s="12">
        <v>46379</v>
      </c>
      <c r="B7482" s="10">
        <v>5</v>
      </c>
      <c r="Q7482" s="10" t="str">
        <f t="shared" si="116"/>
        <v>Incomplete</v>
      </c>
    </row>
    <row r="7483" spans="1:17">
      <c r="A7483" s="12">
        <v>46379</v>
      </c>
      <c r="B7483" s="10">
        <v>6</v>
      </c>
      <c r="Q7483" s="10" t="str">
        <f t="shared" si="116"/>
        <v>Incomplete</v>
      </c>
    </row>
    <row r="7484" spans="1:17">
      <c r="A7484" s="12">
        <v>46379</v>
      </c>
      <c r="B7484" s="10">
        <v>7</v>
      </c>
      <c r="Q7484" s="10" t="str">
        <f t="shared" si="116"/>
        <v>Incomplete</v>
      </c>
    </row>
    <row r="7485" spans="1:17">
      <c r="A7485" s="12">
        <v>46379</v>
      </c>
      <c r="B7485" s="10">
        <v>8</v>
      </c>
      <c r="Q7485" s="10" t="str">
        <f t="shared" si="116"/>
        <v>Incomplete</v>
      </c>
    </row>
    <row r="7486" spans="1:17">
      <c r="A7486" s="12">
        <v>46379</v>
      </c>
      <c r="B7486" s="10">
        <v>9</v>
      </c>
      <c r="Q7486" s="10" t="str">
        <f t="shared" si="116"/>
        <v>Incomplete</v>
      </c>
    </row>
    <row r="7487" spans="1:17">
      <c r="A7487" s="12">
        <v>46379</v>
      </c>
      <c r="B7487" s="10">
        <v>10</v>
      </c>
      <c r="Q7487" s="10" t="str">
        <f t="shared" si="116"/>
        <v>Incomplete</v>
      </c>
    </row>
    <row r="7488" spans="1:17">
      <c r="A7488" s="12">
        <v>46379</v>
      </c>
      <c r="B7488" s="10">
        <v>11</v>
      </c>
      <c r="Q7488" s="10" t="str">
        <f t="shared" si="116"/>
        <v>Incomplete</v>
      </c>
    </row>
    <row r="7489" spans="1:17">
      <c r="A7489" s="12">
        <v>46379</v>
      </c>
      <c r="B7489" s="10">
        <v>12</v>
      </c>
      <c r="Q7489" s="10" t="str">
        <f t="shared" si="116"/>
        <v>Incomplete</v>
      </c>
    </row>
    <row r="7490" spans="1:17">
      <c r="A7490" s="12">
        <v>46379</v>
      </c>
      <c r="B7490" s="10">
        <v>13</v>
      </c>
      <c r="Q7490" s="10" t="str">
        <f t="shared" ref="Q7490:Q7553" si="117">IF(AND(C7490&lt;&gt;"",J7490&lt;&gt;"",K7490&lt;&gt;"",L7490&lt;&gt;"",O7490="Yes"),"Complete","Incomplete")</f>
        <v>Incomplete</v>
      </c>
    </row>
    <row r="7491" spans="1:17">
      <c r="A7491" s="12">
        <v>46379</v>
      </c>
      <c r="B7491" s="10">
        <v>14</v>
      </c>
      <c r="Q7491" s="10" t="str">
        <f t="shared" si="117"/>
        <v>Incomplete</v>
      </c>
    </row>
    <row r="7492" spans="1:17">
      <c r="A7492" s="12">
        <v>46379</v>
      </c>
      <c r="B7492" s="10">
        <v>15</v>
      </c>
      <c r="Q7492" s="10" t="str">
        <f t="shared" si="117"/>
        <v>Incomplete</v>
      </c>
    </row>
    <row r="7493" spans="1:17">
      <c r="A7493" s="12">
        <v>46379</v>
      </c>
      <c r="B7493" s="10">
        <v>16</v>
      </c>
      <c r="Q7493" s="10" t="str">
        <f t="shared" si="117"/>
        <v>Incomplete</v>
      </c>
    </row>
    <row r="7494" spans="1:17">
      <c r="A7494" s="12">
        <v>46379</v>
      </c>
      <c r="B7494" s="10">
        <v>17</v>
      </c>
      <c r="Q7494" s="10" t="str">
        <f t="shared" si="117"/>
        <v>Incomplete</v>
      </c>
    </row>
    <row r="7495" spans="1:17">
      <c r="A7495" s="12">
        <v>46379</v>
      </c>
      <c r="B7495" s="10">
        <v>18</v>
      </c>
      <c r="Q7495" s="10" t="str">
        <f t="shared" si="117"/>
        <v>Incomplete</v>
      </c>
    </row>
    <row r="7496" spans="1:17">
      <c r="A7496" s="12">
        <v>46379</v>
      </c>
      <c r="B7496" s="10">
        <v>19</v>
      </c>
      <c r="Q7496" s="10" t="str">
        <f t="shared" si="117"/>
        <v>Incomplete</v>
      </c>
    </row>
    <row r="7497" spans="1:17">
      <c r="A7497" s="12">
        <v>46379</v>
      </c>
      <c r="B7497" s="10">
        <v>20</v>
      </c>
      <c r="Q7497" s="10" t="str">
        <f t="shared" si="117"/>
        <v>Incomplete</v>
      </c>
    </row>
    <row r="7498" spans="1:17">
      <c r="A7498" s="12">
        <v>46379</v>
      </c>
      <c r="B7498" s="10">
        <v>21</v>
      </c>
      <c r="Q7498" s="10" t="str">
        <f t="shared" si="117"/>
        <v>Incomplete</v>
      </c>
    </row>
    <row r="7499" spans="1:17">
      <c r="A7499" s="12">
        <v>46380</v>
      </c>
      <c r="B7499" s="10">
        <v>1</v>
      </c>
      <c r="Q7499" s="10" t="str">
        <f t="shared" si="117"/>
        <v>Incomplete</v>
      </c>
    </row>
    <row r="7500" spans="1:17">
      <c r="A7500" s="12">
        <v>46380</v>
      </c>
      <c r="B7500" s="10">
        <v>2</v>
      </c>
      <c r="Q7500" s="10" t="str">
        <f t="shared" si="117"/>
        <v>Incomplete</v>
      </c>
    </row>
    <row r="7501" spans="1:17">
      <c r="A7501" s="12">
        <v>46380</v>
      </c>
      <c r="B7501" s="10">
        <v>3</v>
      </c>
      <c r="Q7501" s="10" t="str">
        <f t="shared" si="117"/>
        <v>Incomplete</v>
      </c>
    </row>
    <row r="7502" spans="1:17">
      <c r="A7502" s="12">
        <v>46380</v>
      </c>
      <c r="B7502" s="10">
        <v>4</v>
      </c>
      <c r="Q7502" s="10" t="str">
        <f t="shared" si="117"/>
        <v>Incomplete</v>
      </c>
    </row>
    <row r="7503" spans="1:17">
      <c r="A7503" s="12">
        <v>46380</v>
      </c>
      <c r="B7503" s="10">
        <v>5</v>
      </c>
      <c r="Q7503" s="10" t="str">
        <f t="shared" si="117"/>
        <v>Incomplete</v>
      </c>
    </row>
    <row r="7504" spans="1:17">
      <c r="A7504" s="12">
        <v>46380</v>
      </c>
      <c r="B7504" s="10">
        <v>6</v>
      </c>
      <c r="Q7504" s="10" t="str">
        <f t="shared" si="117"/>
        <v>Incomplete</v>
      </c>
    </row>
    <row r="7505" spans="1:17">
      <c r="A7505" s="12">
        <v>46380</v>
      </c>
      <c r="B7505" s="10">
        <v>7</v>
      </c>
      <c r="Q7505" s="10" t="str">
        <f t="shared" si="117"/>
        <v>Incomplete</v>
      </c>
    </row>
    <row r="7506" spans="1:17">
      <c r="A7506" s="12">
        <v>46380</v>
      </c>
      <c r="B7506" s="10">
        <v>8</v>
      </c>
      <c r="Q7506" s="10" t="str">
        <f t="shared" si="117"/>
        <v>Incomplete</v>
      </c>
    </row>
    <row r="7507" spans="1:17">
      <c r="A7507" s="12">
        <v>46380</v>
      </c>
      <c r="B7507" s="10">
        <v>9</v>
      </c>
      <c r="Q7507" s="10" t="str">
        <f t="shared" si="117"/>
        <v>Incomplete</v>
      </c>
    </row>
    <row r="7508" spans="1:17">
      <c r="A7508" s="12">
        <v>46380</v>
      </c>
      <c r="B7508" s="10">
        <v>10</v>
      </c>
      <c r="Q7508" s="10" t="str">
        <f t="shared" si="117"/>
        <v>Incomplete</v>
      </c>
    </row>
    <row r="7509" spans="1:17">
      <c r="A7509" s="12">
        <v>46380</v>
      </c>
      <c r="B7509" s="10">
        <v>11</v>
      </c>
      <c r="Q7509" s="10" t="str">
        <f t="shared" si="117"/>
        <v>Incomplete</v>
      </c>
    </row>
    <row r="7510" spans="1:17">
      <c r="A7510" s="12">
        <v>46380</v>
      </c>
      <c r="B7510" s="10">
        <v>12</v>
      </c>
      <c r="Q7510" s="10" t="str">
        <f t="shared" si="117"/>
        <v>Incomplete</v>
      </c>
    </row>
    <row r="7511" spans="1:17">
      <c r="A7511" s="12">
        <v>46380</v>
      </c>
      <c r="B7511" s="10">
        <v>13</v>
      </c>
      <c r="Q7511" s="10" t="str">
        <f t="shared" si="117"/>
        <v>Incomplete</v>
      </c>
    </row>
    <row r="7512" spans="1:17">
      <c r="A7512" s="12">
        <v>46380</v>
      </c>
      <c r="B7512" s="10">
        <v>14</v>
      </c>
      <c r="Q7512" s="10" t="str">
        <f t="shared" si="117"/>
        <v>Incomplete</v>
      </c>
    </row>
    <row r="7513" spans="1:17">
      <c r="A7513" s="12">
        <v>46380</v>
      </c>
      <c r="B7513" s="10">
        <v>15</v>
      </c>
      <c r="Q7513" s="10" t="str">
        <f t="shared" si="117"/>
        <v>Incomplete</v>
      </c>
    </row>
    <row r="7514" spans="1:17">
      <c r="A7514" s="12">
        <v>46380</v>
      </c>
      <c r="B7514" s="10">
        <v>16</v>
      </c>
      <c r="Q7514" s="10" t="str">
        <f t="shared" si="117"/>
        <v>Incomplete</v>
      </c>
    </row>
    <row r="7515" spans="1:17">
      <c r="A7515" s="12">
        <v>46380</v>
      </c>
      <c r="B7515" s="10">
        <v>17</v>
      </c>
      <c r="Q7515" s="10" t="str">
        <f t="shared" si="117"/>
        <v>Incomplete</v>
      </c>
    </row>
    <row r="7516" spans="1:17">
      <c r="A7516" s="12">
        <v>46380</v>
      </c>
      <c r="B7516" s="10">
        <v>18</v>
      </c>
      <c r="Q7516" s="10" t="str">
        <f t="shared" si="117"/>
        <v>Incomplete</v>
      </c>
    </row>
    <row r="7517" spans="1:17">
      <c r="A7517" s="12">
        <v>46380</v>
      </c>
      <c r="B7517" s="10">
        <v>19</v>
      </c>
      <c r="Q7517" s="10" t="str">
        <f t="shared" si="117"/>
        <v>Incomplete</v>
      </c>
    </row>
    <row r="7518" spans="1:17">
      <c r="A7518" s="12">
        <v>46380</v>
      </c>
      <c r="B7518" s="10">
        <v>20</v>
      </c>
      <c r="Q7518" s="10" t="str">
        <f t="shared" si="117"/>
        <v>Incomplete</v>
      </c>
    </row>
    <row r="7519" spans="1:17">
      <c r="A7519" s="12">
        <v>46380</v>
      </c>
      <c r="B7519" s="10">
        <v>21</v>
      </c>
      <c r="Q7519" s="10" t="str">
        <f t="shared" si="117"/>
        <v>Incomplete</v>
      </c>
    </row>
    <row r="7520" spans="1:17">
      <c r="A7520" s="12">
        <v>46381</v>
      </c>
      <c r="B7520" s="10">
        <v>1</v>
      </c>
      <c r="Q7520" s="10" t="str">
        <f t="shared" si="117"/>
        <v>Incomplete</v>
      </c>
    </row>
    <row r="7521" spans="1:17">
      <c r="A7521" s="12">
        <v>46381</v>
      </c>
      <c r="B7521" s="10">
        <v>2</v>
      </c>
      <c r="Q7521" s="10" t="str">
        <f t="shared" si="117"/>
        <v>Incomplete</v>
      </c>
    </row>
    <row r="7522" spans="1:17">
      <c r="A7522" s="12">
        <v>46381</v>
      </c>
      <c r="B7522" s="10">
        <v>3</v>
      </c>
      <c r="Q7522" s="10" t="str">
        <f t="shared" si="117"/>
        <v>Incomplete</v>
      </c>
    </row>
    <row r="7523" spans="1:17">
      <c r="A7523" s="12">
        <v>46381</v>
      </c>
      <c r="B7523" s="10">
        <v>4</v>
      </c>
      <c r="Q7523" s="10" t="str">
        <f t="shared" si="117"/>
        <v>Incomplete</v>
      </c>
    </row>
    <row r="7524" spans="1:17">
      <c r="A7524" s="12">
        <v>46381</v>
      </c>
      <c r="B7524" s="10">
        <v>5</v>
      </c>
      <c r="Q7524" s="10" t="str">
        <f t="shared" si="117"/>
        <v>Incomplete</v>
      </c>
    </row>
    <row r="7525" spans="1:17">
      <c r="A7525" s="12">
        <v>46381</v>
      </c>
      <c r="B7525" s="10">
        <v>6</v>
      </c>
      <c r="Q7525" s="10" t="str">
        <f t="shared" si="117"/>
        <v>Incomplete</v>
      </c>
    </row>
    <row r="7526" spans="1:17">
      <c r="A7526" s="12">
        <v>46381</v>
      </c>
      <c r="B7526" s="10">
        <v>7</v>
      </c>
      <c r="Q7526" s="10" t="str">
        <f t="shared" si="117"/>
        <v>Incomplete</v>
      </c>
    </row>
    <row r="7527" spans="1:17">
      <c r="A7527" s="12">
        <v>46381</v>
      </c>
      <c r="B7527" s="10">
        <v>8</v>
      </c>
      <c r="Q7527" s="10" t="str">
        <f t="shared" si="117"/>
        <v>Incomplete</v>
      </c>
    </row>
    <row r="7528" spans="1:17">
      <c r="A7528" s="12">
        <v>46381</v>
      </c>
      <c r="B7528" s="10">
        <v>9</v>
      </c>
      <c r="Q7528" s="10" t="str">
        <f t="shared" si="117"/>
        <v>Incomplete</v>
      </c>
    </row>
    <row r="7529" spans="1:17">
      <c r="A7529" s="12">
        <v>46381</v>
      </c>
      <c r="B7529" s="10">
        <v>10</v>
      </c>
      <c r="Q7529" s="10" t="str">
        <f t="shared" si="117"/>
        <v>Incomplete</v>
      </c>
    </row>
    <row r="7530" spans="1:17">
      <c r="A7530" s="12">
        <v>46381</v>
      </c>
      <c r="B7530" s="10">
        <v>11</v>
      </c>
      <c r="Q7530" s="10" t="str">
        <f t="shared" si="117"/>
        <v>Incomplete</v>
      </c>
    </row>
    <row r="7531" spans="1:17">
      <c r="A7531" s="12">
        <v>46381</v>
      </c>
      <c r="B7531" s="10">
        <v>12</v>
      </c>
      <c r="Q7531" s="10" t="str">
        <f t="shared" si="117"/>
        <v>Incomplete</v>
      </c>
    </row>
    <row r="7532" spans="1:17">
      <c r="A7532" s="12">
        <v>46381</v>
      </c>
      <c r="B7532" s="10">
        <v>13</v>
      </c>
      <c r="Q7532" s="10" t="str">
        <f t="shared" si="117"/>
        <v>Incomplete</v>
      </c>
    </row>
    <row r="7533" spans="1:17">
      <c r="A7533" s="12">
        <v>46381</v>
      </c>
      <c r="B7533" s="10">
        <v>14</v>
      </c>
      <c r="Q7533" s="10" t="str">
        <f t="shared" si="117"/>
        <v>Incomplete</v>
      </c>
    </row>
    <row r="7534" spans="1:17">
      <c r="A7534" s="12">
        <v>46381</v>
      </c>
      <c r="B7534" s="10">
        <v>15</v>
      </c>
      <c r="Q7534" s="10" t="str">
        <f t="shared" si="117"/>
        <v>Incomplete</v>
      </c>
    </row>
    <row r="7535" spans="1:17">
      <c r="A7535" s="12">
        <v>46381</v>
      </c>
      <c r="B7535" s="10">
        <v>16</v>
      </c>
      <c r="Q7535" s="10" t="str">
        <f t="shared" si="117"/>
        <v>Incomplete</v>
      </c>
    </row>
    <row r="7536" spans="1:17">
      <c r="A7536" s="12">
        <v>46381</v>
      </c>
      <c r="B7536" s="10">
        <v>17</v>
      </c>
      <c r="Q7536" s="10" t="str">
        <f t="shared" si="117"/>
        <v>Incomplete</v>
      </c>
    </row>
    <row r="7537" spans="1:17">
      <c r="A7537" s="12">
        <v>46381</v>
      </c>
      <c r="B7537" s="10">
        <v>18</v>
      </c>
      <c r="Q7537" s="10" t="str">
        <f t="shared" si="117"/>
        <v>Incomplete</v>
      </c>
    </row>
    <row r="7538" spans="1:17">
      <c r="A7538" s="12">
        <v>46381</v>
      </c>
      <c r="B7538" s="10">
        <v>19</v>
      </c>
      <c r="Q7538" s="10" t="str">
        <f t="shared" si="117"/>
        <v>Incomplete</v>
      </c>
    </row>
    <row r="7539" spans="1:17">
      <c r="A7539" s="12">
        <v>46381</v>
      </c>
      <c r="B7539" s="10">
        <v>20</v>
      </c>
      <c r="Q7539" s="10" t="str">
        <f t="shared" si="117"/>
        <v>Incomplete</v>
      </c>
    </row>
    <row r="7540" spans="1:17">
      <c r="A7540" s="12">
        <v>46381</v>
      </c>
      <c r="B7540" s="10">
        <v>21</v>
      </c>
      <c r="Q7540" s="10" t="str">
        <f t="shared" si="117"/>
        <v>Incomplete</v>
      </c>
    </row>
    <row r="7541" spans="1:17">
      <c r="A7541" s="12">
        <v>46382</v>
      </c>
      <c r="B7541" s="10">
        <v>1</v>
      </c>
      <c r="Q7541" s="10" t="str">
        <f t="shared" si="117"/>
        <v>Incomplete</v>
      </c>
    </row>
    <row r="7542" spans="1:17">
      <c r="A7542" s="12">
        <v>46382</v>
      </c>
      <c r="B7542" s="10">
        <v>2</v>
      </c>
      <c r="Q7542" s="10" t="str">
        <f t="shared" si="117"/>
        <v>Incomplete</v>
      </c>
    </row>
    <row r="7543" spans="1:17">
      <c r="A7543" s="12">
        <v>46382</v>
      </c>
      <c r="B7543" s="10">
        <v>3</v>
      </c>
      <c r="Q7543" s="10" t="str">
        <f t="shared" si="117"/>
        <v>Incomplete</v>
      </c>
    </row>
    <row r="7544" spans="1:17">
      <c r="A7544" s="12">
        <v>46382</v>
      </c>
      <c r="B7544" s="10">
        <v>4</v>
      </c>
      <c r="Q7544" s="10" t="str">
        <f t="shared" si="117"/>
        <v>Incomplete</v>
      </c>
    </row>
    <row r="7545" spans="1:17">
      <c r="A7545" s="12">
        <v>46382</v>
      </c>
      <c r="B7545" s="10">
        <v>5</v>
      </c>
      <c r="Q7545" s="10" t="str">
        <f t="shared" si="117"/>
        <v>Incomplete</v>
      </c>
    </row>
    <row r="7546" spans="1:17">
      <c r="A7546" s="12">
        <v>46382</v>
      </c>
      <c r="B7546" s="10">
        <v>6</v>
      </c>
      <c r="Q7546" s="10" t="str">
        <f t="shared" si="117"/>
        <v>Incomplete</v>
      </c>
    </row>
    <row r="7547" spans="1:17">
      <c r="A7547" s="12">
        <v>46382</v>
      </c>
      <c r="B7547" s="10">
        <v>7</v>
      </c>
      <c r="Q7547" s="10" t="str">
        <f t="shared" si="117"/>
        <v>Incomplete</v>
      </c>
    </row>
    <row r="7548" spans="1:17">
      <c r="A7548" s="12">
        <v>46382</v>
      </c>
      <c r="B7548" s="10">
        <v>8</v>
      </c>
      <c r="Q7548" s="10" t="str">
        <f t="shared" si="117"/>
        <v>Incomplete</v>
      </c>
    </row>
    <row r="7549" spans="1:17">
      <c r="A7549" s="12">
        <v>46382</v>
      </c>
      <c r="B7549" s="10">
        <v>9</v>
      </c>
      <c r="Q7549" s="10" t="str">
        <f t="shared" si="117"/>
        <v>Incomplete</v>
      </c>
    </row>
    <row r="7550" spans="1:17">
      <c r="A7550" s="12">
        <v>46382</v>
      </c>
      <c r="B7550" s="10">
        <v>10</v>
      </c>
      <c r="Q7550" s="10" t="str">
        <f t="shared" si="117"/>
        <v>Incomplete</v>
      </c>
    </row>
    <row r="7551" spans="1:17">
      <c r="A7551" s="12">
        <v>46382</v>
      </c>
      <c r="B7551" s="10">
        <v>11</v>
      </c>
      <c r="Q7551" s="10" t="str">
        <f t="shared" si="117"/>
        <v>Incomplete</v>
      </c>
    </row>
    <row r="7552" spans="1:17">
      <c r="A7552" s="12">
        <v>46382</v>
      </c>
      <c r="B7552" s="10">
        <v>12</v>
      </c>
      <c r="Q7552" s="10" t="str">
        <f t="shared" si="117"/>
        <v>Incomplete</v>
      </c>
    </row>
    <row r="7553" spans="1:17">
      <c r="A7553" s="12">
        <v>46382</v>
      </c>
      <c r="B7553" s="10">
        <v>13</v>
      </c>
      <c r="Q7553" s="10" t="str">
        <f t="shared" si="117"/>
        <v>Incomplete</v>
      </c>
    </row>
    <row r="7554" spans="1:17">
      <c r="A7554" s="12">
        <v>46382</v>
      </c>
      <c r="B7554" s="10">
        <v>14</v>
      </c>
      <c r="Q7554" s="10" t="str">
        <f t="shared" ref="Q7554:Q7617" si="118">IF(AND(C7554&lt;&gt;"",J7554&lt;&gt;"",K7554&lt;&gt;"",L7554&lt;&gt;"",O7554="Yes"),"Complete","Incomplete")</f>
        <v>Incomplete</v>
      </c>
    </row>
    <row r="7555" spans="1:17">
      <c r="A7555" s="12">
        <v>46382</v>
      </c>
      <c r="B7555" s="10">
        <v>15</v>
      </c>
      <c r="Q7555" s="10" t="str">
        <f t="shared" si="118"/>
        <v>Incomplete</v>
      </c>
    </row>
    <row r="7556" spans="1:17">
      <c r="A7556" s="12">
        <v>46382</v>
      </c>
      <c r="B7556" s="10">
        <v>16</v>
      </c>
      <c r="Q7556" s="10" t="str">
        <f t="shared" si="118"/>
        <v>Incomplete</v>
      </c>
    </row>
    <row r="7557" spans="1:17">
      <c r="A7557" s="12">
        <v>46382</v>
      </c>
      <c r="B7557" s="10">
        <v>17</v>
      </c>
      <c r="Q7557" s="10" t="str">
        <f t="shared" si="118"/>
        <v>Incomplete</v>
      </c>
    </row>
    <row r="7558" spans="1:17">
      <c r="A7558" s="12">
        <v>46382</v>
      </c>
      <c r="B7558" s="10">
        <v>18</v>
      </c>
      <c r="Q7558" s="10" t="str">
        <f t="shared" si="118"/>
        <v>Incomplete</v>
      </c>
    </row>
    <row r="7559" spans="1:17">
      <c r="A7559" s="12">
        <v>46382</v>
      </c>
      <c r="B7559" s="10">
        <v>19</v>
      </c>
      <c r="Q7559" s="10" t="str">
        <f t="shared" si="118"/>
        <v>Incomplete</v>
      </c>
    </row>
    <row r="7560" spans="1:17">
      <c r="A7560" s="12">
        <v>46382</v>
      </c>
      <c r="B7560" s="10">
        <v>20</v>
      </c>
      <c r="Q7560" s="10" t="str">
        <f t="shared" si="118"/>
        <v>Incomplete</v>
      </c>
    </row>
    <row r="7561" spans="1:17">
      <c r="A7561" s="12">
        <v>46382</v>
      </c>
      <c r="B7561" s="10">
        <v>21</v>
      </c>
      <c r="Q7561" s="10" t="str">
        <f t="shared" si="118"/>
        <v>Incomplete</v>
      </c>
    </row>
    <row r="7562" spans="1:17">
      <c r="A7562" s="12">
        <v>46383</v>
      </c>
      <c r="B7562" s="10">
        <v>1</v>
      </c>
      <c r="Q7562" s="10" t="str">
        <f t="shared" si="118"/>
        <v>Incomplete</v>
      </c>
    </row>
    <row r="7563" spans="1:17">
      <c r="A7563" s="12">
        <v>46383</v>
      </c>
      <c r="B7563" s="10">
        <v>2</v>
      </c>
      <c r="Q7563" s="10" t="str">
        <f t="shared" si="118"/>
        <v>Incomplete</v>
      </c>
    </row>
    <row r="7564" spans="1:17">
      <c r="A7564" s="12">
        <v>46383</v>
      </c>
      <c r="B7564" s="10">
        <v>3</v>
      </c>
      <c r="Q7564" s="10" t="str">
        <f t="shared" si="118"/>
        <v>Incomplete</v>
      </c>
    </row>
    <row r="7565" spans="1:17">
      <c r="A7565" s="12">
        <v>46383</v>
      </c>
      <c r="B7565" s="10">
        <v>4</v>
      </c>
      <c r="Q7565" s="10" t="str">
        <f t="shared" si="118"/>
        <v>Incomplete</v>
      </c>
    </row>
    <row r="7566" spans="1:17">
      <c r="A7566" s="12">
        <v>46383</v>
      </c>
      <c r="B7566" s="10">
        <v>5</v>
      </c>
      <c r="Q7566" s="10" t="str">
        <f t="shared" si="118"/>
        <v>Incomplete</v>
      </c>
    </row>
    <row r="7567" spans="1:17">
      <c r="A7567" s="12">
        <v>46383</v>
      </c>
      <c r="B7567" s="10">
        <v>6</v>
      </c>
      <c r="Q7567" s="10" t="str">
        <f t="shared" si="118"/>
        <v>Incomplete</v>
      </c>
    </row>
    <row r="7568" spans="1:17">
      <c r="A7568" s="12">
        <v>46383</v>
      </c>
      <c r="B7568" s="10">
        <v>7</v>
      </c>
      <c r="Q7568" s="10" t="str">
        <f t="shared" si="118"/>
        <v>Incomplete</v>
      </c>
    </row>
    <row r="7569" spans="1:17">
      <c r="A7569" s="12">
        <v>46383</v>
      </c>
      <c r="B7569" s="10">
        <v>8</v>
      </c>
      <c r="Q7569" s="10" t="str">
        <f t="shared" si="118"/>
        <v>Incomplete</v>
      </c>
    </row>
    <row r="7570" spans="1:17">
      <c r="A7570" s="12">
        <v>46383</v>
      </c>
      <c r="B7570" s="10">
        <v>9</v>
      </c>
      <c r="Q7570" s="10" t="str">
        <f t="shared" si="118"/>
        <v>Incomplete</v>
      </c>
    </row>
    <row r="7571" spans="1:17">
      <c r="A7571" s="12">
        <v>46383</v>
      </c>
      <c r="B7571" s="10">
        <v>10</v>
      </c>
      <c r="Q7571" s="10" t="str">
        <f t="shared" si="118"/>
        <v>Incomplete</v>
      </c>
    </row>
    <row r="7572" spans="1:17">
      <c r="A7572" s="12">
        <v>46383</v>
      </c>
      <c r="B7572" s="10">
        <v>11</v>
      </c>
      <c r="Q7572" s="10" t="str">
        <f t="shared" si="118"/>
        <v>Incomplete</v>
      </c>
    </row>
    <row r="7573" spans="1:17">
      <c r="A7573" s="12">
        <v>46383</v>
      </c>
      <c r="B7573" s="10">
        <v>12</v>
      </c>
      <c r="Q7573" s="10" t="str">
        <f t="shared" si="118"/>
        <v>Incomplete</v>
      </c>
    </row>
    <row r="7574" spans="1:17">
      <c r="A7574" s="12">
        <v>46383</v>
      </c>
      <c r="B7574" s="10">
        <v>13</v>
      </c>
      <c r="Q7574" s="10" t="str">
        <f t="shared" si="118"/>
        <v>Incomplete</v>
      </c>
    </row>
    <row r="7575" spans="1:17">
      <c r="A7575" s="12">
        <v>46383</v>
      </c>
      <c r="B7575" s="10">
        <v>14</v>
      </c>
      <c r="Q7575" s="10" t="str">
        <f t="shared" si="118"/>
        <v>Incomplete</v>
      </c>
    </row>
    <row r="7576" spans="1:17">
      <c r="A7576" s="12">
        <v>46383</v>
      </c>
      <c r="B7576" s="10">
        <v>15</v>
      </c>
      <c r="Q7576" s="10" t="str">
        <f t="shared" si="118"/>
        <v>Incomplete</v>
      </c>
    </row>
    <row r="7577" spans="1:17">
      <c r="A7577" s="12">
        <v>46383</v>
      </c>
      <c r="B7577" s="10">
        <v>16</v>
      </c>
      <c r="Q7577" s="10" t="str">
        <f t="shared" si="118"/>
        <v>Incomplete</v>
      </c>
    </row>
    <row r="7578" spans="1:17">
      <c r="A7578" s="12">
        <v>46383</v>
      </c>
      <c r="B7578" s="10">
        <v>17</v>
      </c>
      <c r="Q7578" s="10" t="str">
        <f t="shared" si="118"/>
        <v>Incomplete</v>
      </c>
    </row>
    <row r="7579" spans="1:17">
      <c r="A7579" s="12">
        <v>46383</v>
      </c>
      <c r="B7579" s="10">
        <v>18</v>
      </c>
      <c r="Q7579" s="10" t="str">
        <f t="shared" si="118"/>
        <v>Incomplete</v>
      </c>
    </row>
    <row r="7580" spans="1:17">
      <c r="A7580" s="12">
        <v>46383</v>
      </c>
      <c r="B7580" s="10">
        <v>19</v>
      </c>
      <c r="Q7580" s="10" t="str">
        <f t="shared" si="118"/>
        <v>Incomplete</v>
      </c>
    </row>
    <row r="7581" spans="1:17">
      <c r="A7581" s="12">
        <v>46383</v>
      </c>
      <c r="B7581" s="10">
        <v>20</v>
      </c>
      <c r="Q7581" s="10" t="str">
        <f t="shared" si="118"/>
        <v>Incomplete</v>
      </c>
    </row>
    <row r="7582" spans="1:17">
      <c r="A7582" s="12">
        <v>46383</v>
      </c>
      <c r="B7582" s="10">
        <v>21</v>
      </c>
      <c r="Q7582" s="10" t="str">
        <f t="shared" si="118"/>
        <v>Incomplete</v>
      </c>
    </row>
    <row r="7583" spans="1:17">
      <c r="A7583" s="12">
        <v>46384</v>
      </c>
      <c r="B7583" s="10">
        <v>1</v>
      </c>
      <c r="Q7583" s="10" t="str">
        <f t="shared" si="118"/>
        <v>Incomplete</v>
      </c>
    </row>
    <row r="7584" spans="1:17">
      <c r="A7584" s="12">
        <v>46384</v>
      </c>
      <c r="B7584" s="10">
        <v>2</v>
      </c>
      <c r="Q7584" s="10" t="str">
        <f t="shared" si="118"/>
        <v>Incomplete</v>
      </c>
    </row>
    <row r="7585" spans="1:17">
      <c r="A7585" s="12">
        <v>46384</v>
      </c>
      <c r="B7585" s="10">
        <v>3</v>
      </c>
      <c r="Q7585" s="10" t="str">
        <f t="shared" si="118"/>
        <v>Incomplete</v>
      </c>
    </row>
    <row r="7586" spans="1:17">
      <c r="A7586" s="12">
        <v>46384</v>
      </c>
      <c r="B7586" s="10">
        <v>4</v>
      </c>
      <c r="Q7586" s="10" t="str">
        <f t="shared" si="118"/>
        <v>Incomplete</v>
      </c>
    </row>
    <row r="7587" spans="1:17">
      <c r="A7587" s="12">
        <v>46384</v>
      </c>
      <c r="B7587" s="10">
        <v>5</v>
      </c>
      <c r="Q7587" s="10" t="str">
        <f t="shared" si="118"/>
        <v>Incomplete</v>
      </c>
    </row>
    <row r="7588" spans="1:17">
      <c r="A7588" s="12">
        <v>46384</v>
      </c>
      <c r="B7588" s="10">
        <v>6</v>
      </c>
      <c r="Q7588" s="10" t="str">
        <f t="shared" si="118"/>
        <v>Incomplete</v>
      </c>
    </row>
    <row r="7589" spans="1:17">
      <c r="A7589" s="12">
        <v>46384</v>
      </c>
      <c r="B7589" s="10">
        <v>7</v>
      </c>
      <c r="Q7589" s="10" t="str">
        <f t="shared" si="118"/>
        <v>Incomplete</v>
      </c>
    </row>
    <row r="7590" spans="1:17">
      <c r="A7590" s="12">
        <v>46384</v>
      </c>
      <c r="B7590" s="10">
        <v>8</v>
      </c>
      <c r="Q7590" s="10" t="str">
        <f t="shared" si="118"/>
        <v>Incomplete</v>
      </c>
    </row>
    <row r="7591" spans="1:17">
      <c r="A7591" s="12">
        <v>46384</v>
      </c>
      <c r="B7591" s="10">
        <v>9</v>
      </c>
      <c r="Q7591" s="10" t="str">
        <f t="shared" si="118"/>
        <v>Incomplete</v>
      </c>
    </row>
    <row r="7592" spans="1:17">
      <c r="A7592" s="12">
        <v>46384</v>
      </c>
      <c r="B7592" s="10">
        <v>10</v>
      </c>
      <c r="Q7592" s="10" t="str">
        <f t="shared" si="118"/>
        <v>Incomplete</v>
      </c>
    </row>
    <row r="7593" spans="1:17">
      <c r="A7593" s="12">
        <v>46384</v>
      </c>
      <c r="B7593" s="10">
        <v>11</v>
      </c>
      <c r="Q7593" s="10" t="str">
        <f t="shared" si="118"/>
        <v>Incomplete</v>
      </c>
    </row>
    <row r="7594" spans="1:17">
      <c r="A7594" s="12">
        <v>46384</v>
      </c>
      <c r="B7594" s="10">
        <v>12</v>
      </c>
      <c r="Q7594" s="10" t="str">
        <f t="shared" si="118"/>
        <v>Incomplete</v>
      </c>
    </row>
    <row r="7595" spans="1:17">
      <c r="A7595" s="12">
        <v>46384</v>
      </c>
      <c r="B7595" s="10">
        <v>13</v>
      </c>
      <c r="Q7595" s="10" t="str">
        <f t="shared" si="118"/>
        <v>Incomplete</v>
      </c>
    </row>
    <row r="7596" spans="1:17">
      <c r="A7596" s="12">
        <v>46384</v>
      </c>
      <c r="B7596" s="10">
        <v>14</v>
      </c>
      <c r="Q7596" s="10" t="str">
        <f t="shared" si="118"/>
        <v>Incomplete</v>
      </c>
    </row>
    <row r="7597" spans="1:17">
      <c r="A7597" s="12">
        <v>46384</v>
      </c>
      <c r="B7597" s="10">
        <v>15</v>
      </c>
      <c r="Q7597" s="10" t="str">
        <f t="shared" si="118"/>
        <v>Incomplete</v>
      </c>
    </row>
    <row r="7598" spans="1:17">
      <c r="A7598" s="12">
        <v>46384</v>
      </c>
      <c r="B7598" s="10">
        <v>16</v>
      </c>
      <c r="Q7598" s="10" t="str">
        <f t="shared" si="118"/>
        <v>Incomplete</v>
      </c>
    </row>
    <row r="7599" spans="1:17">
      <c r="A7599" s="12">
        <v>46384</v>
      </c>
      <c r="B7599" s="10">
        <v>17</v>
      </c>
      <c r="Q7599" s="10" t="str">
        <f t="shared" si="118"/>
        <v>Incomplete</v>
      </c>
    </row>
    <row r="7600" spans="1:17">
      <c r="A7600" s="12">
        <v>46384</v>
      </c>
      <c r="B7600" s="10">
        <v>18</v>
      </c>
      <c r="Q7600" s="10" t="str">
        <f t="shared" si="118"/>
        <v>Incomplete</v>
      </c>
    </row>
    <row r="7601" spans="1:17">
      <c r="A7601" s="12">
        <v>46384</v>
      </c>
      <c r="B7601" s="10">
        <v>19</v>
      </c>
      <c r="Q7601" s="10" t="str">
        <f t="shared" si="118"/>
        <v>Incomplete</v>
      </c>
    </row>
    <row r="7602" spans="1:17">
      <c r="A7602" s="12">
        <v>46384</v>
      </c>
      <c r="B7602" s="10">
        <v>20</v>
      </c>
      <c r="Q7602" s="10" t="str">
        <f t="shared" si="118"/>
        <v>Incomplete</v>
      </c>
    </row>
    <row r="7603" spans="1:17">
      <c r="A7603" s="12">
        <v>46384</v>
      </c>
      <c r="B7603" s="10">
        <v>21</v>
      </c>
      <c r="Q7603" s="10" t="str">
        <f t="shared" si="118"/>
        <v>Incomplete</v>
      </c>
    </row>
    <row r="7604" spans="1:17">
      <c r="A7604" s="12">
        <v>46385</v>
      </c>
      <c r="B7604" s="10">
        <v>1</v>
      </c>
      <c r="Q7604" s="10" t="str">
        <f t="shared" si="118"/>
        <v>Incomplete</v>
      </c>
    </row>
    <row r="7605" spans="1:17">
      <c r="A7605" s="12">
        <v>46385</v>
      </c>
      <c r="B7605" s="10">
        <v>2</v>
      </c>
      <c r="Q7605" s="10" t="str">
        <f t="shared" si="118"/>
        <v>Incomplete</v>
      </c>
    </row>
    <row r="7606" spans="1:17">
      <c r="A7606" s="12">
        <v>46385</v>
      </c>
      <c r="B7606" s="10">
        <v>3</v>
      </c>
      <c r="Q7606" s="10" t="str">
        <f t="shared" si="118"/>
        <v>Incomplete</v>
      </c>
    </row>
    <row r="7607" spans="1:17">
      <c r="A7607" s="12">
        <v>46385</v>
      </c>
      <c r="B7607" s="10">
        <v>4</v>
      </c>
      <c r="Q7607" s="10" t="str">
        <f t="shared" si="118"/>
        <v>Incomplete</v>
      </c>
    </row>
    <row r="7608" spans="1:17">
      <c r="A7608" s="12">
        <v>46385</v>
      </c>
      <c r="B7608" s="10">
        <v>5</v>
      </c>
      <c r="Q7608" s="10" t="str">
        <f t="shared" si="118"/>
        <v>Incomplete</v>
      </c>
    </row>
    <row r="7609" spans="1:17">
      <c r="A7609" s="12">
        <v>46385</v>
      </c>
      <c r="B7609" s="10">
        <v>6</v>
      </c>
      <c r="Q7609" s="10" t="str">
        <f t="shared" si="118"/>
        <v>Incomplete</v>
      </c>
    </row>
    <row r="7610" spans="1:17">
      <c r="A7610" s="12">
        <v>46385</v>
      </c>
      <c r="B7610" s="10">
        <v>7</v>
      </c>
      <c r="Q7610" s="10" t="str">
        <f t="shared" si="118"/>
        <v>Incomplete</v>
      </c>
    </row>
    <row r="7611" spans="1:17">
      <c r="A7611" s="12">
        <v>46385</v>
      </c>
      <c r="B7611" s="10">
        <v>8</v>
      </c>
      <c r="Q7611" s="10" t="str">
        <f t="shared" si="118"/>
        <v>Incomplete</v>
      </c>
    </row>
    <row r="7612" spans="1:17">
      <c r="A7612" s="12">
        <v>46385</v>
      </c>
      <c r="B7612" s="10">
        <v>9</v>
      </c>
      <c r="Q7612" s="10" t="str">
        <f t="shared" si="118"/>
        <v>Incomplete</v>
      </c>
    </row>
    <row r="7613" spans="1:17">
      <c r="A7613" s="12">
        <v>46385</v>
      </c>
      <c r="B7613" s="10">
        <v>10</v>
      </c>
      <c r="Q7613" s="10" t="str">
        <f t="shared" si="118"/>
        <v>Incomplete</v>
      </c>
    </row>
    <row r="7614" spans="1:17">
      <c r="A7614" s="12">
        <v>46385</v>
      </c>
      <c r="B7614" s="10">
        <v>11</v>
      </c>
      <c r="Q7614" s="10" t="str">
        <f t="shared" si="118"/>
        <v>Incomplete</v>
      </c>
    </row>
    <row r="7615" spans="1:17">
      <c r="A7615" s="12">
        <v>46385</v>
      </c>
      <c r="B7615" s="10">
        <v>12</v>
      </c>
      <c r="Q7615" s="10" t="str">
        <f t="shared" si="118"/>
        <v>Incomplete</v>
      </c>
    </row>
    <row r="7616" spans="1:17">
      <c r="A7616" s="12">
        <v>46385</v>
      </c>
      <c r="B7616" s="10">
        <v>13</v>
      </c>
      <c r="Q7616" s="10" t="str">
        <f t="shared" si="118"/>
        <v>Incomplete</v>
      </c>
    </row>
    <row r="7617" spans="1:17">
      <c r="A7617" s="12">
        <v>46385</v>
      </c>
      <c r="B7617" s="10">
        <v>14</v>
      </c>
      <c r="Q7617" s="10" t="str">
        <f t="shared" si="118"/>
        <v>Incomplete</v>
      </c>
    </row>
    <row r="7618" spans="1:17">
      <c r="A7618" s="12">
        <v>46385</v>
      </c>
      <c r="B7618" s="10">
        <v>15</v>
      </c>
      <c r="Q7618" s="10" t="str">
        <f t="shared" ref="Q7618:Q7666" si="119">IF(AND(C7618&lt;&gt;"",J7618&lt;&gt;"",K7618&lt;&gt;"",L7618&lt;&gt;"",O7618="Yes"),"Complete","Incomplete")</f>
        <v>Incomplete</v>
      </c>
    </row>
    <row r="7619" spans="1:17">
      <c r="A7619" s="12">
        <v>46385</v>
      </c>
      <c r="B7619" s="10">
        <v>16</v>
      </c>
      <c r="Q7619" s="10" t="str">
        <f t="shared" si="119"/>
        <v>Incomplete</v>
      </c>
    </row>
    <row r="7620" spans="1:17">
      <c r="A7620" s="12">
        <v>46385</v>
      </c>
      <c r="B7620" s="10">
        <v>17</v>
      </c>
      <c r="Q7620" s="10" t="str">
        <f t="shared" si="119"/>
        <v>Incomplete</v>
      </c>
    </row>
    <row r="7621" spans="1:17">
      <c r="A7621" s="12">
        <v>46385</v>
      </c>
      <c r="B7621" s="10">
        <v>18</v>
      </c>
      <c r="Q7621" s="10" t="str">
        <f t="shared" si="119"/>
        <v>Incomplete</v>
      </c>
    </row>
    <row r="7622" spans="1:17">
      <c r="A7622" s="12">
        <v>46385</v>
      </c>
      <c r="B7622" s="10">
        <v>19</v>
      </c>
      <c r="Q7622" s="10" t="str">
        <f t="shared" si="119"/>
        <v>Incomplete</v>
      </c>
    </row>
    <row r="7623" spans="1:17">
      <c r="A7623" s="12">
        <v>46385</v>
      </c>
      <c r="B7623" s="10">
        <v>20</v>
      </c>
      <c r="Q7623" s="10" t="str">
        <f t="shared" si="119"/>
        <v>Incomplete</v>
      </c>
    </row>
    <row r="7624" spans="1:17">
      <c r="A7624" s="12">
        <v>46385</v>
      </c>
      <c r="B7624" s="10">
        <v>21</v>
      </c>
      <c r="Q7624" s="10" t="str">
        <f t="shared" si="119"/>
        <v>Incomplete</v>
      </c>
    </row>
    <row r="7625" spans="1:17">
      <c r="A7625" s="12">
        <v>46386</v>
      </c>
      <c r="B7625" s="10">
        <v>1</v>
      </c>
      <c r="Q7625" s="10" t="str">
        <f t="shared" si="119"/>
        <v>Incomplete</v>
      </c>
    </row>
    <row r="7626" spans="1:17">
      <c r="A7626" s="12">
        <v>46386</v>
      </c>
      <c r="B7626" s="10">
        <v>2</v>
      </c>
      <c r="Q7626" s="10" t="str">
        <f t="shared" si="119"/>
        <v>Incomplete</v>
      </c>
    </row>
    <row r="7627" spans="1:17">
      <c r="A7627" s="12">
        <v>46386</v>
      </c>
      <c r="B7627" s="10">
        <v>3</v>
      </c>
      <c r="Q7627" s="10" t="str">
        <f t="shared" si="119"/>
        <v>Incomplete</v>
      </c>
    </row>
    <row r="7628" spans="1:17">
      <c r="A7628" s="12">
        <v>46386</v>
      </c>
      <c r="B7628" s="10">
        <v>4</v>
      </c>
      <c r="Q7628" s="10" t="str">
        <f t="shared" si="119"/>
        <v>Incomplete</v>
      </c>
    </row>
    <row r="7629" spans="1:17">
      <c r="A7629" s="12">
        <v>46386</v>
      </c>
      <c r="B7629" s="10">
        <v>5</v>
      </c>
      <c r="Q7629" s="10" t="str">
        <f t="shared" si="119"/>
        <v>Incomplete</v>
      </c>
    </row>
    <row r="7630" spans="1:17">
      <c r="A7630" s="12">
        <v>46386</v>
      </c>
      <c r="B7630" s="10">
        <v>6</v>
      </c>
      <c r="Q7630" s="10" t="str">
        <f t="shared" si="119"/>
        <v>Incomplete</v>
      </c>
    </row>
    <row r="7631" spans="1:17">
      <c r="A7631" s="12">
        <v>46386</v>
      </c>
      <c r="B7631" s="10">
        <v>7</v>
      </c>
      <c r="Q7631" s="10" t="str">
        <f t="shared" si="119"/>
        <v>Incomplete</v>
      </c>
    </row>
    <row r="7632" spans="1:17">
      <c r="A7632" s="12">
        <v>46386</v>
      </c>
      <c r="B7632" s="10">
        <v>8</v>
      </c>
      <c r="Q7632" s="10" t="str">
        <f t="shared" si="119"/>
        <v>Incomplete</v>
      </c>
    </row>
    <row r="7633" spans="1:17">
      <c r="A7633" s="12">
        <v>46386</v>
      </c>
      <c r="B7633" s="10">
        <v>9</v>
      </c>
      <c r="Q7633" s="10" t="str">
        <f t="shared" si="119"/>
        <v>Incomplete</v>
      </c>
    </row>
    <row r="7634" spans="1:17">
      <c r="A7634" s="12">
        <v>46386</v>
      </c>
      <c r="B7634" s="10">
        <v>10</v>
      </c>
      <c r="Q7634" s="10" t="str">
        <f t="shared" si="119"/>
        <v>Incomplete</v>
      </c>
    </row>
    <row r="7635" spans="1:17">
      <c r="A7635" s="12">
        <v>46386</v>
      </c>
      <c r="B7635" s="10">
        <v>11</v>
      </c>
      <c r="Q7635" s="10" t="str">
        <f t="shared" si="119"/>
        <v>Incomplete</v>
      </c>
    </row>
    <row r="7636" spans="1:17">
      <c r="A7636" s="12">
        <v>46386</v>
      </c>
      <c r="B7636" s="10">
        <v>12</v>
      </c>
      <c r="Q7636" s="10" t="str">
        <f t="shared" si="119"/>
        <v>Incomplete</v>
      </c>
    </row>
    <row r="7637" spans="1:17">
      <c r="A7637" s="12">
        <v>46386</v>
      </c>
      <c r="B7637" s="10">
        <v>13</v>
      </c>
      <c r="Q7637" s="10" t="str">
        <f t="shared" si="119"/>
        <v>Incomplete</v>
      </c>
    </row>
    <row r="7638" spans="1:17">
      <c r="A7638" s="12">
        <v>46386</v>
      </c>
      <c r="B7638" s="10">
        <v>14</v>
      </c>
      <c r="Q7638" s="10" t="str">
        <f t="shared" si="119"/>
        <v>Incomplete</v>
      </c>
    </row>
    <row r="7639" spans="1:17">
      <c r="A7639" s="12">
        <v>46386</v>
      </c>
      <c r="B7639" s="10">
        <v>15</v>
      </c>
      <c r="Q7639" s="10" t="str">
        <f t="shared" si="119"/>
        <v>Incomplete</v>
      </c>
    </row>
    <row r="7640" spans="1:17">
      <c r="A7640" s="12">
        <v>46386</v>
      </c>
      <c r="B7640" s="10">
        <v>16</v>
      </c>
      <c r="Q7640" s="10" t="str">
        <f t="shared" si="119"/>
        <v>Incomplete</v>
      </c>
    </row>
    <row r="7641" spans="1:17">
      <c r="A7641" s="12">
        <v>46386</v>
      </c>
      <c r="B7641" s="10">
        <v>17</v>
      </c>
      <c r="Q7641" s="10" t="str">
        <f t="shared" si="119"/>
        <v>Incomplete</v>
      </c>
    </row>
    <row r="7642" spans="1:17">
      <c r="A7642" s="12">
        <v>46386</v>
      </c>
      <c r="B7642" s="10">
        <v>18</v>
      </c>
      <c r="Q7642" s="10" t="str">
        <f t="shared" si="119"/>
        <v>Incomplete</v>
      </c>
    </row>
    <row r="7643" spans="1:17">
      <c r="A7643" s="12">
        <v>46386</v>
      </c>
      <c r="B7643" s="10">
        <v>19</v>
      </c>
      <c r="Q7643" s="10" t="str">
        <f t="shared" si="119"/>
        <v>Incomplete</v>
      </c>
    </row>
    <row r="7644" spans="1:17">
      <c r="A7644" s="12">
        <v>46386</v>
      </c>
      <c r="B7644" s="10">
        <v>20</v>
      </c>
      <c r="Q7644" s="10" t="str">
        <f t="shared" si="119"/>
        <v>Incomplete</v>
      </c>
    </row>
    <row r="7645" spans="1:17">
      <c r="A7645" s="12">
        <v>46386</v>
      </c>
      <c r="B7645" s="10">
        <v>21</v>
      </c>
      <c r="Q7645" s="10" t="str">
        <f t="shared" si="119"/>
        <v>Incomplete</v>
      </c>
    </row>
    <row r="7646" spans="1:17">
      <c r="A7646" s="12">
        <v>46387</v>
      </c>
      <c r="B7646" s="10">
        <v>1</v>
      </c>
      <c r="Q7646" s="10" t="str">
        <f t="shared" si="119"/>
        <v>Incomplete</v>
      </c>
    </row>
    <row r="7647" spans="1:17">
      <c r="A7647" s="12">
        <v>46387</v>
      </c>
      <c r="B7647" s="10">
        <v>2</v>
      </c>
      <c r="Q7647" s="10" t="str">
        <f t="shared" si="119"/>
        <v>Incomplete</v>
      </c>
    </row>
    <row r="7648" spans="1:17">
      <c r="A7648" s="12">
        <v>46387</v>
      </c>
      <c r="B7648" s="10">
        <v>3</v>
      </c>
      <c r="Q7648" s="10" t="str">
        <f t="shared" si="119"/>
        <v>Incomplete</v>
      </c>
    </row>
    <row r="7649" spans="1:17">
      <c r="A7649" s="12">
        <v>46387</v>
      </c>
      <c r="B7649" s="10">
        <v>4</v>
      </c>
      <c r="Q7649" s="10" t="str">
        <f t="shared" si="119"/>
        <v>Incomplete</v>
      </c>
    </row>
    <row r="7650" spans="1:17">
      <c r="A7650" s="12">
        <v>46387</v>
      </c>
      <c r="B7650" s="10">
        <v>5</v>
      </c>
      <c r="Q7650" s="10" t="str">
        <f t="shared" si="119"/>
        <v>Incomplete</v>
      </c>
    </row>
    <row r="7651" spans="1:17">
      <c r="A7651" s="12">
        <v>46387</v>
      </c>
      <c r="B7651" s="10">
        <v>6</v>
      </c>
      <c r="Q7651" s="10" t="str">
        <f t="shared" si="119"/>
        <v>Incomplete</v>
      </c>
    </row>
    <row r="7652" spans="1:17">
      <c r="A7652" s="12">
        <v>46387</v>
      </c>
      <c r="B7652" s="10">
        <v>7</v>
      </c>
      <c r="Q7652" s="10" t="str">
        <f t="shared" si="119"/>
        <v>Incomplete</v>
      </c>
    </row>
    <row r="7653" spans="1:17">
      <c r="A7653" s="12">
        <v>46387</v>
      </c>
      <c r="B7653" s="10">
        <v>8</v>
      </c>
      <c r="Q7653" s="10" t="str">
        <f t="shared" si="119"/>
        <v>Incomplete</v>
      </c>
    </row>
    <row r="7654" spans="1:17">
      <c r="A7654" s="12">
        <v>46387</v>
      </c>
      <c r="B7654" s="10">
        <v>9</v>
      </c>
      <c r="Q7654" s="10" t="str">
        <f t="shared" si="119"/>
        <v>Incomplete</v>
      </c>
    </row>
    <row r="7655" spans="1:17">
      <c r="A7655" s="12">
        <v>46387</v>
      </c>
      <c r="B7655" s="10">
        <v>10</v>
      </c>
      <c r="Q7655" s="10" t="str">
        <f t="shared" si="119"/>
        <v>Incomplete</v>
      </c>
    </row>
    <row r="7656" spans="1:17">
      <c r="A7656" s="12">
        <v>46387</v>
      </c>
      <c r="B7656" s="10">
        <v>11</v>
      </c>
      <c r="Q7656" s="10" t="str">
        <f t="shared" si="119"/>
        <v>Incomplete</v>
      </c>
    </row>
    <row r="7657" spans="1:17">
      <c r="A7657" s="12">
        <v>46387</v>
      </c>
      <c r="B7657" s="10">
        <v>12</v>
      </c>
      <c r="Q7657" s="10" t="str">
        <f t="shared" si="119"/>
        <v>Incomplete</v>
      </c>
    </row>
    <row r="7658" spans="1:17">
      <c r="A7658" s="12">
        <v>46387</v>
      </c>
      <c r="B7658" s="10">
        <v>13</v>
      </c>
      <c r="Q7658" s="10" t="str">
        <f t="shared" si="119"/>
        <v>Incomplete</v>
      </c>
    </row>
    <row r="7659" spans="1:17">
      <c r="A7659" s="12">
        <v>46387</v>
      </c>
      <c r="B7659" s="10">
        <v>14</v>
      </c>
      <c r="Q7659" s="10" t="str">
        <f t="shared" si="119"/>
        <v>Incomplete</v>
      </c>
    </row>
    <row r="7660" spans="1:17">
      <c r="A7660" s="12">
        <v>46387</v>
      </c>
      <c r="B7660" s="10">
        <v>15</v>
      </c>
      <c r="Q7660" s="10" t="str">
        <f t="shared" si="119"/>
        <v>Incomplete</v>
      </c>
    </row>
    <row r="7661" spans="1:17">
      <c r="A7661" s="12">
        <v>46387</v>
      </c>
      <c r="B7661" s="10">
        <v>16</v>
      </c>
      <c r="Q7661" s="10" t="str">
        <f t="shared" si="119"/>
        <v>Incomplete</v>
      </c>
    </row>
    <row r="7662" spans="1:17">
      <c r="A7662" s="12">
        <v>46387</v>
      </c>
      <c r="B7662" s="10">
        <v>17</v>
      </c>
      <c r="Q7662" s="10" t="str">
        <f t="shared" si="119"/>
        <v>Incomplete</v>
      </c>
    </row>
    <row r="7663" spans="1:17">
      <c r="A7663" s="12">
        <v>46387</v>
      </c>
      <c r="B7663" s="10">
        <v>18</v>
      </c>
      <c r="Q7663" s="10" t="str">
        <f t="shared" si="119"/>
        <v>Incomplete</v>
      </c>
    </row>
    <row r="7664" spans="1:17">
      <c r="A7664" s="12">
        <v>46387</v>
      </c>
      <c r="B7664" s="10">
        <v>19</v>
      </c>
      <c r="Q7664" s="10" t="str">
        <f t="shared" si="119"/>
        <v>Incomplete</v>
      </c>
    </row>
    <row r="7665" spans="1:17">
      <c r="A7665" s="12">
        <v>46387</v>
      </c>
      <c r="B7665" s="10">
        <v>20</v>
      </c>
      <c r="Q7665" s="10" t="str">
        <f t="shared" si="119"/>
        <v>Incomplete</v>
      </c>
    </row>
    <row r="7666" spans="1:17">
      <c r="A7666" s="12">
        <v>46387</v>
      </c>
      <c r="B7666" s="10">
        <v>21</v>
      </c>
      <c r="Q7666" s="10" t="str">
        <f t="shared" si="119"/>
        <v>Incomplete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200-000000000000}">
          <x14:formula1>
            <xm:f>Lists!$A$2:$A$4</xm:f>
          </x14:formula1>
          <xm:sqref>M2:O7666</xm:sqref>
        </x14:dataValidation>
        <x14:dataValidation type="list" xr:uid="{00000000-0002-0000-0200-000003000000}">
          <x14:formula1>
            <xm:f>Lists!$D$2:$D$13</xm:f>
          </x14:formula1>
          <xm:sqref>J2:J7666</xm:sqref>
        </x14:dataValidation>
        <x14:dataValidation type="list" xr:uid="{00000000-0002-0000-0200-000004000000}">
          <x14:formula1>
            <xm:f>Lists!$E$2:$E$12</xm:f>
          </x14:formula1>
          <xm:sqref>L2:L7666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"/>
  <sheetViews>
    <sheetView workbookViewId="0">
      <selection activeCell="A4" sqref="A4"/>
    </sheetView>
  </sheetViews>
  <sheetFormatPr defaultRowHeight="14"/>
  <cols>
    <col min="1" max="4" width="20" customWidth="1"/>
    <col min="5" max="8" width="28" customWidth="1"/>
    <col min="9" max="14" width="20" customWidth="1"/>
  </cols>
  <sheetData>
    <row r="1" spans="1:26">
      <c r="A1" s="5" t="s">
        <v>55</v>
      </c>
      <c r="B1" s="6" t="s">
        <v>57</v>
      </c>
      <c r="C1" s="6" t="s">
        <v>102</v>
      </c>
      <c r="D1" s="6" t="s">
        <v>103</v>
      </c>
      <c r="E1" s="6" t="s">
        <v>104</v>
      </c>
      <c r="F1" s="6" t="s">
        <v>105</v>
      </c>
      <c r="G1" s="6" t="s">
        <v>106</v>
      </c>
      <c r="H1" s="6" t="s">
        <v>107</v>
      </c>
      <c r="I1" s="6" t="s">
        <v>99</v>
      </c>
      <c r="J1" s="6" t="s">
        <v>108</v>
      </c>
      <c r="K1" s="6" t="s">
        <v>109</v>
      </c>
      <c r="L1" s="5" t="s">
        <v>110</v>
      </c>
      <c r="M1" s="6" t="s">
        <v>111</v>
      </c>
      <c r="N1" s="6" t="s">
        <v>97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</sheetData>
  <sheetProtection algorithmName="SHA-512" hashValue="3d49V23+e0o9XBNWtqarTH3TyX6/cA1KzLW8CFl4bbc86jeT3EYbaHojb2s0n9s/6aTvXIEp6SpNVGzGYpzORQ==" saltValue="5fWE4++gM84IcWn3fqbI3Q==" spinCount="100000" sheet="1" objects="1" scenarios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300-000000000000}">
          <x14:formula1>
            <xm:f>Lists!$B$2:$B$4</xm:f>
          </x14:formula1>
          <xm:sqref>B2:B501</xm:sqref>
        </x14:dataValidation>
        <x14:dataValidation type="list" xr:uid="{00000000-0002-0000-0300-000001000000}">
          <x14:formula1>
            <xm:f>Lists!$G$2:$G$13</xm:f>
          </x14:formula1>
          <xm:sqref>C2:C501</xm:sqref>
        </x14:dataValidation>
        <x14:dataValidation type="list" xr:uid="{00000000-0002-0000-0300-000002000000}">
          <x14:formula1>
            <xm:f>Lists!$A$2:$A$4</xm:f>
          </x14:formula1>
          <xm:sqref>M2:M501 I2:J501</xm:sqref>
        </x14:dataValidation>
        <x14:dataValidation type="list" xr:uid="{00000000-0002-0000-0300-000005000000}">
          <x14:formula1>
            <xm:f>Lists!$E$2:$E$12</xm:f>
          </x14:formula1>
          <xm:sqref>N2:N501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3"/>
  <sheetViews>
    <sheetView workbookViewId="0"/>
  </sheetViews>
  <sheetFormatPr defaultRowHeight="14"/>
  <cols>
    <col min="1" max="7" width="20" customWidth="1"/>
  </cols>
  <sheetData>
    <row r="1" spans="1:26">
      <c r="A1" s="6" t="s">
        <v>112</v>
      </c>
      <c r="B1" s="6" t="s">
        <v>57</v>
      </c>
      <c r="C1" s="6" t="s">
        <v>9</v>
      </c>
      <c r="D1" s="6" t="s">
        <v>95</v>
      </c>
      <c r="E1" s="6" t="s">
        <v>113</v>
      </c>
      <c r="F1" s="6" t="s">
        <v>114</v>
      </c>
      <c r="G1" s="6" t="s">
        <v>102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t="s">
        <v>115</v>
      </c>
      <c r="B2" t="s">
        <v>78</v>
      </c>
      <c r="C2" t="s">
        <v>116</v>
      </c>
      <c r="D2" t="s">
        <v>117</v>
      </c>
      <c r="E2" t="s">
        <v>118</v>
      </c>
      <c r="F2" t="s">
        <v>119</v>
      </c>
      <c r="G2" t="s">
        <v>118</v>
      </c>
    </row>
    <row r="3" spans="1:26">
      <c r="A3" t="s">
        <v>120</v>
      </c>
      <c r="B3" t="s">
        <v>79</v>
      </c>
      <c r="C3" t="s">
        <v>121</v>
      </c>
      <c r="D3" t="s">
        <v>122</v>
      </c>
      <c r="E3" t="s">
        <v>123</v>
      </c>
      <c r="F3" t="s">
        <v>124</v>
      </c>
      <c r="G3" t="s">
        <v>123</v>
      </c>
    </row>
    <row r="4" spans="1:26">
      <c r="A4" t="s">
        <v>125</v>
      </c>
      <c r="B4" t="s">
        <v>80</v>
      </c>
      <c r="C4" t="s">
        <v>126</v>
      </c>
      <c r="D4" t="s">
        <v>127</v>
      </c>
      <c r="E4" t="s">
        <v>128</v>
      </c>
      <c r="F4" t="s">
        <v>129</v>
      </c>
      <c r="G4" t="s">
        <v>128</v>
      </c>
    </row>
    <row r="5" spans="1:26">
      <c r="D5" t="s">
        <v>130</v>
      </c>
      <c r="E5" t="s">
        <v>131</v>
      </c>
      <c r="F5" t="s">
        <v>132</v>
      </c>
      <c r="G5" t="s">
        <v>131</v>
      </c>
    </row>
    <row r="6" spans="1:26">
      <c r="D6" t="s">
        <v>133</v>
      </c>
      <c r="E6" t="s">
        <v>134</v>
      </c>
      <c r="G6" t="s">
        <v>135</v>
      </c>
    </row>
    <row r="7" spans="1:26">
      <c r="D7" t="s">
        <v>136</v>
      </c>
      <c r="E7" t="s">
        <v>137</v>
      </c>
      <c r="G7" t="s">
        <v>138</v>
      </c>
    </row>
    <row r="8" spans="1:26">
      <c r="D8" t="s">
        <v>139</v>
      </c>
      <c r="E8" t="s">
        <v>140</v>
      </c>
      <c r="G8" t="s">
        <v>141</v>
      </c>
    </row>
    <row r="9" spans="1:26">
      <c r="D9" t="s">
        <v>142</v>
      </c>
      <c r="E9" t="s">
        <v>143</v>
      </c>
      <c r="G9" t="s">
        <v>144</v>
      </c>
    </row>
    <row r="10" spans="1:26">
      <c r="D10" t="s">
        <v>145</v>
      </c>
      <c r="E10" t="s">
        <v>146</v>
      </c>
      <c r="G10" t="s">
        <v>147</v>
      </c>
    </row>
    <row r="11" spans="1:26">
      <c r="D11" t="s">
        <v>148</v>
      </c>
      <c r="E11" t="s">
        <v>149</v>
      </c>
      <c r="G11" t="s">
        <v>150</v>
      </c>
    </row>
    <row r="12" spans="1:26">
      <c r="D12" t="s">
        <v>151</v>
      </c>
      <c r="E12" t="s">
        <v>152</v>
      </c>
      <c r="G12" t="s">
        <v>153</v>
      </c>
    </row>
    <row r="13" spans="1:26">
      <c r="D13" t="s">
        <v>154</v>
      </c>
      <c r="G13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Daily Records</vt:lpstr>
      <vt:lpstr>Resident Allocation</vt:lpstr>
      <vt:lpstr>GP Professional Visits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Dursha Krishan</dc:creator>
  <cp:lastModifiedBy>Dursha Krishan</cp:lastModifiedBy>
  <dcterms:created xsi:type="dcterms:W3CDTF">2026-06-28T13:59:04Z</dcterms:created>
  <dcterms:modified xsi:type="dcterms:W3CDTF">2026-06-28T14:03:36Z</dcterms:modified>
</cp:coreProperties>
</file>