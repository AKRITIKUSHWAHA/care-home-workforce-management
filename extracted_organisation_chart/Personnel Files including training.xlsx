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urshaKrishan\Desktop\Tracker\"/>
    </mc:Choice>
  </mc:AlternateContent>
  <xr:revisionPtr revIDLastSave="0" documentId="13_ncr:1_{E412AB8A-A037-4503-85E4-3AE4951BE8E9}" xr6:coauthVersionLast="47" xr6:coauthVersionMax="47" xr10:uidLastSave="{00000000-0000-0000-0000-000000000000}"/>
  <bookViews>
    <workbookView xWindow="-110" yWindow="-110" windowWidth="19420" windowHeight="11500" firstSheet="32" activeTab="33" xr2:uid="{00000000-000D-0000-FFFF-FFFF00000000}"/>
  </bookViews>
  <sheets>
    <sheet name="Mandatory Training Dashboard" sheetId="1" r:id="rId1"/>
    <sheet name="Training Dashboard" sheetId="2" r:id="rId2"/>
    <sheet name="Workforce Dashboard" sheetId="3" r:id="rId3"/>
    <sheet name="Workforce Annual Audit Index" sheetId="4" r:id="rId4"/>
    <sheet name="Summary" sheetId="5" r:id="rId5"/>
    <sheet name="Matrix" sheetId="6" r:id="rId6"/>
    <sheet name="Keys" sheetId="7" r:id="rId7"/>
    <sheet name="Completed Results" sheetId="8" r:id="rId8"/>
    <sheet name="Renewal Rules" sheetId="9" r:id="rId9"/>
    <sheet name="Training Due &amp; RAG" sheetId="10" r:id="rId10"/>
    <sheet name="Training Expiry Dashboard" sheetId="11" r:id="rId11"/>
    <sheet name="Recruitment Matrix" sheetId="12" r:id="rId12"/>
    <sheet name="Personnel Workforce" sheetId="13" r:id="rId13"/>
    <sheet name="Staff Observations" sheetId="14" r:id="rId14"/>
    <sheet name="Professional Discussions" sheetId="15" r:id="rId15"/>
    <sheet name="Supervision Tracker" sheetId="16" r:id="rId16"/>
    <sheet name="Competency Tracker" sheetId="17" r:id="rId17"/>
    <sheet name="Team Meetings" sheetId="18" r:id="rId18"/>
    <sheet name="Annual Appraisals" sheetId="19" r:id="rId19"/>
    <sheet name="Probation Reviews" sheetId="20" r:id="rId20"/>
    <sheet name="Workforce Action Tracker" sheetId="21" r:id="rId21"/>
    <sheet name="Consolidated Matrix" sheetId="22" r:id="rId22"/>
    <sheet name="Consolidated Expiry" sheetId="23" r:id="rId23"/>
    <sheet name="Consolidated RAG" sheetId="24" r:id="rId24"/>
    <sheet name="Training Mapping" sheetId="25" r:id="rId25"/>
    <sheet name="Main Training Dashboard" sheetId="26" r:id="rId26"/>
    <sheet name="All Training Dashboard" sheetId="27" r:id="rId27"/>
    <sheet name="Dashboard Mapping" sheetId="28" r:id="rId28"/>
    <sheet name="Care Dashboard" sheetId="29" r:id="rId29"/>
    <sheet name="Recruitment Audit" sheetId="30" r:id="rId30"/>
    <sheet name="Staff File Audit" sheetId="31" r:id="rId31"/>
    <sheet name="Training Audit" sheetId="32" r:id="rId32"/>
    <sheet name="Competency Audit" sheetId="33" r:id="rId33"/>
    <sheet name="Supervision Audit" sheetId="34" r:id="rId34"/>
    <sheet name="Observation Audit" sheetId="35" r:id="rId35"/>
    <sheet name="Appraisal Audit" sheetId="36" r:id="rId36"/>
    <sheet name="Induction Settings" sheetId="37" r:id="rId37"/>
    <sheet name="Induction Employee Register" sheetId="38" r:id="rId38"/>
    <sheet name="Induction Dashboard" sheetId="39" r:id="rId39"/>
    <sheet name="SW001" sheetId="40" r:id="rId40"/>
    <sheet name="SW002" sheetId="41" r:id="rId41"/>
    <sheet name="SW003" sheetId="42" r:id="rId42"/>
    <sheet name="SW004" sheetId="43" r:id="rId43"/>
    <sheet name="SW005" sheetId="44" r:id="rId44"/>
    <sheet name="SW006" sheetId="45" r:id="rId45"/>
    <sheet name="SW007" sheetId="46" r:id="rId46"/>
    <sheet name="SW008" sheetId="47" r:id="rId47"/>
    <sheet name="SW009" sheetId="48" r:id="rId48"/>
    <sheet name="SW010" sheetId="49" r:id="rId49"/>
    <sheet name="SW011" sheetId="50" r:id="rId50"/>
    <sheet name="SW012" sheetId="51" r:id="rId51"/>
    <sheet name="SW013" sheetId="52" r:id="rId52"/>
    <sheet name="SW014" sheetId="53" r:id="rId53"/>
    <sheet name="SW015" sheetId="54" r:id="rId54"/>
    <sheet name="SW016" sheetId="55" r:id="rId55"/>
    <sheet name="SW017" sheetId="56" r:id="rId56"/>
    <sheet name="SW018" sheetId="57" r:id="rId57"/>
    <sheet name="SW019" sheetId="58" r:id="rId58"/>
    <sheet name="SW020" sheetId="59" r:id="rId59"/>
    <sheet name="SW021" sheetId="60" r:id="rId60"/>
    <sheet name="SW022" sheetId="61" r:id="rId61"/>
    <sheet name="SW023" sheetId="62" r:id="rId62"/>
    <sheet name="SW024" sheetId="63" r:id="rId63"/>
    <sheet name="SW025" sheetId="64" r:id="rId64"/>
    <sheet name="Induction Audit" sheetId="65" r:id="rId65"/>
    <sheet name="Probation Audit" sheetId="66" r:id="rId6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0" i="66" l="1"/>
  <c r="J346" i="66"/>
  <c r="J312" i="66"/>
  <c r="J278" i="66"/>
  <c r="J244" i="66"/>
  <c r="J210" i="66"/>
  <c r="J176" i="66"/>
  <c r="J142" i="66"/>
  <c r="J108" i="66"/>
  <c r="J74" i="66"/>
  <c r="J40" i="66"/>
  <c r="J6" i="66"/>
  <c r="J490" i="65"/>
  <c r="J446" i="65"/>
  <c r="J402" i="65"/>
  <c r="J358" i="65"/>
  <c r="J314" i="65"/>
  <c r="J270" i="65"/>
  <c r="J226" i="65"/>
  <c r="J182" i="65"/>
  <c r="J138" i="65"/>
  <c r="J94" i="65"/>
  <c r="J50" i="65"/>
  <c r="J6" i="65"/>
  <c r="K26" i="64"/>
  <c r="K25" i="64"/>
  <c r="K24" i="64"/>
  <c r="K23" i="64"/>
  <c r="K22" i="64"/>
  <c r="K20" i="64"/>
  <c r="B14" i="64"/>
  <c r="B9" i="64"/>
  <c r="B8" i="64"/>
  <c r="B7" i="64"/>
  <c r="B6" i="64"/>
  <c r="B5" i="64"/>
  <c r="B4" i="64"/>
  <c r="K26" i="63"/>
  <c r="K25" i="63"/>
  <c r="K24" i="63"/>
  <c r="K23" i="63"/>
  <c r="K22" i="63"/>
  <c r="K20" i="63"/>
  <c r="B14" i="63"/>
  <c r="B9" i="63"/>
  <c r="B8" i="63"/>
  <c r="B7" i="63"/>
  <c r="B6" i="63"/>
  <c r="B5" i="63"/>
  <c r="B4" i="63"/>
  <c r="K26" i="62"/>
  <c r="K25" i="62"/>
  <c r="K24" i="62"/>
  <c r="K23" i="62"/>
  <c r="K22" i="62"/>
  <c r="K20" i="62"/>
  <c r="B14" i="62"/>
  <c r="B9" i="62"/>
  <c r="B8" i="62"/>
  <c r="B7" i="62"/>
  <c r="B6" i="62"/>
  <c r="B5" i="62"/>
  <c r="B4" i="62"/>
  <c r="K26" i="61"/>
  <c r="K25" i="61"/>
  <c r="K24" i="61"/>
  <c r="K23" i="61"/>
  <c r="K22" i="61"/>
  <c r="K20" i="61"/>
  <c r="B14" i="61"/>
  <c r="B9" i="61"/>
  <c r="B8" i="61"/>
  <c r="B7" i="61"/>
  <c r="B6" i="61"/>
  <c r="B5" i="61"/>
  <c r="B4" i="61"/>
  <c r="K26" i="60"/>
  <c r="K25" i="60"/>
  <c r="K24" i="60"/>
  <c r="K23" i="60"/>
  <c r="K22" i="60"/>
  <c r="K20" i="60"/>
  <c r="B14" i="60"/>
  <c r="B9" i="60"/>
  <c r="B8" i="60"/>
  <c r="B7" i="60"/>
  <c r="B6" i="60"/>
  <c r="B5" i="60"/>
  <c r="B4" i="60"/>
  <c r="K26" i="59"/>
  <c r="K25" i="59"/>
  <c r="K24" i="59"/>
  <c r="K23" i="59"/>
  <c r="K22" i="59"/>
  <c r="K20" i="59"/>
  <c r="B14" i="59"/>
  <c r="B9" i="59"/>
  <c r="B8" i="59"/>
  <c r="B7" i="59"/>
  <c r="B6" i="59"/>
  <c r="B5" i="59"/>
  <c r="B4" i="59"/>
  <c r="K26" i="58"/>
  <c r="K25" i="58"/>
  <c r="K24" i="58"/>
  <c r="K23" i="58"/>
  <c r="K22" i="58"/>
  <c r="K20" i="58"/>
  <c r="B14" i="58"/>
  <c r="B9" i="58"/>
  <c r="B8" i="58"/>
  <c r="B7" i="58"/>
  <c r="B6" i="58"/>
  <c r="B5" i="58"/>
  <c r="B4" i="58"/>
  <c r="K26" i="57"/>
  <c r="K25" i="57"/>
  <c r="K24" i="57"/>
  <c r="K23" i="57"/>
  <c r="K22" i="57"/>
  <c r="K20" i="57"/>
  <c r="B14" i="57"/>
  <c r="B9" i="57"/>
  <c r="B8" i="57"/>
  <c r="B7" i="57"/>
  <c r="B6" i="57"/>
  <c r="B5" i="57"/>
  <c r="B4" i="57"/>
  <c r="K26" i="56"/>
  <c r="K25" i="56"/>
  <c r="K24" i="56"/>
  <c r="K23" i="56"/>
  <c r="K22" i="56"/>
  <c r="K20" i="56"/>
  <c r="B14" i="56"/>
  <c r="B9" i="56"/>
  <c r="B8" i="56"/>
  <c r="B7" i="56"/>
  <c r="B6" i="56"/>
  <c r="B5" i="56"/>
  <c r="B4" i="56"/>
  <c r="K26" i="55"/>
  <c r="K25" i="55"/>
  <c r="K24" i="55"/>
  <c r="K23" i="55"/>
  <c r="K22" i="55"/>
  <c r="K20" i="55"/>
  <c r="B14" i="55"/>
  <c r="B9" i="55"/>
  <c r="B8" i="55"/>
  <c r="B7" i="55"/>
  <c r="B6" i="55"/>
  <c r="B5" i="55"/>
  <c r="B4" i="55"/>
  <c r="K26" i="54"/>
  <c r="K25" i="54"/>
  <c r="K24" i="54"/>
  <c r="K23" i="54"/>
  <c r="K22" i="54"/>
  <c r="K20" i="54"/>
  <c r="B14" i="54"/>
  <c r="B9" i="54"/>
  <c r="B8" i="54"/>
  <c r="B7" i="54"/>
  <c r="B6" i="54"/>
  <c r="B5" i="54"/>
  <c r="B4" i="54"/>
  <c r="K26" i="53"/>
  <c r="K25" i="53"/>
  <c r="K24" i="53"/>
  <c r="K23" i="53"/>
  <c r="K22" i="53"/>
  <c r="K20" i="53"/>
  <c r="B14" i="53"/>
  <c r="B9" i="53"/>
  <c r="B8" i="53"/>
  <c r="B7" i="53"/>
  <c r="B6" i="53"/>
  <c r="B5" i="53"/>
  <c r="B4" i="53"/>
  <c r="K26" i="52"/>
  <c r="K25" i="52"/>
  <c r="K24" i="52"/>
  <c r="K23" i="52"/>
  <c r="K22" i="52"/>
  <c r="K20" i="52"/>
  <c r="B14" i="52"/>
  <c r="B9" i="52"/>
  <c r="B8" i="52"/>
  <c r="B7" i="52"/>
  <c r="B6" i="52"/>
  <c r="B5" i="52"/>
  <c r="B4" i="52"/>
  <c r="K26" i="51"/>
  <c r="K25" i="51"/>
  <c r="K24" i="51"/>
  <c r="K23" i="51"/>
  <c r="K22" i="51"/>
  <c r="K20" i="51"/>
  <c r="B14" i="51"/>
  <c r="B9" i="51"/>
  <c r="B8" i="51"/>
  <c r="B7" i="51"/>
  <c r="B6" i="51"/>
  <c r="B5" i="51"/>
  <c r="B4" i="51"/>
  <c r="K26" i="50"/>
  <c r="K25" i="50"/>
  <c r="K24" i="50"/>
  <c r="K23" i="50"/>
  <c r="K22" i="50"/>
  <c r="K20" i="50"/>
  <c r="B14" i="50"/>
  <c r="B9" i="50"/>
  <c r="B8" i="50"/>
  <c r="B7" i="50"/>
  <c r="B6" i="50"/>
  <c r="B5" i="50"/>
  <c r="B4" i="50"/>
  <c r="K26" i="49"/>
  <c r="K25" i="49"/>
  <c r="K24" i="49"/>
  <c r="K23" i="49"/>
  <c r="K22" i="49"/>
  <c r="K21" i="49"/>
  <c r="K20" i="49"/>
  <c r="B14" i="49"/>
  <c r="B13" i="49"/>
  <c r="B9" i="49"/>
  <c r="B8" i="49"/>
  <c r="B7" i="49"/>
  <c r="B6" i="49"/>
  <c r="B5" i="49"/>
  <c r="B4" i="49"/>
  <c r="K26" i="48"/>
  <c r="K25" i="48"/>
  <c r="K24" i="48"/>
  <c r="K23" i="48"/>
  <c r="K22" i="48"/>
  <c r="K21" i="48"/>
  <c r="K20" i="48"/>
  <c r="B14" i="48"/>
  <c r="B13" i="48"/>
  <c r="B9" i="48"/>
  <c r="B8" i="48"/>
  <c r="B7" i="48"/>
  <c r="B6" i="48"/>
  <c r="B5" i="48"/>
  <c r="B4" i="48"/>
  <c r="K26" i="47"/>
  <c r="K25" i="47"/>
  <c r="K24" i="47"/>
  <c r="K23" i="47"/>
  <c r="K22" i="47"/>
  <c r="K21" i="47"/>
  <c r="K20" i="47"/>
  <c r="B14" i="47"/>
  <c r="B13" i="47"/>
  <c r="B9" i="47"/>
  <c r="B8" i="47"/>
  <c r="B7" i="47"/>
  <c r="B6" i="47"/>
  <c r="B5" i="47"/>
  <c r="B4" i="47"/>
  <c r="K26" i="46"/>
  <c r="K25" i="46"/>
  <c r="K24" i="46"/>
  <c r="K23" i="46"/>
  <c r="K22" i="46"/>
  <c r="K21" i="46"/>
  <c r="K20" i="46"/>
  <c r="B14" i="46"/>
  <c r="B13" i="46"/>
  <c r="B9" i="46"/>
  <c r="B8" i="46"/>
  <c r="B7" i="46"/>
  <c r="B6" i="46"/>
  <c r="B5" i="46"/>
  <c r="B4" i="46"/>
  <c r="K26" i="45"/>
  <c r="K25" i="45"/>
  <c r="K24" i="45"/>
  <c r="K23" i="45"/>
  <c r="K22" i="45"/>
  <c r="K21" i="45"/>
  <c r="K20" i="45"/>
  <c r="B14" i="45"/>
  <c r="B13" i="45"/>
  <c r="B9" i="45"/>
  <c r="B8" i="45"/>
  <c r="B7" i="45"/>
  <c r="B6" i="45"/>
  <c r="B5" i="45"/>
  <c r="B4" i="45"/>
  <c r="K26" i="44"/>
  <c r="K25" i="44"/>
  <c r="K24" i="44"/>
  <c r="K23" i="44"/>
  <c r="K22" i="44"/>
  <c r="K21" i="44"/>
  <c r="K20" i="44"/>
  <c r="B14" i="44"/>
  <c r="B13" i="44"/>
  <c r="B9" i="44"/>
  <c r="B8" i="44"/>
  <c r="B7" i="44"/>
  <c r="B6" i="44"/>
  <c r="B5" i="44"/>
  <c r="B4" i="44"/>
  <c r="K26" i="43"/>
  <c r="K25" i="43"/>
  <c r="K24" i="43"/>
  <c r="K23" i="43"/>
  <c r="K22" i="43"/>
  <c r="K21" i="43"/>
  <c r="K20" i="43"/>
  <c r="B14" i="43"/>
  <c r="B13" i="43"/>
  <c r="B9" i="43"/>
  <c r="B8" i="43"/>
  <c r="B7" i="43"/>
  <c r="B6" i="43"/>
  <c r="B5" i="43"/>
  <c r="B4" i="43"/>
  <c r="K26" i="42"/>
  <c r="K25" i="42"/>
  <c r="K24" i="42"/>
  <c r="K23" i="42"/>
  <c r="K22" i="42"/>
  <c r="K21" i="42"/>
  <c r="K20" i="42"/>
  <c r="B14" i="42"/>
  <c r="B13" i="42"/>
  <c r="B9" i="42"/>
  <c r="B8" i="42"/>
  <c r="B7" i="42"/>
  <c r="B6" i="42"/>
  <c r="B5" i="42"/>
  <c r="B4" i="42"/>
  <c r="K26" i="41"/>
  <c r="K25" i="41"/>
  <c r="K24" i="41"/>
  <c r="K23" i="41"/>
  <c r="K22" i="41"/>
  <c r="K21" i="41"/>
  <c r="K20" i="41"/>
  <c r="B14" i="41"/>
  <c r="B13" i="41"/>
  <c r="B9" i="41"/>
  <c r="B8" i="41"/>
  <c r="B7" i="41"/>
  <c r="B6" i="41"/>
  <c r="B5" i="41"/>
  <c r="B4" i="41"/>
  <c r="K26" i="40"/>
  <c r="K25" i="40"/>
  <c r="K24" i="40"/>
  <c r="K23" i="40"/>
  <c r="K22" i="40"/>
  <c r="K21" i="40"/>
  <c r="K20" i="40"/>
  <c r="B14" i="40"/>
  <c r="B13" i="40"/>
  <c r="B9" i="40"/>
  <c r="B8" i="40"/>
  <c r="B7" i="40"/>
  <c r="B6" i="40"/>
  <c r="B5" i="40"/>
  <c r="B4" i="40"/>
  <c r="G28" i="39"/>
  <c r="F28" i="39"/>
  <c r="E28" i="39"/>
  <c r="D28" i="39"/>
  <c r="G27" i="39"/>
  <c r="F27" i="39"/>
  <c r="E27" i="39"/>
  <c r="D27" i="39"/>
  <c r="G26" i="39"/>
  <c r="F26" i="39"/>
  <c r="E26" i="39"/>
  <c r="D26" i="39"/>
  <c r="G25" i="39"/>
  <c r="F25" i="39"/>
  <c r="E25" i="39"/>
  <c r="D25" i="39"/>
  <c r="G24" i="39"/>
  <c r="F24" i="39"/>
  <c r="E24" i="39"/>
  <c r="D24" i="39"/>
  <c r="G23" i="39"/>
  <c r="F23" i="39"/>
  <c r="E23" i="39"/>
  <c r="D23" i="39"/>
  <c r="G22" i="39"/>
  <c r="F22" i="39"/>
  <c r="E22" i="39"/>
  <c r="D22" i="39"/>
  <c r="G21" i="39"/>
  <c r="F21" i="39"/>
  <c r="E21" i="39"/>
  <c r="D21" i="39"/>
  <c r="G20" i="39"/>
  <c r="F20" i="39"/>
  <c r="E20" i="39"/>
  <c r="D20" i="39"/>
  <c r="G19" i="39"/>
  <c r="F19" i="39"/>
  <c r="E19" i="39"/>
  <c r="D19" i="39"/>
  <c r="G18" i="39"/>
  <c r="F18" i="39"/>
  <c r="E18" i="39"/>
  <c r="D18" i="39"/>
  <c r="G17" i="39"/>
  <c r="F17" i="39"/>
  <c r="E17" i="39"/>
  <c r="D17" i="39"/>
  <c r="G16" i="39"/>
  <c r="F16" i="39"/>
  <c r="E16" i="39"/>
  <c r="D16" i="39"/>
  <c r="G15" i="39"/>
  <c r="F15" i="39"/>
  <c r="E15" i="39"/>
  <c r="D15" i="39"/>
  <c r="G14" i="39"/>
  <c r="F14" i="39"/>
  <c r="E14" i="39"/>
  <c r="D14" i="39"/>
  <c r="G13" i="39"/>
  <c r="F13" i="39"/>
  <c r="E13" i="39"/>
  <c r="D13" i="39"/>
  <c r="G12" i="39"/>
  <c r="F12" i="39"/>
  <c r="E12" i="39"/>
  <c r="D12" i="39"/>
  <c r="G11" i="39"/>
  <c r="F11" i="39"/>
  <c r="E11" i="39"/>
  <c r="D11" i="39"/>
  <c r="G10" i="39"/>
  <c r="F10" i="39"/>
  <c r="E10" i="39"/>
  <c r="D10" i="39"/>
  <c r="G9" i="39"/>
  <c r="F9" i="39"/>
  <c r="E9" i="39"/>
  <c r="D9" i="39"/>
  <c r="G8" i="39"/>
  <c r="F8" i="39"/>
  <c r="E8" i="39"/>
  <c r="D8" i="39"/>
  <c r="G7" i="39"/>
  <c r="F7" i="39"/>
  <c r="E7" i="39"/>
  <c r="D7" i="39"/>
  <c r="G6" i="39"/>
  <c r="F6" i="39"/>
  <c r="E6" i="39"/>
  <c r="D6" i="39"/>
  <c r="G5" i="39"/>
  <c r="F5" i="39"/>
  <c r="E5" i="39"/>
  <c r="D5" i="39"/>
  <c r="G4" i="39"/>
  <c r="F4" i="39"/>
  <c r="E4" i="39"/>
  <c r="D4" i="39"/>
  <c r="B3" i="39"/>
  <c r="X28" i="38"/>
  <c r="S28" i="38"/>
  <c r="P28" i="38"/>
  <c r="N28" i="38"/>
  <c r="M28" i="38"/>
  <c r="L28" i="38"/>
  <c r="J28" i="38"/>
  <c r="I28" i="38"/>
  <c r="G28" i="38"/>
  <c r="X27" i="38"/>
  <c r="S27" i="38"/>
  <c r="P27" i="38"/>
  <c r="N27" i="38"/>
  <c r="M27" i="38"/>
  <c r="L27" i="38"/>
  <c r="J27" i="38"/>
  <c r="I27" i="38"/>
  <c r="G27" i="38"/>
  <c r="X26" i="38"/>
  <c r="S26" i="38"/>
  <c r="P26" i="38"/>
  <c r="N26" i="38"/>
  <c r="M26" i="38"/>
  <c r="L26" i="38"/>
  <c r="J26" i="38"/>
  <c r="I26" i="38"/>
  <c r="G26" i="38"/>
  <c r="X25" i="38"/>
  <c r="S25" i="38"/>
  <c r="P25" i="38"/>
  <c r="N25" i="38"/>
  <c r="M25" i="38"/>
  <c r="L25" i="38"/>
  <c r="J25" i="38"/>
  <c r="I25" i="38"/>
  <c r="G25" i="38"/>
  <c r="X24" i="38"/>
  <c r="S24" i="38"/>
  <c r="P24" i="38"/>
  <c r="N24" i="38"/>
  <c r="M24" i="38"/>
  <c r="L24" i="38"/>
  <c r="J24" i="38"/>
  <c r="I24" i="38"/>
  <c r="G24" i="38"/>
  <c r="X23" i="38"/>
  <c r="S23" i="38"/>
  <c r="P23" i="38"/>
  <c r="N23" i="38"/>
  <c r="M23" i="38"/>
  <c r="L23" i="38"/>
  <c r="J23" i="38"/>
  <c r="I23" i="38"/>
  <c r="G23" i="38"/>
  <c r="X22" i="38"/>
  <c r="S22" i="38"/>
  <c r="P22" i="38"/>
  <c r="N22" i="38"/>
  <c r="M22" i="38"/>
  <c r="L22" i="38"/>
  <c r="J22" i="38"/>
  <c r="I22" i="38"/>
  <c r="G22" i="38"/>
  <c r="X21" i="38"/>
  <c r="S21" i="38"/>
  <c r="P21" i="38"/>
  <c r="N21" i="38"/>
  <c r="M21" i="38"/>
  <c r="L21" i="38"/>
  <c r="J21" i="38"/>
  <c r="I21" i="38"/>
  <c r="G21" i="38"/>
  <c r="X20" i="38"/>
  <c r="S20" i="38"/>
  <c r="P20" i="38"/>
  <c r="N20" i="38"/>
  <c r="M20" i="38"/>
  <c r="L20" i="38"/>
  <c r="J20" i="38"/>
  <c r="I20" i="38"/>
  <c r="G20" i="38"/>
  <c r="X19" i="38"/>
  <c r="S19" i="38"/>
  <c r="P19" i="38"/>
  <c r="N19" i="38"/>
  <c r="M19" i="38"/>
  <c r="L19" i="38"/>
  <c r="J19" i="38"/>
  <c r="I19" i="38"/>
  <c r="G19" i="38"/>
  <c r="X18" i="38"/>
  <c r="S18" i="38"/>
  <c r="P18" i="38"/>
  <c r="N18" i="38"/>
  <c r="M18" i="38"/>
  <c r="L18" i="38"/>
  <c r="J18" i="38"/>
  <c r="I18" i="38"/>
  <c r="G18" i="38"/>
  <c r="X17" i="38"/>
  <c r="S17" i="38"/>
  <c r="P17" i="38"/>
  <c r="N17" i="38"/>
  <c r="M17" i="38"/>
  <c r="L17" i="38"/>
  <c r="J17" i="38"/>
  <c r="I17" i="38"/>
  <c r="G17" i="38"/>
  <c r="X16" i="38"/>
  <c r="S16" i="38"/>
  <c r="P16" i="38"/>
  <c r="N16" i="38"/>
  <c r="M16" i="38"/>
  <c r="L16" i="38"/>
  <c r="J16" i="38"/>
  <c r="I16" i="38"/>
  <c r="G16" i="38"/>
  <c r="X15" i="38"/>
  <c r="S15" i="38"/>
  <c r="P15" i="38"/>
  <c r="N15" i="38"/>
  <c r="M15" i="38"/>
  <c r="L15" i="38"/>
  <c r="J15" i="38"/>
  <c r="I15" i="38"/>
  <c r="G15" i="38"/>
  <c r="X14" i="38"/>
  <c r="S14" i="38"/>
  <c r="P14" i="38"/>
  <c r="N14" i="38"/>
  <c r="M14" i="38"/>
  <c r="L14" i="38"/>
  <c r="J14" i="38"/>
  <c r="G14" i="38"/>
  <c r="X13" i="38"/>
  <c r="S13" i="38"/>
  <c r="P13" i="38"/>
  <c r="N13" i="38"/>
  <c r="M13" i="38"/>
  <c r="L13" i="38"/>
  <c r="G13" i="38"/>
  <c r="X12" i="38"/>
  <c r="S12" i="38"/>
  <c r="P12" i="38"/>
  <c r="N12" i="38"/>
  <c r="M12" i="38"/>
  <c r="L12" i="38"/>
  <c r="G12" i="38"/>
  <c r="X11" i="38"/>
  <c r="S11" i="38"/>
  <c r="P11" i="38"/>
  <c r="N11" i="38"/>
  <c r="M11" i="38"/>
  <c r="L11" i="38"/>
  <c r="G11" i="38"/>
  <c r="X10" i="38"/>
  <c r="S10" i="38"/>
  <c r="P10" i="38"/>
  <c r="N10" i="38"/>
  <c r="M10" i="38"/>
  <c r="L10" i="38"/>
  <c r="G10" i="38"/>
  <c r="X9" i="38"/>
  <c r="S9" i="38"/>
  <c r="P9" i="38"/>
  <c r="N9" i="38"/>
  <c r="M9" i="38"/>
  <c r="L9" i="38"/>
  <c r="G9" i="38"/>
  <c r="X8" i="38"/>
  <c r="S8" i="38"/>
  <c r="P8" i="38"/>
  <c r="N8" i="38"/>
  <c r="M8" i="38"/>
  <c r="L8" i="38"/>
  <c r="G8" i="38"/>
  <c r="X7" i="38"/>
  <c r="S7" i="38"/>
  <c r="P7" i="38"/>
  <c r="N7" i="38"/>
  <c r="M7" i="38"/>
  <c r="L7" i="38"/>
  <c r="G7" i="38"/>
  <c r="X6" i="38"/>
  <c r="S6" i="38"/>
  <c r="P6" i="38"/>
  <c r="N6" i="38"/>
  <c r="M6" i="38"/>
  <c r="L6" i="38"/>
  <c r="G6" i="38"/>
  <c r="X5" i="38"/>
  <c r="S5" i="38"/>
  <c r="P5" i="38"/>
  <c r="N5" i="38"/>
  <c r="M5" i="38"/>
  <c r="L5" i="38"/>
  <c r="G5" i="38"/>
  <c r="X4" i="38"/>
  <c r="S4" i="38"/>
  <c r="P4" i="38"/>
  <c r="N4" i="38"/>
  <c r="M4" i="38"/>
  <c r="L4" i="38"/>
  <c r="G4" i="38"/>
  <c r="J108" i="36"/>
  <c r="J74" i="36"/>
  <c r="J40" i="36"/>
  <c r="J6" i="36"/>
  <c r="J402" i="35"/>
  <c r="J366" i="35"/>
  <c r="J330" i="35"/>
  <c r="J294" i="35"/>
  <c r="J258" i="35"/>
  <c r="J222" i="35"/>
  <c r="J186" i="35"/>
  <c r="J150" i="35"/>
  <c r="J114" i="35"/>
  <c r="J78" i="35"/>
  <c r="J42" i="35"/>
  <c r="J6" i="35"/>
  <c r="J402" i="34"/>
  <c r="J366" i="34"/>
  <c r="J330" i="34"/>
  <c r="J294" i="34"/>
  <c r="J258" i="34"/>
  <c r="J222" i="34"/>
  <c r="J186" i="34"/>
  <c r="J150" i="34"/>
  <c r="J114" i="34"/>
  <c r="J78" i="34"/>
  <c r="J42" i="34"/>
  <c r="J6" i="34"/>
  <c r="J468" i="33"/>
  <c r="J426" i="33"/>
  <c r="J384" i="33"/>
  <c r="J342" i="33"/>
  <c r="J300" i="33"/>
  <c r="J258" i="33"/>
  <c r="J216" i="33"/>
  <c r="J174" i="33"/>
  <c r="J132" i="33"/>
  <c r="J90" i="33"/>
  <c r="J48" i="33"/>
  <c r="J6" i="33"/>
  <c r="J490" i="32"/>
  <c r="J446" i="32"/>
  <c r="J402" i="32"/>
  <c r="J358" i="32"/>
  <c r="J314" i="32"/>
  <c r="J270" i="32"/>
  <c r="J226" i="32"/>
  <c r="J182" i="32"/>
  <c r="J138" i="32"/>
  <c r="J94" i="32"/>
  <c r="J50" i="32"/>
  <c r="J6" i="32"/>
  <c r="J156" i="31"/>
  <c r="J106" i="31"/>
  <c r="J56" i="31"/>
  <c r="J6" i="31"/>
  <c r="J600" i="30"/>
  <c r="J546" i="30"/>
  <c r="J492" i="30"/>
  <c r="J438" i="30"/>
  <c r="J384" i="30"/>
  <c r="J330" i="30"/>
  <c r="J276" i="30"/>
  <c r="J222" i="30"/>
  <c r="J168" i="30"/>
  <c r="J114" i="30"/>
  <c r="J60" i="30"/>
  <c r="J6" i="30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24" i="29"/>
  <c r="C23" i="29"/>
  <c r="C22" i="29"/>
  <c r="C21" i="29"/>
  <c r="C20" i="29"/>
  <c r="C19" i="29"/>
  <c r="C18" i="29"/>
  <c r="C17" i="29"/>
  <c r="M16" i="29"/>
  <c r="L16" i="29"/>
  <c r="K16" i="29"/>
  <c r="J16" i="29"/>
  <c r="C16" i="29"/>
  <c r="M15" i="29"/>
  <c r="K15" i="29"/>
  <c r="J15" i="29"/>
  <c r="C15" i="29"/>
  <c r="M14" i="29"/>
  <c r="K14" i="29"/>
  <c r="J14" i="29"/>
  <c r="C14" i="29"/>
  <c r="M13" i="29"/>
  <c r="K13" i="29"/>
  <c r="J13" i="29"/>
  <c r="C13" i="29"/>
  <c r="M12" i="29"/>
  <c r="K12" i="29"/>
  <c r="J12" i="29"/>
  <c r="C12" i="29"/>
  <c r="M11" i="29"/>
  <c r="K11" i="29"/>
  <c r="J11" i="29"/>
  <c r="C11" i="29"/>
  <c r="M10" i="29"/>
  <c r="K10" i="29"/>
  <c r="J10" i="29"/>
  <c r="C10" i="29"/>
  <c r="M9" i="29"/>
  <c r="K9" i="29"/>
  <c r="J9" i="29"/>
  <c r="C9" i="29"/>
  <c r="M8" i="29"/>
  <c r="K8" i="29"/>
  <c r="J8" i="29"/>
  <c r="M7" i="29"/>
  <c r="K7" i="29"/>
  <c r="J7" i="29"/>
  <c r="M6" i="29"/>
  <c r="J6" i="29"/>
  <c r="M5" i="29"/>
  <c r="K5" i="29"/>
  <c r="J5" i="29"/>
  <c r="A5" i="29"/>
  <c r="M4" i="29"/>
  <c r="K4" i="29"/>
  <c r="J4" i="29"/>
  <c r="C51" i="27"/>
  <c r="B51" i="27"/>
  <c r="C50" i="27"/>
  <c r="B50" i="27"/>
  <c r="C49" i="27"/>
  <c r="B49" i="27"/>
  <c r="C48" i="27"/>
  <c r="B48" i="27"/>
  <c r="C47" i="27"/>
  <c r="B47" i="27"/>
  <c r="C46" i="27"/>
  <c r="B46" i="27"/>
  <c r="C45" i="27"/>
  <c r="B45" i="27"/>
  <c r="C44" i="27"/>
  <c r="B44" i="27"/>
  <c r="C43" i="27"/>
  <c r="B43" i="27"/>
  <c r="C42" i="27"/>
  <c r="B42" i="27"/>
  <c r="C41" i="27"/>
  <c r="B41" i="27"/>
  <c r="C40" i="27"/>
  <c r="B40" i="27"/>
  <c r="C39" i="27"/>
  <c r="B39" i="27"/>
  <c r="C38" i="27"/>
  <c r="B38" i="27"/>
  <c r="C37" i="27"/>
  <c r="B37" i="27"/>
  <c r="C36" i="27"/>
  <c r="B36" i="27"/>
  <c r="C35" i="27"/>
  <c r="B35" i="27"/>
  <c r="C34" i="27"/>
  <c r="B34" i="27"/>
  <c r="C33" i="27"/>
  <c r="B33" i="27"/>
  <c r="C32" i="27"/>
  <c r="B32" i="27"/>
  <c r="C31" i="27"/>
  <c r="B31" i="27"/>
  <c r="C30" i="27"/>
  <c r="B30" i="27"/>
  <c r="C29" i="27"/>
  <c r="B29" i="27"/>
  <c r="C28" i="27"/>
  <c r="B28" i="27"/>
  <c r="C27" i="27"/>
  <c r="B27" i="27"/>
  <c r="C26" i="27"/>
  <c r="B26" i="27"/>
  <c r="C25" i="27"/>
  <c r="B25" i="27"/>
  <c r="C24" i="27"/>
  <c r="B24" i="27"/>
  <c r="C23" i="27"/>
  <c r="B23" i="27"/>
  <c r="C22" i="27"/>
  <c r="B22" i="27"/>
  <c r="C21" i="27"/>
  <c r="B21" i="27"/>
  <c r="C20" i="27"/>
  <c r="B20" i="27"/>
  <c r="C19" i="27"/>
  <c r="B19" i="27"/>
  <c r="C18" i="27"/>
  <c r="B18" i="27"/>
  <c r="C17" i="27"/>
  <c r="B17" i="27"/>
  <c r="C16" i="27"/>
  <c r="B16" i="27"/>
  <c r="C15" i="27"/>
  <c r="B15" i="27"/>
  <c r="C14" i="27"/>
  <c r="B14" i="27"/>
  <c r="C13" i="27"/>
  <c r="B13" i="27"/>
  <c r="B6" i="27"/>
  <c r="B5" i="27"/>
  <c r="D42" i="26"/>
  <c r="C42" i="26"/>
  <c r="D41" i="26"/>
  <c r="C41" i="26"/>
  <c r="D40" i="26"/>
  <c r="C40" i="26"/>
  <c r="D39" i="26"/>
  <c r="C39" i="26"/>
  <c r="D38" i="26"/>
  <c r="C38" i="26"/>
  <c r="D37" i="26"/>
  <c r="C37" i="26"/>
  <c r="D36" i="26"/>
  <c r="C36" i="26"/>
  <c r="D35" i="26"/>
  <c r="C35" i="26"/>
  <c r="D34" i="26"/>
  <c r="C34" i="26"/>
  <c r="D33" i="26"/>
  <c r="C33" i="26"/>
  <c r="D32" i="26"/>
  <c r="C32" i="26"/>
  <c r="D31" i="26"/>
  <c r="C31" i="26"/>
  <c r="D30" i="26"/>
  <c r="C30" i="26"/>
  <c r="D29" i="26"/>
  <c r="C29" i="26"/>
  <c r="D28" i="26"/>
  <c r="C28" i="26"/>
  <c r="D27" i="26"/>
  <c r="C27" i="26"/>
  <c r="D26" i="26"/>
  <c r="C26" i="26"/>
  <c r="D25" i="26"/>
  <c r="C25" i="26"/>
  <c r="D24" i="26"/>
  <c r="C24" i="26"/>
  <c r="D23" i="26"/>
  <c r="C23" i="26"/>
  <c r="D22" i="26"/>
  <c r="C22" i="26"/>
  <c r="D21" i="26"/>
  <c r="D20" i="26"/>
  <c r="C20" i="26"/>
  <c r="D19" i="26"/>
  <c r="C19" i="26"/>
  <c r="D18" i="26"/>
  <c r="C18" i="26"/>
  <c r="D17" i="26"/>
  <c r="C17" i="26"/>
  <c r="D16" i="26"/>
  <c r="D15" i="26"/>
  <c r="C15" i="26"/>
  <c r="D14" i="26"/>
  <c r="C14" i="26"/>
  <c r="D13" i="26"/>
  <c r="C13" i="26"/>
  <c r="B5" i="26"/>
  <c r="AF15" i="24"/>
  <c r="AE15" i="24"/>
  <c r="AD15" i="24"/>
  <c r="AC15" i="24"/>
  <c r="AB15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C15" i="24"/>
  <c r="B15" i="24"/>
  <c r="AF14" i="24"/>
  <c r="AE14" i="24"/>
  <c r="AD14" i="24"/>
  <c r="AC14" i="24"/>
  <c r="AB14" i="24"/>
  <c r="AA14" i="24"/>
  <c r="Z14" i="24"/>
  <c r="Y14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F14" i="24"/>
  <c r="E14" i="24"/>
  <c r="D14" i="24"/>
  <c r="C14" i="24"/>
  <c r="B14" i="24"/>
  <c r="AF13" i="24"/>
  <c r="AE13" i="24"/>
  <c r="AD13" i="24"/>
  <c r="AC13" i="24"/>
  <c r="AB13" i="24"/>
  <c r="AA13" i="24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B13" i="24"/>
  <c r="AF12" i="24"/>
  <c r="AE12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B12" i="24"/>
  <c r="AF11" i="24"/>
  <c r="AE11" i="24"/>
  <c r="AD11" i="24"/>
  <c r="AC11" i="24"/>
  <c r="AB11" i="24"/>
  <c r="AA11" i="24"/>
  <c r="Z11" i="24"/>
  <c r="Y11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H11" i="24"/>
  <c r="G11" i="24"/>
  <c r="F11" i="24"/>
  <c r="E11" i="24"/>
  <c r="D11" i="24"/>
  <c r="C11" i="24"/>
  <c r="B11" i="24"/>
  <c r="AF10" i="24"/>
  <c r="AE10" i="24"/>
  <c r="AD10" i="24"/>
  <c r="AC10" i="24"/>
  <c r="AB10" i="24"/>
  <c r="AA10" i="24"/>
  <c r="Z10" i="24"/>
  <c r="Y10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B10" i="24"/>
  <c r="AF9" i="24"/>
  <c r="AE9" i="24"/>
  <c r="AD9" i="24"/>
  <c r="AC9" i="24"/>
  <c r="AB9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F9" i="24"/>
  <c r="E9" i="24"/>
  <c r="D9" i="24"/>
  <c r="C9" i="24"/>
  <c r="B9" i="24"/>
  <c r="AF8" i="24"/>
  <c r="AE8" i="24"/>
  <c r="AD8" i="24"/>
  <c r="AC8" i="24"/>
  <c r="AB8" i="24"/>
  <c r="AA8" i="24"/>
  <c r="Z8" i="24"/>
  <c r="Y8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H8" i="24"/>
  <c r="G8" i="24"/>
  <c r="F8" i="24"/>
  <c r="E8" i="24"/>
  <c r="D8" i="24"/>
  <c r="C8" i="24"/>
  <c r="B8" i="24"/>
  <c r="AF7" i="24"/>
  <c r="AE7" i="24"/>
  <c r="AD7" i="24"/>
  <c r="AC7" i="24"/>
  <c r="AB7" i="24"/>
  <c r="AA7" i="24"/>
  <c r="Z7" i="24"/>
  <c r="Y7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H7" i="24"/>
  <c r="G7" i="24"/>
  <c r="F7" i="24"/>
  <c r="E7" i="24"/>
  <c r="D7" i="24"/>
  <c r="C7" i="24"/>
  <c r="B7" i="24"/>
  <c r="AF6" i="24"/>
  <c r="AE6" i="24"/>
  <c r="AD6" i="24"/>
  <c r="AC6" i="24"/>
  <c r="AB6" i="24"/>
  <c r="AA6" i="24"/>
  <c r="Z6" i="24"/>
  <c r="Y6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H6" i="24"/>
  <c r="G6" i="24"/>
  <c r="F6" i="24"/>
  <c r="E6" i="24"/>
  <c r="D6" i="24"/>
  <c r="C6" i="24"/>
  <c r="B6" i="24"/>
  <c r="AF5" i="24"/>
  <c r="AE5" i="24"/>
  <c r="AD5" i="24"/>
  <c r="AC5" i="24"/>
  <c r="AB5" i="24"/>
  <c r="AA5" i="24"/>
  <c r="Z5" i="24"/>
  <c r="Y5" i="24"/>
  <c r="X5" i="24"/>
  <c r="W5" i="24"/>
  <c r="V5" i="24"/>
  <c r="U5" i="24"/>
  <c r="T5" i="24"/>
  <c r="S5" i="24"/>
  <c r="R5" i="24"/>
  <c r="Q5" i="24"/>
  <c r="P5" i="24"/>
  <c r="O5" i="24"/>
  <c r="N5" i="24"/>
  <c r="M5" i="24"/>
  <c r="L5" i="24"/>
  <c r="K5" i="24"/>
  <c r="J5" i="24"/>
  <c r="I5" i="24"/>
  <c r="H5" i="24"/>
  <c r="G5" i="24"/>
  <c r="F5" i="24"/>
  <c r="E5" i="24"/>
  <c r="D5" i="24"/>
  <c r="C5" i="24"/>
  <c r="B5" i="24"/>
  <c r="AF4" i="24"/>
  <c r="AE4" i="24"/>
  <c r="AD4" i="24"/>
  <c r="AC4" i="24"/>
  <c r="AB4" i="24"/>
  <c r="AA4" i="24"/>
  <c r="Z4" i="24"/>
  <c r="Y4" i="24"/>
  <c r="X4" i="24"/>
  <c r="W4" i="24"/>
  <c r="V4" i="24"/>
  <c r="U4" i="24"/>
  <c r="T4" i="24"/>
  <c r="S4" i="24"/>
  <c r="R4" i="24"/>
  <c r="Q4" i="24"/>
  <c r="P4" i="24"/>
  <c r="O4" i="24"/>
  <c r="N4" i="24"/>
  <c r="M4" i="24"/>
  <c r="L4" i="24"/>
  <c r="K4" i="24"/>
  <c r="J4" i="24"/>
  <c r="I4" i="24"/>
  <c r="H4" i="24"/>
  <c r="G4" i="24"/>
  <c r="F4" i="24"/>
  <c r="E4" i="24"/>
  <c r="D4" i="24"/>
  <c r="C4" i="24"/>
  <c r="B4" i="24"/>
  <c r="B51" i="22"/>
  <c r="B50" i="22"/>
  <c r="B49" i="22"/>
  <c r="B48" i="22"/>
  <c r="B47" i="22"/>
  <c r="B46" i="22"/>
  <c r="B45" i="22"/>
  <c r="B44" i="22"/>
  <c r="B43" i="22"/>
  <c r="B42" i="22"/>
  <c r="B41" i="22"/>
  <c r="B40" i="22"/>
  <c r="B39" i="22"/>
  <c r="B38" i="22"/>
  <c r="B37" i="22"/>
  <c r="B36" i="22"/>
  <c r="B35" i="22"/>
  <c r="B34" i="22"/>
  <c r="B33" i="22"/>
  <c r="B32" i="22"/>
  <c r="B31" i="22"/>
  <c r="B30" i="22"/>
  <c r="B29" i="22"/>
  <c r="B28" i="22"/>
  <c r="B27" i="22"/>
  <c r="B26" i="22"/>
  <c r="B25" i="22"/>
  <c r="B24" i="22"/>
  <c r="B23" i="22"/>
  <c r="B22" i="22"/>
  <c r="B21" i="22"/>
  <c r="AG15" i="22"/>
  <c r="AG14" i="22"/>
  <c r="AG13" i="22"/>
  <c r="AG12" i="22"/>
  <c r="AG11" i="22"/>
  <c r="AG10" i="22"/>
  <c r="AG9" i="22"/>
  <c r="AG8" i="22"/>
  <c r="AG7" i="22"/>
  <c r="AG6" i="22"/>
  <c r="AG5" i="22"/>
  <c r="AG4" i="22"/>
  <c r="AG29" i="12"/>
  <c r="AF29" i="12"/>
  <c r="AE29" i="12"/>
  <c r="AD29" i="12"/>
  <c r="AC29" i="12"/>
  <c r="AB29" i="12"/>
  <c r="AA29" i="12"/>
  <c r="Z29" i="12"/>
  <c r="Y29" i="12"/>
  <c r="W29" i="12"/>
  <c r="O29" i="12"/>
  <c r="N29" i="12"/>
  <c r="L29" i="12"/>
  <c r="K29" i="12"/>
  <c r="J29" i="12"/>
  <c r="I29" i="12"/>
  <c r="H29" i="12"/>
  <c r="G29" i="12"/>
  <c r="F29" i="12"/>
  <c r="E29" i="12"/>
  <c r="D29" i="12"/>
  <c r="C29" i="12"/>
  <c r="B29" i="12"/>
  <c r="A29" i="12"/>
  <c r="AG28" i="12"/>
  <c r="AF28" i="12"/>
  <c r="AE28" i="12"/>
  <c r="AD28" i="12"/>
  <c r="AC28" i="12"/>
  <c r="AB28" i="12"/>
  <c r="AA28" i="12"/>
  <c r="Z28" i="12"/>
  <c r="Y28" i="12"/>
  <c r="W28" i="12"/>
  <c r="O28" i="12"/>
  <c r="N28" i="12"/>
  <c r="L28" i="12"/>
  <c r="K28" i="12"/>
  <c r="J28" i="12"/>
  <c r="I28" i="12"/>
  <c r="H28" i="12"/>
  <c r="G28" i="12"/>
  <c r="F28" i="12"/>
  <c r="E28" i="12"/>
  <c r="D28" i="12"/>
  <c r="C28" i="12"/>
  <c r="B28" i="12"/>
  <c r="A28" i="12"/>
  <c r="AG27" i="12"/>
  <c r="AF27" i="12"/>
  <c r="AE27" i="12"/>
  <c r="AD27" i="12"/>
  <c r="AC27" i="12"/>
  <c r="AB27" i="12"/>
  <c r="AA27" i="12"/>
  <c r="Z27" i="12"/>
  <c r="Y27" i="12"/>
  <c r="W27" i="12"/>
  <c r="O27" i="12"/>
  <c r="N27" i="12"/>
  <c r="L27" i="12"/>
  <c r="K27" i="12"/>
  <c r="J27" i="12"/>
  <c r="I27" i="12"/>
  <c r="H27" i="12"/>
  <c r="G27" i="12"/>
  <c r="F27" i="12"/>
  <c r="E27" i="12"/>
  <c r="D27" i="12"/>
  <c r="C27" i="12"/>
  <c r="B27" i="12"/>
  <c r="A27" i="12"/>
  <c r="AG26" i="12"/>
  <c r="AF26" i="12"/>
  <c r="AE26" i="12"/>
  <c r="AD26" i="12"/>
  <c r="AC26" i="12"/>
  <c r="AB26" i="12"/>
  <c r="AA26" i="12"/>
  <c r="Z26" i="12"/>
  <c r="Y26" i="12"/>
  <c r="W26" i="12"/>
  <c r="O26" i="12"/>
  <c r="N26" i="12"/>
  <c r="L26" i="12"/>
  <c r="K26" i="12"/>
  <c r="J26" i="12"/>
  <c r="I26" i="12"/>
  <c r="H26" i="12"/>
  <c r="G26" i="12"/>
  <c r="F26" i="12"/>
  <c r="E26" i="12"/>
  <c r="D26" i="12"/>
  <c r="C26" i="12"/>
  <c r="B26" i="12"/>
  <c r="A26" i="12"/>
  <c r="AG25" i="12"/>
  <c r="AF25" i="12"/>
  <c r="AE25" i="12"/>
  <c r="AD25" i="12"/>
  <c r="AC25" i="12"/>
  <c r="AB25" i="12"/>
  <c r="AA25" i="12"/>
  <c r="Z25" i="12"/>
  <c r="Y25" i="12"/>
  <c r="W25" i="12"/>
  <c r="O25" i="12"/>
  <c r="N25" i="12"/>
  <c r="L25" i="12"/>
  <c r="K25" i="12"/>
  <c r="J25" i="12"/>
  <c r="I25" i="12"/>
  <c r="H25" i="12"/>
  <c r="G25" i="12"/>
  <c r="F25" i="12"/>
  <c r="E25" i="12"/>
  <c r="D25" i="12"/>
  <c r="C25" i="12"/>
  <c r="B25" i="12"/>
  <c r="A25" i="12"/>
  <c r="AG24" i="12"/>
  <c r="AF24" i="12"/>
  <c r="AE24" i="12"/>
  <c r="AD24" i="12"/>
  <c r="AC24" i="12"/>
  <c r="AB24" i="12"/>
  <c r="AA24" i="12"/>
  <c r="Z24" i="12"/>
  <c r="Y24" i="12"/>
  <c r="W24" i="12"/>
  <c r="O24" i="12"/>
  <c r="N24" i="12"/>
  <c r="L24" i="12"/>
  <c r="K24" i="12"/>
  <c r="J24" i="12"/>
  <c r="I24" i="12"/>
  <c r="H24" i="12"/>
  <c r="G24" i="12"/>
  <c r="F24" i="12"/>
  <c r="E24" i="12"/>
  <c r="D24" i="12"/>
  <c r="C24" i="12"/>
  <c r="B24" i="12"/>
  <c r="A24" i="12"/>
  <c r="AG23" i="12"/>
  <c r="AF23" i="12"/>
  <c r="AE23" i="12"/>
  <c r="AD23" i="12"/>
  <c r="AC23" i="12"/>
  <c r="AB23" i="12"/>
  <c r="AA23" i="12"/>
  <c r="Z23" i="12"/>
  <c r="Y23" i="12"/>
  <c r="W23" i="12"/>
  <c r="O23" i="12"/>
  <c r="N23" i="12"/>
  <c r="L23" i="12"/>
  <c r="K23" i="12"/>
  <c r="J23" i="12"/>
  <c r="I23" i="12"/>
  <c r="H23" i="12"/>
  <c r="G23" i="12"/>
  <c r="F23" i="12"/>
  <c r="E23" i="12"/>
  <c r="D23" i="12"/>
  <c r="C23" i="12"/>
  <c r="B23" i="12"/>
  <c r="A23" i="12"/>
  <c r="AG22" i="12"/>
  <c r="AF22" i="12"/>
  <c r="AE22" i="12"/>
  <c r="AD22" i="12"/>
  <c r="AC22" i="12"/>
  <c r="AB22" i="12"/>
  <c r="AA22" i="12"/>
  <c r="Z22" i="12"/>
  <c r="Y22" i="12"/>
  <c r="W22" i="12"/>
  <c r="O22" i="12"/>
  <c r="N22" i="12"/>
  <c r="L22" i="12"/>
  <c r="K22" i="12"/>
  <c r="J22" i="12"/>
  <c r="I22" i="12"/>
  <c r="H22" i="12"/>
  <c r="G22" i="12"/>
  <c r="F22" i="12"/>
  <c r="E22" i="12"/>
  <c r="D22" i="12"/>
  <c r="C22" i="12"/>
  <c r="B22" i="12"/>
  <c r="A22" i="12"/>
  <c r="AG21" i="12"/>
  <c r="AF21" i="12"/>
  <c r="AE21" i="12"/>
  <c r="AD21" i="12"/>
  <c r="AC21" i="12"/>
  <c r="AB21" i="12"/>
  <c r="AA21" i="12"/>
  <c r="Z21" i="12"/>
  <c r="Y21" i="12"/>
  <c r="W21" i="12"/>
  <c r="O21" i="12"/>
  <c r="N21" i="12"/>
  <c r="L21" i="12"/>
  <c r="K21" i="12"/>
  <c r="J21" i="12"/>
  <c r="I21" i="12"/>
  <c r="H21" i="12"/>
  <c r="G21" i="12"/>
  <c r="F21" i="12"/>
  <c r="E21" i="12"/>
  <c r="D21" i="12"/>
  <c r="C21" i="12"/>
  <c r="B21" i="12"/>
  <c r="A21" i="12"/>
  <c r="AG20" i="12"/>
  <c r="AF20" i="12"/>
  <c r="AE20" i="12"/>
  <c r="AD20" i="12"/>
  <c r="AC20" i="12"/>
  <c r="AB20" i="12"/>
  <c r="AA20" i="12"/>
  <c r="Z20" i="12"/>
  <c r="Y20" i="12"/>
  <c r="W20" i="12"/>
  <c r="O20" i="12"/>
  <c r="N20" i="12"/>
  <c r="L20" i="12"/>
  <c r="K20" i="12"/>
  <c r="J20" i="12"/>
  <c r="I20" i="12"/>
  <c r="H20" i="12"/>
  <c r="G20" i="12"/>
  <c r="F20" i="12"/>
  <c r="E20" i="12"/>
  <c r="D20" i="12"/>
  <c r="C20" i="12"/>
  <c r="B20" i="12"/>
  <c r="A20" i="12"/>
  <c r="AG19" i="12"/>
  <c r="AF19" i="12"/>
  <c r="AE19" i="12"/>
  <c r="AD19" i="12"/>
  <c r="AC19" i="12"/>
  <c r="AB19" i="12"/>
  <c r="AA19" i="12"/>
  <c r="Z19" i="12"/>
  <c r="Y19" i="12"/>
  <c r="W19" i="12"/>
  <c r="O19" i="12"/>
  <c r="N19" i="12"/>
  <c r="L19" i="12"/>
  <c r="K19" i="12"/>
  <c r="J19" i="12"/>
  <c r="I19" i="12"/>
  <c r="H19" i="12"/>
  <c r="G19" i="12"/>
  <c r="F19" i="12"/>
  <c r="E19" i="12"/>
  <c r="D19" i="12"/>
  <c r="C19" i="12"/>
  <c r="B19" i="12"/>
  <c r="A19" i="12"/>
  <c r="AG18" i="12"/>
  <c r="AF18" i="12"/>
  <c r="AE18" i="12"/>
  <c r="AD18" i="12"/>
  <c r="AC18" i="12"/>
  <c r="AB18" i="12"/>
  <c r="AA18" i="12"/>
  <c r="Z18" i="12"/>
  <c r="Y18" i="12"/>
  <c r="W18" i="12"/>
  <c r="O18" i="12"/>
  <c r="N18" i="12"/>
  <c r="L18" i="12"/>
  <c r="K18" i="12"/>
  <c r="J18" i="12"/>
  <c r="I18" i="12"/>
  <c r="H18" i="12"/>
  <c r="G18" i="12"/>
  <c r="F18" i="12"/>
  <c r="E18" i="12"/>
  <c r="D18" i="12"/>
  <c r="C18" i="12"/>
  <c r="B18" i="12"/>
  <c r="A18" i="12"/>
  <c r="AG17" i="12"/>
  <c r="AF17" i="12"/>
  <c r="AE17" i="12"/>
  <c r="AD17" i="12"/>
  <c r="AC17" i="12"/>
  <c r="AB17" i="12"/>
  <c r="AA17" i="12"/>
  <c r="Z17" i="12"/>
  <c r="Y17" i="12"/>
  <c r="W17" i="12"/>
  <c r="O17" i="12"/>
  <c r="N17" i="12"/>
  <c r="L17" i="12"/>
  <c r="K17" i="12"/>
  <c r="J17" i="12"/>
  <c r="I17" i="12"/>
  <c r="H17" i="12"/>
  <c r="G17" i="12"/>
  <c r="F17" i="12"/>
  <c r="E17" i="12"/>
  <c r="D17" i="12"/>
  <c r="C17" i="12"/>
  <c r="B17" i="12"/>
  <c r="A17" i="12"/>
  <c r="AG16" i="12"/>
  <c r="AF16" i="12"/>
  <c r="AE16" i="12"/>
  <c r="AD16" i="12"/>
  <c r="AC16" i="12"/>
  <c r="AB16" i="12"/>
  <c r="AA16" i="12"/>
  <c r="Z16" i="12"/>
  <c r="Y16" i="12"/>
  <c r="W16" i="12"/>
  <c r="O16" i="12"/>
  <c r="N16" i="12"/>
  <c r="L16" i="12"/>
  <c r="K16" i="12"/>
  <c r="J16" i="12"/>
  <c r="I16" i="12"/>
  <c r="H16" i="12"/>
  <c r="G16" i="12"/>
  <c r="F16" i="12"/>
  <c r="E16" i="12"/>
  <c r="D16" i="12"/>
  <c r="C16" i="12"/>
  <c r="B16" i="12"/>
  <c r="A16" i="12"/>
  <c r="AG15" i="12"/>
  <c r="AF15" i="12"/>
  <c r="AE15" i="12"/>
  <c r="AD15" i="12"/>
  <c r="AC15" i="12"/>
  <c r="AB15" i="12"/>
  <c r="AA15" i="12"/>
  <c r="Z15" i="12"/>
  <c r="Y15" i="12"/>
  <c r="W15" i="12"/>
  <c r="Q15" i="12"/>
  <c r="O15" i="12"/>
  <c r="N15" i="12"/>
  <c r="L15" i="12"/>
  <c r="K15" i="12"/>
  <c r="J15" i="12"/>
  <c r="I15" i="12"/>
  <c r="H15" i="12"/>
  <c r="G15" i="12"/>
  <c r="F15" i="12"/>
  <c r="E15" i="12"/>
  <c r="D15" i="12"/>
  <c r="C15" i="12"/>
  <c r="B15" i="12"/>
  <c r="A15" i="12"/>
  <c r="AG14" i="12"/>
  <c r="AF14" i="12"/>
  <c r="AE14" i="12"/>
  <c r="AD14" i="12"/>
  <c r="AC14" i="12"/>
  <c r="AB14" i="12"/>
  <c r="AA14" i="12"/>
  <c r="Z14" i="12"/>
  <c r="Y14" i="12"/>
  <c r="W14" i="12"/>
  <c r="O14" i="12"/>
  <c r="N14" i="12"/>
  <c r="L14" i="12"/>
  <c r="K14" i="12"/>
  <c r="J14" i="12"/>
  <c r="I14" i="12"/>
  <c r="H14" i="12"/>
  <c r="G14" i="12"/>
  <c r="F14" i="12"/>
  <c r="E14" i="12"/>
  <c r="D14" i="12"/>
  <c r="C14" i="12"/>
  <c r="B14" i="12"/>
  <c r="A14" i="12"/>
  <c r="AG13" i="12"/>
  <c r="AF13" i="12"/>
  <c r="AE13" i="12"/>
  <c r="AD13" i="12"/>
  <c r="AC13" i="12"/>
  <c r="AB13" i="12"/>
  <c r="AA13" i="12"/>
  <c r="Z13" i="12"/>
  <c r="Y13" i="12"/>
  <c r="W13" i="12"/>
  <c r="O13" i="12"/>
  <c r="N13" i="12"/>
  <c r="L13" i="12"/>
  <c r="K13" i="12"/>
  <c r="J13" i="12"/>
  <c r="I13" i="12"/>
  <c r="H13" i="12"/>
  <c r="G13" i="12"/>
  <c r="F13" i="12"/>
  <c r="E13" i="12"/>
  <c r="D13" i="12"/>
  <c r="C13" i="12"/>
  <c r="B13" i="12"/>
  <c r="A13" i="12"/>
  <c r="AG12" i="12"/>
  <c r="AF12" i="12"/>
  <c r="AE12" i="12"/>
  <c r="AD12" i="12"/>
  <c r="AC12" i="12"/>
  <c r="AB12" i="12"/>
  <c r="AA12" i="12"/>
  <c r="Z12" i="12"/>
  <c r="Y12" i="12"/>
  <c r="W12" i="12"/>
  <c r="O12" i="12"/>
  <c r="N12" i="12"/>
  <c r="L12" i="12"/>
  <c r="K12" i="12"/>
  <c r="J12" i="12"/>
  <c r="I12" i="12"/>
  <c r="H12" i="12"/>
  <c r="G12" i="12"/>
  <c r="F12" i="12"/>
  <c r="E12" i="12"/>
  <c r="D12" i="12"/>
  <c r="C12" i="12"/>
  <c r="B12" i="12"/>
  <c r="A12" i="12"/>
  <c r="AG11" i="12"/>
  <c r="AF11" i="12"/>
  <c r="AE11" i="12"/>
  <c r="AD11" i="12"/>
  <c r="AC11" i="12"/>
  <c r="AB11" i="12"/>
  <c r="AA11" i="12"/>
  <c r="Z11" i="12"/>
  <c r="Y11" i="12"/>
  <c r="W11" i="12"/>
  <c r="O11" i="12"/>
  <c r="N11" i="12"/>
  <c r="L11" i="12"/>
  <c r="K11" i="12"/>
  <c r="J11" i="12"/>
  <c r="I11" i="12"/>
  <c r="H11" i="12"/>
  <c r="G11" i="12"/>
  <c r="F11" i="12"/>
  <c r="E11" i="12"/>
  <c r="D11" i="12"/>
  <c r="C11" i="12"/>
  <c r="B11" i="12"/>
  <c r="A11" i="12"/>
  <c r="AG10" i="12"/>
  <c r="AF10" i="12"/>
  <c r="AE10" i="12"/>
  <c r="AD10" i="12"/>
  <c r="AC10" i="12"/>
  <c r="AB10" i="12"/>
  <c r="AA10" i="12"/>
  <c r="Z10" i="12"/>
  <c r="Y10" i="12"/>
  <c r="W10" i="12"/>
  <c r="O10" i="12"/>
  <c r="N10" i="12"/>
  <c r="L10" i="12"/>
  <c r="K10" i="12"/>
  <c r="J10" i="12"/>
  <c r="I10" i="12"/>
  <c r="H10" i="12"/>
  <c r="G10" i="12"/>
  <c r="F10" i="12"/>
  <c r="E10" i="12"/>
  <c r="D10" i="12"/>
  <c r="C10" i="12"/>
  <c r="B10" i="12"/>
  <c r="A10" i="12"/>
  <c r="AG9" i="12"/>
  <c r="AF9" i="12"/>
  <c r="AE9" i="12"/>
  <c r="AD9" i="12"/>
  <c r="AC9" i="12"/>
  <c r="AB9" i="12"/>
  <c r="AA9" i="12"/>
  <c r="Z9" i="12"/>
  <c r="Y9" i="12"/>
  <c r="W9" i="12"/>
  <c r="O9" i="12"/>
  <c r="N9" i="12"/>
  <c r="L9" i="12"/>
  <c r="K9" i="12"/>
  <c r="J9" i="12"/>
  <c r="I9" i="12"/>
  <c r="H9" i="12"/>
  <c r="G9" i="12"/>
  <c r="F9" i="12"/>
  <c r="E9" i="12"/>
  <c r="D9" i="12"/>
  <c r="C9" i="12"/>
  <c r="B9" i="12"/>
  <c r="A9" i="12"/>
  <c r="AG8" i="12"/>
  <c r="AF8" i="12"/>
  <c r="AE8" i="12"/>
  <c r="AD8" i="12"/>
  <c r="AC8" i="12"/>
  <c r="AB8" i="12"/>
  <c r="AA8" i="12"/>
  <c r="Z8" i="12"/>
  <c r="Y8" i="12"/>
  <c r="W8" i="12"/>
  <c r="O8" i="12"/>
  <c r="N8" i="12"/>
  <c r="L8" i="12"/>
  <c r="K8" i="12"/>
  <c r="J8" i="12"/>
  <c r="I8" i="12"/>
  <c r="H8" i="12"/>
  <c r="G8" i="12"/>
  <c r="F8" i="12"/>
  <c r="E8" i="12"/>
  <c r="D8" i="12"/>
  <c r="C8" i="12"/>
  <c r="B8" i="12"/>
  <c r="A8" i="12"/>
  <c r="AG7" i="12"/>
  <c r="AF7" i="12"/>
  <c r="AE7" i="12"/>
  <c r="AD7" i="12"/>
  <c r="AC7" i="12"/>
  <c r="AB7" i="12"/>
  <c r="AA7" i="12"/>
  <c r="Z7" i="12"/>
  <c r="Y7" i="12"/>
  <c r="W7" i="12"/>
  <c r="O7" i="12"/>
  <c r="N7" i="12"/>
  <c r="L7" i="12"/>
  <c r="K7" i="12"/>
  <c r="J7" i="12"/>
  <c r="I7" i="12"/>
  <c r="H7" i="12"/>
  <c r="G7" i="12"/>
  <c r="F7" i="12"/>
  <c r="E7" i="12"/>
  <c r="D7" i="12"/>
  <c r="C7" i="12"/>
  <c r="B7" i="12"/>
  <c r="A7" i="12"/>
  <c r="AG6" i="12"/>
  <c r="AF6" i="12"/>
  <c r="AE6" i="12"/>
  <c r="AD6" i="12"/>
  <c r="AC6" i="12"/>
  <c r="AB6" i="12"/>
  <c r="AA6" i="12"/>
  <c r="Z6" i="12"/>
  <c r="Y6" i="12"/>
  <c r="W6" i="12"/>
  <c r="O6" i="12"/>
  <c r="N6" i="12"/>
  <c r="L6" i="12"/>
  <c r="K6" i="12"/>
  <c r="J6" i="12"/>
  <c r="I6" i="12"/>
  <c r="H6" i="12"/>
  <c r="G6" i="12"/>
  <c r="F6" i="12"/>
  <c r="E6" i="12"/>
  <c r="D6" i="12"/>
  <c r="C6" i="12"/>
  <c r="B6" i="12"/>
  <c r="A6" i="12"/>
  <c r="AG5" i="12"/>
  <c r="AF5" i="12"/>
  <c r="AE5" i="12"/>
  <c r="AD5" i="12"/>
  <c r="AC5" i="12"/>
  <c r="AB5" i="12"/>
  <c r="AA5" i="12"/>
  <c r="Z5" i="12"/>
  <c r="Y5" i="12"/>
  <c r="W5" i="12"/>
  <c r="O5" i="12"/>
  <c r="N5" i="12"/>
  <c r="L5" i="12"/>
  <c r="K5" i="12"/>
  <c r="J5" i="12"/>
  <c r="I5" i="12"/>
  <c r="H5" i="12"/>
  <c r="G5" i="12"/>
  <c r="F5" i="12"/>
  <c r="E5" i="12"/>
  <c r="D5" i="12"/>
  <c r="C5" i="12"/>
  <c r="B5" i="12"/>
  <c r="A5" i="12"/>
  <c r="D1322" i="10"/>
  <c r="C1322" i="10"/>
  <c r="D1321" i="10"/>
  <c r="C1321" i="10"/>
  <c r="D1320" i="10"/>
  <c r="C1320" i="10"/>
  <c r="D1319" i="10"/>
  <c r="C1319" i="10"/>
  <c r="D1318" i="10"/>
  <c r="C1318" i="10"/>
  <c r="D1317" i="10"/>
  <c r="C1317" i="10"/>
  <c r="D1316" i="10"/>
  <c r="C1316" i="10"/>
  <c r="D1315" i="10"/>
  <c r="C1315" i="10"/>
  <c r="D1314" i="10"/>
  <c r="C1314" i="10"/>
  <c r="D1313" i="10"/>
  <c r="C1313" i="10"/>
  <c r="D1312" i="10"/>
  <c r="C1312" i="10"/>
  <c r="D1311" i="10"/>
  <c r="C1311" i="10"/>
  <c r="D1310" i="10"/>
  <c r="C1310" i="10"/>
  <c r="D1309" i="10"/>
  <c r="C1309" i="10"/>
  <c r="D1308" i="10"/>
  <c r="C1308" i="10"/>
  <c r="D1307" i="10"/>
  <c r="C1307" i="10"/>
  <c r="D1306" i="10"/>
  <c r="C1306" i="10"/>
  <c r="D1305" i="10"/>
  <c r="C1305" i="10"/>
  <c r="D1304" i="10"/>
  <c r="C1304" i="10"/>
  <c r="D1303" i="10"/>
  <c r="C1303" i="10"/>
  <c r="D1302" i="10"/>
  <c r="C1302" i="10"/>
  <c r="D1301" i="10"/>
  <c r="C1301" i="10"/>
  <c r="D1300" i="10"/>
  <c r="C1300" i="10"/>
  <c r="D1299" i="10"/>
  <c r="C1299" i="10"/>
  <c r="D1298" i="10"/>
  <c r="C1298" i="10"/>
  <c r="D1297" i="10"/>
  <c r="C1297" i="10"/>
  <c r="D1296" i="10"/>
  <c r="C1296" i="10"/>
  <c r="D1295" i="10"/>
  <c r="C1295" i="10"/>
  <c r="D1294" i="10"/>
  <c r="C1294" i="10"/>
  <c r="D1293" i="10"/>
  <c r="C1293" i="10"/>
  <c r="D1292" i="10"/>
  <c r="C1292" i="10"/>
  <c r="D1291" i="10"/>
  <c r="C1291" i="10"/>
  <c r="D1290" i="10"/>
  <c r="C1290" i="10"/>
  <c r="D1289" i="10"/>
  <c r="C1289" i="10"/>
  <c r="D1288" i="10"/>
  <c r="C1288" i="10"/>
  <c r="D1287" i="10"/>
  <c r="C1287" i="10"/>
  <c r="D1286" i="10"/>
  <c r="C1286" i="10"/>
  <c r="D1285" i="10"/>
  <c r="C1285" i="10"/>
  <c r="D1284" i="10"/>
  <c r="C1284" i="10"/>
  <c r="D1283" i="10"/>
  <c r="C1283" i="10"/>
  <c r="D1282" i="10"/>
  <c r="C1282" i="10"/>
  <c r="D1281" i="10"/>
  <c r="C1281" i="10"/>
  <c r="D1280" i="10"/>
  <c r="C1280" i="10"/>
  <c r="D1279" i="10"/>
  <c r="C1279" i="10"/>
  <c r="D1278" i="10"/>
  <c r="C1278" i="10"/>
  <c r="D1277" i="10"/>
  <c r="C1277" i="10"/>
  <c r="D1276" i="10"/>
  <c r="C1276" i="10"/>
  <c r="D1275" i="10"/>
  <c r="C1275" i="10"/>
  <c r="D1274" i="10"/>
  <c r="C1274" i="10"/>
  <c r="D1273" i="10"/>
  <c r="C1273" i="10"/>
  <c r="D1272" i="10"/>
  <c r="C1272" i="10"/>
  <c r="D1271" i="10"/>
  <c r="C1271" i="10"/>
  <c r="D1270" i="10"/>
  <c r="C1270" i="10"/>
  <c r="D1269" i="10"/>
  <c r="C1269" i="10"/>
  <c r="D1268" i="10"/>
  <c r="C1268" i="10"/>
  <c r="D1267" i="10"/>
  <c r="C1267" i="10"/>
  <c r="D1266" i="10"/>
  <c r="C1266" i="10"/>
  <c r="D1265" i="10"/>
  <c r="C1265" i="10"/>
  <c r="D1264" i="10"/>
  <c r="C1264" i="10"/>
  <c r="D1263" i="10"/>
  <c r="C1263" i="10"/>
  <c r="D1262" i="10"/>
  <c r="C1262" i="10"/>
  <c r="D1261" i="10"/>
  <c r="C1261" i="10"/>
  <c r="D1260" i="10"/>
  <c r="C1260" i="10"/>
  <c r="D1259" i="10"/>
  <c r="C1259" i="10"/>
  <c r="D1258" i="10"/>
  <c r="C1258" i="10"/>
  <c r="E1257" i="10"/>
  <c r="D1257" i="10"/>
  <c r="C1257" i="10"/>
  <c r="D1256" i="10"/>
  <c r="C1256" i="10"/>
  <c r="D1255" i="10"/>
  <c r="C1255" i="10"/>
  <c r="D1254" i="10"/>
  <c r="C1254" i="10"/>
  <c r="D1253" i="10"/>
  <c r="C1253" i="10"/>
  <c r="D1252" i="10"/>
  <c r="C1252" i="10"/>
  <c r="D1251" i="10"/>
  <c r="C1251" i="10"/>
  <c r="D1250" i="10"/>
  <c r="C1250" i="10"/>
  <c r="D1249" i="10"/>
  <c r="C1249" i="10"/>
  <c r="D1248" i="10"/>
  <c r="C1248" i="10"/>
  <c r="D1247" i="10"/>
  <c r="C1247" i="10"/>
  <c r="D1246" i="10"/>
  <c r="C1246" i="10"/>
  <c r="D1245" i="10"/>
  <c r="C1245" i="10"/>
  <c r="D1244" i="10"/>
  <c r="C1244" i="10"/>
  <c r="D1243" i="10"/>
  <c r="C1243" i="10"/>
  <c r="D1242" i="10"/>
  <c r="C1242" i="10"/>
  <c r="D1241" i="10"/>
  <c r="C1241" i="10"/>
  <c r="D1240" i="10"/>
  <c r="C1240" i="10"/>
  <c r="D1239" i="10"/>
  <c r="C1239" i="10"/>
  <c r="D1238" i="10"/>
  <c r="C1238" i="10"/>
  <c r="D1237" i="10"/>
  <c r="C1237" i="10"/>
  <c r="D1236" i="10"/>
  <c r="C1236" i="10"/>
  <c r="D1235" i="10"/>
  <c r="C1235" i="10"/>
  <c r="D1234" i="10"/>
  <c r="C1234" i="10"/>
  <c r="D1233" i="10"/>
  <c r="C1233" i="10"/>
  <c r="H1232" i="10"/>
  <c r="D1232" i="10"/>
  <c r="C1232" i="10"/>
  <c r="D1231" i="10"/>
  <c r="C1231" i="10"/>
  <c r="D1230" i="10"/>
  <c r="C1230" i="10"/>
  <c r="D1229" i="10"/>
  <c r="C1229" i="10"/>
  <c r="D1228" i="10"/>
  <c r="C1228" i="10"/>
  <c r="D1227" i="10"/>
  <c r="C1227" i="10"/>
  <c r="D1226" i="10"/>
  <c r="C1226" i="10"/>
  <c r="D1225" i="10"/>
  <c r="C1225" i="10"/>
  <c r="D1224" i="10"/>
  <c r="C1224" i="10"/>
  <c r="D1223" i="10"/>
  <c r="C1223" i="10"/>
  <c r="D1222" i="10"/>
  <c r="C1222" i="10"/>
  <c r="D1221" i="10"/>
  <c r="C1221" i="10"/>
  <c r="D1220" i="10"/>
  <c r="C1220" i="10"/>
  <c r="D1219" i="10"/>
  <c r="C1219" i="10"/>
  <c r="D1218" i="10"/>
  <c r="C1218" i="10"/>
  <c r="D1217" i="10"/>
  <c r="C1217" i="10"/>
  <c r="D1216" i="10"/>
  <c r="C1216" i="10"/>
  <c r="D1215" i="10"/>
  <c r="C1215" i="10"/>
  <c r="D1214" i="10"/>
  <c r="C1214" i="10"/>
  <c r="D1213" i="10"/>
  <c r="C1213" i="10"/>
  <c r="D1212" i="10"/>
  <c r="C1212" i="10"/>
  <c r="D1211" i="10"/>
  <c r="C1211" i="10"/>
  <c r="D1210" i="10"/>
  <c r="C1210" i="10"/>
  <c r="D1209" i="10"/>
  <c r="C1209" i="10"/>
  <c r="D1208" i="10"/>
  <c r="C1208" i="10"/>
  <c r="D1207" i="10"/>
  <c r="C1207" i="10"/>
  <c r="D1206" i="10"/>
  <c r="C1206" i="10"/>
  <c r="D1205" i="10"/>
  <c r="C1205" i="10"/>
  <c r="D1204" i="10"/>
  <c r="C1204" i="10"/>
  <c r="D1203" i="10"/>
  <c r="C1203" i="10"/>
  <c r="D1202" i="10"/>
  <c r="C1202" i="10"/>
  <c r="D1201" i="10"/>
  <c r="C1201" i="10"/>
  <c r="D1200" i="10"/>
  <c r="C1200" i="10"/>
  <c r="D1199" i="10"/>
  <c r="C1199" i="10"/>
  <c r="D1198" i="10"/>
  <c r="C1198" i="10"/>
  <c r="D1197" i="10"/>
  <c r="C1197" i="10"/>
  <c r="D1196" i="10"/>
  <c r="C1196" i="10"/>
  <c r="D1195" i="10"/>
  <c r="C1195" i="10"/>
  <c r="D1194" i="10"/>
  <c r="C1194" i="10"/>
  <c r="D1193" i="10"/>
  <c r="C1193" i="10"/>
  <c r="D1192" i="10"/>
  <c r="C1192" i="10"/>
  <c r="D1191" i="10"/>
  <c r="C1191" i="10"/>
  <c r="D1190" i="10"/>
  <c r="C1190" i="10"/>
  <c r="D1189" i="10"/>
  <c r="C1189" i="10"/>
  <c r="D1188" i="10"/>
  <c r="C1188" i="10"/>
  <c r="D1187" i="10"/>
  <c r="C1187" i="10"/>
  <c r="D1186" i="10"/>
  <c r="C1186" i="10"/>
  <c r="D1185" i="10"/>
  <c r="C1185" i="10"/>
  <c r="D1184" i="10"/>
  <c r="C1184" i="10"/>
  <c r="D1183" i="10"/>
  <c r="C1183" i="10"/>
  <c r="D1182" i="10"/>
  <c r="C1182" i="10"/>
  <c r="D1181" i="10"/>
  <c r="C1181" i="10"/>
  <c r="D1180" i="10"/>
  <c r="C1180" i="10"/>
  <c r="D1179" i="10"/>
  <c r="C1179" i="10"/>
  <c r="D1178" i="10"/>
  <c r="C1178" i="10"/>
  <c r="D1177" i="10"/>
  <c r="C1177" i="10"/>
  <c r="D1176" i="10"/>
  <c r="C1176" i="10"/>
  <c r="D1175" i="10"/>
  <c r="C1175" i="10"/>
  <c r="D1174" i="10"/>
  <c r="C1174" i="10"/>
  <c r="D1173" i="10"/>
  <c r="C1173" i="10"/>
  <c r="D1172" i="10"/>
  <c r="C1172" i="10"/>
  <c r="D1171" i="10"/>
  <c r="C1171" i="10"/>
  <c r="D1170" i="10"/>
  <c r="C1170" i="10"/>
  <c r="D1169" i="10"/>
  <c r="C1169" i="10"/>
  <c r="D1168" i="10"/>
  <c r="C1168" i="10"/>
  <c r="D1167" i="10"/>
  <c r="C1167" i="10"/>
  <c r="D1166" i="10"/>
  <c r="C1166" i="10"/>
  <c r="D1165" i="10"/>
  <c r="C1165" i="10"/>
  <c r="D1164" i="10"/>
  <c r="C1164" i="10"/>
  <c r="D1163" i="10"/>
  <c r="C1163" i="10"/>
  <c r="D1162" i="10"/>
  <c r="C1162" i="10"/>
  <c r="D1161" i="10"/>
  <c r="C1161" i="10"/>
  <c r="D1160" i="10"/>
  <c r="C1160" i="10"/>
  <c r="D1159" i="10"/>
  <c r="C1159" i="10"/>
  <c r="D1158" i="10"/>
  <c r="C1158" i="10"/>
  <c r="D1157" i="10"/>
  <c r="C1157" i="10"/>
  <c r="D1156" i="10"/>
  <c r="C1156" i="10"/>
  <c r="D1155" i="10"/>
  <c r="C1155" i="10"/>
  <c r="D1154" i="10"/>
  <c r="C1154" i="10"/>
  <c r="D1153" i="10"/>
  <c r="C1153" i="10"/>
  <c r="D1152" i="10"/>
  <c r="C1152" i="10"/>
  <c r="D1151" i="10"/>
  <c r="C1151" i="10"/>
  <c r="D1150" i="10"/>
  <c r="C1150" i="10"/>
  <c r="D1149" i="10"/>
  <c r="C1149" i="10"/>
  <c r="D1148" i="10"/>
  <c r="C1148" i="10"/>
  <c r="D1147" i="10"/>
  <c r="C1147" i="10"/>
  <c r="D1146" i="10"/>
  <c r="C1146" i="10"/>
  <c r="D1145" i="10"/>
  <c r="C1145" i="10"/>
  <c r="D1144" i="10"/>
  <c r="C1144" i="10"/>
  <c r="D1143" i="10"/>
  <c r="C1143" i="10"/>
  <c r="D1142" i="10"/>
  <c r="C1142" i="10"/>
  <c r="D1141" i="10"/>
  <c r="C1141" i="10"/>
  <c r="D1140" i="10"/>
  <c r="C1140" i="10"/>
  <c r="D1139" i="10"/>
  <c r="C1139" i="10"/>
  <c r="D1138" i="10"/>
  <c r="C1138" i="10"/>
  <c r="D1137" i="10"/>
  <c r="C1137" i="10"/>
  <c r="D1136" i="10"/>
  <c r="C1136" i="10"/>
  <c r="D1135" i="10"/>
  <c r="C1135" i="10"/>
  <c r="D1134" i="10"/>
  <c r="C1134" i="10"/>
  <c r="D1133" i="10"/>
  <c r="C1133" i="10"/>
  <c r="D1132" i="10"/>
  <c r="C1132" i="10"/>
  <c r="D1131" i="10"/>
  <c r="C1131" i="10"/>
  <c r="D1130" i="10"/>
  <c r="C1130" i="10"/>
  <c r="D1129" i="10"/>
  <c r="C1129" i="10"/>
  <c r="D1128" i="10"/>
  <c r="C1128" i="10"/>
  <c r="D1127" i="10"/>
  <c r="C1127" i="10"/>
  <c r="D1126" i="10"/>
  <c r="C1126" i="10"/>
  <c r="D1125" i="10"/>
  <c r="C1125" i="10"/>
  <c r="D1124" i="10"/>
  <c r="C1124" i="10"/>
  <c r="D1123" i="10"/>
  <c r="C1123" i="10"/>
  <c r="D1122" i="10"/>
  <c r="C1122" i="10"/>
  <c r="D1121" i="10"/>
  <c r="C1121" i="10"/>
  <c r="D1120" i="10"/>
  <c r="C1120" i="10"/>
  <c r="D1119" i="10"/>
  <c r="C1119" i="10"/>
  <c r="D1118" i="10"/>
  <c r="C1118" i="10"/>
  <c r="D1117" i="10"/>
  <c r="C1117" i="10"/>
  <c r="D1116" i="10"/>
  <c r="C1116" i="10"/>
  <c r="D1115" i="10"/>
  <c r="C1115" i="10"/>
  <c r="D1114" i="10"/>
  <c r="C1114" i="10"/>
  <c r="D1113" i="10"/>
  <c r="C1113" i="10"/>
  <c r="D1112" i="10"/>
  <c r="C1112" i="10"/>
  <c r="D1111" i="10"/>
  <c r="C1111" i="10"/>
  <c r="D1110" i="10"/>
  <c r="C1110" i="10"/>
  <c r="D1109" i="10"/>
  <c r="C1109" i="10"/>
  <c r="D1108" i="10"/>
  <c r="C1108" i="10"/>
  <c r="D1107" i="10"/>
  <c r="C1107" i="10"/>
  <c r="D1106" i="10"/>
  <c r="C1106" i="10"/>
  <c r="D1105" i="10"/>
  <c r="C1105" i="10"/>
  <c r="D1104" i="10"/>
  <c r="C1104" i="10"/>
  <c r="D1103" i="10"/>
  <c r="C1103" i="10"/>
  <c r="D1102" i="10"/>
  <c r="C1102" i="10"/>
  <c r="D1101" i="10"/>
  <c r="C1101" i="10"/>
  <c r="D1100" i="10"/>
  <c r="C1100" i="10"/>
  <c r="D1099" i="10"/>
  <c r="C1099" i="10"/>
  <c r="D1098" i="10"/>
  <c r="C1098" i="10"/>
  <c r="D1097" i="10"/>
  <c r="C1097" i="10"/>
  <c r="D1096" i="10"/>
  <c r="C1096" i="10"/>
  <c r="D1095" i="10"/>
  <c r="C1095" i="10"/>
  <c r="D1094" i="10"/>
  <c r="C1094" i="10"/>
  <c r="D1093" i="10"/>
  <c r="C1093" i="10"/>
  <c r="D1092" i="10"/>
  <c r="C1092" i="10"/>
  <c r="D1091" i="10"/>
  <c r="C1091" i="10"/>
  <c r="D1090" i="10"/>
  <c r="C1090" i="10"/>
  <c r="D1089" i="10"/>
  <c r="C1089" i="10"/>
  <c r="D1088" i="10"/>
  <c r="C1088" i="10"/>
  <c r="D1087" i="10"/>
  <c r="C1087" i="10"/>
  <c r="D1086" i="10"/>
  <c r="C1086" i="10"/>
  <c r="H1085" i="10"/>
  <c r="D1085" i="10"/>
  <c r="C1085" i="10"/>
  <c r="D1084" i="10"/>
  <c r="C1084" i="10"/>
  <c r="D1083" i="10"/>
  <c r="C1083" i="10"/>
  <c r="D1082" i="10"/>
  <c r="C1082" i="10"/>
  <c r="D1081" i="10"/>
  <c r="C1081" i="10"/>
  <c r="D1080" i="10"/>
  <c r="C1080" i="10"/>
  <c r="D1079" i="10"/>
  <c r="C1079" i="10"/>
  <c r="D1078" i="10"/>
  <c r="C1078" i="10"/>
  <c r="D1077" i="10"/>
  <c r="C1077" i="10"/>
  <c r="D1076" i="10"/>
  <c r="C1076" i="10"/>
  <c r="D1075" i="10"/>
  <c r="C1075" i="10"/>
  <c r="D1074" i="10"/>
  <c r="C1074" i="10"/>
  <c r="D1073" i="10"/>
  <c r="C1073" i="10"/>
  <c r="D1072" i="10"/>
  <c r="C1072" i="10"/>
  <c r="D1071" i="10"/>
  <c r="C1071" i="10"/>
  <c r="D1070" i="10"/>
  <c r="C1070" i="10"/>
  <c r="D1069" i="10"/>
  <c r="C1069" i="10"/>
  <c r="D1068" i="10"/>
  <c r="C1068" i="10"/>
  <c r="D1067" i="10"/>
  <c r="C1067" i="10"/>
  <c r="D1066" i="10"/>
  <c r="C1066" i="10"/>
  <c r="D1065" i="10"/>
  <c r="C1065" i="10"/>
  <c r="D1064" i="10"/>
  <c r="C1064" i="10"/>
  <c r="D1063" i="10"/>
  <c r="C1063" i="10"/>
  <c r="D1062" i="10"/>
  <c r="C1062" i="10"/>
  <c r="D1061" i="10"/>
  <c r="C1061" i="10"/>
  <c r="D1060" i="10"/>
  <c r="C1060" i="10"/>
  <c r="D1059" i="10"/>
  <c r="C1059" i="10"/>
  <c r="D1058" i="10"/>
  <c r="C1058" i="10"/>
  <c r="D1057" i="10"/>
  <c r="C1057" i="10"/>
  <c r="D1056" i="10"/>
  <c r="C1056" i="10"/>
  <c r="D1055" i="10"/>
  <c r="C1055" i="10"/>
  <c r="D1054" i="10"/>
  <c r="C1054" i="10"/>
  <c r="D1053" i="10"/>
  <c r="C1053" i="10"/>
  <c r="D1052" i="10"/>
  <c r="C1052" i="10"/>
  <c r="D1051" i="10"/>
  <c r="C1051" i="10"/>
  <c r="D1050" i="10"/>
  <c r="C1050" i="10"/>
  <c r="D1049" i="10"/>
  <c r="C1049" i="10"/>
  <c r="D1048" i="10"/>
  <c r="C1048" i="10"/>
  <c r="D1047" i="10"/>
  <c r="C1047" i="10"/>
  <c r="D1046" i="10"/>
  <c r="C1046" i="10"/>
  <c r="D1045" i="10"/>
  <c r="C1045" i="10"/>
  <c r="D1044" i="10"/>
  <c r="C1044" i="10"/>
  <c r="D1043" i="10"/>
  <c r="C1043" i="10"/>
  <c r="D1042" i="10"/>
  <c r="C1042" i="10"/>
  <c r="D1041" i="10"/>
  <c r="C1041" i="10"/>
  <c r="D1040" i="10"/>
  <c r="C1040" i="10"/>
  <c r="D1039" i="10"/>
  <c r="C1039" i="10"/>
  <c r="D1038" i="10"/>
  <c r="C1038" i="10"/>
  <c r="D1037" i="10"/>
  <c r="C1037" i="10"/>
  <c r="D1036" i="10"/>
  <c r="C1036" i="10"/>
  <c r="D1035" i="10"/>
  <c r="C1035" i="10"/>
  <c r="D1034" i="10"/>
  <c r="C1034" i="10"/>
  <c r="D1033" i="10"/>
  <c r="C1033" i="10"/>
  <c r="D1032" i="10"/>
  <c r="C1032" i="10"/>
  <c r="D1031" i="10"/>
  <c r="C1031" i="10"/>
  <c r="D1030" i="10"/>
  <c r="C1030" i="10"/>
  <c r="D1029" i="10"/>
  <c r="C1029" i="10"/>
  <c r="D1028" i="10"/>
  <c r="C1028" i="10"/>
  <c r="D1027" i="10"/>
  <c r="C1027" i="10"/>
  <c r="D1026" i="10"/>
  <c r="C1026" i="10"/>
  <c r="D1025" i="10"/>
  <c r="C1025" i="10"/>
  <c r="D1024" i="10"/>
  <c r="C1024" i="10"/>
  <c r="D1023" i="10"/>
  <c r="C1023" i="10"/>
  <c r="D1022" i="10"/>
  <c r="C1022" i="10"/>
  <c r="D1021" i="10"/>
  <c r="C1021" i="10"/>
  <c r="D1020" i="10"/>
  <c r="C1020" i="10"/>
  <c r="D1019" i="10"/>
  <c r="C1019" i="10"/>
  <c r="D1018" i="10"/>
  <c r="C1018" i="10"/>
  <c r="D1017" i="10"/>
  <c r="C1017" i="10"/>
  <c r="D1016" i="10"/>
  <c r="C1016" i="10"/>
  <c r="D1015" i="10"/>
  <c r="C1015" i="10"/>
  <c r="D1014" i="10"/>
  <c r="C1014" i="10"/>
  <c r="D1013" i="10"/>
  <c r="C1013" i="10"/>
  <c r="D1012" i="10"/>
  <c r="C1012" i="10"/>
  <c r="D1011" i="10"/>
  <c r="C1011" i="10"/>
  <c r="D1010" i="10"/>
  <c r="C1010" i="10"/>
  <c r="D1009" i="10"/>
  <c r="C1009" i="10"/>
  <c r="D1008" i="10"/>
  <c r="C1008" i="10"/>
  <c r="D1007" i="10"/>
  <c r="C1007" i="10"/>
  <c r="D1006" i="10"/>
  <c r="C1006" i="10"/>
  <c r="D1005" i="10"/>
  <c r="C1005" i="10"/>
  <c r="D1004" i="10"/>
  <c r="C1004" i="10"/>
  <c r="D1003" i="10"/>
  <c r="C1003" i="10"/>
  <c r="D1002" i="10"/>
  <c r="C1002" i="10"/>
  <c r="D1001" i="10"/>
  <c r="C1001" i="10"/>
  <c r="D1000" i="10"/>
  <c r="C1000" i="10"/>
  <c r="D999" i="10"/>
  <c r="C999" i="10"/>
  <c r="D998" i="10"/>
  <c r="C998" i="10"/>
  <c r="D997" i="10"/>
  <c r="C997" i="10"/>
  <c r="D996" i="10"/>
  <c r="C996" i="10"/>
  <c r="D995" i="10"/>
  <c r="C995" i="10"/>
  <c r="D994" i="10"/>
  <c r="C994" i="10"/>
  <c r="D993" i="10"/>
  <c r="C993" i="10"/>
  <c r="D992" i="10"/>
  <c r="C992" i="10"/>
  <c r="D991" i="10"/>
  <c r="C991" i="10"/>
  <c r="D990" i="10"/>
  <c r="C990" i="10"/>
  <c r="D989" i="10"/>
  <c r="C989" i="10"/>
  <c r="D988" i="10"/>
  <c r="C988" i="10"/>
  <c r="D987" i="10"/>
  <c r="C987" i="10"/>
  <c r="D986" i="10"/>
  <c r="C986" i="10"/>
  <c r="D985" i="10"/>
  <c r="C985" i="10"/>
  <c r="D984" i="10"/>
  <c r="C984" i="10"/>
  <c r="D983" i="10"/>
  <c r="C983" i="10"/>
  <c r="D982" i="10"/>
  <c r="C982" i="10"/>
  <c r="D981" i="10"/>
  <c r="C981" i="10"/>
  <c r="D980" i="10"/>
  <c r="C980" i="10"/>
  <c r="D979" i="10"/>
  <c r="C979" i="10"/>
  <c r="D978" i="10"/>
  <c r="C978" i="10"/>
  <c r="D977" i="10"/>
  <c r="C977" i="10"/>
  <c r="D976" i="10"/>
  <c r="C976" i="10"/>
  <c r="D975" i="10"/>
  <c r="C975" i="10"/>
  <c r="D974" i="10"/>
  <c r="C974" i="10"/>
  <c r="D973" i="10"/>
  <c r="C973" i="10"/>
  <c r="D972" i="10"/>
  <c r="C972" i="10"/>
  <c r="D971" i="10"/>
  <c r="C971" i="10"/>
  <c r="D970" i="10"/>
  <c r="C970" i="10"/>
  <c r="D969" i="10"/>
  <c r="C969" i="10"/>
  <c r="D968" i="10"/>
  <c r="C968" i="10"/>
  <c r="D967" i="10"/>
  <c r="C967" i="10"/>
  <c r="D966" i="10"/>
  <c r="C966" i="10"/>
  <c r="D965" i="10"/>
  <c r="C965" i="10"/>
  <c r="D964" i="10"/>
  <c r="C964" i="10"/>
  <c r="D963" i="10"/>
  <c r="C963" i="10"/>
  <c r="D962" i="10"/>
  <c r="C962" i="10"/>
  <c r="D961" i="10"/>
  <c r="C961" i="10"/>
  <c r="D960" i="10"/>
  <c r="C960" i="10"/>
  <c r="D959" i="10"/>
  <c r="C959" i="10"/>
  <c r="D958" i="10"/>
  <c r="C958" i="10"/>
  <c r="D957" i="10"/>
  <c r="C957" i="10"/>
  <c r="D956" i="10"/>
  <c r="C956" i="10"/>
  <c r="D955" i="10"/>
  <c r="C955" i="10"/>
  <c r="D954" i="10"/>
  <c r="C954" i="10"/>
  <c r="D953" i="10"/>
  <c r="C953" i="10"/>
  <c r="D952" i="10"/>
  <c r="C952" i="10"/>
  <c r="D951" i="10"/>
  <c r="C951" i="10"/>
  <c r="D950" i="10"/>
  <c r="C950" i="10"/>
  <c r="D949" i="10"/>
  <c r="C949" i="10"/>
  <c r="D948" i="10"/>
  <c r="C948" i="10"/>
  <c r="D947" i="10"/>
  <c r="C947" i="10"/>
  <c r="D946" i="10"/>
  <c r="C946" i="10"/>
  <c r="D945" i="10"/>
  <c r="C945" i="10"/>
  <c r="D944" i="10"/>
  <c r="C944" i="10"/>
  <c r="D943" i="10"/>
  <c r="C943" i="10"/>
  <c r="D942" i="10"/>
  <c r="C942" i="10"/>
  <c r="D941" i="10"/>
  <c r="C941" i="10"/>
  <c r="D940" i="10"/>
  <c r="C940" i="10"/>
  <c r="D939" i="10"/>
  <c r="C939" i="10"/>
  <c r="D938" i="10"/>
  <c r="C938" i="10"/>
  <c r="D937" i="10"/>
  <c r="C937" i="10"/>
  <c r="D936" i="10"/>
  <c r="C936" i="10"/>
  <c r="D935" i="10"/>
  <c r="C935" i="10"/>
  <c r="D934" i="10"/>
  <c r="C934" i="10"/>
  <c r="D933" i="10"/>
  <c r="C933" i="10"/>
  <c r="D932" i="10"/>
  <c r="C932" i="10"/>
  <c r="D931" i="10"/>
  <c r="C931" i="10"/>
  <c r="D930" i="10"/>
  <c r="C930" i="10"/>
  <c r="D929" i="10"/>
  <c r="C929" i="10"/>
  <c r="D928" i="10"/>
  <c r="C928" i="10"/>
  <c r="D927" i="10"/>
  <c r="C927" i="10"/>
  <c r="D926" i="10"/>
  <c r="C926" i="10"/>
  <c r="D925" i="10"/>
  <c r="C925" i="10"/>
  <c r="D924" i="10"/>
  <c r="C924" i="10"/>
  <c r="D923" i="10"/>
  <c r="C923" i="10"/>
  <c r="D922" i="10"/>
  <c r="C922" i="10"/>
  <c r="D921" i="10"/>
  <c r="C921" i="10"/>
  <c r="D920" i="10"/>
  <c r="C920" i="10"/>
  <c r="D919" i="10"/>
  <c r="C919" i="10"/>
  <c r="D918" i="10"/>
  <c r="C918" i="10"/>
  <c r="D917" i="10"/>
  <c r="C917" i="10"/>
  <c r="D916" i="10"/>
  <c r="C916" i="10"/>
  <c r="D915" i="10"/>
  <c r="C915" i="10"/>
  <c r="D914" i="10"/>
  <c r="C914" i="10"/>
  <c r="D913" i="10"/>
  <c r="C913" i="10"/>
  <c r="D912" i="10"/>
  <c r="C912" i="10"/>
  <c r="D911" i="10"/>
  <c r="C911" i="10"/>
  <c r="D910" i="10"/>
  <c r="C910" i="10"/>
  <c r="D909" i="10"/>
  <c r="C909" i="10"/>
  <c r="D908" i="10"/>
  <c r="C908" i="10"/>
  <c r="D907" i="10"/>
  <c r="C907" i="10"/>
  <c r="D906" i="10"/>
  <c r="C906" i="10"/>
  <c r="D905" i="10"/>
  <c r="C905" i="10"/>
  <c r="D904" i="10"/>
  <c r="C904" i="10"/>
  <c r="E903" i="10"/>
  <c r="D903" i="10"/>
  <c r="C903" i="10"/>
  <c r="D902" i="10"/>
  <c r="C902" i="10"/>
  <c r="D901" i="10"/>
  <c r="C901" i="10"/>
  <c r="D900" i="10"/>
  <c r="C900" i="10"/>
  <c r="D899" i="10"/>
  <c r="C899" i="10"/>
  <c r="D898" i="10"/>
  <c r="C898" i="10"/>
  <c r="D897" i="10"/>
  <c r="C897" i="10"/>
  <c r="D896" i="10"/>
  <c r="C896" i="10"/>
  <c r="D895" i="10"/>
  <c r="C895" i="10"/>
  <c r="D894" i="10"/>
  <c r="C894" i="10"/>
  <c r="D893" i="10"/>
  <c r="C893" i="10"/>
  <c r="D892" i="10"/>
  <c r="C892" i="10"/>
  <c r="D891" i="10"/>
  <c r="C891" i="10"/>
  <c r="D890" i="10"/>
  <c r="C890" i="10"/>
  <c r="D889" i="10"/>
  <c r="C889" i="10"/>
  <c r="D888" i="10"/>
  <c r="C888" i="10"/>
  <c r="D887" i="10"/>
  <c r="C887" i="10"/>
  <c r="D886" i="10"/>
  <c r="C886" i="10"/>
  <c r="D885" i="10"/>
  <c r="C885" i="10"/>
  <c r="D884" i="10"/>
  <c r="C884" i="10"/>
  <c r="D883" i="10"/>
  <c r="C883" i="10"/>
  <c r="D882" i="10"/>
  <c r="C882" i="10"/>
  <c r="D881" i="10"/>
  <c r="C881" i="10"/>
  <c r="D880" i="10"/>
  <c r="C880" i="10"/>
  <c r="D879" i="10"/>
  <c r="C879" i="10"/>
  <c r="D878" i="10"/>
  <c r="C878" i="10"/>
  <c r="D877" i="10"/>
  <c r="C877" i="10"/>
  <c r="D876" i="10"/>
  <c r="C876" i="10"/>
  <c r="D875" i="10"/>
  <c r="C875" i="10"/>
  <c r="D874" i="10"/>
  <c r="C874" i="10"/>
  <c r="D873" i="10"/>
  <c r="C873" i="10"/>
  <c r="D872" i="10"/>
  <c r="C872" i="10"/>
  <c r="D871" i="10"/>
  <c r="C871" i="10"/>
  <c r="D870" i="10"/>
  <c r="C870" i="10"/>
  <c r="D869" i="10"/>
  <c r="C869" i="10"/>
  <c r="D868" i="10"/>
  <c r="C868" i="10"/>
  <c r="D867" i="10"/>
  <c r="C867" i="10"/>
  <c r="D866" i="10"/>
  <c r="C866" i="10"/>
  <c r="D865" i="10"/>
  <c r="C865" i="10"/>
  <c r="D864" i="10"/>
  <c r="C864" i="10"/>
  <c r="D863" i="10"/>
  <c r="C863" i="10"/>
  <c r="D862" i="10"/>
  <c r="C862" i="10"/>
  <c r="D861" i="10"/>
  <c r="C861" i="10"/>
  <c r="D860" i="10"/>
  <c r="C860" i="10"/>
  <c r="D859" i="10"/>
  <c r="C859" i="10"/>
  <c r="D858" i="10"/>
  <c r="C858" i="10"/>
  <c r="D857" i="10"/>
  <c r="C857" i="10"/>
  <c r="D856" i="10"/>
  <c r="C856" i="10"/>
  <c r="D855" i="10"/>
  <c r="C855" i="10"/>
  <c r="D854" i="10"/>
  <c r="C854" i="10"/>
  <c r="D853" i="10"/>
  <c r="C853" i="10"/>
  <c r="D852" i="10"/>
  <c r="C852" i="10"/>
  <c r="D851" i="10"/>
  <c r="C851" i="10"/>
  <c r="D850" i="10"/>
  <c r="C850" i="10"/>
  <c r="D849" i="10"/>
  <c r="C849" i="10"/>
  <c r="D848" i="10"/>
  <c r="C848" i="10"/>
  <c r="D847" i="10"/>
  <c r="C847" i="10"/>
  <c r="D846" i="10"/>
  <c r="C846" i="10"/>
  <c r="D845" i="10"/>
  <c r="C845" i="10"/>
  <c r="D844" i="10"/>
  <c r="C844" i="10"/>
  <c r="D843" i="10"/>
  <c r="C843" i="10"/>
  <c r="D842" i="10"/>
  <c r="C842" i="10"/>
  <c r="D841" i="10"/>
  <c r="C841" i="10"/>
  <c r="D840" i="10"/>
  <c r="C840" i="10"/>
  <c r="D839" i="10"/>
  <c r="C839" i="10"/>
  <c r="D838" i="10"/>
  <c r="C838" i="10"/>
  <c r="D837" i="10"/>
  <c r="C837" i="10"/>
  <c r="D836" i="10"/>
  <c r="C836" i="10"/>
  <c r="D835" i="10"/>
  <c r="C835" i="10"/>
  <c r="D834" i="10"/>
  <c r="C834" i="10"/>
  <c r="D833" i="10"/>
  <c r="C833" i="10"/>
  <c r="D832" i="10"/>
  <c r="C832" i="10"/>
  <c r="D831" i="10"/>
  <c r="C831" i="10"/>
  <c r="D830" i="10"/>
  <c r="C830" i="10"/>
  <c r="D829" i="10"/>
  <c r="C829" i="10"/>
  <c r="D828" i="10"/>
  <c r="C828" i="10"/>
  <c r="D827" i="10"/>
  <c r="C827" i="10"/>
  <c r="D826" i="10"/>
  <c r="C826" i="10"/>
  <c r="D825" i="10"/>
  <c r="C825" i="10"/>
  <c r="D824" i="10"/>
  <c r="C824" i="10"/>
  <c r="D823" i="10"/>
  <c r="C823" i="10"/>
  <c r="D822" i="10"/>
  <c r="C822" i="10"/>
  <c r="D821" i="10"/>
  <c r="C821" i="10"/>
  <c r="D820" i="10"/>
  <c r="C820" i="10"/>
  <c r="D819" i="10"/>
  <c r="C819" i="10"/>
  <c r="D818" i="10"/>
  <c r="C818" i="10"/>
  <c r="D817" i="10"/>
  <c r="C817" i="10"/>
  <c r="D816" i="10"/>
  <c r="C816" i="10"/>
  <c r="D815" i="10"/>
  <c r="C815" i="10"/>
  <c r="D814" i="10"/>
  <c r="C814" i="10"/>
  <c r="D813" i="10"/>
  <c r="C813" i="10"/>
  <c r="D812" i="10"/>
  <c r="C812" i="10"/>
  <c r="D811" i="10"/>
  <c r="C811" i="10"/>
  <c r="D810" i="10"/>
  <c r="C810" i="10"/>
  <c r="D809" i="10"/>
  <c r="C809" i="10"/>
  <c r="D808" i="10"/>
  <c r="C808" i="10"/>
  <c r="D807" i="10"/>
  <c r="C807" i="10"/>
  <c r="D806" i="10"/>
  <c r="C806" i="10"/>
  <c r="D805" i="10"/>
  <c r="C805" i="10"/>
  <c r="D804" i="10"/>
  <c r="C804" i="10"/>
  <c r="D803" i="10"/>
  <c r="C803" i="10"/>
  <c r="D802" i="10"/>
  <c r="C802" i="10"/>
  <c r="D801" i="10"/>
  <c r="C801" i="10"/>
  <c r="D800" i="10"/>
  <c r="C800" i="10"/>
  <c r="D799" i="10"/>
  <c r="C799" i="10"/>
  <c r="D798" i="10"/>
  <c r="C798" i="10"/>
  <c r="D797" i="10"/>
  <c r="C797" i="10"/>
  <c r="D796" i="10"/>
  <c r="C796" i="10"/>
  <c r="D795" i="10"/>
  <c r="C795" i="10"/>
  <c r="D794" i="10"/>
  <c r="C794" i="10"/>
  <c r="D793" i="10"/>
  <c r="C793" i="10"/>
  <c r="D792" i="10"/>
  <c r="C792" i="10"/>
  <c r="H791" i="10"/>
  <c r="G791" i="10"/>
  <c r="D791" i="10"/>
  <c r="C791" i="10"/>
  <c r="D790" i="10"/>
  <c r="C790" i="10"/>
  <c r="D789" i="10"/>
  <c r="C789" i="10"/>
  <c r="D788" i="10"/>
  <c r="C788" i="10"/>
  <c r="D787" i="10"/>
  <c r="C787" i="10"/>
  <c r="D786" i="10"/>
  <c r="C786" i="10"/>
  <c r="D785" i="10"/>
  <c r="C785" i="10"/>
  <c r="D784" i="10"/>
  <c r="C784" i="10"/>
  <c r="D783" i="10"/>
  <c r="C783" i="10"/>
  <c r="D782" i="10"/>
  <c r="C782" i="10"/>
  <c r="D781" i="10"/>
  <c r="C781" i="10"/>
  <c r="D780" i="10"/>
  <c r="C780" i="10"/>
  <c r="D779" i="10"/>
  <c r="C779" i="10"/>
  <c r="D778" i="10"/>
  <c r="C778" i="10"/>
  <c r="D777" i="10"/>
  <c r="C777" i="10"/>
  <c r="D776" i="10"/>
  <c r="C776" i="10"/>
  <c r="D775" i="10"/>
  <c r="C775" i="10"/>
  <c r="D774" i="10"/>
  <c r="C774" i="10"/>
  <c r="D773" i="10"/>
  <c r="C773" i="10"/>
  <c r="D772" i="10"/>
  <c r="C772" i="10"/>
  <c r="D771" i="10"/>
  <c r="C771" i="10"/>
  <c r="D770" i="10"/>
  <c r="C770" i="10"/>
  <c r="D769" i="10"/>
  <c r="C769" i="10"/>
  <c r="D768" i="10"/>
  <c r="C768" i="10"/>
  <c r="D767" i="10"/>
  <c r="C767" i="10"/>
  <c r="D766" i="10"/>
  <c r="C766" i="10"/>
  <c r="D765" i="10"/>
  <c r="C765" i="10"/>
  <c r="D764" i="10"/>
  <c r="C764" i="10"/>
  <c r="D763" i="10"/>
  <c r="C763" i="10"/>
  <c r="D762" i="10"/>
  <c r="C762" i="10"/>
  <c r="D761" i="10"/>
  <c r="C761" i="10"/>
  <c r="D760" i="10"/>
  <c r="C760" i="10"/>
  <c r="D759" i="10"/>
  <c r="C759" i="10"/>
  <c r="D758" i="10"/>
  <c r="C758" i="10"/>
  <c r="D757" i="10"/>
  <c r="C757" i="10"/>
  <c r="D756" i="10"/>
  <c r="C756" i="10"/>
  <c r="D755" i="10"/>
  <c r="C755" i="10"/>
  <c r="D754" i="10"/>
  <c r="C754" i="10"/>
  <c r="D753" i="10"/>
  <c r="C753" i="10"/>
  <c r="D752" i="10"/>
  <c r="C752" i="10"/>
  <c r="D751" i="10"/>
  <c r="C751" i="10"/>
  <c r="D750" i="10"/>
  <c r="C750" i="10"/>
  <c r="D749" i="10"/>
  <c r="C749" i="10"/>
  <c r="D748" i="10"/>
  <c r="C748" i="10"/>
  <c r="D747" i="10"/>
  <c r="C747" i="10"/>
  <c r="D746" i="10"/>
  <c r="C746" i="10"/>
  <c r="D745" i="10"/>
  <c r="C745" i="10"/>
  <c r="D744" i="10"/>
  <c r="C744" i="10"/>
  <c r="D743" i="10"/>
  <c r="C743" i="10"/>
  <c r="D742" i="10"/>
  <c r="C742" i="10"/>
  <c r="D741" i="10"/>
  <c r="C741" i="10"/>
  <c r="D740" i="10"/>
  <c r="C740" i="10"/>
  <c r="D739" i="10"/>
  <c r="C739" i="10"/>
  <c r="D738" i="10"/>
  <c r="C738" i="10"/>
  <c r="D737" i="10"/>
  <c r="C737" i="10"/>
  <c r="D736" i="10"/>
  <c r="C736" i="10"/>
  <c r="D735" i="10"/>
  <c r="C735" i="10"/>
  <c r="D734" i="10"/>
  <c r="C734" i="10"/>
  <c r="D733" i="10"/>
  <c r="C733" i="10"/>
  <c r="D732" i="10"/>
  <c r="C732" i="10"/>
  <c r="D731" i="10"/>
  <c r="C731" i="10"/>
  <c r="D730" i="10"/>
  <c r="C730" i="10"/>
  <c r="D729" i="10"/>
  <c r="C729" i="10"/>
  <c r="D728" i="10"/>
  <c r="C728" i="10"/>
  <c r="D727" i="10"/>
  <c r="C727" i="10"/>
  <c r="D726" i="10"/>
  <c r="C726" i="10"/>
  <c r="D725" i="10"/>
  <c r="C725" i="10"/>
  <c r="D724" i="10"/>
  <c r="C724" i="10"/>
  <c r="D723" i="10"/>
  <c r="C723" i="10"/>
  <c r="D722" i="10"/>
  <c r="C722" i="10"/>
  <c r="D721" i="10"/>
  <c r="C721" i="10"/>
  <c r="D720" i="10"/>
  <c r="C720" i="10"/>
  <c r="D719" i="10"/>
  <c r="C719" i="10"/>
  <c r="D718" i="10"/>
  <c r="C718" i="10"/>
  <c r="D717" i="10"/>
  <c r="C717" i="10"/>
  <c r="D716" i="10"/>
  <c r="C716" i="10"/>
  <c r="D715" i="10"/>
  <c r="C715" i="10"/>
  <c r="D714" i="10"/>
  <c r="C714" i="10"/>
  <c r="D713" i="10"/>
  <c r="C713" i="10"/>
  <c r="D712" i="10"/>
  <c r="C712" i="10"/>
  <c r="D711" i="10"/>
  <c r="C711" i="10"/>
  <c r="D710" i="10"/>
  <c r="C710" i="10"/>
  <c r="D709" i="10"/>
  <c r="C709" i="10"/>
  <c r="D708" i="10"/>
  <c r="C708" i="10"/>
  <c r="D707" i="10"/>
  <c r="C707" i="10"/>
  <c r="D706" i="10"/>
  <c r="C706" i="10"/>
  <c r="D705" i="10"/>
  <c r="C705" i="10"/>
  <c r="D704" i="10"/>
  <c r="C704" i="10"/>
  <c r="D703" i="10"/>
  <c r="C703" i="10"/>
  <c r="D702" i="10"/>
  <c r="C702" i="10"/>
  <c r="D701" i="10"/>
  <c r="C701" i="10"/>
  <c r="D700" i="10"/>
  <c r="C700" i="10"/>
  <c r="D699" i="10"/>
  <c r="C699" i="10"/>
  <c r="D698" i="10"/>
  <c r="C698" i="10"/>
  <c r="D697" i="10"/>
  <c r="C697" i="10"/>
  <c r="D696" i="10"/>
  <c r="C696" i="10"/>
  <c r="D695" i="10"/>
  <c r="C695" i="10"/>
  <c r="D694" i="10"/>
  <c r="C694" i="10"/>
  <c r="D693" i="10"/>
  <c r="C693" i="10"/>
  <c r="D692" i="10"/>
  <c r="C692" i="10"/>
  <c r="D691" i="10"/>
  <c r="C691" i="10"/>
  <c r="D690" i="10"/>
  <c r="C690" i="10"/>
  <c r="D689" i="10"/>
  <c r="C689" i="10"/>
  <c r="D688" i="10"/>
  <c r="C688" i="10"/>
  <c r="D687" i="10"/>
  <c r="C687" i="10"/>
  <c r="D686" i="10"/>
  <c r="C686" i="10"/>
  <c r="D685" i="10"/>
  <c r="C685" i="10"/>
  <c r="D684" i="10"/>
  <c r="C684" i="10"/>
  <c r="D683" i="10"/>
  <c r="C683" i="10"/>
  <c r="D682" i="10"/>
  <c r="C682" i="10"/>
  <c r="D681" i="10"/>
  <c r="C681" i="10"/>
  <c r="D680" i="10"/>
  <c r="C680" i="10"/>
  <c r="D679" i="10"/>
  <c r="C679" i="10"/>
  <c r="D678" i="10"/>
  <c r="C678" i="10"/>
  <c r="D677" i="10"/>
  <c r="C677" i="10"/>
  <c r="D676" i="10"/>
  <c r="C676" i="10"/>
  <c r="D675" i="10"/>
  <c r="C675" i="10"/>
  <c r="D674" i="10"/>
  <c r="C674" i="10"/>
  <c r="D673" i="10"/>
  <c r="C673" i="10"/>
  <c r="D672" i="10"/>
  <c r="C672" i="10"/>
  <c r="D671" i="10"/>
  <c r="C671" i="10"/>
  <c r="D670" i="10"/>
  <c r="C670" i="10"/>
  <c r="D669" i="10"/>
  <c r="C669" i="10"/>
  <c r="D668" i="10"/>
  <c r="C668" i="10"/>
  <c r="D667" i="10"/>
  <c r="C667" i="10"/>
  <c r="D666" i="10"/>
  <c r="C666" i="10"/>
  <c r="D665" i="10"/>
  <c r="C665" i="10"/>
  <c r="D664" i="10"/>
  <c r="C664" i="10"/>
  <c r="D663" i="10"/>
  <c r="C663" i="10"/>
  <c r="D662" i="10"/>
  <c r="C662" i="10"/>
  <c r="D661" i="10"/>
  <c r="C661" i="10"/>
  <c r="D660" i="10"/>
  <c r="C660" i="10"/>
  <c r="D659" i="10"/>
  <c r="C659" i="10"/>
  <c r="D658" i="10"/>
  <c r="C658" i="10"/>
  <c r="D657" i="10"/>
  <c r="C657" i="10"/>
  <c r="D656" i="10"/>
  <c r="C656" i="10"/>
  <c r="D655" i="10"/>
  <c r="C655" i="10"/>
  <c r="D654" i="10"/>
  <c r="C654" i="10"/>
  <c r="D653" i="10"/>
  <c r="C653" i="10"/>
  <c r="D652" i="10"/>
  <c r="C652" i="10"/>
  <c r="D651" i="10"/>
  <c r="C651" i="10"/>
  <c r="D650" i="10"/>
  <c r="C650" i="10"/>
  <c r="D649" i="10"/>
  <c r="C649" i="10"/>
  <c r="D648" i="10"/>
  <c r="C648" i="10"/>
  <c r="D647" i="10"/>
  <c r="C647" i="10"/>
  <c r="D646" i="10"/>
  <c r="C646" i="10"/>
  <c r="D645" i="10"/>
  <c r="C645" i="10"/>
  <c r="D644" i="10"/>
  <c r="C644" i="10"/>
  <c r="D643" i="10"/>
  <c r="C643" i="10"/>
  <c r="D642" i="10"/>
  <c r="C642" i="10"/>
  <c r="D641" i="10"/>
  <c r="C641" i="10"/>
  <c r="D640" i="10"/>
  <c r="C640" i="10"/>
  <c r="D639" i="10"/>
  <c r="C639" i="10"/>
  <c r="D638" i="10"/>
  <c r="C638" i="10"/>
  <c r="D637" i="10"/>
  <c r="C637" i="10"/>
  <c r="D636" i="10"/>
  <c r="C636" i="10"/>
  <c r="D635" i="10"/>
  <c r="C635" i="10"/>
  <c r="D634" i="10"/>
  <c r="C634" i="10"/>
  <c r="D633" i="10"/>
  <c r="C633" i="10"/>
  <c r="D632" i="10"/>
  <c r="C632" i="10"/>
  <c r="D631" i="10"/>
  <c r="C631" i="10"/>
  <c r="D630" i="10"/>
  <c r="C630" i="10"/>
  <c r="D629" i="10"/>
  <c r="C629" i="10"/>
  <c r="D628" i="10"/>
  <c r="C628" i="10"/>
  <c r="D627" i="10"/>
  <c r="C627" i="10"/>
  <c r="D626" i="10"/>
  <c r="C626" i="10"/>
  <c r="D625" i="10"/>
  <c r="C625" i="10"/>
  <c r="D624" i="10"/>
  <c r="C624" i="10"/>
  <c r="D623" i="10"/>
  <c r="C623" i="10"/>
  <c r="D622" i="10"/>
  <c r="C622" i="10"/>
  <c r="D621" i="10"/>
  <c r="C621" i="10"/>
  <c r="D620" i="10"/>
  <c r="C620" i="10"/>
  <c r="D619" i="10"/>
  <c r="C619" i="10"/>
  <c r="D618" i="10"/>
  <c r="C618" i="10"/>
  <c r="D617" i="10"/>
  <c r="C617" i="10"/>
  <c r="D616" i="10"/>
  <c r="C616" i="10"/>
  <c r="D615" i="10"/>
  <c r="C615" i="10"/>
  <c r="D614" i="10"/>
  <c r="C614" i="10"/>
  <c r="D613" i="10"/>
  <c r="C613" i="10"/>
  <c r="D612" i="10"/>
  <c r="C612" i="10"/>
  <c r="D611" i="10"/>
  <c r="C611" i="10"/>
  <c r="D610" i="10"/>
  <c r="C610" i="10"/>
  <c r="D609" i="10"/>
  <c r="C609" i="10"/>
  <c r="D608" i="10"/>
  <c r="C608" i="10"/>
  <c r="D607" i="10"/>
  <c r="C607" i="10"/>
  <c r="D606" i="10"/>
  <c r="C606" i="10"/>
  <c r="D605" i="10"/>
  <c r="C605" i="10"/>
  <c r="D604" i="10"/>
  <c r="C604" i="10"/>
  <c r="D603" i="10"/>
  <c r="C603" i="10"/>
  <c r="D602" i="10"/>
  <c r="C602" i="10"/>
  <c r="D601" i="10"/>
  <c r="C601" i="10"/>
  <c r="D600" i="10"/>
  <c r="C600" i="10"/>
  <c r="D599" i="10"/>
  <c r="C599" i="10"/>
  <c r="D598" i="10"/>
  <c r="C598" i="10"/>
  <c r="D597" i="10"/>
  <c r="C597" i="10"/>
  <c r="D596" i="10"/>
  <c r="C596" i="10"/>
  <c r="D595" i="10"/>
  <c r="C595" i="10"/>
  <c r="D594" i="10"/>
  <c r="C594" i="10"/>
  <c r="D593" i="10"/>
  <c r="C593" i="10"/>
  <c r="D592" i="10"/>
  <c r="C592" i="10"/>
  <c r="D591" i="10"/>
  <c r="C591" i="10"/>
  <c r="D590" i="10"/>
  <c r="C590" i="10"/>
  <c r="D589" i="10"/>
  <c r="C589" i="10"/>
  <c r="D588" i="10"/>
  <c r="C588" i="10"/>
  <c r="D587" i="10"/>
  <c r="C587" i="10"/>
  <c r="D586" i="10"/>
  <c r="C586" i="10"/>
  <c r="D585" i="10"/>
  <c r="C585" i="10"/>
  <c r="D584" i="10"/>
  <c r="C584" i="10"/>
  <c r="D583" i="10"/>
  <c r="C583" i="10"/>
  <c r="D582" i="10"/>
  <c r="C582" i="10"/>
  <c r="D581" i="10"/>
  <c r="C581" i="10"/>
  <c r="D580" i="10"/>
  <c r="C580" i="10"/>
  <c r="D579" i="10"/>
  <c r="C579" i="10"/>
  <c r="D578" i="10"/>
  <c r="C578" i="10"/>
  <c r="D577" i="10"/>
  <c r="C577" i="10"/>
  <c r="D576" i="10"/>
  <c r="C576" i="10"/>
  <c r="D575" i="10"/>
  <c r="C575" i="10"/>
  <c r="D574" i="10"/>
  <c r="C574" i="10"/>
  <c r="D573" i="10"/>
  <c r="C573" i="10"/>
  <c r="D572" i="10"/>
  <c r="C572" i="10"/>
  <c r="D571" i="10"/>
  <c r="C571" i="10"/>
  <c r="D570" i="10"/>
  <c r="C570" i="10"/>
  <c r="D569" i="10"/>
  <c r="C569" i="10"/>
  <c r="D568" i="10"/>
  <c r="C568" i="10"/>
  <c r="D567" i="10"/>
  <c r="C567" i="10"/>
  <c r="D566" i="10"/>
  <c r="C566" i="10"/>
  <c r="D565" i="10"/>
  <c r="C565" i="10"/>
  <c r="D564" i="10"/>
  <c r="C564" i="10"/>
  <c r="D563" i="10"/>
  <c r="C563" i="10"/>
  <c r="D562" i="10"/>
  <c r="C562" i="10"/>
  <c r="D561" i="10"/>
  <c r="C561" i="10"/>
  <c r="D560" i="10"/>
  <c r="C560" i="10"/>
  <c r="D559" i="10"/>
  <c r="C559" i="10"/>
  <c r="D558" i="10"/>
  <c r="C558" i="10"/>
  <c r="D557" i="10"/>
  <c r="C557" i="10"/>
  <c r="D556" i="10"/>
  <c r="C556" i="10"/>
  <c r="D555" i="10"/>
  <c r="C555" i="10"/>
  <c r="D554" i="10"/>
  <c r="C554" i="10"/>
  <c r="D553" i="10"/>
  <c r="C553" i="10"/>
  <c r="D552" i="10"/>
  <c r="C552" i="10"/>
  <c r="D551" i="10"/>
  <c r="C551" i="10"/>
  <c r="D550" i="10"/>
  <c r="C550" i="10"/>
  <c r="D549" i="10"/>
  <c r="C549" i="10"/>
  <c r="D548" i="10"/>
  <c r="C548" i="10"/>
  <c r="D547" i="10"/>
  <c r="C547" i="10"/>
  <c r="D546" i="10"/>
  <c r="C546" i="10"/>
  <c r="D545" i="10"/>
  <c r="C545" i="10"/>
  <c r="D544" i="10"/>
  <c r="C544" i="10"/>
  <c r="D543" i="10"/>
  <c r="C543" i="10"/>
  <c r="D542" i="10"/>
  <c r="C542" i="10"/>
  <c r="D541" i="10"/>
  <c r="C541" i="10"/>
  <c r="D540" i="10"/>
  <c r="C540" i="10"/>
  <c r="D539" i="10"/>
  <c r="C539" i="10"/>
  <c r="D538" i="10"/>
  <c r="C538" i="10"/>
  <c r="D537" i="10"/>
  <c r="C537" i="10"/>
  <c r="D536" i="10"/>
  <c r="C536" i="10"/>
  <c r="D535" i="10"/>
  <c r="C535" i="10"/>
  <c r="D534" i="10"/>
  <c r="C534" i="10"/>
  <c r="D533" i="10"/>
  <c r="C533" i="10"/>
  <c r="D532" i="10"/>
  <c r="C532" i="10"/>
  <c r="D531" i="10"/>
  <c r="C531" i="10"/>
  <c r="D530" i="10"/>
  <c r="C530" i="10"/>
  <c r="D529" i="10"/>
  <c r="C529" i="10"/>
  <c r="D528" i="10"/>
  <c r="C528" i="10"/>
  <c r="D527" i="10"/>
  <c r="C527" i="10"/>
  <c r="D526" i="10"/>
  <c r="C526" i="10"/>
  <c r="D525" i="10"/>
  <c r="C525" i="10"/>
  <c r="D524" i="10"/>
  <c r="C524" i="10"/>
  <c r="D523" i="10"/>
  <c r="C523" i="10"/>
  <c r="D522" i="10"/>
  <c r="C522" i="10"/>
  <c r="D521" i="10"/>
  <c r="C521" i="10"/>
  <c r="D520" i="10"/>
  <c r="C520" i="10"/>
  <c r="D519" i="10"/>
  <c r="C519" i="10"/>
  <c r="D518" i="10"/>
  <c r="C518" i="10"/>
  <c r="D517" i="10"/>
  <c r="C517" i="10"/>
  <c r="D516" i="10"/>
  <c r="C516" i="10"/>
  <c r="D515" i="10"/>
  <c r="C515" i="10"/>
  <c r="D514" i="10"/>
  <c r="C514" i="10"/>
  <c r="D513" i="10"/>
  <c r="C513" i="10"/>
  <c r="D512" i="10"/>
  <c r="C512" i="10"/>
  <c r="D511" i="10"/>
  <c r="C511" i="10"/>
  <c r="D510" i="10"/>
  <c r="C510" i="10"/>
  <c r="D509" i="10"/>
  <c r="C509" i="10"/>
  <c r="D508" i="10"/>
  <c r="C508" i="10"/>
  <c r="D507" i="10"/>
  <c r="C507" i="10"/>
  <c r="D506" i="10"/>
  <c r="C506" i="10"/>
  <c r="D505" i="10"/>
  <c r="C505" i="10"/>
  <c r="D504" i="10"/>
  <c r="C504" i="10"/>
  <c r="D503" i="10"/>
  <c r="C503" i="10"/>
  <c r="D502" i="10"/>
  <c r="C502" i="10"/>
  <c r="D501" i="10"/>
  <c r="C501" i="10"/>
  <c r="D500" i="10"/>
  <c r="C500" i="10"/>
  <c r="D499" i="10"/>
  <c r="C499" i="10"/>
  <c r="D498" i="10"/>
  <c r="C498" i="10"/>
  <c r="D497" i="10"/>
  <c r="C497" i="10"/>
  <c r="D496" i="10"/>
  <c r="C496" i="10"/>
  <c r="D495" i="10"/>
  <c r="C495" i="10"/>
  <c r="D494" i="10"/>
  <c r="C494" i="10"/>
  <c r="D493" i="10"/>
  <c r="C493" i="10"/>
  <c r="D492" i="10"/>
  <c r="C492" i="10"/>
  <c r="D491" i="10"/>
  <c r="C491" i="10"/>
  <c r="D490" i="10"/>
  <c r="C490" i="10"/>
  <c r="D489" i="10"/>
  <c r="C489" i="10"/>
  <c r="D488" i="10"/>
  <c r="C488" i="10"/>
  <c r="D487" i="10"/>
  <c r="C487" i="10"/>
  <c r="D486" i="10"/>
  <c r="C486" i="10"/>
  <c r="D485" i="10"/>
  <c r="C485" i="10"/>
  <c r="D484" i="10"/>
  <c r="C484" i="10"/>
  <c r="D483" i="10"/>
  <c r="C483" i="10"/>
  <c r="D482" i="10"/>
  <c r="C482" i="10"/>
  <c r="D481" i="10"/>
  <c r="C481" i="10"/>
  <c r="D480" i="10"/>
  <c r="C480" i="10"/>
  <c r="D479" i="10"/>
  <c r="C479" i="10"/>
  <c r="D478" i="10"/>
  <c r="C478" i="10"/>
  <c r="D477" i="10"/>
  <c r="C477" i="10"/>
  <c r="D476" i="10"/>
  <c r="C476" i="10"/>
  <c r="D475" i="10"/>
  <c r="C475" i="10"/>
  <c r="D474" i="10"/>
  <c r="C474" i="10"/>
  <c r="D473" i="10"/>
  <c r="C473" i="10"/>
  <c r="D472" i="10"/>
  <c r="C472" i="10"/>
  <c r="D471" i="10"/>
  <c r="C471" i="10"/>
  <c r="D470" i="10"/>
  <c r="C470" i="10"/>
  <c r="D469" i="10"/>
  <c r="C469" i="10"/>
  <c r="D468" i="10"/>
  <c r="C468" i="10"/>
  <c r="D467" i="10"/>
  <c r="C467" i="10"/>
  <c r="D466" i="10"/>
  <c r="C466" i="10"/>
  <c r="D465" i="10"/>
  <c r="C465" i="10"/>
  <c r="D464" i="10"/>
  <c r="C464" i="10"/>
  <c r="D463" i="10"/>
  <c r="C463" i="10"/>
  <c r="D462" i="10"/>
  <c r="C462" i="10"/>
  <c r="D461" i="10"/>
  <c r="C461" i="10"/>
  <c r="D460" i="10"/>
  <c r="C460" i="10"/>
  <c r="D459" i="10"/>
  <c r="C459" i="10"/>
  <c r="D458" i="10"/>
  <c r="C458" i="10"/>
  <c r="D457" i="10"/>
  <c r="C457" i="10"/>
  <c r="D456" i="10"/>
  <c r="C456" i="10"/>
  <c r="D455" i="10"/>
  <c r="C455" i="10"/>
  <c r="D454" i="10"/>
  <c r="C454" i="10"/>
  <c r="D453" i="10"/>
  <c r="C453" i="10"/>
  <c r="D452" i="10"/>
  <c r="C452" i="10"/>
  <c r="D451" i="10"/>
  <c r="C451" i="10"/>
  <c r="D450" i="10"/>
  <c r="C450" i="10"/>
  <c r="D449" i="10"/>
  <c r="C449" i="10"/>
  <c r="D448" i="10"/>
  <c r="C448" i="10"/>
  <c r="D447" i="10"/>
  <c r="C447" i="10"/>
  <c r="D446" i="10"/>
  <c r="C446" i="10"/>
  <c r="D445" i="10"/>
  <c r="C445" i="10"/>
  <c r="D444" i="10"/>
  <c r="C444" i="10"/>
  <c r="D443" i="10"/>
  <c r="C443" i="10"/>
  <c r="D442" i="10"/>
  <c r="C442" i="10"/>
  <c r="D441" i="10"/>
  <c r="C441" i="10"/>
  <c r="D440" i="10"/>
  <c r="C440" i="10"/>
  <c r="D439" i="10"/>
  <c r="C439" i="10"/>
  <c r="D438" i="10"/>
  <c r="C438" i="10"/>
  <c r="D437" i="10"/>
  <c r="C437" i="10"/>
  <c r="D436" i="10"/>
  <c r="C436" i="10"/>
  <c r="D435" i="10"/>
  <c r="C435" i="10"/>
  <c r="D434" i="10"/>
  <c r="C434" i="10"/>
  <c r="D433" i="10"/>
  <c r="C433" i="10"/>
  <c r="D432" i="10"/>
  <c r="C432" i="10"/>
  <c r="D431" i="10"/>
  <c r="C431" i="10"/>
  <c r="D430" i="10"/>
  <c r="C430" i="10"/>
  <c r="D429" i="10"/>
  <c r="C429" i="10"/>
  <c r="D428" i="10"/>
  <c r="C428" i="10"/>
  <c r="D427" i="10"/>
  <c r="C427" i="10"/>
  <c r="D426" i="10"/>
  <c r="C426" i="10"/>
  <c r="D425" i="10"/>
  <c r="C425" i="10"/>
  <c r="D424" i="10"/>
  <c r="C424" i="10"/>
  <c r="D423" i="10"/>
  <c r="C423" i="10"/>
  <c r="D422" i="10"/>
  <c r="C422" i="10"/>
  <c r="D421" i="10"/>
  <c r="C421" i="10"/>
  <c r="D420" i="10"/>
  <c r="C420" i="10"/>
  <c r="D419" i="10"/>
  <c r="C419" i="10"/>
  <c r="D418" i="10"/>
  <c r="C418" i="10"/>
  <c r="D417" i="10"/>
  <c r="C417" i="10"/>
  <c r="D416" i="10"/>
  <c r="C416" i="10"/>
  <c r="D415" i="10"/>
  <c r="C415" i="10"/>
  <c r="D414" i="10"/>
  <c r="C414" i="10"/>
  <c r="D413" i="10"/>
  <c r="C413" i="10"/>
  <c r="D412" i="10"/>
  <c r="C412" i="10"/>
  <c r="D411" i="10"/>
  <c r="C411" i="10"/>
  <c r="D410" i="10"/>
  <c r="C410" i="10"/>
  <c r="D409" i="10"/>
  <c r="C409" i="10"/>
  <c r="D408" i="10"/>
  <c r="C408" i="10"/>
  <c r="D407" i="10"/>
  <c r="C407" i="10"/>
  <c r="D406" i="10"/>
  <c r="C406" i="10"/>
  <c r="D405" i="10"/>
  <c r="C405" i="10"/>
  <c r="D404" i="10"/>
  <c r="C404" i="10"/>
  <c r="D403" i="10"/>
  <c r="C403" i="10"/>
  <c r="D402" i="10"/>
  <c r="C402" i="10"/>
  <c r="D401" i="10"/>
  <c r="C401" i="10"/>
  <c r="D400" i="10"/>
  <c r="C400" i="10"/>
  <c r="D399" i="10"/>
  <c r="C399" i="10"/>
  <c r="D398" i="10"/>
  <c r="C398" i="10"/>
  <c r="D397" i="10"/>
  <c r="C397" i="10"/>
  <c r="D396" i="10"/>
  <c r="C396" i="10"/>
  <c r="D395" i="10"/>
  <c r="C395" i="10"/>
  <c r="D394" i="10"/>
  <c r="C394" i="10"/>
  <c r="D393" i="10"/>
  <c r="C393" i="10"/>
  <c r="D392" i="10"/>
  <c r="C392" i="10"/>
  <c r="D391" i="10"/>
  <c r="C391" i="10"/>
  <c r="D390" i="10"/>
  <c r="C390" i="10"/>
  <c r="D389" i="10"/>
  <c r="C389" i="10"/>
  <c r="D388" i="10"/>
  <c r="C388" i="10"/>
  <c r="D387" i="10"/>
  <c r="C387" i="10"/>
  <c r="D386" i="10"/>
  <c r="C386" i="10"/>
  <c r="D385" i="10"/>
  <c r="C385" i="10"/>
  <c r="D384" i="10"/>
  <c r="C384" i="10"/>
  <c r="D383" i="10"/>
  <c r="C383" i="10"/>
  <c r="D382" i="10"/>
  <c r="C382" i="10"/>
  <c r="D381" i="10"/>
  <c r="C381" i="10"/>
  <c r="D380" i="10"/>
  <c r="C380" i="10"/>
  <c r="D379" i="10"/>
  <c r="C379" i="10"/>
  <c r="D378" i="10"/>
  <c r="C378" i="10"/>
  <c r="D377" i="10"/>
  <c r="C377" i="10"/>
  <c r="D376" i="10"/>
  <c r="C376" i="10"/>
  <c r="D375" i="10"/>
  <c r="C375" i="10"/>
  <c r="D374" i="10"/>
  <c r="C374" i="10"/>
  <c r="D373" i="10"/>
  <c r="C373" i="10"/>
  <c r="D372" i="10"/>
  <c r="C372" i="10"/>
  <c r="D371" i="10"/>
  <c r="C371" i="10"/>
  <c r="D370" i="10"/>
  <c r="C370" i="10"/>
  <c r="D369" i="10"/>
  <c r="C369" i="10"/>
  <c r="D368" i="10"/>
  <c r="C368" i="10"/>
  <c r="D367" i="10"/>
  <c r="C367" i="10"/>
  <c r="D366" i="10"/>
  <c r="C366" i="10"/>
  <c r="D365" i="10"/>
  <c r="C365" i="10"/>
  <c r="D364" i="10"/>
  <c r="C364" i="10"/>
  <c r="D363" i="10"/>
  <c r="C363" i="10"/>
  <c r="D362" i="10"/>
  <c r="C362" i="10"/>
  <c r="D361" i="10"/>
  <c r="C361" i="10"/>
  <c r="D360" i="10"/>
  <c r="C360" i="10"/>
  <c r="D359" i="10"/>
  <c r="C359" i="10"/>
  <c r="D358" i="10"/>
  <c r="C358" i="10"/>
  <c r="D357" i="10"/>
  <c r="C357" i="10"/>
  <c r="D356" i="10"/>
  <c r="C356" i="10"/>
  <c r="D355" i="10"/>
  <c r="C355" i="10"/>
  <c r="D354" i="10"/>
  <c r="C354" i="10"/>
  <c r="D353" i="10"/>
  <c r="C353" i="10"/>
  <c r="D352" i="10"/>
  <c r="C352" i="10"/>
  <c r="D351" i="10"/>
  <c r="C351" i="10"/>
  <c r="D350" i="10"/>
  <c r="C350" i="10"/>
  <c r="D349" i="10"/>
  <c r="C349" i="10"/>
  <c r="D348" i="10"/>
  <c r="C348" i="10"/>
  <c r="D347" i="10"/>
  <c r="C347" i="10"/>
  <c r="D346" i="10"/>
  <c r="C346" i="10"/>
  <c r="D345" i="10"/>
  <c r="C345" i="10"/>
  <c r="D344" i="10"/>
  <c r="C344" i="10"/>
  <c r="D343" i="10"/>
  <c r="C343" i="10"/>
  <c r="D342" i="10"/>
  <c r="C342" i="10"/>
  <c r="D341" i="10"/>
  <c r="C341" i="10"/>
  <c r="D340" i="10"/>
  <c r="C340" i="10"/>
  <c r="D339" i="10"/>
  <c r="C339" i="10"/>
  <c r="D338" i="10"/>
  <c r="C338" i="10"/>
  <c r="D337" i="10"/>
  <c r="C337" i="10"/>
  <c r="D336" i="10"/>
  <c r="C336" i="10"/>
  <c r="D335" i="10"/>
  <c r="C335" i="10"/>
  <c r="D334" i="10"/>
  <c r="C334" i="10"/>
  <c r="D333" i="10"/>
  <c r="C333" i="10"/>
  <c r="D332" i="10"/>
  <c r="C332" i="10"/>
  <c r="D331" i="10"/>
  <c r="C331" i="10"/>
  <c r="D330" i="10"/>
  <c r="C330" i="10"/>
  <c r="D329" i="10"/>
  <c r="C329" i="10"/>
  <c r="D328" i="10"/>
  <c r="C328" i="10"/>
  <c r="D327" i="10"/>
  <c r="C327" i="10"/>
  <c r="D326" i="10"/>
  <c r="C326" i="10"/>
  <c r="D325" i="10"/>
  <c r="C325" i="10"/>
  <c r="D324" i="10"/>
  <c r="C324" i="10"/>
  <c r="D323" i="10"/>
  <c r="C323" i="10"/>
  <c r="D322" i="10"/>
  <c r="C322" i="10"/>
  <c r="D321" i="10"/>
  <c r="C321" i="10"/>
  <c r="D320" i="10"/>
  <c r="C320" i="10"/>
  <c r="D319" i="10"/>
  <c r="C319" i="10"/>
  <c r="D318" i="10"/>
  <c r="C318" i="10"/>
  <c r="D317" i="10"/>
  <c r="C317" i="10"/>
  <c r="D316" i="10"/>
  <c r="C316" i="10"/>
  <c r="D315" i="10"/>
  <c r="C315" i="10"/>
  <c r="D314" i="10"/>
  <c r="C314" i="10"/>
  <c r="D313" i="10"/>
  <c r="C313" i="10"/>
  <c r="D312" i="10"/>
  <c r="C312" i="10"/>
  <c r="D311" i="10"/>
  <c r="C311" i="10"/>
  <c r="D310" i="10"/>
  <c r="C310" i="10"/>
  <c r="D309" i="10"/>
  <c r="C309" i="10"/>
  <c r="D308" i="10"/>
  <c r="C308" i="10"/>
  <c r="D307" i="10"/>
  <c r="C307" i="10"/>
  <c r="D306" i="10"/>
  <c r="C306" i="10"/>
  <c r="D305" i="10"/>
  <c r="C305" i="10"/>
  <c r="D304" i="10"/>
  <c r="C304" i="10"/>
  <c r="D303" i="10"/>
  <c r="C303" i="10"/>
  <c r="D302" i="10"/>
  <c r="C302" i="10"/>
  <c r="D301" i="10"/>
  <c r="C301" i="10"/>
  <c r="D300" i="10"/>
  <c r="C300" i="10"/>
  <c r="D299" i="10"/>
  <c r="C299" i="10"/>
  <c r="D298" i="10"/>
  <c r="C298" i="10"/>
  <c r="D297" i="10"/>
  <c r="C297" i="10"/>
  <c r="D296" i="10"/>
  <c r="C296" i="10"/>
  <c r="D295" i="10"/>
  <c r="C295" i="10"/>
  <c r="D294" i="10"/>
  <c r="C294" i="10"/>
  <c r="D293" i="10"/>
  <c r="C293" i="10"/>
  <c r="D292" i="10"/>
  <c r="C292" i="10"/>
  <c r="D291" i="10"/>
  <c r="C291" i="10"/>
  <c r="D290" i="10"/>
  <c r="C290" i="10"/>
  <c r="D289" i="10"/>
  <c r="C289" i="10"/>
  <c r="D288" i="10"/>
  <c r="C288" i="10"/>
  <c r="D287" i="10"/>
  <c r="C287" i="10"/>
  <c r="D286" i="10"/>
  <c r="C286" i="10"/>
  <c r="D285" i="10"/>
  <c r="C285" i="10"/>
  <c r="D284" i="10"/>
  <c r="C284" i="10"/>
  <c r="D283" i="10"/>
  <c r="C283" i="10"/>
  <c r="D282" i="10"/>
  <c r="C282" i="10"/>
  <c r="D281" i="10"/>
  <c r="C281" i="10"/>
  <c r="D280" i="10"/>
  <c r="C280" i="10"/>
  <c r="D279" i="10"/>
  <c r="C279" i="10"/>
  <c r="D278" i="10"/>
  <c r="C278" i="10"/>
  <c r="D277" i="10"/>
  <c r="C277" i="10"/>
  <c r="D276" i="10"/>
  <c r="C276" i="10"/>
  <c r="D275" i="10"/>
  <c r="C275" i="10"/>
  <c r="D274" i="10"/>
  <c r="C274" i="10"/>
  <c r="D273" i="10"/>
  <c r="C273" i="10"/>
  <c r="D272" i="10"/>
  <c r="C272" i="10"/>
  <c r="D271" i="10"/>
  <c r="C271" i="10"/>
  <c r="D270" i="10"/>
  <c r="C270" i="10"/>
  <c r="D269" i="10"/>
  <c r="C269" i="10"/>
  <c r="D268" i="10"/>
  <c r="C268" i="10"/>
  <c r="D267" i="10"/>
  <c r="C267" i="10"/>
  <c r="D266" i="10"/>
  <c r="C266" i="10"/>
  <c r="D265" i="10"/>
  <c r="C265" i="10"/>
  <c r="D264" i="10"/>
  <c r="C264" i="10"/>
  <c r="D263" i="10"/>
  <c r="C263" i="10"/>
  <c r="D262" i="10"/>
  <c r="C262" i="10"/>
  <c r="D261" i="10"/>
  <c r="C261" i="10"/>
  <c r="D260" i="10"/>
  <c r="C260" i="10"/>
  <c r="D259" i="10"/>
  <c r="C259" i="10"/>
  <c r="D258" i="10"/>
  <c r="C258" i="10"/>
  <c r="D257" i="10"/>
  <c r="C257" i="10"/>
  <c r="D256" i="10"/>
  <c r="C256" i="10"/>
  <c r="D255" i="10"/>
  <c r="C255" i="10"/>
  <c r="D254" i="10"/>
  <c r="C254" i="10"/>
  <c r="D253" i="10"/>
  <c r="C253" i="10"/>
  <c r="D252" i="10"/>
  <c r="C252" i="10"/>
  <c r="D251" i="10"/>
  <c r="C251" i="10"/>
  <c r="D250" i="10"/>
  <c r="C250" i="10"/>
  <c r="D249" i="10"/>
  <c r="C249" i="10"/>
  <c r="D248" i="10"/>
  <c r="C248" i="10"/>
  <c r="D247" i="10"/>
  <c r="C247" i="10"/>
  <c r="D246" i="10"/>
  <c r="C246" i="10"/>
  <c r="D245" i="10"/>
  <c r="C245" i="10"/>
  <c r="D244" i="10"/>
  <c r="C244" i="10"/>
  <c r="D243" i="10"/>
  <c r="C243" i="10"/>
  <c r="D242" i="10"/>
  <c r="C242" i="10"/>
  <c r="D241" i="10"/>
  <c r="C241" i="10"/>
  <c r="D240" i="10"/>
  <c r="C240" i="10"/>
  <c r="D239" i="10"/>
  <c r="C239" i="10"/>
  <c r="D238" i="10"/>
  <c r="C238" i="10"/>
  <c r="D237" i="10"/>
  <c r="C237" i="10"/>
  <c r="D236" i="10"/>
  <c r="C236" i="10"/>
  <c r="D235" i="10"/>
  <c r="C235" i="10"/>
  <c r="D234" i="10"/>
  <c r="C234" i="10"/>
  <c r="D233" i="10"/>
  <c r="C233" i="10"/>
  <c r="D232" i="10"/>
  <c r="C232" i="10"/>
  <c r="D231" i="10"/>
  <c r="C231" i="10"/>
  <c r="D230" i="10"/>
  <c r="C230" i="10"/>
  <c r="D229" i="10"/>
  <c r="C229" i="10"/>
  <c r="D228" i="10"/>
  <c r="C228" i="10"/>
  <c r="D227" i="10"/>
  <c r="C227" i="10"/>
  <c r="D226" i="10"/>
  <c r="C226" i="10"/>
  <c r="D225" i="10"/>
  <c r="C225" i="10"/>
  <c r="D224" i="10"/>
  <c r="C224" i="10"/>
  <c r="D223" i="10"/>
  <c r="C223" i="10"/>
  <c r="D222" i="10"/>
  <c r="C222" i="10"/>
  <c r="D221" i="10"/>
  <c r="C221" i="10"/>
  <c r="D220" i="10"/>
  <c r="C220" i="10"/>
  <c r="D219" i="10"/>
  <c r="C219" i="10"/>
  <c r="D218" i="10"/>
  <c r="C218" i="10"/>
  <c r="D217" i="10"/>
  <c r="C217" i="10"/>
  <c r="D216" i="10"/>
  <c r="C216" i="10"/>
  <c r="D215" i="10"/>
  <c r="C215" i="10"/>
  <c r="D214" i="10"/>
  <c r="C214" i="10"/>
  <c r="D213" i="10"/>
  <c r="C213" i="10"/>
  <c r="D212" i="10"/>
  <c r="C212" i="10"/>
  <c r="D211" i="10"/>
  <c r="C211" i="10"/>
  <c r="D210" i="10"/>
  <c r="C210" i="10"/>
  <c r="D209" i="10"/>
  <c r="C209" i="10"/>
  <c r="D208" i="10"/>
  <c r="C208" i="10"/>
  <c r="D207" i="10"/>
  <c r="C207" i="10"/>
  <c r="D206" i="10"/>
  <c r="C206" i="10"/>
  <c r="D205" i="10"/>
  <c r="C205" i="10"/>
  <c r="D204" i="10"/>
  <c r="C204" i="10"/>
  <c r="D203" i="10"/>
  <c r="C203" i="10"/>
  <c r="D202" i="10"/>
  <c r="C202" i="10"/>
  <c r="D201" i="10"/>
  <c r="C201" i="10"/>
  <c r="D200" i="10"/>
  <c r="C200" i="10"/>
  <c r="D199" i="10"/>
  <c r="C199" i="10"/>
  <c r="D198" i="10"/>
  <c r="C198" i="10"/>
  <c r="D197" i="10"/>
  <c r="C197" i="10"/>
  <c r="D196" i="10"/>
  <c r="C196" i="10"/>
  <c r="D195" i="10"/>
  <c r="C195" i="10"/>
  <c r="D194" i="10"/>
  <c r="C194" i="10"/>
  <c r="D193" i="10"/>
  <c r="C193" i="10"/>
  <c r="D192" i="10"/>
  <c r="C192" i="10"/>
  <c r="D191" i="10"/>
  <c r="C191" i="10"/>
  <c r="D190" i="10"/>
  <c r="C190" i="10"/>
  <c r="D189" i="10"/>
  <c r="C189" i="10"/>
  <c r="D188" i="10"/>
  <c r="C188" i="10"/>
  <c r="D187" i="10"/>
  <c r="C187" i="10"/>
  <c r="D186" i="10"/>
  <c r="C186" i="10"/>
  <c r="D185" i="10"/>
  <c r="C185" i="10"/>
  <c r="D184" i="10"/>
  <c r="C184" i="10"/>
  <c r="D183" i="10"/>
  <c r="C183" i="10"/>
  <c r="D182" i="10"/>
  <c r="C182" i="10"/>
  <c r="D181" i="10"/>
  <c r="C181" i="10"/>
  <c r="D180" i="10"/>
  <c r="C180" i="10"/>
  <c r="D179" i="10"/>
  <c r="C179" i="10"/>
  <c r="D178" i="10"/>
  <c r="C178" i="10"/>
  <c r="D177" i="10"/>
  <c r="C177" i="10"/>
  <c r="D176" i="10"/>
  <c r="C176" i="10"/>
  <c r="D175" i="10"/>
  <c r="C175" i="10"/>
  <c r="D174" i="10"/>
  <c r="C174" i="10"/>
  <c r="D173" i="10"/>
  <c r="C173" i="10"/>
  <c r="D172" i="10"/>
  <c r="C172" i="10"/>
  <c r="D171" i="10"/>
  <c r="C171" i="10"/>
  <c r="D170" i="10"/>
  <c r="C170" i="10"/>
  <c r="D169" i="10"/>
  <c r="C169" i="10"/>
  <c r="D168" i="10"/>
  <c r="C168" i="10"/>
  <c r="D167" i="10"/>
  <c r="C167" i="10"/>
  <c r="D166" i="10"/>
  <c r="C166" i="10"/>
  <c r="D165" i="10"/>
  <c r="C165" i="10"/>
  <c r="D164" i="10"/>
  <c r="C164" i="10"/>
  <c r="D163" i="10"/>
  <c r="C163" i="10"/>
  <c r="D162" i="10"/>
  <c r="C162" i="10"/>
  <c r="D161" i="10"/>
  <c r="C161" i="10"/>
  <c r="D160" i="10"/>
  <c r="C160" i="10"/>
  <c r="D159" i="10"/>
  <c r="C159" i="10"/>
  <c r="D158" i="10"/>
  <c r="C158" i="10"/>
  <c r="D157" i="10"/>
  <c r="C157" i="10"/>
  <c r="D156" i="10"/>
  <c r="C156" i="10"/>
  <c r="D155" i="10"/>
  <c r="C155" i="10"/>
  <c r="D154" i="10"/>
  <c r="C154" i="10"/>
  <c r="D153" i="10"/>
  <c r="C153" i="10"/>
  <c r="D152" i="10"/>
  <c r="C152" i="10"/>
  <c r="D151" i="10"/>
  <c r="C151" i="10"/>
  <c r="D150" i="10"/>
  <c r="C150" i="10"/>
  <c r="D149" i="10"/>
  <c r="C149" i="10"/>
  <c r="D148" i="10"/>
  <c r="C148" i="10"/>
  <c r="D147" i="10"/>
  <c r="C147" i="10"/>
  <c r="D146" i="10"/>
  <c r="C146" i="10"/>
  <c r="D145" i="10"/>
  <c r="C145" i="10"/>
  <c r="D144" i="10"/>
  <c r="C144" i="10"/>
  <c r="D143" i="10"/>
  <c r="C143" i="10"/>
  <c r="D142" i="10"/>
  <c r="C142" i="10"/>
  <c r="D141" i="10"/>
  <c r="C141" i="10"/>
  <c r="D140" i="10"/>
  <c r="C140" i="10"/>
  <c r="D139" i="10"/>
  <c r="C139" i="10"/>
  <c r="D138" i="10"/>
  <c r="C138" i="10"/>
  <c r="D137" i="10"/>
  <c r="C137" i="10"/>
  <c r="D136" i="10"/>
  <c r="C136" i="10"/>
  <c r="D135" i="10"/>
  <c r="C135" i="10"/>
  <c r="D134" i="10"/>
  <c r="C134" i="10"/>
  <c r="D133" i="10"/>
  <c r="C133" i="10"/>
  <c r="D132" i="10"/>
  <c r="C132" i="10"/>
  <c r="D131" i="10"/>
  <c r="C131" i="10"/>
  <c r="D130" i="10"/>
  <c r="C130" i="10"/>
  <c r="D129" i="10"/>
  <c r="C129" i="10"/>
  <c r="D128" i="10"/>
  <c r="C128" i="10"/>
  <c r="D127" i="10"/>
  <c r="C127" i="10"/>
  <c r="D126" i="10"/>
  <c r="C126" i="10"/>
  <c r="D125" i="10"/>
  <c r="C125" i="10"/>
  <c r="D124" i="10"/>
  <c r="C124" i="10"/>
  <c r="D123" i="10"/>
  <c r="C123" i="10"/>
  <c r="D122" i="10"/>
  <c r="C122" i="10"/>
  <c r="D121" i="10"/>
  <c r="C121" i="10"/>
  <c r="D120" i="10"/>
  <c r="C120" i="10"/>
  <c r="D119" i="10"/>
  <c r="C119" i="10"/>
  <c r="D118" i="10"/>
  <c r="C118" i="10"/>
  <c r="D117" i="10"/>
  <c r="C117" i="10"/>
  <c r="D116" i="10"/>
  <c r="C116" i="10"/>
  <c r="D115" i="10"/>
  <c r="C115" i="10"/>
  <c r="D114" i="10"/>
  <c r="C114" i="10"/>
  <c r="D113" i="10"/>
  <c r="C113" i="10"/>
  <c r="D112" i="10"/>
  <c r="C112" i="10"/>
  <c r="D111" i="10"/>
  <c r="C111" i="10"/>
  <c r="D110" i="10"/>
  <c r="C110" i="10"/>
  <c r="D109" i="10"/>
  <c r="C109" i="10"/>
  <c r="D108" i="10"/>
  <c r="C108" i="10"/>
  <c r="D107" i="10"/>
  <c r="C107" i="10"/>
  <c r="D106" i="10"/>
  <c r="C106" i="10"/>
  <c r="D105" i="10"/>
  <c r="C105" i="10"/>
  <c r="D104" i="10"/>
  <c r="C104" i="10"/>
  <c r="D103" i="10"/>
  <c r="C103" i="10"/>
  <c r="D102" i="10"/>
  <c r="C102" i="10"/>
  <c r="D101" i="10"/>
  <c r="C101" i="10"/>
  <c r="D100" i="10"/>
  <c r="C100" i="10"/>
  <c r="D99" i="10"/>
  <c r="C99" i="10"/>
  <c r="D98" i="10"/>
  <c r="C98" i="10"/>
  <c r="D97" i="10"/>
  <c r="C97" i="10"/>
  <c r="D96" i="10"/>
  <c r="C96" i="10"/>
  <c r="D95" i="10"/>
  <c r="C95" i="10"/>
  <c r="D94" i="10"/>
  <c r="C94" i="10"/>
  <c r="D93" i="10"/>
  <c r="C93" i="10"/>
  <c r="D92" i="10"/>
  <c r="C92" i="10"/>
  <c r="D91" i="10"/>
  <c r="C91" i="10"/>
  <c r="D90" i="10"/>
  <c r="C90" i="10"/>
  <c r="D89" i="10"/>
  <c r="C89" i="10"/>
  <c r="D88" i="10"/>
  <c r="C88" i="10"/>
  <c r="D87" i="10"/>
  <c r="C87" i="10"/>
  <c r="D86" i="10"/>
  <c r="C86" i="10"/>
  <c r="D85" i="10"/>
  <c r="C85" i="10"/>
  <c r="D84" i="10"/>
  <c r="C84" i="10"/>
  <c r="D83" i="10"/>
  <c r="C83" i="10"/>
  <c r="D82" i="10"/>
  <c r="C82" i="10"/>
  <c r="D81" i="10"/>
  <c r="C81" i="10"/>
  <c r="D80" i="10"/>
  <c r="C80" i="10"/>
  <c r="D79" i="10"/>
  <c r="C79" i="10"/>
  <c r="G78" i="10"/>
  <c r="D78" i="10"/>
  <c r="C78" i="10"/>
  <c r="D77" i="10"/>
  <c r="C77" i="10"/>
  <c r="D76" i="10"/>
  <c r="C76" i="10"/>
  <c r="D75" i="10"/>
  <c r="C75" i="10"/>
  <c r="D74" i="10"/>
  <c r="C74" i="10"/>
  <c r="D73" i="10"/>
  <c r="C73" i="10"/>
  <c r="D72" i="10"/>
  <c r="C72" i="10"/>
  <c r="D71" i="10"/>
  <c r="C71" i="10"/>
  <c r="D70" i="10"/>
  <c r="C70" i="10"/>
  <c r="D69" i="10"/>
  <c r="C69" i="10"/>
  <c r="D68" i="10"/>
  <c r="C68" i="10"/>
  <c r="D67" i="10"/>
  <c r="C67" i="10"/>
  <c r="D66" i="10"/>
  <c r="C66" i="10"/>
  <c r="D65" i="10"/>
  <c r="C65" i="10"/>
  <c r="D64" i="10"/>
  <c r="C64" i="10"/>
  <c r="D63" i="10"/>
  <c r="C63" i="10"/>
  <c r="D62" i="10"/>
  <c r="C62" i="10"/>
  <c r="D61" i="10"/>
  <c r="C61" i="10"/>
  <c r="D60" i="10"/>
  <c r="C60" i="10"/>
  <c r="D59" i="10"/>
  <c r="C59" i="10"/>
  <c r="D58" i="10"/>
  <c r="C58" i="10"/>
  <c r="D57" i="10"/>
  <c r="C57" i="10"/>
  <c r="H56" i="10"/>
  <c r="G56" i="10"/>
  <c r="E56" i="10"/>
  <c r="D56" i="10"/>
  <c r="C56" i="10"/>
  <c r="D55" i="10"/>
  <c r="C55" i="10"/>
  <c r="D54" i="10"/>
  <c r="C54" i="10"/>
  <c r="D53" i="10"/>
  <c r="C53" i="10"/>
  <c r="D52" i="10"/>
  <c r="C52" i="10"/>
  <c r="D51" i="10"/>
  <c r="C51" i="10"/>
  <c r="D50" i="10"/>
  <c r="C50" i="10"/>
  <c r="D49" i="10"/>
  <c r="C49" i="10"/>
  <c r="D48" i="10"/>
  <c r="C48" i="10"/>
  <c r="D47" i="10"/>
  <c r="C47" i="10"/>
  <c r="D46" i="10"/>
  <c r="C46" i="10"/>
  <c r="D45" i="10"/>
  <c r="C45" i="10"/>
  <c r="D44" i="10"/>
  <c r="C44" i="10"/>
  <c r="D43" i="10"/>
  <c r="C43" i="10"/>
  <c r="D42" i="10"/>
  <c r="C42" i="10"/>
  <c r="D41" i="10"/>
  <c r="C41" i="10"/>
  <c r="D40" i="10"/>
  <c r="C40" i="10"/>
  <c r="D39" i="10"/>
  <c r="C39" i="10"/>
  <c r="D38" i="10"/>
  <c r="C38" i="10"/>
  <c r="D37" i="10"/>
  <c r="C37" i="10"/>
  <c r="D36" i="10"/>
  <c r="C36" i="10"/>
  <c r="D35" i="10"/>
  <c r="C35" i="10"/>
  <c r="D34" i="10"/>
  <c r="C34" i="10"/>
  <c r="D33" i="10"/>
  <c r="C33" i="10"/>
  <c r="D32" i="10"/>
  <c r="C32" i="10"/>
  <c r="D31" i="10"/>
  <c r="C31" i="10"/>
  <c r="D30" i="10"/>
  <c r="C30" i="10"/>
  <c r="D29" i="10"/>
  <c r="C29" i="10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9" i="10"/>
  <c r="C9" i="10"/>
  <c r="D8" i="10"/>
  <c r="C8" i="10"/>
  <c r="D7" i="10"/>
  <c r="C7" i="10"/>
  <c r="D6" i="10"/>
  <c r="C6" i="10"/>
  <c r="D5" i="10"/>
  <c r="C5" i="10"/>
  <c r="D4" i="10"/>
  <c r="C4" i="10"/>
  <c r="D3" i="10"/>
  <c r="C3" i="10"/>
  <c r="E128" i="6"/>
  <c r="B128" i="6" a="1"/>
  <c r="B128" i="6"/>
  <c r="B127" i="6" a="1"/>
  <c r="B127" i="6"/>
  <c r="B126" i="6" a="1"/>
  <c r="B126" i="6"/>
  <c r="B125" i="6" a="1"/>
  <c r="B125" i="6"/>
  <c r="B124" i="6" a="1"/>
  <c r="B124" i="6"/>
  <c r="B123" i="6" a="1"/>
  <c r="B123" i="6"/>
  <c r="B122" i="6" a="1"/>
  <c r="B122" i="6"/>
  <c r="B121" i="6" a="1"/>
  <c r="B121" i="6"/>
  <c r="B120" i="6" a="1"/>
  <c r="B120" i="6"/>
  <c r="B119" i="6" a="1"/>
  <c r="B119" i="6"/>
  <c r="B118" i="6" a="1"/>
  <c r="B118" i="6"/>
  <c r="B117" i="6" a="1"/>
  <c r="B117" i="6"/>
  <c r="B116" i="6" a="1"/>
  <c r="B116" i="6"/>
  <c r="B115" i="6" a="1"/>
  <c r="B115" i="6"/>
  <c r="B114" i="6" a="1"/>
  <c r="B114" i="6"/>
  <c r="B113" i="6" a="1"/>
  <c r="B113" i="6"/>
  <c r="B112" i="6" a="1"/>
  <c r="B112" i="6"/>
  <c r="B111" i="6" a="1"/>
  <c r="B111" i="6"/>
  <c r="B110" i="6" a="1"/>
  <c r="B110" i="6"/>
  <c r="B109" i="6" a="1"/>
  <c r="B109" i="6"/>
  <c r="B108" i="6" a="1"/>
  <c r="B108" i="6"/>
  <c r="B107" i="6" a="1"/>
  <c r="B107" i="6"/>
  <c r="B106" i="6" a="1"/>
  <c r="B106" i="6"/>
  <c r="B105" i="6" a="1"/>
  <c r="B105" i="6"/>
  <c r="B104" i="6" a="1"/>
  <c r="B104" i="6"/>
  <c r="B103" i="6" a="1"/>
  <c r="B103" i="6"/>
  <c r="B102" i="6" a="1"/>
  <c r="B102" i="6"/>
  <c r="B101" i="6" a="1"/>
  <c r="B101" i="6"/>
  <c r="B100" i="6" a="1"/>
  <c r="B100" i="6"/>
  <c r="B99" i="6" a="1"/>
  <c r="B99" i="6"/>
  <c r="B98" i="6" a="1"/>
  <c r="B98" i="6"/>
  <c r="B97" i="6" a="1"/>
  <c r="B97" i="6"/>
  <c r="B96" i="6" a="1"/>
  <c r="B96" i="6"/>
  <c r="B95" i="6" a="1"/>
  <c r="B95" i="6"/>
  <c r="B94" i="6" a="1"/>
  <c r="B94" i="6"/>
  <c r="B93" i="6" a="1"/>
  <c r="B93" i="6"/>
  <c r="B92" i="6" a="1"/>
  <c r="B92" i="6"/>
  <c r="B91" i="6" a="1"/>
  <c r="B91" i="6"/>
  <c r="B90" i="6" a="1"/>
  <c r="B90" i="6"/>
  <c r="B89" i="6" a="1"/>
  <c r="B89" i="6"/>
  <c r="B88" i="6" a="1"/>
  <c r="B88" i="6"/>
  <c r="B87" i="6" a="1"/>
  <c r="B87" i="6"/>
  <c r="B86" i="6" a="1"/>
  <c r="B86" i="6"/>
  <c r="B85" i="6" a="1"/>
  <c r="B85" i="6"/>
  <c r="B84" i="6" a="1"/>
  <c r="B84" i="6"/>
  <c r="B83" i="6" a="1"/>
  <c r="B83" i="6"/>
  <c r="B82" i="6" a="1"/>
  <c r="B82" i="6"/>
  <c r="B81" i="6" a="1"/>
  <c r="B81" i="6"/>
  <c r="B80" i="6" a="1"/>
  <c r="B80" i="6"/>
  <c r="B79" i="6" a="1"/>
  <c r="B79" i="6"/>
  <c r="B78" i="6" a="1"/>
  <c r="B78" i="6"/>
  <c r="B77" i="6" a="1"/>
  <c r="B77" i="6"/>
  <c r="B76" i="6" a="1"/>
  <c r="B76" i="6"/>
  <c r="B75" i="6" a="1"/>
  <c r="B75" i="6"/>
  <c r="B74" i="6" a="1"/>
  <c r="B74" i="6"/>
  <c r="B73" i="6" a="1"/>
  <c r="B73" i="6"/>
  <c r="B72" i="6" a="1"/>
  <c r="B72" i="6"/>
  <c r="B71" i="6" a="1"/>
  <c r="B71" i="6"/>
  <c r="B70" i="6" a="1"/>
  <c r="B70" i="6"/>
  <c r="B69" i="6" a="1"/>
  <c r="B69" i="6"/>
  <c r="B68" i="6" a="1"/>
  <c r="B68" i="6"/>
  <c r="B67" i="6" a="1"/>
  <c r="B67" i="6"/>
  <c r="B66" i="6" a="1"/>
  <c r="B66" i="6"/>
  <c r="B65" i="6" a="1"/>
  <c r="B65" i="6"/>
  <c r="B64" i="6" a="1"/>
  <c r="B64" i="6"/>
  <c r="B63" i="6" a="1"/>
  <c r="B63" i="6"/>
  <c r="B62" i="6" a="1"/>
  <c r="B62" i="6"/>
  <c r="B61" i="6" a="1"/>
  <c r="B61" i="6"/>
  <c r="B60" i="6" a="1"/>
  <c r="B60" i="6"/>
  <c r="B59" i="6" a="1"/>
  <c r="B59" i="6"/>
  <c r="B58" i="6" a="1"/>
  <c r="B58" i="6"/>
  <c r="B57" i="6" a="1"/>
  <c r="B57" i="6"/>
  <c r="B56" i="6" a="1"/>
  <c r="B56" i="6"/>
  <c r="B55" i="6" a="1"/>
  <c r="B55" i="6"/>
  <c r="B54" i="6" a="1"/>
  <c r="B54" i="6"/>
  <c r="B53" i="6" a="1"/>
  <c r="B53" i="6"/>
  <c r="B52" i="6" a="1"/>
  <c r="B52" i="6"/>
  <c r="B51" i="6" a="1"/>
  <c r="B51" i="6"/>
  <c r="B50" i="6" a="1"/>
  <c r="B50" i="6"/>
  <c r="B49" i="6" a="1"/>
  <c r="B49" i="6"/>
  <c r="B48" i="6" a="1"/>
  <c r="B48" i="6"/>
  <c r="B47" i="6" a="1"/>
  <c r="B47" i="6"/>
  <c r="B46" i="6" a="1"/>
  <c r="B46" i="6"/>
  <c r="B45" i="6" a="1"/>
  <c r="B45" i="6"/>
  <c r="B44" i="6" a="1"/>
  <c r="B44" i="6"/>
  <c r="B43" i="6" a="1"/>
  <c r="B43" i="6"/>
  <c r="B42" i="6" a="1"/>
  <c r="B42" i="6"/>
  <c r="B41" i="6" a="1"/>
  <c r="B41" i="6"/>
  <c r="B40" i="6" a="1"/>
  <c r="B40" i="6"/>
  <c r="B39" i="6" a="1"/>
  <c r="B39" i="6"/>
  <c r="B38" i="6" a="1"/>
  <c r="B38" i="6"/>
  <c r="B37" i="6" a="1"/>
  <c r="B37" i="6"/>
  <c r="B36" i="6" a="1"/>
  <c r="B36" i="6"/>
  <c r="B35" i="6" a="1"/>
  <c r="B35" i="6"/>
  <c r="B34" i="6" a="1"/>
  <c r="B34" i="6"/>
  <c r="B33" i="6" a="1"/>
  <c r="B33" i="6"/>
  <c r="B32" i="6" a="1"/>
  <c r="B32" i="6"/>
  <c r="B31" i="6" a="1"/>
  <c r="B31" i="6"/>
  <c r="B30" i="6" a="1"/>
  <c r="B30" i="6"/>
  <c r="B29" i="6" a="1"/>
  <c r="B29" i="6"/>
  <c r="B28" i="6" a="1"/>
  <c r="B28" i="6"/>
  <c r="B27" i="6" a="1"/>
  <c r="B27" i="6"/>
  <c r="B26" i="6" a="1"/>
  <c r="B26" i="6"/>
  <c r="B25" i="6" a="1"/>
  <c r="B25" i="6"/>
  <c r="B24" i="6" a="1"/>
  <c r="B24" i="6"/>
  <c r="B23" i="6" a="1"/>
  <c r="B23" i="6"/>
  <c r="B22" i="6" a="1"/>
  <c r="B22" i="6"/>
  <c r="B21" i="6" a="1"/>
  <c r="B21" i="6"/>
  <c r="B20" i="6" a="1"/>
  <c r="B20" i="6"/>
  <c r="B19" i="6" a="1"/>
  <c r="B19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DF16" i="6"/>
  <c r="DE16" i="6"/>
  <c r="DD16" i="6"/>
  <c r="DC16" i="6"/>
  <c r="DB16" i="6"/>
  <c r="DA16" i="6"/>
  <c r="CZ16" i="6"/>
  <c r="CY16" i="6"/>
  <c r="CX16" i="6"/>
  <c r="CW16" i="6"/>
  <c r="CV16" i="6"/>
  <c r="CU16" i="6"/>
  <c r="CT16" i="6"/>
  <c r="CS16" i="6"/>
  <c r="CR16" i="6"/>
  <c r="CQ16" i="6"/>
  <c r="CP16" i="6"/>
  <c r="CO16" i="6"/>
  <c r="CN16" i="6"/>
  <c r="CM16" i="6"/>
  <c r="CL16" i="6"/>
  <c r="CK16" i="6"/>
  <c r="CJ16" i="6"/>
  <c r="CI16" i="6"/>
  <c r="CH16" i="6"/>
  <c r="CG16" i="6"/>
  <c r="CF16" i="6"/>
  <c r="CE16" i="6"/>
  <c r="CD16" i="6"/>
  <c r="CC16" i="6"/>
  <c r="CB16" i="6"/>
  <c r="CA16" i="6"/>
  <c r="BZ16" i="6"/>
  <c r="BY16" i="6"/>
  <c r="BX16" i="6"/>
  <c r="BW16" i="6"/>
  <c r="BV16" i="6"/>
  <c r="BU16" i="6"/>
  <c r="BT16" i="6"/>
  <c r="BS16" i="6"/>
  <c r="BR16" i="6"/>
  <c r="BQ16" i="6"/>
  <c r="BP16" i="6"/>
  <c r="BO16" i="6"/>
  <c r="BN16" i="6"/>
  <c r="BM16" i="6"/>
  <c r="BL16" i="6"/>
  <c r="BK16" i="6"/>
  <c r="BJ16" i="6"/>
  <c r="BI16" i="6"/>
  <c r="BH16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DM14" i="6"/>
  <c r="DL14" i="6"/>
  <c r="DI14" i="6"/>
  <c r="DH14" i="6"/>
  <c r="DM13" i="6"/>
  <c r="DL13" i="6"/>
  <c r="DI13" i="6"/>
  <c r="DH13" i="6"/>
  <c r="DM12" i="6"/>
  <c r="DL12" i="6"/>
  <c r="DI12" i="6"/>
  <c r="DH12" i="6"/>
  <c r="DM11" i="6"/>
  <c r="DL11" i="6"/>
  <c r="DI11" i="6"/>
  <c r="DH11" i="6"/>
  <c r="DM10" i="6"/>
  <c r="DL10" i="6"/>
  <c r="DI10" i="6"/>
  <c r="DH10" i="6"/>
  <c r="DM9" i="6"/>
  <c r="DL9" i="6"/>
  <c r="DI9" i="6"/>
  <c r="DH9" i="6"/>
  <c r="DM8" i="6"/>
  <c r="DL8" i="6"/>
  <c r="DI8" i="6"/>
  <c r="DH8" i="6"/>
  <c r="DM7" i="6"/>
  <c r="DL7" i="6"/>
  <c r="DI7" i="6"/>
  <c r="DH7" i="6"/>
  <c r="DM6" i="6"/>
  <c r="DL6" i="6"/>
  <c r="DI6" i="6"/>
  <c r="DH6" i="6"/>
  <c r="DM5" i="6"/>
  <c r="DL5" i="6"/>
  <c r="DI5" i="6"/>
  <c r="DH5" i="6"/>
  <c r="DM4" i="6"/>
  <c r="DL4" i="6"/>
  <c r="DI4" i="6"/>
  <c r="DH4" i="6"/>
  <c r="DM3" i="6"/>
  <c r="DL3" i="6"/>
  <c r="DI3" i="6"/>
  <c r="DH3" i="6"/>
  <c r="C18" i="5"/>
  <c r="B18" i="5"/>
  <c r="B17" i="5"/>
  <c r="B16" i="5"/>
  <c r="B15" i="5"/>
  <c r="B14" i="5"/>
  <c r="B13" i="5"/>
  <c r="B12" i="5"/>
  <c r="B11" i="5"/>
  <c r="B10" i="5"/>
  <c r="B9" i="5"/>
  <c r="B7" i="5"/>
  <c r="B6" i="5"/>
  <c r="B3" i="5"/>
  <c r="B12" i="3"/>
  <c r="E11" i="3"/>
  <c r="D11" i="3"/>
  <c r="C11" i="3"/>
  <c r="B11" i="3"/>
  <c r="B10" i="3"/>
  <c r="B9" i="3"/>
  <c r="B8" i="3"/>
  <c r="B7" i="3"/>
  <c r="B6" i="3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G31" i="2"/>
  <c r="F31" i="2"/>
  <c r="C31" i="2"/>
  <c r="B31" i="2"/>
  <c r="A31" i="2"/>
  <c r="G30" i="2"/>
  <c r="F30" i="2"/>
  <c r="C30" i="2"/>
  <c r="B30" i="2"/>
  <c r="A30" i="2"/>
  <c r="G29" i="2"/>
  <c r="F29" i="2"/>
  <c r="C29" i="2"/>
  <c r="B29" i="2"/>
  <c r="A29" i="2"/>
  <c r="G28" i="2"/>
  <c r="F28" i="2"/>
  <c r="C28" i="2"/>
  <c r="B28" i="2"/>
  <c r="A28" i="2"/>
  <c r="G27" i="2"/>
  <c r="F27" i="2"/>
  <c r="C27" i="2"/>
  <c r="B27" i="2"/>
  <c r="A27" i="2"/>
  <c r="G26" i="2"/>
  <c r="F26" i="2"/>
  <c r="C26" i="2"/>
  <c r="B26" i="2"/>
  <c r="A26" i="2"/>
  <c r="G25" i="2"/>
  <c r="F25" i="2"/>
  <c r="C25" i="2"/>
  <c r="B25" i="2"/>
  <c r="A25" i="2"/>
  <c r="G24" i="2"/>
  <c r="F24" i="2"/>
  <c r="C24" i="2"/>
  <c r="B24" i="2"/>
  <c r="A24" i="2"/>
  <c r="G23" i="2"/>
  <c r="F23" i="2"/>
  <c r="C23" i="2"/>
  <c r="B23" i="2"/>
  <c r="A23" i="2"/>
  <c r="G22" i="2"/>
  <c r="F22" i="2"/>
  <c r="C22" i="2"/>
  <c r="B22" i="2"/>
  <c r="A22" i="2"/>
  <c r="G21" i="2"/>
  <c r="F21" i="2"/>
  <c r="C21" i="2"/>
  <c r="B21" i="2"/>
  <c r="A21" i="2"/>
  <c r="G20" i="2"/>
  <c r="F20" i="2"/>
  <c r="C20" i="2"/>
  <c r="B20" i="2"/>
  <c r="A20" i="2"/>
  <c r="E10" i="2"/>
  <c r="C10" i="2"/>
  <c r="G7" i="2"/>
  <c r="C53" i="1"/>
  <c r="B53" i="1"/>
  <c r="A53" i="1"/>
  <c r="C52" i="1"/>
  <c r="B52" i="1"/>
  <c r="A52" i="1"/>
  <c r="C51" i="1"/>
  <c r="B51" i="1"/>
  <c r="A51" i="1"/>
  <c r="C50" i="1"/>
  <c r="B50" i="1"/>
  <c r="A50" i="1"/>
  <c r="C49" i="1"/>
  <c r="B49" i="1"/>
  <c r="A49" i="1"/>
  <c r="C48" i="1"/>
  <c r="B48" i="1"/>
  <c r="A48" i="1"/>
  <c r="C47" i="1"/>
  <c r="B47" i="1"/>
  <c r="A47" i="1"/>
  <c r="C46" i="1"/>
  <c r="B46" i="1"/>
  <c r="A46" i="1"/>
  <c r="C45" i="1"/>
  <c r="B45" i="1"/>
  <c r="A45" i="1"/>
  <c r="C44" i="1"/>
  <c r="B44" i="1"/>
  <c r="A44" i="1"/>
  <c r="C43" i="1"/>
  <c r="B43" i="1"/>
  <c r="A43" i="1"/>
  <c r="C42" i="1"/>
  <c r="B42" i="1"/>
  <c r="A42" i="1"/>
  <c r="C41" i="1"/>
  <c r="B41" i="1"/>
  <c r="A41" i="1"/>
  <c r="C40" i="1"/>
  <c r="B40" i="1"/>
  <c r="A40" i="1"/>
  <c r="C39" i="1"/>
  <c r="B39" i="1"/>
  <c r="A39" i="1"/>
  <c r="C38" i="1"/>
  <c r="B38" i="1"/>
  <c r="A38" i="1"/>
  <c r="C37" i="1"/>
  <c r="B37" i="1"/>
  <c r="A37" i="1"/>
  <c r="C36" i="1"/>
  <c r="B36" i="1"/>
  <c r="A36" i="1"/>
  <c r="C35" i="1"/>
  <c r="B35" i="1"/>
  <c r="A35" i="1"/>
  <c r="C34" i="1"/>
  <c r="B34" i="1"/>
  <c r="A34" i="1"/>
  <c r="C33" i="1"/>
  <c r="B33" i="1"/>
  <c r="A33" i="1"/>
  <c r="C32" i="1"/>
  <c r="B32" i="1"/>
  <c r="A32" i="1"/>
  <c r="C31" i="1"/>
  <c r="B31" i="1"/>
  <c r="A31" i="1"/>
  <c r="C30" i="1"/>
  <c r="B30" i="1"/>
  <c r="A30" i="1"/>
  <c r="C29" i="1"/>
  <c r="B29" i="1"/>
  <c r="A29" i="1"/>
  <c r="C28" i="1"/>
  <c r="B28" i="1"/>
  <c r="A28" i="1"/>
  <c r="C27" i="1"/>
  <c r="B27" i="1"/>
  <c r="A27" i="1"/>
  <c r="C26" i="1"/>
  <c r="B26" i="1"/>
  <c r="A26" i="1"/>
  <c r="C25" i="1"/>
  <c r="B25" i="1"/>
  <c r="A25" i="1"/>
  <c r="C24" i="1"/>
  <c r="B24" i="1"/>
  <c r="A24" i="1"/>
  <c r="C23" i="1"/>
  <c r="B23" i="1"/>
  <c r="A23" i="1"/>
  <c r="C16" i="1"/>
  <c r="B16" i="1"/>
  <c r="A16" i="1"/>
  <c r="C15" i="1"/>
  <c r="B15" i="1"/>
  <c r="A15" i="1"/>
  <c r="C14" i="1"/>
  <c r="B14" i="1"/>
  <c r="A14" i="1"/>
  <c r="C13" i="1"/>
  <c r="B13" i="1"/>
  <c r="A13" i="1"/>
  <c r="C12" i="1"/>
  <c r="B12" i="1"/>
  <c r="A12" i="1"/>
  <c r="C11" i="1"/>
  <c r="B11" i="1"/>
  <c r="A11" i="1"/>
  <c r="C10" i="1"/>
  <c r="B10" i="1"/>
  <c r="A10" i="1"/>
  <c r="C9" i="1"/>
  <c r="B9" i="1"/>
  <c r="A9" i="1"/>
  <c r="C8" i="1"/>
  <c r="B8" i="1"/>
  <c r="A8" i="1"/>
  <c r="C7" i="1"/>
  <c r="B7" i="1"/>
  <c r="A7" i="1"/>
  <c r="C6" i="1"/>
  <c r="B6" i="1"/>
  <c r="A6" i="1"/>
  <c r="C5" i="1"/>
  <c r="B5" i="1"/>
  <c r="A5" i="1"/>
  <c r="C21" i="26" l="1"/>
  <c r="C16" i="26"/>
  <c r="L380" i="66"/>
  <c r="I14" i="38"/>
  <c r="J13" i="38"/>
  <c r="J13" i="39" s="1"/>
  <c r="I13" i="38"/>
  <c r="J12" i="38"/>
  <c r="J12" i="39" s="1"/>
  <c r="I12" i="38"/>
  <c r="J11" i="38"/>
  <c r="J11" i="39" s="1"/>
  <c r="I11" i="38"/>
  <c r="J10" i="38"/>
  <c r="J10" i="39" s="1"/>
  <c r="I10" i="38"/>
  <c r="J9" i="38"/>
  <c r="J9" i="39" s="1"/>
  <c r="I9" i="38"/>
  <c r="J8" i="38"/>
  <c r="J8" i="39" s="1"/>
  <c r="I8" i="38"/>
  <c r="J7" i="38"/>
  <c r="J7" i="39" s="1"/>
  <c r="I7" i="38"/>
  <c r="J6" i="38"/>
  <c r="J6" i="39" s="1"/>
  <c r="I6" i="38"/>
  <c r="J5" i="38"/>
  <c r="J5" i="39" s="1"/>
  <c r="I5" i="38"/>
  <c r="J4" i="38"/>
  <c r="I4" i="38"/>
  <c r="L108" i="36"/>
  <c r="L74" i="36"/>
  <c r="L40" i="36"/>
  <c r="L6" i="36"/>
  <c r="L402" i="35"/>
  <c r="L366" i="35"/>
  <c r="L330" i="35"/>
  <c r="L294" i="35"/>
  <c r="L258" i="35"/>
  <c r="L222" i="35"/>
  <c r="L186" i="35"/>
  <c r="L150" i="35"/>
  <c r="L114" i="35"/>
  <c r="L78" i="35"/>
  <c r="L42" i="35"/>
  <c r="L6" i="35"/>
  <c r="L402" i="34"/>
  <c r="L366" i="34"/>
  <c r="L330" i="34"/>
  <c r="L294" i="34"/>
  <c r="L258" i="34"/>
  <c r="L222" i="34"/>
  <c r="L186" i="34"/>
  <c r="L150" i="34"/>
  <c r="L114" i="34"/>
  <c r="L78" i="34"/>
  <c r="L42" i="34"/>
  <c r="L6" i="34"/>
  <c r="L468" i="33"/>
  <c r="L426" i="33"/>
  <c r="L384" i="33"/>
  <c r="L342" i="33"/>
  <c r="L300" i="33"/>
  <c r="L258" i="33"/>
  <c r="L216" i="33"/>
  <c r="L174" i="33"/>
  <c r="L132" i="33"/>
  <c r="L90" i="33"/>
  <c r="L48" i="33"/>
  <c r="L6" i="33"/>
  <c r="L490" i="32"/>
  <c r="L446" i="32"/>
  <c r="L402" i="32"/>
  <c r="L358" i="32"/>
  <c r="L314" i="32"/>
  <c r="L270" i="32"/>
  <c r="L226" i="32"/>
  <c r="L182" i="32"/>
  <c r="L138" i="32"/>
  <c r="L94" i="32"/>
  <c r="L50" i="32"/>
  <c r="L6" i="32"/>
  <c r="L156" i="31"/>
  <c r="L106" i="31"/>
  <c r="L56" i="31"/>
  <c r="L6" i="31"/>
  <c r="L600" i="30"/>
  <c r="L546" i="30"/>
  <c r="L492" i="30"/>
  <c r="L438" i="30"/>
  <c r="L384" i="30"/>
  <c r="L330" i="30"/>
  <c r="L276" i="30"/>
  <c r="L222" i="30"/>
  <c r="L168" i="30"/>
  <c r="L114" i="30"/>
  <c r="L60" i="30"/>
  <c r="L6" i="30"/>
  <c r="D41" i="29"/>
  <c r="D40" i="29"/>
  <c r="D39" i="29"/>
  <c r="D38" i="29"/>
  <c r="D37" i="29"/>
  <c r="D36" i="29"/>
  <c r="D35" i="29"/>
  <c r="E34" i="29"/>
  <c r="F34" i="29" s="1"/>
  <c r="G34" i="29" s="1"/>
  <c r="D34" i="29"/>
  <c r="D33" i="29"/>
  <c r="D32" i="29"/>
  <c r="D31" i="29"/>
  <c r="D30" i="29"/>
  <c r="D29" i="29"/>
  <c r="D28" i="29"/>
  <c r="D27" i="29"/>
  <c r="D26" i="29"/>
  <c r="D25" i="29"/>
  <c r="E24" i="29"/>
  <c r="F24" i="29" s="1"/>
  <c r="G24" i="29" s="1"/>
  <c r="D24" i="29"/>
  <c r="D23" i="29"/>
  <c r="D22" i="29"/>
  <c r="D21" i="29"/>
  <c r="D20" i="29"/>
  <c r="D19" i="29"/>
  <c r="E18" i="29"/>
  <c r="F18" i="29" s="1"/>
  <c r="G18" i="29" s="1"/>
  <c r="D18" i="29"/>
  <c r="D17" i="29"/>
  <c r="D16" i="29"/>
  <c r="D15" i="29"/>
  <c r="D14" i="29"/>
  <c r="D13" i="29"/>
  <c r="D12" i="29"/>
  <c r="E11" i="29"/>
  <c r="F11" i="29" s="1"/>
  <c r="G11" i="29" s="1"/>
  <c r="D11" i="29"/>
  <c r="D10" i="29"/>
  <c r="D9" i="29"/>
  <c r="E51" i="27"/>
  <c r="D51" i="27"/>
  <c r="F51" i="27" s="1"/>
  <c r="E50" i="27"/>
  <c r="D50" i="27"/>
  <c r="F50" i="27" s="1"/>
  <c r="E49" i="27"/>
  <c r="D49" i="27"/>
  <c r="F49" i="27" s="1"/>
  <c r="E48" i="27"/>
  <c r="D48" i="27"/>
  <c r="F48" i="27" s="1"/>
  <c r="E47" i="27"/>
  <c r="D47" i="27"/>
  <c r="F47" i="27" s="1"/>
  <c r="E46" i="27"/>
  <c r="D46" i="27"/>
  <c r="F46" i="27" s="1"/>
  <c r="E45" i="27"/>
  <c r="D45" i="27"/>
  <c r="F45" i="27" s="1"/>
  <c r="E44" i="27"/>
  <c r="D44" i="27"/>
  <c r="F44" i="27" s="1"/>
  <c r="E43" i="27"/>
  <c r="D43" i="27"/>
  <c r="F43" i="27" s="1"/>
  <c r="E42" i="27"/>
  <c r="D42" i="27"/>
  <c r="F42" i="27" s="1"/>
  <c r="E41" i="27"/>
  <c r="D41" i="27"/>
  <c r="F41" i="27" s="1"/>
  <c r="E40" i="27"/>
  <c r="D40" i="27"/>
  <c r="F40" i="27" s="1"/>
  <c r="E39" i="27"/>
  <c r="D39" i="27"/>
  <c r="F39" i="27" s="1"/>
  <c r="E38" i="27"/>
  <c r="D38" i="27"/>
  <c r="F38" i="27" s="1"/>
  <c r="E37" i="27"/>
  <c r="D37" i="27"/>
  <c r="F37" i="27" s="1"/>
  <c r="E36" i="27"/>
  <c r="D36" i="27"/>
  <c r="F36" i="27" s="1"/>
  <c r="E35" i="27"/>
  <c r="D35" i="27"/>
  <c r="F35" i="27" s="1"/>
  <c r="E34" i="27"/>
  <c r="D34" i="27"/>
  <c r="F34" i="27" s="1"/>
  <c r="E33" i="27"/>
  <c r="D33" i="27"/>
  <c r="F33" i="27" s="1"/>
  <c r="E32" i="27"/>
  <c r="D32" i="27"/>
  <c r="F32" i="27" s="1"/>
  <c r="E31" i="27"/>
  <c r="D31" i="27"/>
  <c r="F31" i="27" s="1"/>
  <c r="E30" i="27"/>
  <c r="D30" i="27"/>
  <c r="F30" i="27" s="1"/>
  <c r="E29" i="27"/>
  <c r="D29" i="27"/>
  <c r="F29" i="27" s="1"/>
  <c r="E28" i="27"/>
  <c r="D28" i="27"/>
  <c r="F28" i="27" s="1"/>
  <c r="E27" i="27"/>
  <c r="D27" i="27"/>
  <c r="F27" i="27" s="1"/>
  <c r="E26" i="27"/>
  <c r="D26" i="27"/>
  <c r="F26" i="27" s="1"/>
  <c r="E25" i="27"/>
  <c r="D25" i="27"/>
  <c r="F25" i="27" s="1"/>
  <c r="E24" i="27"/>
  <c r="D24" i="27"/>
  <c r="F24" i="27" s="1"/>
  <c r="E23" i="27"/>
  <c r="D23" i="27"/>
  <c r="F23" i="27" s="1"/>
  <c r="E22" i="27"/>
  <c r="D22" i="27"/>
  <c r="F22" i="27" s="1"/>
  <c r="E21" i="27"/>
  <c r="D21" i="27"/>
  <c r="F21" i="27" s="1"/>
  <c r="E20" i="27"/>
  <c r="D20" i="27"/>
  <c r="F20" i="27" s="1"/>
  <c r="E19" i="27"/>
  <c r="D19" i="27"/>
  <c r="F19" i="27" s="1"/>
  <c r="E18" i="27"/>
  <c r="D18" i="27"/>
  <c r="F18" i="27" s="1"/>
  <c r="E17" i="27"/>
  <c r="D17" i="27"/>
  <c r="F17" i="27" s="1"/>
  <c r="E16" i="27"/>
  <c r="D16" i="27"/>
  <c r="F16" i="27" s="1"/>
  <c r="E15" i="27"/>
  <c r="D15" i="27"/>
  <c r="F15" i="27" s="1"/>
  <c r="E14" i="27"/>
  <c r="D14" i="27"/>
  <c r="F14" i="27" s="1"/>
  <c r="E13" i="27"/>
  <c r="B8" i="27" s="1"/>
  <c r="D13" i="27"/>
  <c r="F42" i="26"/>
  <c r="G42" i="26" s="1"/>
  <c r="E42" i="26"/>
  <c r="F41" i="26"/>
  <c r="G41" i="26" s="1"/>
  <c r="E41" i="26"/>
  <c r="F40" i="26"/>
  <c r="G40" i="26" s="1"/>
  <c r="E40" i="26"/>
  <c r="F39" i="26"/>
  <c r="G39" i="26" s="1"/>
  <c r="E39" i="26"/>
  <c r="F38" i="26"/>
  <c r="G38" i="26" s="1"/>
  <c r="E38" i="26"/>
  <c r="F37" i="26"/>
  <c r="G37" i="26" s="1"/>
  <c r="E37" i="26"/>
  <c r="F36" i="26"/>
  <c r="G36" i="26" s="1"/>
  <c r="E36" i="26"/>
  <c r="F35" i="26"/>
  <c r="G35" i="26" s="1"/>
  <c r="E35" i="26"/>
  <c r="F34" i="26"/>
  <c r="G34" i="26" s="1"/>
  <c r="E34" i="26"/>
  <c r="F33" i="26"/>
  <c r="G33" i="26" s="1"/>
  <c r="E33" i="26"/>
  <c r="F32" i="26"/>
  <c r="G32" i="26" s="1"/>
  <c r="E32" i="26"/>
  <c r="F31" i="26"/>
  <c r="G31" i="26" s="1"/>
  <c r="E31" i="26"/>
  <c r="F30" i="26"/>
  <c r="G30" i="26" s="1"/>
  <c r="E30" i="26"/>
  <c r="F29" i="26"/>
  <c r="G29" i="26" s="1"/>
  <c r="E29" i="26"/>
  <c r="F28" i="26"/>
  <c r="G28" i="26" s="1"/>
  <c r="E28" i="26"/>
  <c r="F27" i="26"/>
  <c r="G27" i="26" s="1"/>
  <c r="E27" i="26"/>
  <c r="F26" i="26"/>
  <c r="G26" i="26" s="1"/>
  <c r="E26" i="26"/>
  <c r="F25" i="26"/>
  <c r="G25" i="26" s="1"/>
  <c r="E25" i="26"/>
  <c r="F24" i="26"/>
  <c r="G24" i="26" s="1"/>
  <c r="E24" i="26"/>
  <c r="F23" i="26"/>
  <c r="G23" i="26" s="1"/>
  <c r="E23" i="26"/>
  <c r="F22" i="26"/>
  <c r="G22" i="26" s="1"/>
  <c r="E22" i="26"/>
  <c r="F20" i="26"/>
  <c r="G20" i="26" s="1"/>
  <c r="E20" i="26"/>
  <c r="F19" i="26"/>
  <c r="G19" i="26" s="1"/>
  <c r="E19" i="26"/>
  <c r="F18" i="26"/>
  <c r="G18" i="26" s="1"/>
  <c r="E18" i="26"/>
  <c r="F17" i="26"/>
  <c r="G17" i="26" s="1"/>
  <c r="E17" i="26"/>
  <c r="F15" i="26"/>
  <c r="G15" i="26" s="1"/>
  <c r="E15" i="26"/>
  <c r="F14" i="26"/>
  <c r="G14" i="26" s="1"/>
  <c r="E14" i="26"/>
  <c r="F13" i="26"/>
  <c r="E13" i="26"/>
  <c r="G1308" i="10"/>
  <c r="E1307" i="10"/>
  <c r="F1307" i="10" s="1"/>
  <c r="G1306" i="10"/>
  <c r="H1296" i="10"/>
  <c r="E1296" i="10"/>
  <c r="F1296" i="10" s="1"/>
  <c r="G1294" i="10"/>
  <c r="G1293" i="10"/>
  <c r="E1292" i="10"/>
  <c r="F1292" i="10" s="1"/>
  <c r="G1291" i="10"/>
  <c r="E1291" i="10"/>
  <c r="F1291" i="10" s="1"/>
  <c r="H1283" i="10"/>
  <c r="G1279" i="10"/>
  <c r="H1278" i="10"/>
  <c r="E1278" i="10"/>
  <c r="F1278" i="10" s="1"/>
  <c r="H1275" i="10"/>
  <c r="E1275" i="10"/>
  <c r="F1275" i="10" s="1"/>
  <c r="E1273" i="10"/>
  <c r="F1273" i="10" s="1"/>
  <c r="G1266" i="10"/>
  <c r="H1264" i="10"/>
  <c r="E1262" i="10"/>
  <c r="F1262" i="10" s="1"/>
  <c r="H1261" i="10"/>
  <c r="E1261" i="10"/>
  <c r="F1261" i="10" s="1"/>
  <c r="H1259" i="10"/>
  <c r="E1259" i="10"/>
  <c r="F1259" i="10" s="1"/>
  <c r="G1251" i="10"/>
  <c r="H1247" i="10"/>
  <c r="G1246" i="10"/>
  <c r="G1240" i="10"/>
  <c r="H1236" i="10"/>
  <c r="G1233" i="10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AK15" i="22"/>
  <c r="AI15" i="22"/>
  <c r="AK14" i="22"/>
  <c r="AI14" i="22"/>
  <c r="AK13" i="22"/>
  <c r="AI13" i="22"/>
  <c r="AK12" i="22"/>
  <c r="AI12" i="22"/>
  <c r="AK11" i="22"/>
  <c r="AI11" i="22"/>
  <c r="AK10" i="22"/>
  <c r="AI10" i="22"/>
  <c r="AK9" i="22"/>
  <c r="AI9" i="22"/>
  <c r="AK8" i="22"/>
  <c r="AI8" i="22"/>
  <c r="AK7" i="22"/>
  <c r="AI7" i="22"/>
  <c r="AK6" i="22"/>
  <c r="AI6" i="22"/>
  <c r="AK5" i="22"/>
  <c r="AI5" i="22"/>
  <c r="AK4" i="22"/>
  <c r="AI4" i="22"/>
  <c r="X29" i="12"/>
  <c r="Q29" i="12"/>
  <c r="U29" i="12" s="1"/>
  <c r="M29" i="12"/>
  <c r="X28" i="12"/>
  <c r="Q28" i="12"/>
  <c r="U28" i="12" s="1"/>
  <c r="M28" i="12"/>
  <c r="X27" i="12"/>
  <c r="Q27" i="12"/>
  <c r="U27" i="12" s="1"/>
  <c r="M27" i="12"/>
  <c r="X26" i="12"/>
  <c r="Q26" i="12"/>
  <c r="U26" i="12" s="1"/>
  <c r="M26" i="12"/>
  <c r="X25" i="12"/>
  <c r="Q25" i="12"/>
  <c r="U25" i="12" s="1"/>
  <c r="M25" i="12"/>
  <c r="X24" i="12"/>
  <c r="Q24" i="12"/>
  <c r="U24" i="12" s="1"/>
  <c r="M24" i="12"/>
  <c r="X23" i="12"/>
  <c r="Q23" i="12"/>
  <c r="U23" i="12" s="1"/>
  <c r="M23" i="12"/>
  <c r="X22" i="12"/>
  <c r="Q22" i="12"/>
  <c r="U22" i="12" s="1"/>
  <c r="M22" i="12"/>
  <c r="X21" i="12"/>
  <c r="Q21" i="12"/>
  <c r="U21" i="12" s="1"/>
  <c r="M21" i="12"/>
  <c r="X20" i="12"/>
  <c r="Q20" i="12"/>
  <c r="U20" i="12" s="1"/>
  <c r="M20" i="12"/>
  <c r="X19" i="12"/>
  <c r="Q19" i="12"/>
  <c r="U19" i="12" s="1"/>
  <c r="M19" i="12"/>
  <c r="X18" i="12"/>
  <c r="Q18" i="12"/>
  <c r="U18" i="12" s="1"/>
  <c r="M18" i="12"/>
  <c r="X17" i="12"/>
  <c r="Q17" i="12"/>
  <c r="U17" i="12" s="1"/>
  <c r="M17" i="12"/>
  <c r="X16" i="12"/>
  <c r="Q16" i="12"/>
  <c r="U16" i="12" s="1"/>
  <c r="M16" i="12"/>
  <c r="X15" i="12"/>
  <c r="U15" i="12"/>
  <c r="E1320" i="10"/>
  <c r="F1320" i="10" s="1"/>
  <c r="E1317" i="10"/>
  <c r="F1317" i="10" s="1"/>
  <c r="G1311" i="10"/>
  <c r="H1306" i="10"/>
  <c r="E1306" i="10"/>
  <c r="F1306" i="10" s="1"/>
  <c r="G1305" i="10"/>
  <c r="E1305" i="10"/>
  <c r="F1305" i="10" s="1"/>
  <c r="E1304" i="10"/>
  <c r="F1304" i="10" s="1"/>
  <c r="G1303" i="10"/>
  <c r="E1303" i="10"/>
  <c r="F1303" i="10" s="1"/>
  <c r="H1302" i="10"/>
  <c r="G1302" i="10"/>
  <c r="E1302" i="10"/>
  <c r="F1302" i="10" s="1"/>
  <c r="G1289" i="10"/>
  <c r="E1284" i="10"/>
  <c r="F1284" i="10" s="1"/>
  <c r="H1271" i="10"/>
  <c r="E1271" i="10"/>
  <c r="F1271" i="10" s="1"/>
  <c r="H1266" i="10"/>
  <c r="H1251" i="10"/>
  <c r="G1250" i="10"/>
  <c r="G1249" i="10"/>
  <c r="H1237" i="10"/>
  <c r="E1237" i="10"/>
  <c r="F1237" i="10" s="1"/>
  <c r="G1236" i="10"/>
  <c r="E1235" i="10"/>
  <c r="F1235" i="10" s="1"/>
  <c r="H1233" i="10"/>
  <c r="E1233" i="10"/>
  <c r="F1233" i="10" s="1"/>
  <c r="X14" i="12"/>
  <c r="Q14" i="12"/>
  <c r="U14" i="12" s="1"/>
  <c r="X13" i="12"/>
  <c r="Q13" i="12"/>
  <c r="U13" i="12" s="1"/>
  <c r="X12" i="12"/>
  <c r="Q12" i="12"/>
  <c r="U12" i="12" s="1"/>
  <c r="X11" i="12"/>
  <c r="Q11" i="12"/>
  <c r="U11" i="12" s="1"/>
  <c r="X10" i="12"/>
  <c r="Q10" i="12"/>
  <c r="U10" i="12" s="1"/>
  <c r="X9" i="12"/>
  <c r="Q9" i="12"/>
  <c r="U9" i="12" s="1"/>
  <c r="X8" i="12"/>
  <c r="Q8" i="12"/>
  <c r="U8" i="12" s="1"/>
  <c r="X7" i="12"/>
  <c r="Q7" i="12"/>
  <c r="U7" i="12" s="1"/>
  <c r="X6" i="12"/>
  <c r="Q6" i="12"/>
  <c r="U6" i="12" s="1"/>
  <c r="X5" i="12"/>
  <c r="Q5" i="12"/>
  <c r="H1317" i="10"/>
  <c r="E1316" i="10"/>
  <c r="F1316" i="10" s="1"/>
  <c r="H1315" i="10"/>
  <c r="E1315" i="10"/>
  <c r="F1315" i="10" s="1"/>
  <c r="H1313" i="10"/>
  <c r="G1296" i="10"/>
  <c r="H1289" i="10"/>
  <c r="E1289" i="10"/>
  <c r="F1289" i="10" s="1"/>
  <c r="H1288" i="10"/>
  <c r="E1288" i="10"/>
  <c r="F1288" i="10" s="1"/>
  <c r="E1287" i="10"/>
  <c r="F1287" i="10" s="1"/>
  <c r="G1286" i="10"/>
  <c r="G1280" i="10"/>
  <c r="E1280" i="10"/>
  <c r="F1280" i="10" s="1"/>
  <c r="E1279" i="10"/>
  <c r="F1279" i="10" s="1"/>
  <c r="G1277" i="10"/>
  <c r="G1275" i="10"/>
  <c r="E1268" i="10"/>
  <c r="F1268" i="10" s="1"/>
  <c r="G1267" i="10"/>
  <c r="E1267" i="10"/>
  <c r="F1267" i="10" s="1"/>
  <c r="H1265" i="10"/>
  <c r="E1264" i="10"/>
  <c r="F1264" i="10" s="1"/>
  <c r="E1258" i="10"/>
  <c r="F1258" i="10" s="1"/>
  <c r="G1257" i="10"/>
  <c r="H1250" i="10"/>
  <c r="E1250" i="10"/>
  <c r="F1250" i="10" s="1"/>
  <c r="H1241" i="10"/>
  <c r="E1241" i="10"/>
  <c r="F1241" i="10" s="1"/>
  <c r="H1240" i="10"/>
  <c r="E1240" i="10"/>
  <c r="F1240" i="10" s="1"/>
  <c r="E1239" i="10"/>
  <c r="F1239" i="10" s="1"/>
  <c r="H1238" i="10"/>
  <c r="G1232" i="10"/>
  <c r="E1232" i="10"/>
  <c r="F1232" i="10" s="1"/>
  <c r="E1231" i="10"/>
  <c r="F1231" i="10" s="1"/>
  <c r="H1230" i="10"/>
  <c r="G1230" i="10"/>
  <c r="E1230" i="10"/>
  <c r="F1230" i="10" s="1"/>
  <c r="E1229" i="10"/>
  <c r="F1229" i="10" s="1"/>
  <c r="E1228" i="10"/>
  <c r="F1228" i="10" s="1"/>
  <c r="H1227" i="10"/>
  <c r="G1227" i="10"/>
  <c r="E1227" i="10"/>
  <c r="F1227" i="10" s="1"/>
  <c r="E1226" i="10"/>
  <c r="F1226" i="10" s="1"/>
  <c r="H1225" i="10"/>
  <c r="G1225" i="10"/>
  <c r="E1225" i="10"/>
  <c r="F1225" i="10" s="1"/>
  <c r="H1224" i="10"/>
  <c r="G1224" i="10"/>
  <c r="E1224" i="10"/>
  <c r="F1224" i="10" s="1"/>
  <c r="H1223" i="10"/>
  <c r="G1223" i="10"/>
  <c r="E1223" i="10"/>
  <c r="F1223" i="10" s="1"/>
  <c r="H1222" i="10"/>
  <c r="G1222" i="10"/>
  <c r="E1222" i="10"/>
  <c r="F1222" i="10" s="1"/>
  <c r="E1221" i="10"/>
  <c r="F1221" i="10" s="1"/>
  <c r="H1220" i="10"/>
  <c r="G1220" i="10"/>
  <c r="E1220" i="10"/>
  <c r="F1220" i="10" s="1"/>
  <c r="H1219" i="10"/>
  <c r="G1219" i="10"/>
  <c r="E1219" i="10"/>
  <c r="F1219" i="10" s="1"/>
  <c r="H1218" i="10"/>
  <c r="G1218" i="10"/>
  <c r="E1218" i="10"/>
  <c r="F1218" i="10" s="1"/>
  <c r="H1217" i="10"/>
  <c r="G1217" i="10"/>
  <c r="E1217" i="10"/>
  <c r="F1217" i="10" s="1"/>
  <c r="E1216" i="10"/>
  <c r="F1216" i="10" s="1"/>
  <c r="H1215" i="10"/>
  <c r="G1215" i="10"/>
  <c r="E1215" i="10"/>
  <c r="F1215" i="10" s="1"/>
  <c r="E1214" i="10"/>
  <c r="F1214" i="10" s="1"/>
  <c r="E1213" i="10"/>
  <c r="F1213" i="10" s="1"/>
  <c r="H1212" i="10"/>
  <c r="G1212" i="10"/>
  <c r="E1212" i="10"/>
  <c r="F1212" i="10" s="1"/>
  <c r="H1211" i="10"/>
  <c r="G1211" i="10"/>
  <c r="E1211" i="10"/>
  <c r="F1211" i="10" s="1"/>
  <c r="E1210" i="10"/>
  <c r="F1210" i="10" s="1"/>
  <c r="H1209" i="10"/>
  <c r="G1209" i="10"/>
  <c r="E1209" i="10"/>
  <c r="F1209" i="10" s="1"/>
  <c r="E1208" i="10"/>
  <c r="F1208" i="10" s="1"/>
  <c r="E1207" i="10"/>
  <c r="F1207" i="10" s="1"/>
  <c r="H1206" i="10"/>
  <c r="G1206" i="10"/>
  <c r="E1206" i="10"/>
  <c r="F1206" i="10" s="1"/>
  <c r="H1205" i="10"/>
  <c r="G1205" i="10"/>
  <c r="E1205" i="10"/>
  <c r="F1205" i="10" s="1"/>
  <c r="H1204" i="10"/>
  <c r="G1204" i="10"/>
  <c r="E1204" i="10"/>
  <c r="F1204" i="10" s="1"/>
  <c r="H1203" i="10"/>
  <c r="G1203" i="10"/>
  <c r="E1203" i="10"/>
  <c r="F1203" i="10" s="1"/>
  <c r="H1202" i="10"/>
  <c r="G1202" i="10"/>
  <c r="E1202" i="10"/>
  <c r="F1202" i="10" s="1"/>
  <c r="H1201" i="10"/>
  <c r="G1201" i="10"/>
  <c r="E1201" i="10"/>
  <c r="F1201" i="10" s="1"/>
  <c r="H1200" i="10"/>
  <c r="G1200" i="10"/>
  <c r="E1200" i="10"/>
  <c r="F1200" i="10" s="1"/>
  <c r="H1199" i="10"/>
  <c r="G1199" i="10"/>
  <c r="E1199" i="10"/>
  <c r="F1199" i="10" s="1"/>
  <c r="H1198" i="10"/>
  <c r="G1198" i="10"/>
  <c r="E1198" i="10"/>
  <c r="F1198" i="10" s="1"/>
  <c r="H1197" i="10"/>
  <c r="G1197" i="10"/>
  <c r="E1197" i="10"/>
  <c r="F1197" i="10" s="1"/>
  <c r="H1196" i="10"/>
  <c r="G1196" i="10"/>
  <c r="E1196" i="10"/>
  <c r="F1196" i="10" s="1"/>
  <c r="H1195" i="10"/>
  <c r="G1195" i="10"/>
  <c r="E1195" i="10"/>
  <c r="F1195" i="10" s="1"/>
  <c r="H1194" i="10"/>
  <c r="G1194" i="10"/>
  <c r="E1194" i="10"/>
  <c r="F1194" i="10" s="1"/>
  <c r="H1193" i="10"/>
  <c r="G1193" i="10"/>
  <c r="E1193" i="10"/>
  <c r="F1193" i="10" s="1"/>
  <c r="H1192" i="10"/>
  <c r="G1192" i="10"/>
  <c r="E1192" i="10"/>
  <c r="F1192" i="10" s="1"/>
  <c r="H1191" i="10"/>
  <c r="G1191" i="10"/>
  <c r="E1191" i="10"/>
  <c r="F1191" i="10" s="1"/>
  <c r="H1190" i="10"/>
  <c r="G1190" i="10"/>
  <c r="E1190" i="10"/>
  <c r="F1190" i="10" s="1"/>
  <c r="H1189" i="10"/>
  <c r="G1189" i="10"/>
  <c r="E1189" i="10"/>
  <c r="F1189" i="10" s="1"/>
  <c r="H1188" i="10"/>
  <c r="G1188" i="10"/>
  <c r="E1188" i="10"/>
  <c r="F1188" i="10" s="1"/>
  <c r="H1187" i="10"/>
  <c r="G1187" i="10"/>
  <c r="E1187" i="10"/>
  <c r="F1187" i="10" s="1"/>
  <c r="H1186" i="10"/>
  <c r="G1186" i="10"/>
  <c r="E1186" i="10"/>
  <c r="F1186" i="10" s="1"/>
  <c r="H1185" i="10"/>
  <c r="G1185" i="10"/>
  <c r="E1185" i="10"/>
  <c r="F1185" i="10" s="1"/>
  <c r="H1184" i="10"/>
  <c r="G1184" i="10"/>
  <c r="E1184" i="10"/>
  <c r="F1184" i="10" s="1"/>
  <c r="H1183" i="10"/>
  <c r="G1183" i="10"/>
  <c r="E1183" i="10"/>
  <c r="F1183" i="10" s="1"/>
  <c r="E1182" i="10"/>
  <c r="F1182" i="10" s="1"/>
  <c r="H1181" i="10"/>
  <c r="G1181" i="10"/>
  <c r="E1181" i="10"/>
  <c r="F1181" i="10" s="1"/>
  <c r="H1180" i="10"/>
  <c r="G1180" i="10"/>
  <c r="E1180" i="10"/>
  <c r="F1180" i="10" s="1"/>
  <c r="H1179" i="10"/>
  <c r="G1179" i="10"/>
  <c r="E1179" i="10"/>
  <c r="F1179" i="10" s="1"/>
  <c r="H1178" i="10"/>
  <c r="G1178" i="10"/>
  <c r="E1178" i="10"/>
  <c r="F1178" i="10" s="1"/>
  <c r="H1177" i="10"/>
  <c r="G1177" i="10"/>
  <c r="E1177" i="10"/>
  <c r="F1177" i="10" s="1"/>
  <c r="H1176" i="10"/>
  <c r="G1176" i="10"/>
  <c r="E1176" i="10"/>
  <c r="F1176" i="10" s="1"/>
  <c r="H1175" i="10"/>
  <c r="G1175" i="10"/>
  <c r="E1175" i="10"/>
  <c r="F1175" i="10" s="1"/>
  <c r="H1174" i="10"/>
  <c r="G1174" i="10"/>
  <c r="E1174" i="10"/>
  <c r="F1174" i="10" s="1"/>
  <c r="H1173" i="10"/>
  <c r="G1173" i="10"/>
  <c r="E1173" i="10"/>
  <c r="F1173" i="10" s="1"/>
  <c r="H1172" i="10"/>
  <c r="G1172" i="10"/>
  <c r="E1172" i="10"/>
  <c r="F1172" i="10" s="1"/>
  <c r="H1171" i="10"/>
  <c r="G1171" i="10"/>
  <c r="E1171" i="10"/>
  <c r="F1171" i="10" s="1"/>
  <c r="H1170" i="10"/>
  <c r="G1170" i="10"/>
  <c r="E1170" i="10"/>
  <c r="F1170" i="10" s="1"/>
  <c r="H1169" i="10"/>
  <c r="G1169" i="10"/>
  <c r="E1169" i="10"/>
  <c r="F1169" i="10" s="1"/>
  <c r="H1168" i="10"/>
  <c r="G1168" i="10"/>
  <c r="E1168" i="10"/>
  <c r="F1168" i="10" s="1"/>
  <c r="H1167" i="10"/>
  <c r="G1167" i="10"/>
  <c r="E1167" i="10"/>
  <c r="F1167" i="10" s="1"/>
  <c r="H1166" i="10"/>
  <c r="G1166" i="10"/>
  <c r="E1166" i="10"/>
  <c r="F1166" i="10" s="1"/>
  <c r="H1165" i="10"/>
  <c r="G1165" i="10"/>
  <c r="E1165" i="10"/>
  <c r="F1165" i="10" s="1"/>
  <c r="H1164" i="10"/>
  <c r="G1164" i="10"/>
  <c r="E1164" i="10"/>
  <c r="F1164" i="10" s="1"/>
  <c r="H1163" i="10"/>
  <c r="G1163" i="10"/>
  <c r="E1163" i="10"/>
  <c r="F1163" i="10" s="1"/>
  <c r="E1162" i="10"/>
  <c r="F1162" i="10" s="1"/>
  <c r="H1161" i="10"/>
  <c r="G1161" i="10"/>
  <c r="E1161" i="10"/>
  <c r="F1161" i="10" s="1"/>
  <c r="H1160" i="10"/>
  <c r="G1160" i="10"/>
  <c r="E1160" i="10"/>
  <c r="F1160" i="10" s="1"/>
  <c r="E1159" i="10"/>
  <c r="F1159" i="10" s="1"/>
  <c r="H1158" i="10"/>
  <c r="G1158" i="10"/>
  <c r="E1158" i="10"/>
  <c r="F1158" i="10" s="1"/>
  <c r="H1157" i="10"/>
  <c r="G1157" i="10"/>
  <c r="E1157" i="10"/>
  <c r="F1157" i="10" s="1"/>
  <c r="H1156" i="10"/>
  <c r="G1156" i="10"/>
  <c r="E1156" i="10"/>
  <c r="F1156" i="10" s="1"/>
  <c r="H1155" i="10"/>
  <c r="G1155" i="10"/>
  <c r="E1155" i="10"/>
  <c r="F1155" i="10" s="1"/>
  <c r="H1154" i="10"/>
  <c r="G1154" i="10"/>
  <c r="E1154" i="10"/>
  <c r="F1154" i="10" s="1"/>
  <c r="H1153" i="10"/>
  <c r="G1153" i="10"/>
  <c r="E1153" i="10"/>
  <c r="F1153" i="10" s="1"/>
  <c r="H1152" i="10"/>
  <c r="G1152" i="10"/>
  <c r="E1152" i="10"/>
  <c r="F1152" i="10" s="1"/>
  <c r="H1151" i="10"/>
  <c r="G1151" i="10"/>
  <c r="E1151" i="10"/>
  <c r="F1151" i="10" s="1"/>
  <c r="H1150" i="10"/>
  <c r="G1150" i="10"/>
  <c r="E1150" i="10"/>
  <c r="F1150" i="10" s="1"/>
  <c r="H1149" i="10"/>
  <c r="G1149" i="10"/>
  <c r="E1149" i="10"/>
  <c r="F1149" i="10" s="1"/>
  <c r="H1148" i="10"/>
  <c r="G1148" i="10"/>
  <c r="E1148" i="10"/>
  <c r="F1148" i="10" s="1"/>
  <c r="H1147" i="10"/>
  <c r="G1147" i="10"/>
  <c r="E1147" i="10"/>
  <c r="F1147" i="10" s="1"/>
  <c r="H1146" i="10"/>
  <c r="G1146" i="10"/>
  <c r="E1146" i="10"/>
  <c r="F1146" i="10" s="1"/>
  <c r="H1145" i="10"/>
  <c r="G1145" i="10"/>
  <c r="E1145" i="10"/>
  <c r="F1145" i="10" s="1"/>
  <c r="E1144" i="10"/>
  <c r="F1144" i="10" s="1"/>
  <c r="E1143" i="10"/>
  <c r="F1143" i="10" s="1"/>
  <c r="H1142" i="10"/>
  <c r="G1142" i="10"/>
  <c r="E1142" i="10"/>
  <c r="F1142" i="10" s="1"/>
  <c r="H1141" i="10"/>
  <c r="G1141" i="10"/>
  <c r="E1141" i="10"/>
  <c r="F1141" i="10" s="1"/>
  <c r="H1140" i="10"/>
  <c r="G1140" i="10"/>
  <c r="E1140" i="10"/>
  <c r="F1140" i="10" s="1"/>
  <c r="H1139" i="10"/>
  <c r="G1139" i="10"/>
  <c r="E1139" i="10"/>
  <c r="F1139" i="10" s="1"/>
  <c r="E1138" i="10"/>
  <c r="F1138" i="10" s="1"/>
  <c r="H1137" i="10"/>
  <c r="G1137" i="10"/>
  <c r="E1137" i="10"/>
  <c r="F1137" i="10" s="1"/>
  <c r="H1136" i="10"/>
  <c r="G1136" i="10"/>
  <c r="E1136" i="10"/>
  <c r="F1136" i="10" s="1"/>
  <c r="H1135" i="10"/>
  <c r="G1135" i="10"/>
  <c r="E1135" i="10"/>
  <c r="F1135" i="10" s="1"/>
  <c r="E1134" i="10"/>
  <c r="F1134" i="10" s="1"/>
  <c r="H1133" i="10"/>
  <c r="G1133" i="10"/>
  <c r="E1133" i="10"/>
  <c r="F1133" i="10" s="1"/>
  <c r="E1132" i="10"/>
  <c r="F1132" i="10" s="1"/>
  <c r="H1131" i="10"/>
  <c r="G1131" i="10"/>
  <c r="E1131" i="10"/>
  <c r="F1131" i="10" s="1"/>
  <c r="H1130" i="10"/>
  <c r="G1130" i="10"/>
  <c r="E1130" i="10"/>
  <c r="F1130" i="10" s="1"/>
  <c r="E1129" i="10"/>
  <c r="F1129" i="10" s="1"/>
  <c r="H1128" i="10"/>
  <c r="G1128" i="10"/>
  <c r="E1128" i="10"/>
  <c r="F1128" i="10" s="1"/>
  <c r="E1127" i="10"/>
  <c r="F1127" i="10" s="1"/>
  <c r="E1126" i="10"/>
  <c r="F1126" i="10" s="1"/>
  <c r="H1125" i="10"/>
  <c r="G1125" i="10"/>
  <c r="E1125" i="10"/>
  <c r="F1125" i="10" s="1"/>
  <c r="E1124" i="10"/>
  <c r="F1124" i="10" s="1"/>
  <c r="H1123" i="10"/>
  <c r="G1123" i="10"/>
  <c r="E1123" i="10"/>
  <c r="F1123" i="10" s="1"/>
  <c r="H1122" i="10"/>
  <c r="G1122" i="10"/>
  <c r="E1122" i="10"/>
  <c r="F1122" i="10" s="1"/>
  <c r="E1121" i="10"/>
  <c r="F1121" i="10" s="1"/>
  <c r="H1120" i="10"/>
  <c r="G1120" i="10"/>
  <c r="E1120" i="10"/>
  <c r="F1120" i="10" s="1"/>
  <c r="E1119" i="10"/>
  <c r="F1119" i="10" s="1"/>
  <c r="E1118" i="10"/>
  <c r="F1118" i="10" s="1"/>
  <c r="H1117" i="10"/>
  <c r="G1117" i="10"/>
  <c r="E1117" i="10"/>
  <c r="F1117" i="10" s="1"/>
  <c r="H1116" i="10"/>
  <c r="G1116" i="10"/>
  <c r="E1116" i="10"/>
  <c r="F1116" i="10" s="1"/>
  <c r="H1115" i="10"/>
  <c r="G1115" i="10"/>
  <c r="E1115" i="10"/>
  <c r="F1115" i="10" s="1"/>
  <c r="H1114" i="10"/>
  <c r="G1114" i="10"/>
  <c r="E1114" i="10"/>
  <c r="F1114" i="10" s="1"/>
  <c r="H1113" i="10"/>
  <c r="G1113" i="10"/>
  <c r="E1113" i="10"/>
  <c r="F1113" i="10" s="1"/>
  <c r="H1112" i="10"/>
  <c r="G1112" i="10"/>
  <c r="E1112" i="10"/>
  <c r="F1112" i="10" s="1"/>
  <c r="E1111" i="10"/>
  <c r="F1111" i="10" s="1"/>
  <c r="H1110" i="10"/>
  <c r="G1110" i="10"/>
  <c r="E1110" i="10"/>
  <c r="F1110" i="10" s="1"/>
  <c r="H1109" i="10"/>
  <c r="G1109" i="10"/>
  <c r="E1109" i="10"/>
  <c r="F1109" i="10" s="1"/>
  <c r="H1108" i="10"/>
  <c r="G1108" i="10"/>
  <c r="E1108" i="10"/>
  <c r="F1108" i="10" s="1"/>
  <c r="E1107" i="10"/>
  <c r="F1107" i="10" s="1"/>
  <c r="E1106" i="10"/>
  <c r="F1106" i="10" s="1"/>
  <c r="H1105" i="10"/>
  <c r="G1105" i="10"/>
  <c r="E1105" i="10"/>
  <c r="F1105" i="10" s="1"/>
  <c r="H1104" i="10"/>
  <c r="G1104" i="10"/>
  <c r="E1104" i="10"/>
  <c r="F1104" i="10" s="1"/>
  <c r="H1103" i="10"/>
  <c r="G1103" i="10"/>
  <c r="E1103" i="10"/>
  <c r="F1103" i="10" s="1"/>
  <c r="H1102" i="10"/>
  <c r="G1102" i="10"/>
  <c r="E1102" i="10"/>
  <c r="F1102" i="10" s="1"/>
  <c r="H1101" i="10"/>
  <c r="G1101" i="10"/>
  <c r="E1101" i="10"/>
  <c r="F1101" i="10" s="1"/>
  <c r="E1100" i="10"/>
  <c r="F1100" i="10" s="1"/>
  <c r="E1099" i="10"/>
  <c r="F1099" i="10" s="1"/>
  <c r="E1098" i="10"/>
  <c r="F1098" i="10" s="1"/>
  <c r="E1097" i="10"/>
  <c r="F1097" i="10" s="1"/>
  <c r="E1096" i="10"/>
  <c r="F1096" i="10" s="1"/>
  <c r="H1095" i="10"/>
  <c r="G1095" i="10"/>
  <c r="E1095" i="10"/>
  <c r="F1095" i="10" s="1"/>
  <c r="H1094" i="10"/>
  <c r="G1094" i="10"/>
  <c r="E1094" i="10"/>
  <c r="F1094" i="10" s="1"/>
  <c r="H1093" i="10"/>
  <c r="G1093" i="10"/>
  <c r="E1093" i="10"/>
  <c r="F1093" i="10" s="1"/>
  <c r="H1092" i="10"/>
  <c r="G1092" i="10"/>
  <c r="E1092" i="10"/>
  <c r="F1092" i="10" s="1"/>
  <c r="H1091" i="10"/>
  <c r="G1091" i="10"/>
  <c r="E1091" i="10"/>
  <c r="F1091" i="10" s="1"/>
  <c r="H1090" i="10"/>
  <c r="G1090" i="10"/>
  <c r="E1090" i="10"/>
  <c r="F1090" i="10" s="1"/>
  <c r="H1089" i="10"/>
  <c r="G1089" i="10"/>
  <c r="E1089" i="10"/>
  <c r="F1089" i="10" s="1"/>
  <c r="H1088" i="10"/>
  <c r="G1088" i="10"/>
  <c r="E1088" i="10"/>
  <c r="F1088" i="10" s="1"/>
  <c r="H1087" i="10"/>
  <c r="G1087" i="10"/>
  <c r="E1087" i="10"/>
  <c r="F1087" i="10" s="1"/>
  <c r="H1086" i="10"/>
  <c r="G1086" i="10"/>
  <c r="E1086" i="10"/>
  <c r="F1086" i="10" s="1"/>
  <c r="H948" i="10"/>
  <c r="G948" i="10"/>
  <c r="H946" i="10"/>
  <c r="G946" i="10"/>
  <c r="E946" i="10"/>
  <c r="F946" i="10" s="1"/>
  <c r="H945" i="10"/>
  <c r="G945" i="10"/>
  <c r="E945" i="10"/>
  <c r="F945" i="10" s="1"/>
  <c r="G944" i="10"/>
  <c r="E944" i="10"/>
  <c r="F944" i="10" s="1"/>
  <c r="H943" i="10"/>
  <c r="G943" i="10"/>
  <c r="E943" i="10"/>
  <c r="F943" i="10" s="1"/>
  <c r="H941" i="10"/>
  <c r="G941" i="10"/>
  <c r="E941" i="10"/>
  <c r="F941" i="10" s="1"/>
  <c r="E939" i="10"/>
  <c r="F939" i="10" s="1"/>
  <c r="H936" i="10"/>
  <c r="G936" i="10"/>
  <c r="E936" i="10"/>
  <c r="F936" i="10" s="1"/>
  <c r="H934" i="10"/>
  <c r="G934" i="10"/>
  <c r="E934" i="10"/>
  <c r="F934" i="10" s="1"/>
  <c r="H932" i="10"/>
  <c r="G932" i="10"/>
  <c r="E932" i="10"/>
  <c r="F932" i="10" s="1"/>
  <c r="H930" i="10"/>
  <c r="G930" i="10"/>
  <c r="H929" i="10"/>
  <c r="G929" i="10"/>
  <c r="E929" i="10"/>
  <c r="F929" i="10" s="1"/>
  <c r="H927" i="10"/>
  <c r="G927" i="10"/>
  <c r="E927" i="10"/>
  <c r="F927" i="10" s="1"/>
  <c r="E926" i="10"/>
  <c r="F926" i="10" s="1"/>
  <c r="E924" i="10"/>
  <c r="F924" i="10" s="1"/>
  <c r="H922" i="10"/>
  <c r="G922" i="10"/>
  <c r="E922" i="10"/>
  <c r="F922" i="10" s="1"/>
  <c r="H920" i="10"/>
  <c r="G920" i="10"/>
  <c r="E920" i="10"/>
  <c r="F920" i="10" s="1"/>
  <c r="E918" i="10"/>
  <c r="F918" i="10" s="1"/>
  <c r="H916" i="10"/>
  <c r="G916" i="10"/>
  <c r="E916" i="10"/>
  <c r="F916" i="10" s="1"/>
  <c r="H913" i="10"/>
  <c r="G913" i="10"/>
  <c r="E913" i="10"/>
  <c r="F913" i="10" s="1"/>
  <c r="E911" i="10"/>
  <c r="F911" i="10" s="1"/>
  <c r="E909" i="10"/>
  <c r="F909" i="10" s="1"/>
  <c r="H907" i="10"/>
  <c r="G907" i="10"/>
  <c r="E907" i="10"/>
  <c r="F907" i="10" s="1"/>
  <c r="H905" i="10"/>
  <c r="G905" i="10"/>
  <c r="E905" i="10"/>
  <c r="F905" i="10" s="1"/>
  <c r="E904" i="10"/>
  <c r="F904" i="10" s="1"/>
  <c r="G903" i="10"/>
  <c r="F903" i="10"/>
  <c r="E890" i="10"/>
  <c r="E889" i="10"/>
  <c r="F889" i="10" s="1"/>
  <c r="E886" i="10"/>
  <c r="F886" i="10" s="1"/>
  <c r="E884" i="10"/>
  <c r="F884" i="10" s="1"/>
  <c r="E883" i="10"/>
  <c r="F883" i="10" s="1"/>
  <c r="H882" i="10"/>
  <c r="G882" i="10"/>
  <c r="E882" i="10"/>
  <c r="F882" i="10" s="1"/>
  <c r="H881" i="10"/>
  <c r="G881" i="10"/>
  <c r="E881" i="10"/>
  <c r="F881" i="10" s="1"/>
  <c r="H880" i="10"/>
  <c r="H878" i="10"/>
  <c r="G878" i="10"/>
  <c r="E878" i="10"/>
  <c r="F878" i="10" s="1"/>
  <c r="H877" i="10"/>
  <c r="G877" i="10"/>
  <c r="E877" i="10"/>
  <c r="F877" i="10" s="1"/>
  <c r="H874" i="10"/>
  <c r="G874" i="10"/>
  <c r="H872" i="10"/>
  <c r="G872" i="10"/>
  <c r="E872" i="10"/>
  <c r="F872" i="10" s="1"/>
  <c r="H870" i="10"/>
  <c r="G870" i="10"/>
  <c r="E870" i="10"/>
  <c r="F870" i="10" s="1"/>
  <c r="H868" i="10"/>
  <c r="G868" i="10"/>
  <c r="E868" i="10"/>
  <c r="F868" i="10" s="1"/>
  <c r="H866" i="10"/>
  <c r="G866" i="10"/>
  <c r="E866" i="10"/>
  <c r="F866" i="10" s="1"/>
  <c r="H864" i="10"/>
  <c r="G864" i="10"/>
  <c r="E864" i="10"/>
  <c r="F864" i="10" s="1"/>
  <c r="H862" i="10"/>
  <c r="G862" i="10"/>
  <c r="E862" i="10"/>
  <c r="F862" i="10" s="1"/>
  <c r="H860" i="10"/>
  <c r="G860" i="10"/>
  <c r="E860" i="10"/>
  <c r="F860" i="10" s="1"/>
  <c r="H857" i="10"/>
  <c r="H855" i="10"/>
  <c r="G855" i="10"/>
  <c r="E855" i="10"/>
  <c r="F855" i="10" s="1"/>
  <c r="H853" i="10"/>
  <c r="G853" i="10"/>
  <c r="E853" i="10"/>
  <c r="F853" i="10" s="1"/>
  <c r="H851" i="10"/>
  <c r="G851" i="10"/>
  <c r="E851" i="10"/>
  <c r="F851" i="10" s="1"/>
  <c r="H849" i="10"/>
  <c r="G849" i="10"/>
  <c r="E849" i="10"/>
  <c r="F849" i="10" s="1"/>
  <c r="H847" i="10"/>
  <c r="G847" i="10"/>
  <c r="E847" i="10"/>
  <c r="F847" i="10" s="1"/>
  <c r="H846" i="10"/>
  <c r="G846" i="10"/>
  <c r="H845" i="10"/>
  <c r="G845" i="10"/>
  <c r="E845" i="10"/>
  <c r="F845" i="10" s="1"/>
  <c r="H843" i="10"/>
  <c r="G843" i="10"/>
  <c r="E843" i="10"/>
  <c r="F843" i="10" s="1"/>
  <c r="H842" i="10"/>
  <c r="G842" i="10"/>
  <c r="E842" i="10"/>
  <c r="F842" i="10" s="1"/>
  <c r="H840" i="10"/>
  <c r="G840" i="10"/>
  <c r="E840" i="10"/>
  <c r="F840" i="10" s="1"/>
  <c r="H838" i="10"/>
  <c r="G838" i="10"/>
  <c r="E838" i="10"/>
  <c r="F838" i="10" s="1"/>
  <c r="H834" i="10"/>
  <c r="G834" i="10"/>
  <c r="E834" i="10"/>
  <c r="F834" i="10" s="1"/>
  <c r="H833" i="10"/>
  <c r="G833" i="10"/>
  <c r="E833" i="10"/>
  <c r="F833" i="10" s="1"/>
  <c r="E832" i="10"/>
  <c r="F832" i="10" s="1"/>
  <c r="H831" i="10"/>
  <c r="G831" i="10"/>
  <c r="E831" i="10"/>
  <c r="F831" i="10" s="1"/>
  <c r="H829" i="10"/>
  <c r="G829" i="10"/>
  <c r="E829" i="10"/>
  <c r="F829" i="10" s="1"/>
  <c r="H826" i="10"/>
  <c r="G826" i="10"/>
  <c r="G825" i="10"/>
  <c r="E825" i="10"/>
  <c r="F825" i="10" s="1"/>
  <c r="E823" i="10"/>
  <c r="F823" i="10" s="1"/>
  <c r="H820" i="10"/>
  <c r="G820" i="10"/>
  <c r="E820" i="10"/>
  <c r="F820" i="10" s="1"/>
  <c r="H818" i="10"/>
  <c r="G818" i="10"/>
  <c r="E818" i="10"/>
  <c r="F818" i="10" s="1"/>
  <c r="E817" i="10"/>
  <c r="F817" i="10" s="1"/>
  <c r="H814" i="10"/>
  <c r="G814" i="10"/>
  <c r="E814" i="10"/>
  <c r="F814" i="10" s="1"/>
  <c r="E812" i="10"/>
  <c r="F812" i="10" s="1"/>
  <c r="H811" i="10"/>
  <c r="G811" i="10"/>
  <c r="E811" i="10"/>
  <c r="F811" i="10" s="1"/>
  <c r="E810" i="10"/>
  <c r="F810" i="10" s="1"/>
  <c r="H809" i="10"/>
  <c r="G809" i="10"/>
  <c r="E809" i="10"/>
  <c r="F809" i="10" s="1"/>
  <c r="H807" i="10"/>
  <c r="G807" i="10"/>
  <c r="E807" i="10"/>
  <c r="F807" i="10" s="1"/>
  <c r="H804" i="10"/>
  <c r="G804" i="10"/>
  <c r="H802" i="10"/>
  <c r="G802" i="10"/>
  <c r="E802" i="10"/>
  <c r="F802" i="10" s="1"/>
  <c r="H800" i="10"/>
  <c r="G800" i="10"/>
  <c r="E800" i="10"/>
  <c r="F800" i="10" s="1"/>
  <c r="H799" i="10"/>
  <c r="G799" i="10"/>
  <c r="E799" i="10"/>
  <c r="F799" i="10" s="1"/>
  <c r="E798" i="10"/>
  <c r="F798" i="10" s="1"/>
  <c r="H797" i="10"/>
  <c r="G797" i="10"/>
  <c r="E797" i="10"/>
  <c r="F797" i="10" s="1"/>
  <c r="H794" i="10"/>
  <c r="G794" i="10"/>
  <c r="H792" i="10"/>
  <c r="G792" i="10"/>
  <c r="E792" i="10"/>
  <c r="F792" i="10" s="1"/>
  <c r="H598" i="10"/>
  <c r="G598" i="10"/>
  <c r="E598" i="10"/>
  <c r="F598" i="10" s="1"/>
  <c r="H596" i="10"/>
  <c r="G596" i="10"/>
  <c r="E596" i="10"/>
  <c r="F596" i="10" s="1"/>
  <c r="H595" i="10"/>
  <c r="G595" i="10"/>
  <c r="E592" i="10"/>
  <c r="F592" i="10" s="1"/>
  <c r="H591" i="10"/>
  <c r="G591" i="10"/>
  <c r="E591" i="10"/>
  <c r="F591" i="10" s="1"/>
  <c r="H589" i="10"/>
  <c r="G589" i="10"/>
  <c r="E589" i="10"/>
  <c r="F589" i="10" s="1"/>
  <c r="G587" i="10"/>
  <c r="E587" i="10"/>
  <c r="F587" i="10" s="1"/>
  <c r="H586" i="10"/>
  <c r="G586" i="10"/>
  <c r="E586" i="10"/>
  <c r="F586" i="10" s="1"/>
  <c r="H584" i="10"/>
  <c r="G584" i="10"/>
  <c r="H578" i="10"/>
  <c r="G578" i="10"/>
  <c r="E578" i="10"/>
  <c r="F578" i="10" s="1"/>
  <c r="E577" i="10"/>
  <c r="F577" i="10" s="1"/>
  <c r="E576" i="10"/>
  <c r="F576" i="10" s="1"/>
  <c r="E572" i="10"/>
  <c r="F572" i="10" s="1"/>
  <c r="E568" i="10"/>
  <c r="F568" i="10" s="1"/>
  <c r="H567" i="10"/>
  <c r="G567" i="10"/>
  <c r="E567" i="10"/>
  <c r="F567" i="10" s="1"/>
  <c r="E566" i="10"/>
  <c r="F566" i="10" s="1"/>
  <c r="H563" i="10"/>
  <c r="G563" i="10"/>
  <c r="E561" i="10"/>
  <c r="F561" i="10" s="1"/>
  <c r="H560" i="10"/>
  <c r="G560" i="10"/>
  <c r="E560" i="10"/>
  <c r="F560" i="10" s="1"/>
  <c r="E550" i="10"/>
  <c r="F550" i="10" s="1"/>
  <c r="E548" i="10"/>
  <c r="F548" i="10" s="1"/>
  <c r="H545" i="10"/>
  <c r="G545" i="10"/>
  <c r="E545" i="10"/>
  <c r="F545" i="10" s="1"/>
  <c r="H543" i="10"/>
  <c r="G543" i="10"/>
  <c r="E543" i="10"/>
  <c r="F543" i="10" s="1"/>
  <c r="H542" i="10"/>
  <c r="G542" i="10"/>
  <c r="E542" i="10"/>
  <c r="F542" i="10" s="1"/>
  <c r="H540" i="10"/>
  <c r="E540" i="10"/>
  <c r="F540" i="10" s="1"/>
  <c r="H539" i="10"/>
  <c r="G539" i="10"/>
  <c r="E539" i="10"/>
  <c r="F539" i="10" s="1"/>
  <c r="G534" i="10"/>
  <c r="E534" i="10"/>
  <c r="F534" i="10" s="1"/>
  <c r="H532" i="10"/>
  <c r="G532" i="10"/>
  <c r="H531" i="10"/>
  <c r="G531" i="10"/>
  <c r="G528" i="10"/>
  <c r="E528" i="10"/>
  <c r="F528" i="10" s="1"/>
  <c r="H527" i="10"/>
  <c r="G527" i="10"/>
  <c r="E527" i="10"/>
  <c r="F527" i="10" s="1"/>
  <c r="G525" i="10"/>
  <c r="E525" i="10"/>
  <c r="F525" i="10" s="1"/>
  <c r="H524" i="10"/>
  <c r="G524" i="10"/>
  <c r="E524" i="10"/>
  <c r="F524" i="10" s="1"/>
  <c r="H519" i="10"/>
  <c r="G519" i="10"/>
  <c r="E519" i="10"/>
  <c r="F519" i="10" s="1"/>
  <c r="H518" i="10"/>
  <c r="G518" i="10"/>
  <c r="E518" i="10"/>
  <c r="F518" i="10" s="1"/>
  <c r="H517" i="10"/>
  <c r="G517" i="10"/>
  <c r="E517" i="10"/>
  <c r="F517" i="10" s="1"/>
  <c r="H508" i="10"/>
  <c r="G508" i="10"/>
  <c r="E508" i="10"/>
  <c r="F508" i="10" s="1"/>
  <c r="H507" i="10"/>
  <c r="G507" i="10"/>
  <c r="E507" i="10"/>
  <c r="F507" i="10" s="1"/>
  <c r="E502" i="10"/>
  <c r="F502" i="10" s="1"/>
  <c r="H501" i="10"/>
  <c r="G501" i="10"/>
  <c r="E501" i="10"/>
  <c r="F501" i="10" s="1"/>
  <c r="H500" i="10"/>
  <c r="G500" i="10"/>
  <c r="E498" i="10"/>
  <c r="F498" i="10" s="1"/>
  <c r="G497" i="10"/>
  <c r="G496" i="10"/>
  <c r="E496" i="10"/>
  <c r="F496" i="10" s="1"/>
  <c r="H495" i="10"/>
  <c r="G495" i="10"/>
  <c r="E495" i="10"/>
  <c r="F495" i="10" s="1"/>
  <c r="E493" i="10"/>
  <c r="F493" i="10" s="1"/>
  <c r="H492" i="10"/>
  <c r="G492" i="10"/>
  <c r="E492" i="10"/>
  <c r="F492" i="10" s="1"/>
  <c r="H491" i="10"/>
  <c r="G491" i="10"/>
  <c r="E491" i="10"/>
  <c r="F491" i="10" s="1"/>
  <c r="H488" i="10"/>
  <c r="G488" i="10"/>
  <c r="E488" i="10"/>
  <c r="F488" i="10" s="1"/>
  <c r="H487" i="10"/>
  <c r="G487" i="10"/>
  <c r="E487" i="10"/>
  <c r="F487" i="10" s="1"/>
  <c r="E485" i="10"/>
  <c r="F485" i="10" s="1"/>
  <c r="E484" i="10"/>
  <c r="F484" i="10" s="1"/>
  <c r="G480" i="10"/>
  <c r="E480" i="10"/>
  <c r="F480" i="10" s="1"/>
  <c r="E479" i="10"/>
  <c r="F479" i="10" s="1"/>
  <c r="G477" i="10"/>
  <c r="E477" i="10"/>
  <c r="F477" i="10" s="1"/>
  <c r="E476" i="10"/>
  <c r="F476" i="10" s="1"/>
  <c r="H475" i="10"/>
  <c r="G475" i="10"/>
  <c r="E475" i="10"/>
  <c r="F475" i="10" s="1"/>
  <c r="H473" i="10"/>
  <c r="G473" i="10"/>
  <c r="E473" i="10"/>
  <c r="F473" i="10" s="1"/>
  <c r="E472" i="10"/>
  <c r="F472" i="10" s="1"/>
  <c r="H470" i="10"/>
  <c r="E462" i="10"/>
  <c r="F462" i="10" s="1"/>
  <c r="H461" i="10"/>
  <c r="G461" i="10"/>
  <c r="H457" i="10"/>
  <c r="G457" i="10"/>
  <c r="H455" i="10"/>
  <c r="G455" i="10"/>
  <c r="E455" i="10"/>
  <c r="F455" i="10" s="1"/>
  <c r="E454" i="10"/>
  <c r="F454" i="10" s="1"/>
  <c r="H453" i="10"/>
  <c r="G453" i="10"/>
  <c r="E453" i="10"/>
  <c r="F453" i="10" s="1"/>
  <c r="E451" i="10"/>
  <c r="F451" i="10" s="1"/>
  <c r="H449" i="10"/>
  <c r="G449" i="10"/>
  <c r="H447" i="10"/>
  <c r="G447" i="10"/>
  <c r="E447" i="10"/>
  <c r="F447" i="10" s="1"/>
  <c r="H446" i="10"/>
  <c r="G446" i="10"/>
  <c r="H445" i="10"/>
  <c r="G445" i="10"/>
  <c r="E445" i="10"/>
  <c r="F445" i="10" s="1"/>
  <c r="H443" i="10"/>
  <c r="G443" i="10"/>
  <c r="E443" i="10"/>
  <c r="F443" i="10" s="1"/>
  <c r="H436" i="10"/>
  <c r="G436" i="10"/>
  <c r="G433" i="10"/>
  <c r="E433" i="10"/>
  <c r="F433" i="10" s="1"/>
  <c r="H432" i="10"/>
  <c r="E432" i="10"/>
  <c r="F432" i="10" s="1"/>
  <c r="H431" i="10"/>
  <c r="G431" i="10"/>
  <c r="E431" i="10"/>
  <c r="F431" i="10" s="1"/>
  <c r="H428" i="10"/>
  <c r="G428" i="10"/>
  <c r="E428" i="10"/>
  <c r="F428" i="10" s="1"/>
  <c r="H426" i="10"/>
  <c r="H423" i="10"/>
  <c r="G423" i="10"/>
  <c r="E423" i="10"/>
  <c r="F423" i="10" s="1"/>
  <c r="H420" i="10"/>
  <c r="G420" i="10"/>
  <c r="E420" i="10"/>
  <c r="F420" i="10" s="1"/>
  <c r="H418" i="10"/>
  <c r="H415" i="10"/>
  <c r="G415" i="10"/>
  <c r="E413" i="10"/>
  <c r="F413" i="10" s="1"/>
  <c r="G412" i="10"/>
  <c r="H410" i="10"/>
  <c r="G410" i="10"/>
  <c r="E410" i="10"/>
  <c r="F410" i="10" s="1"/>
  <c r="H409" i="10"/>
  <c r="G409" i="10"/>
  <c r="E409" i="10"/>
  <c r="F409" i="10" s="1"/>
  <c r="H407" i="10"/>
  <c r="G407" i="10"/>
  <c r="E407" i="10"/>
  <c r="F407" i="10" s="1"/>
  <c r="H404" i="10"/>
  <c r="G404" i="10"/>
  <c r="E404" i="10"/>
  <c r="F404" i="10" s="1"/>
  <c r="H402" i="10"/>
  <c r="G402" i="10"/>
  <c r="E402" i="10"/>
  <c r="F402" i="10" s="1"/>
  <c r="H399" i="10"/>
  <c r="G399" i="10"/>
  <c r="E399" i="10"/>
  <c r="F399" i="10" s="1"/>
  <c r="H396" i="10"/>
  <c r="G396" i="10"/>
  <c r="E396" i="10"/>
  <c r="F396" i="10" s="1"/>
  <c r="H393" i="10"/>
  <c r="H390" i="10"/>
  <c r="G390" i="10"/>
  <c r="E384" i="10"/>
  <c r="F384" i="10" s="1"/>
  <c r="H383" i="10"/>
  <c r="E378" i="10"/>
  <c r="F378" i="10" s="1"/>
  <c r="G368" i="10"/>
  <c r="E368" i="10"/>
  <c r="F368" i="10" s="1"/>
  <c r="G367" i="10"/>
  <c r="E367" i="10"/>
  <c r="F367" i="10" s="1"/>
  <c r="H366" i="10"/>
  <c r="G366" i="10"/>
  <c r="E366" i="10"/>
  <c r="F366" i="10" s="1"/>
  <c r="E364" i="10"/>
  <c r="F364" i="10" s="1"/>
  <c r="H363" i="10"/>
  <c r="G363" i="10"/>
  <c r="H361" i="10"/>
  <c r="G361" i="10"/>
  <c r="E357" i="10"/>
  <c r="F357" i="10" s="1"/>
  <c r="H355" i="10"/>
  <c r="G355" i="10"/>
  <c r="E355" i="10"/>
  <c r="F355" i="10" s="1"/>
  <c r="E353" i="10"/>
  <c r="F353" i="10" s="1"/>
  <c r="E351" i="10"/>
  <c r="F351" i="10" s="1"/>
  <c r="E350" i="10"/>
  <c r="F350" i="10" s="1"/>
  <c r="G349" i="10"/>
  <c r="E348" i="10"/>
  <c r="F348" i="10" s="1"/>
  <c r="H347" i="10"/>
  <c r="G347" i="10"/>
  <c r="E347" i="10"/>
  <c r="F347" i="10" s="1"/>
  <c r="H345" i="10"/>
  <c r="G345" i="10"/>
  <c r="H343" i="10"/>
  <c r="G343" i="10"/>
  <c r="E343" i="10"/>
  <c r="F343" i="10" s="1"/>
  <c r="H342" i="10"/>
  <c r="H340" i="10"/>
  <c r="E336" i="10"/>
  <c r="F336" i="10" s="1"/>
  <c r="H332" i="10"/>
  <c r="G329" i="10"/>
  <c r="E329" i="10"/>
  <c r="F329" i="10" s="1"/>
  <c r="E328" i="10"/>
  <c r="F328" i="10" s="1"/>
  <c r="H327" i="10"/>
  <c r="G327" i="10"/>
  <c r="E327" i="10"/>
  <c r="F327" i="10" s="1"/>
  <c r="E325" i="10"/>
  <c r="F325" i="10" s="1"/>
  <c r="H324" i="10"/>
  <c r="G324" i="10"/>
  <c r="E324" i="10"/>
  <c r="F324" i="10" s="1"/>
  <c r="G322" i="10"/>
  <c r="E322" i="10"/>
  <c r="F322" i="10" s="1"/>
  <c r="H321" i="10"/>
  <c r="G321" i="10"/>
  <c r="E321" i="10"/>
  <c r="F321" i="10" s="1"/>
  <c r="H316" i="10"/>
  <c r="G316" i="10"/>
  <c r="E316" i="10"/>
  <c r="F316" i="10" s="1"/>
  <c r="H315" i="10"/>
  <c r="G315" i="10"/>
  <c r="E315" i="10"/>
  <c r="F315" i="10" s="1"/>
  <c r="H314" i="10"/>
  <c r="G314" i="10"/>
  <c r="E314" i="10"/>
  <c r="F314" i="10" s="1"/>
  <c r="H311" i="10"/>
  <c r="G311" i="10"/>
  <c r="E311" i="10"/>
  <c r="F311" i="10" s="1"/>
  <c r="H308" i="10"/>
  <c r="G308" i="10"/>
  <c r="E308" i="10"/>
  <c r="F308" i="10" s="1"/>
  <c r="E306" i="10"/>
  <c r="F306" i="10" s="1"/>
  <c r="H305" i="10"/>
  <c r="G305" i="10"/>
  <c r="E305" i="10"/>
  <c r="F305" i="10" s="1"/>
  <c r="H303" i="10"/>
  <c r="G303" i="10"/>
  <c r="E303" i="10"/>
  <c r="F303" i="10" s="1"/>
  <c r="H302" i="10"/>
  <c r="G302" i="10"/>
  <c r="E302" i="10"/>
  <c r="F302" i="10" s="1"/>
  <c r="G300" i="10"/>
  <c r="E300" i="10"/>
  <c r="F300" i="10" s="1"/>
  <c r="H299" i="10"/>
  <c r="G299" i="10"/>
  <c r="E299" i="10"/>
  <c r="F299" i="10" s="1"/>
  <c r="H297" i="10"/>
  <c r="G297" i="10"/>
  <c r="H292" i="10"/>
  <c r="G292" i="10"/>
  <c r="E292" i="10"/>
  <c r="F292" i="10" s="1"/>
  <c r="E286" i="10"/>
  <c r="F286" i="10" s="1"/>
  <c r="H285" i="10"/>
  <c r="G285" i="10"/>
  <c r="E285" i="10"/>
  <c r="F285" i="10" s="1"/>
  <c r="H282" i="10"/>
  <c r="G282" i="10"/>
  <c r="E282" i="10"/>
  <c r="F282" i="10" s="1"/>
  <c r="E281" i="10"/>
  <c r="F281" i="10" s="1"/>
  <c r="E279" i="10"/>
  <c r="F279" i="10" s="1"/>
  <c r="E276" i="10"/>
  <c r="F276" i="10" s="1"/>
  <c r="H274" i="10"/>
  <c r="G274" i="10"/>
  <c r="E274" i="10"/>
  <c r="F274" i="10" s="1"/>
  <c r="H272" i="10"/>
  <c r="G272" i="10"/>
  <c r="E272" i="10"/>
  <c r="F272" i="10" s="1"/>
  <c r="E270" i="10"/>
  <c r="F270" i="10" s="1"/>
  <c r="H267" i="10"/>
  <c r="G267" i="10"/>
  <c r="E267" i="10"/>
  <c r="F267" i="10" s="1"/>
  <c r="H265" i="10"/>
  <c r="G265" i="10"/>
  <c r="E265" i="10"/>
  <c r="F265" i="10" s="1"/>
  <c r="E247" i="10"/>
  <c r="F247" i="10" s="1"/>
  <c r="E246" i="10"/>
  <c r="F246" i="10" s="1"/>
  <c r="H244" i="10"/>
  <c r="E240" i="10"/>
  <c r="F240" i="10" s="1"/>
  <c r="E239" i="10"/>
  <c r="F239" i="10" s="1"/>
  <c r="H238" i="10"/>
  <c r="H236" i="10"/>
  <c r="H235" i="10"/>
  <c r="E233" i="10"/>
  <c r="F233" i="10" s="1"/>
  <c r="E232" i="10"/>
  <c r="F232" i="10" s="1"/>
  <c r="H231" i="10"/>
  <c r="H229" i="10"/>
  <c r="G229" i="10"/>
  <c r="E227" i="10"/>
  <c r="F227" i="10" s="1"/>
  <c r="H226" i="10"/>
  <c r="E224" i="10"/>
  <c r="F224" i="10" s="1"/>
  <c r="G223" i="10"/>
  <c r="E223" i="10"/>
  <c r="F223" i="10" s="1"/>
  <c r="H222" i="10"/>
  <c r="G222" i="10"/>
  <c r="E222" i="10"/>
  <c r="F222" i="10" s="1"/>
  <c r="H219" i="10"/>
  <c r="G219" i="10"/>
  <c r="E219" i="10"/>
  <c r="F219" i="10" s="1"/>
  <c r="G214" i="10"/>
  <c r="E214" i="10"/>
  <c r="F214" i="10" s="1"/>
  <c r="H213" i="10"/>
  <c r="G213" i="10"/>
  <c r="G208" i="10"/>
  <c r="H204" i="10"/>
  <c r="G204" i="10"/>
  <c r="E204" i="10"/>
  <c r="F204" i="10" s="1"/>
  <c r="E201" i="10"/>
  <c r="F201" i="10" s="1"/>
  <c r="H200" i="10"/>
  <c r="G200" i="10"/>
  <c r="E200" i="10"/>
  <c r="F200" i="10" s="1"/>
  <c r="E198" i="10"/>
  <c r="F198" i="10" s="1"/>
  <c r="H195" i="10"/>
  <c r="E191" i="10"/>
  <c r="F191" i="10" s="1"/>
  <c r="G190" i="10"/>
  <c r="H187" i="10"/>
  <c r="G187" i="10"/>
  <c r="H184" i="10"/>
  <c r="G184" i="10"/>
  <c r="E184" i="10"/>
  <c r="F184" i="10" s="1"/>
  <c r="H181" i="10"/>
  <c r="G181" i="10"/>
  <c r="E181" i="10"/>
  <c r="F181" i="10" s="1"/>
  <c r="G177" i="10"/>
  <c r="E177" i="10"/>
  <c r="F177" i="10" s="1"/>
  <c r="H176" i="10"/>
  <c r="G176" i="10"/>
  <c r="E176" i="10"/>
  <c r="F176" i="10" s="1"/>
  <c r="H171" i="10"/>
  <c r="G171" i="10"/>
  <c r="E171" i="10"/>
  <c r="F171" i="10" s="1"/>
  <c r="H170" i="10"/>
  <c r="G170" i="10"/>
  <c r="E170" i="10"/>
  <c r="F170" i="10" s="1"/>
  <c r="G166" i="10"/>
  <c r="E166" i="10"/>
  <c r="F166" i="10" s="1"/>
  <c r="H165" i="10"/>
  <c r="G165" i="10"/>
  <c r="E165" i="10"/>
  <c r="F165" i="10" s="1"/>
  <c r="H163" i="10"/>
  <c r="G163" i="10"/>
  <c r="H162" i="10"/>
  <c r="G162" i="10"/>
  <c r="E162" i="10"/>
  <c r="F162" i="10" s="1"/>
  <c r="H160" i="10"/>
  <c r="H159" i="10"/>
  <c r="H154" i="10"/>
  <c r="G154" i="10"/>
  <c r="E152" i="10"/>
  <c r="F152" i="10" s="1"/>
  <c r="H151" i="10"/>
  <c r="G151" i="10"/>
  <c r="G150" i="10"/>
  <c r="H147" i="10"/>
  <c r="G147" i="10"/>
  <c r="E147" i="10"/>
  <c r="F147" i="10" s="1"/>
  <c r="H146" i="10"/>
  <c r="G146" i="10"/>
  <c r="E146" i="10"/>
  <c r="F146" i="10" s="1"/>
  <c r="H145" i="10"/>
  <c r="H139" i="10"/>
  <c r="G139" i="10"/>
  <c r="E139" i="10"/>
  <c r="F139" i="10" s="1"/>
  <c r="H136" i="10"/>
  <c r="G136" i="10"/>
  <c r="E132" i="10"/>
  <c r="F132" i="10" s="1"/>
  <c r="G131" i="10"/>
  <c r="E131" i="10"/>
  <c r="F131" i="10" s="1"/>
  <c r="H130" i="10"/>
  <c r="G130" i="10"/>
  <c r="E130" i="10"/>
  <c r="F130" i="10" s="1"/>
  <c r="H124" i="10"/>
  <c r="G124" i="10"/>
  <c r="E124" i="10"/>
  <c r="F124" i="10" s="1"/>
  <c r="G123" i="10"/>
  <c r="E123" i="10"/>
  <c r="F123" i="10" s="1"/>
  <c r="H122" i="10"/>
  <c r="G122" i="10"/>
  <c r="E122" i="10"/>
  <c r="F122" i="10" s="1"/>
  <c r="H119" i="10"/>
  <c r="G119" i="10"/>
  <c r="E117" i="10"/>
  <c r="F117" i="10" s="1"/>
  <c r="G116" i="10"/>
  <c r="H114" i="10"/>
  <c r="G114" i="10"/>
  <c r="E113" i="10"/>
  <c r="F113" i="10" s="1"/>
  <c r="E111" i="10"/>
  <c r="F111" i="10" s="1"/>
  <c r="H110" i="10"/>
  <c r="G110" i="10"/>
  <c r="E110" i="10"/>
  <c r="F110" i="10" s="1"/>
  <c r="E108" i="10"/>
  <c r="F108" i="10" s="1"/>
  <c r="H107" i="10"/>
  <c r="G107" i="10"/>
  <c r="E107" i="10"/>
  <c r="F107" i="10" s="1"/>
  <c r="H105" i="10"/>
  <c r="G105" i="10"/>
  <c r="E105" i="10"/>
  <c r="F105" i="10" s="1"/>
  <c r="H104" i="10"/>
  <c r="G104" i="10"/>
  <c r="E104" i="10"/>
  <c r="F104" i="10" s="1"/>
  <c r="H100" i="10"/>
  <c r="E100" i="10"/>
  <c r="F100" i="10" s="1"/>
  <c r="H99" i="10"/>
  <c r="G99" i="10"/>
  <c r="E99" i="10"/>
  <c r="F99" i="10" s="1"/>
  <c r="H96" i="10"/>
  <c r="G96" i="10"/>
  <c r="E96" i="10"/>
  <c r="F96" i="10" s="1"/>
  <c r="E94" i="10"/>
  <c r="F94" i="10" s="1"/>
  <c r="G93" i="10"/>
  <c r="E93" i="10"/>
  <c r="F93" i="10" s="1"/>
  <c r="H92" i="10"/>
  <c r="G92" i="10"/>
  <c r="E92" i="10"/>
  <c r="F92" i="10" s="1"/>
  <c r="E90" i="10"/>
  <c r="F90" i="10" s="1"/>
  <c r="H89" i="10"/>
  <c r="G89" i="10"/>
  <c r="E89" i="10"/>
  <c r="F89" i="10" s="1"/>
  <c r="H86" i="10"/>
  <c r="G86" i="10"/>
  <c r="E86" i="10"/>
  <c r="F86" i="10" s="1"/>
  <c r="H83" i="10"/>
  <c r="G83" i="10"/>
  <c r="E83" i="10"/>
  <c r="F83" i="10" s="1"/>
  <c r="H82" i="10"/>
  <c r="G82" i="10"/>
  <c r="E82" i="10"/>
  <c r="F82" i="10" s="1"/>
  <c r="E78" i="10"/>
  <c r="F78" i="10" s="1"/>
  <c r="H77" i="10"/>
  <c r="G77" i="10"/>
  <c r="E77" i="10"/>
  <c r="F77" i="10" s="1"/>
  <c r="H76" i="10"/>
  <c r="G76" i="10"/>
  <c r="E76" i="10"/>
  <c r="F76" i="10" s="1"/>
  <c r="H75" i="10"/>
  <c r="G75" i="10"/>
  <c r="E75" i="10"/>
  <c r="F75" i="10" s="1"/>
  <c r="H73" i="10"/>
  <c r="G73" i="10"/>
  <c r="E73" i="10"/>
  <c r="F73" i="10" s="1"/>
  <c r="H72" i="10"/>
  <c r="G72" i="10"/>
  <c r="E72" i="10"/>
  <c r="F72" i="10" s="1"/>
  <c r="H71" i="10"/>
  <c r="G71" i="10"/>
  <c r="E71" i="10"/>
  <c r="F71" i="10" s="1"/>
  <c r="H69" i="10"/>
  <c r="G69" i="10"/>
  <c r="E69" i="10"/>
  <c r="F69" i="10" s="1"/>
  <c r="G68" i="10"/>
  <c r="E68" i="10"/>
  <c r="F68" i="10" s="1"/>
  <c r="H66" i="10"/>
  <c r="G66" i="10"/>
  <c r="E66" i="10"/>
  <c r="F66" i="10" s="1"/>
  <c r="E64" i="10"/>
  <c r="F64" i="10" s="1"/>
  <c r="H57" i="10"/>
  <c r="G57" i="10"/>
  <c r="E57" i="10"/>
  <c r="F57" i="10" s="1"/>
  <c r="F56" i="10"/>
  <c r="K21" i="53"/>
  <c r="B10" i="53"/>
  <c r="K17" i="38" s="1"/>
  <c r="K21" i="52"/>
  <c r="B13" i="52"/>
  <c r="B10" i="49"/>
  <c r="K13" i="38" s="1"/>
  <c r="B11" i="44"/>
  <c r="B11" i="43"/>
  <c r="J17" i="39"/>
  <c r="J16" i="39"/>
  <c r="I15" i="39"/>
  <c r="G1315" i="10"/>
  <c r="E1310" i="10"/>
  <c r="F1310" i="10" s="1"/>
  <c r="H1309" i="10"/>
  <c r="G1304" i="10"/>
  <c r="H1299" i="10"/>
  <c r="H1297" i="10"/>
  <c r="G1297" i="10"/>
  <c r="E1297" i="10"/>
  <c r="F1297" i="10" s="1"/>
  <c r="E1293" i="10"/>
  <c r="F1293" i="10" s="1"/>
  <c r="H1292" i="10"/>
  <c r="G1287" i="10"/>
  <c r="H1286" i="10"/>
  <c r="E1286" i="10"/>
  <c r="F1286" i="10" s="1"/>
  <c r="H1285" i="10"/>
  <c r="H1281" i="10"/>
  <c r="E1277" i="10"/>
  <c r="F1277" i="10" s="1"/>
  <c r="G1276" i="10"/>
  <c r="E1270" i="10"/>
  <c r="F1270" i="10" s="1"/>
  <c r="E1265" i="10"/>
  <c r="F1265" i="10" s="1"/>
  <c r="G1264" i="10"/>
  <c r="H1263" i="10"/>
  <c r="E1263" i="10"/>
  <c r="F1263" i="10" s="1"/>
  <c r="G1262" i="10"/>
  <c r="F1257" i="10"/>
  <c r="H1252" i="10"/>
  <c r="E1248" i="10"/>
  <c r="F1248" i="10" s="1"/>
  <c r="G1245" i="10"/>
  <c r="E1234" i="10"/>
  <c r="F1234" i="10" s="1"/>
  <c r="G1085" i="10"/>
  <c r="E1085" i="10"/>
  <c r="F1085" i="10" s="1"/>
  <c r="H1084" i="10"/>
  <c r="G1084" i="10"/>
  <c r="E1084" i="10"/>
  <c r="F1084" i="10" s="1"/>
  <c r="H1083" i="10"/>
  <c r="G1083" i="10"/>
  <c r="E1083" i="10"/>
  <c r="F1083" i="10" s="1"/>
  <c r="H1082" i="10"/>
  <c r="G1082" i="10"/>
  <c r="E1082" i="10"/>
  <c r="F1082" i="10" s="1"/>
  <c r="H1081" i="10"/>
  <c r="G1081" i="10"/>
  <c r="E1081" i="10"/>
  <c r="F1081" i="10" s="1"/>
  <c r="H1080" i="10"/>
  <c r="G1080" i="10"/>
  <c r="E1080" i="10"/>
  <c r="F1080" i="10" s="1"/>
  <c r="H1079" i="10"/>
  <c r="G1079" i="10"/>
  <c r="E1079" i="10"/>
  <c r="F1079" i="10" s="1"/>
  <c r="H1078" i="10"/>
  <c r="G1078" i="10"/>
  <c r="E1078" i="10"/>
  <c r="F1078" i="10" s="1"/>
  <c r="H1077" i="10"/>
  <c r="G1077" i="10"/>
  <c r="E1077" i="10"/>
  <c r="F1077" i="10" s="1"/>
  <c r="H1076" i="10"/>
  <c r="G1076" i="10"/>
  <c r="E1076" i="10"/>
  <c r="F1076" i="10" s="1"/>
  <c r="H1075" i="10"/>
  <c r="G1075" i="10"/>
  <c r="E1075" i="10"/>
  <c r="F1075" i="10" s="1"/>
  <c r="H1074" i="10"/>
  <c r="G1074" i="10"/>
  <c r="E1074" i="10"/>
  <c r="F1074" i="10" s="1"/>
  <c r="H1073" i="10"/>
  <c r="G1073" i="10"/>
  <c r="E1073" i="10"/>
  <c r="F1073" i="10" s="1"/>
  <c r="H1072" i="10"/>
  <c r="G1072" i="10"/>
  <c r="E1072" i="10"/>
  <c r="F1072" i="10" s="1"/>
  <c r="H1071" i="10"/>
  <c r="G1071" i="10"/>
  <c r="E1071" i="10"/>
  <c r="F1071" i="10" s="1"/>
  <c r="H1070" i="10"/>
  <c r="G1070" i="10"/>
  <c r="E1070" i="10"/>
  <c r="F1070" i="10" s="1"/>
  <c r="H1069" i="10"/>
  <c r="G1069" i="10"/>
  <c r="E1069" i="10"/>
  <c r="F1069" i="10" s="1"/>
  <c r="H1068" i="10"/>
  <c r="G1068" i="10"/>
  <c r="E1068" i="10"/>
  <c r="F1068" i="10" s="1"/>
  <c r="H1067" i="10"/>
  <c r="G1067" i="10"/>
  <c r="E1067" i="10"/>
  <c r="F1067" i="10" s="1"/>
  <c r="H1066" i="10"/>
  <c r="G1066" i="10"/>
  <c r="E1066" i="10"/>
  <c r="F1066" i="10" s="1"/>
  <c r="H1065" i="10"/>
  <c r="G1065" i="10"/>
  <c r="E1065" i="10"/>
  <c r="F1065" i="10" s="1"/>
  <c r="E1064" i="10"/>
  <c r="F1064" i="10" s="1"/>
  <c r="H1063" i="10"/>
  <c r="G1063" i="10"/>
  <c r="E1063" i="10"/>
  <c r="F1063" i="10" s="1"/>
  <c r="H1062" i="10"/>
  <c r="G1062" i="10"/>
  <c r="E1062" i="10"/>
  <c r="F1062" i="10" s="1"/>
  <c r="H1061" i="10"/>
  <c r="G1061" i="10"/>
  <c r="E1061" i="10"/>
  <c r="F1061" i="10" s="1"/>
  <c r="H1060" i="10"/>
  <c r="G1060" i="10"/>
  <c r="E1060" i="10"/>
  <c r="F1060" i="10" s="1"/>
  <c r="H1059" i="10"/>
  <c r="G1059" i="10"/>
  <c r="E1059" i="10"/>
  <c r="F1059" i="10" s="1"/>
  <c r="H1058" i="10"/>
  <c r="G1058" i="10"/>
  <c r="E1058" i="10"/>
  <c r="F1058" i="10" s="1"/>
  <c r="H1057" i="10"/>
  <c r="G1057" i="10"/>
  <c r="E1057" i="10"/>
  <c r="F1057" i="10" s="1"/>
  <c r="H1056" i="10"/>
  <c r="G1056" i="10"/>
  <c r="E1056" i="10"/>
  <c r="F1056" i="10" s="1"/>
  <c r="H1055" i="10"/>
  <c r="G1055" i="10"/>
  <c r="E1055" i="10"/>
  <c r="F1055" i="10" s="1"/>
  <c r="H1054" i="10"/>
  <c r="G1054" i="10"/>
  <c r="E1054" i="10"/>
  <c r="F1054" i="10" s="1"/>
  <c r="H1053" i="10"/>
  <c r="G1053" i="10"/>
  <c r="E1053" i="10"/>
  <c r="F1053" i="10" s="1"/>
  <c r="E1052" i="10"/>
  <c r="F1052" i="10" s="1"/>
  <c r="H1051" i="10"/>
  <c r="G1051" i="10"/>
  <c r="E1051" i="10"/>
  <c r="F1051" i="10" s="1"/>
  <c r="E1050" i="10"/>
  <c r="F1050" i="10" s="1"/>
  <c r="E1049" i="10"/>
  <c r="F1049" i="10" s="1"/>
  <c r="H1048" i="10"/>
  <c r="G1048" i="10"/>
  <c r="E1048" i="10"/>
  <c r="F1048" i="10" s="1"/>
  <c r="H1047" i="10"/>
  <c r="G1047" i="10"/>
  <c r="E1047" i="10"/>
  <c r="F1047" i="10" s="1"/>
  <c r="H1046" i="10"/>
  <c r="G1046" i="10"/>
  <c r="E1046" i="10"/>
  <c r="F1046" i="10" s="1"/>
  <c r="H1045" i="10"/>
  <c r="G1045" i="10"/>
  <c r="E1045" i="10"/>
  <c r="F1045" i="10" s="1"/>
  <c r="H1044" i="10"/>
  <c r="G1044" i="10"/>
  <c r="E1044" i="10"/>
  <c r="F1044" i="10" s="1"/>
  <c r="H1043" i="10"/>
  <c r="G1043" i="10"/>
  <c r="E1043" i="10"/>
  <c r="F1043" i="10" s="1"/>
  <c r="H1042" i="10"/>
  <c r="G1042" i="10"/>
  <c r="E1042" i="10"/>
  <c r="F1042" i="10" s="1"/>
  <c r="H1041" i="10"/>
  <c r="G1041" i="10"/>
  <c r="E1041" i="10"/>
  <c r="F1041" i="10" s="1"/>
  <c r="H1040" i="10"/>
  <c r="G1040" i="10"/>
  <c r="E1040" i="10"/>
  <c r="F1040" i="10" s="1"/>
  <c r="H1039" i="10"/>
  <c r="G1039" i="10"/>
  <c r="E1039" i="10"/>
  <c r="F1039" i="10" s="1"/>
  <c r="H1038" i="10"/>
  <c r="G1038" i="10"/>
  <c r="E1038" i="10"/>
  <c r="F1038" i="10" s="1"/>
  <c r="H1037" i="10"/>
  <c r="G1037" i="10"/>
  <c r="E1037" i="10"/>
  <c r="F1037" i="10" s="1"/>
  <c r="H1036" i="10"/>
  <c r="G1036" i="10"/>
  <c r="E1036" i="10"/>
  <c r="F1036" i="10" s="1"/>
  <c r="H1035" i="10"/>
  <c r="G1035" i="10"/>
  <c r="E1035" i="10"/>
  <c r="F1035" i="10" s="1"/>
  <c r="E1034" i="10"/>
  <c r="F1034" i="10" s="1"/>
  <c r="E1033" i="10"/>
  <c r="F1033" i="10" s="1"/>
  <c r="H1032" i="10"/>
  <c r="G1032" i="10"/>
  <c r="E1032" i="10"/>
  <c r="F1032" i="10" s="1"/>
  <c r="H1031" i="10"/>
  <c r="G1031" i="10"/>
  <c r="E1031" i="10"/>
  <c r="F1031" i="10" s="1"/>
  <c r="H1030" i="10"/>
  <c r="G1030" i="10"/>
  <c r="E1030" i="10"/>
  <c r="F1030" i="10" s="1"/>
  <c r="H1029" i="10"/>
  <c r="G1029" i="10"/>
  <c r="E1029" i="10"/>
  <c r="F1029" i="10" s="1"/>
  <c r="E1028" i="10"/>
  <c r="F1028" i="10" s="1"/>
  <c r="H1027" i="10"/>
  <c r="G1027" i="10"/>
  <c r="E1027" i="10"/>
  <c r="F1027" i="10" s="1"/>
  <c r="H1026" i="10"/>
  <c r="G1026" i="10"/>
  <c r="E1026" i="10"/>
  <c r="F1026" i="10" s="1"/>
  <c r="H1025" i="10"/>
  <c r="G1025" i="10"/>
  <c r="E1025" i="10"/>
  <c r="F1025" i="10" s="1"/>
  <c r="H1024" i="10"/>
  <c r="G1024" i="10"/>
  <c r="E1024" i="10"/>
  <c r="F1024" i="10" s="1"/>
  <c r="H1023" i="10"/>
  <c r="G1023" i="10"/>
  <c r="E1023" i="10"/>
  <c r="F1023" i="10" s="1"/>
  <c r="E1022" i="10"/>
  <c r="F1022" i="10" s="1"/>
  <c r="H1021" i="10"/>
  <c r="G1021" i="10"/>
  <c r="E1021" i="10"/>
  <c r="F1021" i="10" s="1"/>
  <c r="H1020" i="10"/>
  <c r="G1020" i="10"/>
  <c r="E1020" i="10"/>
  <c r="F1020" i="10" s="1"/>
  <c r="E1019" i="10"/>
  <c r="F1019" i="10" s="1"/>
  <c r="H1018" i="10"/>
  <c r="G1018" i="10"/>
  <c r="E1018" i="10"/>
  <c r="F1018" i="10" s="1"/>
  <c r="H1017" i="10"/>
  <c r="G1017" i="10"/>
  <c r="E1017" i="10"/>
  <c r="F1017" i="10" s="1"/>
  <c r="H1016" i="10"/>
  <c r="G1016" i="10"/>
  <c r="E1016" i="10"/>
  <c r="F1016" i="10" s="1"/>
  <c r="H1015" i="10"/>
  <c r="G1015" i="10"/>
  <c r="E1015" i="10"/>
  <c r="F1015" i="10" s="1"/>
  <c r="E1014" i="10"/>
  <c r="F1014" i="10" s="1"/>
  <c r="H1013" i="10"/>
  <c r="G1013" i="10"/>
  <c r="E1013" i="10"/>
  <c r="F1013" i="10" s="1"/>
  <c r="H1012" i="10"/>
  <c r="G1012" i="10"/>
  <c r="E1012" i="10"/>
  <c r="F1012" i="10" s="1"/>
  <c r="E1011" i="10"/>
  <c r="F1011" i="10" s="1"/>
  <c r="H1010" i="10"/>
  <c r="G1010" i="10"/>
  <c r="E1010" i="10"/>
  <c r="F1010" i="10" s="1"/>
  <c r="E1009" i="10"/>
  <c r="F1009" i="10" s="1"/>
  <c r="E1008" i="10"/>
  <c r="F1008" i="10" s="1"/>
  <c r="H1007" i="10"/>
  <c r="G1007" i="10"/>
  <c r="E1007" i="10"/>
  <c r="F1007" i="10" s="1"/>
  <c r="E1006" i="10"/>
  <c r="F1006" i="10" s="1"/>
  <c r="H1005" i="10"/>
  <c r="G1005" i="10"/>
  <c r="E1005" i="10"/>
  <c r="F1005" i="10" s="1"/>
  <c r="H1004" i="10"/>
  <c r="G1004" i="10"/>
  <c r="E1004" i="10"/>
  <c r="F1004" i="10" s="1"/>
  <c r="H1003" i="10"/>
  <c r="G1003" i="10"/>
  <c r="E1003" i="10"/>
  <c r="F1003" i="10" s="1"/>
  <c r="H1002" i="10"/>
  <c r="G1002" i="10"/>
  <c r="E1002" i="10"/>
  <c r="F1002" i="10" s="1"/>
  <c r="E1001" i="10"/>
  <c r="F1001" i="10" s="1"/>
  <c r="H1000" i="10"/>
  <c r="G1000" i="10"/>
  <c r="E1000" i="10"/>
  <c r="F1000" i="10" s="1"/>
  <c r="H999" i="10"/>
  <c r="G999" i="10"/>
  <c r="E999" i="10"/>
  <c r="F999" i="10" s="1"/>
  <c r="H998" i="10"/>
  <c r="G998" i="10"/>
  <c r="E998" i="10"/>
  <c r="F998" i="10" s="1"/>
  <c r="H997" i="10"/>
  <c r="G997" i="10"/>
  <c r="E997" i="10"/>
  <c r="F997" i="10" s="1"/>
  <c r="E996" i="10"/>
  <c r="F996" i="10" s="1"/>
  <c r="H995" i="10"/>
  <c r="G995" i="10"/>
  <c r="E995" i="10"/>
  <c r="F995" i="10" s="1"/>
  <c r="E994" i="10"/>
  <c r="F994" i="10" s="1"/>
  <c r="H993" i="10"/>
  <c r="G993" i="10"/>
  <c r="E993" i="10"/>
  <c r="F993" i="10" s="1"/>
  <c r="H992" i="10"/>
  <c r="G992" i="10"/>
  <c r="E992" i="10"/>
  <c r="F992" i="10" s="1"/>
  <c r="E991" i="10"/>
  <c r="F991" i="10" s="1"/>
  <c r="E990" i="10"/>
  <c r="F990" i="10" s="1"/>
  <c r="E989" i="10"/>
  <c r="F989" i="10" s="1"/>
  <c r="E988" i="10"/>
  <c r="F988" i="10" s="1"/>
  <c r="E987" i="10"/>
  <c r="F987" i="10" s="1"/>
  <c r="E986" i="10"/>
  <c r="F986" i="10" s="1"/>
  <c r="E985" i="10"/>
  <c r="F985" i="10" s="1"/>
  <c r="E984" i="10"/>
  <c r="F984" i="10" s="1"/>
  <c r="H983" i="10"/>
  <c r="G983" i="10"/>
  <c r="E983" i="10"/>
  <c r="F983" i="10" s="1"/>
  <c r="H982" i="10"/>
  <c r="G982" i="10"/>
  <c r="E982" i="10"/>
  <c r="F982" i="10" s="1"/>
  <c r="H981" i="10"/>
  <c r="G981" i="10"/>
  <c r="E981" i="10"/>
  <c r="F981" i="10" s="1"/>
  <c r="H980" i="10"/>
  <c r="G980" i="10"/>
  <c r="E980" i="10"/>
  <c r="F980" i="10" s="1"/>
  <c r="H979" i="10"/>
  <c r="G979" i="10"/>
  <c r="E979" i="10"/>
  <c r="F979" i="10" s="1"/>
  <c r="H978" i="10"/>
  <c r="G978" i="10"/>
  <c r="E978" i="10"/>
  <c r="F978" i="10" s="1"/>
  <c r="E977" i="10"/>
  <c r="F977" i="10" s="1"/>
  <c r="H976" i="10"/>
  <c r="G976" i="10"/>
  <c r="E976" i="10"/>
  <c r="F976" i="10" s="1"/>
  <c r="H975" i="10"/>
  <c r="G975" i="10"/>
  <c r="E975" i="10"/>
  <c r="F975" i="10" s="1"/>
  <c r="H974" i="10"/>
  <c r="G974" i="10"/>
  <c r="E974" i="10"/>
  <c r="F974" i="10" s="1"/>
  <c r="H973" i="10"/>
  <c r="G973" i="10"/>
  <c r="E973" i="10"/>
  <c r="F973" i="10" s="1"/>
  <c r="H972" i="10"/>
  <c r="G972" i="10"/>
  <c r="E972" i="10"/>
  <c r="F972" i="10" s="1"/>
  <c r="H971" i="10"/>
  <c r="G971" i="10"/>
  <c r="E971" i="10"/>
  <c r="F971" i="10" s="1"/>
  <c r="H970" i="10"/>
  <c r="G970" i="10"/>
  <c r="E970" i="10"/>
  <c r="F970" i="10" s="1"/>
  <c r="H969" i="10"/>
  <c r="G969" i="10"/>
  <c r="E969" i="10"/>
  <c r="F969" i="10" s="1"/>
  <c r="H968" i="10"/>
  <c r="G968" i="10"/>
  <c r="E968" i="10"/>
  <c r="F968" i="10" s="1"/>
  <c r="H967" i="10"/>
  <c r="G967" i="10"/>
  <c r="E967" i="10"/>
  <c r="F967" i="10" s="1"/>
  <c r="H966" i="10"/>
  <c r="G966" i="10"/>
  <c r="E966" i="10"/>
  <c r="F966" i="10" s="1"/>
  <c r="E965" i="10"/>
  <c r="F965" i="10" s="1"/>
  <c r="H964" i="10"/>
  <c r="G964" i="10"/>
  <c r="E964" i="10"/>
  <c r="F964" i="10" s="1"/>
  <c r="H963" i="10"/>
  <c r="G963" i="10"/>
  <c r="E963" i="10"/>
  <c r="F963" i="10" s="1"/>
  <c r="H962" i="10"/>
  <c r="G962" i="10"/>
  <c r="E962" i="10"/>
  <c r="F962" i="10" s="1"/>
  <c r="H961" i="10"/>
  <c r="G961" i="10"/>
  <c r="E961" i="10"/>
  <c r="F961" i="10" s="1"/>
  <c r="H960" i="10"/>
  <c r="G960" i="10"/>
  <c r="E960" i="10"/>
  <c r="F960" i="10" s="1"/>
  <c r="E959" i="10"/>
  <c r="F959" i="10" s="1"/>
  <c r="H958" i="10"/>
  <c r="G958" i="10"/>
  <c r="E958" i="10"/>
  <c r="F958" i="10" s="1"/>
  <c r="H957" i="10"/>
  <c r="G957" i="10"/>
  <c r="E957" i="10"/>
  <c r="F957" i="10" s="1"/>
  <c r="H956" i="10"/>
  <c r="G956" i="10"/>
  <c r="E956" i="10"/>
  <c r="F956" i="10" s="1"/>
  <c r="H955" i="10"/>
  <c r="G955" i="10"/>
  <c r="E955" i="10"/>
  <c r="F955" i="10" s="1"/>
  <c r="E954" i="10"/>
  <c r="F954" i="10" s="1"/>
  <c r="H953" i="10"/>
  <c r="G953" i="10"/>
  <c r="E953" i="10"/>
  <c r="F953" i="10" s="1"/>
  <c r="E952" i="10"/>
  <c r="F952" i="10" s="1"/>
  <c r="H951" i="10"/>
  <c r="G951" i="10"/>
  <c r="E951" i="10"/>
  <c r="F951" i="10" s="1"/>
  <c r="E950" i="10"/>
  <c r="F950" i="10" s="1"/>
  <c r="E949" i="10"/>
  <c r="F949" i="10" s="1"/>
  <c r="E948" i="10"/>
  <c r="F948" i="10" s="1"/>
  <c r="E947" i="10"/>
  <c r="F947" i="10" s="1"/>
  <c r="H944" i="10"/>
  <c r="E942" i="10"/>
  <c r="F942" i="10" s="1"/>
  <c r="H940" i="10"/>
  <c r="G940" i="10"/>
  <c r="E940" i="10"/>
  <c r="F940" i="10" s="1"/>
  <c r="H938" i="10"/>
  <c r="G938" i="10"/>
  <c r="H937" i="10"/>
  <c r="G937" i="10"/>
  <c r="E937" i="10"/>
  <c r="F937" i="10" s="1"/>
  <c r="H935" i="10"/>
  <c r="G935" i="10"/>
  <c r="E935" i="10"/>
  <c r="F935" i="10" s="1"/>
  <c r="H933" i="10"/>
  <c r="G933" i="10"/>
  <c r="E933" i="10"/>
  <c r="F933" i="10" s="1"/>
  <c r="H931" i="10"/>
  <c r="G931" i="10"/>
  <c r="E931" i="10"/>
  <c r="F931" i="10" s="1"/>
  <c r="E930" i="10"/>
  <c r="F930" i="10" s="1"/>
  <c r="H928" i="10"/>
  <c r="G928" i="10"/>
  <c r="E928" i="10"/>
  <c r="F928" i="10" s="1"/>
  <c r="H926" i="10"/>
  <c r="G926" i="10"/>
  <c r="H925" i="10"/>
  <c r="G925" i="10"/>
  <c r="E925" i="10"/>
  <c r="F925" i="10" s="1"/>
  <c r="E923" i="10"/>
  <c r="F923" i="10" s="1"/>
  <c r="H921" i="10"/>
  <c r="G921" i="10"/>
  <c r="E921" i="10"/>
  <c r="F921" i="10" s="1"/>
  <c r="H919" i="10"/>
  <c r="G919" i="10"/>
  <c r="E919" i="10"/>
  <c r="F919" i="10" s="1"/>
  <c r="E917" i="10"/>
  <c r="F917" i="10" s="1"/>
  <c r="E915" i="10"/>
  <c r="F915" i="10" s="1"/>
  <c r="E914" i="10"/>
  <c r="F914" i="10" s="1"/>
  <c r="E912" i="10"/>
  <c r="F912" i="10" s="1"/>
  <c r="H910" i="10"/>
  <c r="G910" i="10"/>
  <c r="E910" i="10"/>
  <c r="F910" i="10" s="1"/>
  <c r="H908" i="10"/>
  <c r="G908" i="10"/>
  <c r="E908" i="10"/>
  <c r="F908" i="10" s="1"/>
  <c r="H906" i="10"/>
  <c r="G906" i="10"/>
  <c r="E906" i="10"/>
  <c r="F906" i="10" s="1"/>
  <c r="H903" i="10"/>
  <c r="E902" i="10"/>
  <c r="F902" i="10" s="1"/>
  <c r="E901" i="10"/>
  <c r="F901" i="10" s="1"/>
  <c r="H900" i="10"/>
  <c r="G900" i="10"/>
  <c r="E900" i="10"/>
  <c r="F900" i="10" s="1"/>
  <c r="E899" i="10"/>
  <c r="F899" i="10" s="1"/>
  <c r="E898" i="10"/>
  <c r="F898" i="10" s="1"/>
  <c r="H897" i="10"/>
  <c r="G897" i="10"/>
  <c r="E897" i="10"/>
  <c r="F897" i="10" s="1"/>
  <c r="E896" i="10"/>
  <c r="F896" i="10" s="1"/>
  <c r="H895" i="10"/>
  <c r="G895" i="10"/>
  <c r="E895" i="10"/>
  <c r="F895" i="10" s="1"/>
  <c r="H894" i="10"/>
  <c r="G894" i="10"/>
  <c r="E894" i="10"/>
  <c r="F894" i="10" s="1"/>
  <c r="E893" i="10"/>
  <c r="F893" i="10" s="1"/>
  <c r="E892" i="10"/>
  <c r="F892" i="10" s="1"/>
  <c r="E891" i="10"/>
  <c r="F891" i="10" s="1"/>
  <c r="H890" i="10"/>
  <c r="E888" i="10"/>
  <c r="F888" i="10" s="1"/>
  <c r="E887" i="10"/>
  <c r="F887" i="10" s="1"/>
  <c r="E885" i="10"/>
  <c r="F885" i="10" s="1"/>
  <c r="G880" i="10"/>
  <c r="E880" i="10"/>
  <c r="F880" i="10" s="1"/>
  <c r="H879" i="10"/>
  <c r="G879" i="10"/>
  <c r="E879" i="10"/>
  <c r="F879" i="10" s="1"/>
  <c r="H876" i="10"/>
  <c r="G876" i="10"/>
  <c r="E876" i="10"/>
  <c r="F876" i="10" s="1"/>
  <c r="H875" i="10"/>
  <c r="G875" i="10"/>
  <c r="E875" i="10"/>
  <c r="F875" i="10" s="1"/>
  <c r="E874" i="10"/>
  <c r="F874" i="10" s="1"/>
  <c r="H873" i="10"/>
  <c r="G873" i="10"/>
  <c r="E873" i="10"/>
  <c r="F873" i="10" s="1"/>
  <c r="H871" i="10"/>
  <c r="G871" i="10"/>
  <c r="E871" i="10"/>
  <c r="F871" i="10" s="1"/>
  <c r="H869" i="10"/>
  <c r="G869" i="10"/>
  <c r="E869" i="10"/>
  <c r="F869" i="10" s="1"/>
  <c r="H867" i="10"/>
  <c r="G867" i="10"/>
  <c r="E867" i="10"/>
  <c r="F867" i="10" s="1"/>
  <c r="H865" i="10"/>
  <c r="G865" i="10"/>
  <c r="E865" i="10"/>
  <c r="F865" i="10" s="1"/>
  <c r="H863" i="10"/>
  <c r="G863" i="10"/>
  <c r="E863" i="10"/>
  <c r="F863" i="10" s="1"/>
  <c r="H861" i="10"/>
  <c r="G861" i="10"/>
  <c r="E861" i="10"/>
  <c r="F861" i="10" s="1"/>
  <c r="H859" i="10"/>
  <c r="G859" i="10"/>
  <c r="E859" i="10"/>
  <c r="F859" i="10" s="1"/>
  <c r="H858" i="10"/>
  <c r="G858" i="10"/>
  <c r="E858" i="10"/>
  <c r="F858" i="10" s="1"/>
  <c r="G857" i="10"/>
  <c r="E857" i="10"/>
  <c r="F857" i="10" s="1"/>
  <c r="H856" i="10"/>
  <c r="G856" i="10"/>
  <c r="E856" i="10"/>
  <c r="F856" i="10" s="1"/>
  <c r="H854" i="10"/>
  <c r="G854" i="10"/>
  <c r="E854" i="10"/>
  <c r="F854" i="10" s="1"/>
  <c r="H852" i="10"/>
  <c r="G852" i="10"/>
  <c r="E852" i="10"/>
  <c r="F852" i="10" s="1"/>
  <c r="H850" i="10"/>
  <c r="G850" i="10"/>
  <c r="E850" i="10"/>
  <c r="F850" i="10" s="1"/>
  <c r="H848" i="10"/>
  <c r="G848" i="10"/>
  <c r="E848" i="10"/>
  <c r="F848" i="10" s="1"/>
  <c r="E846" i="10"/>
  <c r="F846" i="10" s="1"/>
  <c r="E844" i="10"/>
  <c r="F844" i="10" s="1"/>
  <c r="H841" i="10"/>
  <c r="G841" i="10"/>
  <c r="E841" i="10"/>
  <c r="F841" i="10" s="1"/>
  <c r="H839" i="10"/>
  <c r="G839" i="10"/>
  <c r="E839" i="10"/>
  <c r="F839" i="10" s="1"/>
  <c r="H837" i="10"/>
  <c r="G837" i="10"/>
  <c r="E837" i="10"/>
  <c r="F837" i="10" s="1"/>
  <c r="H836" i="10"/>
  <c r="G836" i="10"/>
  <c r="E836" i="10"/>
  <c r="F836" i="10" s="1"/>
  <c r="H835" i="10"/>
  <c r="G835" i="10"/>
  <c r="E835" i="10"/>
  <c r="F835" i="10" s="1"/>
  <c r="H832" i="10"/>
  <c r="G832" i="10"/>
  <c r="H830" i="10"/>
  <c r="G830" i="10"/>
  <c r="E830" i="10"/>
  <c r="F830" i="10" s="1"/>
  <c r="H828" i="10"/>
  <c r="G828" i="10"/>
  <c r="E828" i="10"/>
  <c r="F828" i="10" s="1"/>
  <c r="H827" i="10"/>
  <c r="G827" i="10"/>
  <c r="E827" i="10"/>
  <c r="F827" i="10" s="1"/>
  <c r="E826" i="10"/>
  <c r="F826" i="10" s="1"/>
  <c r="H825" i="10"/>
  <c r="E824" i="10"/>
  <c r="F824" i="10" s="1"/>
  <c r="E822" i="10"/>
  <c r="F822" i="10" s="1"/>
  <c r="H821" i="10"/>
  <c r="G821" i="10"/>
  <c r="E821" i="10"/>
  <c r="F821" i="10" s="1"/>
  <c r="H819" i="10"/>
  <c r="G819" i="10"/>
  <c r="E819" i="10"/>
  <c r="F819" i="10" s="1"/>
  <c r="H816" i="10"/>
  <c r="G816" i="10"/>
  <c r="E816" i="10"/>
  <c r="F816" i="10" s="1"/>
  <c r="H815" i="10"/>
  <c r="G815" i="10"/>
  <c r="E815" i="10"/>
  <c r="F815" i="10" s="1"/>
  <c r="H813" i="10"/>
  <c r="G813" i="10"/>
  <c r="E813" i="10"/>
  <c r="F813" i="10" s="1"/>
  <c r="H808" i="10"/>
  <c r="G808" i="10"/>
  <c r="E808" i="10"/>
  <c r="F808" i="10" s="1"/>
  <c r="H806" i="10"/>
  <c r="G806" i="10"/>
  <c r="E806" i="10"/>
  <c r="F806" i="10" s="1"/>
  <c r="H805" i="10"/>
  <c r="G805" i="10"/>
  <c r="E805" i="10"/>
  <c r="F805" i="10" s="1"/>
  <c r="E804" i="10"/>
  <c r="F804" i="10" s="1"/>
  <c r="H803" i="10"/>
  <c r="G803" i="10"/>
  <c r="E803" i="10"/>
  <c r="F803" i="10" s="1"/>
  <c r="H801" i="10"/>
  <c r="G801" i="10"/>
  <c r="E801" i="10"/>
  <c r="F801" i="10" s="1"/>
  <c r="H798" i="10"/>
  <c r="G798" i="10"/>
  <c r="H796" i="10"/>
  <c r="G796" i="10"/>
  <c r="E796" i="10"/>
  <c r="F796" i="10" s="1"/>
  <c r="H795" i="10"/>
  <c r="G795" i="10"/>
  <c r="E795" i="10"/>
  <c r="F795" i="10" s="1"/>
  <c r="E794" i="10"/>
  <c r="F794" i="10" s="1"/>
  <c r="H793" i="10"/>
  <c r="G793" i="10"/>
  <c r="E793" i="10"/>
  <c r="F793" i="10" s="1"/>
  <c r="H597" i="10"/>
  <c r="G597" i="10"/>
  <c r="E597" i="10"/>
  <c r="F597" i="10" s="1"/>
  <c r="E595" i="10"/>
  <c r="F595" i="10" s="1"/>
  <c r="E594" i="10"/>
  <c r="F594" i="10" s="1"/>
  <c r="H590" i="10"/>
  <c r="G590" i="10"/>
  <c r="E590" i="10"/>
  <c r="F590" i="10" s="1"/>
  <c r="E588" i="10"/>
  <c r="F588" i="10" s="1"/>
  <c r="H587" i="10"/>
  <c r="H580" i="10"/>
  <c r="G580" i="10"/>
  <c r="E580" i="10"/>
  <c r="F580" i="10" s="1"/>
  <c r="E579" i="10"/>
  <c r="F579" i="10" s="1"/>
  <c r="H575" i="10"/>
  <c r="G575" i="10"/>
  <c r="E575" i="10"/>
  <c r="F575" i="10" s="1"/>
  <c r="E574" i="10"/>
  <c r="F574" i="10" s="1"/>
  <c r="E573" i="10"/>
  <c r="F573" i="10" s="1"/>
  <c r="E571" i="10"/>
  <c r="F571" i="10" s="1"/>
  <c r="H570" i="10"/>
  <c r="G570" i="10"/>
  <c r="E570" i="10"/>
  <c r="F570" i="10" s="1"/>
  <c r="H565" i="10"/>
  <c r="G565" i="10"/>
  <c r="E565" i="10"/>
  <c r="F565" i="10" s="1"/>
  <c r="H562" i="10"/>
  <c r="G562" i="10"/>
  <c r="E562" i="10"/>
  <c r="F562" i="10" s="1"/>
  <c r="H559" i="10"/>
  <c r="G559" i="10"/>
  <c r="E559" i="10"/>
  <c r="F559" i="10" s="1"/>
  <c r="H557" i="10"/>
  <c r="G557" i="10"/>
  <c r="E557" i="10"/>
  <c r="F557" i="10" s="1"/>
  <c r="E556" i="10"/>
  <c r="F556" i="10" s="1"/>
  <c r="E555" i="10"/>
  <c r="F555" i="10" s="1"/>
  <c r="H553" i="10"/>
  <c r="G553" i="10"/>
  <c r="H551" i="10"/>
  <c r="G551" i="10"/>
  <c r="E551" i="10"/>
  <c r="F551" i="10" s="1"/>
  <c r="E546" i="10"/>
  <c r="F546" i="10" s="1"/>
  <c r="G544" i="10"/>
  <c r="H541" i="10"/>
  <c r="G541" i="10"/>
  <c r="E541" i="10"/>
  <c r="F541" i="10" s="1"/>
  <c r="H538" i="10"/>
  <c r="G538" i="10"/>
  <c r="E538" i="10"/>
  <c r="F538" i="10" s="1"/>
  <c r="H536" i="10"/>
  <c r="G536" i="10"/>
  <c r="H534" i="10"/>
  <c r="G533" i="10"/>
  <c r="E533" i="10"/>
  <c r="F533" i="10" s="1"/>
  <c r="E532" i="10"/>
  <c r="F532" i="10" s="1"/>
  <c r="E530" i="10"/>
  <c r="F530" i="10" s="1"/>
  <c r="H528" i="10"/>
  <c r="E526" i="10"/>
  <c r="F526" i="10" s="1"/>
  <c r="H525" i="10"/>
  <c r="H522" i="10"/>
  <c r="G522" i="10"/>
  <c r="E522" i="10"/>
  <c r="F522" i="10" s="1"/>
  <c r="H521" i="10"/>
  <c r="G521" i="10"/>
  <c r="E521" i="10"/>
  <c r="F521" i="10" s="1"/>
  <c r="H516" i="10"/>
  <c r="G516" i="10"/>
  <c r="E516" i="10"/>
  <c r="F516" i="10" s="1"/>
  <c r="G514" i="10"/>
  <c r="E514" i="10"/>
  <c r="F514" i="10" s="1"/>
  <c r="H505" i="10"/>
  <c r="G505" i="10"/>
  <c r="E505" i="10"/>
  <c r="F505" i="10" s="1"/>
  <c r="H504" i="10"/>
  <c r="G504" i="10"/>
  <c r="E504" i="10"/>
  <c r="F504" i="10" s="1"/>
  <c r="E500" i="10"/>
  <c r="F500" i="10" s="1"/>
  <c r="E499" i="10"/>
  <c r="F499" i="10" s="1"/>
  <c r="H497" i="10"/>
  <c r="H496" i="10"/>
  <c r="E486" i="10"/>
  <c r="F486" i="10" s="1"/>
  <c r="H485" i="10"/>
  <c r="G485" i="10"/>
  <c r="H482" i="10"/>
  <c r="G482" i="10"/>
  <c r="E482" i="10"/>
  <c r="F482" i="10" s="1"/>
  <c r="H481" i="10"/>
  <c r="G481" i="10"/>
  <c r="E481" i="10"/>
  <c r="F481" i="10" s="1"/>
  <c r="H479" i="10"/>
  <c r="G479" i="10"/>
  <c r="E478" i="10"/>
  <c r="F478" i="10" s="1"/>
  <c r="H476" i="10"/>
  <c r="G476" i="10"/>
  <c r="E474" i="10"/>
  <c r="F474" i="10" s="1"/>
  <c r="E471" i="10"/>
  <c r="F471" i="10" s="1"/>
  <c r="G470" i="10"/>
  <c r="E470" i="10"/>
  <c r="F470" i="10" s="1"/>
  <c r="E469" i="10"/>
  <c r="F469" i="10" s="1"/>
  <c r="H468" i="10"/>
  <c r="G468" i="10"/>
  <c r="E468" i="10"/>
  <c r="F468" i="10" s="1"/>
  <c r="H467" i="10"/>
  <c r="G467" i="10"/>
  <c r="E467" i="10"/>
  <c r="F467" i="10" s="1"/>
  <c r="H466" i="10"/>
  <c r="G466" i="10"/>
  <c r="E466" i="10"/>
  <c r="F466" i="10" s="1"/>
  <c r="H465" i="10"/>
  <c r="G465" i="10"/>
  <c r="E465" i="10"/>
  <c r="F465" i="10" s="1"/>
  <c r="E461" i="10"/>
  <c r="F461" i="10" s="1"/>
  <c r="H460" i="10"/>
  <c r="G460" i="10"/>
  <c r="E460" i="10"/>
  <c r="F460" i="10" s="1"/>
  <c r="E458" i="10"/>
  <c r="F458" i="10" s="1"/>
  <c r="E457" i="10"/>
  <c r="F457" i="10" s="1"/>
  <c r="H456" i="10"/>
  <c r="G456" i="10"/>
  <c r="E456" i="10"/>
  <c r="F456" i="10" s="1"/>
  <c r="H454" i="10"/>
  <c r="G454" i="10"/>
  <c r="H452" i="10"/>
  <c r="G452" i="10"/>
  <c r="E452" i="10"/>
  <c r="F452" i="10" s="1"/>
  <c r="H450" i="10"/>
  <c r="H448" i="10"/>
  <c r="E446" i="10"/>
  <c r="F446" i="10" s="1"/>
  <c r="E444" i="10"/>
  <c r="F444" i="10" s="1"/>
  <c r="H441" i="10"/>
  <c r="G441" i="10"/>
  <c r="H439" i="10"/>
  <c r="G439" i="10"/>
  <c r="E439" i="10"/>
  <c r="F439" i="10" s="1"/>
  <c r="E438" i="10"/>
  <c r="F438" i="10" s="1"/>
  <c r="E436" i="10"/>
  <c r="F436" i="10" s="1"/>
  <c r="H435" i="10"/>
  <c r="G435" i="10"/>
  <c r="E435" i="10"/>
  <c r="F435" i="10" s="1"/>
  <c r="H433" i="10"/>
  <c r="E430" i="10"/>
  <c r="F430" i="10" s="1"/>
  <c r="H427" i="10"/>
  <c r="G427" i="10"/>
  <c r="E427" i="10"/>
  <c r="F427" i="10" s="1"/>
  <c r="G425" i="10"/>
  <c r="E425" i="10"/>
  <c r="F425" i="10" s="1"/>
  <c r="H424" i="10"/>
  <c r="G424" i="10"/>
  <c r="E424" i="10"/>
  <c r="F424" i="10" s="1"/>
  <c r="H421" i="10"/>
  <c r="G421" i="10"/>
  <c r="E421" i="10"/>
  <c r="F421" i="10" s="1"/>
  <c r="G418" i="10"/>
  <c r="E418" i="10"/>
  <c r="F418" i="10" s="1"/>
  <c r="H417" i="10"/>
  <c r="G417" i="10"/>
  <c r="E417" i="10"/>
  <c r="F417" i="10" s="1"/>
  <c r="E415" i="10"/>
  <c r="F415" i="10" s="1"/>
  <c r="H414" i="10"/>
  <c r="G414" i="10"/>
  <c r="E414" i="10"/>
  <c r="F414" i="10" s="1"/>
  <c r="H412" i="10"/>
  <c r="E412" i="10"/>
  <c r="F412" i="10" s="1"/>
  <c r="E411" i="10"/>
  <c r="F411" i="10" s="1"/>
  <c r="G408" i="10"/>
  <c r="H406" i="10"/>
  <c r="G406" i="10"/>
  <c r="E406" i="10"/>
  <c r="F406" i="10" s="1"/>
  <c r="H405" i="10"/>
  <c r="G405" i="10"/>
  <c r="E405" i="10"/>
  <c r="F405" i="10" s="1"/>
  <c r="H401" i="10"/>
  <c r="G401" i="10"/>
  <c r="E401" i="10"/>
  <c r="F401" i="10" s="1"/>
  <c r="H400" i="10"/>
  <c r="G400" i="10"/>
  <c r="E400" i="10"/>
  <c r="F400" i="10" s="1"/>
  <c r="H398" i="10"/>
  <c r="G398" i="10"/>
  <c r="H395" i="10"/>
  <c r="G395" i="10"/>
  <c r="E395" i="10"/>
  <c r="F395" i="10" s="1"/>
  <c r="G393" i="10"/>
  <c r="E393" i="10"/>
  <c r="F393" i="10" s="1"/>
  <c r="H392" i="10"/>
  <c r="G392" i="10"/>
  <c r="E392" i="10"/>
  <c r="F392" i="10" s="1"/>
  <c r="E390" i="10"/>
  <c r="F390" i="10" s="1"/>
  <c r="E389" i="10"/>
  <c r="F389" i="10" s="1"/>
  <c r="H387" i="10"/>
  <c r="G387" i="10"/>
  <c r="E387" i="10"/>
  <c r="F387" i="10" s="1"/>
  <c r="E386" i="10"/>
  <c r="F386" i="10" s="1"/>
  <c r="H385" i="10"/>
  <c r="G385" i="10"/>
  <c r="E385" i="10"/>
  <c r="F385" i="10" s="1"/>
  <c r="E383" i="10"/>
  <c r="F383" i="10" s="1"/>
  <c r="E382" i="10"/>
  <c r="F382" i="10" s="1"/>
  <c r="G380" i="10"/>
  <c r="E380" i="10"/>
  <c r="F380" i="10" s="1"/>
  <c r="H377" i="10"/>
  <c r="G377" i="10"/>
  <c r="E377" i="10"/>
  <c r="F377" i="10" s="1"/>
  <c r="H375" i="10"/>
  <c r="G375" i="10"/>
  <c r="E375" i="10"/>
  <c r="F375" i="10" s="1"/>
  <c r="E374" i="10"/>
  <c r="F374" i="10" s="1"/>
  <c r="H373" i="10"/>
  <c r="G373" i="10"/>
  <c r="E373" i="10"/>
  <c r="F373" i="10" s="1"/>
  <c r="H372" i="10"/>
  <c r="G372" i="10"/>
  <c r="E372" i="10"/>
  <c r="F372" i="10" s="1"/>
  <c r="H371" i="10"/>
  <c r="G371" i="10"/>
  <c r="E371" i="10"/>
  <c r="F371" i="10" s="1"/>
  <c r="H370" i="10"/>
  <c r="G370" i="10"/>
  <c r="E370" i="10"/>
  <c r="F370" i="10" s="1"/>
  <c r="E369" i="10"/>
  <c r="F369" i="10" s="1"/>
  <c r="H367" i="10"/>
  <c r="H365" i="10"/>
  <c r="E363" i="10"/>
  <c r="F363" i="10" s="1"/>
  <c r="H362" i="10"/>
  <c r="E360" i="10"/>
  <c r="F360" i="10" s="1"/>
  <c r="E359" i="10"/>
  <c r="F359" i="10" s="1"/>
  <c r="H358" i="10"/>
  <c r="G358" i="10"/>
  <c r="E358" i="10"/>
  <c r="F358" i="10" s="1"/>
  <c r="E356" i="10"/>
  <c r="F356" i="10" s="1"/>
  <c r="H354" i="10"/>
  <c r="G354" i="10"/>
  <c r="E354" i="10"/>
  <c r="F354" i="10" s="1"/>
  <c r="E352" i="10"/>
  <c r="F352" i="10" s="1"/>
  <c r="E349" i="10"/>
  <c r="F349" i="10" s="1"/>
  <c r="E346" i="10"/>
  <c r="F346" i="10" s="1"/>
  <c r="E345" i="10"/>
  <c r="F345" i="10" s="1"/>
  <c r="E344" i="10"/>
  <c r="F344" i="10" s="1"/>
  <c r="H341" i="10"/>
  <c r="G341" i="10"/>
  <c r="E339" i="10"/>
  <c r="F339" i="10" s="1"/>
  <c r="E338" i="10"/>
  <c r="F338" i="10" s="1"/>
  <c r="E335" i="10"/>
  <c r="F335" i="10" s="1"/>
  <c r="G332" i="10"/>
  <c r="E332" i="10"/>
  <c r="F332" i="10" s="1"/>
  <c r="H331" i="10"/>
  <c r="G331" i="10"/>
  <c r="E331" i="10"/>
  <c r="F331" i="10" s="1"/>
  <c r="H330" i="10"/>
  <c r="G330" i="10"/>
  <c r="E330" i="10"/>
  <c r="F330" i="10" s="1"/>
  <c r="G326" i="10"/>
  <c r="E326" i="10"/>
  <c r="F326" i="10" s="1"/>
  <c r="H325" i="10"/>
  <c r="G325" i="10"/>
  <c r="H320" i="10"/>
  <c r="G320" i="10"/>
  <c r="E320" i="10"/>
  <c r="F320" i="10" s="1"/>
  <c r="H319" i="10"/>
  <c r="G319" i="10"/>
  <c r="E319" i="10"/>
  <c r="F319" i="10" s="1"/>
  <c r="H318" i="10"/>
  <c r="G318" i="10"/>
  <c r="E318" i="10"/>
  <c r="F318" i="10" s="1"/>
  <c r="H313" i="10"/>
  <c r="G313" i="10"/>
  <c r="E313" i="10"/>
  <c r="F313" i="10" s="1"/>
  <c r="H310" i="10"/>
  <c r="G310" i="10"/>
  <c r="E310" i="10"/>
  <c r="F310" i="10" s="1"/>
  <c r="H309" i="10"/>
  <c r="G309" i="10"/>
  <c r="E309" i="10"/>
  <c r="F309" i="10" s="1"/>
  <c r="H306" i="10"/>
  <c r="G306" i="10"/>
  <c r="G301" i="10"/>
  <c r="E301" i="10"/>
  <c r="F301" i="10" s="1"/>
  <c r="H300" i="10"/>
  <c r="H298" i="10"/>
  <c r="G298" i="10"/>
  <c r="E298" i="10"/>
  <c r="F298" i="10" s="1"/>
  <c r="E297" i="10"/>
  <c r="F297" i="10" s="1"/>
  <c r="H296" i="10"/>
  <c r="G296" i="10"/>
  <c r="E296" i="10"/>
  <c r="F296" i="10" s="1"/>
  <c r="H294" i="10"/>
  <c r="G294" i="10"/>
  <c r="E294" i="10"/>
  <c r="F294" i="10" s="1"/>
  <c r="H293" i="10"/>
  <c r="G293" i="10"/>
  <c r="E293" i="10"/>
  <c r="F293" i="10" s="1"/>
  <c r="H290" i="10"/>
  <c r="G290" i="10"/>
  <c r="E290" i="10"/>
  <c r="F290" i="10" s="1"/>
  <c r="H289" i="10"/>
  <c r="G289" i="10"/>
  <c r="E289" i="10"/>
  <c r="F289" i="10" s="1"/>
  <c r="H286" i="10"/>
  <c r="G286" i="10"/>
  <c r="E262" i="10"/>
  <c r="F262" i="10" s="1"/>
  <c r="H261" i="10"/>
  <c r="G261" i="10"/>
  <c r="E261" i="10"/>
  <c r="F261" i="10" s="1"/>
  <c r="E258" i="10"/>
  <c r="F258" i="10" s="1"/>
  <c r="H257" i="10"/>
  <c r="G257" i="10"/>
  <c r="E257" i="10"/>
  <c r="F257" i="10" s="1"/>
  <c r="H256" i="10"/>
  <c r="E256" i="10"/>
  <c r="F256" i="10" s="1"/>
  <c r="E255" i="10"/>
  <c r="F255" i="10" s="1"/>
  <c r="E254" i="10"/>
  <c r="F254" i="10" s="1"/>
  <c r="H253" i="10"/>
  <c r="E252" i="10"/>
  <c r="F252" i="10" s="1"/>
  <c r="G251" i="10"/>
  <c r="E249" i="10"/>
  <c r="F249" i="10" s="1"/>
  <c r="E245" i="10"/>
  <c r="F245" i="10" s="1"/>
  <c r="G244" i="10"/>
  <c r="E244" i="10"/>
  <c r="F244" i="10" s="1"/>
  <c r="E243" i="10"/>
  <c r="F243" i="10" s="1"/>
  <c r="E242" i="10"/>
  <c r="F242" i="10" s="1"/>
  <c r="E241" i="10"/>
  <c r="F241" i="10" s="1"/>
  <c r="H240" i="10"/>
  <c r="G240" i="10"/>
  <c r="E238" i="10"/>
  <c r="F238" i="10" s="1"/>
  <c r="H237" i="10"/>
  <c r="G237" i="10"/>
  <c r="E237" i="10"/>
  <c r="F237" i="10" s="1"/>
  <c r="E235" i="10"/>
  <c r="F235" i="10" s="1"/>
  <c r="E234" i="10"/>
  <c r="F234" i="10" s="1"/>
  <c r="E231" i="10"/>
  <c r="F231" i="10" s="1"/>
  <c r="G230" i="10"/>
  <c r="E230" i="10"/>
  <c r="F230" i="10" s="1"/>
  <c r="E229" i="10"/>
  <c r="F229" i="10" s="1"/>
  <c r="E228" i="10"/>
  <c r="F228" i="10" s="1"/>
  <c r="E225" i="10"/>
  <c r="F225" i="10" s="1"/>
  <c r="H221" i="10"/>
  <c r="G221" i="10"/>
  <c r="E221" i="10"/>
  <c r="F221" i="10" s="1"/>
  <c r="G218" i="10"/>
  <c r="E218" i="10"/>
  <c r="F218" i="10" s="1"/>
  <c r="H214" i="10"/>
  <c r="H211" i="10"/>
  <c r="G211" i="10"/>
  <c r="E211" i="10"/>
  <c r="F211" i="10" s="1"/>
  <c r="E210" i="10"/>
  <c r="F210" i="10" s="1"/>
  <c r="H209" i="10"/>
  <c r="G209" i="10"/>
  <c r="E209" i="10"/>
  <c r="F209" i="10" s="1"/>
  <c r="H206" i="10"/>
  <c r="G206" i="10"/>
  <c r="E206" i="10"/>
  <c r="F206" i="10" s="1"/>
  <c r="H203" i="10"/>
  <c r="G203" i="10"/>
  <c r="E203" i="10"/>
  <c r="F203" i="10" s="1"/>
  <c r="H202" i="10"/>
  <c r="G202" i="10"/>
  <c r="E202" i="10"/>
  <c r="F202" i="10" s="1"/>
  <c r="H201" i="10"/>
  <c r="G201" i="10"/>
  <c r="H198" i="10"/>
  <c r="G198" i="10"/>
  <c r="H197" i="10"/>
  <c r="G197" i="10"/>
  <c r="E197" i="10"/>
  <c r="F197" i="10" s="1"/>
  <c r="G195" i="10"/>
  <c r="E195" i="10"/>
  <c r="F195" i="10" s="1"/>
  <c r="H194" i="10"/>
  <c r="G194" i="10"/>
  <c r="E194" i="10"/>
  <c r="F194" i="10" s="1"/>
  <c r="H193" i="10"/>
  <c r="G193" i="10"/>
  <c r="E193" i="10"/>
  <c r="F193" i="10" s="1"/>
  <c r="H192" i="10"/>
  <c r="G192" i="10"/>
  <c r="E192" i="10"/>
  <c r="F192" i="10" s="1"/>
  <c r="H190" i="10"/>
  <c r="E190" i="10"/>
  <c r="F190" i="10" s="1"/>
  <c r="H189" i="10"/>
  <c r="G189" i="10"/>
  <c r="E189" i="10"/>
  <c r="F189" i="10" s="1"/>
  <c r="E187" i="10"/>
  <c r="F187" i="10" s="1"/>
  <c r="H186" i="10"/>
  <c r="G186" i="10"/>
  <c r="E186" i="10"/>
  <c r="F186" i="10" s="1"/>
  <c r="H183" i="10"/>
  <c r="G183" i="10"/>
  <c r="E183" i="10"/>
  <c r="F183" i="10" s="1"/>
  <c r="H178" i="10"/>
  <c r="G178" i="10"/>
  <c r="E178" i="10"/>
  <c r="F178" i="10" s="1"/>
  <c r="H175" i="10"/>
  <c r="G175" i="10"/>
  <c r="E175" i="10"/>
  <c r="F175" i="10" s="1"/>
  <c r="H173" i="10"/>
  <c r="G173" i="10"/>
  <c r="E173" i="10"/>
  <c r="F173" i="10" s="1"/>
  <c r="H166" i="10"/>
  <c r="H161" i="10"/>
  <c r="G161" i="10"/>
  <c r="E161" i="10"/>
  <c r="F161" i="10" s="1"/>
  <c r="G159" i="10"/>
  <c r="E159" i="10"/>
  <c r="F159" i="10" s="1"/>
  <c r="H158" i="10"/>
  <c r="G158" i="10"/>
  <c r="E158" i="10"/>
  <c r="F158" i="10" s="1"/>
  <c r="E154" i="10"/>
  <c r="F154" i="10" s="1"/>
  <c r="E151" i="10"/>
  <c r="F151" i="10" s="1"/>
  <c r="H150" i="10"/>
  <c r="E150" i="10"/>
  <c r="F150" i="10" s="1"/>
  <c r="H149" i="10"/>
  <c r="G149" i="10"/>
  <c r="E149" i="10"/>
  <c r="F149" i="10" s="1"/>
  <c r="G145" i="10"/>
  <c r="E145" i="10"/>
  <c r="F145" i="10" s="1"/>
  <c r="H144" i="10"/>
  <c r="G144" i="10"/>
  <c r="E144" i="10"/>
  <c r="F144" i="10" s="1"/>
  <c r="E143" i="10"/>
  <c r="F143" i="10" s="1"/>
  <c r="E142" i="10"/>
  <c r="F142" i="10" s="1"/>
  <c r="H140" i="10"/>
  <c r="G140" i="10"/>
  <c r="E140" i="10"/>
  <c r="F140" i="10" s="1"/>
  <c r="H138" i="10"/>
  <c r="G138" i="10"/>
  <c r="E138" i="10"/>
  <c r="F138" i="10" s="1"/>
  <c r="H137" i="10"/>
  <c r="G137" i="10"/>
  <c r="E137" i="10"/>
  <c r="F137" i="10" s="1"/>
  <c r="E136" i="10"/>
  <c r="F136" i="10" s="1"/>
  <c r="E135" i="10"/>
  <c r="F135" i="10" s="1"/>
  <c r="H134" i="10"/>
  <c r="G134" i="10"/>
  <c r="E134" i="10"/>
  <c r="F134" i="10" s="1"/>
  <c r="E133" i="10"/>
  <c r="F133" i="10" s="1"/>
  <c r="H131" i="10"/>
  <c r="E129" i="10"/>
  <c r="F129" i="10" s="1"/>
  <c r="E128" i="10"/>
  <c r="F128" i="10" s="1"/>
  <c r="H123" i="10"/>
  <c r="E121" i="10"/>
  <c r="F121" i="10" s="1"/>
  <c r="H120" i="10"/>
  <c r="G120" i="10"/>
  <c r="E120" i="10"/>
  <c r="F120" i="10" s="1"/>
  <c r="E119" i="10"/>
  <c r="F119" i="10" s="1"/>
  <c r="E118" i="10"/>
  <c r="F118" i="10" s="1"/>
  <c r="H116" i="10"/>
  <c r="E116" i="10"/>
  <c r="F116" i="10" s="1"/>
  <c r="E114" i="10"/>
  <c r="F114" i="10" s="1"/>
  <c r="H113" i="10"/>
  <c r="G113" i="10"/>
  <c r="H109" i="10"/>
  <c r="E106" i="10"/>
  <c r="F106" i="10" s="1"/>
  <c r="H103" i="10"/>
  <c r="G100" i="10"/>
  <c r="H97" i="10"/>
  <c r="G97" i="10"/>
  <c r="E97" i="10"/>
  <c r="F97" i="10" s="1"/>
  <c r="H94" i="10"/>
  <c r="G94" i="10"/>
  <c r="H91" i="10"/>
  <c r="G91" i="10"/>
  <c r="H88" i="10"/>
  <c r="G88" i="10"/>
  <c r="H85" i="10"/>
  <c r="G85" i="10"/>
  <c r="H80" i="10"/>
  <c r="G80" i="10"/>
  <c r="E80" i="10"/>
  <c r="F80" i="10" s="1"/>
  <c r="H79" i="10"/>
  <c r="G79" i="10"/>
  <c r="E79" i="10"/>
  <c r="F79" i="10" s="1"/>
  <c r="H74" i="10"/>
  <c r="G74" i="10"/>
  <c r="E74" i="10"/>
  <c r="F74" i="10" s="1"/>
  <c r="H70" i="10"/>
  <c r="G70" i="10"/>
  <c r="E70" i="10"/>
  <c r="F70" i="10" s="1"/>
  <c r="H68" i="10"/>
  <c r="H67" i="10"/>
  <c r="G67" i="10"/>
  <c r="E67" i="10"/>
  <c r="F67" i="10" s="1"/>
  <c r="H65" i="10"/>
  <c r="G65" i="10"/>
  <c r="E65" i="10"/>
  <c r="F65" i="10" s="1"/>
  <c r="G63" i="10"/>
  <c r="E63" i="10"/>
  <c r="F63" i="10" s="1"/>
  <c r="B13" i="55"/>
  <c r="B13" i="53"/>
  <c r="B10" i="50"/>
  <c r="K14" i="38" s="1"/>
  <c r="B10" i="44"/>
  <c r="K8" i="38" s="1"/>
  <c r="B10" i="43"/>
  <c r="K7" i="38" s="1"/>
  <c r="B10" i="40"/>
  <c r="K4" i="38" s="1"/>
  <c r="J19" i="39"/>
  <c r="J15" i="39"/>
  <c r="H1314" i="10"/>
  <c r="E1314" i="10"/>
  <c r="F1314" i="10" s="1"/>
  <c r="G1313" i="10"/>
  <c r="E1313" i="10"/>
  <c r="F1313" i="10" s="1"/>
  <c r="E1312" i="10"/>
  <c r="F1312" i="10" s="1"/>
  <c r="H1311" i="10"/>
  <c r="E1311" i="10"/>
  <c r="F1311" i="10" s="1"/>
  <c r="H1310" i="10"/>
  <c r="H1304" i="10"/>
  <c r="H1300" i="10"/>
  <c r="G1300" i="10"/>
  <c r="E1300" i="10"/>
  <c r="F1300" i="10" s="1"/>
  <c r="G1299" i="10"/>
  <c r="E1299" i="10"/>
  <c r="F1299" i="10" s="1"/>
  <c r="H1298" i="10"/>
  <c r="G1298" i="10"/>
  <c r="E1298" i="10"/>
  <c r="F1298" i="10" s="1"/>
  <c r="E1294" i="10"/>
  <c r="F1294" i="10" s="1"/>
  <c r="H1291" i="10"/>
  <c r="E1283" i="10"/>
  <c r="F1283" i="10" s="1"/>
  <c r="H1282" i="10"/>
  <c r="H1273" i="10"/>
  <c r="E1272" i="10"/>
  <c r="F1272" i="10" s="1"/>
  <c r="H1270" i="10"/>
  <c r="G1260" i="10"/>
  <c r="H1258" i="10"/>
  <c r="E1254" i="10"/>
  <c r="F1254" i="10" s="1"/>
  <c r="E1253" i="10"/>
  <c r="F1253" i="10" s="1"/>
  <c r="G1252" i="10"/>
  <c r="E1252" i="10"/>
  <c r="F1252" i="10" s="1"/>
  <c r="E1251" i="10"/>
  <c r="F1251" i="10" s="1"/>
  <c r="H1249" i="10"/>
  <c r="H1243" i="10"/>
  <c r="H1242" i="10"/>
  <c r="G1238" i="10"/>
  <c r="E1236" i="10"/>
  <c r="F1236" i="10" s="1"/>
  <c r="H1235" i="10"/>
  <c r="E938" i="10"/>
  <c r="F938" i="10" s="1"/>
  <c r="E791" i="10"/>
  <c r="F791" i="10" s="1"/>
  <c r="E790" i="10"/>
  <c r="F790" i="10" s="1"/>
  <c r="H789" i="10"/>
  <c r="G789" i="10"/>
  <c r="E789" i="10"/>
  <c r="F789" i="10" s="1"/>
  <c r="H788" i="10"/>
  <c r="G788" i="10"/>
  <c r="E788" i="10"/>
  <c r="F788" i="10" s="1"/>
  <c r="H787" i="10"/>
  <c r="G787" i="10"/>
  <c r="E787" i="10"/>
  <c r="F787" i="10" s="1"/>
  <c r="H786" i="10"/>
  <c r="G786" i="10"/>
  <c r="E786" i="10"/>
  <c r="F786" i="10" s="1"/>
  <c r="H785" i="10"/>
  <c r="G785" i="10"/>
  <c r="E785" i="10"/>
  <c r="F785" i="10" s="1"/>
  <c r="H784" i="10"/>
  <c r="G784" i="10"/>
  <c r="E784" i="10"/>
  <c r="F784" i="10" s="1"/>
  <c r="H783" i="10"/>
  <c r="G783" i="10"/>
  <c r="E783" i="10"/>
  <c r="F783" i="10" s="1"/>
  <c r="H782" i="10"/>
  <c r="G782" i="10"/>
  <c r="E782" i="10"/>
  <c r="F782" i="10" s="1"/>
  <c r="H781" i="10"/>
  <c r="G781" i="10"/>
  <c r="E781" i="10"/>
  <c r="F781" i="10" s="1"/>
  <c r="H780" i="10"/>
  <c r="G780" i="10"/>
  <c r="E780" i="10"/>
  <c r="F780" i="10" s="1"/>
  <c r="H779" i="10"/>
  <c r="G779" i="10"/>
  <c r="E779" i="10"/>
  <c r="F779" i="10" s="1"/>
  <c r="H778" i="10"/>
  <c r="G778" i="10"/>
  <c r="E778" i="10"/>
  <c r="F778" i="10" s="1"/>
  <c r="H777" i="10"/>
  <c r="G777" i="10"/>
  <c r="E777" i="10"/>
  <c r="F777" i="10" s="1"/>
  <c r="E776" i="10"/>
  <c r="F776" i="10" s="1"/>
  <c r="H775" i="10"/>
  <c r="G775" i="10"/>
  <c r="E775" i="10"/>
  <c r="F775" i="10" s="1"/>
  <c r="H774" i="10"/>
  <c r="G774" i="10"/>
  <c r="E774" i="10"/>
  <c r="F774" i="10" s="1"/>
  <c r="E773" i="10"/>
  <c r="F773" i="10" s="1"/>
  <c r="E772" i="10"/>
  <c r="F772" i="10" s="1"/>
  <c r="H771" i="10"/>
  <c r="G771" i="10"/>
  <c r="E771" i="10"/>
  <c r="F771" i="10" s="1"/>
  <c r="E770" i="10"/>
  <c r="F770" i="10" s="1"/>
  <c r="E769" i="10"/>
  <c r="F769" i="10" s="1"/>
  <c r="E768" i="10"/>
  <c r="F768" i="10" s="1"/>
  <c r="E767" i="10"/>
  <c r="F767" i="10" s="1"/>
  <c r="E766" i="10"/>
  <c r="F766" i="10" s="1"/>
  <c r="H765" i="10"/>
  <c r="G765" i="10"/>
  <c r="E765" i="10"/>
  <c r="F765" i="10" s="1"/>
  <c r="H764" i="10"/>
  <c r="G764" i="10"/>
  <c r="E764" i="10"/>
  <c r="F764" i="10" s="1"/>
  <c r="H763" i="10"/>
  <c r="G763" i="10"/>
  <c r="E763" i="10"/>
  <c r="F763" i="10" s="1"/>
  <c r="H762" i="10"/>
  <c r="G762" i="10"/>
  <c r="E762" i="10"/>
  <c r="F762" i="10" s="1"/>
  <c r="H761" i="10"/>
  <c r="G761" i="10"/>
  <c r="E761" i="10"/>
  <c r="F761" i="10" s="1"/>
  <c r="H760" i="10"/>
  <c r="G760" i="10"/>
  <c r="E760" i="10"/>
  <c r="F760" i="10" s="1"/>
  <c r="H759" i="10"/>
  <c r="G759" i="10"/>
  <c r="E759" i="10"/>
  <c r="F759" i="10" s="1"/>
  <c r="H758" i="10"/>
  <c r="G758" i="10"/>
  <c r="E758" i="10"/>
  <c r="F758" i="10" s="1"/>
  <c r="H757" i="10"/>
  <c r="G757" i="10"/>
  <c r="E757" i="10"/>
  <c r="F757" i="10" s="1"/>
  <c r="H756" i="10"/>
  <c r="G756" i="10"/>
  <c r="E756" i="10"/>
  <c r="F756" i="10" s="1"/>
  <c r="H755" i="10"/>
  <c r="G755" i="10"/>
  <c r="E755" i="10"/>
  <c r="F755" i="10" s="1"/>
  <c r="H754" i="10"/>
  <c r="G754" i="10"/>
  <c r="E754" i="10"/>
  <c r="F754" i="10" s="1"/>
  <c r="E753" i="10"/>
  <c r="F753" i="10" s="1"/>
  <c r="H752" i="10"/>
  <c r="G752" i="10"/>
  <c r="E752" i="10"/>
  <c r="F752" i="10" s="1"/>
  <c r="H751" i="10"/>
  <c r="G751" i="10"/>
  <c r="E751" i="10"/>
  <c r="F751" i="10" s="1"/>
  <c r="H750" i="10"/>
  <c r="G750" i="10"/>
  <c r="E750" i="10"/>
  <c r="F750" i="10" s="1"/>
  <c r="H749" i="10"/>
  <c r="G749" i="10"/>
  <c r="E749" i="10"/>
  <c r="F749" i="10" s="1"/>
  <c r="H748" i="10"/>
  <c r="G748" i="10"/>
  <c r="E748" i="10"/>
  <c r="F748" i="10" s="1"/>
  <c r="H747" i="10"/>
  <c r="G747" i="10"/>
  <c r="E747" i="10"/>
  <c r="F747" i="10" s="1"/>
  <c r="H746" i="10"/>
  <c r="G746" i="10"/>
  <c r="E746" i="10"/>
  <c r="F746" i="10" s="1"/>
  <c r="H745" i="10"/>
  <c r="G745" i="10"/>
  <c r="E745" i="10"/>
  <c r="F745" i="10" s="1"/>
  <c r="H744" i="10"/>
  <c r="G744" i="10"/>
  <c r="E744" i="10"/>
  <c r="F744" i="10" s="1"/>
  <c r="H743" i="10"/>
  <c r="G743" i="10"/>
  <c r="E743" i="10"/>
  <c r="F743" i="10" s="1"/>
  <c r="H742" i="10"/>
  <c r="G742" i="10"/>
  <c r="E742" i="10"/>
  <c r="F742" i="10" s="1"/>
  <c r="H741" i="10"/>
  <c r="G741" i="10"/>
  <c r="E741" i="10"/>
  <c r="F741" i="10" s="1"/>
  <c r="H740" i="10"/>
  <c r="G740" i="10"/>
  <c r="E740" i="10"/>
  <c r="F740" i="10" s="1"/>
  <c r="H739" i="10"/>
  <c r="G739" i="10"/>
  <c r="E739" i="10"/>
  <c r="F739" i="10" s="1"/>
  <c r="H738" i="10"/>
  <c r="G738" i="10"/>
  <c r="E738" i="10"/>
  <c r="F738" i="10" s="1"/>
  <c r="H737" i="10"/>
  <c r="G737" i="10"/>
  <c r="E737" i="10"/>
  <c r="F737" i="10" s="1"/>
  <c r="H736" i="10"/>
  <c r="G736" i="10"/>
  <c r="E736" i="10"/>
  <c r="F736" i="10" s="1"/>
  <c r="H735" i="10"/>
  <c r="G735" i="10"/>
  <c r="E735" i="10"/>
  <c r="F735" i="10" s="1"/>
  <c r="E734" i="10"/>
  <c r="F734" i="10" s="1"/>
  <c r="H733" i="10"/>
  <c r="G733" i="10"/>
  <c r="E733" i="10"/>
  <c r="F733" i="10" s="1"/>
  <c r="H732" i="10"/>
  <c r="G732" i="10"/>
  <c r="E732" i="10"/>
  <c r="F732" i="10" s="1"/>
  <c r="H731" i="10"/>
  <c r="G731" i="10"/>
  <c r="E731" i="10"/>
  <c r="F731" i="10" s="1"/>
  <c r="H730" i="10"/>
  <c r="G730" i="10"/>
  <c r="E730" i="10"/>
  <c r="F730" i="10" s="1"/>
  <c r="H729" i="10"/>
  <c r="G729" i="10"/>
  <c r="E729" i="10"/>
  <c r="F729" i="10" s="1"/>
  <c r="H728" i="10"/>
  <c r="G728" i="10"/>
  <c r="E728" i="10"/>
  <c r="F728" i="10" s="1"/>
  <c r="H727" i="10"/>
  <c r="G727" i="10"/>
  <c r="E727" i="10"/>
  <c r="F727" i="10" s="1"/>
  <c r="H726" i="10"/>
  <c r="G726" i="10"/>
  <c r="E726" i="10"/>
  <c r="F726" i="10" s="1"/>
  <c r="H725" i="10"/>
  <c r="G725" i="10"/>
  <c r="E725" i="10"/>
  <c r="F725" i="10" s="1"/>
  <c r="E724" i="10"/>
  <c r="F724" i="10" s="1"/>
  <c r="H723" i="10"/>
  <c r="G723" i="10"/>
  <c r="E723" i="10"/>
  <c r="F723" i="10" s="1"/>
  <c r="E722" i="10"/>
  <c r="F722" i="10" s="1"/>
  <c r="H721" i="10"/>
  <c r="G721" i="10"/>
  <c r="E721" i="10"/>
  <c r="F721" i="10" s="1"/>
  <c r="H720" i="10"/>
  <c r="G720" i="10"/>
  <c r="E720" i="10"/>
  <c r="F720" i="10" s="1"/>
  <c r="E719" i="10"/>
  <c r="F719" i="10" s="1"/>
  <c r="H718" i="10"/>
  <c r="G718" i="10"/>
  <c r="E718" i="10"/>
  <c r="F718" i="10" s="1"/>
  <c r="H717" i="10"/>
  <c r="G717" i="10"/>
  <c r="E717" i="10"/>
  <c r="F717" i="10" s="1"/>
  <c r="H716" i="10"/>
  <c r="G716" i="10"/>
  <c r="E716" i="10"/>
  <c r="F716" i="10" s="1"/>
  <c r="H715" i="10"/>
  <c r="G715" i="10"/>
  <c r="E715" i="10"/>
  <c r="F715" i="10" s="1"/>
  <c r="H714" i="10"/>
  <c r="G714" i="10"/>
  <c r="E714" i="10"/>
  <c r="F714" i="10" s="1"/>
  <c r="H713" i="10"/>
  <c r="G713" i="10"/>
  <c r="E713" i="10"/>
  <c r="F713" i="10" s="1"/>
  <c r="H712" i="10"/>
  <c r="G712" i="10"/>
  <c r="E712" i="10"/>
  <c r="F712" i="10" s="1"/>
  <c r="H711" i="10"/>
  <c r="G711" i="10"/>
  <c r="E711" i="10"/>
  <c r="F711" i="10" s="1"/>
  <c r="H710" i="10"/>
  <c r="G710" i="10"/>
  <c r="E710" i="10"/>
  <c r="F710" i="10" s="1"/>
  <c r="H709" i="10"/>
  <c r="G709" i="10"/>
  <c r="E709" i="10"/>
  <c r="F709" i="10" s="1"/>
  <c r="H708" i="10"/>
  <c r="G708" i="10"/>
  <c r="E708" i="10"/>
  <c r="F708" i="10" s="1"/>
  <c r="H707" i="10"/>
  <c r="G707" i="10"/>
  <c r="E707" i="10"/>
  <c r="F707" i="10" s="1"/>
  <c r="E706" i="10"/>
  <c r="F706" i="10" s="1"/>
  <c r="E705" i="10"/>
  <c r="F705" i="10" s="1"/>
  <c r="E704" i="10"/>
  <c r="F704" i="10" s="1"/>
  <c r="E703" i="10"/>
  <c r="F703" i="10" s="1"/>
  <c r="H702" i="10"/>
  <c r="G702" i="10"/>
  <c r="E702" i="10"/>
  <c r="F702" i="10" s="1"/>
  <c r="H701" i="10"/>
  <c r="G701" i="10"/>
  <c r="E701" i="10"/>
  <c r="F701" i="10" s="1"/>
  <c r="H700" i="10"/>
  <c r="G700" i="10"/>
  <c r="E700" i="10"/>
  <c r="F700" i="10" s="1"/>
  <c r="E699" i="10"/>
  <c r="F699" i="10" s="1"/>
  <c r="E698" i="10"/>
  <c r="F698" i="10" s="1"/>
  <c r="E697" i="10"/>
  <c r="F697" i="10" s="1"/>
  <c r="E696" i="10"/>
  <c r="F696" i="10" s="1"/>
  <c r="H695" i="10"/>
  <c r="G695" i="10"/>
  <c r="E695" i="10"/>
  <c r="F695" i="10" s="1"/>
  <c r="E694" i="10"/>
  <c r="F694" i="10" s="1"/>
  <c r="E693" i="10"/>
  <c r="F693" i="10" s="1"/>
  <c r="E692" i="10"/>
  <c r="F692" i="10" s="1"/>
  <c r="E691" i="10"/>
  <c r="F691" i="10" s="1"/>
  <c r="H690" i="10"/>
  <c r="G690" i="10"/>
  <c r="E690" i="10"/>
  <c r="F690" i="10" s="1"/>
  <c r="E689" i="10"/>
  <c r="F689" i="10" s="1"/>
  <c r="E688" i="10"/>
  <c r="F688" i="10" s="1"/>
  <c r="E687" i="10"/>
  <c r="F687" i="10" s="1"/>
  <c r="H686" i="10"/>
  <c r="G686" i="10"/>
  <c r="E686" i="10"/>
  <c r="F686" i="10" s="1"/>
  <c r="E685" i="10"/>
  <c r="F685" i="10" s="1"/>
  <c r="E684" i="10"/>
  <c r="F684" i="10" s="1"/>
  <c r="H683" i="10"/>
  <c r="G683" i="10"/>
  <c r="E683" i="10"/>
  <c r="F683" i="10" s="1"/>
  <c r="E682" i="10"/>
  <c r="F682" i="10" s="1"/>
  <c r="E681" i="10"/>
  <c r="F681" i="10" s="1"/>
  <c r="E680" i="10"/>
  <c r="F680" i="10" s="1"/>
  <c r="E679" i="10"/>
  <c r="F679" i="10" s="1"/>
  <c r="E678" i="10"/>
  <c r="F678" i="10" s="1"/>
  <c r="H677" i="10"/>
  <c r="G677" i="10"/>
  <c r="E677" i="10"/>
  <c r="F677" i="10" s="1"/>
  <c r="E676" i="10"/>
  <c r="F676" i="10" s="1"/>
  <c r="H675" i="10"/>
  <c r="G675" i="10"/>
  <c r="E675" i="10"/>
  <c r="F675" i="10" s="1"/>
  <c r="E674" i="10"/>
  <c r="F674" i="10" s="1"/>
  <c r="E673" i="10"/>
  <c r="F673" i="10" s="1"/>
  <c r="E672" i="10"/>
  <c r="F672" i="10" s="1"/>
  <c r="E671" i="10"/>
  <c r="F671" i="10" s="1"/>
  <c r="H670" i="10"/>
  <c r="G670" i="10"/>
  <c r="E670" i="10"/>
  <c r="F670" i="10" s="1"/>
  <c r="H669" i="10"/>
  <c r="G669" i="10"/>
  <c r="E669" i="10"/>
  <c r="F669" i="10" s="1"/>
  <c r="E668" i="10"/>
  <c r="F668" i="10" s="1"/>
  <c r="E667" i="10"/>
  <c r="F667" i="10" s="1"/>
  <c r="E666" i="10"/>
  <c r="F666" i="10" s="1"/>
  <c r="E665" i="10"/>
  <c r="F665" i="10" s="1"/>
  <c r="E664" i="10"/>
  <c r="F664" i="10" s="1"/>
  <c r="H663" i="10"/>
  <c r="G663" i="10"/>
  <c r="E663" i="10"/>
  <c r="F663" i="10" s="1"/>
  <c r="H662" i="10"/>
  <c r="G662" i="10"/>
  <c r="E662" i="10"/>
  <c r="F662" i="10" s="1"/>
  <c r="H661" i="10"/>
  <c r="G661" i="10"/>
  <c r="E661" i="10"/>
  <c r="F661" i="10" s="1"/>
  <c r="H660" i="10"/>
  <c r="G660" i="10"/>
  <c r="E660" i="10"/>
  <c r="F660" i="10" s="1"/>
  <c r="E659" i="10"/>
  <c r="F659" i="10" s="1"/>
  <c r="E658" i="10"/>
  <c r="F658" i="10" s="1"/>
  <c r="E657" i="10"/>
  <c r="F657" i="10" s="1"/>
  <c r="E656" i="10"/>
  <c r="F656" i="10" s="1"/>
  <c r="H655" i="10"/>
  <c r="G655" i="10"/>
  <c r="E655" i="10"/>
  <c r="F655" i="10" s="1"/>
  <c r="H654" i="10"/>
  <c r="G654" i="10"/>
  <c r="E654" i="10"/>
  <c r="F654" i="10" s="1"/>
  <c r="H653" i="10"/>
  <c r="G653" i="10"/>
  <c r="E653" i="10"/>
  <c r="F653" i="10" s="1"/>
  <c r="H652" i="10"/>
  <c r="G652" i="10"/>
  <c r="E652" i="10"/>
  <c r="F652" i="10" s="1"/>
  <c r="H651" i="10"/>
  <c r="G651" i="10"/>
  <c r="E651" i="10"/>
  <c r="F651" i="10" s="1"/>
  <c r="H650" i="10"/>
  <c r="G650" i="10"/>
  <c r="E650" i="10"/>
  <c r="F650" i="10" s="1"/>
  <c r="H649" i="10"/>
  <c r="G649" i="10"/>
  <c r="E649" i="10"/>
  <c r="F649" i="10" s="1"/>
  <c r="H648" i="10"/>
  <c r="G648" i="10"/>
  <c r="E648" i="10"/>
  <c r="F648" i="10" s="1"/>
  <c r="H647" i="10"/>
  <c r="G647" i="10"/>
  <c r="E647" i="10"/>
  <c r="F647" i="10" s="1"/>
  <c r="H646" i="10"/>
  <c r="G646" i="10"/>
  <c r="E646" i="10"/>
  <c r="F646" i="10" s="1"/>
  <c r="H645" i="10"/>
  <c r="G645" i="10"/>
  <c r="E645" i="10"/>
  <c r="F645" i="10" s="1"/>
  <c r="H644" i="10"/>
  <c r="G644" i="10"/>
  <c r="H643" i="10"/>
  <c r="G643" i="10"/>
  <c r="E643" i="10"/>
  <c r="F643" i="10" s="1"/>
  <c r="H642" i="10"/>
  <c r="G642" i="10"/>
  <c r="E642" i="10"/>
  <c r="F642" i="10" s="1"/>
  <c r="H641" i="10"/>
  <c r="G641" i="10"/>
  <c r="E641" i="10"/>
  <c r="F641" i="10" s="1"/>
  <c r="H640" i="10"/>
  <c r="G640" i="10"/>
  <c r="E640" i="10"/>
  <c r="F640" i="10" s="1"/>
  <c r="H639" i="10"/>
  <c r="G639" i="10"/>
  <c r="E639" i="10"/>
  <c r="F639" i="10" s="1"/>
  <c r="H638" i="10"/>
  <c r="G638" i="10"/>
  <c r="E638" i="10"/>
  <c r="F638" i="10" s="1"/>
  <c r="H637" i="10"/>
  <c r="G637" i="10"/>
  <c r="E637" i="10"/>
  <c r="F637" i="10" s="1"/>
  <c r="H636" i="10"/>
  <c r="G636" i="10"/>
  <c r="E636" i="10"/>
  <c r="F636" i="10" s="1"/>
  <c r="H635" i="10"/>
  <c r="G635" i="10"/>
  <c r="E635" i="10"/>
  <c r="F635" i="10" s="1"/>
  <c r="H634" i="10"/>
  <c r="G634" i="10"/>
  <c r="E634" i="10"/>
  <c r="F634" i="10" s="1"/>
  <c r="H633" i="10"/>
  <c r="G633" i="10"/>
  <c r="E633" i="10"/>
  <c r="F633" i="10" s="1"/>
  <c r="H632" i="10"/>
  <c r="G632" i="10"/>
  <c r="E632" i="10"/>
  <c r="F632" i="10" s="1"/>
  <c r="H631" i="10"/>
  <c r="G631" i="10"/>
  <c r="E631" i="10"/>
  <c r="F631" i="10" s="1"/>
  <c r="H630" i="10"/>
  <c r="G630" i="10"/>
  <c r="E630" i="10"/>
  <c r="F630" i="10" s="1"/>
  <c r="H629" i="10"/>
  <c r="G629" i="10"/>
  <c r="E629" i="10"/>
  <c r="F629" i="10" s="1"/>
  <c r="H628" i="10"/>
  <c r="G628" i="10"/>
  <c r="E628" i="10"/>
  <c r="F628" i="10" s="1"/>
  <c r="H627" i="10"/>
  <c r="G627" i="10"/>
  <c r="E627" i="10"/>
  <c r="F627" i="10" s="1"/>
  <c r="H626" i="10"/>
  <c r="G626" i="10"/>
  <c r="E626" i="10"/>
  <c r="F626" i="10" s="1"/>
  <c r="H625" i="10"/>
  <c r="G625" i="10"/>
  <c r="E625" i="10"/>
  <c r="F625" i="10" s="1"/>
  <c r="H624" i="10"/>
  <c r="G624" i="10"/>
  <c r="E624" i="10"/>
  <c r="F624" i="10" s="1"/>
  <c r="H623" i="10"/>
  <c r="G623" i="10"/>
  <c r="E623" i="10"/>
  <c r="F623" i="10" s="1"/>
  <c r="H622" i="10"/>
  <c r="G622" i="10"/>
  <c r="E622" i="10"/>
  <c r="F622" i="10" s="1"/>
  <c r="H621" i="10"/>
  <c r="G621" i="10"/>
  <c r="E621" i="10"/>
  <c r="F621" i="10" s="1"/>
  <c r="H620" i="10"/>
  <c r="G620" i="10"/>
  <c r="E620" i="10"/>
  <c r="F620" i="10" s="1"/>
  <c r="H619" i="10"/>
  <c r="G619" i="10"/>
  <c r="E619" i="10"/>
  <c r="F619" i="10" s="1"/>
  <c r="H618" i="10"/>
  <c r="G618" i="10"/>
  <c r="E618" i="10"/>
  <c r="F618" i="10" s="1"/>
  <c r="H617" i="10"/>
  <c r="G617" i="10"/>
  <c r="E617" i="10"/>
  <c r="F617" i="10" s="1"/>
  <c r="H616" i="10"/>
  <c r="G616" i="10"/>
  <c r="E616" i="10"/>
  <c r="F616" i="10" s="1"/>
  <c r="H615" i="10"/>
  <c r="G615" i="10"/>
  <c r="E615" i="10"/>
  <c r="F615" i="10" s="1"/>
  <c r="H614" i="10"/>
  <c r="G614" i="10"/>
  <c r="E614" i="10"/>
  <c r="F614" i="10" s="1"/>
  <c r="H613" i="10"/>
  <c r="G613" i="10"/>
  <c r="E613" i="10"/>
  <c r="F613" i="10" s="1"/>
  <c r="E612" i="10"/>
  <c r="F612" i="10" s="1"/>
  <c r="H611" i="10"/>
  <c r="G611" i="10"/>
  <c r="E611" i="10"/>
  <c r="F611" i="10" s="1"/>
  <c r="H610" i="10"/>
  <c r="G610" i="10"/>
  <c r="E610" i="10"/>
  <c r="F610" i="10" s="1"/>
  <c r="E609" i="10"/>
  <c r="F609" i="10" s="1"/>
  <c r="H608" i="10"/>
  <c r="G608" i="10"/>
  <c r="E608" i="10"/>
  <c r="F608" i="10" s="1"/>
  <c r="H607" i="10"/>
  <c r="G607" i="10"/>
  <c r="E607" i="10"/>
  <c r="F607" i="10" s="1"/>
  <c r="H606" i="10"/>
  <c r="G606" i="10"/>
  <c r="E606" i="10"/>
  <c r="F606" i="10" s="1"/>
  <c r="H605" i="10"/>
  <c r="G605" i="10"/>
  <c r="E605" i="10"/>
  <c r="F605" i="10" s="1"/>
  <c r="H604" i="10"/>
  <c r="G604" i="10"/>
  <c r="E604" i="10"/>
  <c r="F604" i="10" s="1"/>
  <c r="H603" i="10"/>
  <c r="G603" i="10"/>
  <c r="E603" i="10"/>
  <c r="F603" i="10" s="1"/>
  <c r="H602" i="10"/>
  <c r="G602" i="10"/>
  <c r="E602" i="10"/>
  <c r="F602" i="10" s="1"/>
  <c r="H601" i="10"/>
  <c r="G601" i="10"/>
  <c r="E601" i="10"/>
  <c r="F601" i="10" s="1"/>
  <c r="H600" i="10"/>
  <c r="G600" i="10"/>
  <c r="E600" i="10"/>
  <c r="F600" i="10" s="1"/>
  <c r="H599" i="10"/>
  <c r="G599" i="10"/>
  <c r="E599" i="10"/>
  <c r="F599" i="10" s="1"/>
  <c r="E593" i="10"/>
  <c r="F593" i="10" s="1"/>
  <c r="H592" i="10"/>
  <c r="G592" i="10"/>
  <c r="E585" i="10"/>
  <c r="F585" i="10" s="1"/>
  <c r="E584" i="10"/>
  <c r="F584" i="10" s="1"/>
  <c r="H583" i="10"/>
  <c r="G583" i="10"/>
  <c r="E583" i="10"/>
  <c r="F583" i="10" s="1"/>
  <c r="E582" i="10"/>
  <c r="F582" i="10" s="1"/>
  <c r="H581" i="10"/>
  <c r="G581" i="10"/>
  <c r="E581" i="10"/>
  <c r="F581" i="10" s="1"/>
  <c r="G572" i="10"/>
  <c r="E569" i="10"/>
  <c r="F569" i="10" s="1"/>
  <c r="E564" i="10"/>
  <c r="F564" i="10" s="1"/>
  <c r="E563" i="10"/>
  <c r="F563" i="10" s="1"/>
  <c r="E558" i="10"/>
  <c r="F558" i="10" s="1"/>
  <c r="E554" i="10"/>
  <c r="F554" i="10" s="1"/>
  <c r="E553" i="10"/>
  <c r="F553" i="10" s="1"/>
  <c r="H552" i="10"/>
  <c r="G552" i="10"/>
  <c r="E552" i="10"/>
  <c r="F552" i="10" s="1"/>
  <c r="H549" i="10"/>
  <c r="G549" i="10"/>
  <c r="E549" i="10"/>
  <c r="F549" i="10" s="1"/>
  <c r="E547" i="10"/>
  <c r="F547" i="10" s="1"/>
  <c r="H544" i="10"/>
  <c r="E544" i="10"/>
  <c r="F544" i="10" s="1"/>
  <c r="G540" i="10"/>
  <c r="H537" i="10"/>
  <c r="G537" i="10"/>
  <c r="E537" i="10"/>
  <c r="F537" i="10" s="1"/>
  <c r="E536" i="10"/>
  <c r="F536" i="10" s="1"/>
  <c r="H535" i="10"/>
  <c r="G535" i="10"/>
  <c r="E535" i="10"/>
  <c r="F535" i="10" s="1"/>
  <c r="H533" i="10"/>
  <c r="E531" i="10"/>
  <c r="F531" i="10" s="1"/>
  <c r="H530" i="10"/>
  <c r="G530" i="10"/>
  <c r="H529" i="10"/>
  <c r="G529" i="10"/>
  <c r="E529" i="10"/>
  <c r="F529" i="10" s="1"/>
  <c r="H526" i="10"/>
  <c r="G526" i="10"/>
  <c r="H523" i="10"/>
  <c r="G523" i="10"/>
  <c r="E523" i="10"/>
  <c r="F523" i="10" s="1"/>
  <c r="H520" i="10"/>
  <c r="G520" i="10"/>
  <c r="E520" i="10"/>
  <c r="F520" i="10" s="1"/>
  <c r="H515" i="10"/>
  <c r="G515" i="10"/>
  <c r="E515" i="10"/>
  <c r="F515" i="10" s="1"/>
  <c r="H514" i="10"/>
  <c r="H513" i="10"/>
  <c r="G513" i="10"/>
  <c r="E513" i="10"/>
  <c r="F513" i="10" s="1"/>
  <c r="H512" i="10"/>
  <c r="G512" i="10"/>
  <c r="E512" i="10"/>
  <c r="F512" i="10" s="1"/>
  <c r="H511" i="10"/>
  <c r="G511" i="10"/>
  <c r="E511" i="10"/>
  <c r="F511" i="10" s="1"/>
  <c r="H510" i="10"/>
  <c r="G510" i="10"/>
  <c r="E510" i="10"/>
  <c r="F510" i="10" s="1"/>
  <c r="H509" i="10"/>
  <c r="G509" i="10"/>
  <c r="E509" i="10"/>
  <c r="F509" i="10" s="1"/>
  <c r="H506" i="10"/>
  <c r="G506" i="10"/>
  <c r="E506" i="10"/>
  <c r="F506" i="10" s="1"/>
  <c r="H503" i="10"/>
  <c r="G503" i="10"/>
  <c r="E503" i="10"/>
  <c r="F503" i="10" s="1"/>
  <c r="H498" i="10"/>
  <c r="G498" i="10"/>
  <c r="H494" i="10"/>
  <c r="G494" i="10"/>
  <c r="E494" i="10"/>
  <c r="F494" i="10" s="1"/>
  <c r="H493" i="10"/>
  <c r="G493" i="10"/>
  <c r="H490" i="10"/>
  <c r="G490" i="10"/>
  <c r="E490" i="10"/>
  <c r="F490" i="10" s="1"/>
  <c r="H489" i="10"/>
  <c r="G489" i="10"/>
  <c r="E489" i="10"/>
  <c r="F489" i="10" s="1"/>
  <c r="H486" i="10"/>
  <c r="G486" i="10"/>
  <c r="E483" i="10"/>
  <c r="F483" i="10" s="1"/>
  <c r="H480" i="10"/>
  <c r="H477" i="10"/>
  <c r="H471" i="10"/>
  <c r="G471" i="10"/>
  <c r="E464" i="10"/>
  <c r="F464" i="10" s="1"/>
  <c r="H463" i="10"/>
  <c r="G463" i="10"/>
  <c r="E463" i="10"/>
  <c r="F463" i="10" s="1"/>
  <c r="H462" i="10"/>
  <c r="E459" i="10"/>
  <c r="F459" i="10" s="1"/>
  <c r="H458" i="10"/>
  <c r="G450" i="10"/>
  <c r="E450" i="10"/>
  <c r="F450" i="10" s="1"/>
  <c r="E449" i="10"/>
  <c r="F449" i="10" s="1"/>
  <c r="G448" i="10"/>
  <c r="E448" i="10"/>
  <c r="F448" i="10" s="1"/>
  <c r="E442" i="10"/>
  <c r="F442" i="10" s="1"/>
  <c r="E441" i="10"/>
  <c r="F441" i="10" s="1"/>
  <c r="H440" i="10"/>
  <c r="G440" i="10"/>
  <c r="E440" i="10"/>
  <c r="F440" i="10" s="1"/>
  <c r="H438" i="10"/>
  <c r="H437" i="10"/>
  <c r="G437" i="10"/>
  <c r="E437" i="10"/>
  <c r="F437" i="10" s="1"/>
  <c r="H434" i="10"/>
  <c r="G434" i="10"/>
  <c r="E434" i="10"/>
  <c r="F434" i="10" s="1"/>
  <c r="G432" i="10"/>
  <c r="H429" i="10"/>
  <c r="G429" i="10"/>
  <c r="E429" i="10"/>
  <c r="F429" i="10" s="1"/>
  <c r="G426" i="10"/>
  <c r="E426" i="10"/>
  <c r="F426" i="10" s="1"/>
  <c r="H425" i="10"/>
  <c r="H422" i="10"/>
  <c r="G422" i="10"/>
  <c r="E422" i="10"/>
  <c r="F422" i="10" s="1"/>
  <c r="H419" i="10"/>
  <c r="G419" i="10"/>
  <c r="E419" i="10"/>
  <c r="F419" i="10" s="1"/>
  <c r="H416" i="10"/>
  <c r="G416" i="10"/>
  <c r="E416" i="10"/>
  <c r="F416" i="10" s="1"/>
  <c r="H413" i="10"/>
  <c r="G413" i="10"/>
  <c r="H411" i="10"/>
  <c r="G411" i="10"/>
  <c r="H408" i="10"/>
  <c r="E408" i="10"/>
  <c r="F408" i="10" s="1"/>
  <c r="H403" i="10"/>
  <c r="G403" i="10"/>
  <c r="E403" i="10"/>
  <c r="F403" i="10" s="1"/>
  <c r="E398" i="10"/>
  <c r="F398" i="10" s="1"/>
  <c r="H397" i="10"/>
  <c r="G397" i="10"/>
  <c r="E397" i="10"/>
  <c r="F397" i="10" s="1"/>
  <c r="E394" i="10"/>
  <c r="F394" i="10" s="1"/>
  <c r="H391" i="10"/>
  <c r="G391" i="10"/>
  <c r="E391" i="10"/>
  <c r="F391" i="10" s="1"/>
  <c r="E388" i="10"/>
  <c r="F388" i="10" s="1"/>
  <c r="H384" i="10"/>
  <c r="G384" i="10"/>
  <c r="H381" i="10"/>
  <c r="G381" i="10"/>
  <c r="E381" i="10"/>
  <c r="F381" i="10" s="1"/>
  <c r="H380" i="10"/>
  <c r="E379" i="10"/>
  <c r="F379" i="10" s="1"/>
  <c r="E376" i="10"/>
  <c r="F376" i="10" s="1"/>
  <c r="H368" i="10"/>
  <c r="G365" i="10"/>
  <c r="E365" i="10"/>
  <c r="F365" i="10" s="1"/>
  <c r="G362" i="10"/>
  <c r="E362" i="10"/>
  <c r="F362" i="10" s="1"/>
  <c r="E361" i="10"/>
  <c r="F361" i="10" s="1"/>
  <c r="G360" i="10"/>
  <c r="H357" i="10"/>
  <c r="G357" i="10"/>
  <c r="H352" i="10"/>
  <c r="G352" i="10"/>
  <c r="H349" i="10"/>
  <c r="G342" i="10"/>
  <c r="E342" i="10"/>
  <c r="F342" i="10" s="1"/>
  <c r="E341" i="10"/>
  <c r="F341" i="10" s="1"/>
  <c r="G340" i="10"/>
  <c r="E340" i="10"/>
  <c r="F340" i="10" s="1"/>
  <c r="E337" i="10"/>
  <c r="F337" i="10" s="1"/>
  <c r="H336" i="10"/>
  <c r="E334" i="10"/>
  <c r="F334" i="10" s="1"/>
  <c r="E333" i="10"/>
  <c r="F333" i="10" s="1"/>
  <c r="H329" i="10"/>
  <c r="H326" i="10"/>
  <c r="H323" i="10"/>
  <c r="G323" i="10"/>
  <c r="E323" i="10"/>
  <c r="F323" i="10" s="1"/>
  <c r="H322" i="10"/>
  <c r="H317" i="10"/>
  <c r="G317" i="10"/>
  <c r="E317" i="10"/>
  <c r="F317" i="10" s="1"/>
  <c r="H312" i="10"/>
  <c r="G312" i="10"/>
  <c r="E312" i="10"/>
  <c r="F312" i="10" s="1"/>
  <c r="H307" i="10"/>
  <c r="G307" i="10"/>
  <c r="E307" i="10"/>
  <c r="F307" i="10" s="1"/>
  <c r="H304" i="10"/>
  <c r="G304" i="10"/>
  <c r="E304" i="10"/>
  <c r="F304" i="10" s="1"/>
  <c r="H301" i="10"/>
  <c r="H295" i="10"/>
  <c r="G295" i="10"/>
  <c r="E295" i="10"/>
  <c r="F295" i="10" s="1"/>
  <c r="H291" i="10"/>
  <c r="G291" i="10"/>
  <c r="E291" i="10"/>
  <c r="F291" i="10" s="1"/>
  <c r="H288" i="10"/>
  <c r="G288" i="10"/>
  <c r="E288" i="10"/>
  <c r="F288" i="10" s="1"/>
  <c r="H287" i="10"/>
  <c r="G287" i="10"/>
  <c r="E287" i="10"/>
  <c r="F287" i="10" s="1"/>
  <c r="H284" i="10"/>
  <c r="G284" i="10"/>
  <c r="E284" i="10"/>
  <c r="F284" i="10" s="1"/>
  <c r="H283" i="10"/>
  <c r="G283" i="10"/>
  <c r="E283" i="10"/>
  <c r="F283" i="10" s="1"/>
  <c r="H280" i="10"/>
  <c r="G280" i="10"/>
  <c r="E280" i="10"/>
  <c r="F280" i="10" s="1"/>
  <c r="E278" i="10"/>
  <c r="F278" i="10" s="1"/>
  <c r="E277" i="10"/>
  <c r="F277" i="10" s="1"/>
  <c r="E275" i="10"/>
  <c r="F275" i="10" s="1"/>
  <c r="E273" i="10"/>
  <c r="F273" i="10" s="1"/>
  <c r="E271" i="10"/>
  <c r="F271" i="10" s="1"/>
  <c r="E269" i="10"/>
  <c r="F269" i="10" s="1"/>
  <c r="E268" i="10"/>
  <c r="F268" i="10" s="1"/>
  <c r="H266" i="10"/>
  <c r="G266" i="10"/>
  <c r="E266" i="10"/>
  <c r="F266" i="10" s="1"/>
  <c r="E264" i="10"/>
  <c r="F264" i="10" s="1"/>
  <c r="E263" i="10"/>
  <c r="F263" i="10" s="1"/>
  <c r="H262" i="10"/>
  <c r="G262" i="10"/>
  <c r="E260" i="10"/>
  <c r="F260" i="10" s="1"/>
  <c r="E259" i="10"/>
  <c r="F259" i="10" s="1"/>
  <c r="G256" i="10"/>
  <c r="E253" i="10"/>
  <c r="F253" i="10" s="1"/>
  <c r="E251" i="10"/>
  <c r="F251" i="10" s="1"/>
  <c r="E250" i="10"/>
  <c r="F250" i="10" s="1"/>
  <c r="H248" i="10"/>
  <c r="G248" i="10"/>
  <c r="E248" i="10"/>
  <c r="F248" i="10" s="1"/>
  <c r="E236" i="10"/>
  <c r="F236" i="10" s="1"/>
  <c r="H230" i="10"/>
  <c r="E226" i="10"/>
  <c r="F226" i="10" s="1"/>
  <c r="H223" i="10"/>
  <c r="H220" i="10"/>
  <c r="G220" i="10"/>
  <c r="E220" i="10"/>
  <c r="F220" i="10" s="1"/>
  <c r="H217" i="10"/>
  <c r="G217" i="10"/>
  <c r="E217" i="10"/>
  <c r="F217" i="10" s="1"/>
  <c r="H216" i="10"/>
  <c r="G216" i="10"/>
  <c r="E216" i="10"/>
  <c r="F216" i="10" s="1"/>
  <c r="H215" i="10"/>
  <c r="G215" i="10"/>
  <c r="E215" i="10"/>
  <c r="F215" i="10" s="1"/>
  <c r="E213" i="10"/>
  <c r="F213" i="10" s="1"/>
  <c r="H212" i="10"/>
  <c r="G212" i="10"/>
  <c r="E212" i="10"/>
  <c r="F212" i="10" s="1"/>
  <c r="H210" i="10"/>
  <c r="G210" i="10"/>
  <c r="H208" i="10"/>
  <c r="E208" i="10"/>
  <c r="F208" i="10" s="1"/>
  <c r="H207" i="10"/>
  <c r="G207" i="10"/>
  <c r="E207" i="10"/>
  <c r="F207" i="10" s="1"/>
  <c r="H205" i="10"/>
  <c r="G205" i="10"/>
  <c r="E205" i="10"/>
  <c r="F205" i="10" s="1"/>
  <c r="H199" i="10"/>
  <c r="G199" i="10"/>
  <c r="E199" i="10"/>
  <c r="F199" i="10" s="1"/>
  <c r="H196" i="10"/>
  <c r="G196" i="10"/>
  <c r="E196" i="10"/>
  <c r="F196" i="10" s="1"/>
  <c r="H191" i="10"/>
  <c r="G191" i="10"/>
  <c r="H188" i="10"/>
  <c r="G188" i="10"/>
  <c r="E188" i="10"/>
  <c r="F188" i="10" s="1"/>
  <c r="H185" i="10"/>
  <c r="G185" i="10"/>
  <c r="E185" i="10"/>
  <c r="F185" i="10" s="1"/>
  <c r="H182" i="10"/>
  <c r="G182" i="10"/>
  <c r="E182" i="10"/>
  <c r="F182" i="10" s="1"/>
  <c r="H180" i="10"/>
  <c r="G180" i="10"/>
  <c r="E180" i="10"/>
  <c r="F180" i="10" s="1"/>
  <c r="H179" i="10"/>
  <c r="G179" i="10"/>
  <c r="E179" i="10"/>
  <c r="F179" i="10" s="1"/>
  <c r="H177" i="10"/>
  <c r="H174" i="10"/>
  <c r="G174" i="10"/>
  <c r="E174" i="10"/>
  <c r="F174" i="10" s="1"/>
  <c r="H172" i="10"/>
  <c r="G172" i="10"/>
  <c r="E172" i="10"/>
  <c r="F172" i="10" s="1"/>
  <c r="E169" i="10"/>
  <c r="F169" i="10" s="1"/>
  <c r="H168" i="10"/>
  <c r="G168" i="10"/>
  <c r="E168" i="10"/>
  <c r="F168" i="10" s="1"/>
  <c r="H167" i="10"/>
  <c r="G167" i="10"/>
  <c r="E167" i="10"/>
  <c r="F167" i="10" s="1"/>
  <c r="H164" i="10"/>
  <c r="G164" i="10"/>
  <c r="E164" i="10"/>
  <c r="F164" i="10" s="1"/>
  <c r="E163" i="10"/>
  <c r="F163" i="10" s="1"/>
  <c r="G160" i="10"/>
  <c r="E160" i="10"/>
  <c r="F160" i="10" s="1"/>
  <c r="H157" i="10"/>
  <c r="G157" i="10"/>
  <c r="E157" i="10"/>
  <c r="F157" i="10" s="1"/>
  <c r="H156" i="10"/>
  <c r="G156" i="10"/>
  <c r="E156" i="10"/>
  <c r="F156" i="10" s="1"/>
  <c r="H155" i="10"/>
  <c r="G155" i="10"/>
  <c r="E155" i="10"/>
  <c r="F155" i="10" s="1"/>
  <c r="H153" i="10"/>
  <c r="G153" i="10"/>
  <c r="E153" i="10"/>
  <c r="F153" i="10" s="1"/>
  <c r="H152" i="10"/>
  <c r="G152" i="10"/>
  <c r="H148" i="10"/>
  <c r="G148" i="10"/>
  <c r="E148" i="10"/>
  <c r="F148" i="10" s="1"/>
  <c r="H141" i="10"/>
  <c r="G141" i="10"/>
  <c r="E141" i="10"/>
  <c r="F141" i="10" s="1"/>
  <c r="H127" i="10"/>
  <c r="G127" i="10"/>
  <c r="E127" i="10"/>
  <c r="F127" i="10" s="1"/>
  <c r="E126" i="10"/>
  <c r="F126" i="10" s="1"/>
  <c r="H125" i="10"/>
  <c r="G125" i="10"/>
  <c r="E125" i="10"/>
  <c r="F125" i="10" s="1"/>
  <c r="E115" i="10"/>
  <c r="F115" i="10" s="1"/>
  <c r="E112" i="10"/>
  <c r="F112" i="10" s="1"/>
  <c r="H111" i="10"/>
  <c r="G111" i="10"/>
  <c r="G109" i="10"/>
  <c r="E109" i="10"/>
  <c r="F109" i="10" s="1"/>
  <c r="H106" i="10"/>
  <c r="G106" i="10"/>
  <c r="G103" i="10"/>
  <c r="E103" i="10"/>
  <c r="F103" i="10" s="1"/>
  <c r="H102" i="10"/>
  <c r="G102" i="10"/>
  <c r="E102" i="10"/>
  <c r="F102" i="10" s="1"/>
  <c r="H101" i="10"/>
  <c r="G101" i="10"/>
  <c r="E101" i="10"/>
  <c r="F101" i="10" s="1"/>
  <c r="H98" i="10"/>
  <c r="G98" i="10"/>
  <c r="E98" i="10"/>
  <c r="F98" i="10" s="1"/>
  <c r="H95" i="10"/>
  <c r="G95" i="10"/>
  <c r="E95" i="10"/>
  <c r="F95" i="10" s="1"/>
  <c r="H93" i="10"/>
  <c r="E91" i="10"/>
  <c r="F91" i="10" s="1"/>
  <c r="H90" i="10"/>
  <c r="G90" i="10"/>
  <c r="E88" i="10"/>
  <c r="F88" i="10" s="1"/>
  <c r="H87" i="10"/>
  <c r="G87" i="10"/>
  <c r="E87" i="10"/>
  <c r="F87" i="10" s="1"/>
  <c r="E85" i="10"/>
  <c r="F85" i="10" s="1"/>
  <c r="H84" i="10"/>
  <c r="G84" i="10"/>
  <c r="E84" i="10"/>
  <c r="F84" i="10" s="1"/>
  <c r="H81" i="10"/>
  <c r="G81" i="10"/>
  <c r="E81" i="10"/>
  <c r="F81" i="10" s="1"/>
  <c r="H78" i="10"/>
  <c r="H63" i="10"/>
  <c r="H62" i="10"/>
  <c r="G62" i="10"/>
  <c r="E62" i="10"/>
  <c r="F62" i="10" s="1"/>
  <c r="H61" i="10"/>
  <c r="G61" i="10"/>
  <c r="E61" i="10"/>
  <c r="F61" i="10" s="1"/>
  <c r="H60" i="10"/>
  <c r="G60" i="10"/>
  <c r="E60" i="10"/>
  <c r="F60" i="10" s="1"/>
  <c r="E59" i="10"/>
  <c r="F59" i="10" s="1"/>
  <c r="H58" i="10"/>
  <c r="G58" i="10"/>
  <c r="E58" i="10"/>
  <c r="F58" i="10" s="1"/>
  <c r="K21" i="55"/>
  <c r="B10" i="47"/>
  <c r="K11" i="38" s="1"/>
  <c r="B10" i="46"/>
  <c r="K10" i="38" s="1"/>
  <c r="B10" i="41"/>
  <c r="K5" i="38" s="1"/>
  <c r="B11" i="40"/>
  <c r="J28" i="39"/>
  <c r="I27" i="39"/>
  <c r="I26" i="39"/>
  <c r="J25" i="39"/>
  <c r="J24" i="39"/>
  <c r="I24" i="39"/>
  <c r="J22" i="39"/>
  <c r="I21" i="39"/>
  <c r="J20" i="39"/>
  <c r="I19" i="39"/>
  <c r="I17" i="39"/>
  <c r="G1322" i="10"/>
  <c r="E1322" i="10"/>
  <c r="F1322" i="10" s="1"/>
  <c r="H1321" i="10"/>
  <c r="G1321" i="10"/>
  <c r="E1321" i="10"/>
  <c r="F1321" i="10" s="1"/>
  <c r="E1319" i="10"/>
  <c r="F1319" i="10" s="1"/>
  <c r="E1318" i="10"/>
  <c r="F1318" i="10" s="1"/>
  <c r="H1316" i="10"/>
  <c r="G1314" i="10"/>
  <c r="G1310" i="10"/>
  <c r="G1309" i="10"/>
  <c r="E1309" i="10"/>
  <c r="F1309" i="10" s="1"/>
  <c r="H1308" i="10"/>
  <c r="E1308" i="10"/>
  <c r="F1308" i="10" s="1"/>
  <c r="H1307" i="10"/>
  <c r="G1307" i="10"/>
  <c r="H1303" i="10"/>
  <c r="H1301" i="10"/>
  <c r="G1301" i="10"/>
  <c r="H1295" i="10"/>
  <c r="H1290" i="10"/>
  <c r="G1290" i="10"/>
  <c r="E1290" i="10"/>
  <c r="F1290" i="10" s="1"/>
  <c r="H1287" i="10"/>
  <c r="E1276" i="10"/>
  <c r="F1276" i="10" s="1"/>
  <c r="H1274" i="10"/>
  <c r="E1274" i="10"/>
  <c r="F1274" i="10" s="1"/>
  <c r="G1273" i="10"/>
  <c r="H1268" i="10"/>
  <c r="H1267" i="10"/>
  <c r="G1263" i="10"/>
  <c r="E1260" i="10"/>
  <c r="F1260" i="10" s="1"/>
  <c r="G1259" i="10"/>
  <c r="H1255" i="10"/>
  <c r="H1253" i="10"/>
  <c r="H1246" i="10"/>
  <c r="E1238" i="10"/>
  <c r="F1238" i="10" s="1"/>
  <c r="G1237" i="10"/>
  <c r="E644" i="10"/>
  <c r="F644" i="10" s="1"/>
  <c r="E497" i="10"/>
  <c r="F497" i="10" s="1"/>
  <c r="H55" i="10"/>
  <c r="G55" i="10"/>
  <c r="E55" i="10"/>
  <c r="F55" i="10" s="1"/>
  <c r="H54" i="10"/>
  <c r="G54" i="10"/>
  <c r="E54" i="10"/>
  <c r="F54" i="10" s="1"/>
  <c r="H53" i="10"/>
  <c r="G53" i="10"/>
  <c r="E53" i="10"/>
  <c r="F53" i="10" s="1"/>
  <c r="H52" i="10"/>
  <c r="G52" i="10"/>
  <c r="E52" i="10"/>
  <c r="F52" i="10" s="1"/>
  <c r="H51" i="10"/>
  <c r="G51" i="10"/>
  <c r="E51" i="10"/>
  <c r="F51" i="10" s="1"/>
  <c r="H50" i="10"/>
  <c r="G50" i="10"/>
  <c r="E50" i="10"/>
  <c r="F50" i="10" s="1"/>
  <c r="H49" i="10"/>
  <c r="G49" i="10"/>
  <c r="E49" i="10"/>
  <c r="F49" i="10" s="1"/>
  <c r="H48" i="10"/>
  <c r="G48" i="10"/>
  <c r="E48" i="10"/>
  <c r="F48" i="10" s="1"/>
  <c r="H47" i="10"/>
  <c r="G47" i="10"/>
  <c r="E47" i="10"/>
  <c r="F47" i="10" s="1"/>
  <c r="H46" i="10"/>
  <c r="G46" i="10"/>
  <c r="E46" i="10"/>
  <c r="F46" i="10" s="1"/>
  <c r="H45" i="10"/>
  <c r="G45" i="10"/>
  <c r="E45" i="10"/>
  <c r="F45" i="10" s="1"/>
  <c r="H44" i="10"/>
  <c r="G44" i="10"/>
  <c r="E44" i="10"/>
  <c r="F44" i="10" s="1"/>
  <c r="E43" i="10"/>
  <c r="F43" i="10" s="1"/>
  <c r="H42" i="10"/>
  <c r="G42" i="10"/>
  <c r="E42" i="10"/>
  <c r="F42" i="10" s="1"/>
  <c r="H41" i="10"/>
  <c r="G41" i="10"/>
  <c r="E41" i="10"/>
  <c r="F41" i="10" s="1"/>
  <c r="H40" i="10"/>
  <c r="G40" i="10"/>
  <c r="E40" i="10"/>
  <c r="F40" i="10" s="1"/>
  <c r="H39" i="10"/>
  <c r="G39" i="10"/>
  <c r="E39" i="10"/>
  <c r="F39" i="10" s="1"/>
  <c r="E38" i="10"/>
  <c r="F38" i="10" s="1"/>
  <c r="H37" i="10"/>
  <c r="G37" i="10"/>
  <c r="E37" i="10"/>
  <c r="F37" i="10" s="1"/>
  <c r="E36" i="10"/>
  <c r="F36" i="10" s="1"/>
  <c r="H35" i="10"/>
  <c r="G35" i="10"/>
  <c r="E35" i="10"/>
  <c r="F35" i="10" s="1"/>
  <c r="H34" i="10"/>
  <c r="G34" i="10"/>
  <c r="E34" i="10"/>
  <c r="F34" i="10" s="1"/>
  <c r="E33" i="10"/>
  <c r="F33" i="10" s="1"/>
  <c r="E32" i="10"/>
  <c r="F32" i="10" s="1"/>
  <c r="E31" i="10"/>
  <c r="F31" i="10" s="1"/>
  <c r="E30" i="10"/>
  <c r="F30" i="10" s="1"/>
  <c r="E29" i="10"/>
  <c r="F29" i="10" s="1"/>
  <c r="E28" i="10"/>
  <c r="F28" i="10" s="1"/>
  <c r="E27" i="10"/>
  <c r="F27" i="10" s="1"/>
  <c r="H26" i="10"/>
  <c r="G26" i="10"/>
  <c r="E26" i="10"/>
  <c r="F26" i="10" s="1"/>
  <c r="H25" i="10"/>
  <c r="G25" i="10"/>
  <c r="E25" i="10"/>
  <c r="F25" i="10" s="1"/>
  <c r="E24" i="10"/>
  <c r="F24" i="10" s="1"/>
  <c r="E23" i="10"/>
  <c r="F23" i="10" s="1"/>
  <c r="E22" i="10"/>
  <c r="F22" i="10" s="1"/>
  <c r="E21" i="10"/>
  <c r="F21" i="10" s="1"/>
  <c r="H20" i="10"/>
  <c r="G20" i="10"/>
  <c r="E20" i="10"/>
  <c r="F20" i="10" s="1"/>
  <c r="E19" i="10"/>
  <c r="F19" i="10" s="1"/>
  <c r="E18" i="10"/>
  <c r="F18" i="10" s="1"/>
  <c r="E17" i="10"/>
  <c r="F17" i="10" s="1"/>
  <c r="H16" i="10"/>
  <c r="G16" i="10"/>
  <c r="E16" i="10"/>
  <c r="F16" i="10" s="1"/>
  <c r="H15" i="10"/>
  <c r="G15" i="10"/>
  <c r="E15" i="10"/>
  <c r="F15" i="10" s="1"/>
  <c r="H14" i="10"/>
  <c r="G14" i="10"/>
  <c r="E14" i="10"/>
  <c r="F14" i="10" s="1"/>
  <c r="H13" i="10"/>
  <c r="G13" i="10"/>
  <c r="E13" i="10"/>
  <c r="F13" i="10" s="1"/>
  <c r="E12" i="10"/>
  <c r="F12" i="10" s="1"/>
  <c r="E11" i="10"/>
  <c r="F11" i="10" s="1"/>
  <c r="E10" i="10"/>
  <c r="F10" i="10" s="1"/>
  <c r="E9" i="10"/>
  <c r="F9" i="10" s="1"/>
  <c r="E8" i="10"/>
  <c r="F8" i="10" s="1"/>
  <c r="E7" i="10"/>
  <c r="F7" i="10" s="1"/>
  <c r="E6" i="10"/>
  <c r="F6" i="10" s="1"/>
  <c r="E5" i="10"/>
  <c r="F5" i="10" s="1"/>
  <c r="H4" i="10"/>
  <c r="G4" i="10"/>
  <c r="E4" i="10"/>
  <c r="F4" i="10" s="1"/>
  <c r="E3" i="10"/>
  <c r="F3" i="10" s="1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K21" i="57"/>
  <c r="B10" i="55"/>
  <c r="K19" i="38" s="1"/>
  <c r="K21" i="54"/>
  <c r="B13" i="54"/>
  <c r="B10" i="52"/>
  <c r="K16" i="38" s="1"/>
  <c r="K21" i="51"/>
  <c r="B10" i="51"/>
  <c r="K15" i="38" s="1"/>
  <c r="K21" i="50"/>
  <c r="B13" i="50"/>
  <c r="B11" i="50"/>
  <c r="I28" i="39"/>
  <c r="J27" i="39"/>
  <c r="J26" i="39"/>
  <c r="I25" i="39"/>
  <c r="J23" i="39"/>
  <c r="I20" i="39"/>
  <c r="J18" i="39"/>
  <c r="I16" i="39"/>
  <c r="H1322" i="10"/>
  <c r="G1312" i="10"/>
  <c r="H1305" i="10"/>
  <c r="E1301" i="10"/>
  <c r="F1301" i="10" s="1"/>
  <c r="G1295" i="10"/>
  <c r="H1293" i="10"/>
  <c r="G1288" i="10"/>
  <c r="G1278" i="10"/>
  <c r="H1277" i="10"/>
  <c r="H1276" i="10"/>
  <c r="G1274" i="10"/>
  <c r="G1272" i="10"/>
  <c r="G1271" i="10"/>
  <c r="E1266" i="10"/>
  <c r="F1266" i="10" s="1"/>
  <c r="G1265" i="10"/>
  <c r="H1260" i="10"/>
  <c r="G1258" i="10"/>
  <c r="H1257" i="10"/>
  <c r="H1256" i="10"/>
  <c r="H1254" i="10"/>
  <c r="H1248" i="10"/>
  <c r="G1247" i="10"/>
  <c r="E1246" i="10"/>
  <c r="F1246" i="10" s="1"/>
  <c r="E1245" i="10"/>
  <c r="F1245" i="10" s="1"/>
  <c r="G1243" i="10"/>
  <c r="E1243" i="10"/>
  <c r="F1243" i="10" s="1"/>
  <c r="G1242" i="10"/>
  <c r="E1242" i="10"/>
  <c r="F1242" i="10" s="1"/>
  <c r="G1241" i="10"/>
  <c r="H1239" i="10"/>
  <c r="G1234" i="10"/>
  <c r="DJ14" i="6"/>
  <c r="DJ13" i="6"/>
  <c r="DJ12" i="6"/>
  <c r="DJ11" i="6"/>
  <c r="DJ10" i="6"/>
  <c r="DJ9" i="6"/>
  <c r="DJ8" i="6"/>
  <c r="DJ7" i="6"/>
  <c r="DJ6" i="6"/>
  <c r="DJ5" i="6"/>
  <c r="DJ4" i="6"/>
  <c r="DJ3" i="6"/>
  <c r="C17" i="5"/>
  <c r="L15" i="29" s="1"/>
  <c r="C16" i="5"/>
  <c r="L14" i="29" s="1"/>
  <c r="C15" i="5"/>
  <c r="L13" i="29" s="1"/>
  <c r="C14" i="5"/>
  <c r="L12" i="29" s="1"/>
  <c r="C13" i="5"/>
  <c r="L11" i="29" s="1"/>
  <c r="C12" i="5"/>
  <c r="L10" i="29" s="1"/>
  <c r="C11" i="5"/>
  <c r="L9" i="29" s="1"/>
  <c r="C10" i="5"/>
  <c r="L8" i="29" s="1"/>
  <c r="C9" i="5"/>
  <c r="L7" i="29" s="1"/>
  <c r="C8" i="5"/>
  <c r="L6" i="29" s="1"/>
  <c r="B8" i="5"/>
  <c r="K6" i="29" s="1"/>
  <c r="C7" i="5"/>
  <c r="L5" i="29" s="1"/>
  <c r="C6" i="5"/>
  <c r="L4" i="29" s="1"/>
  <c r="F11" i="3"/>
  <c r="G11" i="3" s="1"/>
  <c r="E10" i="3"/>
  <c r="D10" i="3"/>
  <c r="C10" i="3"/>
  <c r="F10" i="3" s="1"/>
  <c r="G10" i="3" s="1"/>
  <c r="E9" i="3"/>
  <c r="D9" i="3"/>
  <c r="C9" i="3"/>
  <c r="F9" i="3" s="1"/>
  <c r="G9" i="3" s="1"/>
  <c r="E8" i="3"/>
  <c r="D8" i="3"/>
  <c r="C8" i="3"/>
  <c r="F8" i="3" s="1"/>
  <c r="G8" i="3" s="1"/>
  <c r="B5" i="3"/>
  <c r="B13" i="3" s="1"/>
  <c r="G10" i="2"/>
  <c r="L346" i="66"/>
  <c r="L312" i="66"/>
  <c r="L278" i="66"/>
  <c r="L244" i="66"/>
  <c r="L210" i="66"/>
  <c r="L176" i="66"/>
  <c r="L142" i="66"/>
  <c r="L108" i="66"/>
  <c r="L74" i="66"/>
  <c r="L40" i="66"/>
  <c r="L6" i="66"/>
  <c r="L490" i="65"/>
  <c r="L446" i="65"/>
  <c r="L402" i="65"/>
  <c r="L358" i="65"/>
  <c r="L314" i="65"/>
  <c r="L270" i="65"/>
  <c r="L226" i="65"/>
  <c r="L182" i="65"/>
  <c r="L138" i="65"/>
  <c r="L94" i="65"/>
  <c r="L50" i="65"/>
  <c r="L6" i="65"/>
  <c r="K21" i="64"/>
  <c r="B13" i="64"/>
  <c r="B10" i="64"/>
  <c r="K28" i="38" s="1"/>
  <c r="K21" i="63"/>
  <c r="B13" i="63"/>
  <c r="B10" i="63"/>
  <c r="K27" i="38" s="1"/>
  <c r="K21" i="62"/>
  <c r="B13" i="62"/>
  <c r="B10" i="62"/>
  <c r="K26" i="38" s="1"/>
  <c r="K21" i="61"/>
  <c r="B13" i="61"/>
  <c r="B10" i="61"/>
  <c r="K25" i="38" s="1"/>
  <c r="K21" i="60"/>
  <c r="B13" i="60"/>
  <c r="B10" i="60"/>
  <c r="K24" i="38" s="1"/>
  <c r="K21" i="59"/>
  <c r="B13" i="59"/>
  <c r="B10" i="59"/>
  <c r="K23" i="38" s="1"/>
  <c r="K21" i="58"/>
  <c r="B13" i="58"/>
  <c r="B10" i="58"/>
  <c r="K22" i="38" s="1"/>
  <c r="B13" i="57"/>
  <c r="B10" i="57"/>
  <c r="K21" i="38" s="1"/>
  <c r="K21" i="56"/>
  <c r="B13" i="56"/>
  <c r="B10" i="56"/>
  <c r="K20" i="38" s="1"/>
  <c r="B10" i="54"/>
  <c r="K18" i="38" s="1"/>
  <c r="B13" i="51"/>
  <c r="B11" i="51"/>
  <c r="B11" i="49"/>
  <c r="B10" i="48"/>
  <c r="K12" i="38" s="1"/>
  <c r="B11" i="47"/>
  <c r="B10" i="45"/>
  <c r="K9" i="38" s="1"/>
  <c r="B10" i="42"/>
  <c r="K6" i="38" s="1"/>
  <c r="I23" i="39"/>
  <c r="I22" i="39"/>
  <c r="J21" i="39"/>
  <c r="I18" i="39"/>
  <c r="J14" i="39"/>
  <c r="H1312" i="10"/>
  <c r="E1295" i="10"/>
  <c r="F1295" i="10" s="1"/>
  <c r="H1294" i="10"/>
  <c r="G1292" i="10"/>
  <c r="G1285" i="10"/>
  <c r="E1285" i="10"/>
  <c r="F1285" i="10" s="1"/>
  <c r="G1283" i="10"/>
  <c r="G1282" i="10"/>
  <c r="E1282" i="10"/>
  <c r="F1282" i="10" s="1"/>
  <c r="G1281" i="10"/>
  <c r="E1281" i="10"/>
  <c r="F1281" i="10" s="1"/>
  <c r="H1280" i="10"/>
  <c r="H1279" i="10"/>
  <c r="E1269" i="10"/>
  <c r="F1269" i="10" s="1"/>
  <c r="G1268" i="10"/>
  <c r="H1262" i="10"/>
  <c r="G1261" i="10"/>
  <c r="G1256" i="10"/>
  <c r="E1256" i="10"/>
  <c r="F1256" i="10" s="1"/>
  <c r="G1255" i="10"/>
  <c r="E1255" i="10"/>
  <c r="F1255" i="10" s="1"/>
  <c r="E1249" i="10"/>
  <c r="F1249" i="10" s="1"/>
  <c r="E1247" i="10"/>
  <c r="F1247" i="10" s="1"/>
  <c r="H1245" i="10"/>
  <c r="E1244" i="10"/>
  <c r="F1244" i="10" s="1"/>
  <c r="G1235" i="10"/>
  <c r="F16" i="26" l="1"/>
  <c r="E16" i="26"/>
  <c r="F21" i="26"/>
  <c r="G21" i="26" s="1"/>
  <c r="E21" i="26"/>
  <c r="I14" i="39"/>
  <c r="M15" i="12"/>
  <c r="I13" i="39"/>
  <c r="M14" i="12"/>
  <c r="I12" i="39"/>
  <c r="M13" i="12"/>
  <c r="I11" i="39"/>
  <c r="M12" i="12"/>
  <c r="I10" i="39"/>
  <c r="M11" i="12"/>
  <c r="I9" i="39"/>
  <c r="M10" i="12"/>
  <c r="I8" i="39"/>
  <c r="M9" i="12"/>
  <c r="I7" i="39"/>
  <c r="M8" i="12"/>
  <c r="I6" i="39"/>
  <c r="M7" i="12"/>
  <c r="I5" i="39"/>
  <c r="M6" i="12"/>
  <c r="B6" i="39"/>
  <c r="J4" i="39"/>
  <c r="B5" i="39"/>
  <c r="F6" i="3"/>
  <c r="G6" i="3" s="1"/>
  <c r="I4" i="39"/>
  <c r="M5" i="12"/>
  <c r="F13" i="27"/>
  <c r="B7" i="27"/>
  <c r="G13" i="26"/>
  <c r="E51" i="22"/>
  <c r="E53" i="1" s="1"/>
  <c r="D53" i="1"/>
  <c r="E50" i="22"/>
  <c r="E52" i="1" s="1"/>
  <c r="D52" i="1"/>
  <c r="E49" i="22"/>
  <c r="E51" i="1" s="1"/>
  <c r="D51" i="1"/>
  <c r="E48" i="22"/>
  <c r="E50" i="1" s="1"/>
  <c r="D50" i="1"/>
  <c r="E47" i="22"/>
  <c r="E49" i="1" s="1"/>
  <c r="D49" i="1"/>
  <c r="E46" i="22"/>
  <c r="E48" i="1" s="1"/>
  <c r="D48" i="1"/>
  <c r="E45" i="22"/>
  <c r="E47" i="1" s="1"/>
  <c r="D47" i="1"/>
  <c r="E44" i="22"/>
  <c r="E46" i="1" s="1"/>
  <c r="D46" i="1"/>
  <c r="E43" i="22"/>
  <c r="E45" i="1" s="1"/>
  <c r="D45" i="1"/>
  <c r="E42" i="22"/>
  <c r="E44" i="1" s="1"/>
  <c r="D44" i="1"/>
  <c r="E41" i="22"/>
  <c r="E43" i="1" s="1"/>
  <c r="D43" i="1"/>
  <c r="E40" i="22"/>
  <c r="E42" i="1" s="1"/>
  <c r="D42" i="1"/>
  <c r="E39" i="22"/>
  <c r="E41" i="1" s="1"/>
  <c r="D41" i="1"/>
  <c r="E38" i="22"/>
  <c r="E40" i="1" s="1"/>
  <c r="D40" i="1"/>
  <c r="E37" i="22"/>
  <c r="E39" i="1" s="1"/>
  <c r="D39" i="1"/>
  <c r="E36" i="22"/>
  <c r="E38" i="1" s="1"/>
  <c r="D38" i="1"/>
  <c r="E35" i="22"/>
  <c r="E37" i="1" s="1"/>
  <c r="D37" i="1"/>
  <c r="E34" i="22"/>
  <c r="E36" i="1" s="1"/>
  <c r="D36" i="1"/>
  <c r="E33" i="22"/>
  <c r="E35" i="1" s="1"/>
  <c r="D35" i="1"/>
  <c r="E32" i="22"/>
  <c r="E34" i="1" s="1"/>
  <c r="D34" i="1"/>
  <c r="E31" i="22"/>
  <c r="E33" i="1" s="1"/>
  <c r="D33" i="1"/>
  <c r="E30" i="22"/>
  <c r="E32" i="1" s="1"/>
  <c r="D32" i="1"/>
  <c r="E29" i="22"/>
  <c r="E31" i="1" s="1"/>
  <c r="D31" i="1"/>
  <c r="E28" i="22"/>
  <c r="E30" i="1" s="1"/>
  <c r="D30" i="1"/>
  <c r="E27" i="22"/>
  <c r="E29" i="1" s="1"/>
  <c r="D29" i="1"/>
  <c r="E26" i="22"/>
  <c r="E28" i="1" s="1"/>
  <c r="D28" i="1"/>
  <c r="E25" i="22"/>
  <c r="E27" i="1" s="1"/>
  <c r="D27" i="1"/>
  <c r="E24" i="22"/>
  <c r="E26" i="1" s="1"/>
  <c r="D26" i="1"/>
  <c r="E23" i="22"/>
  <c r="E25" i="1" s="1"/>
  <c r="D25" i="1"/>
  <c r="E22" i="22"/>
  <c r="E24" i="1" s="1"/>
  <c r="D24" i="1"/>
  <c r="E21" i="22"/>
  <c r="E23" i="1" s="1"/>
  <c r="D23" i="1"/>
  <c r="AJ15" i="22"/>
  <c r="E16" i="1" s="1"/>
  <c r="D16" i="1"/>
  <c r="AJ14" i="22"/>
  <c r="E15" i="1" s="1"/>
  <c r="D15" i="1"/>
  <c r="AJ13" i="22"/>
  <c r="E14" i="1" s="1"/>
  <c r="D14" i="1"/>
  <c r="AJ12" i="22"/>
  <c r="E13" i="1" s="1"/>
  <c r="D13" i="1"/>
  <c r="AJ11" i="22"/>
  <c r="E12" i="1" s="1"/>
  <c r="D12" i="1"/>
  <c r="AJ10" i="22"/>
  <c r="E11" i="1" s="1"/>
  <c r="D11" i="1"/>
  <c r="AJ9" i="22"/>
  <c r="E10" i="1" s="1"/>
  <c r="D10" i="1"/>
  <c r="AJ8" i="22"/>
  <c r="E9" i="1" s="1"/>
  <c r="D9" i="1"/>
  <c r="AJ7" i="22"/>
  <c r="E8" i="1" s="1"/>
  <c r="D8" i="1"/>
  <c r="AJ6" i="22"/>
  <c r="E7" i="1" s="1"/>
  <c r="D7" i="1"/>
  <c r="AJ5" i="22"/>
  <c r="E6" i="1" s="1"/>
  <c r="D6" i="1"/>
  <c r="AJ4" i="22"/>
  <c r="E5" i="1" s="1"/>
  <c r="D5" i="1"/>
  <c r="U5" i="12"/>
  <c r="E5" i="3" s="1"/>
  <c r="C5" i="3"/>
  <c r="D5" i="3"/>
  <c r="F890" i="10"/>
  <c r="G890" i="10"/>
  <c r="H8" i="38"/>
  <c r="H8" i="39" s="1"/>
  <c r="B12" i="44"/>
  <c r="Q8" i="38" s="1"/>
  <c r="K8" i="39" s="1"/>
  <c r="H7" i="38"/>
  <c r="H7" i="39" s="1"/>
  <c r="B12" i="43"/>
  <c r="Q7" i="38" s="1"/>
  <c r="K7" i="39" s="1"/>
  <c r="B12" i="40"/>
  <c r="Q4" i="38" s="1"/>
  <c r="H4" i="38"/>
  <c r="E127" i="6"/>
  <c r="C145" i="2" s="1"/>
  <c r="B145" i="2"/>
  <c r="E126" i="6"/>
  <c r="C144" i="2" s="1"/>
  <c r="B144" i="2"/>
  <c r="E125" i="6"/>
  <c r="C143" i="2" s="1"/>
  <c r="B143" i="2"/>
  <c r="E124" i="6"/>
  <c r="C142" i="2" s="1"/>
  <c r="B142" i="2"/>
  <c r="E123" i="6"/>
  <c r="C141" i="2" s="1"/>
  <c r="B141" i="2"/>
  <c r="E122" i="6"/>
  <c r="C140" i="2" s="1"/>
  <c r="B140" i="2"/>
  <c r="E121" i="6"/>
  <c r="C139" i="2" s="1"/>
  <c r="B139" i="2"/>
  <c r="E120" i="6"/>
  <c r="C138" i="2" s="1"/>
  <c r="B138" i="2"/>
  <c r="E119" i="6"/>
  <c r="C137" i="2" s="1"/>
  <c r="B137" i="2"/>
  <c r="E118" i="6"/>
  <c r="C136" i="2" s="1"/>
  <c r="B136" i="2"/>
  <c r="E117" i="6"/>
  <c r="C135" i="2" s="1"/>
  <c r="B135" i="2"/>
  <c r="E116" i="6"/>
  <c r="C134" i="2" s="1"/>
  <c r="B134" i="2"/>
  <c r="E115" i="6"/>
  <c r="C133" i="2" s="1"/>
  <c r="B133" i="2"/>
  <c r="E114" i="6"/>
  <c r="C132" i="2" s="1"/>
  <c r="B132" i="2"/>
  <c r="E113" i="6"/>
  <c r="C131" i="2" s="1"/>
  <c r="B131" i="2"/>
  <c r="E112" i="6"/>
  <c r="C130" i="2" s="1"/>
  <c r="B130" i="2"/>
  <c r="E111" i="6"/>
  <c r="C129" i="2" s="1"/>
  <c r="B129" i="2"/>
  <c r="E110" i="6"/>
  <c r="C128" i="2" s="1"/>
  <c r="B128" i="2"/>
  <c r="E109" i="6"/>
  <c r="C127" i="2" s="1"/>
  <c r="B127" i="2"/>
  <c r="E108" i="6"/>
  <c r="C126" i="2" s="1"/>
  <c r="B126" i="2"/>
  <c r="E107" i="6"/>
  <c r="C125" i="2" s="1"/>
  <c r="B125" i="2"/>
  <c r="E106" i="6"/>
  <c r="C124" i="2" s="1"/>
  <c r="B124" i="2"/>
  <c r="E105" i="6"/>
  <c r="C123" i="2" s="1"/>
  <c r="B123" i="2"/>
  <c r="E104" i="6"/>
  <c r="C122" i="2" s="1"/>
  <c r="B122" i="2"/>
  <c r="E103" i="6"/>
  <c r="C121" i="2" s="1"/>
  <c r="B121" i="2"/>
  <c r="E102" i="6"/>
  <c r="C120" i="2" s="1"/>
  <c r="B120" i="2"/>
  <c r="E101" i="6"/>
  <c r="C119" i="2" s="1"/>
  <c r="B119" i="2"/>
  <c r="E100" i="6"/>
  <c r="C118" i="2" s="1"/>
  <c r="B118" i="2"/>
  <c r="E99" i="6"/>
  <c r="C117" i="2" s="1"/>
  <c r="B117" i="2"/>
  <c r="E98" i="6"/>
  <c r="C116" i="2" s="1"/>
  <c r="B116" i="2"/>
  <c r="E97" i="6"/>
  <c r="C115" i="2" s="1"/>
  <c r="B115" i="2"/>
  <c r="E96" i="6"/>
  <c r="C114" i="2" s="1"/>
  <c r="B114" i="2"/>
  <c r="E95" i="6"/>
  <c r="C113" i="2" s="1"/>
  <c r="B113" i="2"/>
  <c r="E94" i="6"/>
  <c r="C112" i="2" s="1"/>
  <c r="B112" i="2"/>
  <c r="E93" i="6"/>
  <c r="C111" i="2" s="1"/>
  <c r="B111" i="2"/>
  <c r="E92" i="6"/>
  <c r="C110" i="2" s="1"/>
  <c r="B110" i="2"/>
  <c r="E91" i="6"/>
  <c r="C109" i="2" s="1"/>
  <c r="B109" i="2"/>
  <c r="E90" i="6"/>
  <c r="C108" i="2" s="1"/>
  <c r="B108" i="2"/>
  <c r="E89" i="6"/>
  <c r="C107" i="2" s="1"/>
  <c r="B107" i="2"/>
  <c r="E88" i="6"/>
  <c r="C106" i="2" s="1"/>
  <c r="B106" i="2"/>
  <c r="E87" i="6"/>
  <c r="C105" i="2" s="1"/>
  <c r="B105" i="2"/>
  <c r="E86" i="6"/>
  <c r="C104" i="2" s="1"/>
  <c r="B104" i="2"/>
  <c r="E85" i="6"/>
  <c r="C103" i="2" s="1"/>
  <c r="B103" i="2"/>
  <c r="E84" i="6"/>
  <c r="C102" i="2" s="1"/>
  <c r="B102" i="2"/>
  <c r="E83" i="6"/>
  <c r="C101" i="2" s="1"/>
  <c r="B101" i="2"/>
  <c r="E82" i="6"/>
  <c r="C100" i="2" s="1"/>
  <c r="B100" i="2"/>
  <c r="E81" i="6"/>
  <c r="C99" i="2" s="1"/>
  <c r="B99" i="2"/>
  <c r="E80" i="6"/>
  <c r="C98" i="2" s="1"/>
  <c r="B98" i="2"/>
  <c r="E79" i="6"/>
  <c r="C97" i="2" s="1"/>
  <c r="B97" i="2"/>
  <c r="E78" i="6"/>
  <c r="C96" i="2" s="1"/>
  <c r="B96" i="2"/>
  <c r="E77" i="6"/>
  <c r="C95" i="2" s="1"/>
  <c r="B95" i="2"/>
  <c r="E76" i="6"/>
  <c r="C94" i="2" s="1"/>
  <c r="B94" i="2"/>
  <c r="E75" i="6"/>
  <c r="C93" i="2" s="1"/>
  <c r="B93" i="2"/>
  <c r="E74" i="6"/>
  <c r="C92" i="2" s="1"/>
  <c r="B92" i="2"/>
  <c r="E73" i="6"/>
  <c r="C91" i="2" s="1"/>
  <c r="B91" i="2"/>
  <c r="E72" i="6"/>
  <c r="C90" i="2" s="1"/>
  <c r="B90" i="2"/>
  <c r="E71" i="6"/>
  <c r="C89" i="2" s="1"/>
  <c r="B89" i="2"/>
  <c r="E70" i="6"/>
  <c r="C88" i="2" s="1"/>
  <c r="B88" i="2"/>
  <c r="E69" i="6"/>
  <c r="C87" i="2" s="1"/>
  <c r="B87" i="2"/>
  <c r="E68" i="6"/>
  <c r="C86" i="2" s="1"/>
  <c r="B86" i="2"/>
  <c r="E67" i="6"/>
  <c r="C85" i="2" s="1"/>
  <c r="B85" i="2"/>
  <c r="E66" i="6"/>
  <c r="C84" i="2" s="1"/>
  <c r="B84" i="2"/>
  <c r="E65" i="6"/>
  <c r="C83" i="2" s="1"/>
  <c r="B83" i="2"/>
  <c r="E64" i="6"/>
  <c r="C82" i="2" s="1"/>
  <c r="B82" i="2"/>
  <c r="E63" i="6"/>
  <c r="C81" i="2" s="1"/>
  <c r="B81" i="2"/>
  <c r="E62" i="6"/>
  <c r="C80" i="2" s="1"/>
  <c r="B80" i="2"/>
  <c r="E61" i="6"/>
  <c r="C79" i="2" s="1"/>
  <c r="B79" i="2"/>
  <c r="E60" i="6"/>
  <c r="C78" i="2" s="1"/>
  <c r="B78" i="2"/>
  <c r="E59" i="6"/>
  <c r="C77" i="2" s="1"/>
  <c r="B77" i="2"/>
  <c r="E58" i="6"/>
  <c r="C76" i="2" s="1"/>
  <c r="B76" i="2"/>
  <c r="E57" i="6"/>
  <c r="C75" i="2" s="1"/>
  <c r="B75" i="2"/>
  <c r="E56" i="6"/>
  <c r="C74" i="2" s="1"/>
  <c r="B74" i="2"/>
  <c r="E55" i="6"/>
  <c r="C73" i="2" s="1"/>
  <c r="B73" i="2"/>
  <c r="E54" i="6"/>
  <c r="C72" i="2" s="1"/>
  <c r="B72" i="2"/>
  <c r="E53" i="6"/>
  <c r="C71" i="2" s="1"/>
  <c r="B71" i="2"/>
  <c r="E52" i="6"/>
  <c r="C70" i="2" s="1"/>
  <c r="B70" i="2"/>
  <c r="E51" i="6"/>
  <c r="C69" i="2" s="1"/>
  <c r="B69" i="2"/>
  <c r="E50" i="6"/>
  <c r="C68" i="2" s="1"/>
  <c r="B68" i="2"/>
  <c r="E49" i="6"/>
  <c r="C67" i="2" s="1"/>
  <c r="B67" i="2"/>
  <c r="E48" i="6"/>
  <c r="C66" i="2" s="1"/>
  <c r="B66" i="2"/>
  <c r="E47" i="6"/>
  <c r="C65" i="2" s="1"/>
  <c r="B65" i="2"/>
  <c r="E46" i="6"/>
  <c r="C64" i="2" s="1"/>
  <c r="B64" i="2"/>
  <c r="E45" i="6"/>
  <c r="C63" i="2" s="1"/>
  <c r="B63" i="2"/>
  <c r="E44" i="6"/>
  <c r="C62" i="2" s="1"/>
  <c r="B62" i="2"/>
  <c r="E43" i="6"/>
  <c r="C61" i="2" s="1"/>
  <c r="B61" i="2"/>
  <c r="E42" i="6"/>
  <c r="C60" i="2" s="1"/>
  <c r="B60" i="2"/>
  <c r="E41" i="6"/>
  <c r="C59" i="2" s="1"/>
  <c r="B59" i="2"/>
  <c r="E40" i="6"/>
  <c r="C58" i="2" s="1"/>
  <c r="B58" i="2"/>
  <c r="E39" i="6"/>
  <c r="C57" i="2" s="1"/>
  <c r="B57" i="2"/>
  <c r="E38" i="6"/>
  <c r="C56" i="2" s="1"/>
  <c r="B56" i="2"/>
  <c r="E37" i="6"/>
  <c r="C55" i="2" s="1"/>
  <c r="B55" i="2"/>
  <c r="E36" i="6"/>
  <c r="C54" i="2" s="1"/>
  <c r="B54" i="2"/>
  <c r="E35" i="6"/>
  <c r="C53" i="2" s="1"/>
  <c r="B53" i="2"/>
  <c r="E34" i="6"/>
  <c r="C52" i="2" s="1"/>
  <c r="B52" i="2"/>
  <c r="E33" i="6"/>
  <c r="C51" i="2" s="1"/>
  <c r="B51" i="2"/>
  <c r="E32" i="6"/>
  <c r="C50" i="2" s="1"/>
  <c r="B50" i="2"/>
  <c r="E31" i="6"/>
  <c r="C49" i="2" s="1"/>
  <c r="B49" i="2"/>
  <c r="E30" i="6"/>
  <c r="C48" i="2" s="1"/>
  <c r="B48" i="2"/>
  <c r="E29" i="6"/>
  <c r="C47" i="2" s="1"/>
  <c r="B47" i="2"/>
  <c r="E28" i="6"/>
  <c r="C46" i="2" s="1"/>
  <c r="B46" i="2"/>
  <c r="E27" i="6"/>
  <c r="C45" i="2" s="1"/>
  <c r="B45" i="2"/>
  <c r="E26" i="6"/>
  <c r="C44" i="2" s="1"/>
  <c r="B44" i="2"/>
  <c r="E25" i="6"/>
  <c r="C43" i="2" s="1"/>
  <c r="B43" i="2"/>
  <c r="E24" i="6"/>
  <c r="C42" i="2" s="1"/>
  <c r="B42" i="2"/>
  <c r="E23" i="6"/>
  <c r="C41" i="2" s="1"/>
  <c r="B41" i="2"/>
  <c r="E22" i="6"/>
  <c r="C40" i="2" s="1"/>
  <c r="B40" i="2"/>
  <c r="E21" i="6"/>
  <c r="C39" i="2" s="1"/>
  <c r="B39" i="2"/>
  <c r="E20" i="6"/>
  <c r="C38" i="2" s="1"/>
  <c r="B38" i="2"/>
  <c r="E19" i="6"/>
  <c r="C37" i="2" s="1"/>
  <c r="B37" i="2"/>
  <c r="H14" i="38"/>
  <c r="H14" i="39" s="1"/>
  <c r="B12" i="50"/>
  <c r="Q14" i="38" s="1"/>
  <c r="K14" i="39" s="1"/>
  <c r="DK14" i="6"/>
  <c r="E31" i="2" s="1"/>
  <c r="D31" i="2"/>
  <c r="DK13" i="6"/>
  <c r="E30" i="2" s="1"/>
  <c r="D30" i="2"/>
  <c r="DK12" i="6"/>
  <c r="E29" i="2" s="1"/>
  <c r="D29" i="2"/>
  <c r="DK11" i="6"/>
  <c r="E28" i="2" s="1"/>
  <c r="D28" i="2"/>
  <c r="DK10" i="6"/>
  <c r="E27" i="2" s="1"/>
  <c r="D27" i="2"/>
  <c r="DK9" i="6"/>
  <c r="E26" i="2" s="1"/>
  <c r="D26" i="2"/>
  <c r="DK8" i="6"/>
  <c r="E25" i="2" s="1"/>
  <c r="D25" i="2"/>
  <c r="DK7" i="6"/>
  <c r="E24" i="2" s="1"/>
  <c r="D24" i="2"/>
  <c r="DK6" i="6"/>
  <c r="E23" i="2" s="1"/>
  <c r="D23" i="2"/>
  <c r="DK5" i="6"/>
  <c r="E22" i="2" s="1"/>
  <c r="D22" i="2"/>
  <c r="DK4" i="6"/>
  <c r="E21" i="2" s="1"/>
  <c r="D21" i="2"/>
  <c r="DK3" i="6"/>
  <c r="D20" i="2"/>
  <c r="B12" i="51"/>
  <c r="Q15" i="38" s="1"/>
  <c r="K15" i="39" s="1"/>
  <c r="H15" i="38"/>
  <c r="H15" i="39" s="1"/>
  <c r="B12" i="49"/>
  <c r="Q13" i="38" s="1"/>
  <c r="K13" i="39" s="1"/>
  <c r="H13" i="38"/>
  <c r="H13" i="39" s="1"/>
  <c r="B12" i="47"/>
  <c r="Q11" i="38" s="1"/>
  <c r="K11" i="39" s="1"/>
  <c r="H11" i="38"/>
  <c r="H11" i="39" s="1"/>
  <c r="G1284" i="10"/>
  <c r="H1320" i="10"/>
  <c r="G1320" i="10"/>
  <c r="G1317" i="10"/>
  <c r="G1316" i="10"/>
  <c r="H1284" i="10"/>
  <c r="H1272" i="10"/>
  <c r="G1270" i="10"/>
  <c r="G1248" i="10"/>
  <c r="G1239" i="10"/>
  <c r="H1234" i="10"/>
  <c r="G1269" i="10"/>
  <c r="G1244" i="10"/>
  <c r="H1231" i="10"/>
  <c r="G1231" i="10"/>
  <c r="H1229" i="10"/>
  <c r="G1229" i="10"/>
  <c r="H1228" i="10"/>
  <c r="G1228" i="10"/>
  <c r="H1226" i="10"/>
  <c r="G1226" i="10"/>
  <c r="H1221" i="10"/>
  <c r="G1221" i="10"/>
  <c r="H1216" i="10"/>
  <c r="G1216" i="10"/>
  <c r="H1214" i="10"/>
  <c r="G1214" i="10"/>
  <c r="H1213" i="10"/>
  <c r="G1213" i="10"/>
  <c r="H1210" i="10"/>
  <c r="G1210" i="10"/>
  <c r="H1208" i="10"/>
  <c r="G1208" i="10"/>
  <c r="H1207" i="10"/>
  <c r="G1207" i="10"/>
  <c r="H1162" i="10"/>
  <c r="G1159" i="10"/>
  <c r="H1144" i="10"/>
  <c r="H1138" i="10"/>
  <c r="G1138" i="10"/>
  <c r="H1134" i="10"/>
  <c r="H1129" i="10"/>
  <c r="G1129" i="10"/>
  <c r="G1124" i="10"/>
  <c r="H1118" i="10"/>
  <c r="G1118" i="10"/>
  <c r="H1111" i="10"/>
  <c r="H1107" i="10"/>
  <c r="H1106" i="10"/>
  <c r="G1106" i="10"/>
  <c r="G1100" i="10"/>
  <c r="H1099" i="10"/>
  <c r="G1099" i="10"/>
  <c r="H1097" i="10"/>
  <c r="G1097" i="10"/>
  <c r="G901" i="10"/>
  <c r="G893" i="10"/>
  <c r="G892" i="10"/>
  <c r="H891" i="10"/>
  <c r="H1182" i="10"/>
  <c r="G1182" i="10"/>
  <c r="G1162" i="10"/>
  <c r="H1159" i="10"/>
  <c r="G1144" i="10"/>
  <c r="H1143" i="10"/>
  <c r="G1143" i="10"/>
  <c r="G1134" i="10"/>
  <c r="H1132" i="10"/>
  <c r="G1132" i="10"/>
  <c r="H1127" i="10"/>
  <c r="G1127" i="10"/>
  <c r="H1126" i="10"/>
  <c r="G1126" i="10"/>
  <c r="H1124" i="10"/>
  <c r="H1121" i="10"/>
  <c r="G1121" i="10"/>
  <c r="H1119" i="10"/>
  <c r="G1119" i="10"/>
  <c r="G1111" i="10"/>
  <c r="G1107" i="10"/>
  <c r="H1100" i="10"/>
  <c r="H1098" i="10"/>
  <c r="G1098" i="10"/>
  <c r="H1096" i="10"/>
  <c r="G1096" i="10"/>
  <c r="H912" i="10"/>
  <c r="H896" i="10"/>
  <c r="G891" i="10"/>
  <c r="G887" i="10"/>
  <c r="H885" i="10"/>
  <c r="G885" i="10"/>
  <c r="H442" i="10"/>
  <c r="H394" i="10"/>
  <c r="G337" i="10"/>
  <c r="H333" i="10"/>
  <c r="H939" i="10"/>
  <c r="G939" i="10"/>
  <c r="H924" i="10"/>
  <c r="G924" i="10"/>
  <c r="H918" i="10"/>
  <c r="G918" i="10"/>
  <c r="H915" i="10"/>
  <c r="G915" i="10"/>
  <c r="H911" i="10"/>
  <c r="G911" i="10"/>
  <c r="H909" i="10"/>
  <c r="G909" i="10"/>
  <c r="H904" i="10"/>
  <c r="G904" i="10"/>
  <c r="H889" i="10"/>
  <c r="G889" i="10"/>
  <c r="H888" i="10"/>
  <c r="H886" i="10"/>
  <c r="G886" i="10"/>
  <c r="H883" i="10"/>
  <c r="G883" i="10"/>
  <c r="H823" i="10"/>
  <c r="G823" i="10"/>
  <c r="H817" i="10"/>
  <c r="G817" i="10"/>
  <c r="H812" i="10"/>
  <c r="G812" i="10"/>
  <c r="H577" i="10"/>
  <c r="G577" i="10"/>
  <c r="H576" i="10"/>
  <c r="G576" i="10"/>
  <c r="H572" i="10"/>
  <c r="H569" i="10"/>
  <c r="G569" i="10"/>
  <c r="H566" i="10"/>
  <c r="G566" i="10"/>
  <c r="H561" i="10"/>
  <c r="G561" i="10"/>
  <c r="H554" i="10"/>
  <c r="G554" i="10"/>
  <c r="H550" i="10"/>
  <c r="G550" i="10"/>
  <c r="H548" i="10"/>
  <c r="G548" i="10"/>
  <c r="H502" i="10"/>
  <c r="G502" i="10"/>
  <c r="H472" i="10"/>
  <c r="G472" i="10"/>
  <c r="H464" i="10"/>
  <c r="G462" i="10"/>
  <c r="H459" i="10"/>
  <c r="G459" i="10"/>
  <c r="H451" i="10"/>
  <c r="G451" i="10"/>
  <c r="H378" i="10"/>
  <c r="G378" i="10"/>
  <c r="H364" i="10"/>
  <c r="G364" i="10"/>
  <c r="H353" i="10"/>
  <c r="G353" i="10"/>
  <c r="G351" i="10"/>
  <c r="H350" i="10"/>
  <c r="G350" i="10"/>
  <c r="G348" i="10"/>
  <c r="G336" i="10"/>
  <c r="H281" i="10"/>
  <c r="G281" i="10"/>
  <c r="H279" i="10"/>
  <c r="G279" i="10"/>
  <c r="H276" i="10"/>
  <c r="G276" i="10"/>
  <c r="H270" i="10"/>
  <c r="G270" i="10"/>
  <c r="H246" i="10"/>
  <c r="G246" i="10"/>
  <c r="H239" i="10"/>
  <c r="H233" i="10"/>
  <c r="G233" i="10"/>
  <c r="H232" i="10"/>
  <c r="G232" i="10"/>
  <c r="G227" i="10"/>
  <c r="H224" i="10"/>
  <c r="G224" i="10"/>
  <c r="G132" i="10"/>
  <c r="G912" i="10"/>
  <c r="G902" i="10"/>
  <c r="H893" i="10"/>
  <c r="H892" i="10"/>
  <c r="G888" i="10"/>
  <c r="G388" i="10"/>
  <c r="H376" i="10"/>
  <c r="G333" i="10"/>
  <c r="H278" i="10"/>
  <c r="G278" i="10"/>
  <c r="H277" i="10"/>
  <c r="H275" i="10"/>
  <c r="G273" i="10"/>
  <c r="H484" i="10"/>
  <c r="G484" i="10"/>
  <c r="H121" i="10"/>
  <c r="H117" i="10"/>
  <c r="G117" i="10"/>
  <c r="H112" i="10"/>
  <c r="G112" i="10"/>
  <c r="H108" i="10"/>
  <c r="G108" i="10"/>
  <c r="H64" i="10"/>
  <c r="G64" i="10"/>
  <c r="B11" i="52"/>
  <c r="B11" i="48"/>
  <c r="B11" i="45"/>
  <c r="H1269" i="10"/>
  <c r="G1254" i="10"/>
  <c r="H1064" i="10"/>
  <c r="G1064" i="10"/>
  <c r="H1052" i="10"/>
  <c r="G1052" i="10"/>
  <c r="H1050" i="10"/>
  <c r="G1050" i="10"/>
  <c r="H1049" i="10"/>
  <c r="G1049" i="10"/>
  <c r="H1034" i="10"/>
  <c r="G1034" i="10"/>
  <c r="H1033" i="10"/>
  <c r="G1033" i="10"/>
  <c r="H1028" i="10"/>
  <c r="G1028" i="10"/>
  <c r="H1019" i="10"/>
  <c r="G1019" i="10"/>
  <c r="H1014" i="10"/>
  <c r="G1014" i="10"/>
  <c r="H1011" i="10"/>
  <c r="G1011" i="10"/>
  <c r="H1009" i="10"/>
  <c r="G1009" i="10"/>
  <c r="H1008" i="10"/>
  <c r="G1008" i="10"/>
  <c r="H1006" i="10"/>
  <c r="G1006" i="10"/>
  <c r="H1001" i="10"/>
  <c r="G1001" i="10"/>
  <c r="H996" i="10"/>
  <c r="G996" i="10"/>
  <c r="H994" i="10"/>
  <c r="G994" i="10"/>
  <c r="H991" i="10"/>
  <c r="G991" i="10"/>
  <c r="H990" i="10"/>
  <c r="G990" i="10"/>
  <c r="H989" i="10"/>
  <c r="G989" i="10"/>
  <c r="H988" i="10"/>
  <c r="G988" i="10"/>
  <c r="H987" i="10"/>
  <c r="G987" i="10"/>
  <c r="H986" i="10"/>
  <c r="G986" i="10"/>
  <c r="H985" i="10"/>
  <c r="G985" i="10"/>
  <c r="H984" i="10"/>
  <c r="G984" i="10"/>
  <c r="H977" i="10"/>
  <c r="G977" i="10"/>
  <c r="H965" i="10"/>
  <c r="G965" i="10"/>
  <c r="H959" i="10"/>
  <c r="G959" i="10"/>
  <c r="H954" i="10"/>
  <c r="G954" i="10"/>
  <c r="H952" i="10"/>
  <c r="G952" i="10"/>
  <c r="H950" i="10"/>
  <c r="G950" i="10"/>
  <c r="H949" i="10"/>
  <c r="G949" i="10"/>
  <c r="H947" i="10"/>
  <c r="G947" i="10"/>
  <c r="H942" i="10"/>
  <c r="G942" i="10"/>
  <c r="H923" i="10"/>
  <c r="G923" i="10"/>
  <c r="H917" i="10"/>
  <c r="G917" i="10"/>
  <c r="H914" i="10"/>
  <c r="G914" i="10"/>
  <c r="H902" i="10"/>
  <c r="H901" i="10"/>
  <c r="H899" i="10"/>
  <c r="G899" i="10"/>
  <c r="H898" i="10"/>
  <c r="G898" i="10"/>
  <c r="G896" i="10"/>
  <c r="H887" i="10"/>
  <c r="G277" i="10"/>
  <c r="G275" i="10"/>
  <c r="H1022" i="10"/>
  <c r="G1022" i="10"/>
  <c r="H884" i="10"/>
  <c r="G884" i="10"/>
  <c r="H844" i="10"/>
  <c r="G844" i="10"/>
  <c r="H824" i="10"/>
  <c r="G824" i="10"/>
  <c r="H822" i="10"/>
  <c r="G822" i="10"/>
  <c r="H810" i="10"/>
  <c r="G810" i="10"/>
  <c r="H594" i="10"/>
  <c r="G594" i="10"/>
  <c r="H588" i="10"/>
  <c r="G588" i="10"/>
  <c r="G585" i="10"/>
  <c r="H579" i="10"/>
  <c r="G579" i="10"/>
  <c r="H574" i="10"/>
  <c r="G574" i="10"/>
  <c r="H573" i="10"/>
  <c r="G573" i="10"/>
  <c r="H571" i="10"/>
  <c r="G571" i="10"/>
  <c r="H568" i="10"/>
  <c r="G568" i="10"/>
  <c r="H564" i="10"/>
  <c r="G564" i="10"/>
  <c r="H556" i="10"/>
  <c r="G556" i="10"/>
  <c r="H555" i="10"/>
  <c r="G555" i="10"/>
  <c r="H546" i="10"/>
  <c r="G546" i="10"/>
  <c r="H499" i="10"/>
  <c r="G499" i="10"/>
  <c r="H478" i="10"/>
  <c r="G478" i="10"/>
  <c r="H474" i="10"/>
  <c r="G474" i="10"/>
  <c r="H469" i="10"/>
  <c r="G469" i="10"/>
  <c r="G458" i="10"/>
  <c r="H444" i="10"/>
  <c r="G444" i="10"/>
  <c r="G438" i="10"/>
  <c r="H430" i="10"/>
  <c r="G430" i="10"/>
  <c r="H696" i="10"/>
  <c r="H692" i="10"/>
  <c r="G689" i="10"/>
  <c r="H688" i="10"/>
  <c r="G688" i="10"/>
  <c r="G687" i="10"/>
  <c r="G685" i="10"/>
  <c r="H684" i="10"/>
  <c r="G684" i="10"/>
  <c r="H681" i="10"/>
  <c r="G681" i="10"/>
  <c r="G679" i="10"/>
  <c r="H678" i="10"/>
  <c r="G678" i="10"/>
  <c r="G676" i="10"/>
  <c r="H674" i="10"/>
  <c r="G674" i="10"/>
  <c r="H672" i="10"/>
  <c r="G672" i="10"/>
  <c r="H668" i="10"/>
  <c r="G668" i="10"/>
  <c r="H667" i="10"/>
  <c r="G667" i="10"/>
  <c r="G666" i="10"/>
  <c r="H665" i="10"/>
  <c r="G665" i="10"/>
  <c r="G664" i="10"/>
  <c r="H659" i="10"/>
  <c r="G659" i="10"/>
  <c r="H658" i="10"/>
  <c r="G658" i="10"/>
  <c r="H657" i="10"/>
  <c r="H609" i="10"/>
  <c r="G609" i="10"/>
  <c r="H593" i="10"/>
  <c r="H582" i="10"/>
  <c r="G547" i="10"/>
  <c r="G269" i="10"/>
  <c r="H263" i="10"/>
  <c r="H389" i="10"/>
  <c r="G389" i="10"/>
  <c r="H386" i="10"/>
  <c r="G386" i="10"/>
  <c r="G383" i="10"/>
  <c r="H382" i="10"/>
  <c r="G382" i="10"/>
  <c r="H374" i="10"/>
  <c r="G374" i="10"/>
  <c r="H369" i="10"/>
  <c r="G369" i="10"/>
  <c r="H360" i="10"/>
  <c r="H359" i="10"/>
  <c r="G359" i="10"/>
  <c r="H356" i="10"/>
  <c r="G356" i="10"/>
  <c r="H351" i="10"/>
  <c r="H348" i="10"/>
  <c r="H346" i="10"/>
  <c r="G346" i="10"/>
  <c r="H344" i="10"/>
  <c r="G344" i="10"/>
  <c r="H339" i="10"/>
  <c r="G339" i="10"/>
  <c r="H338" i="10"/>
  <c r="G338" i="10"/>
  <c r="H335" i="10"/>
  <c r="G335" i="10"/>
  <c r="H334" i="10"/>
  <c r="G334" i="10"/>
  <c r="H328" i="10"/>
  <c r="G328" i="10"/>
  <c r="H264" i="10"/>
  <c r="G264" i="10"/>
  <c r="H260" i="10"/>
  <c r="H258" i="10"/>
  <c r="G258" i="10"/>
  <c r="H255" i="10"/>
  <c r="G255" i="10"/>
  <c r="H252" i="10"/>
  <c r="G252" i="10"/>
  <c r="H249" i="10"/>
  <c r="G249" i="10"/>
  <c r="G247" i="10"/>
  <c r="H243" i="10"/>
  <c r="G243" i="10"/>
  <c r="H242" i="10"/>
  <c r="G242" i="10"/>
  <c r="H241" i="10"/>
  <c r="G241" i="10"/>
  <c r="G238" i="10"/>
  <c r="G235" i="10"/>
  <c r="G234" i="10"/>
  <c r="G231" i="10"/>
  <c r="H228" i="10"/>
  <c r="G228" i="10"/>
  <c r="H227" i="10"/>
  <c r="H225" i="10"/>
  <c r="G225" i="10"/>
  <c r="H218" i="10"/>
  <c r="G483" i="10"/>
  <c r="G464" i="10"/>
  <c r="G442" i="10"/>
  <c r="H337" i="10"/>
  <c r="H271" i="10"/>
  <c r="H269" i="10"/>
  <c r="H268" i="10"/>
  <c r="H143" i="10"/>
  <c r="G143" i="10"/>
  <c r="H142" i="10"/>
  <c r="G142" i="10"/>
  <c r="H135" i="10"/>
  <c r="G135" i="10"/>
  <c r="H133" i="10"/>
  <c r="G133" i="10"/>
  <c r="H129" i="10"/>
  <c r="G129" i="10"/>
  <c r="H128" i="10"/>
  <c r="G128" i="10"/>
  <c r="G121" i="10"/>
  <c r="H118" i="10"/>
  <c r="G118" i="10"/>
  <c r="H115" i="10"/>
  <c r="G115" i="10"/>
  <c r="B11" i="55"/>
  <c r="B11" i="53"/>
  <c r="F12" i="3"/>
  <c r="G12" i="3" s="1"/>
  <c r="G1253" i="10"/>
  <c r="H790" i="10"/>
  <c r="G790" i="10"/>
  <c r="H776" i="10"/>
  <c r="G776" i="10"/>
  <c r="H773" i="10"/>
  <c r="G773" i="10"/>
  <c r="H772" i="10"/>
  <c r="G772" i="10"/>
  <c r="H770" i="10"/>
  <c r="G770" i="10"/>
  <c r="H769" i="10"/>
  <c r="G769" i="10"/>
  <c r="H768" i="10"/>
  <c r="G768" i="10"/>
  <c r="H767" i="10"/>
  <c r="G767" i="10"/>
  <c r="H766" i="10"/>
  <c r="G766" i="10"/>
  <c r="H753" i="10"/>
  <c r="G753" i="10"/>
  <c r="H734" i="10"/>
  <c r="G734" i="10"/>
  <c r="H722" i="10"/>
  <c r="G722" i="10"/>
  <c r="H719" i="10"/>
  <c r="G719" i="10"/>
  <c r="H706" i="10"/>
  <c r="G706" i="10"/>
  <c r="H705" i="10"/>
  <c r="G705" i="10"/>
  <c r="H704" i="10"/>
  <c r="G704" i="10"/>
  <c r="H703" i="10"/>
  <c r="G703" i="10"/>
  <c r="H699" i="10"/>
  <c r="G699" i="10"/>
  <c r="H698" i="10"/>
  <c r="G698" i="10"/>
  <c r="H697" i="10"/>
  <c r="G697" i="10"/>
  <c r="G696" i="10"/>
  <c r="H694" i="10"/>
  <c r="G694" i="10"/>
  <c r="H693" i="10"/>
  <c r="G693" i="10"/>
  <c r="G692" i="10"/>
  <c r="H691" i="10"/>
  <c r="G691" i="10"/>
  <c r="H689" i="10"/>
  <c r="H687" i="10"/>
  <c r="H685" i="10"/>
  <c r="H682" i="10"/>
  <c r="G682" i="10"/>
  <c r="H680" i="10"/>
  <c r="G680" i="10"/>
  <c r="H679" i="10"/>
  <c r="H676" i="10"/>
  <c r="H673" i="10"/>
  <c r="G673" i="10"/>
  <c r="H671" i="10"/>
  <c r="G671" i="10"/>
  <c r="H666" i="10"/>
  <c r="H664" i="10"/>
  <c r="G657" i="10"/>
  <c r="H656" i="10"/>
  <c r="G656" i="10"/>
  <c r="G593" i="10"/>
  <c r="H585" i="10"/>
  <c r="G582" i="10"/>
  <c r="H558" i="10"/>
  <c r="G558" i="10"/>
  <c r="H547" i="10"/>
  <c r="G394" i="10"/>
  <c r="G379" i="10"/>
  <c r="H273" i="10"/>
  <c r="G260" i="10"/>
  <c r="H724" i="10"/>
  <c r="G724" i="10"/>
  <c r="H612" i="10"/>
  <c r="G612" i="10"/>
  <c r="H259" i="10"/>
  <c r="G259" i="10"/>
  <c r="H254" i="10"/>
  <c r="G254" i="10"/>
  <c r="G253" i="10"/>
  <c r="H251" i="10"/>
  <c r="H250" i="10"/>
  <c r="G250" i="10"/>
  <c r="H247" i="10"/>
  <c r="H245" i="10"/>
  <c r="G245" i="10"/>
  <c r="G239" i="10"/>
  <c r="G236" i="10"/>
  <c r="H234" i="10"/>
  <c r="G226" i="10"/>
  <c r="H169" i="10"/>
  <c r="G169" i="10"/>
  <c r="H132" i="10"/>
  <c r="H126" i="10"/>
  <c r="G126" i="10"/>
  <c r="H59" i="10"/>
  <c r="G59" i="10"/>
  <c r="B11" i="42"/>
  <c r="H1318" i="10"/>
  <c r="G1318" i="10"/>
  <c r="H43" i="10"/>
  <c r="G43" i="10"/>
  <c r="H38" i="10"/>
  <c r="G38" i="10"/>
  <c r="H36" i="10"/>
  <c r="G36" i="10"/>
  <c r="H33" i="10"/>
  <c r="G33" i="10"/>
  <c r="H32" i="10"/>
  <c r="G32" i="10"/>
  <c r="H31" i="10"/>
  <c r="G31" i="10"/>
  <c r="H30" i="10"/>
  <c r="G30" i="10"/>
  <c r="H29" i="10"/>
  <c r="G29" i="10"/>
  <c r="H28" i="10"/>
  <c r="G28" i="10"/>
  <c r="H27" i="10"/>
  <c r="G27" i="10"/>
  <c r="B11" i="63"/>
  <c r="B11" i="59"/>
  <c r="B11" i="58"/>
  <c r="B11" i="56"/>
  <c r="H1244" i="10"/>
  <c r="E41" i="29"/>
  <c r="F41" i="29" s="1"/>
  <c r="G41" i="29" s="1"/>
  <c r="E40" i="29"/>
  <c r="F40" i="29" s="1"/>
  <c r="G40" i="29" s="1"/>
  <c r="E39" i="29"/>
  <c r="F39" i="29" s="1"/>
  <c r="G39" i="29" s="1"/>
  <c r="E38" i="29"/>
  <c r="F38" i="29" s="1"/>
  <c r="G38" i="29" s="1"/>
  <c r="E37" i="29"/>
  <c r="F37" i="29" s="1"/>
  <c r="G37" i="29" s="1"/>
  <c r="E33" i="29"/>
  <c r="F33" i="29" s="1"/>
  <c r="G33" i="29" s="1"/>
  <c r="E32" i="29"/>
  <c r="F32" i="29" s="1"/>
  <c r="G32" i="29" s="1"/>
  <c r="E31" i="29"/>
  <c r="F31" i="29" s="1"/>
  <c r="G31" i="29" s="1"/>
  <c r="E30" i="29"/>
  <c r="F30" i="29" s="1"/>
  <c r="G30" i="29" s="1"/>
  <c r="E29" i="29"/>
  <c r="F29" i="29" s="1"/>
  <c r="G29" i="29" s="1"/>
  <c r="E28" i="29"/>
  <c r="F28" i="29" s="1"/>
  <c r="G28" i="29" s="1"/>
  <c r="E27" i="29"/>
  <c r="F27" i="29" s="1"/>
  <c r="G27" i="29" s="1"/>
  <c r="E26" i="29"/>
  <c r="F26" i="29" s="1"/>
  <c r="G26" i="29" s="1"/>
  <c r="E25" i="29"/>
  <c r="F25" i="29" s="1"/>
  <c r="G25" i="29" s="1"/>
  <c r="E23" i="29"/>
  <c r="F23" i="29" s="1"/>
  <c r="G23" i="29" s="1"/>
  <c r="E22" i="29"/>
  <c r="F22" i="29" s="1"/>
  <c r="G22" i="29" s="1"/>
  <c r="E21" i="29"/>
  <c r="F21" i="29" s="1"/>
  <c r="G21" i="29" s="1"/>
  <c r="E20" i="29"/>
  <c r="F20" i="29" s="1"/>
  <c r="G20" i="29" s="1"/>
  <c r="E19" i="29"/>
  <c r="F19" i="29" s="1"/>
  <c r="G19" i="29" s="1"/>
  <c r="E17" i="29"/>
  <c r="F17" i="29" s="1"/>
  <c r="G17" i="29" s="1"/>
  <c r="E16" i="29"/>
  <c r="F16" i="29" s="1"/>
  <c r="G16" i="29" s="1"/>
  <c r="E15" i="29"/>
  <c r="F15" i="29" s="1"/>
  <c r="G15" i="29" s="1"/>
  <c r="E13" i="29"/>
  <c r="F13" i="29" s="1"/>
  <c r="G13" i="29" s="1"/>
  <c r="E12" i="29"/>
  <c r="F12" i="29" s="1"/>
  <c r="G12" i="29" s="1"/>
  <c r="E10" i="29"/>
  <c r="F10" i="29" s="1"/>
  <c r="G10" i="29" s="1"/>
  <c r="E9" i="29"/>
  <c r="H388" i="10"/>
  <c r="G271" i="10"/>
  <c r="G268" i="10"/>
  <c r="G263" i="10"/>
  <c r="H24" i="10"/>
  <c r="G24" i="10"/>
  <c r="H23" i="10"/>
  <c r="G23" i="10"/>
  <c r="H22" i="10"/>
  <c r="G22" i="10"/>
  <c r="H21" i="10"/>
  <c r="G21" i="10"/>
  <c r="H19" i="10"/>
  <c r="G19" i="10"/>
  <c r="H18" i="10"/>
  <c r="G18" i="10"/>
  <c r="H17" i="10"/>
  <c r="G17" i="10"/>
  <c r="H12" i="10"/>
  <c r="G12" i="10"/>
  <c r="H11" i="10"/>
  <c r="G11" i="10"/>
  <c r="H10" i="10"/>
  <c r="G10" i="10"/>
  <c r="H9" i="10"/>
  <c r="G9" i="10"/>
  <c r="H8" i="10"/>
  <c r="G8" i="10"/>
  <c r="H7" i="10"/>
  <c r="G7" i="10"/>
  <c r="H6" i="10"/>
  <c r="G6" i="10"/>
  <c r="H5" i="10"/>
  <c r="G5" i="10"/>
  <c r="H3" i="10"/>
  <c r="G3" i="10"/>
  <c r="B11" i="57"/>
  <c r="B11" i="54"/>
  <c r="B11" i="46"/>
  <c r="B11" i="41"/>
  <c r="H1319" i="10"/>
  <c r="G1319" i="10"/>
  <c r="B11" i="64"/>
  <c r="B11" i="62"/>
  <c r="B11" i="61"/>
  <c r="B11" i="60"/>
  <c r="E36" i="29"/>
  <c r="F36" i="29" s="1"/>
  <c r="G36" i="29" s="1"/>
  <c r="E35" i="29"/>
  <c r="F35" i="29" s="1"/>
  <c r="G35" i="29" s="1"/>
  <c r="E14" i="29"/>
  <c r="F14" i="29" s="1"/>
  <c r="G14" i="29" s="1"/>
  <c r="H483" i="10"/>
  <c r="H379" i="10"/>
  <c r="G376" i="10"/>
  <c r="G16" i="26" l="1"/>
  <c r="B7" i="26"/>
  <c r="D17" i="11"/>
  <c r="B21" i="11"/>
  <c r="C21" i="11"/>
  <c r="D21" i="11"/>
  <c r="B12" i="11"/>
  <c r="C15" i="11"/>
  <c r="D16" i="11"/>
  <c r="C16" i="11"/>
  <c r="C13" i="11"/>
  <c r="D13" i="11"/>
  <c r="B13" i="11"/>
  <c r="C12" i="11"/>
  <c r="D12" i="11"/>
  <c r="B17" i="11"/>
  <c r="C17" i="11"/>
  <c r="E5" i="27"/>
  <c r="E6" i="27"/>
  <c r="E7" i="27"/>
  <c r="B9" i="27"/>
  <c r="B8" i="26"/>
  <c r="B9" i="26"/>
  <c r="B10" i="26"/>
  <c r="F5" i="3"/>
  <c r="B8" i="39"/>
  <c r="C6" i="3"/>
  <c r="K4" i="39"/>
  <c r="H4" i="39"/>
  <c r="I7" i="2"/>
  <c r="K7" i="2"/>
  <c r="A10" i="2"/>
  <c r="E20" i="2"/>
  <c r="D22" i="11"/>
  <c r="C22" i="11"/>
  <c r="B22" i="11"/>
  <c r="D19" i="11"/>
  <c r="C19" i="11"/>
  <c r="B19" i="11"/>
  <c r="D14" i="11"/>
  <c r="C14" i="11"/>
  <c r="B14" i="11"/>
  <c r="H16" i="38"/>
  <c r="H16" i="39" s="1"/>
  <c r="B12" i="52"/>
  <c r="Q16" i="38" s="1"/>
  <c r="K16" i="39" s="1"/>
  <c r="B12" i="48"/>
  <c r="Q12" i="38" s="1"/>
  <c r="K12" i="39" s="1"/>
  <c r="H12" i="38"/>
  <c r="H12" i="39" s="1"/>
  <c r="B12" i="45"/>
  <c r="Q9" i="38" s="1"/>
  <c r="K9" i="39" s="1"/>
  <c r="H9" i="38"/>
  <c r="H9" i="39" s="1"/>
  <c r="H19" i="38"/>
  <c r="H19" i="39" s="1"/>
  <c r="B12" i="55"/>
  <c r="Q19" i="38" s="1"/>
  <c r="K19" i="39" s="1"/>
  <c r="H17" i="38"/>
  <c r="H17" i="39" s="1"/>
  <c r="B12" i="53"/>
  <c r="Q17" i="38" s="1"/>
  <c r="K17" i="39" s="1"/>
  <c r="D18" i="11"/>
  <c r="C18" i="11"/>
  <c r="B18" i="11"/>
  <c r="H6" i="38"/>
  <c r="H6" i="39" s="1"/>
  <c r="B12" i="42"/>
  <c r="Q6" i="38" s="1"/>
  <c r="K6" i="39" s="1"/>
  <c r="H27" i="38"/>
  <c r="H27" i="39" s="1"/>
  <c r="B12" i="63"/>
  <c r="Q27" i="38" s="1"/>
  <c r="K27" i="39" s="1"/>
  <c r="H23" i="38"/>
  <c r="H23" i="39" s="1"/>
  <c r="B12" i="59"/>
  <c r="Q23" i="38" s="1"/>
  <c r="K23" i="39" s="1"/>
  <c r="H22" i="38"/>
  <c r="H22" i="39" s="1"/>
  <c r="B12" i="58"/>
  <c r="Q22" i="38" s="1"/>
  <c r="K22" i="39" s="1"/>
  <c r="H20" i="38"/>
  <c r="H20" i="39" s="1"/>
  <c r="B12" i="56"/>
  <c r="Q20" i="38" s="1"/>
  <c r="K20" i="39" s="1"/>
  <c r="F5" i="29"/>
  <c r="B5" i="29"/>
  <c r="F9" i="29"/>
  <c r="B5" i="11"/>
  <c r="C11" i="11"/>
  <c r="D11" i="11"/>
  <c r="B11" i="11"/>
  <c r="B4" i="11"/>
  <c r="B6" i="11"/>
  <c r="B12" i="57"/>
  <c r="Q21" i="38" s="1"/>
  <c r="K21" i="39" s="1"/>
  <c r="H21" i="38"/>
  <c r="H21" i="39" s="1"/>
  <c r="H18" i="38"/>
  <c r="H18" i="39" s="1"/>
  <c r="B12" i="54"/>
  <c r="Q18" i="38" s="1"/>
  <c r="K18" i="39" s="1"/>
  <c r="B12" i="46"/>
  <c r="Q10" i="38" s="1"/>
  <c r="K10" i="39" s="1"/>
  <c r="H10" i="38"/>
  <c r="H10" i="39" s="1"/>
  <c r="H5" i="38"/>
  <c r="H5" i="39" s="1"/>
  <c r="B12" i="41"/>
  <c r="Q5" i="38" s="1"/>
  <c r="K5" i="39" s="1"/>
  <c r="H28" i="38"/>
  <c r="H28" i="39" s="1"/>
  <c r="B12" i="64"/>
  <c r="Q28" i="38" s="1"/>
  <c r="K28" i="39" s="1"/>
  <c r="H26" i="38"/>
  <c r="H26" i="39" s="1"/>
  <c r="B12" i="62"/>
  <c r="Q26" i="38" s="1"/>
  <c r="K26" i="39" s="1"/>
  <c r="H25" i="38"/>
  <c r="H25" i="39" s="1"/>
  <c r="B12" i="61"/>
  <c r="Q25" i="38" s="1"/>
  <c r="K25" i="39" s="1"/>
  <c r="H24" i="38"/>
  <c r="H24" i="39" s="1"/>
  <c r="B12" i="60"/>
  <c r="Q24" i="38" s="1"/>
  <c r="K24" i="39" s="1"/>
  <c r="B20" i="11"/>
  <c r="D20" i="11"/>
  <c r="C20" i="11"/>
  <c r="B16" i="11"/>
  <c r="B7" i="11"/>
  <c r="B15" i="11"/>
  <c r="D15" i="11"/>
  <c r="E13" i="11" l="1"/>
  <c r="E14" i="11"/>
  <c r="E21" i="11"/>
  <c r="E18" i="11"/>
  <c r="E19" i="11"/>
  <c r="E17" i="11"/>
  <c r="E16" i="11"/>
  <c r="E15" i="11"/>
  <c r="E12" i="11"/>
  <c r="G5" i="3"/>
  <c r="F13" i="3"/>
  <c r="G13" i="3" s="1"/>
  <c r="K13" i="2"/>
  <c r="K14" i="2"/>
  <c r="K15" i="2"/>
  <c r="G9" i="29"/>
  <c r="C5" i="29"/>
  <c r="D5" i="29"/>
  <c r="E5" i="29"/>
  <c r="G5" i="29"/>
  <c r="D6" i="3"/>
  <c r="D13" i="3" s="1"/>
  <c r="E6" i="3"/>
  <c r="E13" i="3" s="1"/>
  <c r="C7" i="3"/>
  <c r="D7" i="3"/>
  <c r="E7" i="3"/>
  <c r="C12" i="3"/>
  <c r="D12" i="3"/>
  <c r="E12" i="3"/>
  <c r="B9" i="39"/>
  <c r="B7" i="39"/>
  <c r="F7" i="3"/>
  <c r="G7" i="3" s="1"/>
  <c r="B4" i="39"/>
  <c r="E22" i="11"/>
  <c r="E11" i="11"/>
  <c r="B8" i="11"/>
  <c r="E20" i="11"/>
  <c r="C1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A1" authorId="0" shapeId="0" xr:uid="{00000000-0006-0000-0100-000001000000}">
      <text>
        <r>
          <rPr>
            <sz val="11"/>
            <color rgb="FF000000"/>
            <rFont val="Calibri"/>
          </rPr>
          <t>Professional dashboard with RAG rules and completion metrics. RAG: Green ≥90%, Amber 75-89%, Red &lt;75%.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A1" authorId="0" shapeId="0" xr:uid="{00000000-0006-0000-0500-000001000000}">
      <text>
        <r>
          <rPr>
            <sz val="11"/>
            <color rgb="FF000000"/>
            <rFont val="Calibri"/>
          </rPr>
          <t>Updated from results_details completed courses only. NS, IP, Failed and blank results were not used to overwrite the matrix.</t>
        </r>
      </text>
    </comment>
  </commentList>
</comments>
</file>

<file path=xl/sharedStrings.xml><?xml version="1.0" encoding="utf-8"?>
<sst xmlns="http://schemas.openxmlformats.org/spreadsheetml/2006/main" count="33758" uniqueCount="1354">
  <si>
    <t>Training Compliance Dashboard – Consolidated Matrix</t>
  </si>
  <si>
    <t>Staff Compliance</t>
  </si>
  <si>
    <t>Staff</t>
  </si>
  <si>
    <t>Completed</t>
  </si>
  <si>
    <t>Total</t>
  </si>
  <si>
    <t>Compliance %</t>
  </si>
  <si>
    <t>RAG</t>
  </si>
  <si>
    <t>SW tabs Training % now pulls from this Staff Compliance %</t>
  </si>
  <si>
    <t>Training Topic Compliance</t>
  </si>
  <si>
    <t>Training Topic</t>
  </si>
  <si>
    <t>Total Staff</t>
  </si>
  <si>
    <t>Completion %</t>
  </si>
  <si>
    <t>Swan Care Home – Training Compliance Dashboard (June 2026)</t>
  </si>
  <si>
    <t>Executive KPIs</t>
  </si>
  <si>
    <t>Total Courses</t>
  </si>
  <si>
    <t>Completed Results Imported</t>
  </si>
  <si>
    <t>Overall Compliance</t>
  </si>
  <si>
    <t>Green Staff</t>
  </si>
  <si>
    <t>Amber Staff</t>
  </si>
  <si>
    <t>Red Staff</t>
  </si>
  <si>
    <t>Not Started Items</t>
  </si>
  <si>
    <t>In Progress Items</t>
  </si>
  <si>
    <t>CQC Training RAG</t>
  </si>
  <si>
    <t>RAG Rules</t>
  </si>
  <si>
    <t>Count</t>
  </si>
  <si>
    <t>GREEN</t>
  </si>
  <si>
    <t>≥ 80% completed</t>
  </si>
  <si>
    <t>AMBER</t>
  </si>
  <si>
    <t>60% - 79% completed</t>
  </si>
  <si>
    <t>RED</t>
  </si>
  <si>
    <t>&lt; 60% completed</t>
  </si>
  <si>
    <t>Staff Name</t>
  </si>
  <si>
    <t>Missing/NS</t>
  </si>
  <si>
    <t>In Progress</t>
  </si>
  <si>
    <t>Course Compliance</t>
  </si>
  <si>
    <t>Course</t>
  </si>
  <si>
    <t>People &amp; Workforce Dashboard</t>
  </si>
  <si>
    <t>This dashboard has been added without changing your existing Training Dashboard. It reads from the new workforce trackers.</t>
  </si>
  <si>
    <t>Area</t>
  </si>
  <si>
    <t>Total Records</t>
  </si>
  <si>
    <t>Completed / Closed</t>
  </si>
  <si>
    <t>Open / In Progress</t>
  </si>
  <si>
    <t>Overdue / Red</t>
  </si>
  <si>
    <t>Notes</t>
  </si>
  <si>
    <t>Recruitment</t>
  </si>
  <si>
    <t>Linked to Recruitment Matrix</t>
  </si>
  <si>
    <t>Induction</t>
  </si>
  <si>
    <t>Linked to Induction Employee Register</t>
  </si>
  <si>
    <t>Personnel / Staff File</t>
  </si>
  <si>
    <t>Linked to SW001-SW025 staff tabs</t>
  </si>
  <si>
    <t>DBS</t>
  </si>
  <si>
    <t>Linked to staff file DBS Received?</t>
  </si>
  <si>
    <t>Right to Work</t>
  </si>
  <si>
    <t>Linked to staff file RTW Received?</t>
  </si>
  <si>
    <t>Probation</t>
  </si>
  <si>
    <t>Linked to staff file Probation Received?</t>
  </si>
  <si>
    <t>Sponsorship</t>
  </si>
  <si>
    <t>Applies only where Sponsorship Required = Yes</t>
  </si>
  <si>
    <t>Training</t>
  </si>
  <si>
    <t>Linked to existing training dashboard where available</t>
  </si>
  <si>
    <t>Overall Workforce</t>
  </si>
  <si>
    <t>Average of linked compliance areas</t>
  </si>
  <si>
    <t>Added Workforce Audit Tabs</t>
  </si>
  <si>
    <t>Recruitment Audit</t>
  </si>
  <si>
    <t>Added and ready for use</t>
  </si>
  <si>
    <t>Staff File Audit</t>
  </si>
  <si>
    <t>Training Audit</t>
  </si>
  <si>
    <t>Competency Audit</t>
  </si>
  <si>
    <t>Supervision Audit</t>
  </si>
  <si>
    <t>Observation Audit</t>
  </si>
  <si>
    <t>Appraisal Audit</t>
  </si>
  <si>
    <t>Swan Care Home - Workforce Annual Audit Index</t>
  </si>
  <si>
    <t>Audit Tab</t>
  </si>
  <si>
    <t>Frequency</t>
  </si>
  <si>
    <t>Year Covered</t>
  </si>
  <si>
    <t>Staff Only?</t>
  </si>
  <si>
    <t>Sponsorship Integrated?</t>
  </si>
  <si>
    <t>Periods Included</t>
  </si>
  <si>
    <t>Questions per Period</t>
  </si>
  <si>
    <t>Monthly</t>
  </si>
  <si>
    <t>2026</t>
  </si>
  <si>
    <t>Yes</t>
  </si>
  <si>
    <t>Yes - Yes/No/N/A</t>
  </si>
  <si>
    <t>January, February, March, April, May, June, July, August, September, October, November, December</t>
  </si>
  <si>
    <t>Full year held in this one tab</t>
  </si>
  <si>
    <t>Quarterly</t>
  </si>
  <si>
    <t>Quarter 1 (Jan-Mar), Quarter 2 (Apr-Jun), Quarter 3 (Jul-Sep), Quarter 4 (Oct-Dec)</t>
  </si>
  <si>
    <t>Induction Audit</t>
  </si>
  <si>
    <t>Probation Audit</t>
  </si>
  <si>
    <t>Training Matrix Summary</t>
  </si>
  <si>
    <t>Total staff</t>
  </si>
  <si>
    <t>Completed / Staff</t>
  </si>
  <si>
    <t>Safeguarding and Protection of Adults</t>
  </si>
  <si>
    <t>Fire Safety</t>
  </si>
  <si>
    <t>Fire Marshal / Fire Warden</t>
  </si>
  <si>
    <t>Moving and Handling</t>
  </si>
  <si>
    <t>Basic Life Support</t>
  </si>
  <si>
    <t>Infection Control</t>
  </si>
  <si>
    <t>Dementia Awareness</t>
  </si>
  <si>
    <t>Carol (Domestic)</t>
  </si>
  <si>
    <t>Food Hygiene</t>
  </si>
  <si>
    <t>End of Life Care</t>
  </si>
  <si>
    <t>Diabetes Awareness</t>
  </si>
  <si>
    <t>The Oliver McGowan Mandatory Training</t>
  </si>
  <si>
    <t>Sepsis</t>
  </si>
  <si>
    <t>Keys</t>
  </si>
  <si>
    <t>Failed</t>
  </si>
  <si>
    <t>Expiring Soon</t>
  </si>
  <si>
    <t>Expired</t>
  </si>
  <si>
    <t>Not Started</t>
  </si>
  <si>
    <t>Learner's Name</t>
  </si>
  <si>
    <t>Care Certificate</t>
  </si>
  <si>
    <t>Falls Awareness</t>
  </si>
  <si>
    <t>Equality, Diversity, Inclusion</t>
  </si>
  <si>
    <t>PEG Feeding</t>
  </si>
  <si>
    <t>Nutrition and Hydration</t>
  </si>
  <si>
    <t>Duty of Care</t>
  </si>
  <si>
    <t>Health and Safety</t>
  </si>
  <si>
    <t>Communication and Record Keeping</t>
  </si>
  <si>
    <t>Risk Assessment</t>
  </si>
  <si>
    <t>Managing Continence</t>
  </si>
  <si>
    <t>Constipation Basic Awareness</t>
  </si>
  <si>
    <t>Anxiety</t>
  </si>
  <si>
    <t>Dysphagia</t>
  </si>
  <si>
    <t>Slips Trips and Falls Awareness</t>
  </si>
  <si>
    <t>Oral Care</t>
  </si>
  <si>
    <t>Care Planning</t>
  </si>
  <si>
    <t>Positive Behaviour Support</t>
  </si>
  <si>
    <t>Parkinson's</t>
  </si>
  <si>
    <t>Duty of Candour</t>
  </si>
  <si>
    <t>Food Safety Level 3</t>
  </si>
  <si>
    <t>COSHH</t>
  </si>
  <si>
    <t>RIDDOR</t>
  </si>
  <si>
    <t>A Care Workers Role</t>
  </si>
  <si>
    <t>Recording Information</t>
  </si>
  <si>
    <t>Personal Care</t>
  </si>
  <si>
    <t>Behaviours that Challenge</t>
  </si>
  <si>
    <t>Person Centred Care</t>
  </si>
  <si>
    <t>Pressure Care and Moisture Lesion Awareness</t>
  </si>
  <si>
    <t>Stroke Awareness</t>
  </si>
  <si>
    <t>Bereavement Awareness</t>
  </si>
  <si>
    <t>DeChoker</t>
  </si>
  <si>
    <t>Continence Promotion</t>
  </si>
  <si>
    <t>Catheter Care</t>
  </si>
  <si>
    <t>Mental Capacity</t>
  </si>
  <si>
    <t>Hand Hygiene</t>
  </si>
  <si>
    <t>The Use of PPE</t>
  </si>
  <si>
    <t>Wellbeing in the Workplace</t>
  </si>
  <si>
    <t>Dignity, Privacy and Respect</t>
  </si>
  <si>
    <t>Bullying and Harassment Awareness</t>
  </si>
  <si>
    <t>Complaints Handling</t>
  </si>
  <si>
    <t>Dignity in Care</t>
  </si>
  <si>
    <t>Verification of Death</t>
  </si>
  <si>
    <t>Whistleblowing</t>
  </si>
  <si>
    <t>HACCP Awareness</t>
  </si>
  <si>
    <t>Communication</t>
  </si>
  <si>
    <t>Basic Observations</t>
  </si>
  <si>
    <t>Accessible Information</t>
  </si>
  <si>
    <t>Bed Rails and Risk Management Awareness</t>
  </si>
  <si>
    <t>Fire Safety Lite</t>
  </si>
  <si>
    <t>First Aid</t>
  </si>
  <si>
    <t>Moving and Handling Lite</t>
  </si>
  <si>
    <t>Pressure Area Care</t>
  </si>
  <si>
    <t>Professional Boundaries</t>
  </si>
  <si>
    <t>Buccal Midazolam</t>
  </si>
  <si>
    <t>GDPR 1</t>
  </si>
  <si>
    <t>GDPR 2</t>
  </si>
  <si>
    <t>Induction to Dementia</t>
  </si>
  <si>
    <t>Induction to End of Life Care</t>
  </si>
  <si>
    <t>Induction to Mental Health</t>
  </si>
  <si>
    <t>Infection Control Lite</t>
  </si>
  <si>
    <t>Manual Handling of Objects</t>
  </si>
  <si>
    <t>Medication Practice</t>
  </si>
  <si>
    <t>Medication Practice Lite</t>
  </si>
  <si>
    <t>Motor Neurone Disease</t>
  </si>
  <si>
    <t>Multiple Sclerosis</t>
  </si>
  <si>
    <t>Sexual Harassment Awareness</t>
  </si>
  <si>
    <t>Information Governance</t>
  </si>
  <si>
    <t>Legionnaires Disease</t>
  </si>
  <si>
    <t>Lone Working</t>
  </si>
  <si>
    <t>Mental Health</t>
  </si>
  <si>
    <t>LGBTQ+ Aware for Care</t>
  </si>
  <si>
    <t>Epilepsy Awareness</t>
  </si>
  <si>
    <t>Emergency First Aid Awareness</t>
  </si>
  <si>
    <t>Epilepsy Level 3</t>
  </si>
  <si>
    <t>SALT (Speech And Language Therapy)</t>
  </si>
  <si>
    <t>Sensory Impairment Awareness</t>
  </si>
  <si>
    <t>FGM Awareness</t>
  </si>
  <si>
    <t>Social Media and Online Privacy</t>
  </si>
  <si>
    <t>Stress Awareness</t>
  </si>
  <si>
    <t>Stoma Care Awareness</t>
  </si>
  <si>
    <t>Allergen Awareness</t>
  </si>
  <si>
    <t>Concussion Awareness</t>
  </si>
  <si>
    <t>Coronavirus Awareness and Infection Control</t>
  </si>
  <si>
    <t>Disability Awareness</t>
  </si>
  <si>
    <t>Information Governance and Data Security</t>
  </si>
  <si>
    <t>Internet Safety Awareness</t>
  </si>
  <si>
    <t>Interview Skills</t>
  </si>
  <si>
    <t>Introduction to Sepsis</t>
  </si>
  <si>
    <t>Managing People Awareness</t>
  </si>
  <si>
    <t>Moving and Handling of People Awareness Level 2</t>
  </si>
  <si>
    <t>Multiple Sclerosis (MS)</t>
  </si>
  <si>
    <t>Palliative and End of Life Care</t>
  </si>
  <si>
    <t>Safeguarding of Adults Level 3 CSTF Aligned</t>
  </si>
  <si>
    <t>Bowel Care and Management</t>
  </si>
  <si>
    <t>Fluids and Nutrition</t>
  </si>
  <si>
    <t>UK GDPR and Information Sharing</t>
  </si>
  <si>
    <t>Working in Person Centred Way</t>
  </si>
  <si>
    <t>Food Hygiene in Care</t>
  </si>
  <si>
    <t>Completed Count</t>
  </si>
  <si>
    <t>Missing / Not Started</t>
  </si>
  <si>
    <t>Niranjala Dissanayake</t>
  </si>
  <si>
    <t>NS</t>
  </si>
  <si>
    <t>23/06/2026</t>
  </si>
  <si>
    <t>13/04/2026</t>
  </si>
  <si>
    <t>22/06/2026</t>
  </si>
  <si>
    <t>Chelsee Booth</t>
  </si>
  <si>
    <t>IP</t>
  </si>
  <si>
    <t>Paula Merry</t>
  </si>
  <si>
    <t>21/06/2026</t>
  </si>
  <si>
    <t>19/06/2026</t>
  </si>
  <si>
    <t>Nathan Thomas</t>
  </si>
  <si>
    <t>31/01/2025</t>
  </si>
  <si>
    <t>26/06/2026</t>
  </si>
  <si>
    <t>Joel Jose</t>
  </si>
  <si>
    <t>23/02/2026</t>
  </si>
  <si>
    <t>21/01/2026</t>
  </si>
  <si>
    <t>11/02/2026</t>
  </si>
  <si>
    <t>06/02/2026</t>
  </si>
  <si>
    <t>03/03/2026</t>
  </si>
  <si>
    <t>12/02/2026</t>
  </si>
  <si>
    <t>20/01/2026</t>
  </si>
  <si>
    <t>Firos Latheef</t>
  </si>
  <si>
    <t>22/02/2026</t>
  </si>
  <si>
    <t>23/01/2026</t>
  </si>
  <si>
    <t>Kathleen Evans</t>
  </si>
  <si>
    <t>09/02/2026</t>
  </si>
  <si>
    <t>13/07/2024</t>
  </si>
  <si>
    <t>06/03/2025</t>
  </si>
  <si>
    <t>13/02/2026</t>
  </si>
  <si>
    <t>20/06/2026</t>
  </si>
  <si>
    <t>Sahil Sahil</t>
  </si>
  <si>
    <t>30/01/2026</t>
  </si>
  <si>
    <t>19/04/2026</t>
  </si>
  <si>
    <t>Haritha Sasidharan</t>
  </si>
  <si>
    <t>05/10/2025</t>
  </si>
  <si>
    <t>28/10/2023</t>
  </si>
  <si>
    <t>29/10/2023</t>
  </si>
  <si>
    <t>07/02/2026</t>
  </si>
  <si>
    <t>16/01/2026</t>
  </si>
  <si>
    <t>Abhina</t>
  </si>
  <si>
    <t>29/09/2025</t>
  </si>
  <si>
    <t>18/02/2026</t>
  </si>
  <si>
    <t>17/02/2026</t>
  </si>
  <si>
    <t>27/09/2025</t>
  </si>
  <si>
    <t>26/09/2025</t>
  </si>
  <si>
    <t>16/02/2026</t>
  </si>
  <si>
    <t>05/12/2025</t>
  </si>
  <si>
    <t>15/07/2024</t>
  </si>
  <si>
    <t>08/02/2026</t>
  </si>
  <si>
    <t>05/11/2024</t>
  </si>
  <si>
    <t>02/02/2026</t>
  </si>
  <si>
    <t>15/02/2026</t>
  </si>
  <si>
    <t>26/02/2026</t>
  </si>
  <si>
    <t>26/02/2025</t>
  </si>
  <si>
    <t>Harry</t>
  </si>
  <si>
    <t>12/10/2025</t>
  </si>
  <si>
    <t>25/09/2025</t>
  </si>
  <si>
    <t>11/10/2025</t>
  </si>
  <si>
    <t>03/11/2025</t>
  </si>
  <si>
    <t>07/10/2025</t>
  </si>
  <si>
    <t>Completion % by Training Topic</t>
  </si>
  <si>
    <t>Course Compliance Summary</t>
  </si>
  <si>
    <t>Key</t>
  </si>
  <si>
    <t>Description</t>
  </si>
  <si>
    <t>Training session that has been started but are not completed</t>
  </si>
  <si>
    <t>Date of when the last training session was completed and is still current</t>
  </si>
  <si>
    <t>Date of latest training session where the test attempt failed</t>
  </si>
  <si>
    <t>Date of completed training session that will expire in the next 30 days</t>
  </si>
  <si>
    <t>Date the training session expired</t>
  </si>
  <si>
    <t>Enrolled in a training session but has not started</t>
  </si>
  <si>
    <t>Completion Date</t>
  </si>
  <si>
    <t>Previous Matrix Value</t>
  </si>
  <si>
    <t>Import Note</t>
  </si>
  <si>
    <t>24/06/2026</t>
  </si>
  <si>
    <t>18/06/2026</t>
  </si>
  <si>
    <t>11/06/2026</t>
  </si>
  <si>
    <t>Renewal Frequency (Months)</t>
  </si>
  <si>
    <t>Validity set to 36 months; next due date calculated automatically</t>
  </si>
  <si>
    <t>Editable - used to support renewal/expiry review</t>
  </si>
  <si>
    <t>Validity set to 12 months; next due date calculated automatically</t>
  </si>
  <si>
    <t>Training Due Date &amp; RAG Tracker</t>
  </si>
  <si>
    <t>Completed Date</t>
  </si>
  <si>
    <t>Validity (Months)</t>
  </si>
  <si>
    <t>Next Course Due</t>
  </si>
  <si>
    <t>Days Until Due</t>
  </si>
  <si>
    <t>Status</t>
  </si>
  <si>
    <t>Evidence / Notes</t>
  </si>
  <si>
    <t>Training Expiry Dashboard</t>
  </si>
  <si>
    <t>Metric</t>
  </si>
  <si>
    <t>Value</t>
  </si>
  <si>
    <t>Current / Green</t>
  </si>
  <si>
    <t>Expiring Soon / Amber</t>
  </si>
  <si>
    <t>Expired or Not Started / Red</t>
  </si>
  <si>
    <t>Overall Current Compliance</t>
  </si>
  <si>
    <t>Green</t>
  </si>
  <si>
    <t>Amber</t>
  </si>
  <si>
    <t>Red</t>
  </si>
  <si>
    <t>RAG logic: GREEN = current and not due within 30 days; AMBER = due within 30 days or in progress; RED = expired or not started. Validity periods are held in the Renewal Rules sheet and can be amended if the provider's policy changes.</t>
  </si>
  <si>
    <t>Recruitment Matrix</t>
  </si>
  <si>
    <t>Sponsorship Required?</t>
  </si>
  <si>
    <t>Sponsored / Non-Sponsored</t>
  </si>
  <si>
    <t>Visa/eVisa Evidence</t>
  </si>
  <si>
    <t>Certificate of Sponsorship No.</t>
  </si>
  <si>
    <t>Occupation Code</t>
  </si>
  <si>
    <t>Salary Compliant?</t>
  </si>
  <si>
    <t>Contracted Hours Compliant?</t>
  </si>
  <si>
    <t>Home Office Review Date</t>
  </si>
  <si>
    <t>Employment Rights Explained</t>
  </si>
  <si>
    <t>Reporting Duties Explained</t>
  </si>
  <si>
    <t>Sponsorship Comments</t>
  </si>
  <si>
    <t>Complete this tracker as part of the workforce evidence pack. Keep evidence location/file reference for each entry.</t>
  </si>
  <si>
    <t>Role</t>
  </si>
  <si>
    <t>Start Date</t>
  </si>
  <si>
    <t>DBS Date</t>
  </si>
  <si>
    <t>Photo ID</t>
  </si>
  <si>
    <t>References x2</t>
  </si>
  <si>
    <t>Application Form</t>
  </si>
  <si>
    <t>Interview Notes</t>
  </si>
  <si>
    <t>Contract</t>
  </si>
  <si>
    <t>Job Description</t>
  </si>
  <si>
    <t>Qualifications</t>
  </si>
  <si>
    <t>Professional Registration/PIN</t>
  </si>
  <si>
    <t>Health Declaration</t>
  </si>
  <si>
    <t>Recruitment Complete?</t>
  </si>
  <si>
    <t>Evidence Location</t>
  </si>
  <si>
    <t>Manager Verified</t>
  </si>
  <si>
    <t>Verification Date</t>
  </si>
  <si>
    <t>Comments</t>
  </si>
  <si>
    <t>Personnel Workforce</t>
  </si>
  <si>
    <t>Month</t>
  </si>
  <si>
    <t>Sickness Days</t>
  </si>
  <si>
    <t>Return to Work Completed</t>
  </si>
  <si>
    <t>Annual Leave</t>
  </si>
  <si>
    <t>Agency Used?</t>
  </si>
  <si>
    <t>Conduct/Capability Concern?</t>
  </si>
  <si>
    <t>Wellbeing Check</t>
  </si>
  <si>
    <t>Flexible Working</t>
  </si>
  <si>
    <t>Leaver?</t>
  </si>
  <si>
    <t>Exit Interview</t>
  </si>
  <si>
    <t>Vacancy / Recruitment Action</t>
  </si>
  <si>
    <t>Owner</t>
  </si>
  <si>
    <t>Target Date</t>
  </si>
  <si>
    <t>Verified By</t>
  </si>
  <si>
    <t>Staff Observations</t>
  </si>
  <si>
    <t>Observation ID</t>
  </si>
  <si>
    <t>Observation Date</t>
  </si>
  <si>
    <t>Observer</t>
  </si>
  <si>
    <t>Observation Type</t>
  </si>
  <si>
    <t>Resident Initials / Area</t>
  </si>
  <si>
    <t>Outcome</t>
  </si>
  <si>
    <t>Action Taken</t>
  </si>
  <si>
    <t>Professional Discussion Required?</t>
  </si>
  <si>
    <t>Supervision Required?</t>
  </si>
  <si>
    <t>Training Required?</t>
  </si>
  <si>
    <t>Competency Reassessment Required?</t>
  </si>
  <si>
    <t>Follow-up Date</t>
  </si>
  <si>
    <t>Action Owner</t>
  </si>
  <si>
    <t>Professional Discussions</t>
  </si>
  <si>
    <t>Discussion ID</t>
  </si>
  <si>
    <t>Discussion Date</t>
  </si>
  <si>
    <t>Manager</t>
  </si>
  <si>
    <t>Topic</t>
  </si>
  <si>
    <t>Reason</t>
  </si>
  <si>
    <t>Agreed Actions</t>
  </si>
  <si>
    <t>Next Discussion Due</t>
  </si>
  <si>
    <t>Supervision Tracker</t>
  </si>
  <si>
    <t>Supervision Date</t>
  </si>
  <si>
    <t>Supervisor</t>
  </si>
  <si>
    <t>Previous Actions Reviewed</t>
  </si>
  <si>
    <t>Safeguarding Discussed</t>
  </si>
  <si>
    <t>Medication / IPC / Documentation Discussed</t>
  </si>
  <si>
    <t>Lessons Learned Discussed</t>
  </si>
  <si>
    <t>Wellbeing Discussed</t>
  </si>
  <si>
    <t>Actions Agreed</t>
  </si>
  <si>
    <t>Next Supervision Due</t>
  </si>
  <si>
    <t>Competency Tracker</t>
  </si>
  <si>
    <t>Competency Area</t>
  </si>
  <si>
    <t>Assessment Date</t>
  </si>
  <si>
    <t>Assessor</t>
  </si>
  <si>
    <t>Action Required</t>
  </si>
  <si>
    <t>Reassessment Date</t>
  </si>
  <si>
    <t>Team Meetings</t>
  </si>
  <si>
    <t>Meeting Date</t>
  </si>
  <si>
    <t>Meeting Type</t>
  </si>
  <si>
    <t>Chair</t>
  </si>
  <si>
    <t>Attendees</t>
  </si>
  <si>
    <t>Agenda Covered</t>
  </si>
  <si>
    <t>Incident Trends Discussed</t>
  </si>
  <si>
    <t>Medication Learning Discussed</t>
  </si>
  <si>
    <t>IPC Learning Discussed</t>
  </si>
  <si>
    <t>Audit Findings Discussed</t>
  </si>
  <si>
    <t>Annual Appraisals</t>
  </si>
  <si>
    <t>Appraisal Due Date</t>
  </si>
  <si>
    <t>Appraisal Completed Date</t>
  </si>
  <si>
    <t>Performance Rating</t>
  </si>
  <si>
    <t>Training Needs</t>
  </si>
  <si>
    <t>Career / Development Goals</t>
  </si>
  <si>
    <t>Safeguarding/Conduct/Competency Reviewed</t>
  </si>
  <si>
    <t>Probation Reviews</t>
  </si>
  <si>
    <t>4 Week Review Due</t>
  </si>
  <si>
    <t>4 Week Completed</t>
  </si>
  <si>
    <t>8 Week Review Due</t>
  </si>
  <si>
    <t>8 Week Completed</t>
  </si>
  <si>
    <t>12 Week Review Due</t>
  </si>
  <si>
    <t>12 Week Completed</t>
  </si>
  <si>
    <t>Extension Required?</t>
  </si>
  <si>
    <t>Workforce Action Tracker</t>
  </si>
  <si>
    <t>Action ID</t>
  </si>
  <si>
    <t>Source</t>
  </si>
  <si>
    <t>Date Raised</t>
  </si>
  <si>
    <t>Finding / Issue</t>
  </si>
  <si>
    <t>Root Cause</t>
  </si>
  <si>
    <t>Effectiveness Review</t>
  </si>
  <si>
    <t>CQC Consolidated Training Matrix – One Column Per Training Type</t>
  </si>
  <si>
    <t>Medication, safeguarding, fire, GDPR, moving &amp; handling etc are consolidated into single standard columns. Dates are the latest evidenced completion date.</t>
  </si>
  <si>
    <t>Equality, Diversity &amp; Human Rights</t>
  </si>
  <si>
    <t>Medication</t>
  </si>
  <si>
    <t>Safeguarding Adults</t>
  </si>
  <si>
    <t>Fire Safety / Fire Warden</t>
  </si>
  <si>
    <t>Emergency First Aid</t>
  </si>
  <si>
    <t>Moving &amp; Handling</t>
  </si>
  <si>
    <t>Infection Prevention &amp; Control</t>
  </si>
  <si>
    <t>Mental Capacity &amp; DoLS</t>
  </si>
  <si>
    <t>GDPR &amp; Information Governance</t>
  </si>
  <si>
    <t>Dementia</t>
  </si>
  <si>
    <t>Behaviour That Challenges</t>
  </si>
  <si>
    <t>Nutrition &amp; Hydration</t>
  </si>
  <si>
    <t>Person-Centred Care</t>
  </si>
  <si>
    <t>Record Keeping</t>
  </si>
  <si>
    <t>Health &amp; Safety / COSHH / RIDDOR</t>
  </si>
  <si>
    <t>Dysphagia / SALT</t>
  </si>
  <si>
    <t>Pressure Care</t>
  </si>
  <si>
    <t>Oliver McGowan</t>
  </si>
  <si>
    <t>Bowel Care</t>
  </si>
  <si>
    <t>Total Required</t>
  </si>
  <si>
    <t>Missing Count</t>
  </si>
  <si>
    <t>Continence Care</t>
  </si>
  <si>
    <t>Emollients</t>
  </si>
  <si>
    <t>Handwashing &amp; PPE</t>
  </si>
  <si>
    <t>Managing Death</t>
  </si>
  <si>
    <t>Mealtime Support</t>
  </si>
  <si>
    <t>Mapped From</t>
  </si>
  <si>
    <t>Medication Practice, Medication Practice Lite</t>
  </si>
  <si>
    <t>Safeguarding and Protection of Adults, Safeguarding of Adults Level 3 CSTF Aligned</t>
  </si>
  <si>
    <t>Fire Safety, Fire Safety Lite, Fire Marshal / Fire Warden</t>
  </si>
  <si>
    <t>First Aid, Emergency First Aid Awareness</t>
  </si>
  <si>
    <t>Moving and Handling, Moving and Handling Lite, Manual Handling of Objects, Moving and Handling of People Awareness Level 2</t>
  </si>
  <si>
    <t>Infection Control, Infection Control Lite, Coronavirus Awareness and Infection Control</t>
  </si>
  <si>
    <t>GDPR 1, GDPR 2, Information Governance, Information Governance and Data Security, UK GDPR and Information Sharing</t>
  </si>
  <si>
    <t>Food Hygiene, Food Safety Level 3, Food Hygiene in Care</t>
  </si>
  <si>
    <t>Dementia Awareness, Induction to Dementia</t>
  </si>
  <si>
    <t>Behaviours that Challenge, Positive Behaviour Support</t>
  </si>
  <si>
    <t>Nutrition and Hydration, Fluids and Nutrition</t>
  </si>
  <si>
    <t>Person Centred Care, Working in Person Centred Way</t>
  </si>
  <si>
    <t>End of Life Care, Induction to End of Life Care, Palliative and End of Life Care</t>
  </si>
  <si>
    <t>Communication and Record Keeping, Recording Information</t>
  </si>
  <si>
    <t>Health and Safety, COSHH, RIDDOR</t>
  </si>
  <si>
    <t>Dysphagia, SALT (Speech And Language Therapy)</t>
  </si>
  <si>
    <t>Pressure Area Care, Pressure Care and Moisture Lesion Awareness</t>
  </si>
  <si>
    <t>Falls Awareness, Slips Trips and Falls Awareness</t>
  </si>
  <si>
    <t>Sepsis, Introduction to Sepsis</t>
  </si>
  <si>
    <t>Consolidated Training Expiry / Next Due Dates</t>
  </si>
  <si>
    <t>Consolidated Training RAG Status</t>
  </si>
  <si>
    <t>Training Consolidation Mapping</t>
  </si>
  <si>
    <t>Consolidated Column</t>
  </si>
  <si>
    <t>Included Training Names</t>
  </si>
  <si>
    <t>Validity / Renewal Rule</t>
  </si>
  <si>
    <t>No expiry / once only</t>
  </si>
  <si>
    <t>3 years</t>
  </si>
  <si>
    <t>1 years</t>
  </si>
  <si>
    <t>2 years</t>
  </si>
  <si>
    <t>Swan Care Home – Main Training Dashboard</t>
  </si>
  <si>
    <t>Dashboard restricted to the 30 training topics requested. Equivalent training is mapped into one standard column.</t>
  </si>
  <si>
    <t>Formula / Value</t>
  </si>
  <si>
    <t>Meaning</t>
  </si>
  <si>
    <t>Staff listed in consolidated matrix</t>
  </si>
  <si>
    <t>Main Topics</t>
  </si>
  <si>
    <t>Training topics on this dashboard</t>
  </si>
  <si>
    <t>Overall Main Completion %</t>
  </si>
  <si>
    <t>Average compliance across the 30 topics</t>
  </si>
  <si>
    <t>Green Topics</t>
  </si>
  <si>
    <t>&gt;=90%</t>
  </si>
  <si>
    <t>Amber Topics</t>
  </si>
  <si>
    <t>75% to 89%</t>
  </si>
  <si>
    <t>Red Topics</t>
  </si>
  <si>
    <t>&lt;75%</t>
  </si>
  <si>
    <t>Mapped Source Column</t>
  </si>
  <si>
    <t>Required Staff</t>
  </si>
  <si>
    <t>Missing / Not Evidenced</t>
  </si>
  <si>
    <t>Rule / Notes</t>
  </si>
  <si>
    <t>Required for care staff</t>
  </si>
  <si>
    <t>Required for staff who write/review care plans</t>
  </si>
  <si>
    <t>MCA/DOLS</t>
  </si>
  <si>
    <t>Includes MCA, Mental Capacity Act and DoLS</t>
  </si>
  <si>
    <t>Not required if Care Certificate completed within last 12 months</t>
  </si>
  <si>
    <t>Behaviour of concern E-learning</t>
  </si>
  <si>
    <t>Includes behaviour of concern / behaviour that challenges</t>
  </si>
  <si>
    <t>Bowel care and management</t>
  </si>
  <si>
    <t>Continence care</t>
  </si>
  <si>
    <t>New column added for evidence</t>
  </si>
  <si>
    <t>Coshh</t>
  </si>
  <si>
    <t>If already not attended separately</t>
  </si>
  <si>
    <t>Diabetes</t>
  </si>
  <si>
    <t>Duty of candour</t>
  </si>
  <si>
    <t>Equality, Diversity and Human Rights</t>
  </si>
  <si>
    <t>Fall management</t>
  </si>
  <si>
    <t>Fluid and nutrition</t>
  </si>
  <si>
    <t>Food hygiene</t>
  </si>
  <si>
    <t>Only required for staff without L2/L3 food hygiene evidence</t>
  </si>
  <si>
    <t>Handwashing and PPE</t>
  </si>
  <si>
    <t>Infection control</t>
  </si>
  <si>
    <t>Mealtime</t>
  </si>
  <si>
    <t>Riddor</t>
  </si>
  <si>
    <t>Pressure care</t>
  </si>
  <si>
    <t>Positive behaviour</t>
  </si>
  <si>
    <t>Mapped to behaviour training</t>
  </si>
  <si>
    <t>Personal care</t>
  </si>
  <si>
    <t>Person centred care planning and record keeping</t>
  </si>
  <si>
    <t>Mapped to person-centred care / record keeping</t>
  </si>
  <si>
    <t>Parkinsons</t>
  </si>
  <si>
    <t>Swan Care Home – All Training Dashboard</t>
  </si>
  <si>
    <t>Shows every training column held in the consolidated matrix, including original mandatory courses and the new dashboard-specific topics.</t>
  </si>
  <si>
    <t>RAG Rule</t>
  </si>
  <si>
    <t>Staff listed</t>
  </si>
  <si>
    <t>GREEN &gt;=90%</t>
  </si>
  <si>
    <t>Total Training Columns</t>
  </si>
  <si>
    <t>All training fields</t>
  </si>
  <si>
    <t>AMBER 75%-89%</t>
  </si>
  <si>
    <t>Overall Completion %</t>
  </si>
  <si>
    <t>Average topic completion</t>
  </si>
  <si>
    <t>RED &lt;75%</t>
  </si>
  <si>
    <t>Total gaps</t>
  </si>
  <si>
    <t>Overdue/Red Topic Count</t>
  </si>
  <si>
    <t>Red compliance topics</t>
  </si>
  <si>
    <t>Training Column</t>
  </si>
  <si>
    <t>Missing</t>
  </si>
  <si>
    <t>Training Dashboard Mapping Rules</t>
  </si>
  <si>
    <t>Additional Consolidation Rules</t>
  </si>
  <si>
    <t>Displayed Topic</t>
  </si>
  <si>
    <t>Columns counted together</t>
  </si>
  <si>
    <t>Purpose</t>
  </si>
  <si>
    <t>Dashboard</t>
  </si>
  <si>
    <t>Main Dashboard Topic</t>
  </si>
  <si>
    <t>Mapped Consolidated Matrix Column</t>
  </si>
  <si>
    <t>Rule / Exemption</t>
  </si>
  <si>
    <t>Safeguarding Adults TOTAL</t>
  </si>
  <si>
    <t>Safeguarding and Protection of Adults + Safeguarding Lite + Safeguarding Level 3</t>
  </si>
  <si>
    <t>One total count only</t>
  </si>
  <si>
    <t>Care Dashboard</t>
  </si>
  <si>
    <t>Standard required</t>
  </si>
  <si>
    <t>Moving &amp; Handling TOTAL</t>
  </si>
  <si>
    <t>Moving and Handling + Moving and Handling Lite + Manual Handling of Objects + Moving &amp; Handling People Level 2</t>
  </si>
  <si>
    <t>Fire Safety / Warden TOTAL</t>
  </si>
  <si>
    <t>Fire Safety + Fire Safety Lite + Fire Marshal / Fire Warden</t>
  </si>
  <si>
    <t>Medication TOTAL</t>
  </si>
  <si>
    <t>Medication Practice + Medication Practice Lite + Medication Administration</t>
  </si>
  <si>
    <t>Exempt if Care Certificate completed within last 12 months</t>
  </si>
  <si>
    <t>Use only if separate COSHH evidence is required/not already attended</t>
  </si>
  <si>
    <t>Required where no L2/L3 food hygiene evidence is recorded</t>
  </si>
  <si>
    <t>Care Dashboard – Training Compliance Summary</t>
  </si>
  <si>
    <t>Summary Tab Reference</t>
  </si>
  <si>
    <t>Based on Matrix/Summary training evidence. Similar courses are grouped together, for example Safeguarding + Safeguarding Lite and Moving &amp; Handling + Lite + Manual Handling.</t>
  </si>
  <si>
    <t>Topic from Summary</t>
  </si>
  <si>
    <t>Average Compliance</t>
  </si>
  <si>
    <t>Lowest Topic</t>
  </si>
  <si>
    <t>Overdue / Missing Focus</t>
  </si>
  <si>
    <t>Last Updated</t>
  </si>
  <si>
    <t>Grouped Source Columns</t>
  </si>
  <si>
    <t>Action Focus</t>
  </si>
  <si>
    <t>Evidence Rule</t>
  </si>
  <si>
    <t>Counts any evidenced completion date/value; ignores NS, IP, Failed and blanks</t>
  </si>
  <si>
    <t>MCA / DoLS</t>
  </si>
  <si>
    <t>Behaviour of Concern / Positive Behaviour</t>
  </si>
  <si>
    <t>Managing Continence, Continence Promotion</t>
  </si>
  <si>
    <t>No matching source column found</t>
  </si>
  <si>
    <t>Falls Management</t>
  </si>
  <si>
    <t>Fluid and Nutrition</t>
  </si>
  <si>
    <t>Food Hygiene / Food Safety</t>
  </si>
  <si>
    <t>Food Hygiene, Food Hygiene in Care, Food Safety Level 3</t>
  </si>
  <si>
    <t>Hand Hygiene, The Use of PPE</t>
  </si>
  <si>
    <t>Managing Death / Verification of Death</t>
  </si>
  <si>
    <t>Pressure Care and Moisture Lesion Awareness, Pressure Area Care</t>
  </si>
  <si>
    <t>Person-Centred Care Planning and Record Keeping</t>
  </si>
  <si>
    <t>Person Centred Care, Working in Person Centred Way, Recording Information, Communication and Record Keeping, Care Planning</t>
  </si>
  <si>
    <t>Consolidation Note</t>
  </si>
  <si>
    <t>Safeguarding totals include Safeguarding, Safeguarding Lite and Level 3 safeguarding where present. Moving &amp; Handling totals include Moving &amp; Handling, Lite, Manual Handling of Objects and Moving &amp; Handling of People. Medication and Fire have also been consolidated into one total each.</t>
  </si>
  <si>
    <t>Swan Care Home - Recruitment Audit</t>
  </si>
  <si>
    <t>Monthly staff recruitment audit - full year in one tab | Sponsorship integrated. Use N/A for non-sponsored staff.</t>
  </si>
  <si>
    <t>January Audit</t>
  </si>
  <si>
    <t>Audit Date</t>
  </si>
  <si>
    <t>Auditor</t>
  </si>
  <si>
    <t>No. Staff Sampled</t>
  </si>
  <si>
    <t>Staff Names / IDs Sampled</t>
  </si>
  <si>
    <t>Overall %</t>
  </si>
  <si>
    <t>Evidence Folder</t>
  </si>
  <si>
    <t>Manager Review Date</t>
  </si>
  <si>
    <t>Reviewed By</t>
  </si>
  <si>
    <t>Actions Escalated?</t>
  </si>
  <si>
    <t>Previous Trend</t>
  </si>
  <si>
    <t>Closed?</t>
  </si>
  <si>
    <t>No.</t>
  </si>
  <si>
    <t>Audit Question</t>
  </si>
  <si>
    <t>Applies To</t>
  </si>
  <si>
    <t>Evidence Reviewed / Sample Checked</t>
  </si>
  <si>
    <t>No</t>
  </si>
  <si>
    <t>N/A</t>
  </si>
  <si>
    <t>Risk Rating</t>
  </si>
  <si>
    <t>Comments / Findings</t>
  </si>
  <si>
    <t>Evidence Ref</t>
  </si>
  <si>
    <t>1</t>
  </si>
  <si>
    <t>Application form completed, signed and dated before employment started.</t>
  </si>
  <si>
    <t>All staff</t>
  </si>
  <si>
    <t>2</t>
  </si>
  <si>
    <t>Full employment history recorded with month/year dates and no unexplained gaps.</t>
  </si>
  <si>
    <t>3</t>
  </si>
  <si>
    <t>Gaps in employment explored, documented and risk assessed where relevant.</t>
  </si>
  <si>
    <t>4</t>
  </si>
  <si>
    <t>Identity verified using appropriate original or digital evidence.</t>
  </si>
  <si>
    <t>5</t>
  </si>
  <si>
    <t>Proof of address obtained and consistent with other recruitment documents.</t>
  </si>
  <si>
    <t>6</t>
  </si>
  <si>
    <t>Values-based interview completed using adult social care examples.</t>
  </si>
  <si>
    <t>7</t>
  </si>
  <si>
    <t>Interview notes and scoring retained to evidence fair recruitment decision-making.</t>
  </si>
  <si>
    <t>8</t>
  </si>
  <si>
    <t>Job description and person specification issued and acknowledged.</t>
  </si>
  <si>
    <t>9</t>
  </si>
  <si>
    <t>Conditional offer letter issued with pre-employment checks identified.</t>
  </si>
  <si>
    <t>10</t>
  </si>
  <si>
    <t>Two satisfactory references requested and retained, including most recent employer where possible.</t>
  </si>
  <si>
    <t>11</t>
  </si>
  <si>
    <t>References checked for authenticity and discrepancies investigated.</t>
  </si>
  <si>
    <t>12</t>
  </si>
  <si>
    <t>13</t>
  </si>
  <si>
    <t>14</t>
  </si>
  <si>
    <t>15</t>
  </si>
  <si>
    <t>Adult First check completed where applicable before regulated activity pending DBS.</t>
  </si>
  <si>
    <t>Applicable staff</t>
  </si>
  <si>
    <t>16</t>
  </si>
  <si>
    <t>Right to Work completed before employment started and evidence retained.</t>
  </si>
  <si>
    <t>17</t>
  </si>
  <si>
    <t>Repeat Right to Work review date recorded if permission is time limited.</t>
  </si>
  <si>
    <t>18</t>
  </si>
  <si>
    <t>Qualifications and certificates verified where relevant to the role.</t>
  </si>
  <si>
    <t>19</t>
  </si>
  <si>
    <t>Professional registration/PIN checked and recorded where applicable.</t>
  </si>
  <si>
    <t>Registered/applicable staff</t>
  </si>
  <si>
    <t>20</t>
  </si>
  <si>
    <t>Occupational health or health declaration completed and reviewed.</t>
  </si>
  <si>
    <t>21</t>
  </si>
  <si>
    <t>Contract signed and retained before or at start of employment.</t>
  </si>
  <si>
    <t>22</t>
  </si>
  <si>
    <t>Start date, role, hours and location match contract, rota and file.</t>
  </si>
  <si>
    <t>23</t>
  </si>
  <si>
    <t>Confidentiality, GDPR and professional boundaries declarations completed.</t>
  </si>
  <si>
    <t>24</t>
  </si>
  <si>
    <t>Mandatory training booked or completed before unsupervised practice.</t>
  </si>
  <si>
    <t>25</t>
  </si>
  <si>
    <t>Induction plan opened with named mentor/assessor identified.</t>
  </si>
  <si>
    <t>26</t>
  </si>
  <si>
    <t>Probation review dates set and recorded.</t>
  </si>
  <si>
    <t>27</t>
  </si>
  <si>
    <t>Uniform, ID badge, keys/codes and equipment issue recorded where applicable.</t>
  </si>
  <si>
    <t>28</t>
  </si>
  <si>
    <t>Emergency contact details recorded and checked for accuracy.</t>
  </si>
  <si>
    <t>29</t>
  </si>
  <si>
    <t>Any recruitment risks were escalated, actioned and signed off by manager/provider.</t>
  </si>
  <si>
    <t>30</t>
  </si>
  <si>
    <t>Overall recruitment decision clearly justified and signed by authorised manager.</t>
  </si>
  <si>
    <t>31</t>
  </si>
  <si>
    <t>32</t>
  </si>
  <si>
    <t>If non-sponsored, sponsorship fields are marked N/A and not left blank.</t>
  </si>
  <si>
    <t>Non-sponsored staff</t>
  </si>
  <si>
    <t>33</t>
  </si>
  <si>
    <t>If sponsored, passport and visa/eVisa evidence is retained.</t>
  </si>
  <si>
    <t>Sponsored staff</t>
  </si>
  <si>
    <t>34</t>
  </si>
  <si>
    <t>If sponsored, Certificate of Sponsorship number, issue date and expiry are recorded.</t>
  </si>
  <si>
    <t>35</t>
  </si>
  <si>
    <t>If sponsored, occupation code and job title match the actual role.</t>
  </si>
  <si>
    <t>36</t>
  </si>
  <si>
    <t>If sponsored, salary and contracted hours compliance is evidenced.</t>
  </si>
  <si>
    <t>37</t>
  </si>
  <si>
    <t>If sponsored, work location, address/contact details and review dates are recorded.</t>
  </si>
  <si>
    <t>38</t>
  </si>
  <si>
    <t>If sponsored, employment rights and reporting duties have been explained and evidenced.</t>
  </si>
  <si>
    <t>39</t>
  </si>
  <si>
    <t>If sponsored, manager has diarised Home Office/visa review dates and understands reporting obligations.</t>
  </si>
  <si>
    <t>January Audit Action Summary / Manager Verification</t>
  </si>
  <si>
    <t>Issue / Finding</t>
  </si>
  <si>
    <t>Risk</t>
  </si>
  <si>
    <t>February Audit</t>
  </si>
  <si>
    <t>Enhanced DBS completed at correct level for role/regulated activity.</t>
  </si>
  <si>
    <t>DBS certificate number, issue date and outcome recorded.</t>
  </si>
  <si>
    <t>DBS risk assessment completed where DBS contains information or start occurred before certificate.</t>
  </si>
  <si>
    <t>Sponsorship status recorded as sponsored or non-sponsored.</t>
  </si>
  <si>
    <t>February Audit Action Summary / Manager Verification</t>
  </si>
  <si>
    <t>March Audit</t>
  </si>
  <si>
    <t>March Audit Action Summary / Manager Verification</t>
  </si>
  <si>
    <t>April Audit</t>
  </si>
  <si>
    <t>April Audit Action Summary / Manager Verification</t>
  </si>
  <si>
    <t>May Audit</t>
  </si>
  <si>
    <t>May Audit Action Summary / Manager Verification</t>
  </si>
  <si>
    <t>June Audit</t>
  </si>
  <si>
    <t>June Audit Action Summary / Manager Verification</t>
  </si>
  <si>
    <t>July Audit</t>
  </si>
  <si>
    <t>July Audit Action Summary / Manager Verification</t>
  </si>
  <si>
    <t>August Audit</t>
  </si>
  <si>
    <t>August Audit Action Summary / Manager Verification</t>
  </si>
  <si>
    <t>September Audit</t>
  </si>
  <si>
    <t>September Audit Action Summary / Manager Verification</t>
  </si>
  <si>
    <t>October Audit</t>
  </si>
  <si>
    <t>October Audit Action Summary / Manager Verification</t>
  </si>
  <si>
    <t>November Audit</t>
  </si>
  <si>
    <t>November Audit Action Summary / Manager Verification</t>
  </si>
  <si>
    <t>December Audit</t>
  </si>
  <si>
    <t>December Audit Action Summary / Manager Verification</t>
  </si>
  <si>
    <t>Swan Care Home - Staff File Audit</t>
  </si>
  <si>
    <t>Quarterly personnel file audit - full year in one tab | Sponsorship integrated. Use N/A for non-sponsored staff.</t>
  </si>
  <si>
    <t>Quarter 1 (Jan-Mar) Audit</t>
  </si>
  <si>
    <t>Personal details complete: full name, address, phone, email and emergency contact.</t>
  </si>
  <si>
    <t>Role, start date, contracted hours, line manager and employment status recorded.</t>
  </si>
  <si>
    <t>Application form/CV and employment history retained in staff file.</t>
  </si>
  <si>
    <t>Interview record and appointment decision retained.</t>
  </si>
  <si>
    <t>Two references retained and reviewed for suitability.</t>
  </si>
  <si>
    <t>DBS certificate details recorded and risk assessment present where required.</t>
  </si>
  <si>
    <t>Right to Work evidence retained and review date recorded if time-limited.</t>
  </si>
  <si>
    <t>Contract, job description and terms retained and signed.</t>
  </si>
  <si>
    <t>Qualifications and role-specific certificates retained.</t>
  </si>
  <si>
    <t>Fire induction includes Swan Care Home horizontal evacuation only.</t>
  </si>
  <si>
    <t>Safeguarding training and competency evidence present.</t>
  </si>
  <si>
    <t>MCA/DoLS awareness and competency evidence present where applicable.</t>
  </si>
  <si>
    <t>Care staff</t>
  </si>
  <si>
    <t>Moving and handling competency present before undertaking moving and handling tasks.</t>
  </si>
  <si>
    <t>Medication competency present before any medication-related duties.</t>
  </si>
  <si>
    <t>Medication staff</t>
  </si>
  <si>
    <t>Food hygiene evidence present for kitchen or food handling duties.</t>
  </si>
  <si>
    <t>Kitchen/applicable</t>
  </si>
  <si>
    <t>Supervision records up to date and include actions from previous supervision.</t>
  </si>
  <si>
    <t>Probation reviews completed within required timescale.</t>
  </si>
  <si>
    <t>New staff</t>
  </si>
  <si>
    <t>Annual appraisal or development review recorded if due.</t>
  </si>
  <si>
    <t>Annual declarations completed: confidentiality, fitness to work and conflict of interest.</t>
  </si>
  <si>
    <t>Absence, return-to-work and capability records retained where applicable.</t>
  </si>
  <si>
    <t>Staff file evidence is legible, dated and clearly attributable.</t>
  </si>
  <si>
    <t>Outstanding staff file actions have owner and target date.</t>
  </si>
  <si>
    <t>Overall file audit conclusion is recorded with manager/provider verification.</t>
  </si>
  <si>
    <t>Quarter 1 (Jan-Mar) Audit Action Summary / Manager Verification</t>
  </si>
  <si>
    <t>Quarter 2 (Apr-Jun) Audit</t>
  </si>
  <si>
    <t>Mandatory training certificates present or expiry dates recorded in matrix.</t>
  </si>
  <si>
    <t>Induction record completed or in progress with clear outstanding actions.</t>
  </si>
  <si>
    <t>Competency assessments completed for duties the staff member performs.</t>
  </si>
  <si>
    <t>Quarter 2 (Apr-Jun) Audit Action Summary / Manager Verification</t>
  </si>
  <si>
    <t>Quarter 3 (Jul-Sep) Audit</t>
  </si>
  <si>
    <t>Quarter 3 (Jul-Sep) Audit Action Summary / Manager Verification</t>
  </si>
  <si>
    <t>Quarter 4 (Oct-Dec) Audit</t>
  </si>
  <si>
    <t>Quarter 4 (Oct-Dec) Audit Action Summary / Manager Verification</t>
  </si>
  <si>
    <t>Swan Care Home - Training Audit</t>
  </si>
  <si>
    <t>Monthly training audit - full year in one tab | Sponsorship integrated. Use N/A for non-sponsored staff.</t>
  </si>
  <si>
    <t>Training matrix includes all active staff and excludes leavers from compliance calculations.</t>
  </si>
  <si>
    <t>Fire safety training current for each staff member.</t>
  </si>
  <si>
    <t>Safeguarding adults training current for each staff member.</t>
  </si>
  <si>
    <t>MCA/DoLS training current or booked where applicable.</t>
  </si>
  <si>
    <t>Moving and handling training current for staff providing personal care.</t>
  </si>
  <si>
    <t>Infection prevention and control training current for each staff member.</t>
  </si>
  <si>
    <t>Medication training current for staff involved in medicines.</t>
  </si>
  <si>
    <t>Equality, diversity and dignity training current for each staff member.</t>
  </si>
  <si>
    <t>GDPR/confidentiality training current for each staff member.</t>
  </si>
  <si>
    <t>Duty of Candour training current for senior/management staff and relevant care staff.</t>
  </si>
  <si>
    <t>Training certificates are available and match matrix dates.</t>
  </si>
  <si>
    <t>Expiry dates are recorded accurately and not estimated without evidence.</t>
  </si>
  <si>
    <t>Overdue training has an action plan with owner and target date.</t>
  </si>
  <si>
    <t>Training has been followed by competency assessment where practical skill is required.</t>
  </si>
  <si>
    <t>New starters have training booked within induction timescale.</t>
  </si>
  <si>
    <t>Agency staff training evidence reviewed before working unsupervised.</t>
  </si>
  <si>
    <t>Agency staff</t>
  </si>
  <si>
    <t>Low compliance areas are escalated to governance/action tracker.</t>
  </si>
  <si>
    <t>Management</t>
  </si>
  <si>
    <t>Food hygiene training current for staff handling or preparing food.</t>
  </si>
  <si>
    <t>Dementia awareness training current for care staff.</t>
  </si>
  <si>
    <t>Health and safety training current for each staff member.</t>
  </si>
  <si>
    <t>Swan Care Home - Competency Audit</t>
  </si>
  <si>
    <t>Monthly competency audit - full year in one tab | Sponsorship integrated. Use N/A for non-sponsored staff.</t>
  </si>
  <si>
    <t>Competencies are linked to actual duties performed by the staff member.</t>
  </si>
  <si>
    <t>Personal care competency completed for staff providing personal care.</t>
  </si>
  <si>
    <t>Oral care competency completed and includes dignity, consent and documentation.</t>
  </si>
  <si>
    <t>Continence care competency completed and includes privacy and infection control.</t>
  </si>
  <si>
    <t>Moving and handling competency includes equipment, sling safety and escalation.</t>
  </si>
  <si>
    <t>Hoist competency completed before staff use hoists.</t>
  </si>
  <si>
    <t>Nutrition/hydration competency covers support, monitoring and escalation.</t>
  </si>
  <si>
    <t>Safeguarding competency includes scenario-based questions and escalation.</t>
  </si>
  <si>
    <t>MCA/DoLS competency includes consent and best-interest examples.</t>
  </si>
  <si>
    <t>Fire competency specifically assesses horizontal evacuation procedure.</t>
  </si>
  <si>
    <t>Infection control competency includes observed practice, not only questions.</t>
  </si>
  <si>
    <t>Medication competency only signed where staff are authorised and trained.</t>
  </si>
  <si>
    <t>Competency assessor is named, competent and dated the assessment.</t>
  </si>
  <si>
    <t>Areas not yet competent have action plan and reassessment date.</t>
  </si>
  <si>
    <t>Competency outcomes feed into supervision/probation/training plan.</t>
  </si>
  <si>
    <t>Pressure care competency covers skin checks, repositioning and reporting concerns.</t>
  </si>
  <si>
    <t>Falls competency covers prevention, response and documentation.</t>
  </si>
  <si>
    <t>Dementia competency covers communication, distress and behaviour support.</t>
  </si>
  <si>
    <t>Swan Care Home - Supervision Audit</t>
  </si>
  <si>
    <t>Monthly supervision audit - full year in one tab | Sponsorship integrated. Use N/A for non-sponsored staff.</t>
  </si>
  <si>
    <t>All active staff have supervision scheduled according to policy.</t>
  </si>
  <si>
    <t>Supervision record includes date, manager and staff member signature.</t>
  </si>
  <si>
    <t>Discussion covers wellbeing, conduct, training, competence and resident safety.</t>
  </si>
  <si>
    <t>Previous supervision actions reviewed and closed or carried forward.</t>
  </si>
  <si>
    <t>Concerns about practice are clearly documented and actioned.</t>
  </si>
  <si>
    <t>Positive practice and development needs are recorded.</t>
  </si>
  <si>
    <t>Training gaps linked to training matrix/action plan.</t>
  </si>
  <si>
    <t>Competency gaps linked to reassessment/action plan.</t>
  </si>
  <si>
    <t>Actions include owner, target date and follow-up evidence.</t>
  </si>
  <si>
    <t>Safeguarding and whistleblowing understanding checked where relevant.</t>
  </si>
  <si>
    <t>MCA/dignity/documentation discussed for care staff.</t>
  </si>
  <si>
    <t>Fire procedure/horizontal evacuation understanding refreshed where required.</t>
  </si>
  <si>
    <t>Swan Care Home - Observation Audit</t>
  </si>
  <si>
    <t>Monthly staff observation audit - full year in one tab | Sponsorship integrated. Use N/A for non-sponsored staff.</t>
  </si>
  <si>
    <t>Observation completed for planned staff sample and role mix.</t>
  </si>
  <si>
    <t>Observed practice matches the care home's policy and expected values.</t>
  </si>
  <si>
    <t>Staff communicate respectfully and preserve dignity.</t>
  </si>
  <si>
    <t>Staff obtain consent before supporting care tasks.</t>
  </si>
  <si>
    <t>Staff protect confidentiality in communal areas.</t>
  </si>
  <si>
    <t>Hand hygiene and PPE practice observed correctly.</t>
  </si>
  <si>
    <t>Fire safety awareness observed or questioned during shift.</t>
  </si>
  <si>
    <t>Concerns identified during observation have action and follow-up.</t>
  </si>
  <si>
    <t>Observation links to supervision, competency or training where needed.</t>
  </si>
  <si>
    <t>Manual handling practice is safe and matches training.</t>
  </si>
  <si>
    <t>Staff understand escalation if a resident deteriorates or refuses care.</t>
  </si>
  <si>
    <t>Documentation after observed practice is timely and accurate.</t>
  </si>
  <si>
    <t>Swan Care Home - Appraisal Audit</t>
  </si>
  <si>
    <t>Quarterly appraisal audit - full year in one tab | Sponsorship integrated. Use N/A for non-sponsored staff.</t>
  </si>
  <si>
    <t>Appraisals completed for all staff due within the period.</t>
  </si>
  <si>
    <t>Appraisal reviews performance, conduct, values and resident safety contribution.</t>
  </si>
  <si>
    <t>Training and competency history reviewed during appraisal.</t>
  </si>
  <si>
    <t>Supervision themes and any concerns considered.</t>
  </si>
  <si>
    <t>Objectives are specific, measurable and linked to role/service improvement.</t>
  </si>
  <si>
    <t>Development plan includes training, shadowing or mentoring where needed.</t>
  </si>
  <si>
    <t>Manager/provider has oversight of overdue appraisals.</t>
  </si>
  <si>
    <t>Staff wellbeing, attendance and support needs discussed.</t>
  </si>
  <si>
    <t>Appraisal signed by staff and manager with review date set.</t>
  </si>
  <si>
    <t>Actions transferred to workforce action tracker or supervision plan.</t>
  </si>
  <si>
    <t>Swan Care Home - Induction Settings</t>
  </si>
  <si>
    <t>RAG Dropdown Options Added</t>
  </si>
  <si>
    <t>Status Dropdown</t>
  </si>
  <si>
    <t>Green - Complete,Amber - In Progress,Red - Missing/Overdue,N/A</t>
  </si>
  <si>
    <t>List</t>
  </si>
  <si>
    <t>Score</t>
  </si>
  <si>
    <t>Guide</t>
  </si>
  <si>
    <t>Received Dropdown</t>
  </si>
  <si>
    <t>Green - Received,Amber - Awaiting,Red - Missing,N/A</t>
  </si>
  <si>
    <t>Active</t>
  </si>
  <si>
    <t>Not competent</t>
  </si>
  <si>
    <t>Unsafe/incorrect or unable to explain</t>
  </si>
  <si>
    <t>Inactive</t>
  </si>
  <si>
    <t>Developing</t>
  </si>
  <si>
    <t>Needs support or prompts</t>
  </si>
  <si>
    <t>Leaver</t>
  </si>
  <si>
    <t>Competent</t>
  </si>
  <si>
    <t>Safe and understands expected practice</t>
  </si>
  <si>
    <t>Result</t>
  </si>
  <si>
    <t>Pass</t>
  </si>
  <si>
    <t>Very good</t>
  </si>
  <si>
    <t>Confident, person-centred and proactive</t>
  </si>
  <si>
    <t>Excellent</t>
  </si>
  <si>
    <t>Can explain, demonstrate and support others</t>
  </si>
  <si>
    <t>Fail</t>
  </si>
  <si>
    <t>YesNo</t>
  </si>
  <si>
    <t>Swan Care Home - Employee Induction Register</t>
  </si>
  <si>
    <t>Enter employee details here. SW001-SW025 tabs pull name/role/start date from this register. Staff tab completion feeds back into this register and dashboard.</t>
  </si>
  <si>
    <t>Select RAG</t>
  </si>
  <si>
    <t>Select RAG / update status</t>
  </si>
  <si>
    <t>Employee ID</t>
  </si>
  <si>
    <t>Employee Name</t>
  </si>
  <si>
    <t>Line Manager</t>
  </si>
  <si>
    <t>Tab Link</t>
  </si>
  <si>
    <t>Induction %</t>
  </si>
  <si>
    <t>Competency %</t>
  </si>
  <si>
    <t>Training %</t>
  </si>
  <si>
    <t>DBS Status</t>
  </si>
  <si>
    <t>RTW Status</t>
  </si>
  <si>
    <t>Probation Status</t>
  </si>
  <si>
    <t>Next Supervision</t>
  </si>
  <si>
    <t>Outstanding Actions</t>
  </si>
  <si>
    <t>SW001</t>
  </si>
  <si>
    <t>SW002</t>
  </si>
  <si>
    <t>SW003</t>
  </si>
  <si>
    <t>SW004</t>
  </si>
  <si>
    <t>SW005</t>
  </si>
  <si>
    <t>SW006</t>
  </si>
  <si>
    <t>SW007</t>
  </si>
  <si>
    <t>SW008</t>
  </si>
  <si>
    <t>SW009</t>
  </si>
  <si>
    <t>SW010</t>
  </si>
  <si>
    <t>SW011</t>
  </si>
  <si>
    <t>SW012</t>
  </si>
  <si>
    <t>SW013</t>
  </si>
  <si>
    <t>SW014</t>
  </si>
  <si>
    <t>SW015</t>
  </si>
  <si>
    <t>SW016</t>
  </si>
  <si>
    <t>SW017</t>
  </si>
  <si>
    <t>SW018</t>
  </si>
  <si>
    <t>SW019</t>
  </si>
  <si>
    <t>SW020</t>
  </si>
  <si>
    <t>SW021</t>
  </si>
  <si>
    <t>SW022</t>
  </si>
  <si>
    <t>SW023</t>
  </si>
  <si>
    <t>SW024</t>
  </si>
  <si>
    <t>SW025</t>
  </si>
  <si>
    <t>Swan Care Home - Staff Induction Dashboard (Linked)</t>
  </si>
  <si>
    <t>This dashboard is formula-linked to the Induction Employee Register and SW001-SW025 staff tabs.</t>
  </si>
  <si>
    <t>Active Employees</t>
  </si>
  <si>
    <t>ID</t>
  </si>
  <si>
    <t>Name</t>
  </si>
  <si>
    <t>Average Overall Compliance</t>
  </si>
  <si>
    <t>Average Induction Completion</t>
  </si>
  <si>
    <t>Average Competency Completion</t>
  </si>
  <si>
    <t>Swan Care Home - Employee File, Induction &amp; Competency Record (SW001)</t>
  </si>
  <si>
    <t>Employee Summary</t>
  </si>
  <si>
    <t>Navigation</t>
  </si>
  <si>
    <t>Quick Links</t>
  </si>
  <si>
    <t>Employment Docs</t>
  </si>
  <si>
    <t>Induction Questions</t>
  </si>
  <si>
    <t>Competencies</t>
  </si>
  <si>
    <t>Supervisions</t>
  </si>
  <si>
    <t>Appraisal</t>
  </si>
  <si>
    <t>Click the section headings below to use this as one staff file.</t>
  </si>
  <si>
    <t>Manager instruction</t>
  </si>
  <si>
    <t>Enter the staff name only once on the register. Complete this employee tab as induction evidence.</t>
  </si>
  <si>
    <t>Scoring</t>
  </si>
  <si>
    <t>1 Not competent | 2 Developing | 3 Competent | 4 Very Good | 5 Excellent</t>
  </si>
  <si>
    <t>Green = 90%+ | Amber = 75%-89% | Red = below 75%</t>
  </si>
  <si>
    <t>Horizontal evacuation</t>
  </si>
  <si>
    <t>Fire module is written for Swan Care Home horizontal evacuation only.</t>
  </si>
  <si>
    <t>Escalation</t>
  </si>
  <si>
    <t>Carer → Senior/Team Leader → Deputy/Registered Manager → Nominated Individual/On-call → External professionals as required.</t>
  </si>
  <si>
    <t>Evidence</t>
  </si>
  <si>
    <t>Use comments/evidence fields to show what was observed, discussed or checked.</t>
  </si>
  <si>
    <t>Overall RAG</t>
  </si>
  <si>
    <t>Printing</t>
  </si>
  <si>
    <t>Filter/print this staff tab for inspection or supervision evidence.</t>
  </si>
  <si>
    <t>Do not use as policy replacement</t>
  </si>
  <si>
    <t>This supports induction; always follow current policies and manager instructions.</t>
  </si>
  <si>
    <t>SECTION 1 - Employment Documents &amp; File Checks</t>
  </si>
  <si>
    <t>Check</t>
  </si>
  <si>
    <t>Required</t>
  </si>
  <si>
    <t>Received?</t>
  </si>
  <si>
    <t>Date Received</t>
  </si>
  <si>
    <t>Expiry/Review Date</t>
  </si>
  <si>
    <t>Received dropdown: Green / Amber / Red / N/A</t>
  </si>
  <si>
    <t>Register-linked sponsorship status</t>
  </si>
  <si>
    <t>How used</t>
  </si>
  <si>
    <t>Application form</t>
  </si>
  <si>
    <t>If No, sponsorship-specific requirements are N/A</t>
  </si>
  <si>
    <t>Interview notes</t>
  </si>
  <si>
    <t>Pulled from register</t>
  </si>
  <si>
    <t>Two references</t>
  </si>
  <si>
    <t>Yes/No/N/A</t>
  </si>
  <si>
    <t>If applicable</t>
  </si>
  <si>
    <t>Job description</t>
  </si>
  <si>
    <t>Emergency contact</t>
  </si>
  <si>
    <t>Occupational health/fitness declaration</t>
  </si>
  <si>
    <t>Uniform/ID badge issued</t>
  </si>
  <si>
    <t>Confidentiality declaration</t>
  </si>
  <si>
    <t>Data protection/GDPR declaration</t>
  </si>
  <si>
    <t>Policy receipt declaration</t>
  </si>
  <si>
    <t>Payroll form</t>
  </si>
  <si>
    <t>Rehabilitation of Offenders declaration</t>
  </si>
  <si>
    <t>CV</t>
  </si>
  <si>
    <t>Pension form</t>
  </si>
  <si>
    <t>Proof of address 1</t>
  </si>
  <si>
    <t>Proof of address 2</t>
  </si>
  <si>
    <t>48h opt out form</t>
  </si>
  <si>
    <t>SECTION 2 - Induction Knowledge Questions, Practical Checks &amp; Scenarios</t>
  </si>
  <si>
    <t>Module</t>
  </si>
  <si>
    <t>Question / Scenario</t>
  </si>
  <si>
    <t>Expected Answer - Manager Guide</t>
  </si>
  <si>
    <t>Employee Response / Discussion Notes</t>
  </si>
  <si>
    <t>Practical Evidence Required</t>
  </si>
  <si>
    <t>Score 1-5</t>
  </si>
  <si>
    <t>Review Date</t>
  </si>
  <si>
    <t>Employee Initial</t>
  </si>
  <si>
    <t>Manager Initial</t>
  </si>
  <si>
    <t>Welcome, Values &amp; Role Expectations</t>
  </si>
  <si>
    <t>What are the main values expected at Swan Care Home?</t>
  </si>
  <si>
    <t>Kindness, dignity, respect, safety, honesty, confidentiality, person-centred care and escalation when concerned.</t>
  </si>
  <si>
    <t>Discuss and check understanding</t>
  </si>
  <si>
    <t>What should you do if you are unsure about any task?</t>
  </si>
  <si>
    <t>Stop, ask the senior/manager, check the care plan/policy and do not guess.</t>
  </si>
  <si>
    <t>What professional behaviours are expected on shift?</t>
  </si>
  <si>
    <t>Arrive on time, wear uniform/ID, speak respectfully, protect confidentiality and work as part of the team.</t>
  </si>
  <si>
    <t>What does person-centred care mean?</t>
  </si>
  <si>
    <t>Care based on the resident’s preferences, routines, choices, risks, capacity and care plan.</t>
  </si>
  <si>
    <t>When should you escalate concerns?</t>
  </si>
  <si>
    <t>Immediately when a resident is unwell, unsafe, distressed, at risk, injured, refusing essential care, or records do not match.</t>
  </si>
  <si>
    <t>What should never be discussed in public areas?</t>
  </si>
  <si>
    <t>Private information including continence, health, safeguarding, family matters or personal care.</t>
  </si>
  <si>
    <t>Tour of Home &amp; Local Procedures</t>
  </si>
  <si>
    <t>Where are key areas such as lounge, dining, laundry, kitchen and medication area?</t>
  </si>
  <si>
    <t>Employee should be able to locate and describe safe access to all key areas.</t>
  </si>
  <si>
    <t>Where are PPE, clinical waste and cleaning equipment kept?</t>
  </si>
  <si>
    <t>Employee should identify correct storage areas and never use unauthorised products.</t>
  </si>
  <si>
    <t>What areas are restricted or require permission?</t>
  </si>
  <si>
    <t>Medication areas, records, staff files, chemical storage, kitchen and any area marked restricted.</t>
  </si>
  <si>
    <t>How are visitors managed?</t>
  </si>
  <si>
    <t>Check identity, sign in/out, maintain confidentiality, report concerns and follow visiting procedures.</t>
  </si>
  <si>
    <t>Where are resident care plans and daily records accessed?</t>
  </si>
  <si>
    <t>In the agreed care planning/recording system or allocated paper records, accessed only for legitimate care reasons.</t>
  </si>
  <si>
    <t>Who is in charge on each shift?</t>
  </si>
  <si>
    <t>The senior/team leader/manager identified on allocation and handover.</t>
  </si>
  <si>
    <t>Fire Safety - Horizontal Evacuation Only</t>
  </si>
  <si>
    <t>What type of evacuation does Swan Care Home use?</t>
  </si>
  <si>
    <t>Horizontal evacuation only: move residents away from the affected area into the next safe fire compartment.</t>
  </si>
  <si>
    <t>Locate panel/exit/compartment/PEEP and explain horizontal evacuation</t>
  </si>
  <si>
    <t>What is the first action when the alarm sounds?</t>
  </si>
  <si>
    <t>Stay calm, check the fire panel/zone, alert senior, call 999 as required and follow the home fire procedure.</t>
  </si>
  <si>
    <t>What must you do before opening a door where fire may be present?</t>
  </si>
  <si>
    <t>Check for heat, smoke and risk; do not open a hot door; close doors to contain fire/smoke.</t>
  </si>
  <si>
    <t>Where are residents moved during evacuation?</t>
  </si>
  <si>
    <t>Horizontally into the next safe compartment; if full evacuation is required, to Tillingham Church, then hotel in Maldon if the home cannot be reoccupied.</t>
  </si>
  <si>
    <t>What information should staff know from PEEPs?</t>
  </si>
  <si>
    <t>Resident evacuation support, mobility, equipment, number of staff required and individual risks.</t>
  </si>
  <si>
    <t>What mistakes must never happen during fire evacuation?</t>
  </si>
  <si>
    <t>Do not use unsafe routes, do not leave doors open, do not block exits, do not ignore PEEPs, do not re-enter unsafe areas.</t>
  </si>
  <si>
    <t>What is safeguarding?</t>
  </si>
  <si>
    <t>Protecting adults from abuse, neglect, harm and exploitation while respecting rights and choices.</t>
  </si>
  <si>
    <t>What are the main types of abuse?</t>
  </si>
  <si>
    <t>Physical, emotional, sexual, financial, neglect, organisational, discriminatory, domestic abuse, self-neglect and modern slavery.</t>
  </si>
  <si>
    <t>A resident has an unexplained bruise. What do you do?</t>
  </si>
  <si>
    <t>Ensure safety, report immediately, record factually, body map if required, preserve evidence and escalate.</t>
  </si>
  <si>
    <t>A colleague shouts at a resident. What do you do?</t>
  </si>
  <si>
    <t>Intervene if safe, support resident, report to senior/manager, document, escalate safeguarding/whistleblowing if needed.</t>
  </si>
  <si>
    <t>A family member removes money from a resident. What do you do?</t>
  </si>
  <si>
    <t>Report financial abuse concern, record facts, protect resident’s property and escalate to manager/safeguarding.</t>
  </si>
  <si>
    <t>What if you report a concern and nothing happens?</t>
  </si>
  <si>
    <t>Escalate higher, use whistleblowing procedure and contact external safeguarding if needed.</t>
  </si>
  <si>
    <t>Mental Capacity Act &amp; Best Interests</t>
  </si>
  <si>
    <t>What are the five MCA principles?</t>
  </si>
  <si>
    <t>Presume capacity, support decision-making, unwise decisions allowed, best interests, least restrictive option.</t>
  </si>
  <si>
    <t>When is a capacity assessment needed?</t>
  </si>
  <si>
    <t>When there is doubt about capacity for a specific decision at a specific time.</t>
  </si>
  <si>
    <t>A resident refuses personal care. What do you consider?</t>
  </si>
  <si>
    <t>Consent, capacity, reason for refusal, distress, dignity, alternatives, timing, risk, documentation and escalation.</t>
  </si>
  <si>
    <t>Who should be involved in best interests decisions?</t>
  </si>
  <si>
    <t>Resident as far as possible, family/representatives, staff, professionals, manager and advocate/IMCA where required.</t>
  </si>
  <si>
    <t>What must be documented for MCA?</t>
  </si>
  <si>
    <t>Decision, capacity assessment, support given, evidence, best interests rationale, least restrictive option and review date.</t>
  </si>
  <si>
    <t>When might DoLS be relevant?</t>
  </si>
  <si>
    <t>When a resident lacks capacity and is under continuous supervision/control and not free to leave.</t>
  </si>
  <si>
    <t>Dignity, Privacy &amp; Respect</t>
  </si>
  <si>
    <t>How do you protect dignity during continence care?</t>
  </si>
  <si>
    <t>Use private language, close doors/curtains, cover resident, explain care, offer choice and record discreetly.</t>
  </si>
  <si>
    <t>A resident is embarrassed after an accident in the dining room. What do you do?</t>
  </si>
  <si>
    <t>Reassure quietly, protect privacy, move discreetly, clean promptly and avoid drawing attention.</t>
  </si>
  <si>
    <t>How should staff speak about residents?</t>
  </si>
  <si>
    <t>Respectfully, by preferred name, never mocking, labelling or discussing private needs publicly.</t>
  </si>
  <si>
    <t>What does consent look like during care?</t>
  </si>
  <si>
    <t>Explain, offer choice, check agreement and stop if resident refuses or becomes distressed.</t>
  </si>
  <si>
    <t>How do you support independence?</t>
  </si>
  <si>
    <t>Encourage the resident to do what they can safely and avoid taking over unnecessarily.</t>
  </si>
  <si>
    <t>What language should be avoided?</t>
  </si>
  <si>
    <t>Undignified labels, childish language, blame, public discussion of continence or behaviour.</t>
  </si>
  <si>
    <t>Care Plans &amp; Risk Assessments</t>
  </si>
  <si>
    <t>Why must staff read care plans?</t>
  </si>
  <si>
    <t>They explain the resident’s needs, preferences, risks, support plan and escalation actions.</t>
  </si>
  <si>
    <t>What should be checked before giving care?</t>
  </si>
  <si>
    <t>Current care plan, risk assessments, moving &amp; handling plan, skin/nutrition/continence needs and recent changes.</t>
  </si>
  <si>
    <t>What if the care plan does not match the resident’s current needs?</t>
  </si>
  <si>
    <t>Report to senior/manager, record changes and request review.</t>
  </si>
  <si>
    <t>What should personal preferences include?</t>
  </si>
  <si>
    <t>Routine, preferred name, food/drink, clothing, personal care choices, religion/culture, activities and family involvement.</t>
  </si>
  <si>
    <t>How should risks link to care plans?</t>
  </si>
  <si>
    <t>Risk assessments must have clear actions in care plans and be reflected in daily care.</t>
  </si>
  <si>
    <t>What should be triangulated with care plans?</t>
  </si>
  <si>
    <t>Daily notes, incidents, MAR, risk assessments, observations, family feedback and professional advice.</t>
  </si>
  <si>
    <t>Care Notes &amp; Record Keeping</t>
  </si>
  <si>
    <t>What makes a good care note?</t>
  </si>
  <si>
    <t>Factual, dated, timed, person-centred, specific, signed, objective and linked to care plan/risk.</t>
  </si>
  <si>
    <t>What should not be written in care notes?</t>
  </si>
  <si>
    <t>Judgemental opinions, blame, vague statements, disrespectful language or unsupported assumptions.</t>
  </si>
  <si>
    <t>Write better: 'Resident was difficult today.'</t>
  </si>
  <si>
    <t>Record specific behaviour/facts, triggers, support offered, response, outcome and escalation.</t>
  </si>
  <si>
    <t>When must care notes be completed?</t>
  </si>
  <si>
    <t>As soon as possible after care/event; records must be contemporaneous.</t>
  </si>
  <si>
    <t>What must be recorded after refusal of care?</t>
  </si>
  <si>
    <t>What was offered, resident response, capacity/consent considerations, risks explained, alternatives and escalation.</t>
  </si>
  <si>
    <t>What should be escalated from daily notes?</t>
  </si>
  <si>
    <t>Deterioration, falls, pressure concerns, poor intake, mood change, safeguarding, refusal and unexplained injury.</t>
  </si>
  <si>
    <t>Observations &amp; Escalation</t>
  </si>
  <si>
    <t>What observations might staff complete?</t>
  </si>
  <si>
    <t>Food/fluid, repositioning, behaviour, skin, bowel, weight, NEWS/physical observations if required.</t>
  </si>
  <si>
    <t>What if fluid intake is below target?</t>
  </si>
  <si>
    <t>Encourage fluids, monitor, report to senior/manager and follow escalation plan.</t>
  </si>
  <si>
    <t>What if a resident becomes more confused than usual?</t>
  </si>
  <si>
    <t>Check for infection/pain/dehydration, report promptly, record and seek professional advice if required.</t>
  </si>
  <si>
    <t>What if observation records contradict each other?</t>
  </si>
  <si>
    <t>Escalate immediately so records are corrected and care reviewed.</t>
  </si>
  <si>
    <t>What information is needed when calling GP/111/999?</t>
  </si>
  <si>
    <t>Resident details, symptoms, baseline, observations, risks, medication, allergies, actions taken and concerns.</t>
  </si>
  <si>
    <t>Who do you escalate to?</t>
  </si>
  <si>
    <t>Senior/team leader, deputy/registered manager, on-call/NI as required and external professionals in emergencies.</t>
  </si>
  <si>
    <t>Personal Care, Oral Care &amp; Continence</t>
  </si>
  <si>
    <t>How do you prepare for personal care?</t>
  </si>
  <si>
    <t>Read plan, gather equipment, explain, gain consent, provide privacy and check preferences.</t>
  </si>
  <si>
    <t>Observed practice required where applicable</t>
  </si>
  <si>
    <t>What should oral care include?</t>
  </si>
  <si>
    <t>Teeth/dentures/gums/tongue, mouth checks, comfort, recording refusal or concerns and escalation.</t>
  </si>
  <si>
    <t>What signs may indicate poor oral health?</t>
  </si>
  <si>
    <t>Pain, bleeding, ulcers, odour, poor appetite, loose dentures or difficulty swallowing.</t>
  </si>
  <si>
    <t>How do you promote continence dignity?</t>
  </si>
  <si>
    <t>Prompt discreetly, respond quickly, use preferred products, ensure privacy and document concerns.</t>
  </si>
  <si>
    <t>What skin checks are needed during personal care?</t>
  </si>
  <si>
    <t>Check pressure areas, redness, bruising, wounds, moisture damage and report immediately.</t>
  </si>
  <si>
    <t>What if a resident refuses personal care repeatedly?</t>
  </si>
  <si>
    <t>Consider MCA/consent, try alternatives, record, escalate and review care plan.</t>
  </si>
  <si>
    <t>Moving &amp; Handling, Falls &amp; Pressure Care</t>
  </si>
  <si>
    <t>What must you check before moving a resident?</t>
  </si>
  <si>
    <t>Moving &amp; handling plan, equipment, sling size/type, number of staff required and resident consent.</t>
  </si>
  <si>
    <t>When must two staff be used?</t>
  </si>
  <si>
    <t>When the care plan/risk assessment states double-handed support or risk requires it.</t>
  </si>
  <si>
    <t>What do you do after a fall?</t>
  </si>
  <si>
    <t>Do not move unless unsafe, reassure, call senior, check injury, observations, record, escalate and inform family as policy.</t>
  </si>
  <si>
    <t>What increases pressure ulcer risk?</t>
  </si>
  <si>
    <t>Reduced mobility, poor nutrition/hydration, incontinence, illness, weight loss and poor repositioning.</t>
  </si>
  <si>
    <t>What must be recorded for repositioning?</t>
  </si>
  <si>
    <t>Time, position, skin condition, refusal, support provided and escalation.</t>
  </si>
  <si>
    <t>What if equipment is faulty?</t>
  </si>
  <si>
    <t>Do not use it, label/report, remove from use and escalate.</t>
  </si>
  <si>
    <t>Nutrition, Hydration &amp; Mealtimes</t>
  </si>
  <si>
    <t>How do you support safe mealtimes?</t>
  </si>
  <si>
    <t>Check diet/fluid plans, positioning, aids, supervision level, preferences and choking risk.</t>
  </si>
  <si>
    <t>What if a resident eats very little?</t>
  </si>
  <si>
    <t>Encourage, offer alternatives, record, report and follow nutrition escalation plan.</t>
  </si>
  <si>
    <t>What if a resident is prescribed thickened fluids?</t>
  </si>
  <si>
    <t>Follow SALT/plan exactly; do not alter consistency without authorisation.</t>
  </si>
  <si>
    <t>How do you maintain dignity at mealtimes?</t>
  </si>
  <si>
    <t>Respect choice, assist discreetly, avoid rushing and protect clothing respectfully.</t>
  </si>
  <si>
    <t>What must be recorded on food/fluid charts?</t>
  </si>
  <si>
    <t>Accurate amounts, time, assistance, refusals and concerns.</t>
  </si>
  <si>
    <t>When should weight loss be escalated?</t>
  </si>
  <si>
    <t>Immediately when identified or if intake/health suggests risk.</t>
  </si>
  <si>
    <t>Dementia, Behaviour &amp; Communication</t>
  </si>
  <si>
    <t>How do you communicate with a person living with dementia?</t>
  </si>
  <si>
    <t>Calm voice, short sentences, time to respond, reassurance, validation and avoid arguing.</t>
  </si>
  <si>
    <t>What might behaviour communicate?</t>
  </si>
  <si>
    <t>Pain, fear, unmet need, boredom, infection, overstimulation, distress or environmental trigger.</t>
  </si>
  <si>
    <t>A resident becomes verbally aggressive. What do you do?</t>
  </si>
  <si>
    <t>Stay calm, give space, reduce triggers, reassure, seek support, record and escalate.</t>
  </si>
  <si>
    <t>What is meaningful activity?</t>
  </si>
  <si>
    <t>Activity based on the resident’s life history, interests, ability and preferences.</t>
  </si>
  <si>
    <t>How do you respond to repeated questions?</t>
  </si>
  <si>
    <t>Reassure, answer calmly, redirect gently and avoid showing frustration.</t>
  </si>
  <si>
    <t>What must behaviour records include?</t>
  </si>
  <si>
    <t>Antecedent/trigger, behaviour, response, outcome, injury/risk and learning for care plan.</t>
  </si>
  <si>
    <t>When must hands be washed or sanitised?</t>
  </si>
  <si>
    <t>Before/after care, PPE use, food handling, toilet/continence care, cleaning and contact with body fluids.</t>
  </si>
  <si>
    <t>How do you use PPE correctly?</t>
  </si>
  <si>
    <t>Select appropriate PPE, put on/off safely, change between tasks and dispose correctly.</t>
  </si>
  <si>
    <t>How are body fluid spills managed?</t>
  </si>
  <si>
    <t>Protect area, wear PPE, use correct product/procedure, dispose waste safely and record/escalate if needed.</t>
  </si>
  <si>
    <t>What is the correct approach to laundry?</t>
  </si>
  <si>
    <t>Segregate, use appropriate bags, avoid shaking, follow infection control and protect dignity.</t>
  </si>
  <si>
    <t>What should happen during outbreak symptoms?</t>
  </si>
  <si>
    <t>Report immediately, isolate where required, increase cleaning, monitor residents and follow IPC guidance.</t>
  </si>
  <si>
    <t>How should shared equipment be cleaned?</t>
  </si>
  <si>
    <t>Clean after each use according to schedule/manufacturer and record where required.</t>
  </si>
  <si>
    <t>Medication Awareness</t>
  </si>
  <si>
    <t>Can untrained staff administer medication?</t>
  </si>
  <si>
    <t>No, only staff assessed as competent and authorised may administer medication.</t>
  </si>
  <si>
    <t>What should care staff know about medication?</t>
  </si>
  <si>
    <t>Report refusals, side effects, missed doses, errors, deterioration and never advise/change medication.</t>
  </si>
  <si>
    <t>What is PRN medication?</t>
  </si>
  <si>
    <t>Medication given when required according to clear protocol and authorised administration.</t>
  </si>
  <si>
    <t>What if a resident refuses medication?</t>
  </si>
  <si>
    <t>Report to medication-trained staff/senior, record appropriately and consider capacity/escalation.</t>
  </si>
  <si>
    <t>What is a medication error?</t>
  </si>
  <si>
    <t>Wrong resident/drug/dose/time/route, missed dose, documentation error or storage issue.</t>
  </si>
  <si>
    <t>What must happen after a medication error?</t>
  </si>
  <si>
    <t>Ensure resident safety, report immediately, seek clinical advice, record and duty of candour if required.</t>
  </si>
  <si>
    <t>Emergency Procedures</t>
  </si>
  <si>
    <t>What do you do if a resident is choking?</t>
  </si>
  <si>
    <t>Call for help, follow choking first aid training, call 999 if required and record/escalate.</t>
  </si>
  <si>
    <t>What do you do if a resident collapses?</t>
  </si>
  <si>
    <t>Call for help, check response/breathing, call 999, start CPR if trained/appropriate and follow care plan/DNACPR.</t>
  </si>
  <si>
    <t>What if a resident is missing?</t>
  </si>
  <si>
    <t>Alert senior immediately, search as procedure, secure exits, call police if required and inform manager/family.</t>
  </si>
  <si>
    <t>What if there is staff shortage?</t>
  </si>
  <si>
    <t>Escalate to senior/manager/on-call, prioritise safety, use contingency plan and record actions.</t>
  </si>
  <si>
    <t>What if there is power failure?</t>
  </si>
  <si>
    <t>Report, maintain resident safety, check equipment, use business continuity plan and escalate.</t>
  </si>
  <si>
    <t>What if a resident dies?</t>
  </si>
  <si>
    <t>Follow end-of-life/death policy, preserve dignity, notify senior/manager and relevant professionals/family.</t>
  </si>
  <si>
    <t>Duty of Candour, Complaints &amp; Whistleblowing</t>
  </si>
  <si>
    <t>What is Duty of Candour?</t>
  </si>
  <si>
    <t>Being open and honest when things go wrong, apologising, explaining, investigating and learning.</t>
  </si>
  <si>
    <t>When might Duty of Candour apply?</t>
  </si>
  <si>
    <t>Significant harm, moderate harm, death, safeguarding incidents, medication errors or serious service failure.</t>
  </si>
  <si>
    <t>What should you do if a family complains?</t>
  </si>
  <si>
    <t>Listen, remain respectful, report to senior/manager, record and follow complaints procedure.</t>
  </si>
  <si>
    <t>What is whistleblowing?</t>
  </si>
  <si>
    <t>Raising concerns about unsafe, abusive, illegal or poor practice when normal reporting is not enough.</t>
  </si>
  <si>
    <t>Can staff be punished for raising genuine concerns?</t>
  </si>
  <si>
    <t>No, staff should be protected when raising genuine concerns in good faith.</t>
  </si>
  <si>
    <t>What must be learned from incidents?</t>
  </si>
  <si>
    <t>Patterns, causes, actions, care plan updates, staff learning and prevention of recurrence.</t>
  </si>
  <si>
    <t>Final Induction Review</t>
  </si>
  <si>
    <t>What areas does the employee feel confident in?</t>
  </si>
  <si>
    <t>Employee should identify strengths and evidence of safe practice.</t>
  </si>
  <si>
    <t>What areas require further support?</t>
  </si>
  <si>
    <t>Employee should identify training, supervision, shadowing or reassessment needs.</t>
  </si>
  <si>
    <t>Has the employee demonstrated safe practice?</t>
  </si>
  <si>
    <t>Manager to confirm based on observation, knowledge, records and conduct.</t>
  </si>
  <si>
    <t>Are all required actions completed?</t>
  </si>
  <si>
    <t>All outstanding actions should be closed or have dates/owners agreed.</t>
  </si>
  <si>
    <t>What is the next review date?</t>
  </si>
  <si>
    <t>Record date for probation/supervision/competency review.</t>
  </si>
  <si>
    <t>SECTION 3 - Practical Competency Sign Off</t>
  </si>
  <si>
    <t>Competency</t>
  </si>
  <si>
    <t>Observed?</t>
  </si>
  <si>
    <t>Date</t>
  </si>
  <si>
    <t>Evidence / Comments</t>
  </si>
  <si>
    <t>Personal care with dignity</t>
  </si>
  <si>
    <t>Oral care</t>
  </si>
  <si>
    <t>Moving and handling</t>
  </si>
  <si>
    <t>Hoist awareness/use if authorised</t>
  </si>
  <si>
    <t>Wheelchair/rotunda safety</t>
  </si>
  <si>
    <t>Falls response</t>
  </si>
  <si>
    <t>Pressure area care</t>
  </si>
  <si>
    <t>Food/fluid chart completion</t>
  </si>
  <si>
    <t>Dementia communication</t>
  </si>
  <si>
    <t>Behaviour support</t>
  </si>
  <si>
    <t>Care note writing</t>
  </si>
  <si>
    <t>Observation chart completion</t>
  </si>
  <si>
    <t>Safeguarding escalation</t>
  </si>
  <si>
    <t>MCA/consent application</t>
  </si>
  <si>
    <t>Fire horizontal evacuation</t>
  </si>
  <si>
    <t>IPC/PPE practice</t>
  </si>
  <si>
    <t>Medication awareness</t>
  </si>
  <si>
    <t>Emergency escalation</t>
  </si>
  <si>
    <t>Professional conduct</t>
  </si>
  <si>
    <t>SECTION 4 - Training Record Summary</t>
  </si>
  <si>
    <t>Training Course</t>
  </si>
  <si>
    <t>Completed?</t>
  </si>
  <si>
    <t>Date Completed</t>
  </si>
  <si>
    <t>Expiry Date</t>
  </si>
  <si>
    <t>Certificate Location</t>
  </si>
  <si>
    <t>Health &amp; Safety</t>
  </si>
  <si>
    <t>Equality &amp; Diversity</t>
  </si>
  <si>
    <t>GDPR / Confidentiality</t>
  </si>
  <si>
    <t>Behaviour Support</t>
  </si>
  <si>
    <t>End of Life</t>
  </si>
  <si>
    <t>SECTION 5 - Supervision, Probation &amp; Appraisal</t>
  </si>
  <si>
    <t>Type</t>
  </si>
  <si>
    <t>Due Date</t>
  </si>
  <si>
    <t>Actions</t>
  </si>
  <si>
    <t>Week 1 Induction Review</t>
  </si>
  <si>
    <t>Week 4 Review</t>
  </si>
  <si>
    <t>Month 2 Review</t>
  </si>
  <si>
    <t>Month 3 Probation Review</t>
  </si>
  <si>
    <t>First Supervision</t>
  </si>
  <si>
    <t>Annual Appraisal</t>
  </si>
  <si>
    <t>Professional Discussion</t>
  </si>
  <si>
    <t>Capability/Support Plan if required</t>
  </si>
  <si>
    <t>SECTION 6 - Manager Notes / Additional Evidence</t>
  </si>
  <si>
    <t>Note / Evidence</t>
  </si>
  <si>
    <t>Sponsorship / Right to Work Section - Built into Staff File</t>
  </si>
  <si>
    <t>For non-sponsored staff, complete sponsorship-specific lines as N/A. This section supports sponsored and non-sponsored employees.</t>
  </si>
  <si>
    <t>Field</t>
  </si>
  <si>
    <t>Response / Evidence</t>
  </si>
  <si>
    <t>Manager Comments</t>
  </si>
  <si>
    <t>Sponsorship required?</t>
  </si>
  <si>
    <t>Sponsored / non-sponsored status recorded</t>
  </si>
  <si>
    <t>Passport / identity evidence retained</t>
  </si>
  <si>
    <t>Right to Work check completed before employment</t>
  </si>
  <si>
    <t>Right to Work repeat review date recorded where time-limited</t>
  </si>
  <si>
    <t>Visa/eVisa status checked and retained (N/A if not sponsored)</t>
  </si>
  <si>
    <t>Certificate of Sponsorship number recorded (N/A if not sponsored)</t>
  </si>
  <si>
    <t>Occupation code matches role and contract (N/A if not sponsored)</t>
  </si>
  <si>
    <t>Salary meets sponsorship requirement (N/A if not sponsored)</t>
  </si>
  <si>
    <t>Contracted hours meet sponsorship requirement (N/A if not sponsored)</t>
  </si>
  <si>
    <t>Work location and start date consistent with sponsorship (N/A if not sponsored)</t>
  </si>
  <si>
    <t>Home address/contact details confirmed and kept updated (N/A if not sponsored)</t>
  </si>
  <si>
    <t>Employment rights information explained/evidenced (N/A if not sponsored)</t>
  </si>
  <si>
    <t>Reporting duties explained: address, contact, absence, role, visa changes (N/A if not sponsored)</t>
  </si>
  <si>
    <t>Home Office review / visa expiry diarised (N/A if not sponsored)</t>
  </si>
  <si>
    <t>Manager verification completed</t>
  </si>
  <si>
    <t>Swan Care Home - Employee File, Induction &amp; Competency Record (SW002)</t>
  </si>
  <si>
    <t>Swan Care Home - Employee File, Induction &amp; Competency Record (SW003)</t>
  </si>
  <si>
    <t>Swan Care Home - Employee File, Induction &amp; Competency Record (SW004)</t>
  </si>
  <si>
    <t>Swan Care Home - Employee File, Induction &amp; Competency Record (SW005)</t>
  </si>
  <si>
    <t>Swan Care Home - Employee File, Induction &amp; Competency Record (SW006)</t>
  </si>
  <si>
    <t>Swan Care Home - Employee File, Induction &amp; Competency Record (SW007)</t>
  </si>
  <si>
    <t>Swan Care Home - Employee File, Induction &amp; Competency Record (SW008)</t>
  </si>
  <si>
    <t>Swan Care Home - Employee File, Induction &amp; Competency Record (SW009)</t>
  </si>
  <si>
    <t>Swan Care Home - Employee File, Induction &amp; Competency Record (SW010)</t>
  </si>
  <si>
    <t>Swan Care Home - Employee File, Induction &amp; Competency Record (SW011)</t>
  </si>
  <si>
    <t>Swan Care Home - Employee File, Induction &amp; Competency Record (SW012)</t>
  </si>
  <si>
    <t>Swan Care Home - Employee File, Induction &amp; Competency Record (SW013)</t>
  </si>
  <si>
    <t>Swan Care Home - Employee File, Induction &amp; Competency Record (SW014)</t>
  </si>
  <si>
    <t>Swan Care Home - Employee File, Induction &amp; Competency Record (SW015)</t>
  </si>
  <si>
    <t>Swan Care Home - Employee File, Induction &amp; Competency Record (SW016)</t>
  </si>
  <si>
    <t>Swan Care Home - Employee File, Induction &amp; Competency Record (SW017)</t>
  </si>
  <si>
    <t>Swan Care Home - Employee File, Induction &amp; Competency Record (SW018)</t>
  </si>
  <si>
    <t>Swan Care Home - Employee File, Induction &amp; Competency Record (SW019)</t>
  </si>
  <si>
    <t>Swan Care Home - Employee File, Induction &amp; Competency Record (SW020)</t>
  </si>
  <si>
    <t>Swan Care Home - Employee File, Induction &amp; Competency Record (SW021)</t>
  </si>
  <si>
    <t>Swan Care Home - Employee File, Induction &amp; Competency Record (SW022)</t>
  </si>
  <si>
    <t>Swan Care Home - Employee File, Induction &amp; Competency Record (SW023)</t>
  </si>
  <si>
    <t>Swan Care Home - Employee File, Induction &amp; Competency Record (SW024)</t>
  </si>
  <si>
    <t>Swan Care Home - Employee File, Induction &amp; Competency Record (SW025)</t>
  </si>
  <si>
    <t>Swan Care Home - Induction Audit</t>
  </si>
  <si>
    <t>Monthly induction audit - full year in one tab | Sponsorship integrated. Use N/A for non-sponsored staff.</t>
  </si>
  <si>
    <t>Every new starter has an induction record opened on their staff tab.</t>
  </si>
  <si>
    <t>Day 1 induction completed before staff work unsupervised.</t>
  </si>
  <si>
    <t>Tour of home completed including exits, fire panel, PPE, laundry, kitchen and staff areas.</t>
  </si>
  <si>
    <t>Swan Care Home fire procedure taught as horizontal evacuation only.</t>
  </si>
  <si>
    <t>Staff can explain moving residents to the next safe fire compartment.</t>
  </si>
  <si>
    <t>Staff know Tillingham Church assembly point and onward hotel relocation if required.</t>
  </si>
  <si>
    <t>PEEP awareness discussed and linked to individual resident needs.</t>
  </si>
  <si>
    <t>Safeguarding induction includes scenarios and escalation process.</t>
  </si>
  <si>
    <t>MCA and consent induction includes practical examples and documentation expectations.</t>
  </si>
  <si>
    <t>Dignity and privacy standards explained, including continence in private areas only.</t>
  </si>
  <si>
    <t>Care note standards explained with examples of poor and good records.</t>
  </si>
  <si>
    <t>Handover, escalation and on-call process explained.</t>
  </si>
  <si>
    <t>Infection prevention practice observed: hand hygiene, PPE and waste.</t>
  </si>
  <si>
    <t>Moving and handling shadowing completed before independent practice.</t>
  </si>
  <si>
    <t>Medication awareness induction completed before any medicines-related task.</t>
  </si>
  <si>
    <t>Shadow shifts completed and signed by mentor/manager.</t>
  </si>
  <si>
    <t>Induction questions completed with employee answers recorded.</t>
  </si>
  <si>
    <t>Manager comments identify strengths, gaps and actions.</t>
  </si>
  <si>
    <t>Failed or partial competency areas have reassessment dates.</t>
  </si>
  <si>
    <t>Overall induction status is clear: not started, in progress, complete or extended.</t>
  </si>
  <si>
    <t>Swan Care Home - Probation Audit</t>
  </si>
  <si>
    <t>Monthly probation audit - full year in one tab | Sponsorship integrated. Use N/A for non-sponsored staff.</t>
  </si>
  <si>
    <t>All new starters have probation review dates recorded.</t>
  </si>
  <si>
    <t>Week 1 review completed where due.</t>
  </si>
  <si>
    <t>Month 1 review completed where due.</t>
  </si>
  <si>
    <t>Month 2 review completed where due.</t>
  </si>
  <si>
    <t>Final probation decision completed and signed.</t>
  </si>
  <si>
    <t>Concerns identified during probation have clear action plan.</t>
  </si>
  <si>
    <t>Induction and competency gaps are considered before probation sign-off.</t>
  </si>
  <si>
    <t>Training compliance checked before probation sign-off.</t>
  </si>
  <si>
    <t>Extension or failed probation decision is documented and justified.</t>
  </si>
  <si>
    <t>Manager/provider verification 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</si>
</sst>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2" x14ac:knownFonts="1">
    <font>
      <sz val="11"/>
      <color rgb="FF000000"/>
      <name val="Calibri"/>
    </font>
    <font>
      <b/>
      <sz val="16"/>
      <color rgb="FFFFFFFF"/>
      <name val="Cambria"/>
    </font>
    <font>
      <b/>
      <sz val="11"/>
      <color rgb="FFFFFFFF"/>
      <name val="Cambria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mbria"/>
    </font>
    <font>
      <i/>
      <sz val="11"/>
      <color rgb="FF666666"/>
      <name val="Cambria"/>
    </font>
    <font>
      <b/>
      <sz val="11"/>
      <color rgb="FFFFFFFF"/>
      <name val="Calibri"/>
    </font>
    <font>
      <b/>
      <sz val="14"/>
      <color rgb="FF006B3F"/>
      <name val="Calibri"/>
    </font>
    <font>
      <b/>
      <sz val="14"/>
      <name val="Calibri"/>
    </font>
    <font>
      <b/>
      <sz val="11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i/>
      <sz val="11"/>
      <color rgb="FF065F46"/>
      <name val="Calibri"/>
    </font>
    <font>
      <i/>
      <sz val="11"/>
      <color rgb="FF064E3B"/>
      <name val="Calibri"/>
    </font>
    <font>
      <sz val="11"/>
      <color rgb="FF064E3B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sz val="11"/>
      <name val="Calibri"/>
    </font>
    <font>
      <b/>
      <sz val="14"/>
      <color theme="0"/>
      <name val="Calibri"/>
    </font>
    <font>
      <b/>
      <sz val="14"/>
      <color rgb="FFFFFFFF"/>
      <name val="Calibri"/>
    </font>
    <font>
      <b/>
      <sz val="11"/>
      <color rgb="FF1F1F1F"/>
      <name val="Calibri"/>
    </font>
    <font>
      <b/>
      <sz val="11"/>
      <color rgb="FFFFFFFF"/>
      <name val="Calibri"/>
    </font>
    <font>
      <b/>
      <sz val="11"/>
      <name val="Calibri"/>
    </font>
    <font>
      <i/>
      <sz val="11"/>
      <color rgb="FF666666"/>
      <name val="Calibri"/>
    </font>
    <font>
      <i/>
      <sz val="11"/>
      <color rgb="FF666666"/>
      <name val="Calibri"/>
    </font>
  </fonts>
  <fills count="4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2DB9F3"/>
      </patternFill>
    </fill>
    <fill>
      <patternFill patternType="solid">
        <fgColor rgb="FF14A38B"/>
      </patternFill>
    </fill>
    <fill>
      <patternFill patternType="solid">
        <fgColor rgb="FFF53A47"/>
      </patternFill>
    </fill>
    <fill>
      <patternFill patternType="solid">
        <fgColor rgb="FFF28E00"/>
      </patternFill>
    </fill>
    <fill>
      <patternFill patternType="solid">
        <fgColor rgb="FF7F8081"/>
      </patternFill>
    </fill>
    <fill>
      <patternFill patternType="solid">
        <fgColor rgb="FFD57C31"/>
      </patternFill>
    </fill>
    <fill>
      <patternFill patternType="solid">
        <fgColor rgb="FFD9EAF7"/>
      </patternFill>
    </fill>
    <fill>
      <patternFill patternType="solid">
        <fgColor rgb="FF006B3F"/>
      </patternFill>
    </fill>
    <fill>
      <patternFill patternType="solid">
        <fgColor rgb="FFF3F4F6"/>
      </patternFill>
    </fill>
    <fill>
      <patternFill patternType="solid">
        <fgColor rgb="FFC6EFCE"/>
      </patternFill>
    </fill>
    <fill>
      <patternFill patternType="solid">
        <fgColor rgb="FFFFE699"/>
      </patternFill>
    </fill>
    <fill>
      <patternFill patternType="solid">
        <fgColor rgb="FFF4CCCC"/>
      </patternFill>
    </fill>
    <fill>
      <patternFill patternType="solid">
        <fgColor rgb="FF1F2937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134E4A"/>
      </patternFill>
    </fill>
    <fill>
      <patternFill patternType="solid">
        <fgColor rgb="FFFEF3C7"/>
      </patternFill>
    </fill>
    <fill>
      <patternFill patternType="solid">
        <fgColor rgb="FF006B4F"/>
      </patternFill>
    </fill>
    <fill>
      <patternFill patternType="solid">
        <fgColor rgb="FF064E3B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D1FAE5"/>
      </patternFill>
    </fill>
    <fill>
      <patternFill patternType="solid">
        <fgColor rgb="FF134E4A"/>
      </patternFill>
    </fill>
    <fill>
      <patternFill patternType="solid">
        <fgColor rgb="FFECFDF5"/>
      </patternFill>
    </fill>
    <fill>
      <patternFill patternType="solid">
        <fgColor rgb="FF064E3B"/>
      </patternFill>
    </fill>
    <fill>
      <patternFill patternType="solid">
        <fgColor rgb="FFD1FAE5"/>
      </patternFill>
    </fill>
    <fill>
      <patternFill patternType="solid">
        <fgColor rgb="FF0F766E"/>
      </patternFill>
    </fill>
    <fill>
      <patternFill patternType="solid">
        <fgColor rgb="FFECFDF5"/>
      </patternFill>
    </fill>
    <fill>
      <patternFill patternType="solid">
        <fgColor rgb="FF064E3B"/>
      </patternFill>
    </fill>
    <fill>
      <patternFill patternType="solid">
        <fgColor rgb="FFECFDF5"/>
      </patternFill>
    </fill>
    <fill>
      <patternFill patternType="solid">
        <fgColor rgb="FF0F766E"/>
      </patternFill>
    </fill>
    <fill>
      <patternFill patternType="solid">
        <fgColor theme="0"/>
      </patternFill>
    </fill>
    <fill>
      <patternFill patternType="solid">
        <fgColor rgb="FF92D050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FF0000"/>
      </patternFill>
    </fill>
    <fill>
      <patternFill patternType="solid">
        <fgColor rgb="FF115E59"/>
      </patternFill>
    </fill>
    <fill>
      <patternFill patternType="solid">
        <fgColor rgb="FF0F766E"/>
      </patternFill>
    </fill>
    <fill>
      <patternFill patternType="solid">
        <fgColor rgb="FFD1FAE5"/>
      </patternFill>
    </fill>
    <fill>
      <patternFill patternType="solid">
        <fgColor rgb="FFECFDF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F766E"/>
      </patternFill>
    </fill>
    <fill>
      <patternFill patternType="solid">
        <fgColor rgb="FFE7E6E6"/>
      </patternFill>
    </fill>
    <fill>
      <patternFill patternType="solid">
        <fgColor rgb="FFFFF2CC"/>
      </patternFill>
    </fill>
  </fills>
  <borders count="21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7"/>
    <xf numFmtId="9" fontId="16" fillId="0" borderId="7"/>
  </cellStyleXfs>
  <cellXfs count="173">
    <xf numFmtId="0" fontId="0" fillId="0" borderId="0" xfId="0" applyBorder="1"/>
    <xf numFmtId="0" fontId="0" fillId="0" borderId="2" xfId="0" applyBorder="1" applyAlignment="1">
      <alignment vertical="center" wrapText="1"/>
    </xf>
    <xf numFmtId="0" fontId="7" fillId="11" borderId="2" xfId="0" applyFont="1" applyFill="1" applyBorder="1" applyAlignment="1">
      <alignment vertical="center" wrapText="1"/>
    </xf>
    <xf numFmtId="9" fontId="0" fillId="0" borderId="2" xfId="0" applyNumberFormat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9" fontId="2" fillId="2" borderId="2" xfId="0" applyNumberFormat="1" applyFont="1" applyFill="1" applyBorder="1" applyAlignment="1">
      <alignment vertical="center" wrapText="1"/>
    </xf>
    <xf numFmtId="0" fontId="5" fillId="10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 wrapText="1"/>
    </xf>
    <xf numFmtId="0" fontId="3" fillId="9" borderId="2" xfId="0" applyFont="1" applyFill="1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0" fontId="0" fillId="0" borderId="0" xfId="0" applyBorder="1" applyAlignment="1">
      <alignment wrapText="1"/>
    </xf>
    <xf numFmtId="0" fontId="12" fillId="17" borderId="2" xfId="0" applyFont="1" applyFill="1" applyBorder="1" applyAlignment="1">
      <alignment vertical="center" wrapText="1"/>
    </xf>
    <xf numFmtId="0" fontId="12" fillId="19" borderId="0" xfId="0" applyFont="1" applyFill="1" applyBorder="1" applyAlignment="1">
      <alignment horizontal="center" vertical="center" wrapText="1"/>
    </xf>
    <xf numFmtId="0" fontId="15" fillId="21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14" fontId="0" fillId="0" borderId="3" xfId="0" applyNumberFormat="1" applyBorder="1" applyAlignment="1">
      <alignment vertical="top" wrapText="1"/>
    </xf>
    <xf numFmtId="14" fontId="4" fillId="5" borderId="2" xfId="0" applyNumberFormat="1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14" fontId="4" fillId="9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9" fontId="0" fillId="0" borderId="0" xfId="1" applyFont="1" applyBorder="1"/>
    <xf numFmtId="0" fontId="18" fillId="23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9" fontId="0" fillId="0" borderId="4" xfId="0" applyNumberFormat="1" applyBorder="1" applyAlignment="1">
      <alignment vertical="center" wrapText="1"/>
    </xf>
    <xf numFmtId="0" fontId="18" fillId="23" borderId="4" xfId="0" applyFont="1" applyFill="1" applyBorder="1" applyAlignment="1">
      <alignment horizontal="center" vertical="center" wrapText="1"/>
    </xf>
    <xf numFmtId="0" fontId="7" fillId="24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7" fillId="26" borderId="0" xfId="0" applyFont="1" applyFill="1" applyBorder="1" applyAlignment="1">
      <alignment horizontal="center" wrapText="1"/>
    </xf>
    <xf numFmtId="0" fontId="7" fillId="30" borderId="0" xfId="0" applyFont="1" applyFill="1" applyBorder="1" applyAlignment="1">
      <alignment wrapText="1"/>
    </xf>
    <xf numFmtId="0" fontId="0" fillId="0" borderId="0" xfId="0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9" fontId="16" fillId="0" borderId="5" xfId="1" applyBorder="1"/>
    <xf numFmtId="0" fontId="0" fillId="0" borderId="0" xfId="0" applyBorder="1" applyAlignment="1">
      <alignment vertical="center" wrapText="1"/>
    </xf>
    <xf numFmtId="0" fontId="18" fillId="23" borderId="6" xfId="0" applyFont="1" applyFill="1" applyBorder="1" applyAlignment="1">
      <alignment vertical="center" wrapText="1"/>
    </xf>
    <xf numFmtId="0" fontId="23" fillId="34" borderId="6" xfId="0" applyFont="1" applyFill="1" applyBorder="1" applyAlignment="1">
      <alignment vertical="center" wrapText="1"/>
    </xf>
    <xf numFmtId="1" fontId="23" fillId="34" borderId="6" xfId="0" applyNumberFormat="1" applyFont="1" applyFill="1" applyBorder="1" applyAlignment="1">
      <alignment vertical="center" wrapText="1"/>
    </xf>
    <xf numFmtId="0" fontId="23" fillId="34" borderId="0" xfId="0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1" fontId="0" fillId="0" borderId="6" xfId="0" applyNumberFormat="1" applyBorder="1" applyAlignment="1">
      <alignment vertical="center" wrapText="1"/>
    </xf>
    <xf numFmtId="9" fontId="0" fillId="0" borderId="6" xfId="0" applyNumberFormat="1" applyBorder="1" applyAlignment="1">
      <alignment vertical="center" wrapText="1"/>
    </xf>
    <xf numFmtId="9" fontId="23" fillId="34" borderId="6" xfId="0" applyNumberFormat="1" applyFont="1" applyFill="1" applyBorder="1" applyAlignment="1">
      <alignment vertical="center" wrapText="1"/>
    </xf>
    <xf numFmtId="0" fontId="23" fillId="34" borderId="2" xfId="0" applyFont="1" applyFill="1" applyBorder="1" applyAlignment="1">
      <alignment vertical="center" wrapText="1"/>
    </xf>
    <xf numFmtId="0" fontId="9" fillId="12" borderId="6" xfId="0" applyFont="1" applyFill="1" applyBorder="1" applyAlignment="1">
      <alignment vertical="center" wrapText="1"/>
    </xf>
    <xf numFmtId="9" fontId="9" fillId="12" borderId="6" xfId="0" applyNumberFormat="1" applyFont="1" applyFill="1" applyBorder="1" applyAlignment="1">
      <alignment vertical="center" wrapText="1"/>
    </xf>
    <xf numFmtId="0" fontId="10" fillId="13" borderId="6" xfId="0" applyFont="1" applyFill="1" applyBorder="1" applyAlignment="1">
      <alignment vertical="center" wrapText="1"/>
    </xf>
    <xf numFmtId="0" fontId="10" fillId="14" borderId="6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7" fillId="11" borderId="6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3" fillId="34" borderId="3" xfId="0" applyFont="1" applyFill="1" applyBorder="1" applyAlignment="1">
      <alignment vertical="center" wrapText="1"/>
    </xf>
    <xf numFmtId="0" fontId="23" fillId="34" borderId="0" xfId="0" applyFont="1" applyFill="1" applyBorder="1"/>
    <xf numFmtId="0" fontId="0" fillId="0" borderId="6" xfId="0" applyBorder="1"/>
    <xf numFmtId="0" fontId="12" fillId="19" borderId="6" xfId="0" applyFont="1" applyFill="1" applyBorder="1" applyAlignment="1">
      <alignment vertical="center" wrapText="1"/>
    </xf>
    <xf numFmtId="0" fontId="11" fillId="20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7" fillId="30" borderId="6" xfId="0" applyFont="1" applyFill="1" applyBorder="1" applyAlignment="1">
      <alignment vertical="center" wrapText="1"/>
    </xf>
    <xf numFmtId="0" fontId="11" fillId="31" borderId="6" xfId="0" applyFont="1" applyFill="1" applyBorder="1" applyAlignment="1">
      <alignment vertical="center" wrapText="1"/>
    </xf>
    <xf numFmtId="9" fontId="11" fillId="31" borderId="6" xfId="0" applyNumberFormat="1" applyFont="1" applyFill="1" applyBorder="1" applyAlignment="1">
      <alignment vertical="center" wrapText="1"/>
    </xf>
    <xf numFmtId="22" fontId="11" fillId="31" borderId="6" xfId="0" applyNumberFormat="1" applyFont="1" applyFill="1" applyBorder="1" applyAlignment="1">
      <alignment vertical="center" wrapText="1"/>
    </xf>
    <xf numFmtId="0" fontId="0" fillId="35" borderId="0" xfId="0" applyFill="1" applyBorder="1" applyAlignment="1">
      <alignment vertical="center" wrapText="1"/>
    </xf>
    <xf numFmtId="0" fontId="23" fillId="35" borderId="0" xfId="0" applyFont="1" applyFill="1" applyBorder="1" applyAlignment="1">
      <alignment vertical="center" wrapText="1"/>
    </xf>
    <xf numFmtId="0" fontId="0" fillId="35" borderId="0" xfId="0" applyFill="1" applyBorder="1"/>
    <xf numFmtId="0" fontId="16" fillId="13" borderId="6" xfId="0" applyFont="1" applyFill="1" applyBorder="1" applyAlignment="1">
      <alignment vertical="center" wrapText="1"/>
    </xf>
    <xf numFmtId="0" fontId="16" fillId="14" borderId="6" xfId="0" applyFont="1" applyFill="1" applyBorder="1" applyAlignment="1">
      <alignment vertical="center" wrapText="1"/>
    </xf>
    <xf numFmtId="0" fontId="16" fillId="15" borderId="6" xfId="0" applyFont="1" applyFill="1" applyBorder="1" applyAlignment="1">
      <alignment vertical="center" wrapText="1"/>
    </xf>
    <xf numFmtId="0" fontId="24" fillId="35" borderId="6" xfId="0" applyFont="1" applyFill="1" applyBorder="1" applyAlignment="1">
      <alignment vertical="center" wrapText="1"/>
    </xf>
    <xf numFmtId="9" fontId="24" fillId="35" borderId="6" xfId="0" applyNumberFormat="1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9" fontId="0" fillId="0" borderId="4" xfId="0" applyNumberFormat="1" applyBorder="1" applyAlignment="1">
      <alignment horizontal="center" vertical="center" wrapText="1"/>
    </xf>
    <xf numFmtId="0" fontId="18" fillId="23" borderId="4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14" fontId="0" fillId="0" borderId="4" xfId="0" applyNumberFormat="1" applyBorder="1" applyAlignment="1">
      <alignment horizontal="center" vertical="top" wrapText="1"/>
    </xf>
    <xf numFmtId="0" fontId="0" fillId="0" borderId="0" xfId="0" applyBorder="1" applyAlignment="1">
      <alignment horizontal="center" vertical="top"/>
    </xf>
    <xf numFmtId="0" fontId="0" fillId="36" borderId="6" xfId="0" applyFill="1" applyBorder="1" applyAlignment="1">
      <alignment vertical="center" wrapText="1"/>
    </xf>
    <xf numFmtId="0" fontId="0" fillId="37" borderId="6" xfId="0" applyFill="1" applyBorder="1" applyAlignment="1">
      <alignment vertical="center" wrapText="1"/>
    </xf>
    <xf numFmtId="0" fontId="16" fillId="38" borderId="6" xfId="0" applyFont="1" applyFill="1" applyBorder="1" applyAlignment="1">
      <alignment vertical="center" wrapText="1"/>
    </xf>
    <xf numFmtId="0" fontId="0" fillId="0" borderId="7" xfId="0"/>
    <xf numFmtId="0" fontId="13" fillId="39" borderId="0" xfId="0" applyFont="1" applyFill="1" applyBorder="1" applyAlignment="1">
      <alignment horizontal="center" vertical="center"/>
    </xf>
    <xf numFmtId="0" fontId="7" fillId="40" borderId="7" xfId="0" applyFont="1" applyFill="1" applyAlignment="1">
      <alignment horizontal="left" vertical="center"/>
    </xf>
    <xf numFmtId="0" fontId="11" fillId="41" borderId="0" xfId="0" applyFont="1" applyFill="1" applyBorder="1" applyAlignment="1">
      <alignment horizontal="center" wrapText="1"/>
    </xf>
    <xf numFmtId="0" fontId="11" fillId="41" borderId="0" xfId="0" applyFont="1" applyFill="1" applyBorder="1" applyAlignment="1">
      <alignment horizontal="center" vertical="center" wrapText="1"/>
    </xf>
    <xf numFmtId="0" fontId="0" fillId="42" borderId="0" xfId="0" applyFill="1" applyBorder="1" applyAlignment="1">
      <alignment wrapText="1"/>
    </xf>
    <xf numFmtId="0" fontId="11" fillId="42" borderId="0" xfId="0" applyFont="1" applyFill="1" applyBorder="1" applyAlignment="1">
      <alignment horizontal="center" wrapText="1"/>
    </xf>
    <xf numFmtId="0" fontId="11" fillId="42" borderId="0" xfId="0" applyFont="1" applyFill="1" applyBorder="1" applyAlignment="1">
      <alignment wrapText="1"/>
    </xf>
    <xf numFmtId="9" fontId="0" fillId="0" borderId="0" xfId="0" applyNumberFormat="1" applyBorder="1"/>
    <xf numFmtId="0" fontId="0" fillId="0" borderId="18" xfId="0" applyBorder="1" applyAlignment="1">
      <alignment vertical="top" wrapText="1"/>
    </xf>
    <xf numFmtId="0" fontId="28" fillId="45" borderId="18" xfId="0" applyFont="1" applyFill="1" applyBorder="1" applyAlignment="1">
      <alignment vertical="top" wrapText="1"/>
    </xf>
    <xf numFmtId="0" fontId="28" fillId="43" borderId="0" xfId="0" applyFont="1" applyFill="1" applyBorder="1" applyAlignment="1">
      <alignment vertical="center" wrapText="1"/>
    </xf>
    <xf numFmtId="0" fontId="29" fillId="46" borderId="18" xfId="0" applyFont="1" applyFill="1" applyBorder="1" applyAlignment="1">
      <alignment vertical="top" wrapText="1"/>
    </xf>
    <xf numFmtId="9" fontId="29" fillId="46" borderId="18" xfId="0" applyNumberFormat="1" applyFont="1" applyFill="1" applyBorder="1" applyAlignment="1">
      <alignment vertical="top" wrapText="1"/>
    </xf>
    <xf numFmtId="0" fontId="28" fillId="43" borderId="18" xfId="0" applyFont="1" applyFill="1" applyBorder="1" applyAlignment="1">
      <alignment vertical="top" wrapText="1"/>
    </xf>
    <xf numFmtId="0" fontId="29" fillId="44" borderId="18" xfId="0" applyFont="1" applyFill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28" fillId="45" borderId="0" xfId="0" applyFont="1" applyFill="1" applyBorder="1" applyAlignment="1">
      <alignment horizontal="center" vertical="center"/>
    </xf>
    <xf numFmtId="0" fontId="30" fillId="0" borderId="0" xfId="0" applyFont="1" applyBorder="1"/>
    <xf numFmtId="0" fontId="11" fillId="41" borderId="18" xfId="0" applyFont="1" applyFill="1" applyBorder="1" applyAlignment="1">
      <alignment horizontal="center" vertical="center" wrapText="1"/>
    </xf>
    <xf numFmtId="0" fontId="30" fillId="0" borderId="0" xfId="0" applyFont="1" applyBorder="1" applyAlignment="1">
      <alignment wrapText="1"/>
    </xf>
    <xf numFmtId="0" fontId="0" fillId="0" borderId="18" xfId="0" applyBorder="1"/>
    <xf numFmtId="0" fontId="16" fillId="0" borderId="18" xfId="0" applyFont="1" applyBorder="1"/>
    <xf numFmtId="0" fontId="7" fillId="40" borderId="18" xfId="0" applyFont="1" applyFill="1" applyBorder="1" applyAlignment="1">
      <alignment horizontal="left" vertical="center"/>
    </xf>
    <xf numFmtId="0" fontId="0" fillId="0" borderId="18" xfId="0" applyBorder="1" applyAlignment="1">
      <alignment wrapText="1"/>
    </xf>
    <xf numFmtId="9" fontId="0" fillId="0" borderId="3" xfId="0" applyNumberFormat="1" applyBorder="1" applyAlignment="1">
      <alignment vertical="center" wrapText="1"/>
    </xf>
    <xf numFmtId="9" fontId="7" fillId="17" borderId="3" xfId="0" applyNumberFormat="1" applyFont="1" applyFill="1" applyBorder="1" applyAlignment="1">
      <alignment vertical="center" wrapText="1"/>
    </xf>
    <xf numFmtId="9" fontId="11" fillId="27" borderId="0" xfId="0" applyNumberFormat="1" applyFont="1" applyFill="1" applyBorder="1" applyAlignment="1">
      <alignment wrapText="1"/>
    </xf>
    <xf numFmtId="9" fontId="0" fillId="27" borderId="0" xfId="0" applyNumberFormat="1" applyFill="1" applyBorder="1" applyAlignment="1">
      <alignment wrapText="1"/>
    </xf>
    <xf numFmtId="14" fontId="0" fillId="27" borderId="0" xfId="0" applyNumberFormat="1" applyFill="1" applyBorder="1" applyAlignment="1">
      <alignment wrapText="1"/>
    </xf>
    <xf numFmtId="14" fontId="0" fillId="0" borderId="1" xfId="0" applyNumberFormat="1" applyBorder="1"/>
    <xf numFmtId="0" fontId="31" fillId="0" borderId="0" xfId="0" applyFont="1" applyBorder="1" applyAlignment="1">
      <alignment wrapText="1"/>
    </xf>
    <xf numFmtId="0" fontId="0" fillId="0" borderId="7" xfId="0"/>
    <xf numFmtId="0" fontId="16" fillId="0" borderId="18" xfId="0" applyFont="1" applyBorder="1"/>
    <xf numFmtId="0" fontId="0" fillId="0" borderId="19" xfId="0" applyBorder="1"/>
    <xf numFmtId="0" fontId="0" fillId="0" borderId="20" xfId="0" applyBorder="1"/>
    <xf numFmtId="0" fontId="0" fillId="0" borderId="7" xfId="0" applyAlignment="1">
      <alignment wrapText="1"/>
    </xf>
    <xf numFmtId="0" fontId="13" fillId="39" borderId="7" xfId="0" applyFont="1" applyFill="1" applyAlignment="1">
      <alignment horizontal="center" vertical="center"/>
    </xf>
    <xf numFmtId="0" fontId="7" fillId="40" borderId="7" xfId="0" applyFont="1" applyFill="1" applyAlignment="1">
      <alignment horizontal="left" vertical="center"/>
    </xf>
    <xf numFmtId="0" fontId="18" fillId="23" borderId="8" xfId="0" applyFont="1" applyFill="1" applyBorder="1" applyAlignment="1">
      <alignment vertical="center" wrapText="1"/>
    </xf>
    <xf numFmtId="0" fontId="0" fillId="0" borderId="14" xfId="0" applyBorder="1"/>
    <xf numFmtId="0" fontId="0" fillId="0" borderId="15" xfId="0" applyBorder="1"/>
    <xf numFmtId="0" fontId="22" fillId="34" borderId="8" xfId="0" applyFont="1" applyFill="1" applyBorder="1" applyAlignment="1">
      <alignment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6" fillId="43" borderId="18" xfId="0" applyFont="1" applyFill="1" applyBorder="1" applyAlignment="1">
      <alignment vertical="top" wrapText="1"/>
    </xf>
    <xf numFmtId="0" fontId="1" fillId="2" borderId="18" xfId="0" applyFont="1" applyFill="1" applyBorder="1" applyAlignment="1">
      <alignment vertical="center" wrapText="1"/>
    </xf>
    <xf numFmtId="0" fontId="13" fillId="18" borderId="7" xfId="0" applyFont="1" applyFill="1" applyAlignment="1">
      <alignment horizontal="center" vertical="center"/>
    </xf>
    <xf numFmtId="0" fontId="23" fillId="34" borderId="8" xfId="0" applyFont="1" applyFill="1" applyBorder="1" applyAlignment="1">
      <alignment vertical="center" wrapText="1"/>
    </xf>
    <xf numFmtId="0" fontId="0" fillId="0" borderId="16" xfId="0" applyBorder="1"/>
    <xf numFmtId="0" fontId="0" fillId="0" borderId="0" xfId="0" applyBorder="1"/>
    <xf numFmtId="0" fontId="0" fillId="0" borderId="17" xfId="0" applyBorder="1"/>
    <xf numFmtId="0" fontId="14" fillId="21" borderId="7" xfId="0" applyFont="1" applyFill="1" applyAlignment="1">
      <alignment horizontal="left" vertical="center" wrapText="1"/>
    </xf>
    <xf numFmtId="0" fontId="25" fillId="21" borderId="7" xfId="0" applyFont="1" applyFill="1" applyAlignment="1">
      <alignment horizontal="left" vertical="center" wrapText="1"/>
    </xf>
    <xf numFmtId="0" fontId="14" fillId="21" borderId="7" xfId="0" applyFont="1" applyFill="1" applyAlignment="1">
      <alignment horizontal="left" vertical="top" wrapText="1"/>
    </xf>
    <xf numFmtId="0" fontId="17" fillId="22" borderId="7" xfId="0" applyFont="1" applyFill="1" applyAlignment="1">
      <alignment horizontal="left" vertical="top"/>
    </xf>
    <xf numFmtId="0" fontId="18" fillId="22" borderId="7" xfId="0" applyFont="1" applyFill="1"/>
    <xf numFmtId="0" fontId="17" fillId="22" borderId="7" xfId="0" applyFont="1" applyFill="1" applyAlignment="1">
      <alignment horizontal="center"/>
    </xf>
    <xf numFmtId="0" fontId="19" fillId="25" borderId="8" xfId="0" applyFont="1" applyFill="1" applyBorder="1" applyAlignment="1">
      <alignment vertical="center" wrapText="1"/>
    </xf>
    <xf numFmtId="0" fontId="19" fillId="27" borderId="8" xfId="0" applyFont="1" applyFill="1" applyBorder="1" applyAlignment="1">
      <alignment vertical="center" wrapText="1"/>
    </xf>
    <xf numFmtId="0" fontId="13" fillId="24" borderId="7" xfId="0" applyFont="1" applyFill="1" applyAlignment="1">
      <alignment horizontal="center"/>
    </xf>
    <xf numFmtId="0" fontId="7" fillId="30" borderId="7" xfId="0" applyFont="1" applyFill="1" applyAlignment="1">
      <alignment wrapText="1"/>
    </xf>
    <xf numFmtId="0" fontId="20" fillId="29" borderId="8" xfId="0" applyFont="1" applyFill="1" applyBorder="1" applyAlignment="1">
      <alignment vertical="center" wrapText="1"/>
    </xf>
    <xf numFmtId="0" fontId="7" fillId="32" borderId="8" xfId="0" applyFont="1" applyFill="1" applyBorder="1" applyAlignment="1">
      <alignment vertical="center" wrapText="1"/>
    </xf>
    <xf numFmtId="0" fontId="21" fillId="33" borderId="8" xfId="0" applyFont="1" applyFill="1" applyBorder="1" applyAlignment="1">
      <alignment vertical="center" wrapText="1"/>
    </xf>
    <xf numFmtId="0" fontId="7" fillId="28" borderId="8" xfId="0" applyFont="1" applyFill="1" applyBorder="1" applyAlignment="1">
      <alignment vertical="center" wrapText="1"/>
    </xf>
    <xf numFmtId="0" fontId="29" fillId="47" borderId="18" xfId="0" applyFont="1" applyFill="1" applyBorder="1" applyAlignment="1">
      <alignment vertical="top" wrapText="1"/>
    </xf>
    <xf numFmtId="0" fontId="28" fillId="45" borderId="18" xfId="0" applyFont="1" applyFill="1" applyBorder="1" applyAlignment="1">
      <alignment vertical="top" wrapText="1"/>
    </xf>
    <xf numFmtId="0" fontId="27" fillId="44" borderId="18" xfId="0" applyFont="1" applyFill="1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18" xfId="0" applyBorder="1" applyAlignment="1">
      <alignment vertical="top"/>
    </xf>
    <xf numFmtId="0" fontId="0" fillId="0" borderId="19" xfId="0" applyBorder="1" applyAlignment="1"/>
    <xf numFmtId="0" fontId="0" fillId="0" borderId="20" xfId="0" applyBorder="1" applyAlignment="1"/>
  </cellXfs>
  <cellStyles count="2">
    <cellStyle name="Normal" xfId="0" builtinId="0"/>
    <cellStyle name="Percent" xfId="1" xr:uid="{00000000-0005-0000-0000-000001000000}"/>
  </cellStyles>
  <dxfs count="458"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BBF7D0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BBF7D0"/>
        </patternFill>
      </fill>
    </dxf>
    <dxf>
      <font>
        <b/>
        <color rgb="FF374151"/>
      </font>
      <fill>
        <patternFill>
          <bgColor rgb="FFE5E7EB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BBF7D0"/>
        </patternFill>
      </fill>
    </dxf>
    <dxf>
      <font>
        <b/>
        <color rgb="FF374151"/>
      </font>
      <fill>
        <patternFill>
          <bgColor rgb="FFE5E7EB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BBF7D0"/>
        </patternFill>
      </fill>
    </dxf>
    <dxf>
      <font>
        <b/>
        <color rgb="FF374151"/>
      </font>
      <fill>
        <patternFill>
          <bgColor rgb="FFE5E7EB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BBF7D0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6500"/>
      </font>
      <fill>
        <patternFill>
          <bgColor rgb="FFFFE699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1D4ED8"/>
      </font>
      <fill>
        <patternFill>
          <bgColor rgb="FFDBEAFE"/>
        </patternFill>
      </fill>
    </dxf>
    <dxf>
      <font>
        <color rgb="FF6B7280"/>
      </font>
      <fill>
        <patternFill>
          <bgColor rgb="FFF3F4F6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9C0006"/>
      </font>
      <fill>
        <patternFill>
          <bgColor rgb="FFEA9999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D966"/>
        </patternFill>
      </fill>
    </dxf>
    <dxf>
      <fill>
        <patternFill>
          <bgColor rgb="FFF4CCCC"/>
        </patternFill>
      </fill>
    </dxf>
    <dxf>
      <fill>
        <patternFill>
          <bgColor rgb="FFC6EFCE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6500"/>
      </font>
      <fill>
        <patternFill>
          <bgColor rgb="FFFFE699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6500"/>
      </font>
      <fill>
        <patternFill>
          <bgColor rgb="FFFFE699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6500"/>
      </font>
      <fill>
        <patternFill>
          <bgColor rgb="FFFFE699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BBF7D0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BBF7D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53A47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8081"/>
      <rgbColor rgb="FF9999FF"/>
      <rgbColor rgb="FF993366"/>
      <rgbColor rgb="FFFFFFCC"/>
      <rgbColor rgb="FFD9EA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D966"/>
      <rgbColor rgb="FF99CCFF"/>
      <rgbColor rgb="FFFF99CC"/>
      <rgbColor rgb="FFCC99FF"/>
      <rgbColor rgb="FFF4CCCC"/>
      <rgbColor rgb="FF3366FF"/>
      <rgbColor rgb="FF2DB9F3"/>
      <rgbColor rgb="FF99CC00"/>
      <rgbColor rgb="FFFFCC00"/>
      <rgbColor rgb="FFF28E00"/>
      <rgbColor rgb="FFD57C31"/>
      <rgbColor rgb="FF666666"/>
      <rgbColor rgb="FF969696"/>
      <rgbColor rgb="FF1F4E78"/>
      <rgbColor rgb="FF14A38B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GB"/>
              <a:t>Staff Compliance %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'Mandatory Training Dashboard'!$D$4</c:f>
              <c:strCache>
                <c:ptCount val="1"/>
                <c:pt idx="0">
                  <c:v>Compliance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'Mandatory Training Dashboard'!$A$5:$A$16</c:f>
              <c:strCache>
                <c:ptCount val="12"/>
                <c:pt idx="0">
                  <c:v>Niranjala Dissanayake</c:v>
                </c:pt>
                <c:pt idx="1">
                  <c:v>Chelsee Booth</c:v>
                </c:pt>
                <c:pt idx="2">
                  <c:v>Paula Merry</c:v>
                </c:pt>
                <c:pt idx="3">
                  <c:v>Nathan Thomas</c:v>
                </c:pt>
                <c:pt idx="4">
                  <c:v>Joel Jose</c:v>
                </c:pt>
                <c:pt idx="5">
                  <c:v>Firos Latheef</c:v>
                </c:pt>
                <c:pt idx="6">
                  <c:v>Kathleen Evans</c:v>
                </c:pt>
                <c:pt idx="7">
                  <c:v>Sahil Sahil</c:v>
                </c:pt>
                <c:pt idx="8">
                  <c:v>Haritha Sasidharan</c:v>
                </c:pt>
                <c:pt idx="9">
                  <c:v>Abhina</c:v>
                </c:pt>
                <c:pt idx="10">
                  <c:v>Carol (Domestic)</c:v>
                </c:pt>
                <c:pt idx="11">
                  <c:v>Harry</c:v>
                </c:pt>
              </c:strCache>
            </c:strRef>
          </c:cat>
          <c:val>
            <c:numRef>
              <c:f>'Mandatory Training Dashboard'!$D$5:$D$16</c:f>
              <c:numCache>
                <c:formatCode>0%</c:formatCode>
                <c:ptCount val="12"/>
                <c:pt idx="0">
                  <c:v>0.74193548387096775</c:v>
                </c:pt>
                <c:pt idx="1">
                  <c:v>0.5161290322580645</c:v>
                </c:pt>
                <c:pt idx="2">
                  <c:v>0.70967741935483875</c:v>
                </c:pt>
                <c:pt idx="3">
                  <c:v>0.61290322580645162</c:v>
                </c:pt>
                <c:pt idx="4">
                  <c:v>0.61290322580645162</c:v>
                </c:pt>
                <c:pt idx="5">
                  <c:v>0.77419354838709675</c:v>
                </c:pt>
                <c:pt idx="6">
                  <c:v>0.93548387096774188</c:v>
                </c:pt>
                <c:pt idx="7">
                  <c:v>0.16129032258064516</c:v>
                </c:pt>
                <c:pt idx="8">
                  <c:v>0.93548387096774188</c:v>
                </c:pt>
                <c:pt idx="9">
                  <c:v>0.67741935483870963</c:v>
                </c:pt>
                <c:pt idx="10">
                  <c:v>0.61290322580645162</c:v>
                </c:pt>
                <c:pt idx="11">
                  <c:v>0.70967741935483875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4-4930-A076-776BAEEFC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GB"/>
                  <a:t>Staff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GB"/>
                  <a:t>Compliance %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Green</c:v>
          </c:tx>
          <c:spPr>
            <a:ln>
              <a:prstDash val="solid"/>
            </a:ln>
          </c:spPr>
          <c:invertIfNegative val="1"/>
          <c:cat>
            <c:strRef>
              <c:f>'Training Expiry Dashboard'!$A$11:$A$22</c:f>
              <c:strCache>
                <c:ptCount val="12"/>
                <c:pt idx="0">
                  <c:v>Niranjala Dissanayake</c:v>
                </c:pt>
                <c:pt idx="1">
                  <c:v>Chelsee Booth</c:v>
                </c:pt>
                <c:pt idx="2">
                  <c:v>Paula Merry</c:v>
                </c:pt>
                <c:pt idx="3">
                  <c:v>Nathan Thomas</c:v>
                </c:pt>
                <c:pt idx="4">
                  <c:v>Joel Jose</c:v>
                </c:pt>
                <c:pt idx="5">
                  <c:v>Firos Latheef</c:v>
                </c:pt>
                <c:pt idx="6">
                  <c:v>Kathleen Evans</c:v>
                </c:pt>
                <c:pt idx="7">
                  <c:v>Sahil Sahil</c:v>
                </c:pt>
                <c:pt idx="8">
                  <c:v>Haritha Sasidharan</c:v>
                </c:pt>
                <c:pt idx="9">
                  <c:v>Abhina</c:v>
                </c:pt>
                <c:pt idx="10">
                  <c:v>Carol (Domestic)</c:v>
                </c:pt>
                <c:pt idx="11">
                  <c:v>Harry</c:v>
                </c:pt>
              </c:strCache>
            </c:strRef>
          </c:cat>
          <c:val>
            <c:numRef>
              <c:f>'Training Expiry Dashboard'!$B$11:$B$22</c:f>
              <c:numCache>
                <c:formatCode>General</c:formatCode>
                <c:ptCount val="12"/>
                <c:pt idx="0">
                  <c:v>30</c:v>
                </c:pt>
                <c:pt idx="1">
                  <c:v>19</c:v>
                </c:pt>
                <c:pt idx="2">
                  <c:v>44</c:v>
                </c:pt>
                <c:pt idx="3">
                  <c:v>34</c:v>
                </c:pt>
                <c:pt idx="4">
                  <c:v>19</c:v>
                </c:pt>
                <c:pt idx="5">
                  <c:v>27</c:v>
                </c:pt>
                <c:pt idx="6">
                  <c:v>42</c:v>
                </c:pt>
                <c:pt idx="7">
                  <c:v>11</c:v>
                </c:pt>
                <c:pt idx="8">
                  <c:v>43</c:v>
                </c:pt>
                <c:pt idx="9">
                  <c:v>22</c:v>
                </c:pt>
                <c:pt idx="10">
                  <c:v>21</c:v>
                </c:pt>
                <c:pt idx="1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9-4728-94B3-0C6565684C14}"/>
            </c:ext>
          </c:extLst>
        </c:ser>
        <c:ser>
          <c:idx val="1"/>
          <c:order val="1"/>
          <c:tx>
            <c:v>Amber</c:v>
          </c:tx>
          <c:spPr>
            <a:ln>
              <a:prstDash val="solid"/>
            </a:ln>
          </c:spPr>
          <c:invertIfNegative val="1"/>
          <c:cat>
            <c:strRef>
              <c:f>'Training Expiry Dashboard'!$A$11:$A$22</c:f>
              <c:strCache>
                <c:ptCount val="12"/>
                <c:pt idx="0">
                  <c:v>Niranjala Dissanayake</c:v>
                </c:pt>
                <c:pt idx="1">
                  <c:v>Chelsee Booth</c:v>
                </c:pt>
                <c:pt idx="2">
                  <c:v>Paula Merry</c:v>
                </c:pt>
                <c:pt idx="3">
                  <c:v>Nathan Thomas</c:v>
                </c:pt>
                <c:pt idx="4">
                  <c:v>Joel Jose</c:v>
                </c:pt>
                <c:pt idx="5">
                  <c:v>Firos Latheef</c:v>
                </c:pt>
                <c:pt idx="6">
                  <c:v>Kathleen Evans</c:v>
                </c:pt>
                <c:pt idx="7">
                  <c:v>Sahil Sahil</c:v>
                </c:pt>
                <c:pt idx="8">
                  <c:v>Haritha Sasidharan</c:v>
                </c:pt>
                <c:pt idx="9">
                  <c:v>Abhina</c:v>
                </c:pt>
                <c:pt idx="10">
                  <c:v>Carol (Domestic)</c:v>
                </c:pt>
                <c:pt idx="11">
                  <c:v>Harry</c:v>
                </c:pt>
              </c:strCache>
            </c:strRef>
          </c:cat>
          <c:val>
            <c:numRef>
              <c:f>'Training Expiry Dashboard'!$C$11:$C$22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39-4728-94B3-0C6565684C14}"/>
            </c:ext>
          </c:extLst>
        </c:ser>
        <c:ser>
          <c:idx val="2"/>
          <c:order val="2"/>
          <c:tx>
            <c:v>Red</c:v>
          </c:tx>
          <c:spPr>
            <a:ln>
              <a:prstDash val="solid"/>
            </a:ln>
          </c:spPr>
          <c:invertIfNegative val="1"/>
          <c:cat>
            <c:strRef>
              <c:f>'Training Expiry Dashboard'!$A$11:$A$22</c:f>
              <c:strCache>
                <c:ptCount val="12"/>
                <c:pt idx="0">
                  <c:v>Niranjala Dissanayake</c:v>
                </c:pt>
                <c:pt idx="1">
                  <c:v>Chelsee Booth</c:v>
                </c:pt>
                <c:pt idx="2">
                  <c:v>Paula Merry</c:v>
                </c:pt>
                <c:pt idx="3">
                  <c:v>Nathan Thomas</c:v>
                </c:pt>
                <c:pt idx="4">
                  <c:v>Joel Jose</c:v>
                </c:pt>
                <c:pt idx="5">
                  <c:v>Firos Latheef</c:v>
                </c:pt>
                <c:pt idx="6">
                  <c:v>Kathleen Evans</c:v>
                </c:pt>
                <c:pt idx="7">
                  <c:v>Sahil Sahil</c:v>
                </c:pt>
                <c:pt idx="8">
                  <c:v>Haritha Sasidharan</c:v>
                </c:pt>
                <c:pt idx="9">
                  <c:v>Abhina</c:v>
                </c:pt>
                <c:pt idx="10">
                  <c:v>Carol (Domestic)</c:v>
                </c:pt>
                <c:pt idx="11">
                  <c:v>Harry</c:v>
                </c:pt>
              </c:strCache>
            </c:strRef>
          </c:cat>
          <c:val>
            <c:numRef>
              <c:f>'Training Expiry Dashboard'!$D$11:$D$22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66</c:v>
                </c:pt>
                <c:pt idx="3">
                  <c:v>76</c:v>
                </c:pt>
                <c:pt idx="4">
                  <c:v>91</c:v>
                </c:pt>
                <c:pt idx="5">
                  <c:v>83</c:v>
                </c:pt>
                <c:pt idx="6">
                  <c:v>68</c:v>
                </c:pt>
                <c:pt idx="7">
                  <c:v>97</c:v>
                </c:pt>
                <c:pt idx="8">
                  <c:v>67</c:v>
                </c:pt>
                <c:pt idx="9">
                  <c:v>88</c:v>
                </c:pt>
                <c:pt idx="10">
                  <c:v>89</c:v>
                </c:pt>
                <c:pt idx="11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39-4728-94B3-0C6565684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Completion %</c:v>
          </c:tx>
          <c:spPr>
            <a:ln>
              <a:prstDash val="solid"/>
            </a:ln>
          </c:spPr>
          <c:invertIfNegative val="1"/>
          <c:cat>
            <c:strRef>
              <c:f>'Main Training Dashboard'!$A$13:$A$42</c:f>
              <c:strCache>
                <c:ptCount val="30"/>
                <c:pt idx="0">
                  <c:v>Oral Care</c:v>
                </c:pt>
                <c:pt idx="1">
                  <c:v>Care Planning</c:v>
                </c:pt>
                <c:pt idx="2">
                  <c:v>MCA/DOLS</c:v>
                </c:pt>
                <c:pt idx="3">
                  <c:v>Health and Safety</c:v>
                </c:pt>
                <c:pt idx="4">
                  <c:v>Behaviour of concern E-learning</c:v>
                </c:pt>
                <c:pt idx="5">
                  <c:v>Bowel care and management</c:v>
                </c:pt>
                <c:pt idx="6">
                  <c:v>Continence care</c:v>
                </c:pt>
                <c:pt idx="7">
                  <c:v>Coshh</c:v>
                </c:pt>
                <c:pt idx="8">
                  <c:v>Dementia</c:v>
                </c:pt>
                <c:pt idx="9">
                  <c:v>Diabetes</c:v>
                </c:pt>
                <c:pt idx="10">
                  <c:v>Duty of candour</c:v>
                </c:pt>
                <c:pt idx="11">
                  <c:v>Dysphagia</c:v>
                </c:pt>
                <c:pt idx="12">
                  <c:v>Emollients</c:v>
                </c:pt>
                <c:pt idx="13">
                  <c:v>End of Life Care</c:v>
                </c:pt>
                <c:pt idx="14">
                  <c:v>PEG Feeding</c:v>
                </c:pt>
                <c:pt idx="15">
                  <c:v>Equality, Diversity and Human Rights</c:v>
                </c:pt>
                <c:pt idx="16">
                  <c:v>Fall management</c:v>
                </c:pt>
                <c:pt idx="17">
                  <c:v>Fluid and nutrition</c:v>
                </c:pt>
                <c:pt idx="18">
                  <c:v>Food hygiene</c:v>
                </c:pt>
                <c:pt idx="19">
                  <c:v>Handwashing and PPE</c:v>
                </c:pt>
                <c:pt idx="20">
                  <c:v>Infection control</c:v>
                </c:pt>
                <c:pt idx="21">
                  <c:v>Managing Death</c:v>
                </c:pt>
                <c:pt idx="22">
                  <c:v>Mealtime</c:v>
                </c:pt>
                <c:pt idx="23">
                  <c:v>Sepsis</c:v>
                </c:pt>
                <c:pt idx="24">
                  <c:v>Riddor</c:v>
                </c:pt>
                <c:pt idx="25">
                  <c:v>Pressure care</c:v>
                </c:pt>
                <c:pt idx="26">
                  <c:v>Positive behaviour</c:v>
                </c:pt>
                <c:pt idx="27">
                  <c:v>Personal care</c:v>
                </c:pt>
                <c:pt idx="28">
                  <c:v>Person centred care planning and record keeping</c:v>
                </c:pt>
                <c:pt idx="29">
                  <c:v>Parkinsons</c:v>
                </c:pt>
              </c:strCache>
            </c:strRef>
          </c:cat>
          <c:val>
            <c:numRef>
              <c:f>'Main Training Dashboard'!$F$13:$F$42</c:f>
              <c:numCache>
                <c:formatCode>0%</c:formatCode>
                <c:ptCount val="30"/>
                <c:pt idx="0">
                  <c:v>0.90909090909090906</c:v>
                </c:pt>
                <c:pt idx="1">
                  <c:v>0.72727272727272729</c:v>
                </c:pt>
                <c:pt idx="2">
                  <c:v>0.81818181818181823</c:v>
                </c:pt>
                <c:pt idx="3">
                  <c:v>1</c:v>
                </c:pt>
                <c:pt idx="4">
                  <c:v>0.90909090909090906</c:v>
                </c:pt>
                <c:pt idx="5">
                  <c:v>0.45454545454545453</c:v>
                </c:pt>
                <c:pt idx="6">
                  <c:v>0</c:v>
                </c:pt>
                <c:pt idx="7">
                  <c:v>0.81818181818181823</c:v>
                </c:pt>
                <c:pt idx="8">
                  <c:v>1</c:v>
                </c:pt>
                <c:pt idx="9">
                  <c:v>0.72727272727272729</c:v>
                </c:pt>
                <c:pt idx="10">
                  <c:v>0</c:v>
                </c:pt>
                <c:pt idx="11">
                  <c:v>0.90909090909090906</c:v>
                </c:pt>
                <c:pt idx="12">
                  <c:v>0</c:v>
                </c:pt>
                <c:pt idx="13">
                  <c:v>0.90909090909090906</c:v>
                </c:pt>
                <c:pt idx="14">
                  <c:v>0.63636363636363635</c:v>
                </c:pt>
                <c:pt idx="15">
                  <c:v>0.63636363636363635</c:v>
                </c:pt>
                <c:pt idx="16">
                  <c:v>0.72727272727272729</c:v>
                </c:pt>
                <c:pt idx="17">
                  <c:v>0.81818181818181823</c:v>
                </c:pt>
                <c:pt idx="18">
                  <c:v>0.81818181818181823</c:v>
                </c:pt>
                <c:pt idx="19">
                  <c:v>0</c:v>
                </c:pt>
                <c:pt idx="20">
                  <c:v>0.72727272727272729</c:v>
                </c:pt>
                <c:pt idx="21">
                  <c:v>0</c:v>
                </c:pt>
                <c:pt idx="22">
                  <c:v>0</c:v>
                </c:pt>
                <c:pt idx="23">
                  <c:v>0.27272727272727271</c:v>
                </c:pt>
                <c:pt idx="24">
                  <c:v>0</c:v>
                </c:pt>
                <c:pt idx="25">
                  <c:v>0.27272727272727271</c:v>
                </c:pt>
                <c:pt idx="26">
                  <c:v>0.90909090909090906</c:v>
                </c:pt>
                <c:pt idx="27">
                  <c:v>0</c:v>
                </c:pt>
                <c:pt idx="28">
                  <c:v>0.63636363636363635</c:v>
                </c:pt>
                <c:pt idx="29">
                  <c:v>0.63636363636363635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9-4510-AAFD-EA60195CB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Completion %</c:v>
          </c:tx>
          <c:spPr>
            <a:ln>
              <a:prstDash val="solid"/>
            </a:ln>
          </c:spPr>
          <c:invertIfNegative val="1"/>
          <c:cat>
            <c:strRef>
              <c:f>'All Training Dashboard'!$A$13:$A$51</c:f>
              <c:strCache>
                <c:ptCount val="39"/>
                <c:pt idx="0">
                  <c:v>Care Certificate</c:v>
                </c:pt>
                <c:pt idx="1">
                  <c:v>Equality, Diversity &amp; Human Rights</c:v>
                </c:pt>
                <c:pt idx="2">
                  <c:v>Medication</c:v>
                </c:pt>
                <c:pt idx="3">
                  <c:v>Safeguarding Adults</c:v>
                </c:pt>
                <c:pt idx="4">
                  <c:v>Fire Safety / Fire Warden</c:v>
                </c:pt>
                <c:pt idx="5">
                  <c:v>Basic Life Support</c:v>
                </c:pt>
                <c:pt idx="6">
                  <c:v>Emergency First Aid</c:v>
                </c:pt>
                <c:pt idx="7">
                  <c:v>Moving &amp; Handling</c:v>
                </c:pt>
                <c:pt idx="8">
                  <c:v>Infection Prevention &amp; Control</c:v>
                </c:pt>
                <c:pt idx="9">
                  <c:v>Mental Capacity &amp; DoLS</c:v>
                </c:pt>
                <c:pt idx="10">
                  <c:v>GDPR &amp; Information Governance</c:v>
                </c:pt>
                <c:pt idx="11">
                  <c:v>Food Hygiene</c:v>
                </c:pt>
                <c:pt idx="12">
                  <c:v>Dementia</c:v>
                </c:pt>
                <c:pt idx="13">
                  <c:v>Behaviour That Challenges</c:v>
                </c:pt>
                <c:pt idx="14">
                  <c:v>Nutrition &amp; Hydration</c:v>
                </c:pt>
                <c:pt idx="15">
                  <c:v>Person-Centred Care</c:v>
                </c:pt>
                <c:pt idx="16">
                  <c:v>End of Life Care</c:v>
                </c:pt>
                <c:pt idx="17">
                  <c:v>Record Keeping</c:v>
                </c:pt>
                <c:pt idx="18">
                  <c:v>PEG Feeding</c:v>
                </c:pt>
                <c:pt idx="19">
                  <c:v>Duty of Care</c:v>
                </c:pt>
                <c:pt idx="20">
                  <c:v>Health &amp; Safety / COSHH / RIDDOR</c:v>
                </c:pt>
                <c:pt idx="21">
                  <c:v>Care Planning</c:v>
                </c:pt>
                <c:pt idx="22">
                  <c:v>Dysphagia / SALT</c:v>
                </c:pt>
                <c:pt idx="23">
                  <c:v>Diabetes Awareness</c:v>
                </c:pt>
                <c:pt idx="24">
                  <c:v>Oral Care</c:v>
                </c:pt>
                <c:pt idx="25">
                  <c:v>Pressure Care</c:v>
                </c:pt>
                <c:pt idx="26">
                  <c:v>Falls Awareness</c:v>
                </c:pt>
                <c:pt idx="27">
                  <c:v>Oliver McGowan</c:v>
                </c:pt>
                <c:pt idx="28">
                  <c:v>Sepsis</c:v>
                </c:pt>
                <c:pt idx="29">
                  <c:v>Bowel Care</c:v>
                </c:pt>
                <c:pt idx="30">
                  <c:v>Parkinson's</c:v>
                </c:pt>
                <c:pt idx="31">
                  <c:v>Continence Care</c:v>
                </c:pt>
                <c:pt idx="32">
                  <c:v>Duty of Candour</c:v>
                </c:pt>
                <c:pt idx="33">
                  <c:v>Emollients</c:v>
                </c:pt>
                <c:pt idx="34">
                  <c:v>Handwashing &amp; PPE</c:v>
                </c:pt>
                <c:pt idx="35">
                  <c:v>Managing Death</c:v>
                </c:pt>
                <c:pt idx="36">
                  <c:v>Mealtime Support</c:v>
                </c:pt>
                <c:pt idx="37">
                  <c:v>RIDDOR</c:v>
                </c:pt>
                <c:pt idx="38">
                  <c:v>Personal Care</c:v>
                </c:pt>
              </c:strCache>
            </c:strRef>
          </c:cat>
          <c:val>
            <c:numRef>
              <c:f>'All Training Dashboard'!$D$13:$D$51</c:f>
              <c:numCache>
                <c:formatCode>0%</c:formatCode>
                <c:ptCount val="39"/>
                <c:pt idx="0">
                  <c:v>0.45454545454545453</c:v>
                </c:pt>
                <c:pt idx="1">
                  <c:v>0.63636363636363635</c:v>
                </c:pt>
                <c:pt idx="2">
                  <c:v>0.36363636363636365</c:v>
                </c:pt>
                <c:pt idx="3">
                  <c:v>0.81818181818181823</c:v>
                </c:pt>
                <c:pt idx="4">
                  <c:v>0.90909090909090906</c:v>
                </c:pt>
                <c:pt idx="5">
                  <c:v>0.81818181818181823</c:v>
                </c:pt>
                <c:pt idx="6">
                  <c:v>0.54545454545454541</c:v>
                </c:pt>
                <c:pt idx="7">
                  <c:v>0.90909090909090906</c:v>
                </c:pt>
                <c:pt idx="8">
                  <c:v>0.72727272727272729</c:v>
                </c:pt>
                <c:pt idx="9">
                  <c:v>0.81818181818181823</c:v>
                </c:pt>
                <c:pt idx="10">
                  <c:v>0.36363636363636365</c:v>
                </c:pt>
                <c:pt idx="11">
                  <c:v>0.81818181818181823</c:v>
                </c:pt>
                <c:pt idx="12">
                  <c:v>0.81818181818181823</c:v>
                </c:pt>
                <c:pt idx="13">
                  <c:v>0.90909090909090906</c:v>
                </c:pt>
                <c:pt idx="14">
                  <c:v>0.81818181818181823</c:v>
                </c:pt>
                <c:pt idx="15">
                  <c:v>0.63636363636363635</c:v>
                </c:pt>
                <c:pt idx="16">
                  <c:v>0.90909090909090906</c:v>
                </c:pt>
                <c:pt idx="17">
                  <c:v>0.36363636363636365</c:v>
                </c:pt>
                <c:pt idx="18">
                  <c:v>0.63636363636363635</c:v>
                </c:pt>
                <c:pt idx="19">
                  <c:v>0.18181818181818182</c:v>
                </c:pt>
                <c:pt idx="20">
                  <c:v>0.81818181818181823</c:v>
                </c:pt>
                <c:pt idx="21">
                  <c:v>0.72727272727272729</c:v>
                </c:pt>
                <c:pt idx="22">
                  <c:v>0.90909090909090906</c:v>
                </c:pt>
                <c:pt idx="23">
                  <c:v>0.72727272727272729</c:v>
                </c:pt>
                <c:pt idx="24">
                  <c:v>0.90909090909090906</c:v>
                </c:pt>
                <c:pt idx="25">
                  <c:v>0.27272727272727271</c:v>
                </c:pt>
                <c:pt idx="26">
                  <c:v>0.72727272727272729</c:v>
                </c:pt>
                <c:pt idx="27">
                  <c:v>0.63636363636363635</c:v>
                </c:pt>
                <c:pt idx="28">
                  <c:v>0.27272727272727271</c:v>
                </c:pt>
                <c:pt idx="29">
                  <c:v>0.45454545454545453</c:v>
                </c:pt>
                <c:pt idx="30">
                  <c:v>0.63636363636363635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95-4EB1-96FF-A6D85C1A8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989013</xdr:colOff>
      <xdr:row>16</xdr:row>
      <xdr:rowOff>152400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15</xdr:col>
      <xdr:colOff>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iningDueRAGTable" displayName="TrainingDueRAGTable" ref="A2:I1322">
  <tableColumns count="9">
    <tableColumn id="1" xr3:uid="{00000000-0010-0000-0000-000001000000}" name="Staff Name"/>
    <tableColumn id="2" xr3:uid="{00000000-0010-0000-0000-000002000000}" name="Course"/>
    <tableColumn id="3" xr3:uid="{00000000-0010-0000-0000-000003000000}" name="Completed Date"/>
    <tableColumn id="4" xr3:uid="{00000000-0010-0000-0000-000004000000}" name="Validity (Months)"/>
    <tableColumn id="5" xr3:uid="{00000000-0010-0000-0000-000005000000}" name="Next Course Due"/>
    <tableColumn id="6" xr3:uid="{00000000-0010-0000-0000-000006000000}" name="Days Until Due"/>
    <tableColumn id="7" xr3:uid="{00000000-0010-0000-0000-000007000000}" name="RAG"/>
    <tableColumn id="8" xr3:uid="{00000000-0010-0000-0000-000008000000}" name="Status"/>
    <tableColumn id="9" xr3:uid="{00000000-0010-0000-0000-000009000000}" name="Evidence /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inTrainingDashboardTable" displayName="MainTrainingDashboardTable" ref="A12:H42">
  <tableColumns count="8">
    <tableColumn id="1" xr3:uid="{00000000-0010-0000-0100-000001000000}" name="Training Topic"/>
    <tableColumn id="2" xr3:uid="{00000000-0010-0000-0100-000002000000}" name="Mapped Source Column"/>
    <tableColumn id="3" xr3:uid="{00000000-0010-0000-0100-000003000000}" name="Completed"/>
    <tableColumn id="4" xr3:uid="{00000000-0010-0000-0100-000004000000}" name="Required Staff"/>
    <tableColumn id="5" xr3:uid="{00000000-0010-0000-0100-000005000000}" name="Missing / Not Evidenced"/>
    <tableColumn id="6" xr3:uid="{00000000-0010-0000-0100-000006000000}" name="Completion %"/>
    <tableColumn id="7" xr3:uid="{00000000-0010-0000-0100-000007000000}" name="RAG"/>
    <tableColumn id="8" xr3:uid="{00000000-0010-0000-0100-000008000000}" name="Rule /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llTrainingDashboardTable" displayName="AllTrainingDashboardTable" ref="A12:F51">
  <tableColumns count="6">
    <tableColumn id="1" xr3:uid="{00000000-0010-0000-0200-000001000000}" name="Training Column"/>
    <tableColumn id="2" xr3:uid="{00000000-0010-0000-0200-000002000000}" name="Completed"/>
    <tableColumn id="3" xr3:uid="{00000000-0010-0000-0200-000003000000}" name="Total Staff"/>
    <tableColumn id="4" xr3:uid="{00000000-0010-0000-0200-000004000000}" name="Completion %"/>
    <tableColumn id="5" xr3:uid="{00000000-0010-0000-0200-000005000000}" name="Missing"/>
    <tableColumn id="6" xr3:uid="{00000000-0010-0000-0200-000006000000}" name="RA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reDashboardTable" displayName="CareDashboardTable" ref="A8:H41">
  <tableColumns count="8">
    <tableColumn id="1" xr3:uid="{00000000-0010-0000-0300-000001000000}" name="Training Topic"/>
    <tableColumn id="2" xr3:uid="{00000000-0010-0000-0300-000002000000}" name="Grouped Source Columns"/>
    <tableColumn id="3" xr3:uid="{00000000-0010-0000-0300-000003000000}" name="Completed"/>
    <tableColumn id="4" xr3:uid="{00000000-0010-0000-0300-000004000000}" name="Total Staff"/>
    <tableColumn id="5" xr3:uid="{00000000-0010-0000-0300-000005000000}" name="Completion %"/>
    <tableColumn id="6" xr3:uid="{00000000-0010-0000-0300-000006000000}" name="RAG"/>
    <tableColumn id="7" xr3:uid="{00000000-0010-0000-0300-000007000000}" name="Action Focus"/>
    <tableColumn id="8" xr3:uid="{00000000-0010-0000-0300-000008000000}" name="Evidence 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showGridLines="0" workbookViewId="0">
      <selection sqref="A1:J1"/>
    </sheetView>
  </sheetViews>
  <sheetFormatPr defaultRowHeight="14.5" x14ac:dyDescent="0.35"/>
  <cols>
    <col min="1" max="1" width="24" customWidth="1"/>
    <col min="2" max="2" width="18" customWidth="1"/>
    <col min="3" max="3" width="20" customWidth="1"/>
    <col min="4" max="4" width="33.54296875" customWidth="1"/>
    <col min="5" max="5" width="18" customWidth="1"/>
    <col min="6" max="6" width="28" customWidth="1"/>
    <col min="7" max="7" width="20" customWidth="1"/>
    <col min="8" max="10" width="18" customWidth="1"/>
  </cols>
  <sheetData>
    <row r="1" spans="1:10" ht="34" customHeight="1" x14ac:dyDescent="0.35">
      <c r="A1" s="139" t="s">
        <v>0</v>
      </c>
      <c r="B1" s="137"/>
      <c r="C1" s="137"/>
      <c r="D1" s="137"/>
      <c r="E1" s="137"/>
      <c r="F1" s="137"/>
      <c r="G1" s="137"/>
      <c r="H1" s="137"/>
      <c r="I1" s="137"/>
      <c r="J1" s="138"/>
    </row>
    <row r="2" spans="1:10" ht="22" customHeight="1" x14ac:dyDescent="0.35">
      <c r="A2" s="50"/>
      <c r="B2" s="50"/>
      <c r="C2" s="50"/>
      <c r="D2" s="50"/>
      <c r="E2" s="50"/>
      <c r="F2" s="50"/>
      <c r="G2" s="50"/>
      <c r="H2" s="50"/>
      <c r="I2" s="50"/>
      <c r="J2" s="50"/>
    </row>
    <row r="3" spans="1:10" ht="22" customHeight="1" x14ac:dyDescent="0.35">
      <c r="A3" s="136" t="s">
        <v>1</v>
      </c>
      <c r="B3" s="137"/>
      <c r="C3" s="137"/>
      <c r="D3" s="137"/>
      <c r="E3" s="138"/>
    </row>
    <row r="4" spans="1:10" ht="22" customHeight="1" x14ac:dyDescent="0.35">
      <c r="A4" s="52" t="s">
        <v>2</v>
      </c>
      <c r="B4" s="52" t="s">
        <v>3</v>
      </c>
      <c r="C4" s="52" t="s">
        <v>4</v>
      </c>
      <c r="D4" s="52" t="s">
        <v>5</v>
      </c>
      <c r="E4" s="52" t="s">
        <v>6</v>
      </c>
      <c r="F4" s="128" t="s">
        <v>7</v>
      </c>
    </row>
    <row r="5" spans="1:10" ht="22" customHeight="1" x14ac:dyDescent="0.35">
      <c r="A5" s="55" t="str">
        <f>'Consolidated Matrix'!A4</f>
        <v>Niranjala Dissanayake</v>
      </c>
      <c r="B5" s="55">
        <f>'Consolidated Matrix'!AG4</f>
        <v>23</v>
      </c>
      <c r="C5" s="55">
        <f>'Consolidated Matrix'!AH4</f>
        <v>31</v>
      </c>
      <c r="D5" s="57">
        <f>'Consolidated Matrix'!AI4</f>
        <v>0.74193548387096775</v>
      </c>
      <c r="E5" s="55" t="str">
        <f>'Consolidated Matrix'!AJ4</f>
        <v>AMBER</v>
      </c>
    </row>
    <row r="6" spans="1:10" ht="22" customHeight="1" x14ac:dyDescent="0.35">
      <c r="A6" s="52" t="str">
        <f>'Consolidated Matrix'!A5</f>
        <v>Chelsee Booth</v>
      </c>
      <c r="B6" s="52">
        <f>'Consolidated Matrix'!AG5</f>
        <v>16</v>
      </c>
      <c r="C6" s="52">
        <f>'Consolidated Matrix'!AH5</f>
        <v>31</v>
      </c>
      <c r="D6" s="58">
        <f>'Consolidated Matrix'!AI5</f>
        <v>0.5161290322580645</v>
      </c>
      <c r="E6" s="52" t="str">
        <f>'Consolidated Matrix'!AJ5</f>
        <v>RED</v>
      </c>
    </row>
    <row r="7" spans="1:10" ht="22" customHeight="1" x14ac:dyDescent="0.35">
      <c r="A7" s="55" t="str">
        <f>'Consolidated Matrix'!A6</f>
        <v>Paula Merry</v>
      </c>
      <c r="B7" s="55">
        <f>'Consolidated Matrix'!AG6</f>
        <v>22</v>
      </c>
      <c r="C7" s="55">
        <f>'Consolidated Matrix'!AH6</f>
        <v>31</v>
      </c>
      <c r="D7" s="57">
        <f>'Consolidated Matrix'!AI6</f>
        <v>0.70967741935483875</v>
      </c>
      <c r="E7" s="55" t="str">
        <f>'Consolidated Matrix'!AJ6</f>
        <v>AMBER</v>
      </c>
    </row>
    <row r="8" spans="1:10" ht="22" customHeight="1" x14ac:dyDescent="0.35">
      <c r="A8" s="55" t="str">
        <f>'Consolidated Matrix'!A7</f>
        <v>Nathan Thomas</v>
      </c>
      <c r="B8" s="55">
        <f>'Consolidated Matrix'!AG7</f>
        <v>19</v>
      </c>
      <c r="C8" s="55">
        <f>'Consolidated Matrix'!AH7</f>
        <v>31</v>
      </c>
      <c r="D8" s="57">
        <f>'Consolidated Matrix'!AI7</f>
        <v>0.61290322580645162</v>
      </c>
      <c r="E8" s="55" t="str">
        <f>'Consolidated Matrix'!AJ7</f>
        <v>AMBER</v>
      </c>
    </row>
    <row r="9" spans="1:10" ht="22" customHeight="1" x14ac:dyDescent="0.35">
      <c r="A9" s="52" t="str">
        <f>'Consolidated Matrix'!A8</f>
        <v>Joel Jose</v>
      </c>
      <c r="B9" s="52">
        <f>'Consolidated Matrix'!AG8</f>
        <v>19</v>
      </c>
      <c r="C9" s="52">
        <f>'Consolidated Matrix'!AH8</f>
        <v>31</v>
      </c>
      <c r="D9" s="58">
        <f>'Consolidated Matrix'!AI8</f>
        <v>0.61290322580645162</v>
      </c>
      <c r="E9" s="52" t="str">
        <f>'Consolidated Matrix'!AJ8</f>
        <v>AMBER</v>
      </c>
    </row>
    <row r="10" spans="1:10" ht="22" customHeight="1" x14ac:dyDescent="0.35">
      <c r="A10" s="55" t="str">
        <f>'Consolidated Matrix'!A9</f>
        <v>Firos Latheef</v>
      </c>
      <c r="B10" s="55">
        <f>'Consolidated Matrix'!AG9</f>
        <v>24</v>
      </c>
      <c r="C10" s="55">
        <f>'Consolidated Matrix'!AH9</f>
        <v>31</v>
      </c>
      <c r="D10" s="57">
        <f>'Consolidated Matrix'!AI9</f>
        <v>0.77419354838709675</v>
      </c>
      <c r="E10" s="55" t="str">
        <f>'Consolidated Matrix'!AJ9</f>
        <v>AMBER</v>
      </c>
    </row>
    <row r="11" spans="1:10" ht="22" customHeight="1" x14ac:dyDescent="0.35">
      <c r="A11" s="55" t="str">
        <f>'Consolidated Matrix'!A10</f>
        <v>Kathleen Evans</v>
      </c>
      <c r="B11" s="55">
        <f>'Consolidated Matrix'!AG10</f>
        <v>29</v>
      </c>
      <c r="C11" s="55">
        <f>'Consolidated Matrix'!AH10</f>
        <v>31</v>
      </c>
      <c r="D11" s="57">
        <f>'Consolidated Matrix'!AI10</f>
        <v>0.93548387096774188</v>
      </c>
      <c r="E11" s="55" t="str">
        <f>'Consolidated Matrix'!AJ10</f>
        <v>GREEN</v>
      </c>
    </row>
    <row r="12" spans="1:10" ht="22" customHeight="1" x14ac:dyDescent="0.35">
      <c r="A12" s="52" t="str">
        <f>'Consolidated Matrix'!A11</f>
        <v>Sahil Sahil</v>
      </c>
      <c r="B12" s="52">
        <f>'Consolidated Matrix'!AG11</f>
        <v>5</v>
      </c>
      <c r="C12" s="52">
        <f>'Consolidated Matrix'!AH11</f>
        <v>31</v>
      </c>
      <c r="D12" s="58">
        <f>'Consolidated Matrix'!AI11</f>
        <v>0.16129032258064516</v>
      </c>
      <c r="E12" s="52" t="str">
        <f>'Consolidated Matrix'!AJ11</f>
        <v>RED</v>
      </c>
    </row>
    <row r="13" spans="1:10" ht="22" customHeight="1" x14ac:dyDescent="0.35">
      <c r="A13" s="55" t="str">
        <f>'Consolidated Matrix'!A12</f>
        <v>Haritha Sasidharan</v>
      </c>
      <c r="B13" s="55">
        <f>'Consolidated Matrix'!AG12</f>
        <v>29</v>
      </c>
      <c r="C13" s="55">
        <f>'Consolidated Matrix'!AH12</f>
        <v>31</v>
      </c>
      <c r="D13" s="57">
        <f>'Consolidated Matrix'!AI12</f>
        <v>0.93548387096774188</v>
      </c>
      <c r="E13" s="55" t="str">
        <f>'Consolidated Matrix'!AJ12</f>
        <v>GREEN</v>
      </c>
    </row>
    <row r="14" spans="1:10" ht="22" customHeight="1" x14ac:dyDescent="0.35">
      <c r="A14" s="55" t="str">
        <f>'Consolidated Matrix'!A13</f>
        <v>Abhina</v>
      </c>
      <c r="B14" s="55">
        <f>'Consolidated Matrix'!AG13</f>
        <v>21</v>
      </c>
      <c r="C14" s="55">
        <f>'Consolidated Matrix'!AH13</f>
        <v>31</v>
      </c>
      <c r="D14" s="57">
        <f>'Consolidated Matrix'!AI13</f>
        <v>0.67741935483870963</v>
      </c>
      <c r="E14" s="55" t="str">
        <f>'Consolidated Matrix'!AJ13</f>
        <v>AMBER</v>
      </c>
    </row>
    <row r="15" spans="1:10" ht="22" customHeight="1" x14ac:dyDescent="0.35">
      <c r="A15" s="55" t="str">
        <f>'Consolidated Matrix'!A14</f>
        <v>Carol (Domestic)</v>
      </c>
      <c r="B15" s="55">
        <f>'Consolidated Matrix'!AG14</f>
        <v>19</v>
      </c>
      <c r="C15" s="55">
        <f>'Consolidated Matrix'!AH14</f>
        <v>31</v>
      </c>
      <c r="D15" s="57">
        <f>'Consolidated Matrix'!AI14</f>
        <v>0.61290322580645162</v>
      </c>
      <c r="E15" s="55" t="str">
        <f>'Consolidated Matrix'!AJ14</f>
        <v>AMBER</v>
      </c>
    </row>
    <row r="16" spans="1:10" ht="22" customHeight="1" x14ac:dyDescent="0.35">
      <c r="A16" s="55" t="str">
        <f>'Consolidated Matrix'!A15</f>
        <v>Harry</v>
      </c>
      <c r="B16" s="55">
        <f>'Consolidated Matrix'!AG15</f>
        <v>22</v>
      </c>
      <c r="C16" s="55">
        <f>'Consolidated Matrix'!AH15</f>
        <v>31</v>
      </c>
      <c r="D16" s="57">
        <f>'Consolidated Matrix'!AI15</f>
        <v>0.70967741935483875</v>
      </c>
      <c r="E16" s="55" t="str">
        <f>'Consolidated Matrix'!AJ15</f>
        <v>AMBER</v>
      </c>
    </row>
    <row r="17" spans="1:12" ht="22" customHeight="1" x14ac:dyDescent="0.35">
      <c r="F17" s="78"/>
      <c r="G17" s="78"/>
      <c r="H17" s="78"/>
      <c r="I17" s="78"/>
      <c r="J17" s="78"/>
      <c r="K17" s="80"/>
      <c r="L17" s="80"/>
    </row>
    <row r="18" spans="1:12" ht="22" customHeight="1" x14ac:dyDescent="0.35">
      <c r="F18" s="79"/>
      <c r="G18" s="79"/>
      <c r="H18" s="79"/>
      <c r="I18" s="79"/>
      <c r="J18" s="79"/>
      <c r="K18" s="80"/>
      <c r="L18" s="80"/>
    </row>
    <row r="19" spans="1:12" ht="22" customHeight="1" x14ac:dyDescent="0.35">
      <c r="F19" s="79"/>
      <c r="G19" s="79"/>
      <c r="H19" s="79"/>
      <c r="I19" s="79"/>
      <c r="J19" s="79"/>
      <c r="K19" s="80"/>
      <c r="L19" s="80"/>
    </row>
    <row r="20" spans="1:12" ht="22" customHeight="1" x14ac:dyDescent="0.35">
      <c r="F20" s="78"/>
      <c r="G20" s="78"/>
      <c r="H20" s="78"/>
      <c r="I20" s="78"/>
      <c r="J20" s="78"/>
      <c r="K20" s="80"/>
      <c r="L20" s="80"/>
    </row>
    <row r="21" spans="1:12" ht="22" customHeight="1" x14ac:dyDescent="0.35">
      <c r="A21" s="136" t="s">
        <v>8</v>
      </c>
      <c r="B21" s="137"/>
      <c r="C21" s="137"/>
      <c r="D21" s="137"/>
      <c r="E21" s="138"/>
      <c r="F21" s="78"/>
      <c r="G21" s="78"/>
      <c r="H21" s="78"/>
      <c r="I21" s="78"/>
      <c r="J21" s="78"/>
      <c r="K21" s="80"/>
      <c r="L21" s="80"/>
    </row>
    <row r="22" spans="1:12" ht="22" customHeight="1" x14ac:dyDescent="0.35">
      <c r="A22" s="51" t="s">
        <v>9</v>
      </c>
      <c r="B22" s="51" t="s">
        <v>3</v>
      </c>
      <c r="C22" s="51" t="s">
        <v>10</v>
      </c>
      <c r="D22" s="51" t="s">
        <v>11</v>
      </c>
      <c r="E22" s="51" t="s">
        <v>6</v>
      </c>
      <c r="F22" s="78"/>
      <c r="G22" s="78"/>
      <c r="H22" s="78"/>
      <c r="I22" s="78"/>
      <c r="J22" s="78"/>
      <c r="K22" s="80"/>
      <c r="L22" s="80"/>
    </row>
    <row r="23" spans="1:12" ht="22" customHeight="1" x14ac:dyDescent="0.35">
      <c r="A23" s="84" t="str">
        <f>'Consolidated Matrix'!A21</f>
        <v>Care Certificate</v>
      </c>
      <c r="B23" s="84">
        <f>'Consolidated Matrix'!B21</f>
        <v>6</v>
      </c>
      <c r="C23" s="84">
        <f>'Consolidated Matrix'!C21</f>
        <v>12</v>
      </c>
      <c r="D23" s="85">
        <f>'Consolidated Matrix'!D21</f>
        <v>0.5</v>
      </c>
      <c r="E23" s="52" t="str">
        <f>'Consolidated Matrix'!E21</f>
        <v>RED</v>
      </c>
      <c r="F23" s="78"/>
      <c r="G23" s="78"/>
      <c r="H23" s="78"/>
      <c r="I23" s="78"/>
      <c r="J23" s="78"/>
      <c r="K23" s="80"/>
      <c r="L23" s="80"/>
    </row>
    <row r="24" spans="1:12" ht="22" customHeight="1" x14ac:dyDescent="0.35">
      <c r="A24" s="84" t="str">
        <f>'Consolidated Matrix'!A22</f>
        <v>Equality, Diversity &amp; Human Rights</v>
      </c>
      <c r="B24" s="84">
        <f>'Consolidated Matrix'!B22</f>
        <v>7</v>
      </c>
      <c r="C24" s="84">
        <f>'Consolidated Matrix'!C22</f>
        <v>12</v>
      </c>
      <c r="D24" s="85">
        <f>'Consolidated Matrix'!D22</f>
        <v>0.58333333333333337</v>
      </c>
      <c r="E24" s="52" t="str">
        <f>'Consolidated Matrix'!E22</f>
        <v>RED</v>
      </c>
      <c r="F24" s="78"/>
      <c r="G24" s="78"/>
      <c r="H24" s="78"/>
      <c r="I24" s="78"/>
      <c r="J24" s="78"/>
      <c r="K24" s="80"/>
      <c r="L24" s="80"/>
    </row>
    <row r="25" spans="1:12" ht="22" customHeight="1" x14ac:dyDescent="0.35">
      <c r="A25" s="55" t="str">
        <f>'Consolidated Matrix'!A23</f>
        <v>Medication</v>
      </c>
      <c r="B25" s="55">
        <f>'Consolidated Matrix'!B23</f>
        <v>5</v>
      </c>
      <c r="C25" s="55">
        <f>'Consolidated Matrix'!C23</f>
        <v>12</v>
      </c>
      <c r="D25" s="57">
        <f>'Consolidated Matrix'!D23</f>
        <v>0.41666666666666669</v>
      </c>
      <c r="E25" s="55" t="str">
        <f>'Consolidated Matrix'!E23</f>
        <v>RED</v>
      </c>
      <c r="F25" s="79"/>
      <c r="G25" s="79"/>
      <c r="H25" s="79"/>
      <c r="I25" s="79"/>
      <c r="J25" s="79"/>
      <c r="K25" s="80"/>
      <c r="L25" s="80"/>
    </row>
    <row r="26" spans="1:12" ht="22" customHeight="1" x14ac:dyDescent="0.35">
      <c r="A26" s="55" t="str">
        <f>'Consolidated Matrix'!A24</f>
        <v>Safeguarding Adults</v>
      </c>
      <c r="B26" s="55">
        <f>'Consolidated Matrix'!B24</f>
        <v>10</v>
      </c>
      <c r="C26" s="55">
        <f>'Consolidated Matrix'!C24</f>
        <v>12</v>
      </c>
      <c r="D26" s="57">
        <f>'Consolidated Matrix'!D24</f>
        <v>0.83333333333333337</v>
      </c>
      <c r="E26" s="55" t="str">
        <f>'Consolidated Matrix'!E24</f>
        <v>GREEN</v>
      </c>
      <c r="F26" s="78"/>
      <c r="G26" s="78"/>
      <c r="H26" s="78"/>
      <c r="I26" s="78"/>
      <c r="J26" s="78"/>
      <c r="K26" s="80"/>
      <c r="L26" s="80"/>
    </row>
    <row r="27" spans="1:12" ht="22" customHeight="1" x14ac:dyDescent="0.35">
      <c r="A27" s="55" t="str">
        <f>'Consolidated Matrix'!A25</f>
        <v>Fire Safety / Fire Warden</v>
      </c>
      <c r="B27" s="55">
        <f>'Consolidated Matrix'!B25</f>
        <v>11</v>
      </c>
      <c r="C27" s="55">
        <f>'Consolidated Matrix'!C25</f>
        <v>12</v>
      </c>
      <c r="D27" s="57">
        <f>'Consolidated Matrix'!D25</f>
        <v>0.91666666666666663</v>
      </c>
      <c r="E27" s="55" t="str">
        <f>'Consolidated Matrix'!E25</f>
        <v>GREEN</v>
      </c>
      <c r="F27" s="78"/>
      <c r="G27" s="78"/>
      <c r="H27" s="78"/>
      <c r="I27" s="78"/>
      <c r="J27" s="78"/>
      <c r="K27" s="80"/>
      <c r="L27" s="80"/>
    </row>
    <row r="28" spans="1:12" ht="22" customHeight="1" x14ac:dyDescent="0.35">
      <c r="A28" s="55" t="str">
        <f>'Consolidated Matrix'!A26</f>
        <v>Basic Life Support</v>
      </c>
      <c r="B28" s="55">
        <f>'Consolidated Matrix'!B26</f>
        <v>10</v>
      </c>
      <c r="C28" s="55">
        <f>'Consolidated Matrix'!C26</f>
        <v>12</v>
      </c>
      <c r="D28" s="57">
        <f>'Consolidated Matrix'!D26</f>
        <v>0.83333333333333337</v>
      </c>
      <c r="E28" s="55" t="str">
        <f>'Consolidated Matrix'!E26</f>
        <v>GREEN</v>
      </c>
      <c r="F28" s="78"/>
      <c r="G28" s="78"/>
      <c r="H28" s="78"/>
      <c r="I28" s="78"/>
      <c r="J28" s="78"/>
      <c r="K28" s="80"/>
      <c r="L28" s="80"/>
    </row>
    <row r="29" spans="1:12" ht="22" customHeight="1" x14ac:dyDescent="0.35">
      <c r="A29" s="55" t="str">
        <f>'Consolidated Matrix'!A27</f>
        <v>Emergency First Aid</v>
      </c>
      <c r="B29" s="55">
        <f>'Consolidated Matrix'!B27</f>
        <v>7</v>
      </c>
      <c r="C29" s="55">
        <f>'Consolidated Matrix'!C27</f>
        <v>12</v>
      </c>
      <c r="D29" s="57">
        <f>'Consolidated Matrix'!D27</f>
        <v>0.58333333333333337</v>
      </c>
      <c r="E29" s="55" t="str">
        <f>'Consolidated Matrix'!E27</f>
        <v>RED</v>
      </c>
      <c r="F29" s="78"/>
      <c r="G29" s="78"/>
      <c r="H29" s="78"/>
      <c r="I29" s="78"/>
      <c r="J29" s="78"/>
      <c r="K29" s="80"/>
      <c r="L29" s="80"/>
    </row>
    <row r="30" spans="1:12" ht="22" customHeight="1" x14ac:dyDescent="0.35">
      <c r="A30" s="52" t="str">
        <f>'Consolidated Matrix'!A28</f>
        <v>Moving &amp; Handling</v>
      </c>
      <c r="B30" s="52">
        <f>'Consolidated Matrix'!B28</f>
        <v>11</v>
      </c>
      <c r="C30" s="52">
        <f>'Consolidated Matrix'!C28</f>
        <v>12</v>
      </c>
      <c r="D30" s="58">
        <f>'Consolidated Matrix'!D28</f>
        <v>0.91666666666666663</v>
      </c>
      <c r="E30" s="52" t="str">
        <f>'Consolidated Matrix'!E28</f>
        <v>GREEN</v>
      </c>
      <c r="F30" s="79"/>
      <c r="G30" s="79"/>
      <c r="H30" s="79"/>
      <c r="I30" s="79"/>
      <c r="J30" s="79"/>
      <c r="K30" s="80"/>
      <c r="L30" s="80"/>
    </row>
    <row r="31" spans="1:12" ht="22" customHeight="1" x14ac:dyDescent="0.35">
      <c r="A31" s="55" t="str">
        <f>'Consolidated Matrix'!A29</f>
        <v>Infection Prevention &amp; Control</v>
      </c>
      <c r="B31" s="55">
        <f>'Consolidated Matrix'!B29</f>
        <v>9</v>
      </c>
      <c r="C31" s="55">
        <f>'Consolidated Matrix'!C29</f>
        <v>12</v>
      </c>
      <c r="D31" s="57">
        <f>'Consolidated Matrix'!D29</f>
        <v>0.75</v>
      </c>
      <c r="E31" s="55" t="str">
        <f>'Consolidated Matrix'!E29</f>
        <v>AMBER</v>
      </c>
      <c r="F31" s="78"/>
      <c r="G31" s="78"/>
      <c r="H31" s="78"/>
      <c r="I31" s="78"/>
      <c r="J31" s="78"/>
      <c r="K31" s="80"/>
      <c r="L31" s="80"/>
    </row>
    <row r="32" spans="1:12" ht="22" customHeight="1" x14ac:dyDescent="0.35">
      <c r="A32" s="55" t="str">
        <f>'Consolidated Matrix'!A30</f>
        <v>Mental Capacity &amp; DoLS</v>
      </c>
      <c r="B32" s="55">
        <f>'Consolidated Matrix'!B30</f>
        <v>10</v>
      </c>
      <c r="C32" s="55">
        <f>'Consolidated Matrix'!C30</f>
        <v>12</v>
      </c>
      <c r="D32" s="57">
        <f>'Consolidated Matrix'!D30</f>
        <v>0.83333333333333337</v>
      </c>
      <c r="E32" s="55" t="str">
        <f>'Consolidated Matrix'!E30</f>
        <v>GREEN</v>
      </c>
      <c r="F32" s="78"/>
      <c r="G32" s="78"/>
      <c r="H32" s="78"/>
      <c r="I32" s="78"/>
      <c r="J32" s="78"/>
      <c r="K32" s="80"/>
      <c r="L32" s="80"/>
    </row>
    <row r="33" spans="1:11" ht="22" customHeight="1" x14ac:dyDescent="0.35">
      <c r="A33" s="55" t="str">
        <f>'Consolidated Matrix'!A31</f>
        <v>GDPR &amp; Information Governance</v>
      </c>
      <c r="B33" s="55">
        <f>'Consolidated Matrix'!B31</f>
        <v>5</v>
      </c>
      <c r="C33" s="55">
        <f>'Consolidated Matrix'!C31</f>
        <v>12</v>
      </c>
      <c r="D33" s="57">
        <f>'Consolidated Matrix'!D31</f>
        <v>0.41666666666666669</v>
      </c>
      <c r="E33" s="55" t="str">
        <f>'Consolidated Matrix'!E31</f>
        <v>RED</v>
      </c>
      <c r="F33" s="50"/>
      <c r="G33" s="50"/>
      <c r="H33" s="50"/>
      <c r="I33" s="50"/>
      <c r="J33" s="50"/>
    </row>
    <row r="34" spans="1:11" ht="22" customHeight="1" x14ac:dyDescent="0.35">
      <c r="A34" s="55" t="str">
        <f>'Consolidated Matrix'!A32</f>
        <v>Food Hygiene</v>
      </c>
      <c r="B34" s="55">
        <f>'Consolidated Matrix'!B32</f>
        <v>10</v>
      </c>
      <c r="C34" s="55">
        <f>'Consolidated Matrix'!C32</f>
        <v>12</v>
      </c>
      <c r="D34" s="57">
        <f>'Consolidated Matrix'!D32</f>
        <v>0.83333333333333337</v>
      </c>
      <c r="E34" s="55" t="str">
        <f>'Consolidated Matrix'!E32</f>
        <v>GREEN</v>
      </c>
      <c r="F34" s="50"/>
      <c r="G34" s="50"/>
      <c r="H34" s="50"/>
      <c r="I34" s="50"/>
      <c r="J34" s="50"/>
    </row>
    <row r="35" spans="1:11" ht="22" customHeight="1" x14ac:dyDescent="0.35">
      <c r="A35" s="52" t="str">
        <f>'Consolidated Matrix'!A33</f>
        <v>Dementia</v>
      </c>
      <c r="B35" s="52">
        <f>'Consolidated Matrix'!B33</f>
        <v>9</v>
      </c>
      <c r="C35" s="52">
        <f>'Consolidated Matrix'!C33</f>
        <v>12</v>
      </c>
      <c r="D35" s="58">
        <f>'Consolidated Matrix'!D33</f>
        <v>0.75</v>
      </c>
      <c r="E35" s="52" t="str">
        <f>'Consolidated Matrix'!E33</f>
        <v>AMBER</v>
      </c>
      <c r="F35" s="50"/>
      <c r="G35" s="50"/>
      <c r="H35" s="50"/>
      <c r="I35" s="50"/>
      <c r="J35" s="50"/>
    </row>
    <row r="36" spans="1:11" ht="22" customHeight="1" x14ac:dyDescent="0.35">
      <c r="A36" s="55" t="str">
        <f>'Consolidated Matrix'!A34</f>
        <v>Behaviour That Challenges</v>
      </c>
      <c r="B36" s="55">
        <f>'Consolidated Matrix'!B34</f>
        <v>11</v>
      </c>
      <c r="C36" s="55">
        <f>'Consolidated Matrix'!C34</f>
        <v>12</v>
      </c>
      <c r="D36" s="57">
        <f>'Consolidated Matrix'!D34</f>
        <v>0.91666666666666663</v>
      </c>
      <c r="E36" s="55" t="str">
        <f>'Consolidated Matrix'!E34</f>
        <v>GREEN</v>
      </c>
      <c r="F36" s="50"/>
      <c r="G36" s="50"/>
      <c r="H36" s="50"/>
      <c r="I36" s="50"/>
      <c r="J36" s="50"/>
    </row>
    <row r="37" spans="1:11" ht="22" customHeight="1" x14ac:dyDescent="0.35">
      <c r="A37" s="55" t="str">
        <f>'Consolidated Matrix'!A35</f>
        <v>Nutrition &amp; Hydration</v>
      </c>
      <c r="B37" s="55">
        <f>'Consolidated Matrix'!B35</f>
        <v>10</v>
      </c>
      <c r="C37" s="55">
        <f>'Consolidated Matrix'!C35</f>
        <v>12</v>
      </c>
      <c r="D37" s="57">
        <f>'Consolidated Matrix'!D35</f>
        <v>0.83333333333333337</v>
      </c>
      <c r="E37" s="55" t="str">
        <f>'Consolidated Matrix'!E35</f>
        <v>GREEN</v>
      </c>
      <c r="F37" s="50"/>
      <c r="G37" s="50"/>
      <c r="H37" s="50"/>
      <c r="I37" s="50"/>
      <c r="J37" s="50"/>
    </row>
    <row r="38" spans="1:11" ht="22" customHeight="1" x14ac:dyDescent="0.35">
      <c r="A38" s="55" t="str">
        <f>'Consolidated Matrix'!A36</f>
        <v>Person-Centred Care</v>
      </c>
      <c r="B38" s="55">
        <f>'Consolidated Matrix'!B36</f>
        <v>8</v>
      </c>
      <c r="C38" s="55">
        <f>'Consolidated Matrix'!C36</f>
        <v>12</v>
      </c>
      <c r="D38" s="57">
        <f>'Consolidated Matrix'!D36</f>
        <v>0.66666666666666663</v>
      </c>
      <c r="E38" s="55" t="str">
        <f>'Consolidated Matrix'!E36</f>
        <v>AMBER</v>
      </c>
      <c r="F38" s="50"/>
      <c r="G38" s="50"/>
      <c r="H38" s="50"/>
      <c r="I38" s="50"/>
      <c r="J38" s="50"/>
    </row>
    <row r="39" spans="1:11" ht="22" customHeight="1" x14ac:dyDescent="0.35">
      <c r="A39" s="55" t="str">
        <f>'Consolidated Matrix'!A37</f>
        <v>End of Life Care</v>
      </c>
      <c r="B39" s="55">
        <f>'Consolidated Matrix'!B37</f>
        <v>11</v>
      </c>
      <c r="C39" s="55">
        <f>'Consolidated Matrix'!C37</f>
        <v>12</v>
      </c>
      <c r="D39" s="57">
        <f>'Consolidated Matrix'!D37</f>
        <v>0.91666666666666663</v>
      </c>
      <c r="E39" s="55" t="str">
        <f>'Consolidated Matrix'!E37</f>
        <v>GREEN</v>
      </c>
      <c r="F39" s="78"/>
      <c r="G39" s="78"/>
      <c r="H39" s="78"/>
      <c r="I39" s="78"/>
      <c r="J39" s="78"/>
      <c r="K39" s="80"/>
    </row>
    <row r="40" spans="1:11" ht="22" customHeight="1" x14ac:dyDescent="0.35">
      <c r="A40" s="55" t="str">
        <f>'Consolidated Matrix'!A38</f>
        <v>Record Keeping</v>
      </c>
      <c r="B40" s="55">
        <f>'Consolidated Matrix'!B38</f>
        <v>4</v>
      </c>
      <c r="C40" s="55">
        <f>'Consolidated Matrix'!C38</f>
        <v>12</v>
      </c>
      <c r="D40" s="57">
        <f>'Consolidated Matrix'!D38</f>
        <v>0.33333333333333331</v>
      </c>
      <c r="E40" s="55" t="str">
        <f>'Consolidated Matrix'!E38</f>
        <v>RED</v>
      </c>
      <c r="F40" s="79"/>
      <c r="G40" s="79"/>
      <c r="H40" s="79"/>
      <c r="I40" s="79"/>
      <c r="J40" s="79"/>
      <c r="K40" s="80"/>
    </row>
    <row r="41" spans="1:11" ht="22" customHeight="1" x14ac:dyDescent="0.35">
      <c r="A41" s="55" t="str">
        <f>'Consolidated Matrix'!A39</f>
        <v>PEG Feeding</v>
      </c>
      <c r="B41" s="55">
        <f>'Consolidated Matrix'!B39</f>
        <v>7</v>
      </c>
      <c r="C41" s="55">
        <f>'Consolidated Matrix'!C39</f>
        <v>12</v>
      </c>
      <c r="D41" s="57">
        <f>'Consolidated Matrix'!D39</f>
        <v>0.58333333333333337</v>
      </c>
      <c r="E41" s="55" t="str">
        <f>'Consolidated Matrix'!E39</f>
        <v>RED</v>
      </c>
      <c r="F41" s="50"/>
      <c r="G41" s="50"/>
      <c r="H41" s="50"/>
      <c r="I41" s="50"/>
      <c r="J41" s="50"/>
    </row>
    <row r="42" spans="1:11" ht="22" customHeight="1" x14ac:dyDescent="0.35">
      <c r="A42" s="55" t="str">
        <f>'Consolidated Matrix'!A40</f>
        <v>Duty of Care</v>
      </c>
      <c r="B42" s="55">
        <f>'Consolidated Matrix'!B40</f>
        <v>2</v>
      </c>
      <c r="C42" s="55">
        <f>'Consolidated Matrix'!C40</f>
        <v>12</v>
      </c>
      <c r="D42" s="57">
        <f>'Consolidated Matrix'!D40</f>
        <v>0.16666666666666666</v>
      </c>
      <c r="E42" s="55" t="str">
        <f>'Consolidated Matrix'!E40</f>
        <v>RED</v>
      </c>
      <c r="F42" s="50"/>
      <c r="G42" s="50"/>
      <c r="H42" s="50"/>
      <c r="I42" s="50"/>
      <c r="J42" s="50"/>
    </row>
    <row r="43" spans="1:11" ht="22" customHeight="1" x14ac:dyDescent="0.35">
      <c r="A43" s="55" t="str">
        <f>'Consolidated Matrix'!A41</f>
        <v>Health &amp; Safety / COSHH / RIDDOR</v>
      </c>
      <c r="B43" s="55">
        <f>'Consolidated Matrix'!B41</f>
        <v>10</v>
      </c>
      <c r="C43" s="55">
        <f>'Consolidated Matrix'!C41</f>
        <v>12</v>
      </c>
      <c r="D43" s="57">
        <f>'Consolidated Matrix'!D41</f>
        <v>0.83333333333333337</v>
      </c>
      <c r="E43" s="55" t="str">
        <f>'Consolidated Matrix'!E41</f>
        <v>GREEN</v>
      </c>
      <c r="F43" s="50"/>
      <c r="G43" s="50"/>
      <c r="H43" s="50"/>
      <c r="I43" s="50"/>
      <c r="J43" s="50"/>
    </row>
    <row r="44" spans="1:11" ht="22" customHeight="1" x14ac:dyDescent="0.35">
      <c r="A44" s="55" t="str">
        <f>'Consolidated Matrix'!A42</f>
        <v>Care Planning</v>
      </c>
      <c r="B44" s="55">
        <f>'Consolidated Matrix'!B42</f>
        <v>8</v>
      </c>
      <c r="C44" s="55">
        <f>'Consolidated Matrix'!C42</f>
        <v>12</v>
      </c>
      <c r="D44" s="57">
        <f>'Consolidated Matrix'!D42</f>
        <v>0.66666666666666663</v>
      </c>
      <c r="E44" s="55" t="str">
        <f>'Consolidated Matrix'!E42</f>
        <v>AMBER</v>
      </c>
      <c r="F44" s="50"/>
      <c r="G44" s="50"/>
      <c r="H44" s="50"/>
      <c r="I44" s="50"/>
      <c r="J44" s="50"/>
    </row>
    <row r="45" spans="1:11" ht="22" customHeight="1" x14ac:dyDescent="0.35">
      <c r="A45" s="52" t="str">
        <f>'Consolidated Matrix'!A43</f>
        <v>Dysphagia / SALT</v>
      </c>
      <c r="B45" s="52">
        <f>'Consolidated Matrix'!B43</f>
        <v>11</v>
      </c>
      <c r="C45" s="52">
        <f>'Consolidated Matrix'!C43</f>
        <v>12</v>
      </c>
      <c r="D45" s="58">
        <f>'Consolidated Matrix'!D43</f>
        <v>0.91666666666666663</v>
      </c>
      <c r="E45" s="52" t="str">
        <f>'Consolidated Matrix'!E43</f>
        <v>GREEN</v>
      </c>
      <c r="F45" s="50"/>
      <c r="G45" s="50"/>
      <c r="H45" s="50"/>
      <c r="I45" s="50"/>
      <c r="J45" s="50"/>
    </row>
    <row r="46" spans="1:11" ht="22" customHeight="1" x14ac:dyDescent="0.35">
      <c r="A46" s="55" t="str">
        <f>'Consolidated Matrix'!A44</f>
        <v>Diabetes Awareness</v>
      </c>
      <c r="B46" s="55">
        <f>'Consolidated Matrix'!B44</f>
        <v>9</v>
      </c>
      <c r="C46" s="55">
        <f>'Consolidated Matrix'!C44</f>
        <v>12</v>
      </c>
      <c r="D46" s="57">
        <f>'Consolidated Matrix'!D44</f>
        <v>0.75</v>
      </c>
      <c r="E46" s="55" t="str">
        <f>'Consolidated Matrix'!E44</f>
        <v>AMBER</v>
      </c>
      <c r="F46" s="50"/>
      <c r="G46" s="50"/>
      <c r="H46" s="50"/>
      <c r="I46" s="50"/>
      <c r="J46" s="50"/>
    </row>
    <row r="47" spans="1:11" ht="22" customHeight="1" x14ac:dyDescent="0.35">
      <c r="A47" s="55" t="str">
        <f>'Consolidated Matrix'!A45</f>
        <v>Oral Care</v>
      </c>
      <c r="B47" s="55">
        <f>'Consolidated Matrix'!B45</f>
        <v>11</v>
      </c>
      <c r="C47" s="55">
        <f>'Consolidated Matrix'!C45</f>
        <v>12</v>
      </c>
      <c r="D47" s="57">
        <f>'Consolidated Matrix'!D45</f>
        <v>0.91666666666666663</v>
      </c>
      <c r="E47" s="55" t="str">
        <f>'Consolidated Matrix'!E45</f>
        <v>GREEN</v>
      </c>
      <c r="F47" s="50"/>
      <c r="G47" s="50"/>
      <c r="H47" s="50"/>
      <c r="I47" s="50"/>
      <c r="J47" s="50"/>
    </row>
    <row r="48" spans="1:11" ht="22" customHeight="1" x14ac:dyDescent="0.35">
      <c r="A48" s="55" t="str">
        <f>'Consolidated Matrix'!A46</f>
        <v>Pressure Care</v>
      </c>
      <c r="B48" s="55">
        <f>'Consolidated Matrix'!B46</f>
        <v>3</v>
      </c>
      <c r="C48" s="55">
        <f>'Consolidated Matrix'!C46</f>
        <v>12</v>
      </c>
      <c r="D48" s="57">
        <f>'Consolidated Matrix'!D46</f>
        <v>0.25</v>
      </c>
      <c r="E48" s="55" t="str">
        <f>'Consolidated Matrix'!E46</f>
        <v>RED</v>
      </c>
      <c r="F48" s="50"/>
      <c r="G48" s="50"/>
      <c r="H48" s="50"/>
      <c r="I48" s="50"/>
      <c r="J48" s="50"/>
    </row>
    <row r="49" spans="1:5" x14ac:dyDescent="0.35">
      <c r="A49" s="55" t="str">
        <f>'Consolidated Matrix'!A47</f>
        <v>Falls Awareness</v>
      </c>
      <c r="B49" s="55">
        <f>'Consolidated Matrix'!B47</f>
        <v>8</v>
      </c>
      <c r="C49" s="55">
        <f>'Consolidated Matrix'!C47</f>
        <v>12</v>
      </c>
      <c r="D49" s="57">
        <f>'Consolidated Matrix'!D47</f>
        <v>0.66666666666666663</v>
      </c>
      <c r="E49" s="55" t="str">
        <f>'Consolidated Matrix'!E47</f>
        <v>AMBER</v>
      </c>
    </row>
    <row r="50" spans="1:5" x14ac:dyDescent="0.35">
      <c r="A50" s="55" t="str">
        <f>'Consolidated Matrix'!A48</f>
        <v>Oliver McGowan</v>
      </c>
      <c r="B50" s="55">
        <f>'Consolidated Matrix'!B48</f>
        <v>8</v>
      </c>
      <c r="C50" s="55">
        <f>'Consolidated Matrix'!C48</f>
        <v>12</v>
      </c>
      <c r="D50" s="57">
        <f>'Consolidated Matrix'!D48</f>
        <v>0.66666666666666663</v>
      </c>
      <c r="E50" s="55" t="str">
        <f>'Consolidated Matrix'!E48</f>
        <v>AMBER</v>
      </c>
    </row>
    <row r="51" spans="1:5" x14ac:dyDescent="0.35">
      <c r="A51" s="55" t="str">
        <f>'Consolidated Matrix'!A49</f>
        <v>Sepsis</v>
      </c>
      <c r="B51" s="55">
        <f>'Consolidated Matrix'!B49</f>
        <v>3</v>
      </c>
      <c r="C51" s="55">
        <f>'Consolidated Matrix'!C49</f>
        <v>12</v>
      </c>
      <c r="D51" s="57">
        <f>'Consolidated Matrix'!D49</f>
        <v>0.25</v>
      </c>
      <c r="E51" s="55" t="str">
        <f>'Consolidated Matrix'!E49</f>
        <v>RED</v>
      </c>
    </row>
    <row r="52" spans="1:5" x14ac:dyDescent="0.35">
      <c r="A52" s="55" t="str">
        <f>'Consolidated Matrix'!A50</f>
        <v>Bowel Care</v>
      </c>
      <c r="B52" s="55">
        <f>'Consolidated Matrix'!B50</f>
        <v>6</v>
      </c>
      <c r="C52" s="55">
        <f>'Consolidated Matrix'!C50</f>
        <v>12</v>
      </c>
      <c r="D52" s="57">
        <f>'Consolidated Matrix'!D50</f>
        <v>0.5</v>
      </c>
      <c r="E52" s="55" t="str">
        <f>'Consolidated Matrix'!E50</f>
        <v>RED</v>
      </c>
    </row>
    <row r="53" spans="1:5" x14ac:dyDescent="0.35">
      <c r="A53" s="55" t="str">
        <f>'Consolidated Matrix'!A51</f>
        <v>Parkinson's</v>
      </c>
      <c r="B53" s="55">
        <f>'Consolidated Matrix'!B51</f>
        <v>8</v>
      </c>
      <c r="C53" s="55">
        <f>'Consolidated Matrix'!C51</f>
        <v>12</v>
      </c>
      <c r="D53" s="57">
        <f>'Consolidated Matrix'!D51</f>
        <v>0.66666666666666663</v>
      </c>
      <c r="E53" s="55" t="str">
        <f>'Consolidated Matrix'!E51</f>
        <v>AMBER</v>
      </c>
    </row>
  </sheetData>
  <mergeCells count="3">
    <mergeCell ref="A21:E21"/>
    <mergeCell ref="A1:J1"/>
    <mergeCell ref="A3:E3"/>
  </mergeCells>
  <conditionalFormatting sqref="E5:E16">
    <cfRule type="expression" dxfId="457" priority="4">
      <formula>E5="GREEN"</formula>
    </cfRule>
    <cfRule type="expression" dxfId="456" priority="5">
      <formula>E5="AMBER"</formula>
    </cfRule>
    <cfRule type="expression" dxfId="455" priority="6">
      <formula>E5="RED"</formula>
    </cfRule>
  </conditionalFormatting>
  <conditionalFormatting sqref="E23:E53">
    <cfRule type="expression" dxfId="454" priority="7">
      <formula>E23="GREEN"</formula>
    </cfRule>
    <cfRule type="expression" dxfId="453" priority="8">
      <formula>E23="AMBER"</formula>
    </cfRule>
    <cfRule type="expression" dxfId="452" priority="9">
      <formula>E23="RED"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5"/>
  <sheetViews>
    <sheetView showGridLines="0" workbookViewId="0"/>
  </sheetViews>
  <sheetFormatPr defaultRowHeight="14.5" x14ac:dyDescent="0.35"/>
  <cols>
    <col min="1" max="1" width="24" customWidth="1"/>
    <col min="2" max="2" width="18" customWidth="1"/>
    <col min="3" max="3" width="20" customWidth="1"/>
    <col min="4" max="6" width="18" customWidth="1"/>
    <col min="7" max="7" width="20" customWidth="1"/>
    <col min="8" max="12" width="18" customWidth="1"/>
  </cols>
  <sheetData>
    <row r="1" spans="1:12" ht="34" customHeight="1" x14ac:dyDescent="0.35">
      <c r="A1" s="139" t="s">
        <v>12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1"/>
    </row>
    <row r="2" spans="1:12" ht="22" customHeight="1" x14ac:dyDescent="0.35">
      <c r="A2" s="142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4"/>
    </row>
    <row r="3" spans="1:12" ht="22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2" customHeight="1" x14ac:dyDescent="0.35">
      <c r="A4" s="52" t="s">
        <v>13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2" ht="22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2" customHeight="1" x14ac:dyDescent="0.35">
      <c r="A6" s="52" t="s">
        <v>10</v>
      </c>
      <c r="B6" s="59"/>
      <c r="C6" s="52" t="s">
        <v>14</v>
      </c>
      <c r="D6" s="59"/>
      <c r="E6" s="52" t="s">
        <v>15</v>
      </c>
      <c r="F6" s="59"/>
      <c r="G6" s="52" t="s">
        <v>16</v>
      </c>
      <c r="H6" s="59"/>
      <c r="I6" s="52" t="s">
        <v>17</v>
      </c>
      <c r="J6" s="59"/>
      <c r="K6" s="52" t="s">
        <v>18</v>
      </c>
      <c r="L6" s="59"/>
    </row>
    <row r="7" spans="1:12" ht="22" customHeight="1" x14ac:dyDescent="0.35">
      <c r="A7" s="60">
        <v>12</v>
      </c>
      <c r="B7" s="1"/>
      <c r="C7" s="60">
        <v>109</v>
      </c>
      <c r="D7" s="1"/>
      <c r="E7" s="60">
        <v>148</v>
      </c>
      <c r="F7" s="1"/>
      <c r="G7" s="61">
        <f>IFERROR(SUM(Matrix!DH3:DH14)/SUM(Matrix!DI3:DI14),"")</f>
        <v>0.25606060606060604</v>
      </c>
      <c r="H7" s="1"/>
      <c r="I7" s="60">
        <f>COUNTIF(Matrix!DK3:DK14,"GREEN")</f>
        <v>0</v>
      </c>
      <c r="J7" s="1"/>
      <c r="K7" s="60">
        <f>COUNTIF(Matrix!DK3:DK14,"AMBER")</f>
        <v>0</v>
      </c>
      <c r="L7" s="1"/>
    </row>
    <row r="8" spans="1:12" ht="22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2" customHeight="1" x14ac:dyDescent="0.35">
      <c r="A9" s="52" t="s">
        <v>19</v>
      </c>
      <c r="B9" s="59"/>
      <c r="C9" s="52" t="s">
        <v>20</v>
      </c>
      <c r="D9" s="59"/>
      <c r="E9" s="52" t="s">
        <v>21</v>
      </c>
      <c r="F9" s="59"/>
      <c r="G9" s="52" t="s">
        <v>22</v>
      </c>
      <c r="H9" s="59"/>
      <c r="I9" s="59"/>
      <c r="J9" s="59"/>
      <c r="K9" s="59"/>
      <c r="L9" s="59"/>
    </row>
    <row r="10" spans="1:12" ht="22" customHeight="1" x14ac:dyDescent="0.35">
      <c r="A10" s="60">
        <f>COUNTIF(Matrix!DK3:DK14,"RED")</f>
        <v>12</v>
      </c>
      <c r="B10" s="1"/>
      <c r="C10" s="60">
        <f>SUM(Matrix!DL3:DL14)</f>
        <v>979</v>
      </c>
      <c r="D10" s="1"/>
      <c r="E10" s="60">
        <f>SUM(Matrix!DM3:DM14)</f>
        <v>3</v>
      </c>
      <c r="F10" s="1"/>
      <c r="G10" s="60" t="str">
        <f>IF(G7&gt;=0.9,"GREEN",IF(G7&gt;=0.75,"AMBER","RED"))</f>
        <v>RED</v>
      </c>
      <c r="H10" s="1"/>
      <c r="I10" s="1"/>
      <c r="J10" s="1"/>
      <c r="K10" s="1"/>
      <c r="L10" s="1"/>
    </row>
    <row r="11" spans="1:12" ht="22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22" customHeight="1" x14ac:dyDescent="0.35">
      <c r="A12" s="52" t="s">
        <v>23</v>
      </c>
      <c r="B12" s="59"/>
      <c r="C12" s="59"/>
      <c r="D12" s="59"/>
      <c r="E12" s="59"/>
      <c r="F12" s="59"/>
      <c r="G12" s="59"/>
      <c r="H12" s="59"/>
      <c r="I12" s="59"/>
      <c r="J12" s="52" t="s">
        <v>6</v>
      </c>
      <c r="K12" s="52" t="s">
        <v>24</v>
      </c>
      <c r="L12" s="59"/>
    </row>
    <row r="13" spans="1:12" ht="22" customHeight="1" x14ac:dyDescent="0.35">
      <c r="A13" s="62" t="s">
        <v>25</v>
      </c>
      <c r="B13" s="81" t="s">
        <v>26</v>
      </c>
      <c r="C13" s="1"/>
      <c r="D13" s="1"/>
      <c r="E13" s="1"/>
      <c r="F13" s="1"/>
      <c r="G13" s="1"/>
      <c r="H13" s="1"/>
      <c r="I13" s="1"/>
      <c r="J13" s="93" t="s">
        <v>25</v>
      </c>
      <c r="K13" s="55">
        <f>COUNTIF(E20:E31,"GREEN")</f>
        <v>0</v>
      </c>
      <c r="L13" s="1"/>
    </row>
    <row r="14" spans="1:12" ht="22" customHeight="1" x14ac:dyDescent="0.35">
      <c r="A14" s="63" t="s">
        <v>27</v>
      </c>
      <c r="B14" s="82" t="s">
        <v>28</v>
      </c>
      <c r="C14" s="1"/>
      <c r="D14" s="1"/>
      <c r="E14" s="1"/>
      <c r="F14" s="1"/>
      <c r="G14" s="1"/>
      <c r="H14" s="1"/>
      <c r="I14" s="1"/>
      <c r="J14" s="94" t="s">
        <v>27</v>
      </c>
      <c r="K14" s="55">
        <f>COUNTIF(E20:E31,"AMBER")</f>
        <v>0</v>
      </c>
      <c r="L14" s="1"/>
    </row>
    <row r="15" spans="1:12" ht="22" customHeight="1" x14ac:dyDescent="0.35">
      <c r="A15" s="64" t="s">
        <v>29</v>
      </c>
      <c r="B15" s="83" t="s">
        <v>30</v>
      </c>
      <c r="C15" s="1"/>
      <c r="D15" s="1"/>
      <c r="E15" s="1"/>
      <c r="F15" s="1"/>
      <c r="G15" s="1"/>
      <c r="H15" s="1"/>
      <c r="I15" s="1"/>
      <c r="J15" s="95" t="s">
        <v>29</v>
      </c>
      <c r="K15" s="55">
        <f>COUNTIF(E20:E31,"RED")</f>
        <v>12</v>
      </c>
      <c r="L15" s="1"/>
    </row>
    <row r="16" spans="1:12" ht="22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2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2" customHeight="1" x14ac:dyDescent="0.35">
      <c r="A18" s="52" t="s">
        <v>1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</row>
    <row r="19" spans="1:12" ht="22" customHeight="1" x14ac:dyDescent="0.35">
      <c r="A19" s="52" t="s">
        <v>31</v>
      </c>
      <c r="B19" s="52" t="s">
        <v>3</v>
      </c>
      <c r="C19" s="52" t="s">
        <v>4</v>
      </c>
      <c r="D19" s="52" t="s">
        <v>5</v>
      </c>
      <c r="E19" s="52" t="s">
        <v>6</v>
      </c>
      <c r="F19" s="52" t="s">
        <v>32</v>
      </c>
      <c r="G19" s="52" t="s">
        <v>33</v>
      </c>
      <c r="H19" s="59"/>
      <c r="I19" s="59"/>
      <c r="J19" s="59"/>
      <c r="K19" s="59"/>
      <c r="L19" s="59"/>
    </row>
    <row r="20" spans="1:12" ht="22" customHeight="1" x14ac:dyDescent="0.35">
      <c r="A20" s="55" t="str">
        <f>Matrix!A3</f>
        <v>Niranjala Dissanayake</v>
      </c>
      <c r="B20" s="55">
        <f>Matrix!DH3</f>
        <v>30</v>
      </c>
      <c r="C20" s="55">
        <f>Matrix!DI3</f>
        <v>110</v>
      </c>
      <c r="D20" s="57">
        <f>Matrix!DJ3</f>
        <v>0.27272727272727271</v>
      </c>
      <c r="E20" s="55" t="str">
        <f>Matrix!DK3</f>
        <v>RED</v>
      </c>
      <c r="F20" s="55">
        <f>Matrix!DL3</f>
        <v>80</v>
      </c>
      <c r="G20" s="55">
        <f>Matrix!DM3</f>
        <v>0</v>
      </c>
      <c r="H20" s="1"/>
      <c r="I20" s="1"/>
      <c r="J20" s="1"/>
      <c r="K20" s="1"/>
      <c r="L20" s="1"/>
    </row>
    <row r="21" spans="1:12" ht="22" customHeight="1" x14ac:dyDescent="0.35">
      <c r="A21" s="55" t="str">
        <f>Matrix!A4</f>
        <v>Chelsee Booth</v>
      </c>
      <c r="B21" s="55">
        <f>Matrix!DH4</f>
        <v>19</v>
      </c>
      <c r="C21" s="55">
        <f>Matrix!DI4</f>
        <v>110</v>
      </c>
      <c r="D21" s="57">
        <f>Matrix!DJ4</f>
        <v>0.17272727272727273</v>
      </c>
      <c r="E21" s="55" t="str">
        <f>Matrix!DK4</f>
        <v>RED</v>
      </c>
      <c r="F21" s="55">
        <f>Matrix!DL4</f>
        <v>90</v>
      </c>
      <c r="G21" s="55">
        <f>Matrix!DM4</f>
        <v>1</v>
      </c>
      <c r="H21" s="1"/>
      <c r="I21" s="1"/>
      <c r="J21" s="1"/>
      <c r="K21" s="1"/>
      <c r="L21" s="1"/>
    </row>
    <row r="22" spans="1:12" ht="22" customHeight="1" x14ac:dyDescent="0.35">
      <c r="A22" s="55" t="str">
        <f>Matrix!A5</f>
        <v>Paula Merry</v>
      </c>
      <c r="B22" s="55">
        <f>Matrix!DH5</f>
        <v>44</v>
      </c>
      <c r="C22" s="55">
        <f>Matrix!DI5</f>
        <v>110</v>
      </c>
      <c r="D22" s="57">
        <f>Matrix!DJ5</f>
        <v>0.4</v>
      </c>
      <c r="E22" s="55" t="str">
        <f>Matrix!DK5</f>
        <v>RED</v>
      </c>
      <c r="F22" s="55">
        <f>Matrix!DL5</f>
        <v>66</v>
      </c>
      <c r="G22" s="55">
        <f>Matrix!DM5</f>
        <v>0</v>
      </c>
      <c r="H22" s="1"/>
      <c r="I22" s="1"/>
      <c r="J22" s="1"/>
      <c r="K22" s="1"/>
      <c r="L22" s="1"/>
    </row>
    <row r="23" spans="1:12" ht="22" customHeight="1" x14ac:dyDescent="0.35">
      <c r="A23" s="55" t="str">
        <f>Matrix!A6</f>
        <v>Nathan Thomas</v>
      </c>
      <c r="B23" s="55">
        <f>Matrix!DH6</f>
        <v>34</v>
      </c>
      <c r="C23" s="55">
        <f>Matrix!DI6</f>
        <v>110</v>
      </c>
      <c r="D23" s="57">
        <f>Matrix!DJ6</f>
        <v>0.30909090909090908</v>
      </c>
      <c r="E23" s="55" t="str">
        <f>Matrix!DK6</f>
        <v>RED</v>
      </c>
      <c r="F23" s="55">
        <f>Matrix!DL6</f>
        <v>76</v>
      </c>
      <c r="G23" s="55">
        <f>Matrix!DM6</f>
        <v>0</v>
      </c>
      <c r="H23" s="1"/>
      <c r="I23" s="1"/>
      <c r="J23" s="1"/>
      <c r="K23" s="1"/>
      <c r="L23" s="1"/>
    </row>
    <row r="24" spans="1:12" ht="22" customHeight="1" x14ac:dyDescent="0.35">
      <c r="A24" s="55" t="str">
        <f>Matrix!A7</f>
        <v>Joel Jose</v>
      </c>
      <c r="B24" s="55">
        <f>Matrix!DH7</f>
        <v>19</v>
      </c>
      <c r="C24" s="55">
        <f>Matrix!DI7</f>
        <v>110</v>
      </c>
      <c r="D24" s="57">
        <f>Matrix!DJ7</f>
        <v>0.17272727272727273</v>
      </c>
      <c r="E24" s="55" t="str">
        <f>Matrix!DK7</f>
        <v>RED</v>
      </c>
      <c r="F24" s="55">
        <f>Matrix!DL7</f>
        <v>91</v>
      </c>
      <c r="G24" s="55">
        <f>Matrix!DM7</f>
        <v>0</v>
      </c>
      <c r="H24" s="1"/>
      <c r="I24" s="1"/>
      <c r="J24" s="1"/>
      <c r="K24" s="1"/>
      <c r="L24" s="1"/>
    </row>
    <row r="25" spans="1:12" ht="22" customHeight="1" x14ac:dyDescent="0.35">
      <c r="A25" s="52" t="str">
        <f>Matrix!A8</f>
        <v>Firos Latheef</v>
      </c>
      <c r="B25" s="52">
        <f>Matrix!DH8</f>
        <v>27</v>
      </c>
      <c r="C25" s="52">
        <f>Matrix!DI8</f>
        <v>110</v>
      </c>
      <c r="D25" s="58">
        <f>Matrix!DJ8</f>
        <v>0.24545454545454545</v>
      </c>
      <c r="E25" s="52" t="str">
        <f>Matrix!DK8</f>
        <v>RED</v>
      </c>
      <c r="F25" s="52">
        <f>Matrix!DL8</f>
        <v>83</v>
      </c>
      <c r="G25" s="52">
        <f>Matrix!DM8</f>
        <v>0</v>
      </c>
      <c r="H25" s="59"/>
      <c r="I25" s="59"/>
      <c r="J25" s="59"/>
      <c r="K25" s="59"/>
      <c r="L25" s="59"/>
    </row>
    <row r="26" spans="1:12" ht="22" customHeight="1" x14ac:dyDescent="0.35">
      <c r="A26" s="55" t="str">
        <f>Matrix!A9</f>
        <v>Kathleen Evans</v>
      </c>
      <c r="B26" s="55">
        <f>Matrix!DH9</f>
        <v>43</v>
      </c>
      <c r="C26" s="55">
        <f>Matrix!DI9</f>
        <v>110</v>
      </c>
      <c r="D26" s="57">
        <f>Matrix!DJ9</f>
        <v>0.39090909090909093</v>
      </c>
      <c r="E26" s="55" t="str">
        <f>Matrix!DK9</f>
        <v>RED</v>
      </c>
      <c r="F26" s="55">
        <f>Matrix!DL9</f>
        <v>67</v>
      </c>
      <c r="G26" s="55">
        <f>Matrix!DM9</f>
        <v>0</v>
      </c>
      <c r="H26" s="1"/>
      <c r="I26" s="1"/>
      <c r="J26" s="1"/>
      <c r="K26" s="1"/>
      <c r="L26" s="1"/>
    </row>
    <row r="27" spans="1:12" ht="22" customHeight="1" x14ac:dyDescent="0.35">
      <c r="A27" s="55" t="str">
        <f>Matrix!A10</f>
        <v>Sahil Sahil</v>
      </c>
      <c r="B27" s="55">
        <f>Matrix!DH10</f>
        <v>11</v>
      </c>
      <c r="C27" s="55">
        <f>Matrix!DI10</f>
        <v>110</v>
      </c>
      <c r="D27" s="57">
        <f>Matrix!DJ10</f>
        <v>0.1</v>
      </c>
      <c r="E27" s="55" t="str">
        <f>Matrix!DK10</f>
        <v>RED</v>
      </c>
      <c r="F27" s="55">
        <f>Matrix!DL10</f>
        <v>97</v>
      </c>
      <c r="G27" s="55">
        <f>Matrix!DM10</f>
        <v>2</v>
      </c>
      <c r="H27" s="1"/>
      <c r="I27" s="1"/>
      <c r="J27" s="1"/>
      <c r="K27" s="1"/>
      <c r="L27" s="1"/>
    </row>
    <row r="28" spans="1:12" ht="22" customHeight="1" x14ac:dyDescent="0.35">
      <c r="A28" s="55" t="str">
        <f>Matrix!A11</f>
        <v>Haritha Sasidharan</v>
      </c>
      <c r="B28" s="55">
        <f>Matrix!DH11</f>
        <v>45</v>
      </c>
      <c r="C28" s="55">
        <f>Matrix!DI11</f>
        <v>110</v>
      </c>
      <c r="D28" s="57">
        <f>Matrix!DJ11</f>
        <v>0.40909090909090912</v>
      </c>
      <c r="E28" s="55" t="str">
        <f>Matrix!DK11</f>
        <v>RED</v>
      </c>
      <c r="F28" s="55">
        <f>Matrix!DL11</f>
        <v>65</v>
      </c>
      <c r="G28" s="55">
        <f>Matrix!DM11</f>
        <v>0</v>
      </c>
      <c r="H28" s="1"/>
      <c r="I28" s="1"/>
      <c r="J28" s="1"/>
      <c r="K28" s="1"/>
      <c r="L28" s="1"/>
    </row>
    <row r="29" spans="1:12" ht="22" customHeight="1" x14ac:dyDescent="0.35">
      <c r="A29" s="55" t="str">
        <f>Matrix!A12</f>
        <v>Abhina</v>
      </c>
      <c r="B29" s="55">
        <f>Matrix!DH12</f>
        <v>22</v>
      </c>
      <c r="C29" s="55">
        <f>Matrix!DI12</f>
        <v>110</v>
      </c>
      <c r="D29" s="57">
        <f>Matrix!DJ12</f>
        <v>0.2</v>
      </c>
      <c r="E29" s="55" t="str">
        <f>Matrix!DK12</f>
        <v>RED</v>
      </c>
      <c r="F29" s="55">
        <f>Matrix!DL12</f>
        <v>88</v>
      </c>
      <c r="G29" s="55">
        <f>Matrix!DM12</f>
        <v>0</v>
      </c>
      <c r="H29" s="1"/>
      <c r="I29" s="1"/>
      <c r="J29" s="1"/>
      <c r="K29" s="1"/>
      <c r="L29" s="1"/>
    </row>
    <row r="30" spans="1:12" ht="22" customHeight="1" x14ac:dyDescent="0.35">
      <c r="A30" s="52" t="str">
        <f>Matrix!A13</f>
        <v>Carol (Domestic)</v>
      </c>
      <c r="B30" s="52">
        <f>Matrix!DH13</f>
        <v>21</v>
      </c>
      <c r="C30" s="52">
        <f>Matrix!DI13</f>
        <v>110</v>
      </c>
      <c r="D30" s="58">
        <f>Matrix!DJ13</f>
        <v>0.19090909090909092</v>
      </c>
      <c r="E30" s="52" t="str">
        <f>Matrix!DK13</f>
        <v>RED</v>
      </c>
      <c r="F30" s="52">
        <f>Matrix!DL13</f>
        <v>89</v>
      </c>
      <c r="G30" s="52">
        <f>Matrix!DM13</f>
        <v>0</v>
      </c>
      <c r="H30" s="59"/>
      <c r="I30" s="59"/>
      <c r="J30" s="59"/>
      <c r="K30" s="59"/>
      <c r="L30" s="59"/>
    </row>
    <row r="31" spans="1:12" ht="22" customHeight="1" x14ac:dyDescent="0.35">
      <c r="A31" s="55" t="str">
        <f>Matrix!A14</f>
        <v>Harry</v>
      </c>
      <c r="B31" s="55">
        <f>Matrix!DH14</f>
        <v>23</v>
      </c>
      <c r="C31" s="55">
        <f>Matrix!DI14</f>
        <v>110</v>
      </c>
      <c r="D31" s="57">
        <f>Matrix!DJ14</f>
        <v>0.20909090909090908</v>
      </c>
      <c r="E31" s="55" t="str">
        <f>Matrix!DK14</f>
        <v>RED</v>
      </c>
      <c r="F31" s="55">
        <f>Matrix!DL14</f>
        <v>87</v>
      </c>
      <c r="G31" s="55">
        <f>Matrix!DM14</f>
        <v>0</v>
      </c>
      <c r="H31" s="1"/>
      <c r="I31" s="1"/>
      <c r="J31" s="1"/>
      <c r="K31" s="1"/>
      <c r="L31" s="1"/>
    </row>
    <row r="32" spans="1:12" ht="22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2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22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22" customHeight="1" x14ac:dyDescent="0.35">
      <c r="A35" s="65" t="s">
        <v>34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22" customHeight="1" x14ac:dyDescent="0.35">
      <c r="A36" s="66" t="s">
        <v>35</v>
      </c>
      <c r="B36" s="66" t="s">
        <v>11</v>
      </c>
      <c r="C36" s="66" t="s">
        <v>6</v>
      </c>
      <c r="D36" s="1"/>
      <c r="E36" s="1"/>
      <c r="F36" s="1"/>
      <c r="G36" s="1"/>
      <c r="H36" s="1"/>
      <c r="I36" s="1"/>
      <c r="J36" s="1"/>
      <c r="K36" s="1"/>
      <c r="L36" s="1"/>
    </row>
    <row r="37" spans="1:12" ht="22" customHeight="1" x14ac:dyDescent="0.35">
      <c r="A37" s="55" t="str">
        <f>Matrix!A19</f>
        <v>Care Certificate</v>
      </c>
      <c r="B37" s="57">
        <f>Matrix!D19</f>
        <v>0.5</v>
      </c>
      <c r="C37" s="55" t="str">
        <f>Matrix!E19</f>
        <v>RED</v>
      </c>
      <c r="D37" s="1"/>
      <c r="E37" s="1"/>
      <c r="F37" s="1"/>
      <c r="G37" s="1"/>
      <c r="H37" s="1"/>
      <c r="I37" s="1"/>
      <c r="J37" s="1"/>
      <c r="K37" s="1"/>
      <c r="L37" s="1"/>
    </row>
    <row r="38" spans="1:12" ht="22" customHeight="1" x14ac:dyDescent="0.35">
      <c r="A38" s="55" t="str">
        <f>Matrix!A20</f>
        <v>Food Hygiene</v>
      </c>
      <c r="B38" s="57">
        <f>Matrix!D20</f>
        <v>0.66666666666666663</v>
      </c>
      <c r="C38" s="55" t="str">
        <f>Matrix!E20</f>
        <v>RED</v>
      </c>
      <c r="D38" s="1"/>
      <c r="E38" s="1"/>
      <c r="F38" s="1"/>
      <c r="G38" s="1"/>
      <c r="H38" s="1"/>
      <c r="I38" s="1"/>
      <c r="J38" s="1"/>
      <c r="K38" s="1"/>
      <c r="L38" s="1"/>
    </row>
    <row r="39" spans="1:12" ht="22" customHeight="1" x14ac:dyDescent="0.35">
      <c r="A39" s="55" t="str">
        <f>Matrix!A21</f>
        <v>Falls Awareness</v>
      </c>
      <c r="B39" s="57">
        <f>Matrix!D21</f>
        <v>0.58333333333333337</v>
      </c>
      <c r="C39" s="55" t="str">
        <f>Matrix!E21</f>
        <v>RED</v>
      </c>
      <c r="D39" s="1"/>
      <c r="E39" s="1"/>
      <c r="F39" s="1"/>
      <c r="G39" s="1"/>
      <c r="H39" s="1"/>
      <c r="I39" s="1"/>
      <c r="J39" s="1"/>
      <c r="K39" s="1"/>
      <c r="L39" s="1"/>
    </row>
    <row r="40" spans="1:12" ht="22" customHeight="1" x14ac:dyDescent="0.35">
      <c r="A40" s="52" t="str">
        <f>Matrix!A22</f>
        <v>Basic Life Support</v>
      </c>
      <c r="B40" s="58">
        <f>Matrix!D22</f>
        <v>0.83333333333333337</v>
      </c>
      <c r="C40" s="52" t="str">
        <f>Matrix!E22</f>
        <v>GREEN</v>
      </c>
      <c r="D40" s="59"/>
      <c r="E40" s="59"/>
      <c r="F40" s="59"/>
      <c r="G40" s="59"/>
      <c r="H40" s="59"/>
      <c r="I40" s="59"/>
      <c r="J40" s="59"/>
      <c r="K40" s="59"/>
      <c r="L40" s="59"/>
    </row>
    <row r="41" spans="1:12" ht="22" customHeight="1" x14ac:dyDescent="0.35">
      <c r="A41" s="55" t="str">
        <f>Matrix!A23</f>
        <v>Equality, Diversity, Inclusion</v>
      </c>
      <c r="B41" s="57">
        <f>Matrix!D23</f>
        <v>0.58333333333333337</v>
      </c>
      <c r="C41" s="55" t="str">
        <f>Matrix!E23</f>
        <v>RED</v>
      </c>
      <c r="D41" s="1"/>
      <c r="E41" s="1"/>
      <c r="F41" s="1"/>
      <c r="G41" s="1"/>
      <c r="H41" s="1"/>
      <c r="I41" s="1"/>
      <c r="J41" s="1"/>
      <c r="K41" s="1"/>
      <c r="L41" s="1"/>
    </row>
    <row r="42" spans="1:12" ht="22" customHeight="1" x14ac:dyDescent="0.35">
      <c r="A42" s="55" t="str">
        <f>Matrix!A24</f>
        <v>PEG Feeding</v>
      </c>
      <c r="B42" s="57">
        <f>Matrix!D24</f>
        <v>0.58333333333333337</v>
      </c>
      <c r="C42" s="55" t="str">
        <f>Matrix!E24</f>
        <v>RED</v>
      </c>
      <c r="D42" s="1"/>
      <c r="E42" s="1"/>
      <c r="F42" s="1"/>
      <c r="G42" s="1"/>
      <c r="H42" s="1"/>
      <c r="I42" s="1"/>
      <c r="J42" s="1"/>
      <c r="K42" s="1"/>
      <c r="L42" s="1"/>
    </row>
    <row r="43" spans="1:12" ht="22" customHeight="1" x14ac:dyDescent="0.35">
      <c r="A43" s="55" t="str">
        <f>Matrix!A25</f>
        <v>Nutrition and Hydration</v>
      </c>
      <c r="B43" s="57">
        <f>Matrix!D25</f>
        <v>0.33333333333333331</v>
      </c>
      <c r="C43" s="55" t="str">
        <f>Matrix!E25</f>
        <v>RED</v>
      </c>
      <c r="D43" s="1"/>
      <c r="E43" s="1"/>
      <c r="F43" s="1"/>
      <c r="G43" s="1"/>
      <c r="H43" s="1"/>
      <c r="I43" s="1"/>
      <c r="J43" s="1"/>
      <c r="K43" s="1"/>
      <c r="L43" s="1"/>
    </row>
    <row r="44" spans="1:12" ht="22" customHeight="1" x14ac:dyDescent="0.35">
      <c r="A44" s="55" t="str">
        <f>Matrix!A26</f>
        <v>Duty of Care</v>
      </c>
      <c r="B44" s="57">
        <f>Matrix!D26</f>
        <v>0.16666666666666666</v>
      </c>
      <c r="C44" s="55" t="str">
        <f>Matrix!E26</f>
        <v>RED</v>
      </c>
      <c r="D44" s="1"/>
      <c r="E44" s="1"/>
      <c r="F44" s="1"/>
      <c r="G44" s="1"/>
      <c r="H44" s="1"/>
      <c r="I44" s="1"/>
      <c r="J44" s="1"/>
      <c r="K44" s="1"/>
      <c r="L44" s="1"/>
    </row>
    <row r="45" spans="1:12" ht="22" customHeight="1" x14ac:dyDescent="0.35">
      <c r="A45" s="55" t="str">
        <f>Matrix!A27</f>
        <v>Health and Safety</v>
      </c>
      <c r="B45" s="57">
        <f>Matrix!D27</f>
        <v>0.83333333333333337</v>
      </c>
      <c r="C45" s="55" t="str">
        <f>Matrix!E27</f>
        <v>GREEN</v>
      </c>
      <c r="D45" s="1"/>
      <c r="E45" s="1"/>
      <c r="F45" s="1"/>
      <c r="G45" s="1"/>
      <c r="H45" s="1"/>
      <c r="I45" s="1"/>
      <c r="J45" s="1"/>
      <c r="K45" s="1"/>
      <c r="L45" s="1"/>
    </row>
    <row r="46" spans="1:12" ht="22" customHeight="1" x14ac:dyDescent="0.35">
      <c r="A46" s="55" t="str">
        <f>Matrix!A28</f>
        <v>Communication and Record Keeping</v>
      </c>
      <c r="B46" s="57">
        <f>Matrix!D28</f>
        <v>0.33333333333333331</v>
      </c>
      <c r="C46" s="55" t="str">
        <f>Matrix!E28</f>
        <v>RED</v>
      </c>
      <c r="D46" s="1"/>
      <c r="E46" s="1"/>
      <c r="F46" s="1"/>
      <c r="G46" s="1"/>
      <c r="H46" s="1"/>
      <c r="I46" s="1"/>
      <c r="J46" s="1"/>
      <c r="K46" s="1"/>
      <c r="L46" s="1"/>
    </row>
    <row r="47" spans="1:12" ht="22" customHeight="1" x14ac:dyDescent="0.35">
      <c r="A47" s="55" t="str">
        <f>Matrix!A29</f>
        <v>Risk Assessment</v>
      </c>
      <c r="B47" s="57">
        <f>Matrix!D29</f>
        <v>0.25</v>
      </c>
      <c r="C47" s="55" t="str">
        <f>Matrix!E29</f>
        <v>RED</v>
      </c>
      <c r="D47" s="1"/>
      <c r="E47" s="1"/>
      <c r="F47" s="1"/>
      <c r="G47" s="1"/>
      <c r="H47" s="1"/>
      <c r="I47" s="1"/>
      <c r="J47" s="1"/>
      <c r="K47" s="1"/>
      <c r="L47" s="1"/>
    </row>
    <row r="48" spans="1:12" ht="22" customHeight="1" x14ac:dyDescent="0.35">
      <c r="A48" s="55" t="str">
        <f>Matrix!A30</f>
        <v>Managing Continence</v>
      </c>
      <c r="B48" s="57">
        <f>Matrix!D30</f>
        <v>0.33333333333333331</v>
      </c>
      <c r="C48" s="55" t="str">
        <f>Matrix!E30</f>
        <v>RED</v>
      </c>
      <c r="D48" s="1"/>
      <c r="E48" s="1"/>
      <c r="F48" s="1"/>
      <c r="G48" s="1"/>
      <c r="H48" s="1"/>
      <c r="I48" s="1"/>
      <c r="J48" s="1"/>
      <c r="K48" s="1"/>
      <c r="L48" s="1"/>
    </row>
    <row r="49" spans="1:12" ht="22" customHeight="1" x14ac:dyDescent="0.35">
      <c r="A49" s="55" t="str">
        <f>Matrix!A31</f>
        <v>Constipation Basic Awareness</v>
      </c>
      <c r="B49" s="57">
        <f>Matrix!D31</f>
        <v>8.3333333333333329E-2</v>
      </c>
      <c r="C49" s="55" t="str">
        <f>Matrix!E31</f>
        <v>RED</v>
      </c>
      <c r="D49" s="1"/>
      <c r="E49" s="1"/>
      <c r="F49" s="1"/>
      <c r="G49" s="1"/>
      <c r="H49" s="1"/>
      <c r="I49" s="1"/>
      <c r="J49" s="1"/>
      <c r="K49" s="1"/>
      <c r="L49" s="1"/>
    </row>
    <row r="50" spans="1:12" ht="22" customHeight="1" x14ac:dyDescent="0.35">
      <c r="A50" s="52" t="str">
        <f>Matrix!A32</f>
        <v>The Oliver McGowan Mandatory Training</v>
      </c>
      <c r="B50" s="58">
        <f>Matrix!D32</f>
        <v>0.66666666666666663</v>
      </c>
      <c r="C50" s="52" t="str">
        <f>Matrix!E32</f>
        <v>RED</v>
      </c>
      <c r="D50" s="59"/>
      <c r="E50" s="59"/>
      <c r="F50" s="59"/>
      <c r="G50" s="59"/>
      <c r="H50" s="59"/>
      <c r="I50" s="59"/>
      <c r="J50" s="59"/>
      <c r="K50" s="59"/>
      <c r="L50" s="59"/>
    </row>
    <row r="51" spans="1:12" ht="22" customHeight="1" x14ac:dyDescent="0.35">
      <c r="A51" s="55" t="str">
        <f>Matrix!A33</f>
        <v>Anxiety</v>
      </c>
      <c r="B51" s="57">
        <f>Matrix!D33</f>
        <v>8.3333333333333329E-2</v>
      </c>
      <c r="C51" s="55" t="str">
        <f>Matrix!E33</f>
        <v>RED</v>
      </c>
      <c r="D51" s="1"/>
      <c r="E51" s="1"/>
      <c r="F51" s="1"/>
      <c r="G51" s="1"/>
      <c r="H51" s="1"/>
      <c r="I51" s="1"/>
      <c r="J51" s="1"/>
      <c r="K51" s="1"/>
      <c r="L51" s="1"/>
    </row>
    <row r="52" spans="1:12" ht="22" customHeight="1" x14ac:dyDescent="0.35">
      <c r="A52" s="55" t="str">
        <f>Matrix!A34</f>
        <v>End of Life Care</v>
      </c>
      <c r="B52" s="57">
        <f>Matrix!D34</f>
        <v>0.91666666666666663</v>
      </c>
      <c r="C52" s="55" t="str">
        <f>Matrix!E34</f>
        <v>GREEN</v>
      </c>
      <c r="D52" s="1"/>
      <c r="E52" s="1"/>
      <c r="F52" s="1"/>
      <c r="G52" s="1"/>
      <c r="H52" s="1"/>
      <c r="I52" s="1"/>
      <c r="J52" s="1"/>
      <c r="K52" s="1"/>
      <c r="L52" s="1"/>
    </row>
    <row r="53" spans="1:12" ht="22" customHeight="1" x14ac:dyDescent="0.35">
      <c r="A53" s="55" t="str">
        <f>Matrix!A35</f>
        <v>Dysphagia</v>
      </c>
      <c r="B53" s="57">
        <f>Matrix!D35</f>
        <v>0.91666666666666663</v>
      </c>
      <c r="C53" s="55" t="str">
        <f>Matrix!E35</f>
        <v>GREEN</v>
      </c>
      <c r="D53" s="1"/>
      <c r="E53" s="1"/>
      <c r="F53" s="1"/>
      <c r="G53" s="1"/>
      <c r="H53" s="1"/>
      <c r="I53" s="1"/>
      <c r="J53" s="1"/>
      <c r="K53" s="1"/>
      <c r="L53" s="1"/>
    </row>
    <row r="54" spans="1:12" ht="22" customHeight="1" x14ac:dyDescent="0.35">
      <c r="A54" s="55" t="str">
        <f>Matrix!A36</f>
        <v>Slips Trips and Falls Awareness</v>
      </c>
      <c r="B54" s="57">
        <f>Matrix!D36</f>
        <v>0.25</v>
      </c>
      <c r="C54" s="55" t="str">
        <f>Matrix!E36</f>
        <v>RED</v>
      </c>
      <c r="D54" s="1"/>
      <c r="E54" s="1"/>
      <c r="F54" s="1"/>
      <c r="G54" s="1"/>
      <c r="H54" s="1"/>
      <c r="I54" s="1"/>
      <c r="J54" s="1"/>
      <c r="K54" s="1"/>
      <c r="L54" s="1"/>
    </row>
    <row r="55" spans="1:12" ht="22" customHeight="1" x14ac:dyDescent="0.35">
      <c r="A55" s="55" t="str">
        <f>Matrix!A37</f>
        <v>Oral Care</v>
      </c>
      <c r="B55" s="57">
        <f>Matrix!D37</f>
        <v>0.91666666666666663</v>
      </c>
      <c r="C55" s="55" t="str">
        <f>Matrix!E37</f>
        <v>GREEN</v>
      </c>
      <c r="D55" s="1"/>
      <c r="E55" s="1"/>
      <c r="F55" s="1"/>
      <c r="G55" s="1"/>
      <c r="H55" s="1"/>
      <c r="I55" s="1"/>
      <c r="J55" s="1"/>
      <c r="K55" s="1"/>
      <c r="L55" s="1"/>
    </row>
    <row r="56" spans="1:12" ht="22" customHeight="1" x14ac:dyDescent="0.35">
      <c r="A56" s="55" t="str">
        <f>Matrix!A38</f>
        <v>Care Planning</v>
      </c>
      <c r="B56" s="57">
        <f>Matrix!D38</f>
        <v>0.66666666666666663</v>
      </c>
      <c r="C56" s="55" t="str">
        <f>Matrix!E38</f>
        <v>RED</v>
      </c>
      <c r="D56" s="1"/>
      <c r="E56" s="1"/>
      <c r="F56" s="1"/>
      <c r="G56" s="1"/>
      <c r="H56" s="1"/>
      <c r="I56" s="1"/>
      <c r="J56" s="1"/>
      <c r="K56" s="1"/>
      <c r="L56" s="1"/>
    </row>
    <row r="57" spans="1:12" ht="22" customHeight="1" x14ac:dyDescent="0.35">
      <c r="A57" s="55" t="str">
        <f>Matrix!A39</f>
        <v>Positive Behaviour Support</v>
      </c>
      <c r="B57" s="57">
        <f>Matrix!D39</f>
        <v>0.41666666666666669</v>
      </c>
      <c r="C57" s="55" t="str">
        <f>Matrix!E39</f>
        <v>RED</v>
      </c>
      <c r="D57" s="1"/>
      <c r="E57" s="1"/>
      <c r="F57" s="1"/>
      <c r="G57" s="1"/>
      <c r="H57" s="1"/>
      <c r="I57" s="1"/>
      <c r="J57" s="1"/>
      <c r="K57" s="1"/>
      <c r="L57" s="1"/>
    </row>
    <row r="58" spans="1:12" ht="22" customHeight="1" x14ac:dyDescent="0.35">
      <c r="A58" s="55" t="str">
        <f>Matrix!A40</f>
        <v>Parkinson's</v>
      </c>
      <c r="B58" s="57">
        <f>Matrix!D40</f>
        <v>0.66666666666666663</v>
      </c>
      <c r="C58" s="55" t="str">
        <f>Matrix!E40</f>
        <v>RED</v>
      </c>
      <c r="D58" s="1"/>
      <c r="E58" s="1"/>
      <c r="F58" s="1"/>
      <c r="G58" s="1"/>
      <c r="H58" s="1"/>
      <c r="I58" s="1"/>
      <c r="J58" s="1"/>
      <c r="K58" s="1"/>
      <c r="L58" s="1"/>
    </row>
    <row r="59" spans="1:12" ht="22" customHeight="1" x14ac:dyDescent="0.35">
      <c r="A59" s="55" t="str">
        <f>Matrix!A41</f>
        <v>Duty of Candour</v>
      </c>
      <c r="B59" s="57">
        <f>Matrix!D41</f>
        <v>0.25</v>
      </c>
      <c r="C59" s="55" t="str">
        <f>Matrix!E41</f>
        <v>RED</v>
      </c>
      <c r="D59" s="1"/>
      <c r="E59" s="1"/>
      <c r="F59" s="1"/>
      <c r="G59" s="1"/>
      <c r="H59" s="1"/>
      <c r="I59" s="1"/>
      <c r="J59" s="1"/>
      <c r="K59" s="1"/>
      <c r="L59" s="1"/>
    </row>
    <row r="60" spans="1:12" ht="22" customHeight="1" x14ac:dyDescent="0.35">
      <c r="A60" s="52" t="str">
        <f>Matrix!A42</f>
        <v>Food Safety Level 3</v>
      </c>
      <c r="B60" s="58">
        <f>Matrix!D42</f>
        <v>0.41666666666666669</v>
      </c>
      <c r="C60" s="52" t="str">
        <f>Matrix!E42</f>
        <v>RED</v>
      </c>
      <c r="D60" s="59"/>
      <c r="E60" s="59"/>
      <c r="F60" s="59"/>
      <c r="G60" s="59"/>
      <c r="H60" s="59"/>
      <c r="I60" s="59"/>
      <c r="J60" s="59"/>
      <c r="K60" s="59"/>
      <c r="L60" s="59"/>
    </row>
    <row r="61" spans="1:12" ht="22" customHeight="1" x14ac:dyDescent="0.35">
      <c r="A61" s="55" t="str">
        <f>Matrix!A43</f>
        <v>COSHH</v>
      </c>
      <c r="B61" s="57">
        <f>Matrix!D43</f>
        <v>0.41666666666666669</v>
      </c>
      <c r="C61" s="55" t="str">
        <f>Matrix!E43</f>
        <v>RED</v>
      </c>
      <c r="D61" s="1"/>
      <c r="E61" s="1"/>
      <c r="F61" s="1"/>
      <c r="G61" s="1"/>
      <c r="H61" s="1"/>
      <c r="I61" s="1"/>
      <c r="J61" s="1"/>
      <c r="K61" s="1"/>
      <c r="L61" s="1"/>
    </row>
    <row r="62" spans="1:12" ht="22" customHeight="1" x14ac:dyDescent="0.35">
      <c r="A62" s="55" t="str">
        <f>Matrix!A44</f>
        <v>RIDDOR</v>
      </c>
      <c r="B62" s="57">
        <f>Matrix!D44</f>
        <v>0.16666666666666666</v>
      </c>
      <c r="C62" s="55" t="str">
        <f>Matrix!E44</f>
        <v>RED</v>
      </c>
      <c r="D62" s="1"/>
      <c r="E62" s="1"/>
      <c r="F62" s="1"/>
      <c r="G62" s="1"/>
      <c r="H62" s="1"/>
      <c r="I62" s="1"/>
      <c r="J62" s="1"/>
      <c r="K62" s="1"/>
      <c r="L62" s="1"/>
    </row>
    <row r="63" spans="1:12" ht="22" customHeight="1" x14ac:dyDescent="0.35">
      <c r="A63" s="55" t="str">
        <f>Matrix!A45</f>
        <v>Safeguarding and Protection of Adults</v>
      </c>
      <c r="B63" s="57">
        <f>Matrix!D45</f>
        <v>0.83333333333333337</v>
      </c>
      <c r="C63" s="55" t="str">
        <f>Matrix!E45</f>
        <v>GREEN</v>
      </c>
      <c r="D63" s="1"/>
      <c r="E63" s="1"/>
      <c r="F63" s="1"/>
      <c r="G63" s="1"/>
      <c r="H63" s="1"/>
      <c r="I63" s="1"/>
      <c r="J63" s="1"/>
      <c r="K63" s="1"/>
      <c r="L63" s="1"/>
    </row>
    <row r="64" spans="1:12" ht="22" customHeight="1" x14ac:dyDescent="0.35">
      <c r="A64" s="55" t="str">
        <f>Matrix!A46</f>
        <v>A Care Workers Role</v>
      </c>
      <c r="B64" s="57">
        <f>Matrix!D46</f>
        <v>0.25</v>
      </c>
      <c r="C64" s="55" t="str">
        <f>Matrix!E46</f>
        <v>RED</v>
      </c>
      <c r="D64" s="1"/>
      <c r="E64" s="1"/>
      <c r="F64" s="1"/>
      <c r="G64" s="1"/>
      <c r="H64" s="1"/>
      <c r="I64" s="1"/>
      <c r="J64" s="1"/>
      <c r="K64" s="1"/>
      <c r="L64" s="1"/>
    </row>
    <row r="65" spans="1:12" ht="22" customHeight="1" x14ac:dyDescent="0.35">
      <c r="A65" s="55" t="str">
        <f>Matrix!A47</f>
        <v>Recording Information</v>
      </c>
      <c r="B65" s="57">
        <f>Matrix!D47</f>
        <v>0.33333333333333331</v>
      </c>
      <c r="C65" s="55" t="str">
        <f>Matrix!E47</f>
        <v>RED</v>
      </c>
      <c r="D65" s="1"/>
      <c r="E65" s="1"/>
      <c r="F65" s="1"/>
      <c r="G65" s="1"/>
      <c r="H65" s="1"/>
      <c r="I65" s="1"/>
      <c r="J65" s="1"/>
      <c r="K65" s="1"/>
      <c r="L65" s="1"/>
    </row>
    <row r="66" spans="1:12" ht="22" customHeight="1" x14ac:dyDescent="0.35">
      <c r="A66" s="55" t="str">
        <f>Matrix!A48</f>
        <v>Dementia Awareness</v>
      </c>
      <c r="B66" s="57">
        <f>Matrix!D48</f>
        <v>0.75</v>
      </c>
      <c r="C66" s="55" t="str">
        <f>Matrix!E48</f>
        <v>AMBER</v>
      </c>
      <c r="D66" s="1"/>
      <c r="E66" s="1"/>
      <c r="F66" s="1"/>
      <c r="G66" s="1"/>
      <c r="H66" s="1"/>
      <c r="I66" s="1"/>
      <c r="J66" s="1"/>
      <c r="K66" s="1"/>
      <c r="L66" s="1"/>
    </row>
    <row r="67" spans="1:12" ht="22" customHeight="1" x14ac:dyDescent="0.35">
      <c r="A67" s="55" t="str">
        <f>Matrix!A49</f>
        <v>Personal Care</v>
      </c>
      <c r="B67" s="57">
        <f>Matrix!D49</f>
        <v>0.41666666666666669</v>
      </c>
      <c r="C67" s="55" t="str">
        <f>Matrix!E49</f>
        <v>RED</v>
      </c>
      <c r="D67" s="1"/>
      <c r="E67" s="1"/>
      <c r="F67" s="1"/>
      <c r="G67" s="1"/>
      <c r="H67" s="1"/>
      <c r="I67" s="1"/>
      <c r="J67" s="1"/>
      <c r="K67" s="1"/>
      <c r="L67" s="1"/>
    </row>
    <row r="68" spans="1:12" ht="22" customHeight="1" x14ac:dyDescent="0.35">
      <c r="A68" s="55" t="str">
        <f>Matrix!A50</f>
        <v>Behaviours that Challenge</v>
      </c>
      <c r="B68" s="57">
        <f>Matrix!D50</f>
        <v>0.66666666666666663</v>
      </c>
      <c r="C68" s="55" t="str">
        <f>Matrix!E50</f>
        <v>RED</v>
      </c>
      <c r="D68" s="1"/>
      <c r="E68" s="1"/>
      <c r="F68" s="1"/>
      <c r="G68" s="1"/>
      <c r="H68" s="1"/>
      <c r="I68" s="1"/>
      <c r="J68" s="1"/>
      <c r="K68" s="1"/>
      <c r="L68" s="1"/>
    </row>
    <row r="69" spans="1:12" ht="22" customHeight="1" x14ac:dyDescent="0.35">
      <c r="A69" s="55" t="str">
        <f>Matrix!A51</f>
        <v>Person Centred Care</v>
      </c>
      <c r="B69" s="57">
        <f>Matrix!D51</f>
        <v>0.25</v>
      </c>
      <c r="C69" s="55" t="str">
        <f>Matrix!E51</f>
        <v>RED</v>
      </c>
      <c r="D69" s="1"/>
      <c r="E69" s="1"/>
      <c r="F69" s="1"/>
      <c r="G69" s="1"/>
      <c r="H69" s="1"/>
      <c r="I69" s="1"/>
      <c r="J69" s="1"/>
      <c r="K69" s="1"/>
      <c r="L69" s="1"/>
    </row>
    <row r="70" spans="1:12" ht="22" customHeight="1" x14ac:dyDescent="0.35">
      <c r="A70" s="52" t="str">
        <f>Matrix!A52</f>
        <v>Pressure Care and Moisture Lesion Awareness</v>
      </c>
      <c r="B70" s="58">
        <f>Matrix!D52</f>
        <v>0.16666666666666666</v>
      </c>
      <c r="C70" s="52" t="str">
        <f>Matrix!E52</f>
        <v>RED</v>
      </c>
      <c r="D70" s="59"/>
      <c r="E70" s="59"/>
      <c r="F70" s="59"/>
      <c r="G70" s="59"/>
      <c r="H70" s="59"/>
      <c r="I70" s="59"/>
      <c r="J70" s="59"/>
      <c r="K70" s="59"/>
      <c r="L70" s="59"/>
    </row>
    <row r="71" spans="1:12" ht="22" customHeight="1" x14ac:dyDescent="0.35">
      <c r="A71" s="55" t="str">
        <f>Matrix!A53</f>
        <v>Stroke Awareness</v>
      </c>
      <c r="B71" s="57">
        <f>Matrix!D53</f>
        <v>0.16666666666666666</v>
      </c>
      <c r="C71" s="55" t="str">
        <f>Matrix!E53</f>
        <v>RED</v>
      </c>
      <c r="D71" s="1"/>
      <c r="E71" s="1"/>
      <c r="F71" s="1"/>
      <c r="G71" s="1"/>
      <c r="H71" s="1"/>
      <c r="I71" s="1"/>
      <c r="J71" s="1"/>
      <c r="K71" s="1"/>
      <c r="L71" s="1"/>
    </row>
    <row r="72" spans="1:12" ht="22" customHeight="1" x14ac:dyDescent="0.35">
      <c r="A72" s="55" t="str">
        <f>Matrix!A54</f>
        <v>Infection Control</v>
      </c>
      <c r="B72" s="57">
        <f>Matrix!D54</f>
        <v>0.75</v>
      </c>
      <c r="C72" s="55" t="str">
        <f>Matrix!E54</f>
        <v>AMBER</v>
      </c>
      <c r="D72" s="1"/>
      <c r="E72" s="1"/>
      <c r="F72" s="1"/>
      <c r="G72" s="1"/>
      <c r="H72" s="1"/>
      <c r="I72" s="1"/>
      <c r="J72" s="1"/>
      <c r="K72" s="1"/>
      <c r="L72" s="1"/>
    </row>
    <row r="73" spans="1:12" ht="22" customHeight="1" x14ac:dyDescent="0.35">
      <c r="A73" s="55" t="str">
        <f>Matrix!A55</f>
        <v>Bereavement Awareness</v>
      </c>
      <c r="B73" s="57">
        <f>Matrix!D55</f>
        <v>0.25</v>
      </c>
      <c r="C73" s="55" t="str">
        <f>Matrix!E55</f>
        <v>RED</v>
      </c>
      <c r="D73" s="1"/>
      <c r="E73" s="1"/>
      <c r="F73" s="1"/>
      <c r="G73" s="1"/>
      <c r="H73" s="1"/>
      <c r="I73" s="1"/>
      <c r="J73" s="1"/>
      <c r="K73" s="1"/>
      <c r="L73" s="1"/>
    </row>
    <row r="74" spans="1:12" ht="22" customHeight="1" x14ac:dyDescent="0.35">
      <c r="A74" s="55" t="str">
        <f>Matrix!A56</f>
        <v>DeChoker</v>
      </c>
      <c r="B74" s="57">
        <f>Matrix!D56</f>
        <v>0.16666666666666666</v>
      </c>
      <c r="C74" s="55" t="str">
        <f>Matrix!E56</f>
        <v>RED</v>
      </c>
      <c r="D74" s="1"/>
      <c r="E74" s="1"/>
      <c r="F74" s="1"/>
      <c r="G74" s="1"/>
      <c r="H74" s="1"/>
      <c r="I74" s="1"/>
      <c r="J74" s="1"/>
      <c r="K74" s="1"/>
      <c r="L74" s="1"/>
    </row>
    <row r="75" spans="1:12" ht="22" customHeight="1" x14ac:dyDescent="0.35">
      <c r="A75" s="55" t="str">
        <f>Matrix!A57</f>
        <v>Continence Promotion</v>
      </c>
      <c r="B75" s="57">
        <f>Matrix!D57</f>
        <v>8.3333333333333329E-2</v>
      </c>
      <c r="C75" s="55" t="str">
        <f>Matrix!E57</f>
        <v>RED</v>
      </c>
      <c r="D75" s="1"/>
      <c r="E75" s="1"/>
      <c r="F75" s="1"/>
      <c r="G75" s="1"/>
      <c r="H75" s="1"/>
      <c r="I75" s="1"/>
      <c r="J75" s="1"/>
      <c r="K75" s="1"/>
      <c r="L75" s="1"/>
    </row>
    <row r="76" spans="1:12" ht="22" customHeight="1" x14ac:dyDescent="0.35">
      <c r="A76" s="55" t="str">
        <f>Matrix!A58</f>
        <v>Catheter Care</v>
      </c>
      <c r="B76" s="57">
        <f>Matrix!D58</f>
        <v>8.3333333333333329E-2</v>
      </c>
      <c r="C76" s="55" t="str">
        <f>Matrix!E58</f>
        <v>RED</v>
      </c>
      <c r="D76" s="1"/>
      <c r="E76" s="1"/>
      <c r="F76" s="1"/>
      <c r="G76" s="1"/>
      <c r="H76" s="1"/>
      <c r="I76" s="1"/>
      <c r="J76" s="1"/>
      <c r="K76" s="1"/>
      <c r="L76" s="1"/>
    </row>
    <row r="77" spans="1:12" ht="22" customHeight="1" x14ac:dyDescent="0.35">
      <c r="A77" s="55" t="str">
        <f>Matrix!A59</f>
        <v>Diabetes Awareness</v>
      </c>
      <c r="B77" s="57">
        <f>Matrix!D59</f>
        <v>0.75</v>
      </c>
      <c r="C77" s="55" t="str">
        <f>Matrix!E59</f>
        <v>AMBER</v>
      </c>
      <c r="D77" s="1"/>
      <c r="E77" s="1"/>
      <c r="F77" s="1"/>
      <c r="G77" s="1"/>
      <c r="H77" s="1"/>
      <c r="I77" s="1"/>
      <c r="J77" s="1"/>
      <c r="K77" s="1"/>
      <c r="L77" s="1"/>
    </row>
    <row r="78" spans="1:12" ht="22" customHeight="1" x14ac:dyDescent="0.35">
      <c r="A78" s="55" t="str">
        <f>Matrix!A60</f>
        <v>Mental Capacity</v>
      </c>
      <c r="B78" s="57">
        <f>Matrix!D60</f>
        <v>0.83333333333333337</v>
      </c>
      <c r="C78" s="55" t="str">
        <f>Matrix!E60</f>
        <v>GREEN</v>
      </c>
      <c r="D78" s="1"/>
      <c r="E78" s="1"/>
      <c r="F78" s="1"/>
      <c r="G78" s="1"/>
      <c r="H78" s="1"/>
      <c r="I78" s="1"/>
      <c r="J78" s="1"/>
      <c r="K78" s="1"/>
      <c r="L78" s="1"/>
    </row>
    <row r="79" spans="1:12" ht="22" customHeight="1" x14ac:dyDescent="0.35">
      <c r="A79" s="55" t="str">
        <f>Matrix!A61</f>
        <v>Hand Hygiene</v>
      </c>
      <c r="B79" s="57">
        <f>Matrix!D61</f>
        <v>8.3333333333333329E-2</v>
      </c>
      <c r="C79" s="55" t="str">
        <f>Matrix!E61</f>
        <v>RED</v>
      </c>
      <c r="D79" s="1"/>
      <c r="E79" s="1"/>
      <c r="F79" s="1"/>
      <c r="G79" s="1"/>
      <c r="H79" s="1"/>
      <c r="I79" s="1"/>
      <c r="J79" s="1"/>
      <c r="K79" s="1"/>
      <c r="L79" s="1"/>
    </row>
    <row r="80" spans="1:12" ht="22" customHeight="1" x14ac:dyDescent="0.35">
      <c r="A80" s="52" t="str">
        <f>Matrix!A62</f>
        <v>The Use of PPE</v>
      </c>
      <c r="B80" s="58">
        <f>Matrix!D62</f>
        <v>0.16666666666666666</v>
      </c>
      <c r="C80" s="52" t="str">
        <f>Matrix!E62</f>
        <v>RED</v>
      </c>
      <c r="D80" s="59"/>
      <c r="E80" s="59"/>
      <c r="F80" s="59"/>
      <c r="G80" s="59"/>
      <c r="H80" s="59"/>
      <c r="I80" s="59"/>
      <c r="J80" s="59"/>
      <c r="K80" s="59"/>
      <c r="L80" s="59"/>
    </row>
    <row r="81" spans="1:12" ht="22" customHeight="1" x14ac:dyDescent="0.35">
      <c r="A81" s="55" t="str">
        <f>Matrix!A63</f>
        <v>Wellbeing in the Workplace</v>
      </c>
      <c r="B81" s="57">
        <f>Matrix!D63</f>
        <v>8.3333333333333329E-2</v>
      </c>
      <c r="C81" s="55" t="str">
        <f>Matrix!E63</f>
        <v>RED</v>
      </c>
      <c r="D81" s="1"/>
      <c r="E81" s="1"/>
      <c r="F81" s="1"/>
      <c r="G81" s="1"/>
      <c r="H81" s="1"/>
      <c r="I81" s="1"/>
      <c r="J81" s="1"/>
      <c r="K81" s="1"/>
      <c r="L81" s="1"/>
    </row>
    <row r="82" spans="1:12" ht="22" customHeight="1" x14ac:dyDescent="0.35">
      <c r="A82" s="55" t="str">
        <f>Matrix!A64</f>
        <v>Dignity, Privacy and Respect</v>
      </c>
      <c r="B82" s="57">
        <f>Matrix!D64</f>
        <v>0.16666666666666666</v>
      </c>
      <c r="C82" s="55" t="str">
        <f>Matrix!E64</f>
        <v>RED</v>
      </c>
      <c r="D82" s="1"/>
      <c r="E82" s="1"/>
      <c r="F82" s="1"/>
      <c r="G82" s="1"/>
      <c r="H82" s="1"/>
      <c r="I82" s="1"/>
      <c r="J82" s="1"/>
      <c r="K82" s="1"/>
      <c r="L82" s="1"/>
    </row>
    <row r="83" spans="1:12" ht="22" customHeight="1" x14ac:dyDescent="0.35">
      <c r="A83" s="55" t="str">
        <f>Matrix!A65</f>
        <v>Bullying and Harassment Awareness</v>
      </c>
      <c r="B83" s="57">
        <f>Matrix!D65</f>
        <v>0.16666666666666666</v>
      </c>
      <c r="C83" s="55" t="str">
        <f>Matrix!E65</f>
        <v>RED</v>
      </c>
      <c r="D83" s="1"/>
      <c r="E83" s="1"/>
      <c r="F83" s="1"/>
      <c r="G83" s="1"/>
      <c r="H83" s="1"/>
      <c r="I83" s="1"/>
      <c r="J83" s="1"/>
      <c r="K83" s="1"/>
      <c r="L83" s="1"/>
    </row>
    <row r="84" spans="1:12" ht="22" customHeight="1" x14ac:dyDescent="0.35">
      <c r="A84" s="55" t="str">
        <f>Matrix!A66</f>
        <v>Complaints Handling</v>
      </c>
      <c r="B84" s="57">
        <f>Matrix!D66</f>
        <v>8.3333333333333329E-2</v>
      </c>
      <c r="C84" s="55" t="str">
        <f>Matrix!E66</f>
        <v>RED</v>
      </c>
      <c r="D84" s="1"/>
      <c r="E84" s="1"/>
      <c r="F84" s="1"/>
      <c r="G84" s="1"/>
      <c r="H84" s="1"/>
      <c r="I84" s="1"/>
      <c r="J84" s="1"/>
      <c r="K84" s="1"/>
      <c r="L84" s="1"/>
    </row>
    <row r="85" spans="1:12" ht="22" customHeight="1" x14ac:dyDescent="0.35">
      <c r="A85" s="55" t="str">
        <f>Matrix!A67</f>
        <v>Dignity in Care</v>
      </c>
      <c r="B85" s="57">
        <f>Matrix!D67</f>
        <v>8.3333333333333329E-2</v>
      </c>
      <c r="C85" s="55" t="str">
        <f>Matrix!E67</f>
        <v>RED</v>
      </c>
      <c r="D85" s="1"/>
      <c r="E85" s="1"/>
      <c r="F85" s="1"/>
      <c r="G85" s="1"/>
      <c r="H85" s="1"/>
      <c r="I85" s="1"/>
      <c r="J85" s="1"/>
      <c r="K85" s="1"/>
      <c r="L85" s="1"/>
    </row>
    <row r="86" spans="1:12" ht="22" customHeight="1" x14ac:dyDescent="0.35">
      <c r="A86" s="55" t="str">
        <f>Matrix!A68</f>
        <v>Verification of Death</v>
      </c>
      <c r="B86" s="57">
        <f>Matrix!D68</f>
        <v>0.16666666666666666</v>
      </c>
      <c r="C86" s="55" t="str">
        <f>Matrix!E68</f>
        <v>RED</v>
      </c>
      <c r="D86" s="1"/>
      <c r="E86" s="1"/>
      <c r="F86" s="1"/>
      <c r="G86" s="1"/>
      <c r="H86" s="1"/>
      <c r="I86" s="1"/>
      <c r="J86" s="1"/>
      <c r="K86" s="1"/>
      <c r="L86" s="1"/>
    </row>
    <row r="87" spans="1:12" ht="22" customHeight="1" x14ac:dyDescent="0.35">
      <c r="A87" s="55" t="str">
        <f>Matrix!A69</f>
        <v>Whistleblowing</v>
      </c>
      <c r="B87" s="57">
        <f>Matrix!D69</f>
        <v>0.25</v>
      </c>
      <c r="C87" s="55" t="str">
        <f>Matrix!E69</f>
        <v>RED</v>
      </c>
      <c r="D87" s="1"/>
      <c r="E87" s="1"/>
      <c r="F87" s="1"/>
      <c r="G87" s="1"/>
      <c r="H87" s="1"/>
      <c r="I87" s="1"/>
      <c r="J87" s="1"/>
      <c r="K87" s="1"/>
      <c r="L87" s="1"/>
    </row>
    <row r="88" spans="1:12" ht="22" customHeight="1" x14ac:dyDescent="0.35">
      <c r="A88" s="55" t="str">
        <f>Matrix!A70</f>
        <v>HACCP Awareness</v>
      </c>
      <c r="B88" s="57">
        <f>Matrix!D70</f>
        <v>8.3333333333333329E-2</v>
      </c>
      <c r="C88" s="55" t="str">
        <f>Matrix!E70</f>
        <v>RED</v>
      </c>
      <c r="D88" s="1"/>
      <c r="E88" s="1"/>
      <c r="F88" s="1"/>
      <c r="G88" s="1"/>
      <c r="H88" s="1"/>
      <c r="I88" s="1"/>
      <c r="J88" s="1"/>
      <c r="K88" s="1"/>
      <c r="L88" s="1"/>
    </row>
    <row r="89" spans="1:12" ht="22" customHeight="1" x14ac:dyDescent="0.35">
      <c r="A89" s="55" t="str">
        <f>Matrix!A71</f>
        <v>Communication</v>
      </c>
      <c r="B89" s="57">
        <f>Matrix!D71</f>
        <v>8.3333333333333329E-2</v>
      </c>
      <c r="C89" s="55" t="str">
        <f>Matrix!E71</f>
        <v>RED</v>
      </c>
      <c r="D89" s="1"/>
      <c r="E89" s="1"/>
      <c r="F89" s="1"/>
      <c r="G89" s="1"/>
      <c r="H89" s="1"/>
      <c r="I89" s="1"/>
      <c r="J89" s="1"/>
      <c r="K89" s="1"/>
      <c r="L89" s="1"/>
    </row>
    <row r="90" spans="1:12" ht="22" customHeight="1" x14ac:dyDescent="0.35">
      <c r="A90" s="52" t="str">
        <f>Matrix!A72</f>
        <v>Basic Observations</v>
      </c>
      <c r="B90" s="58">
        <f>Matrix!D72</f>
        <v>0.16666666666666666</v>
      </c>
      <c r="C90" s="52" t="str">
        <f>Matrix!E72</f>
        <v>RED</v>
      </c>
      <c r="D90" s="59"/>
      <c r="E90" s="59"/>
      <c r="F90" s="59"/>
      <c r="G90" s="59"/>
      <c r="H90" s="59"/>
      <c r="I90" s="59"/>
      <c r="J90" s="59"/>
      <c r="K90" s="59"/>
      <c r="L90" s="59"/>
    </row>
    <row r="91" spans="1:12" ht="22" customHeight="1" x14ac:dyDescent="0.35">
      <c r="A91" s="55" t="str">
        <f>Matrix!A73</f>
        <v>Accessible Information</v>
      </c>
      <c r="B91" s="57">
        <f>Matrix!D73</f>
        <v>8.3333333333333329E-2</v>
      </c>
      <c r="C91" s="55" t="str">
        <f>Matrix!E73</f>
        <v>RED</v>
      </c>
      <c r="D91" s="1"/>
      <c r="E91" s="1"/>
      <c r="F91" s="1"/>
      <c r="G91" s="1"/>
      <c r="H91" s="1"/>
      <c r="I91" s="1"/>
      <c r="J91" s="1"/>
      <c r="K91" s="1"/>
      <c r="L91" s="1"/>
    </row>
    <row r="92" spans="1:12" ht="22" customHeight="1" x14ac:dyDescent="0.35">
      <c r="A92" s="55" t="str">
        <f>Matrix!A74</f>
        <v>Bed Rails and Risk Management Awareness</v>
      </c>
      <c r="B92" s="57">
        <f>Matrix!D74</f>
        <v>0.16666666666666666</v>
      </c>
      <c r="C92" s="55" t="str">
        <f>Matrix!E74</f>
        <v>RED</v>
      </c>
      <c r="D92" s="1"/>
      <c r="E92" s="1"/>
      <c r="F92" s="1"/>
      <c r="G92" s="1"/>
      <c r="H92" s="1"/>
      <c r="I92" s="1"/>
      <c r="J92" s="1"/>
      <c r="K92" s="1"/>
      <c r="L92" s="1"/>
    </row>
    <row r="93" spans="1:12" ht="22" customHeight="1" x14ac:dyDescent="0.35">
      <c r="A93" s="55" t="str">
        <f>Matrix!A75</f>
        <v>Moving and Handling</v>
      </c>
      <c r="B93" s="57">
        <f>Matrix!D75</f>
        <v>0.91666666666666663</v>
      </c>
      <c r="C93" s="55" t="str">
        <f>Matrix!E75</f>
        <v>GREEN</v>
      </c>
      <c r="D93" s="1"/>
      <c r="E93" s="1"/>
      <c r="F93" s="1"/>
      <c r="G93" s="1"/>
      <c r="H93" s="1"/>
      <c r="I93" s="1"/>
      <c r="J93" s="1"/>
      <c r="K93" s="1"/>
      <c r="L93" s="1"/>
    </row>
    <row r="94" spans="1:12" ht="22" customHeight="1" x14ac:dyDescent="0.35">
      <c r="A94" s="55" t="str">
        <f>Matrix!A76</f>
        <v>Fire Safety</v>
      </c>
      <c r="B94" s="57">
        <f>Matrix!D76</f>
        <v>0.16666666666666666</v>
      </c>
      <c r="C94" s="55" t="str">
        <f>Matrix!E76</f>
        <v>RED</v>
      </c>
      <c r="D94" s="1"/>
      <c r="E94" s="1"/>
      <c r="F94" s="1"/>
      <c r="G94" s="1"/>
      <c r="H94" s="1"/>
      <c r="I94" s="1"/>
      <c r="J94" s="1"/>
      <c r="K94" s="1"/>
      <c r="L94" s="1"/>
    </row>
    <row r="95" spans="1:12" ht="22" customHeight="1" x14ac:dyDescent="0.35">
      <c r="A95" s="55" t="str">
        <f>Matrix!A77</f>
        <v>Fire Safety Lite</v>
      </c>
      <c r="B95" s="57">
        <f>Matrix!D77</f>
        <v>8.3333333333333329E-2</v>
      </c>
      <c r="C95" s="55" t="str">
        <f>Matrix!E77</f>
        <v>RED</v>
      </c>
      <c r="D95" s="1"/>
      <c r="E95" s="1"/>
      <c r="F95" s="1"/>
      <c r="G95" s="1"/>
      <c r="H95" s="1"/>
      <c r="I95" s="1"/>
      <c r="J95" s="1"/>
      <c r="K95" s="1"/>
      <c r="L95" s="1"/>
    </row>
    <row r="96" spans="1:12" ht="22" customHeight="1" x14ac:dyDescent="0.35">
      <c r="A96" s="55" t="str">
        <f>Matrix!A78</f>
        <v>First Aid</v>
      </c>
      <c r="B96" s="57">
        <f>Matrix!D78</f>
        <v>0.58333333333333337</v>
      </c>
      <c r="C96" s="55" t="str">
        <f>Matrix!E78</f>
        <v>RED</v>
      </c>
      <c r="D96" s="1"/>
      <c r="E96" s="1"/>
      <c r="F96" s="1"/>
      <c r="G96" s="1"/>
      <c r="H96" s="1"/>
      <c r="I96" s="1"/>
      <c r="J96" s="1"/>
      <c r="K96" s="1"/>
      <c r="L96" s="1"/>
    </row>
    <row r="97" spans="1:12" ht="22" customHeight="1" x14ac:dyDescent="0.35">
      <c r="A97" s="55" t="str">
        <f>Matrix!A79</f>
        <v>Moving and Handling Lite</v>
      </c>
      <c r="B97" s="57">
        <f>Matrix!D79</f>
        <v>0</v>
      </c>
      <c r="C97" s="55" t="str">
        <f>Matrix!E79</f>
        <v>RED</v>
      </c>
      <c r="D97" s="1"/>
      <c r="E97" s="1"/>
      <c r="F97" s="1"/>
      <c r="G97" s="1"/>
      <c r="H97" s="1"/>
      <c r="I97" s="1"/>
      <c r="J97" s="1"/>
      <c r="K97" s="1"/>
      <c r="L97" s="1"/>
    </row>
    <row r="98" spans="1:12" ht="22" customHeight="1" x14ac:dyDescent="0.35">
      <c r="A98" s="55" t="str">
        <f>Matrix!A80</f>
        <v>Pressure Area Care</v>
      </c>
      <c r="B98" s="57">
        <f>Matrix!D80</f>
        <v>0.25</v>
      </c>
      <c r="C98" s="55" t="str">
        <f>Matrix!E80</f>
        <v>RED</v>
      </c>
      <c r="D98" s="1"/>
      <c r="E98" s="1"/>
      <c r="F98" s="1"/>
      <c r="G98" s="1"/>
      <c r="H98" s="1"/>
      <c r="I98" s="1"/>
      <c r="J98" s="1"/>
      <c r="K98" s="1"/>
      <c r="L98" s="1"/>
    </row>
    <row r="99" spans="1:12" ht="22" customHeight="1" x14ac:dyDescent="0.35">
      <c r="A99" s="55" t="str">
        <f>Matrix!A81</f>
        <v>Professional Boundaries</v>
      </c>
      <c r="B99" s="57">
        <f>Matrix!D81</f>
        <v>0</v>
      </c>
      <c r="C99" s="55" t="str">
        <f>Matrix!E81</f>
        <v>RED</v>
      </c>
      <c r="D99" s="1"/>
      <c r="E99" s="1"/>
      <c r="F99" s="1"/>
      <c r="G99" s="1"/>
      <c r="H99" s="1"/>
      <c r="I99" s="1"/>
      <c r="J99" s="1"/>
      <c r="K99" s="1"/>
      <c r="L99" s="1"/>
    </row>
    <row r="100" spans="1:12" ht="22" customHeight="1" x14ac:dyDescent="0.35">
      <c r="A100" s="52" t="str">
        <f>Matrix!A82</f>
        <v>Buccal Midazolam</v>
      </c>
      <c r="B100" s="58">
        <f>Matrix!D82</f>
        <v>0</v>
      </c>
      <c r="C100" s="52" t="str">
        <f>Matrix!E82</f>
        <v>RED</v>
      </c>
      <c r="D100" s="59"/>
      <c r="E100" s="59"/>
      <c r="F100" s="59"/>
      <c r="G100" s="59"/>
      <c r="H100" s="59"/>
      <c r="I100" s="59"/>
      <c r="J100" s="59"/>
      <c r="K100" s="59"/>
      <c r="L100" s="59"/>
    </row>
    <row r="101" spans="1:12" ht="22" customHeight="1" x14ac:dyDescent="0.35">
      <c r="A101" s="55" t="str">
        <f>Matrix!A83</f>
        <v>GDPR 1</v>
      </c>
      <c r="B101" s="57">
        <f>Matrix!D83</f>
        <v>8.3333333333333329E-2</v>
      </c>
      <c r="C101" s="55" t="str">
        <f>Matrix!E83</f>
        <v>RED</v>
      </c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22" customHeight="1" x14ac:dyDescent="0.35">
      <c r="A102" s="55" t="str">
        <f>Matrix!A84</f>
        <v>GDPR 2</v>
      </c>
      <c r="B102" s="57">
        <f>Matrix!D84</f>
        <v>8.3333333333333329E-2</v>
      </c>
      <c r="C102" s="55" t="str">
        <f>Matrix!E84</f>
        <v>RED</v>
      </c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22" customHeight="1" x14ac:dyDescent="0.35">
      <c r="A103" s="55" t="str">
        <f>Matrix!A85</f>
        <v>Induction to Dementia</v>
      </c>
      <c r="B103" s="57">
        <f>Matrix!D85</f>
        <v>8.3333333333333329E-2</v>
      </c>
      <c r="C103" s="55" t="str">
        <f>Matrix!E85</f>
        <v>RED</v>
      </c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22" customHeight="1" x14ac:dyDescent="0.35">
      <c r="A104" s="55" t="str">
        <f>Matrix!A86</f>
        <v>Induction to End of Life Care</v>
      </c>
      <c r="B104" s="57">
        <f>Matrix!D86</f>
        <v>8.3333333333333329E-2</v>
      </c>
      <c r="C104" s="55" t="str">
        <f>Matrix!E86</f>
        <v>RED</v>
      </c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22" customHeight="1" x14ac:dyDescent="0.35">
      <c r="A105" s="55" t="str">
        <f>Matrix!A87</f>
        <v>Induction to Mental Health</v>
      </c>
      <c r="B105" s="57">
        <f>Matrix!D87</f>
        <v>0</v>
      </c>
      <c r="C105" s="55" t="str">
        <f>Matrix!E87</f>
        <v>RED</v>
      </c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22" customHeight="1" x14ac:dyDescent="0.35">
      <c r="A106" s="55" t="str">
        <f>Matrix!A88</f>
        <v>Infection Control Lite</v>
      </c>
      <c r="B106" s="57">
        <f>Matrix!D88</f>
        <v>8.3333333333333329E-2</v>
      </c>
      <c r="C106" s="55" t="str">
        <f>Matrix!E88</f>
        <v>RED</v>
      </c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22" customHeight="1" x14ac:dyDescent="0.35">
      <c r="A107" s="55" t="str">
        <f>Matrix!A89</f>
        <v>Manual Handling of Objects</v>
      </c>
      <c r="B107" s="57">
        <f>Matrix!D89</f>
        <v>0</v>
      </c>
      <c r="C107" s="55" t="str">
        <f>Matrix!E89</f>
        <v>RED</v>
      </c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22" customHeight="1" x14ac:dyDescent="0.35">
      <c r="A108" s="55" t="str">
        <f>Matrix!A90</f>
        <v>Medication Practice</v>
      </c>
      <c r="B108" s="57">
        <f>Matrix!D90</f>
        <v>0.41666666666666669</v>
      </c>
      <c r="C108" s="55" t="str">
        <f>Matrix!E90</f>
        <v>RED</v>
      </c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22" customHeight="1" x14ac:dyDescent="0.35">
      <c r="A109" s="55" t="str">
        <f>Matrix!A91</f>
        <v>Medication Practice Lite</v>
      </c>
      <c r="B109" s="57">
        <f>Matrix!D91</f>
        <v>0</v>
      </c>
      <c r="C109" s="55" t="str">
        <f>Matrix!E91</f>
        <v>RED</v>
      </c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22" customHeight="1" x14ac:dyDescent="0.35">
      <c r="A110" s="52" t="str">
        <f>Matrix!A92</f>
        <v>Motor Neurone Disease</v>
      </c>
      <c r="B110" s="58">
        <f>Matrix!D92</f>
        <v>0</v>
      </c>
      <c r="C110" s="52" t="str">
        <f>Matrix!E92</f>
        <v>RED</v>
      </c>
      <c r="D110" s="59"/>
      <c r="E110" s="59"/>
      <c r="F110" s="59"/>
      <c r="G110" s="59"/>
      <c r="H110" s="59"/>
      <c r="I110" s="59"/>
      <c r="J110" s="59"/>
      <c r="K110" s="59"/>
      <c r="L110" s="59"/>
    </row>
    <row r="111" spans="1:12" ht="22" customHeight="1" x14ac:dyDescent="0.35">
      <c r="A111" s="55" t="str">
        <f>Matrix!A93</f>
        <v>Multiple Sclerosis</v>
      </c>
      <c r="B111" s="57">
        <f>Matrix!D93</f>
        <v>0</v>
      </c>
      <c r="C111" s="55" t="str">
        <f>Matrix!E93</f>
        <v>RED</v>
      </c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22" customHeight="1" x14ac:dyDescent="0.35">
      <c r="A112" s="55" t="str">
        <f>Matrix!A94</f>
        <v>Sexual Harassment Awareness</v>
      </c>
      <c r="B112" s="57">
        <f>Matrix!D94</f>
        <v>0</v>
      </c>
      <c r="C112" s="55" t="str">
        <f>Matrix!E94</f>
        <v>RED</v>
      </c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22" customHeight="1" x14ac:dyDescent="0.35">
      <c r="A113" s="55" t="str">
        <f>Matrix!A95</f>
        <v>Information Governance</v>
      </c>
      <c r="B113" s="57">
        <f>Matrix!D95</f>
        <v>8.3333333333333329E-2</v>
      </c>
      <c r="C113" s="55" t="str">
        <f>Matrix!E95</f>
        <v>RED</v>
      </c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22" customHeight="1" x14ac:dyDescent="0.35">
      <c r="A114" s="55" t="str">
        <f>Matrix!A96</f>
        <v>Legionnaires Disease</v>
      </c>
      <c r="B114" s="57">
        <f>Matrix!D96</f>
        <v>0</v>
      </c>
      <c r="C114" s="55" t="str">
        <f>Matrix!E96</f>
        <v>RED</v>
      </c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22" customHeight="1" x14ac:dyDescent="0.35">
      <c r="A115" s="55" t="str">
        <f>Matrix!A97</f>
        <v>Lone Working</v>
      </c>
      <c r="B115" s="57">
        <f>Matrix!D97</f>
        <v>0</v>
      </c>
      <c r="C115" s="55" t="str">
        <f>Matrix!E97</f>
        <v>RED</v>
      </c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22" customHeight="1" x14ac:dyDescent="0.35">
      <c r="A116" s="55" t="str">
        <f>Matrix!A98</f>
        <v>Mental Health</v>
      </c>
      <c r="B116" s="57">
        <f>Matrix!D98</f>
        <v>8.3333333333333329E-2</v>
      </c>
      <c r="C116" s="55" t="str">
        <f>Matrix!E98</f>
        <v>RED</v>
      </c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22" customHeight="1" x14ac:dyDescent="0.35">
      <c r="A117" s="55" t="str">
        <f>Matrix!A99</f>
        <v>LGBTQ+ Aware for Care</v>
      </c>
      <c r="B117" s="57">
        <f>Matrix!D99</f>
        <v>0</v>
      </c>
      <c r="C117" s="55" t="str">
        <f>Matrix!E99</f>
        <v>RED</v>
      </c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22" customHeight="1" x14ac:dyDescent="0.35">
      <c r="A118" s="55" t="str">
        <f>Matrix!A100</f>
        <v>Epilepsy Awareness</v>
      </c>
      <c r="B118" s="57">
        <f>Matrix!D100</f>
        <v>0</v>
      </c>
      <c r="C118" s="55" t="str">
        <f>Matrix!E100</f>
        <v>RED</v>
      </c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22" customHeight="1" x14ac:dyDescent="0.35">
      <c r="A119" s="55" t="str">
        <f>Matrix!A101</f>
        <v>Emergency First Aid Awareness</v>
      </c>
      <c r="B119" s="57">
        <f>Matrix!D101</f>
        <v>8.3333333333333329E-2</v>
      </c>
      <c r="C119" s="55" t="str">
        <f>Matrix!E101</f>
        <v>RED</v>
      </c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22" customHeight="1" x14ac:dyDescent="0.35">
      <c r="A120" s="52" t="str">
        <f>Matrix!A102</f>
        <v>Epilepsy Level 3</v>
      </c>
      <c r="B120" s="58">
        <f>Matrix!D102</f>
        <v>0</v>
      </c>
      <c r="C120" s="52" t="str">
        <f>Matrix!E102</f>
        <v>RED</v>
      </c>
      <c r="D120" s="59"/>
      <c r="E120" s="59"/>
      <c r="F120" s="59"/>
      <c r="G120" s="59"/>
      <c r="H120" s="59"/>
      <c r="I120" s="59"/>
      <c r="J120" s="59"/>
      <c r="K120" s="59"/>
      <c r="L120" s="59"/>
    </row>
    <row r="121" spans="1:12" ht="22" customHeight="1" x14ac:dyDescent="0.35">
      <c r="A121" s="55" t="str">
        <f>Matrix!A103</f>
        <v>SALT (Speech And Language Therapy)</v>
      </c>
      <c r="B121" s="57">
        <f>Matrix!D103</f>
        <v>0</v>
      </c>
      <c r="C121" s="55" t="str">
        <f>Matrix!E103</f>
        <v>RED</v>
      </c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22" customHeight="1" x14ac:dyDescent="0.35">
      <c r="A122" s="55" t="str">
        <f>Matrix!A104</f>
        <v>Sensory Impairment Awareness</v>
      </c>
      <c r="B122" s="57">
        <f>Matrix!D104</f>
        <v>0</v>
      </c>
      <c r="C122" s="55" t="str">
        <f>Matrix!E104</f>
        <v>RED</v>
      </c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22" customHeight="1" x14ac:dyDescent="0.35">
      <c r="A123" s="55" t="str">
        <f>Matrix!A105</f>
        <v>FGM Awareness</v>
      </c>
      <c r="B123" s="57">
        <f>Matrix!D105</f>
        <v>0</v>
      </c>
      <c r="C123" s="55" t="str">
        <f>Matrix!E105</f>
        <v>RED</v>
      </c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22" customHeight="1" x14ac:dyDescent="0.35">
      <c r="A124" s="55" t="str">
        <f>Matrix!A106</f>
        <v>Social Media and Online Privacy</v>
      </c>
      <c r="B124" s="57">
        <f>Matrix!D106</f>
        <v>0</v>
      </c>
      <c r="C124" s="55" t="str">
        <f>Matrix!E106</f>
        <v>RED</v>
      </c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22" customHeight="1" x14ac:dyDescent="0.35">
      <c r="A125" s="55" t="str">
        <f>Matrix!A107</f>
        <v>Stress Awareness</v>
      </c>
      <c r="B125" s="57">
        <f>Matrix!D107</f>
        <v>0</v>
      </c>
      <c r="C125" s="55" t="str">
        <f>Matrix!E107</f>
        <v>RED</v>
      </c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22" customHeight="1" x14ac:dyDescent="0.35">
      <c r="A126" s="55" t="str">
        <f>Matrix!A108</f>
        <v>Stoma Care Awareness</v>
      </c>
      <c r="B126" s="57">
        <f>Matrix!D108</f>
        <v>0</v>
      </c>
      <c r="C126" s="55" t="str">
        <f>Matrix!E108</f>
        <v>RED</v>
      </c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22" customHeight="1" x14ac:dyDescent="0.35">
      <c r="A127" s="55" t="str">
        <f>Matrix!A109</f>
        <v>Allergen Awareness</v>
      </c>
      <c r="B127" s="57">
        <f>Matrix!D109</f>
        <v>8.3333333333333329E-2</v>
      </c>
      <c r="C127" s="55" t="str">
        <f>Matrix!E109</f>
        <v>RED</v>
      </c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22" customHeight="1" x14ac:dyDescent="0.35">
      <c r="A128" s="55" t="str">
        <f>Matrix!A110</f>
        <v>Concussion Awareness</v>
      </c>
      <c r="B128" s="57">
        <f>Matrix!D110</f>
        <v>0</v>
      </c>
      <c r="C128" s="55" t="str">
        <f>Matrix!E110</f>
        <v>RED</v>
      </c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22" customHeight="1" x14ac:dyDescent="0.35">
      <c r="A129" s="55" t="str">
        <f>Matrix!A111</f>
        <v>Coronavirus Awareness and Infection Control</v>
      </c>
      <c r="B129" s="57">
        <f>Matrix!D111</f>
        <v>0</v>
      </c>
      <c r="C129" s="55" t="str">
        <f>Matrix!E111</f>
        <v>RED</v>
      </c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22" customHeight="1" x14ac:dyDescent="0.35">
      <c r="A130" s="52" t="str">
        <f>Matrix!A112</f>
        <v>Disability Awareness</v>
      </c>
      <c r="B130" s="58">
        <f>Matrix!D112</f>
        <v>0</v>
      </c>
      <c r="C130" s="52" t="str">
        <f>Matrix!E112</f>
        <v>RED</v>
      </c>
      <c r="D130" s="59"/>
      <c r="E130" s="59"/>
      <c r="F130" s="59"/>
      <c r="G130" s="59"/>
      <c r="H130" s="59"/>
      <c r="I130" s="59"/>
      <c r="J130" s="59"/>
      <c r="K130" s="59"/>
      <c r="L130" s="59"/>
    </row>
    <row r="131" spans="1:12" ht="22" customHeight="1" x14ac:dyDescent="0.35">
      <c r="A131" s="55" t="str">
        <f>Matrix!A113</f>
        <v>Information Governance and Data Security</v>
      </c>
      <c r="B131" s="57">
        <f>Matrix!D113</f>
        <v>8.3333333333333329E-2</v>
      </c>
      <c r="C131" s="55" t="str">
        <f>Matrix!E113</f>
        <v>RED</v>
      </c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22" customHeight="1" x14ac:dyDescent="0.35">
      <c r="A132" s="55" t="str">
        <f>Matrix!A114</f>
        <v>Internet Safety Awareness</v>
      </c>
      <c r="B132" s="57">
        <f>Matrix!D114</f>
        <v>0</v>
      </c>
      <c r="C132" s="55" t="str">
        <f>Matrix!E114</f>
        <v>RED</v>
      </c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22" customHeight="1" x14ac:dyDescent="0.35">
      <c r="A133" s="55" t="str">
        <f>Matrix!A115</f>
        <v>Interview Skills</v>
      </c>
      <c r="B133" s="57">
        <f>Matrix!D115</f>
        <v>0</v>
      </c>
      <c r="C133" s="55" t="str">
        <f>Matrix!E115</f>
        <v>RED</v>
      </c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22" customHeight="1" x14ac:dyDescent="0.35">
      <c r="A134" s="55" t="str">
        <f>Matrix!A116</f>
        <v>Introduction to Sepsis</v>
      </c>
      <c r="B134" s="57">
        <f>Matrix!D116</f>
        <v>8.3333333333333329E-2</v>
      </c>
      <c r="C134" s="55" t="str">
        <f>Matrix!E116</f>
        <v>RED</v>
      </c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22" customHeight="1" x14ac:dyDescent="0.35">
      <c r="A135" s="55" t="str">
        <f>Matrix!A117</f>
        <v>Managing People Awareness</v>
      </c>
      <c r="B135" s="57">
        <f>Matrix!D117</f>
        <v>0</v>
      </c>
      <c r="C135" s="55" t="str">
        <f>Matrix!E117</f>
        <v>RED</v>
      </c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22" customHeight="1" x14ac:dyDescent="0.35">
      <c r="A136" s="55" t="str">
        <f>Matrix!A118</f>
        <v>Moving and Handling of People Awareness Level 2</v>
      </c>
      <c r="B136" s="57">
        <f>Matrix!D118</f>
        <v>0</v>
      </c>
      <c r="C136" s="55" t="str">
        <f>Matrix!E118</f>
        <v>RED</v>
      </c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22" customHeight="1" x14ac:dyDescent="0.35">
      <c r="A137" s="55" t="str">
        <f>Matrix!A119</f>
        <v>Multiple Sclerosis (MS)</v>
      </c>
      <c r="B137" s="57">
        <f>Matrix!D119</f>
        <v>0</v>
      </c>
      <c r="C137" s="55" t="str">
        <f>Matrix!E119</f>
        <v>RED</v>
      </c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22" customHeight="1" x14ac:dyDescent="0.35">
      <c r="A138" s="55" t="str">
        <f>Matrix!A120</f>
        <v>Palliative and End of Life Care</v>
      </c>
      <c r="B138" s="57">
        <f>Matrix!D120</f>
        <v>8.3333333333333329E-2</v>
      </c>
      <c r="C138" s="55" t="str">
        <f>Matrix!E120</f>
        <v>RED</v>
      </c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22" customHeight="1" x14ac:dyDescent="0.35">
      <c r="A139" s="55" t="str">
        <f>Matrix!A121</f>
        <v>Safeguarding of Adults Level 3 CSTF Aligned</v>
      </c>
      <c r="B139" s="57">
        <f>Matrix!D121</f>
        <v>8.3333333333333329E-2</v>
      </c>
      <c r="C139" s="55" t="str">
        <f>Matrix!E121</f>
        <v>RED</v>
      </c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22" customHeight="1" x14ac:dyDescent="0.35">
      <c r="A140" s="52" t="str">
        <f>Matrix!A122</f>
        <v>Bowel Care and Management</v>
      </c>
      <c r="B140" s="58">
        <f>Matrix!D122</f>
        <v>0.5</v>
      </c>
      <c r="C140" s="52" t="str">
        <f>Matrix!E122</f>
        <v>RED</v>
      </c>
      <c r="D140" s="59"/>
      <c r="E140" s="59"/>
      <c r="F140" s="59"/>
      <c r="G140" s="59"/>
      <c r="H140" s="59"/>
      <c r="I140" s="59"/>
      <c r="J140" s="59"/>
      <c r="K140" s="59"/>
      <c r="L140" s="59"/>
    </row>
    <row r="141" spans="1:12" ht="22" customHeight="1" x14ac:dyDescent="0.35">
      <c r="A141" s="55" t="str">
        <f>Matrix!A123</f>
        <v>Fluids and Nutrition</v>
      </c>
      <c r="B141" s="57">
        <f>Matrix!D123</f>
        <v>0.58333333333333337</v>
      </c>
      <c r="C141" s="55" t="str">
        <f>Matrix!E123</f>
        <v>RED</v>
      </c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22" customHeight="1" x14ac:dyDescent="0.35">
      <c r="A142" s="55" t="str">
        <f>Matrix!A124</f>
        <v>Fire Marshal / Fire Warden</v>
      </c>
      <c r="B142" s="57">
        <f>Matrix!D124</f>
        <v>0.91666666666666663</v>
      </c>
      <c r="C142" s="55" t="str">
        <f>Matrix!E124</f>
        <v>GREEN</v>
      </c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22" customHeight="1" x14ac:dyDescent="0.35">
      <c r="A143" s="55" t="str">
        <f>Matrix!A125</f>
        <v>UK GDPR and Information Sharing</v>
      </c>
      <c r="B143" s="57">
        <f>Matrix!D125</f>
        <v>0.41666666666666669</v>
      </c>
      <c r="C143" s="55" t="str">
        <f>Matrix!E125</f>
        <v>RED</v>
      </c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22" customHeight="1" x14ac:dyDescent="0.35">
      <c r="A144" s="55" t="str">
        <f>Matrix!A126</f>
        <v>Working in Person Centred Way</v>
      </c>
      <c r="B144" s="57">
        <f>Matrix!D126</f>
        <v>0.5</v>
      </c>
      <c r="C144" s="55" t="str">
        <f>Matrix!E126</f>
        <v>RED</v>
      </c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22" customHeight="1" x14ac:dyDescent="0.35">
      <c r="A145" s="55" t="str">
        <f>Matrix!A127</f>
        <v>Food Hygiene in Care</v>
      </c>
      <c r="B145" s="57">
        <f>Matrix!D127</f>
        <v>8.3333333333333329E-2</v>
      </c>
      <c r="C145" s="55" t="str">
        <f>Matrix!E127</f>
        <v>RED</v>
      </c>
      <c r="D145" s="1"/>
      <c r="E145" s="1"/>
      <c r="F145" s="1"/>
      <c r="G145" s="1"/>
      <c r="H145" s="1"/>
      <c r="I145" s="1"/>
      <c r="J145" s="1"/>
      <c r="K145" s="1"/>
      <c r="L145" s="1"/>
    </row>
  </sheetData>
  <mergeCells count="1">
    <mergeCell ref="A1:L2"/>
  </mergeCells>
  <conditionalFormatting sqref="C37:C145">
    <cfRule type="expression" dxfId="451" priority="4">
      <formula>C37="GREEN"</formula>
    </cfRule>
    <cfRule type="expression" dxfId="450" priority="5">
      <formula>C37="AMBER"</formula>
    </cfRule>
    <cfRule type="expression" dxfId="449" priority="6">
      <formula>C37="RED"</formula>
    </cfRule>
  </conditionalFormatting>
  <conditionalFormatting sqref="E20:E31">
    <cfRule type="expression" dxfId="448" priority="1">
      <formula>E20="GREEN"</formula>
    </cfRule>
    <cfRule type="expression" dxfId="447" priority="2">
      <formula>E20="AMBER"</formula>
    </cfRule>
    <cfRule type="expression" dxfId="446" priority="3">
      <formula>E20="RED"</formula>
    </cfRule>
  </conditionalFormatting>
  <conditionalFormatting sqref="G10">
    <cfRule type="expression" dxfId="445" priority="7">
      <formula>G10="GREEN"</formula>
    </cfRule>
    <cfRule type="expression" dxfId="444" priority="8">
      <formula>G10="AMBER"</formula>
    </cfRule>
    <cfRule type="expression" dxfId="443" priority="9">
      <formula>G10="RED"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showGridLines="0" workbookViewId="0"/>
  </sheetViews>
  <sheetFormatPr defaultRowHeight="14.5" x14ac:dyDescent="0.35"/>
  <cols>
    <col min="1" max="1" width="24" customWidth="1"/>
    <col min="2" max="2" width="18" customWidth="1"/>
    <col min="3" max="3" width="20" customWidth="1"/>
    <col min="4" max="6" width="18" customWidth="1"/>
    <col min="7" max="7" width="20" customWidth="1"/>
    <col min="8" max="8" width="18" customWidth="1"/>
  </cols>
  <sheetData>
    <row r="1" spans="1:8" ht="34" customHeight="1" x14ac:dyDescent="0.35">
      <c r="A1" s="139" t="s">
        <v>36</v>
      </c>
      <c r="B1" s="137"/>
      <c r="C1" s="137"/>
      <c r="D1" s="137"/>
      <c r="E1" s="137"/>
      <c r="F1" s="137"/>
      <c r="G1" s="137"/>
      <c r="H1" s="138"/>
    </row>
    <row r="2" spans="1:8" ht="22" customHeight="1" x14ac:dyDescent="0.35">
      <c r="A2" s="55" t="s">
        <v>37</v>
      </c>
      <c r="B2" s="50"/>
      <c r="C2" s="50"/>
      <c r="D2" s="50"/>
      <c r="E2" s="50"/>
      <c r="F2" s="50"/>
      <c r="G2" s="50"/>
      <c r="H2" s="50"/>
    </row>
    <row r="3" spans="1:8" ht="22" customHeight="1" x14ac:dyDescent="0.35">
      <c r="A3" s="50"/>
      <c r="B3" s="50"/>
      <c r="C3" s="50"/>
      <c r="D3" s="50"/>
      <c r="E3" s="50"/>
      <c r="F3" s="50"/>
      <c r="G3" s="50"/>
      <c r="H3" s="50"/>
    </row>
    <row r="4" spans="1:8" ht="22" customHeight="1" x14ac:dyDescent="0.35">
      <c r="A4" s="52" t="s">
        <v>38</v>
      </c>
      <c r="B4" s="52" t="s">
        <v>39</v>
      </c>
      <c r="C4" s="52" t="s">
        <v>40</v>
      </c>
      <c r="D4" s="52" t="s">
        <v>41</v>
      </c>
      <c r="E4" s="52" t="s">
        <v>42</v>
      </c>
      <c r="F4" s="52" t="s">
        <v>5</v>
      </c>
      <c r="G4" s="52" t="s">
        <v>6</v>
      </c>
      <c r="H4" s="52" t="s">
        <v>43</v>
      </c>
    </row>
    <row r="5" spans="1:8" ht="22" customHeight="1" x14ac:dyDescent="0.35">
      <c r="A5" s="55" t="s">
        <v>44</v>
      </c>
      <c r="B5" s="55">
        <f>COUNTIF('Recruitment Matrix'!A5:A29,"?*")</f>
        <v>0</v>
      </c>
      <c r="C5" s="55">
        <f>COUNTIF('Recruitment Matrix'!Q5:Q29,"Yes")</f>
        <v>0</v>
      </c>
      <c r="D5" s="55">
        <f>COUNTIF('Recruitment Matrix'!Q5:Q29,"In Progress")</f>
        <v>0</v>
      </c>
      <c r="E5" s="55">
        <f>COUNTIF('Recruitment Matrix'!U5:U29,"Red")</f>
        <v>0</v>
      </c>
      <c r="F5" s="122">
        <f>IFERROR(C5/B5,0)</f>
        <v>0</v>
      </c>
      <c r="G5" s="55" t="str">
        <f t="shared" ref="G5:G13" si="0">IF(F5&gt;=0.9,"Green",IF(F5&gt;=0.75,"Amber","Red"))</f>
        <v>Red</v>
      </c>
      <c r="H5" s="67" t="s">
        <v>45</v>
      </c>
    </row>
    <row r="6" spans="1:8" ht="22" customHeight="1" x14ac:dyDescent="0.35">
      <c r="A6" s="52" t="s">
        <v>46</v>
      </c>
      <c r="B6" s="52">
        <f>COUNTIF('Induction Employee Register'!E4:E28,"Active")</f>
        <v>25</v>
      </c>
      <c r="C6" s="52">
        <f>COUNTIF('Induction Employee Register'!Q4:Q28,"Green")</f>
        <v>0</v>
      </c>
      <c r="D6" s="52">
        <f>COUNTIF('Induction Employee Register'!Q4:Q28,"Amber")</f>
        <v>0</v>
      </c>
      <c r="E6" s="52">
        <f>COUNTIF('Induction Employee Register'!Q4:Q28,"Red")</f>
        <v>25</v>
      </c>
      <c r="F6" s="123">
        <f>IFERROR(AVERAGEIF('Induction Employee Register'!E4:E28,"Active",'Induction Employee Register'!I4:I28),0)</f>
        <v>0</v>
      </c>
      <c r="G6" s="52" t="str">
        <f t="shared" si="0"/>
        <v>Red</v>
      </c>
      <c r="H6" s="68" t="s">
        <v>47</v>
      </c>
    </row>
    <row r="7" spans="1:8" ht="22" customHeight="1" x14ac:dyDescent="0.35">
      <c r="A7" s="55" t="s">
        <v>48</v>
      </c>
      <c r="B7" s="55">
        <f>COUNTIF('Induction Employee Register'!E4:E28,"Active")</f>
        <v>25</v>
      </c>
      <c r="C7" s="55">
        <f>COUNTIF('Induction Employee Register'!Q4:Q28,"Green")</f>
        <v>0</v>
      </c>
      <c r="D7" s="55">
        <f>COUNTIF('Induction Employee Register'!Q4:Q28,"Amber")</f>
        <v>0</v>
      </c>
      <c r="E7" s="55">
        <f>COUNTIF('Induction Employee Register'!Q4:Q28,"Red")</f>
        <v>25</v>
      </c>
      <c r="F7" s="122">
        <f>IFERROR(AVERAGEIF('Induction Employee Register'!E4:E28,"Active",'Induction Employee Register'!H4:H28),0)</f>
        <v>0</v>
      </c>
      <c r="G7" s="55" t="str">
        <f t="shared" si="0"/>
        <v>Red</v>
      </c>
      <c r="H7" s="67" t="s">
        <v>49</v>
      </c>
    </row>
    <row r="8" spans="1:8" ht="22" customHeight="1" x14ac:dyDescent="0.35">
      <c r="A8" s="55" t="s">
        <v>50</v>
      </c>
      <c r="B8" s="55">
        <f>COUNTIF('Induction Employee Register'!E4:E28,"Active")</f>
        <v>25</v>
      </c>
      <c r="C8" s="55">
        <f>COUNTIF('Induction Employee Register'!L4:L28,"Green")</f>
        <v>0</v>
      </c>
      <c r="D8" s="55">
        <f>COUNTIF('Induction Employee Register'!L4:L28,"Amber")</f>
        <v>0</v>
      </c>
      <c r="E8" s="55">
        <f>COUNTIF('Induction Employee Register'!L4:L28,"Red")</f>
        <v>0</v>
      </c>
      <c r="F8" s="122">
        <f>IFERROR(C8/B8,0)</f>
        <v>0</v>
      </c>
      <c r="G8" s="55" t="str">
        <f t="shared" si="0"/>
        <v>Red</v>
      </c>
      <c r="H8" s="67" t="s">
        <v>51</v>
      </c>
    </row>
    <row r="9" spans="1:8" ht="22" customHeight="1" x14ac:dyDescent="0.35">
      <c r="A9" s="52" t="s">
        <v>52</v>
      </c>
      <c r="B9" s="52">
        <f>COUNTIF('Induction Employee Register'!E4:E28,"Active")</f>
        <v>25</v>
      </c>
      <c r="C9" s="52">
        <f>COUNTIF('Induction Employee Register'!M4:M28,"Green")</f>
        <v>0</v>
      </c>
      <c r="D9" s="52">
        <f>COUNTIF('Induction Employee Register'!M4:M28,"Amber")</f>
        <v>0</v>
      </c>
      <c r="E9" s="52">
        <f>COUNTIF('Induction Employee Register'!M4:M28,"Red")</f>
        <v>0</v>
      </c>
      <c r="F9" s="123">
        <f>IFERROR(C9/B9,0)</f>
        <v>0</v>
      </c>
      <c r="G9" s="52" t="str">
        <f t="shared" si="0"/>
        <v>Red</v>
      </c>
      <c r="H9" s="68" t="s">
        <v>53</v>
      </c>
    </row>
    <row r="10" spans="1:8" ht="22" customHeight="1" x14ac:dyDescent="0.35">
      <c r="A10" s="55" t="s">
        <v>54</v>
      </c>
      <c r="B10" s="55">
        <f>COUNTIF('Induction Employee Register'!E4:E28,"Active")</f>
        <v>25</v>
      </c>
      <c r="C10" s="55">
        <f>COUNTIF('Induction Employee Register'!N4:N28,"Green")</f>
        <v>0</v>
      </c>
      <c r="D10" s="55">
        <f>COUNTIF('Induction Employee Register'!N4:N28,"Amber")</f>
        <v>0</v>
      </c>
      <c r="E10" s="55">
        <f>COUNTIF('Induction Employee Register'!N4:N28,"Red")</f>
        <v>0</v>
      </c>
      <c r="F10" s="122">
        <f>IFERROR(C10/B10,0)</f>
        <v>0</v>
      </c>
      <c r="G10" s="55" t="str">
        <f t="shared" si="0"/>
        <v>Red</v>
      </c>
      <c r="H10" s="67" t="s">
        <v>55</v>
      </c>
    </row>
    <row r="11" spans="1:8" ht="22" customHeight="1" x14ac:dyDescent="0.35">
      <c r="A11" s="55" t="s">
        <v>56</v>
      </c>
      <c r="B11" s="55">
        <f>COUNTIF('Induction Employee Register'!W4:W28,"Yes")</f>
        <v>0</v>
      </c>
      <c r="C11" s="55">
        <f>COUNTIFS('Induction Employee Register'!W4:W28,"Yes",'Induction Employee Register'!Y4:Y28,"Yes")</f>
        <v>0</v>
      </c>
      <c r="D11" s="55">
        <f>COUNTIFS('Induction Employee Register'!W4:W28,"Yes",'Induction Employee Register'!Y4:Y28,"No")</f>
        <v>0</v>
      </c>
      <c r="E11" s="55">
        <f>COUNTIFS('Induction Employee Register'!W4:W28,"Yes",'Induction Employee Register'!Y4:Y28,"No")</f>
        <v>0</v>
      </c>
      <c r="F11" s="122">
        <f>IFERROR(C11/B11,1)</f>
        <v>1</v>
      </c>
      <c r="G11" s="55" t="str">
        <f t="shared" si="0"/>
        <v>Green</v>
      </c>
      <c r="H11" s="67" t="s">
        <v>57</v>
      </c>
    </row>
    <row r="12" spans="1:8" ht="22" customHeight="1" x14ac:dyDescent="0.35">
      <c r="A12" s="52" t="s">
        <v>58</v>
      </c>
      <c r="B12" s="52">
        <f>COUNTIF('Induction Employee Register'!E4:E28,"Active")</f>
        <v>25</v>
      </c>
      <c r="C12" s="52">
        <f>COUNTIF('Induction Employee Register'!Q4:Q28,"Green")</f>
        <v>0</v>
      </c>
      <c r="D12" s="52">
        <f>COUNTIF('Induction Employee Register'!Q4:Q28,"Amber")</f>
        <v>0</v>
      </c>
      <c r="E12" s="52">
        <f>COUNTIF('Induction Employee Register'!Q4:Q28,"Red")</f>
        <v>25</v>
      </c>
      <c r="F12" s="123">
        <f>IFERROR(AVERAGEIF('Induction Employee Register'!E4:E28,"Active",'Induction Employee Register'!K4:K28),0)</f>
        <v>0</v>
      </c>
      <c r="G12" s="52" t="str">
        <f t="shared" si="0"/>
        <v>Red</v>
      </c>
      <c r="H12" s="68" t="s">
        <v>59</v>
      </c>
    </row>
    <row r="13" spans="1:8" ht="22" customHeight="1" x14ac:dyDescent="0.35">
      <c r="A13" s="55" t="s">
        <v>60</v>
      </c>
      <c r="B13" s="55">
        <f>SUM(B5:B12)</f>
        <v>150</v>
      </c>
      <c r="C13" s="55">
        <f>SUM(C5:C12)</f>
        <v>0</v>
      </c>
      <c r="D13" s="55">
        <f>SUM(D5:D12)</f>
        <v>0</v>
      </c>
      <c r="E13" s="55">
        <f>SUM(E5:E12)</f>
        <v>75</v>
      </c>
      <c r="F13" s="122">
        <f>IFERROR(AVERAGE(F5:F12),0)</f>
        <v>0.125</v>
      </c>
      <c r="G13" s="55" t="str">
        <f t="shared" si="0"/>
        <v>Red</v>
      </c>
      <c r="H13" s="67" t="s">
        <v>61</v>
      </c>
    </row>
    <row r="16" spans="1:8" x14ac:dyDescent="0.35">
      <c r="A16" s="69" t="s">
        <v>62</v>
      </c>
    </row>
    <row r="17" spans="1:2" x14ac:dyDescent="0.35">
      <c r="A17" s="70" t="s">
        <v>63</v>
      </c>
      <c r="B17" s="70" t="s">
        <v>64</v>
      </c>
    </row>
    <row r="18" spans="1:2" x14ac:dyDescent="0.35">
      <c r="A18" s="70" t="s">
        <v>65</v>
      </c>
      <c r="B18" s="70" t="s">
        <v>64</v>
      </c>
    </row>
    <row r="19" spans="1:2" x14ac:dyDescent="0.35">
      <c r="A19" s="70" t="s">
        <v>66</v>
      </c>
      <c r="B19" s="70" t="s">
        <v>64</v>
      </c>
    </row>
    <row r="20" spans="1:2" x14ac:dyDescent="0.35">
      <c r="A20" s="70" t="s">
        <v>67</v>
      </c>
      <c r="B20" s="70" t="s">
        <v>64</v>
      </c>
    </row>
    <row r="21" spans="1:2" x14ac:dyDescent="0.35">
      <c r="A21" s="70" t="s">
        <v>68</v>
      </c>
      <c r="B21" s="70" t="s">
        <v>64</v>
      </c>
    </row>
    <row r="22" spans="1:2" x14ac:dyDescent="0.35">
      <c r="A22" s="70" t="s">
        <v>69</v>
      </c>
      <c r="B22" s="70" t="s">
        <v>64</v>
      </c>
    </row>
    <row r="23" spans="1:2" x14ac:dyDescent="0.35">
      <c r="A23" s="70" t="s">
        <v>70</v>
      </c>
      <c r="B23" s="70" t="s">
        <v>64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/>
  </sheetViews>
  <sheetFormatPr defaultRowHeight="14.5" x14ac:dyDescent="0.35"/>
  <cols>
    <col min="1" max="1" width="26" customWidth="1"/>
    <col min="2" max="2" width="15" customWidth="1"/>
    <col min="3" max="3" width="13" customWidth="1"/>
    <col min="4" max="4" width="12" customWidth="1"/>
    <col min="5" max="5" width="22" customWidth="1"/>
    <col min="6" max="6" width="44" customWidth="1"/>
    <col min="7" max="7" width="18" customWidth="1"/>
    <col min="8" max="8" width="30" customWidth="1"/>
  </cols>
  <sheetData>
    <row r="1" spans="1:8" ht="18.5" customHeight="1" x14ac:dyDescent="0.35">
      <c r="A1" s="145" t="s">
        <v>71</v>
      </c>
      <c r="B1" s="131"/>
      <c r="C1" s="131"/>
      <c r="D1" s="131"/>
      <c r="E1" s="131"/>
      <c r="F1" s="131"/>
      <c r="G1" s="131"/>
      <c r="H1" s="132"/>
    </row>
    <row r="2" spans="1:8" x14ac:dyDescent="0.35">
      <c r="A2" s="105"/>
      <c r="B2" s="105"/>
      <c r="C2" s="105"/>
      <c r="D2" s="105"/>
      <c r="E2" s="105"/>
      <c r="F2" s="105"/>
      <c r="G2" s="105"/>
      <c r="H2" s="105"/>
    </row>
    <row r="3" spans="1:8" ht="29" x14ac:dyDescent="0.35">
      <c r="A3" s="106" t="s">
        <v>72</v>
      </c>
      <c r="B3" s="106" t="s">
        <v>73</v>
      </c>
      <c r="C3" s="106" t="s">
        <v>74</v>
      </c>
      <c r="D3" s="106" t="s">
        <v>75</v>
      </c>
      <c r="E3" s="106" t="s">
        <v>76</v>
      </c>
      <c r="F3" s="106" t="s">
        <v>77</v>
      </c>
      <c r="G3" s="106" t="s">
        <v>78</v>
      </c>
      <c r="H3" s="106" t="s">
        <v>43</v>
      </c>
    </row>
    <row r="4" spans="1:8" ht="43.5" customHeight="1" x14ac:dyDescent="0.35">
      <c r="A4" s="105" t="s">
        <v>63</v>
      </c>
      <c r="B4" s="105" t="s">
        <v>79</v>
      </c>
      <c r="C4" s="105" t="s">
        <v>80</v>
      </c>
      <c r="D4" s="105" t="s">
        <v>81</v>
      </c>
      <c r="E4" s="105" t="s">
        <v>82</v>
      </c>
      <c r="F4" s="105" t="s">
        <v>83</v>
      </c>
      <c r="G4" s="105">
        <v>39</v>
      </c>
      <c r="H4" s="105" t="s">
        <v>84</v>
      </c>
    </row>
    <row r="5" spans="1:8" ht="43.5" customHeight="1" x14ac:dyDescent="0.35">
      <c r="A5" s="105" t="s">
        <v>65</v>
      </c>
      <c r="B5" s="105" t="s">
        <v>85</v>
      </c>
      <c r="C5" s="105" t="s">
        <v>80</v>
      </c>
      <c r="D5" s="105" t="s">
        <v>81</v>
      </c>
      <c r="E5" s="105" t="s">
        <v>82</v>
      </c>
      <c r="F5" s="105" t="s">
        <v>86</v>
      </c>
      <c r="G5" s="105">
        <v>35</v>
      </c>
      <c r="H5" s="105" t="s">
        <v>84</v>
      </c>
    </row>
    <row r="6" spans="1:8" ht="43.5" customHeight="1" x14ac:dyDescent="0.35">
      <c r="A6" s="105" t="s">
        <v>66</v>
      </c>
      <c r="B6" s="105" t="s">
        <v>79</v>
      </c>
      <c r="C6" s="105" t="s">
        <v>80</v>
      </c>
      <c r="D6" s="105" t="s">
        <v>81</v>
      </c>
      <c r="E6" s="105" t="s">
        <v>82</v>
      </c>
      <c r="F6" s="105" t="s">
        <v>83</v>
      </c>
      <c r="G6" s="105">
        <v>29</v>
      </c>
      <c r="H6" s="105" t="s">
        <v>84</v>
      </c>
    </row>
    <row r="7" spans="1:8" ht="43.5" customHeight="1" x14ac:dyDescent="0.35">
      <c r="A7" s="105" t="s">
        <v>87</v>
      </c>
      <c r="B7" s="105" t="s">
        <v>79</v>
      </c>
      <c r="C7" s="105" t="s">
        <v>80</v>
      </c>
      <c r="D7" s="105" t="s">
        <v>81</v>
      </c>
      <c r="E7" s="105" t="s">
        <v>82</v>
      </c>
      <c r="F7" s="105" t="s">
        <v>83</v>
      </c>
      <c r="G7" s="105">
        <v>29</v>
      </c>
      <c r="H7" s="105" t="s">
        <v>84</v>
      </c>
    </row>
    <row r="8" spans="1:8" ht="43.5" customHeight="1" x14ac:dyDescent="0.35">
      <c r="A8" s="105" t="s">
        <v>67</v>
      </c>
      <c r="B8" s="105" t="s">
        <v>79</v>
      </c>
      <c r="C8" s="105" t="s">
        <v>80</v>
      </c>
      <c r="D8" s="105" t="s">
        <v>81</v>
      </c>
      <c r="E8" s="105" t="s">
        <v>82</v>
      </c>
      <c r="F8" s="105" t="s">
        <v>83</v>
      </c>
      <c r="G8" s="105">
        <v>27</v>
      </c>
      <c r="H8" s="105" t="s">
        <v>84</v>
      </c>
    </row>
    <row r="9" spans="1:8" ht="43.5" customHeight="1" x14ac:dyDescent="0.35">
      <c r="A9" s="105" t="s">
        <v>68</v>
      </c>
      <c r="B9" s="105" t="s">
        <v>79</v>
      </c>
      <c r="C9" s="105" t="s">
        <v>80</v>
      </c>
      <c r="D9" s="105" t="s">
        <v>81</v>
      </c>
      <c r="E9" s="105" t="s">
        <v>82</v>
      </c>
      <c r="F9" s="105" t="s">
        <v>83</v>
      </c>
      <c r="G9" s="105">
        <v>21</v>
      </c>
      <c r="H9" s="105" t="s">
        <v>84</v>
      </c>
    </row>
    <row r="10" spans="1:8" ht="43.5" customHeight="1" x14ac:dyDescent="0.35">
      <c r="A10" s="105" t="s">
        <v>69</v>
      </c>
      <c r="B10" s="105" t="s">
        <v>79</v>
      </c>
      <c r="C10" s="105" t="s">
        <v>80</v>
      </c>
      <c r="D10" s="105" t="s">
        <v>81</v>
      </c>
      <c r="E10" s="105" t="s">
        <v>82</v>
      </c>
      <c r="F10" s="105" t="s">
        <v>83</v>
      </c>
      <c r="G10" s="105">
        <v>21</v>
      </c>
      <c r="H10" s="105" t="s">
        <v>84</v>
      </c>
    </row>
    <row r="11" spans="1:8" ht="29" x14ac:dyDescent="0.35">
      <c r="A11" s="105" t="s">
        <v>70</v>
      </c>
      <c r="B11" s="105" t="s">
        <v>85</v>
      </c>
      <c r="C11" s="105" t="s">
        <v>80</v>
      </c>
      <c r="D11" s="105" t="s">
        <v>81</v>
      </c>
      <c r="E11" s="105" t="s">
        <v>82</v>
      </c>
      <c r="F11" s="105" t="s">
        <v>86</v>
      </c>
      <c r="G11" s="105">
        <v>19</v>
      </c>
      <c r="H11" s="105" t="s">
        <v>84</v>
      </c>
    </row>
    <row r="12" spans="1:8" ht="29" x14ac:dyDescent="0.35">
      <c r="A12" s="105" t="s">
        <v>88</v>
      </c>
      <c r="B12" s="105" t="s">
        <v>79</v>
      </c>
      <c r="C12" s="105" t="s">
        <v>80</v>
      </c>
      <c r="D12" s="105" t="s">
        <v>81</v>
      </c>
      <c r="E12" s="105" t="s">
        <v>82</v>
      </c>
      <c r="F12" s="105" t="s">
        <v>83</v>
      </c>
      <c r="G12" s="105">
        <v>19</v>
      </c>
      <c r="H12" s="105" t="s">
        <v>84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C18"/>
  <sheetViews>
    <sheetView workbookViewId="0"/>
  </sheetViews>
  <sheetFormatPr defaultColWidth="8.6328125" defaultRowHeight="14.5" x14ac:dyDescent="0.35"/>
  <cols>
    <col min="1" max="1" width="35" customWidth="1"/>
    <col min="2" max="2" width="28" customWidth="1"/>
    <col min="3" max="3" width="19" customWidth="1"/>
    <col min="4" max="4" width="35" customWidth="1"/>
    <col min="5" max="13" width="10" customWidth="1"/>
    <col min="14" max="14" width="10" hidden="1" customWidth="1"/>
    <col min="15" max="15" width="10" customWidth="1"/>
    <col min="16" max="16" width="10" hidden="1" customWidth="1"/>
    <col min="17" max="20" width="10" customWidth="1"/>
    <col min="66" max="66" width="13" hidden="1" customWidth="1"/>
    <col min="70" max="72" width="13" hidden="1" customWidth="1"/>
    <col min="74" max="77" width="13" hidden="1" customWidth="1"/>
    <col min="81" max="81" width="13" hidden="1" customWidth="1"/>
    <col min="83" max="83" width="13" hidden="1" customWidth="1"/>
    <col min="89" max="89" width="13" hidden="1" customWidth="1"/>
    <col min="91" max="91" width="13" hidden="1" customWidth="1"/>
    <col min="97" max="102" width="13" hidden="1" customWidth="1"/>
    <col min="104" max="104" width="13" hidden="1" customWidth="1"/>
  </cols>
  <sheetData>
    <row r="1" spans="1:107" ht="14.5" customHeight="1" x14ac:dyDescent="0.35">
      <c r="A1" s="146" t="s">
        <v>89</v>
      </c>
      <c r="B1" s="131"/>
      <c r="C1" s="131"/>
      <c r="D1" s="13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ht="6.4" customHeight="1" x14ac:dyDescent="0.35">
      <c r="A3" s="1" t="s">
        <v>90</v>
      </c>
      <c r="B3" s="1">
        <f>COUNTA(Matrix!$A$3:$A$14)</f>
        <v>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 ht="14.5" customHeight="1" x14ac:dyDescent="0.35">
      <c r="A5" s="4" t="s">
        <v>9</v>
      </c>
      <c r="B5" s="4" t="s">
        <v>11</v>
      </c>
      <c r="C5" s="4" t="s">
        <v>91</v>
      </c>
      <c r="D5" s="4" t="s">
        <v>43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5">
        <v>46155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5">
        <v>46157</v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5">
        <v>46155</v>
      </c>
    </row>
    <row r="6" spans="1:107" ht="12.9" customHeight="1" x14ac:dyDescent="0.35">
      <c r="A6" s="1" t="s">
        <v>92</v>
      </c>
      <c r="B6" s="3">
        <f>Matrix!AB$16</f>
        <v>0.83333333333333337</v>
      </c>
      <c r="C6" s="1" t="str">
        <f>Matrix!AB$17</f>
        <v>10/12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</row>
    <row r="7" spans="1:107" ht="12.9" customHeight="1" x14ac:dyDescent="0.35">
      <c r="A7" s="1" t="s">
        <v>93</v>
      </c>
      <c r="B7" s="3">
        <f>Matrix!BG$16</f>
        <v>0.16666666666666666</v>
      </c>
      <c r="C7" s="1" t="str">
        <f>Matrix!BG$17</f>
        <v>2/12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</row>
    <row r="8" spans="1:107" ht="12.9" customHeight="1" x14ac:dyDescent="0.35">
      <c r="A8" s="1" t="s">
        <v>94</v>
      </c>
      <c r="B8" s="3">
        <f>Matrix!DC$16</f>
        <v>0.91666666666666663</v>
      </c>
      <c r="C8" s="1" t="str">
        <f>Matrix!DC$17</f>
        <v>11/12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</row>
    <row r="9" spans="1:107" ht="12.9" customHeight="1" x14ac:dyDescent="0.35">
      <c r="A9" s="1" t="s">
        <v>95</v>
      </c>
      <c r="B9" s="3">
        <f>Matrix!BF$16</f>
        <v>0.91666666666666663</v>
      </c>
      <c r="C9" s="1" t="str">
        <f>Matrix!BF$17</f>
        <v>11/12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</row>
    <row r="10" spans="1:107" ht="12.9" customHeight="1" x14ac:dyDescent="0.35">
      <c r="A10" s="1" t="s">
        <v>96</v>
      </c>
      <c r="B10" s="3">
        <f>Matrix!E$16</f>
        <v>0.83333333333333337</v>
      </c>
      <c r="C10" s="1" t="str">
        <f>Matrix!E$17</f>
        <v>10/12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</row>
    <row r="11" spans="1:107" ht="12.9" customHeight="1" x14ac:dyDescent="0.35">
      <c r="A11" s="1" t="s">
        <v>97</v>
      </c>
      <c r="B11" s="3">
        <f>Matrix!AK$16</f>
        <v>0.75</v>
      </c>
      <c r="C11" s="1" t="str">
        <f>Matrix!AK$17</f>
        <v>9/12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</row>
    <row r="12" spans="1:107" ht="12.9" customHeight="1" x14ac:dyDescent="0.35">
      <c r="A12" s="1" t="s">
        <v>98</v>
      </c>
      <c r="B12" s="3">
        <f>Matrix!AE$16</f>
        <v>0.75</v>
      </c>
      <c r="C12" s="1" t="str">
        <f>Matrix!AE$17</f>
        <v>9/12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</row>
    <row r="13" spans="1:107" ht="12.9" customHeight="1" x14ac:dyDescent="0.35">
      <c r="A13" s="1" t="s">
        <v>99</v>
      </c>
      <c r="B13" s="3">
        <f>Matrix!AQ$16</f>
        <v>0.83333333333333337</v>
      </c>
      <c r="C13" s="1" t="str">
        <f>Matrix!AQ$17</f>
        <v>10/12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</row>
    <row r="14" spans="1:107" ht="12.9" customHeight="1" x14ac:dyDescent="0.35">
      <c r="A14" s="1" t="s">
        <v>100</v>
      </c>
      <c r="B14" s="3">
        <f>Matrix!C$16</f>
        <v>0.66666666666666663</v>
      </c>
      <c r="C14" s="1" t="str">
        <f>Matrix!C$17</f>
        <v>8/12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</row>
    <row r="15" spans="1:107" ht="12.9" customHeight="1" x14ac:dyDescent="0.35">
      <c r="A15" s="1" t="s">
        <v>101</v>
      </c>
      <c r="B15" s="3">
        <f>Matrix!Q$16</f>
        <v>0.91666666666666663</v>
      </c>
      <c r="C15" s="1" t="str">
        <f>Matrix!Q$17</f>
        <v>11/12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</row>
    <row r="16" spans="1:107" ht="12.9" customHeight="1" x14ac:dyDescent="0.35">
      <c r="A16" s="1" t="s">
        <v>102</v>
      </c>
      <c r="B16" s="3">
        <f>Matrix!AP$16</f>
        <v>0.75</v>
      </c>
      <c r="C16" s="1" t="str">
        <f>Matrix!AP$17</f>
        <v>9/12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</row>
    <row r="17" spans="1:107" ht="12.9" customHeight="1" x14ac:dyDescent="0.35">
      <c r="A17" s="1" t="s">
        <v>103</v>
      </c>
      <c r="B17" s="3">
        <f>Matrix!O$16</f>
        <v>0.66666666666666663</v>
      </c>
      <c r="C17" s="1" t="str">
        <f>Matrix!O$17</f>
        <v>8/12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</row>
    <row r="18" spans="1:107" x14ac:dyDescent="0.35">
      <c r="A18" t="s">
        <v>104</v>
      </c>
      <c r="B18" s="37">
        <f>Matrix!D128</f>
        <v>8.3333333333333329E-2</v>
      </c>
      <c r="C18" t="str">
        <f>Matrix!B128&amp;"/"&amp;Matrix!C128</f>
        <v>3/12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M128"/>
  <sheetViews>
    <sheetView workbookViewId="0"/>
  </sheetViews>
  <sheetFormatPr defaultColWidth="8.6328125" defaultRowHeight="14.5" x14ac:dyDescent="0.35"/>
  <cols>
    <col min="1" max="13" width="35" customWidth="1"/>
    <col min="14" max="14" width="35" hidden="1" customWidth="1"/>
    <col min="15" max="15" width="35" customWidth="1"/>
    <col min="16" max="16" width="35" hidden="1" customWidth="1"/>
    <col min="17" max="65" width="35" customWidth="1"/>
    <col min="66" max="66" width="18" hidden="1" customWidth="1"/>
    <col min="67" max="69" width="18" customWidth="1"/>
    <col min="70" max="72" width="18" hidden="1" customWidth="1"/>
    <col min="73" max="73" width="18" customWidth="1"/>
    <col min="74" max="77" width="18" hidden="1" customWidth="1"/>
    <col min="78" max="80" width="18" customWidth="1"/>
    <col min="81" max="81" width="18" hidden="1" customWidth="1"/>
    <col min="82" max="82" width="18" customWidth="1"/>
    <col min="83" max="83" width="18" hidden="1" customWidth="1"/>
    <col min="84" max="88" width="18" customWidth="1"/>
    <col min="89" max="89" width="18" hidden="1" customWidth="1"/>
    <col min="90" max="90" width="18" customWidth="1"/>
    <col min="91" max="91" width="18" hidden="1" customWidth="1"/>
    <col min="92" max="96" width="18" customWidth="1"/>
    <col min="97" max="102" width="18" hidden="1" customWidth="1"/>
    <col min="103" max="103" width="18" customWidth="1"/>
    <col min="104" max="104" width="18" hidden="1" customWidth="1"/>
    <col min="105" max="110" width="18" customWidth="1"/>
  </cols>
  <sheetData>
    <row r="1" spans="1:117" ht="11" customHeight="1" x14ac:dyDescent="0.35">
      <c r="A1" s="6" t="s">
        <v>105</v>
      </c>
      <c r="B1" s="6" t="s">
        <v>33</v>
      </c>
      <c r="C1" s="6" t="s">
        <v>3</v>
      </c>
      <c r="D1" s="6" t="s">
        <v>106</v>
      </c>
      <c r="E1" s="6" t="s">
        <v>107</v>
      </c>
      <c r="F1" s="6" t="s">
        <v>108</v>
      </c>
      <c r="G1" s="6" t="s">
        <v>109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</row>
    <row r="2" spans="1:117" ht="24.4" customHeight="1" x14ac:dyDescent="0.35">
      <c r="A2" s="7" t="s">
        <v>110</v>
      </c>
      <c r="B2" s="7" t="s">
        <v>111</v>
      </c>
      <c r="C2" s="7" t="s">
        <v>100</v>
      </c>
      <c r="D2" s="7" t="s">
        <v>112</v>
      </c>
      <c r="E2" s="7" t="s">
        <v>96</v>
      </c>
      <c r="F2" s="7" t="s">
        <v>113</v>
      </c>
      <c r="G2" s="7" t="s">
        <v>114</v>
      </c>
      <c r="H2" s="7" t="s">
        <v>115</v>
      </c>
      <c r="I2" s="7" t="s">
        <v>116</v>
      </c>
      <c r="J2" s="7" t="s">
        <v>117</v>
      </c>
      <c r="K2" s="7" t="s">
        <v>118</v>
      </c>
      <c r="L2" s="7" t="s">
        <v>119</v>
      </c>
      <c r="M2" s="7" t="s">
        <v>120</v>
      </c>
      <c r="N2" s="7" t="s">
        <v>121</v>
      </c>
      <c r="O2" s="7" t="s">
        <v>103</v>
      </c>
      <c r="P2" s="7" t="s">
        <v>122</v>
      </c>
      <c r="Q2" s="7" t="s">
        <v>101</v>
      </c>
      <c r="R2" s="7" t="s">
        <v>123</v>
      </c>
      <c r="S2" s="7" t="s">
        <v>124</v>
      </c>
      <c r="T2" s="7" t="s">
        <v>125</v>
      </c>
      <c r="U2" s="7" t="s">
        <v>126</v>
      </c>
      <c r="V2" s="7" t="s">
        <v>127</v>
      </c>
      <c r="W2" s="7" t="s">
        <v>128</v>
      </c>
      <c r="X2" s="7" t="s">
        <v>129</v>
      </c>
      <c r="Y2" s="7" t="s">
        <v>130</v>
      </c>
      <c r="Z2" s="7" t="s">
        <v>131</v>
      </c>
      <c r="AA2" s="7" t="s">
        <v>132</v>
      </c>
      <c r="AB2" s="7" t="s">
        <v>92</v>
      </c>
      <c r="AC2" s="7" t="s">
        <v>133</v>
      </c>
      <c r="AD2" s="7" t="s">
        <v>134</v>
      </c>
      <c r="AE2" s="7" t="s">
        <v>98</v>
      </c>
      <c r="AF2" s="7" t="s">
        <v>135</v>
      </c>
      <c r="AG2" s="7" t="s">
        <v>136</v>
      </c>
      <c r="AH2" s="7" t="s">
        <v>137</v>
      </c>
      <c r="AI2" s="7" t="s">
        <v>138</v>
      </c>
      <c r="AJ2" s="7" t="s">
        <v>139</v>
      </c>
      <c r="AK2" s="7" t="s">
        <v>97</v>
      </c>
      <c r="AL2" s="7" t="s">
        <v>140</v>
      </c>
      <c r="AM2" s="7" t="s">
        <v>141</v>
      </c>
      <c r="AN2" s="7" t="s">
        <v>142</v>
      </c>
      <c r="AO2" s="7" t="s">
        <v>143</v>
      </c>
      <c r="AP2" s="7" t="s">
        <v>102</v>
      </c>
      <c r="AQ2" s="7" t="s">
        <v>144</v>
      </c>
      <c r="AR2" s="7" t="s">
        <v>145</v>
      </c>
      <c r="AS2" s="7" t="s">
        <v>146</v>
      </c>
      <c r="AT2" s="7" t="s">
        <v>147</v>
      </c>
      <c r="AU2" s="7" t="s">
        <v>148</v>
      </c>
      <c r="AV2" s="7" t="s">
        <v>149</v>
      </c>
      <c r="AW2" s="7" t="s">
        <v>150</v>
      </c>
      <c r="AX2" s="7" t="s">
        <v>151</v>
      </c>
      <c r="AY2" s="7" t="s">
        <v>152</v>
      </c>
      <c r="AZ2" s="7" t="s">
        <v>153</v>
      </c>
      <c r="BA2" s="7" t="s">
        <v>154</v>
      </c>
      <c r="BB2" s="7" t="s">
        <v>155</v>
      </c>
      <c r="BC2" s="7" t="s">
        <v>156</v>
      </c>
      <c r="BD2" s="7" t="s">
        <v>157</v>
      </c>
      <c r="BE2" s="7" t="s">
        <v>158</v>
      </c>
      <c r="BF2" s="7" t="s">
        <v>95</v>
      </c>
      <c r="BG2" s="7" t="s">
        <v>93</v>
      </c>
      <c r="BH2" s="7" t="s">
        <v>159</v>
      </c>
      <c r="BI2" s="7" t="s">
        <v>160</v>
      </c>
      <c r="BJ2" s="7" t="s">
        <v>161</v>
      </c>
      <c r="BK2" s="7" t="s">
        <v>162</v>
      </c>
      <c r="BL2" s="7" t="s">
        <v>163</v>
      </c>
      <c r="BM2" s="7" t="s">
        <v>164</v>
      </c>
      <c r="BN2" s="7" t="s">
        <v>165</v>
      </c>
      <c r="BO2" s="7" t="s">
        <v>166</v>
      </c>
      <c r="BP2" s="7" t="s">
        <v>167</v>
      </c>
      <c r="BQ2" s="7" t="s">
        <v>168</v>
      </c>
      <c r="BR2" s="7" t="s">
        <v>169</v>
      </c>
      <c r="BS2" s="7" t="s">
        <v>170</v>
      </c>
      <c r="BT2" s="7" t="s">
        <v>171</v>
      </c>
      <c r="BU2" s="7" t="s">
        <v>172</v>
      </c>
      <c r="BV2" s="7" t="s">
        <v>173</v>
      </c>
      <c r="BW2" s="7" t="s">
        <v>174</v>
      </c>
      <c r="BX2" s="7" t="s">
        <v>175</v>
      </c>
      <c r="BY2" s="7" t="s">
        <v>176</v>
      </c>
      <c r="BZ2" s="7" t="s">
        <v>177</v>
      </c>
      <c r="CA2" s="7" t="s">
        <v>178</v>
      </c>
      <c r="CB2" s="7" t="s">
        <v>179</v>
      </c>
      <c r="CC2" s="7" t="s">
        <v>180</v>
      </c>
      <c r="CD2" s="7" t="s">
        <v>181</v>
      </c>
      <c r="CE2" s="7" t="s">
        <v>182</v>
      </c>
      <c r="CF2" s="7" t="s">
        <v>183</v>
      </c>
      <c r="CG2" s="7" t="s">
        <v>184</v>
      </c>
      <c r="CH2" s="7" t="s">
        <v>185</v>
      </c>
      <c r="CI2" s="7" t="s">
        <v>186</v>
      </c>
      <c r="CJ2" s="7" t="s">
        <v>187</v>
      </c>
      <c r="CK2" s="7" t="s">
        <v>188</v>
      </c>
      <c r="CL2" s="7" t="s">
        <v>189</v>
      </c>
      <c r="CM2" s="7" t="s">
        <v>190</v>
      </c>
      <c r="CN2" s="7" t="s">
        <v>191</v>
      </c>
      <c r="CO2" s="7" t="s">
        <v>192</v>
      </c>
      <c r="CP2" s="7" t="s">
        <v>193</v>
      </c>
      <c r="CQ2" s="7" t="s">
        <v>194</v>
      </c>
      <c r="CR2" s="7" t="s">
        <v>195</v>
      </c>
      <c r="CS2" s="7" t="s">
        <v>196</v>
      </c>
      <c r="CT2" s="7" t="s">
        <v>197</v>
      </c>
      <c r="CU2" s="7" t="s">
        <v>198</v>
      </c>
      <c r="CV2" s="7" t="s">
        <v>199</v>
      </c>
      <c r="CW2" s="7" t="s">
        <v>200</v>
      </c>
      <c r="CX2" s="7" t="s">
        <v>201</v>
      </c>
      <c r="CY2" s="7" t="s">
        <v>202</v>
      </c>
      <c r="CZ2" s="7" t="s">
        <v>203</v>
      </c>
      <c r="DA2" s="7" t="s">
        <v>204</v>
      </c>
      <c r="DB2" s="7" t="s">
        <v>205</v>
      </c>
      <c r="DC2" s="7" t="s">
        <v>94</v>
      </c>
      <c r="DD2" s="7" t="s">
        <v>206</v>
      </c>
      <c r="DE2" s="7" t="s">
        <v>207</v>
      </c>
      <c r="DF2" s="7" t="s">
        <v>208</v>
      </c>
      <c r="DG2" s="22" t="s">
        <v>104</v>
      </c>
      <c r="DH2" s="7" t="s">
        <v>209</v>
      </c>
      <c r="DI2" s="7" t="s">
        <v>14</v>
      </c>
      <c r="DJ2" s="7" t="s">
        <v>5</v>
      </c>
      <c r="DK2" s="7" t="s">
        <v>6</v>
      </c>
      <c r="DL2" s="7" t="s">
        <v>210</v>
      </c>
      <c r="DM2" s="7" t="s">
        <v>33</v>
      </c>
    </row>
    <row r="3" spans="1:117" s="33" customFormat="1" ht="11.5" customHeight="1" x14ac:dyDescent="0.35">
      <c r="A3" s="8" t="s">
        <v>211</v>
      </c>
      <c r="B3" s="27">
        <v>46197</v>
      </c>
      <c r="C3" s="28" t="s">
        <v>212</v>
      </c>
      <c r="D3" s="27">
        <v>46196</v>
      </c>
      <c r="E3" s="27">
        <v>46197</v>
      </c>
      <c r="F3" s="27">
        <v>46195</v>
      </c>
      <c r="G3" s="27">
        <v>46196</v>
      </c>
      <c r="H3" s="27">
        <v>46197</v>
      </c>
      <c r="I3" s="27">
        <v>46197</v>
      </c>
      <c r="J3" s="27">
        <v>46197</v>
      </c>
      <c r="K3" s="29" t="s">
        <v>213</v>
      </c>
      <c r="L3" s="28" t="s">
        <v>212</v>
      </c>
      <c r="M3" s="28" t="s">
        <v>212</v>
      </c>
      <c r="N3" s="28" t="s">
        <v>212</v>
      </c>
      <c r="O3" s="28" t="s">
        <v>212</v>
      </c>
      <c r="P3" s="27">
        <v>46196</v>
      </c>
      <c r="Q3" s="27">
        <v>46194</v>
      </c>
      <c r="R3" s="27">
        <v>46194</v>
      </c>
      <c r="S3" s="28" t="s">
        <v>212</v>
      </c>
      <c r="T3" s="27">
        <v>46193</v>
      </c>
      <c r="U3" s="27">
        <v>46193</v>
      </c>
      <c r="V3" s="27">
        <v>46196</v>
      </c>
      <c r="W3" s="27">
        <v>46196</v>
      </c>
      <c r="X3" s="28" t="s">
        <v>212</v>
      </c>
      <c r="Y3" s="28" t="s">
        <v>212</v>
      </c>
      <c r="Z3" s="27">
        <v>46194</v>
      </c>
      <c r="AA3" s="27">
        <v>46195</v>
      </c>
      <c r="AB3" s="28" t="s">
        <v>214</v>
      </c>
      <c r="AC3" s="27">
        <v>46193</v>
      </c>
      <c r="AD3" s="30">
        <v>46196</v>
      </c>
      <c r="AE3" s="27">
        <v>46194</v>
      </c>
      <c r="AF3" s="27">
        <v>46195</v>
      </c>
      <c r="AG3" s="28" t="s">
        <v>212</v>
      </c>
      <c r="AH3" s="28" t="s">
        <v>212</v>
      </c>
      <c r="AI3" s="29" t="s">
        <v>215</v>
      </c>
      <c r="AJ3" s="28" t="s">
        <v>212</v>
      </c>
      <c r="AK3" s="27">
        <v>46195</v>
      </c>
      <c r="AL3" s="28" t="s">
        <v>212</v>
      </c>
      <c r="AM3" s="28" t="s">
        <v>212</v>
      </c>
      <c r="AN3" s="28" t="s">
        <v>212</v>
      </c>
      <c r="AO3" s="28" t="s">
        <v>212</v>
      </c>
      <c r="AP3" s="27">
        <v>46194</v>
      </c>
      <c r="AQ3" s="28" t="s">
        <v>212</v>
      </c>
      <c r="AR3" s="28" t="s">
        <v>212</v>
      </c>
      <c r="AS3" s="28" t="s">
        <v>212</v>
      </c>
      <c r="AT3" s="28" t="s">
        <v>212</v>
      </c>
      <c r="AU3" s="28" t="s">
        <v>212</v>
      </c>
      <c r="AV3" s="28" t="s">
        <v>212</v>
      </c>
      <c r="AW3" s="28" t="s">
        <v>212</v>
      </c>
      <c r="AX3" s="28" t="s">
        <v>212</v>
      </c>
      <c r="AY3" s="28" t="s">
        <v>212</v>
      </c>
      <c r="AZ3" s="28" t="s">
        <v>212</v>
      </c>
      <c r="BA3" s="28" t="s">
        <v>212</v>
      </c>
      <c r="BB3" s="28" t="s">
        <v>212</v>
      </c>
      <c r="BC3" s="28" t="s">
        <v>212</v>
      </c>
      <c r="BD3" s="28" t="s">
        <v>212</v>
      </c>
      <c r="BE3" s="28" t="s">
        <v>212</v>
      </c>
      <c r="BF3" s="28" t="s">
        <v>214</v>
      </c>
      <c r="BG3" s="28" t="s">
        <v>212</v>
      </c>
      <c r="BH3" s="28" t="s">
        <v>212</v>
      </c>
      <c r="BI3" s="28" t="s">
        <v>212</v>
      </c>
      <c r="BJ3" s="28" t="s">
        <v>212</v>
      </c>
      <c r="BK3" s="30">
        <v>46195</v>
      </c>
      <c r="BL3" s="28" t="s">
        <v>212</v>
      </c>
      <c r="BM3" s="28" t="s">
        <v>212</v>
      </c>
      <c r="BN3" s="28" t="s">
        <v>212</v>
      </c>
      <c r="BO3" s="28" t="s">
        <v>212</v>
      </c>
      <c r="BP3" s="28" t="s">
        <v>212</v>
      </c>
      <c r="BQ3" s="28" t="s">
        <v>212</v>
      </c>
      <c r="BR3" s="28" t="s">
        <v>212</v>
      </c>
      <c r="BS3" s="28" t="s">
        <v>212</v>
      </c>
      <c r="BT3" s="28" t="s">
        <v>212</v>
      </c>
      <c r="BU3" s="28" t="s">
        <v>212</v>
      </c>
      <c r="BV3" s="28" t="s">
        <v>212</v>
      </c>
      <c r="BW3" s="28" t="s">
        <v>212</v>
      </c>
      <c r="BX3" s="28" t="s">
        <v>212</v>
      </c>
      <c r="BY3" s="28" t="s">
        <v>212</v>
      </c>
      <c r="BZ3" s="28" t="s">
        <v>212</v>
      </c>
      <c r="CA3" s="28" t="s">
        <v>212</v>
      </c>
      <c r="CB3" s="28" t="s">
        <v>212</v>
      </c>
      <c r="CC3" s="28" t="s">
        <v>212</v>
      </c>
      <c r="CD3" s="28" t="s">
        <v>212</v>
      </c>
      <c r="CE3" s="28" t="s">
        <v>212</v>
      </c>
      <c r="CF3" s="28" t="s">
        <v>212</v>
      </c>
      <c r="CG3" s="28" t="s">
        <v>212</v>
      </c>
      <c r="CH3" s="28" t="s">
        <v>212</v>
      </c>
      <c r="CI3" s="28" t="s">
        <v>212</v>
      </c>
      <c r="CJ3" s="28" t="s">
        <v>212</v>
      </c>
      <c r="CK3" s="28" t="s">
        <v>212</v>
      </c>
      <c r="CL3" s="28" t="s">
        <v>212</v>
      </c>
      <c r="CM3" s="28" t="s">
        <v>212</v>
      </c>
      <c r="CN3" s="28" t="s">
        <v>212</v>
      </c>
      <c r="CO3" s="28" t="s">
        <v>212</v>
      </c>
      <c r="CP3" s="28" t="s">
        <v>212</v>
      </c>
      <c r="CQ3" s="28" t="s">
        <v>212</v>
      </c>
      <c r="CR3" s="28" t="s">
        <v>212</v>
      </c>
      <c r="CS3" s="28" t="s">
        <v>212</v>
      </c>
      <c r="CT3" s="28" t="s">
        <v>212</v>
      </c>
      <c r="CU3" s="28" t="s">
        <v>212</v>
      </c>
      <c r="CV3" s="28" t="s">
        <v>212</v>
      </c>
      <c r="CW3" s="28" t="s">
        <v>212</v>
      </c>
      <c r="CX3" s="28" t="s">
        <v>212</v>
      </c>
      <c r="CY3" s="28" t="s">
        <v>212</v>
      </c>
      <c r="CZ3" s="28" t="s">
        <v>212</v>
      </c>
      <c r="DA3" s="28" t="s">
        <v>212</v>
      </c>
      <c r="DB3" s="28" t="s">
        <v>212</v>
      </c>
      <c r="DC3" s="28" t="s">
        <v>214</v>
      </c>
      <c r="DD3" s="28" t="s">
        <v>212</v>
      </c>
      <c r="DE3" s="28" t="s">
        <v>212</v>
      </c>
      <c r="DF3" s="28" t="s">
        <v>212</v>
      </c>
      <c r="DG3" s="31" t="s">
        <v>215</v>
      </c>
      <c r="DH3" s="31">
        <f t="shared" ref="DH3:DH14" si="0">SUMPRODUCT(--ISNUMBER(B3:DG3))+COUNTIF(B3:DG3,"??/??/????")</f>
        <v>30</v>
      </c>
      <c r="DI3" s="31">
        <f t="shared" ref="DI3:DI14" si="1">COLUMNS(B3:DG3)</f>
        <v>110</v>
      </c>
      <c r="DJ3" s="32">
        <f t="shared" ref="DJ3:DJ14" si="2">IFERROR(DH3/DI3,0)</f>
        <v>0.27272727272727271</v>
      </c>
      <c r="DK3" s="31" t="str">
        <f t="shared" ref="DK3:DK14" si="3">IF(DJ3&gt;=0.95,"GREEN",IF(DJ3&gt;=0.8,"AMBER","RED"))</f>
        <v>RED</v>
      </c>
      <c r="DL3" s="31">
        <f t="shared" ref="DL3:DL14" si="4">COUNTIF(B3:DG3,"NS")</f>
        <v>80</v>
      </c>
      <c r="DM3" s="31">
        <f t="shared" ref="DM3:DM14" si="5">COUNTIF(B3:DG3,"IP")</f>
        <v>0</v>
      </c>
    </row>
    <row r="4" spans="1:117" s="33" customFormat="1" ht="11.5" customHeight="1" x14ac:dyDescent="0.35">
      <c r="A4" s="8" t="s">
        <v>216</v>
      </c>
      <c r="B4" s="27">
        <v>46198</v>
      </c>
      <c r="C4" s="34" t="s">
        <v>217</v>
      </c>
      <c r="D4" s="27">
        <v>46197</v>
      </c>
      <c r="E4" s="28" t="s">
        <v>212</v>
      </c>
      <c r="F4" s="27">
        <v>46197</v>
      </c>
      <c r="G4" s="27">
        <v>46197</v>
      </c>
      <c r="H4" s="28" t="s">
        <v>212</v>
      </c>
      <c r="I4" s="28" t="s">
        <v>212</v>
      </c>
      <c r="J4" s="27">
        <v>46194</v>
      </c>
      <c r="K4" s="28" t="s">
        <v>212</v>
      </c>
      <c r="L4" s="28" t="s">
        <v>212</v>
      </c>
      <c r="M4" s="28" t="s">
        <v>212</v>
      </c>
      <c r="N4" s="28" t="s">
        <v>212</v>
      </c>
      <c r="O4" s="30">
        <v>46201</v>
      </c>
      <c r="P4" s="28" t="s">
        <v>212</v>
      </c>
      <c r="Q4" s="27">
        <v>46195</v>
      </c>
      <c r="R4" s="27">
        <v>46195</v>
      </c>
      <c r="S4" s="28" t="s">
        <v>212</v>
      </c>
      <c r="T4" s="27">
        <v>46194</v>
      </c>
      <c r="U4" s="27">
        <v>46194</v>
      </c>
      <c r="V4" s="30">
        <v>46198</v>
      </c>
      <c r="W4" s="28" t="s">
        <v>212</v>
      </c>
      <c r="X4" s="27">
        <v>46195</v>
      </c>
      <c r="Y4" s="30">
        <v>46198</v>
      </c>
      <c r="Z4" s="28" t="s">
        <v>212</v>
      </c>
      <c r="AA4" s="28" t="s">
        <v>212</v>
      </c>
      <c r="AB4" s="28" t="s">
        <v>212</v>
      </c>
      <c r="AC4" s="28" t="s">
        <v>212</v>
      </c>
      <c r="AD4" s="28" t="s">
        <v>212</v>
      </c>
      <c r="AE4" s="27">
        <v>46195</v>
      </c>
      <c r="AF4" s="30">
        <v>46199</v>
      </c>
      <c r="AG4" s="28" t="s">
        <v>212</v>
      </c>
      <c r="AH4" s="28" t="s">
        <v>212</v>
      </c>
      <c r="AI4" s="28" t="s">
        <v>212</v>
      </c>
      <c r="AJ4" s="28" t="s">
        <v>212</v>
      </c>
      <c r="AK4" s="28" t="s">
        <v>212</v>
      </c>
      <c r="AL4" s="28" t="s">
        <v>212</v>
      </c>
      <c r="AM4" s="28" t="s">
        <v>212</v>
      </c>
      <c r="AN4" s="27">
        <v>46194</v>
      </c>
      <c r="AO4" s="28" t="s">
        <v>212</v>
      </c>
      <c r="AP4" s="28" t="s">
        <v>212</v>
      </c>
      <c r="AQ4" s="27">
        <v>46192</v>
      </c>
      <c r="AR4" s="28" t="s">
        <v>212</v>
      </c>
      <c r="AS4" s="28" t="s">
        <v>212</v>
      </c>
      <c r="AT4" s="28" t="s">
        <v>212</v>
      </c>
      <c r="AU4" s="28" t="s">
        <v>212</v>
      </c>
      <c r="AV4" s="28" t="s">
        <v>212</v>
      </c>
      <c r="AW4" s="28" t="s">
        <v>212</v>
      </c>
      <c r="AX4" s="28" t="s">
        <v>212</v>
      </c>
      <c r="AY4" s="28" t="s">
        <v>212</v>
      </c>
      <c r="AZ4" s="28" t="s">
        <v>212</v>
      </c>
      <c r="BA4" s="28" t="s">
        <v>212</v>
      </c>
      <c r="BB4" s="28" t="s">
        <v>212</v>
      </c>
      <c r="BC4" s="28" t="s">
        <v>212</v>
      </c>
      <c r="BD4" s="28" t="s">
        <v>212</v>
      </c>
      <c r="BE4" s="28" t="s">
        <v>212</v>
      </c>
      <c r="BF4" s="28" t="s">
        <v>214</v>
      </c>
      <c r="BG4" s="28" t="s">
        <v>212</v>
      </c>
      <c r="BH4" s="28" t="s">
        <v>212</v>
      </c>
      <c r="BI4" s="28" t="s">
        <v>212</v>
      </c>
      <c r="BJ4" s="28" t="s">
        <v>212</v>
      </c>
      <c r="BK4" s="28" t="s">
        <v>212</v>
      </c>
      <c r="BL4" s="28" t="s">
        <v>212</v>
      </c>
      <c r="BM4" s="28" t="s">
        <v>212</v>
      </c>
      <c r="BN4" s="28" t="s">
        <v>212</v>
      </c>
      <c r="BO4" s="28" t="s">
        <v>212</v>
      </c>
      <c r="BP4" s="28" t="s">
        <v>212</v>
      </c>
      <c r="BQ4" s="28" t="s">
        <v>212</v>
      </c>
      <c r="BR4" s="28" t="s">
        <v>212</v>
      </c>
      <c r="BS4" s="28" t="s">
        <v>212</v>
      </c>
      <c r="BT4" s="28" t="s">
        <v>212</v>
      </c>
      <c r="BU4" s="28" t="s">
        <v>212</v>
      </c>
      <c r="BV4" s="28" t="s">
        <v>212</v>
      </c>
      <c r="BW4" s="28" t="s">
        <v>212</v>
      </c>
      <c r="BX4" s="28" t="s">
        <v>212</v>
      </c>
      <c r="BY4" s="28" t="s">
        <v>212</v>
      </c>
      <c r="BZ4" s="28" t="s">
        <v>212</v>
      </c>
      <c r="CA4" s="28" t="s">
        <v>212</v>
      </c>
      <c r="CB4" s="28" t="s">
        <v>212</v>
      </c>
      <c r="CC4" s="28" t="s">
        <v>212</v>
      </c>
      <c r="CD4" s="28" t="s">
        <v>212</v>
      </c>
      <c r="CE4" s="28" t="s">
        <v>212</v>
      </c>
      <c r="CF4" s="28" t="s">
        <v>212</v>
      </c>
      <c r="CG4" s="28" t="s">
        <v>212</v>
      </c>
      <c r="CH4" s="28" t="s">
        <v>212</v>
      </c>
      <c r="CI4" s="28" t="s">
        <v>212</v>
      </c>
      <c r="CJ4" s="28" t="s">
        <v>212</v>
      </c>
      <c r="CK4" s="28" t="s">
        <v>212</v>
      </c>
      <c r="CL4" s="28" t="s">
        <v>212</v>
      </c>
      <c r="CM4" s="28" t="s">
        <v>212</v>
      </c>
      <c r="CN4" s="28" t="s">
        <v>212</v>
      </c>
      <c r="CO4" s="28" t="s">
        <v>212</v>
      </c>
      <c r="CP4" s="28" t="s">
        <v>212</v>
      </c>
      <c r="CQ4" s="28" t="s">
        <v>212</v>
      </c>
      <c r="CR4" s="28" t="s">
        <v>212</v>
      </c>
      <c r="CS4" s="28" t="s">
        <v>212</v>
      </c>
      <c r="CT4" s="28" t="s">
        <v>212</v>
      </c>
      <c r="CU4" s="28" t="s">
        <v>212</v>
      </c>
      <c r="CV4" s="28" t="s">
        <v>212</v>
      </c>
      <c r="CW4" s="28" t="s">
        <v>212</v>
      </c>
      <c r="CX4" s="28" t="s">
        <v>212</v>
      </c>
      <c r="CY4" s="28" t="s">
        <v>212</v>
      </c>
      <c r="CZ4" s="28" t="s">
        <v>212</v>
      </c>
      <c r="DA4" s="28" t="s">
        <v>212</v>
      </c>
      <c r="DB4" s="28" t="s">
        <v>212</v>
      </c>
      <c r="DC4" s="28" t="s">
        <v>214</v>
      </c>
      <c r="DD4" s="28" t="s">
        <v>212</v>
      </c>
      <c r="DE4" s="28" t="s">
        <v>212</v>
      </c>
      <c r="DF4" s="28" t="s">
        <v>212</v>
      </c>
      <c r="DG4" s="31" t="s">
        <v>212</v>
      </c>
      <c r="DH4" s="31">
        <f t="shared" si="0"/>
        <v>19</v>
      </c>
      <c r="DI4" s="31">
        <f t="shared" si="1"/>
        <v>110</v>
      </c>
      <c r="DJ4" s="32">
        <f t="shared" si="2"/>
        <v>0.17272727272727273</v>
      </c>
      <c r="DK4" s="31" t="str">
        <f t="shared" si="3"/>
        <v>RED</v>
      </c>
      <c r="DL4" s="31">
        <f t="shared" si="4"/>
        <v>90</v>
      </c>
      <c r="DM4" s="31">
        <f t="shared" si="5"/>
        <v>1</v>
      </c>
    </row>
    <row r="5" spans="1:117" s="33" customFormat="1" ht="11.5" customHeight="1" x14ac:dyDescent="0.35">
      <c r="A5" s="8" t="s">
        <v>218</v>
      </c>
      <c r="B5" s="28" t="s">
        <v>212</v>
      </c>
      <c r="C5" s="29" t="s">
        <v>219</v>
      </c>
      <c r="D5" s="27">
        <v>46193</v>
      </c>
      <c r="E5" s="27">
        <v>46192</v>
      </c>
      <c r="F5" s="27">
        <v>46193</v>
      </c>
      <c r="G5" s="27">
        <v>46195</v>
      </c>
      <c r="H5" s="27">
        <v>46195</v>
      </c>
      <c r="I5" s="28" t="s">
        <v>212</v>
      </c>
      <c r="J5" s="27">
        <v>46194</v>
      </c>
      <c r="K5" s="29" t="s">
        <v>220</v>
      </c>
      <c r="L5" s="27">
        <v>46196</v>
      </c>
      <c r="M5" s="27">
        <v>46196</v>
      </c>
      <c r="N5" s="27">
        <v>46196</v>
      </c>
      <c r="O5" s="27">
        <v>46196</v>
      </c>
      <c r="P5" s="28" t="s">
        <v>212</v>
      </c>
      <c r="Q5" s="27">
        <v>46194</v>
      </c>
      <c r="R5" s="27">
        <v>46194</v>
      </c>
      <c r="S5" s="28" t="s">
        <v>212</v>
      </c>
      <c r="T5" s="27">
        <v>46194</v>
      </c>
      <c r="U5" s="27">
        <v>46192</v>
      </c>
      <c r="V5" s="27">
        <v>46195</v>
      </c>
      <c r="W5" s="28" t="s">
        <v>212</v>
      </c>
      <c r="X5" s="27">
        <v>46192</v>
      </c>
      <c r="Y5" s="30">
        <v>46194</v>
      </c>
      <c r="Z5" s="27">
        <v>46193</v>
      </c>
      <c r="AA5" s="28" t="s">
        <v>212</v>
      </c>
      <c r="AB5" s="30">
        <v>46155</v>
      </c>
      <c r="AC5" s="27">
        <v>46191</v>
      </c>
      <c r="AD5" s="27">
        <v>46195</v>
      </c>
      <c r="AE5" s="27">
        <v>46194</v>
      </c>
      <c r="AF5" s="27">
        <v>46195</v>
      </c>
      <c r="AG5" s="27">
        <v>46194</v>
      </c>
      <c r="AH5" s="27">
        <v>46195</v>
      </c>
      <c r="AI5" s="28" t="s">
        <v>212</v>
      </c>
      <c r="AJ5" s="28" t="s">
        <v>212</v>
      </c>
      <c r="AK5" s="30">
        <v>46199</v>
      </c>
      <c r="AL5" s="27">
        <v>46194</v>
      </c>
      <c r="AM5" s="27">
        <v>46193</v>
      </c>
      <c r="AN5" s="28" t="s">
        <v>212</v>
      </c>
      <c r="AO5" s="28" t="s">
        <v>212</v>
      </c>
      <c r="AP5" s="27">
        <v>46194</v>
      </c>
      <c r="AQ5" s="27">
        <v>46194</v>
      </c>
      <c r="AR5" s="28" t="s">
        <v>212</v>
      </c>
      <c r="AS5" s="28" t="s">
        <v>212</v>
      </c>
      <c r="AT5" s="28" t="s">
        <v>212</v>
      </c>
      <c r="AU5" s="27">
        <v>46193</v>
      </c>
      <c r="AV5" s="27">
        <v>46193</v>
      </c>
      <c r="AW5" s="27">
        <v>46193</v>
      </c>
      <c r="AX5" s="27">
        <v>46192</v>
      </c>
      <c r="AY5" s="28" t="s">
        <v>212</v>
      </c>
      <c r="AZ5" s="27">
        <v>46192</v>
      </c>
      <c r="BA5" s="28" t="s">
        <v>212</v>
      </c>
      <c r="BB5" s="27">
        <v>46192</v>
      </c>
      <c r="BC5" s="27">
        <v>46192</v>
      </c>
      <c r="BD5" s="27">
        <v>46192</v>
      </c>
      <c r="BE5" s="27">
        <v>46192</v>
      </c>
      <c r="BF5" s="30">
        <v>46157</v>
      </c>
      <c r="BG5" s="28" t="s">
        <v>212</v>
      </c>
      <c r="BH5" s="30">
        <v>46200</v>
      </c>
      <c r="BI5" s="28" t="s">
        <v>212</v>
      </c>
      <c r="BJ5" s="28" t="s">
        <v>212</v>
      </c>
      <c r="BK5" s="28" t="s">
        <v>212</v>
      </c>
      <c r="BL5" s="28" t="s">
        <v>212</v>
      </c>
      <c r="BM5" s="28" t="s">
        <v>212</v>
      </c>
      <c r="BN5" s="28" t="s">
        <v>212</v>
      </c>
      <c r="BO5" s="28" t="s">
        <v>212</v>
      </c>
      <c r="BP5" s="28" t="s">
        <v>212</v>
      </c>
      <c r="BQ5" s="28" t="s">
        <v>212</v>
      </c>
      <c r="BR5" s="28" t="s">
        <v>212</v>
      </c>
      <c r="BS5" s="28" t="s">
        <v>212</v>
      </c>
      <c r="BT5" s="28" t="s">
        <v>212</v>
      </c>
      <c r="BU5" s="28" t="s">
        <v>212</v>
      </c>
      <c r="BV5" s="28" t="s">
        <v>212</v>
      </c>
      <c r="BW5" s="28" t="s">
        <v>212</v>
      </c>
      <c r="BX5" s="28" t="s">
        <v>212</v>
      </c>
      <c r="BY5" s="28" t="s">
        <v>212</v>
      </c>
      <c r="BZ5" s="28" t="s">
        <v>212</v>
      </c>
      <c r="CA5" s="28" t="s">
        <v>212</v>
      </c>
      <c r="CB5" s="28" t="s">
        <v>212</v>
      </c>
      <c r="CC5" s="28" t="s">
        <v>212</v>
      </c>
      <c r="CD5" s="28" t="s">
        <v>212</v>
      </c>
      <c r="CE5" s="28" t="s">
        <v>212</v>
      </c>
      <c r="CF5" s="28" t="s">
        <v>212</v>
      </c>
      <c r="CG5" s="28" t="s">
        <v>212</v>
      </c>
      <c r="CH5" s="28" t="s">
        <v>212</v>
      </c>
      <c r="CI5" s="28" t="s">
        <v>212</v>
      </c>
      <c r="CJ5" s="28" t="s">
        <v>212</v>
      </c>
      <c r="CK5" s="28" t="s">
        <v>212</v>
      </c>
      <c r="CL5" s="28" t="s">
        <v>212</v>
      </c>
      <c r="CM5" s="28" t="s">
        <v>212</v>
      </c>
      <c r="CN5" s="28" t="s">
        <v>212</v>
      </c>
      <c r="CO5" s="28" t="s">
        <v>212</v>
      </c>
      <c r="CP5" s="28" t="s">
        <v>212</v>
      </c>
      <c r="CQ5" s="28" t="s">
        <v>212</v>
      </c>
      <c r="CR5" s="28" t="s">
        <v>212</v>
      </c>
      <c r="CS5" s="28" t="s">
        <v>212</v>
      </c>
      <c r="CT5" s="28" t="s">
        <v>212</v>
      </c>
      <c r="CU5" s="28" t="s">
        <v>212</v>
      </c>
      <c r="CV5" s="28" t="s">
        <v>212</v>
      </c>
      <c r="CW5" s="28" t="s">
        <v>212</v>
      </c>
      <c r="CX5" s="28" t="s">
        <v>212</v>
      </c>
      <c r="CY5" s="28" t="s">
        <v>212</v>
      </c>
      <c r="CZ5" s="28" t="s">
        <v>212</v>
      </c>
      <c r="DA5" s="28" t="s">
        <v>212</v>
      </c>
      <c r="DB5" s="28" t="s">
        <v>212</v>
      </c>
      <c r="DC5" s="30">
        <v>46155</v>
      </c>
      <c r="DD5" s="28" t="s">
        <v>212</v>
      </c>
      <c r="DE5" s="28" t="s">
        <v>212</v>
      </c>
      <c r="DF5" s="28" t="s">
        <v>212</v>
      </c>
      <c r="DG5" s="31" t="s">
        <v>212</v>
      </c>
      <c r="DH5" s="31">
        <f t="shared" si="0"/>
        <v>44</v>
      </c>
      <c r="DI5" s="31">
        <f t="shared" si="1"/>
        <v>110</v>
      </c>
      <c r="DJ5" s="32">
        <f t="shared" si="2"/>
        <v>0.4</v>
      </c>
      <c r="DK5" s="31" t="str">
        <f t="shared" si="3"/>
        <v>RED</v>
      </c>
      <c r="DL5" s="31">
        <f t="shared" si="4"/>
        <v>66</v>
      </c>
      <c r="DM5" s="31">
        <f t="shared" si="5"/>
        <v>0</v>
      </c>
    </row>
    <row r="6" spans="1:117" s="33" customFormat="1" ht="11.5" customHeight="1" x14ac:dyDescent="0.35">
      <c r="A6" s="8" t="s">
        <v>221</v>
      </c>
      <c r="B6" s="27">
        <v>46196</v>
      </c>
      <c r="C6" s="29" t="s">
        <v>219</v>
      </c>
      <c r="D6" s="30">
        <v>46199</v>
      </c>
      <c r="E6" s="27">
        <v>46184</v>
      </c>
      <c r="F6" s="27">
        <v>46194</v>
      </c>
      <c r="G6" s="30">
        <v>46199</v>
      </c>
      <c r="H6" s="27">
        <v>46195</v>
      </c>
      <c r="I6" s="28" t="s">
        <v>212</v>
      </c>
      <c r="J6" s="28" t="s">
        <v>212</v>
      </c>
      <c r="K6" s="28" t="s">
        <v>212</v>
      </c>
      <c r="L6" s="28" t="s">
        <v>212</v>
      </c>
      <c r="M6" s="30">
        <v>46199</v>
      </c>
      <c r="N6" s="28" t="s">
        <v>212</v>
      </c>
      <c r="O6" s="27">
        <v>46195</v>
      </c>
      <c r="P6" s="28" t="s">
        <v>212</v>
      </c>
      <c r="Q6" s="27">
        <v>46196</v>
      </c>
      <c r="R6" s="27">
        <v>46196</v>
      </c>
      <c r="S6" s="27">
        <v>46199</v>
      </c>
      <c r="T6" s="27">
        <v>46195</v>
      </c>
      <c r="U6" s="27">
        <v>46196</v>
      </c>
      <c r="V6" s="30">
        <v>46199</v>
      </c>
      <c r="W6" s="28" t="s">
        <v>212</v>
      </c>
      <c r="X6" s="28" t="s">
        <v>212</v>
      </c>
      <c r="Y6" s="30">
        <v>46194</v>
      </c>
      <c r="Z6" s="28" t="s">
        <v>212</v>
      </c>
      <c r="AA6" s="28" t="s">
        <v>212</v>
      </c>
      <c r="AB6" s="27">
        <v>46195</v>
      </c>
      <c r="AC6" s="27">
        <v>46195</v>
      </c>
      <c r="AD6" s="28" t="s">
        <v>212</v>
      </c>
      <c r="AE6" s="28" t="s">
        <v>212</v>
      </c>
      <c r="AF6" s="30">
        <v>46199</v>
      </c>
      <c r="AG6" s="27">
        <v>46195</v>
      </c>
      <c r="AH6" s="28" t="s">
        <v>212</v>
      </c>
      <c r="AI6" s="28" t="s">
        <v>212</v>
      </c>
      <c r="AJ6" s="28" t="s">
        <v>212</v>
      </c>
      <c r="AK6" s="28" t="s">
        <v>212</v>
      </c>
      <c r="AL6" s="27">
        <v>46194</v>
      </c>
      <c r="AM6" s="28" t="s">
        <v>212</v>
      </c>
      <c r="AN6" s="28" t="s">
        <v>212</v>
      </c>
      <c r="AO6" s="28" t="s">
        <v>212</v>
      </c>
      <c r="AP6" s="28" t="s">
        <v>212</v>
      </c>
      <c r="AQ6" s="28" t="s">
        <v>222</v>
      </c>
      <c r="AR6" s="28" t="s">
        <v>212</v>
      </c>
      <c r="AS6" s="30">
        <v>46199</v>
      </c>
      <c r="AT6" s="28" t="s">
        <v>212</v>
      </c>
      <c r="AU6" s="30">
        <v>46199</v>
      </c>
      <c r="AV6" s="30">
        <v>46199</v>
      </c>
      <c r="AW6" s="28" t="s">
        <v>212</v>
      </c>
      <c r="AX6" s="28" t="s">
        <v>212</v>
      </c>
      <c r="AY6" s="30">
        <v>46199</v>
      </c>
      <c r="AZ6" s="30">
        <v>46199</v>
      </c>
      <c r="BA6" s="28" t="s">
        <v>212</v>
      </c>
      <c r="BB6" s="28" t="s">
        <v>212</v>
      </c>
      <c r="BC6" s="30">
        <v>46199</v>
      </c>
      <c r="BD6" s="28" t="s">
        <v>212</v>
      </c>
      <c r="BE6" s="30">
        <v>46199</v>
      </c>
      <c r="BF6" s="28" t="s">
        <v>214</v>
      </c>
      <c r="BG6" s="28" t="s">
        <v>212</v>
      </c>
      <c r="BH6" s="28" t="s">
        <v>212</v>
      </c>
      <c r="BI6" s="28" t="s">
        <v>212</v>
      </c>
      <c r="BJ6" s="28" t="s">
        <v>212</v>
      </c>
      <c r="BK6" s="30">
        <v>46199</v>
      </c>
      <c r="BL6" s="28" t="s">
        <v>212</v>
      </c>
      <c r="BM6" s="28" t="s">
        <v>212</v>
      </c>
      <c r="BN6" s="28" t="s">
        <v>212</v>
      </c>
      <c r="BO6" s="28" t="s">
        <v>212</v>
      </c>
      <c r="BP6" s="28" t="s">
        <v>212</v>
      </c>
      <c r="BQ6" s="28" t="s">
        <v>212</v>
      </c>
      <c r="BR6" s="28" t="s">
        <v>212</v>
      </c>
      <c r="BS6" s="28" t="s">
        <v>212</v>
      </c>
      <c r="BT6" s="28" t="s">
        <v>212</v>
      </c>
      <c r="BU6" s="28" t="s">
        <v>212</v>
      </c>
      <c r="BV6" s="28" t="s">
        <v>212</v>
      </c>
      <c r="BW6" s="28" t="s">
        <v>212</v>
      </c>
      <c r="BX6" s="28" t="s">
        <v>212</v>
      </c>
      <c r="BY6" s="28" t="s">
        <v>212</v>
      </c>
      <c r="BZ6" s="28" t="s">
        <v>212</v>
      </c>
      <c r="CA6" s="28" t="s">
        <v>212</v>
      </c>
      <c r="CB6" s="28" t="s">
        <v>212</v>
      </c>
      <c r="CC6" s="28" t="s">
        <v>212</v>
      </c>
      <c r="CD6" s="28" t="s">
        <v>212</v>
      </c>
      <c r="CE6" s="28" t="s">
        <v>212</v>
      </c>
      <c r="CF6" s="28" t="s">
        <v>212</v>
      </c>
      <c r="CG6" s="28" t="s">
        <v>212</v>
      </c>
      <c r="CH6" s="28" t="s">
        <v>212</v>
      </c>
      <c r="CI6" s="28" t="s">
        <v>212</v>
      </c>
      <c r="CJ6" s="28" t="s">
        <v>212</v>
      </c>
      <c r="CK6" s="28" t="s">
        <v>212</v>
      </c>
      <c r="CL6" s="28" t="s">
        <v>212</v>
      </c>
      <c r="CM6" s="28" t="s">
        <v>212</v>
      </c>
      <c r="CN6" s="28" t="s">
        <v>212</v>
      </c>
      <c r="CO6" s="28" t="s">
        <v>212</v>
      </c>
      <c r="CP6" s="28" t="s">
        <v>212</v>
      </c>
      <c r="CQ6" s="28" t="s">
        <v>212</v>
      </c>
      <c r="CR6" s="28" t="s">
        <v>212</v>
      </c>
      <c r="CS6" s="28" t="s">
        <v>212</v>
      </c>
      <c r="CT6" s="28" t="s">
        <v>212</v>
      </c>
      <c r="CU6" s="30">
        <v>46199</v>
      </c>
      <c r="CV6" s="28" t="s">
        <v>212</v>
      </c>
      <c r="CW6" s="28" t="s">
        <v>212</v>
      </c>
      <c r="CX6" s="28" t="s">
        <v>212</v>
      </c>
      <c r="CY6" s="28" t="s">
        <v>212</v>
      </c>
      <c r="CZ6" s="28" t="s">
        <v>212</v>
      </c>
      <c r="DA6" s="28" t="s">
        <v>212</v>
      </c>
      <c r="DB6" s="28" t="s">
        <v>212</v>
      </c>
      <c r="DC6" s="28" t="s">
        <v>214</v>
      </c>
      <c r="DD6" s="28" t="s">
        <v>212</v>
      </c>
      <c r="DE6" s="28" t="s">
        <v>212</v>
      </c>
      <c r="DF6" s="28" t="s">
        <v>212</v>
      </c>
      <c r="DG6" s="31" t="s">
        <v>223</v>
      </c>
      <c r="DH6" s="31">
        <f t="shared" si="0"/>
        <v>34</v>
      </c>
      <c r="DI6" s="31">
        <f t="shared" si="1"/>
        <v>110</v>
      </c>
      <c r="DJ6" s="32">
        <f t="shared" si="2"/>
        <v>0.30909090909090908</v>
      </c>
      <c r="DK6" s="31" t="str">
        <f t="shared" si="3"/>
        <v>RED</v>
      </c>
      <c r="DL6" s="31">
        <f t="shared" si="4"/>
        <v>76</v>
      </c>
      <c r="DM6" s="31">
        <f t="shared" si="5"/>
        <v>0</v>
      </c>
    </row>
    <row r="7" spans="1:117" s="33" customFormat="1" ht="11.5" customHeight="1" x14ac:dyDescent="0.35">
      <c r="A7" s="8" t="s">
        <v>224</v>
      </c>
      <c r="B7" s="28" t="s">
        <v>212</v>
      </c>
      <c r="C7" s="28" t="s">
        <v>225</v>
      </c>
      <c r="D7" s="28" t="s">
        <v>212</v>
      </c>
      <c r="E7" s="28" t="s">
        <v>212</v>
      </c>
      <c r="F7" s="28" t="s">
        <v>212</v>
      </c>
      <c r="G7" s="28" t="s">
        <v>212</v>
      </c>
      <c r="H7" s="28" t="s">
        <v>212</v>
      </c>
      <c r="I7" s="28" t="s">
        <v>212</v>
      </c>
      <c r="J7" s="28" t="s">
        <v>226</v>
      </c>
      <c r="K7" s="28" t="s">
        <v>212</v>
      </c>
      <c r="L7" s="28" t="s">
        <v>212</v>
      </c>
      <c r="M7" s="28" t="s">
        <v>212</v>
      </c>
      <c r="N7" s="28" t="s">
        <v>212</v>
      </c>
      <c r="O7" s="28" t="s">
        <v>212</v>
      </c>
      <c r="P7" s="28" t="s">
        <v>212</v>
      </c>
      <c r="Q7" s="28" t="s">
        <v>227</v>
      </c>
      <c r="R7" s="28" t="s">
        <v>226</v>
      </c>
      <c r="S7" s="28" t="s">
        <v>212</v>
      </c>
      <c r="T7" s="34" t="s">
        <v>228</v>
      </c>
      <c r="U7" s="30">
        <v>46199</v>
      </c>
      <c r="V7" s="28" t="s">
        <v>212</v>
      </c>
      <c r="W7" s="28" t="s">
        <v>229</v>
      </c>
      <c r="X7" s="28" t="s">
        <v>212</v>
      </c>
      <c r="Y7" s="28" t="s">
        <v>212</v>
      </c>
      <c r="Z7" s="28" t="s">
        <v>212</v>
      </c>
      <c r="AA7" s="28" t="s">
        <v>212</v>
      </c>
      <c r="AB7" s="35">
        <v>45985</v>
      </c>
      <c r="AC7" s="28" t="s">
        <v>212</v>
      </c>
      <c r="AD7" s="28" t="s">
        <v>212</v>
      </c>
      <c r="AE7" s="28" t="s">
        <v>226</v>
      </c>
      <c r="AF7" s="28" t="s">
        <v>212</v>
      </c>
      <c r="AG7" s="28" t="s">
        <v>225</v>
      </c>
      <c r="AH7" s="28" t="s">
        <v>212</v>
      </c>
      <c r="AI7" s="28" t="s">
        <v>212</v>
      </c>
      <c r="AJ7" s="28" t="s">
        <v>212</v>
      </c>
      <c r="AK7" s="35">
        <v>45987</v>
      </c>
      <c r="AL7" s="28" t="s">
        <v>212</v>
      </c>
      <c r="AM7" s="28" t="s">
        <v>212</v>
      </c>
      <c r="AN7" s="28" t="s">
        <v>212</v>
      </c>
      <c r="AO7" s="28" t="s">
        <v>212</v>
      </c>
      <c r="AP7" s="28" t="s">
        <v>230</v>
      </c>
      <c r="AQ7" s="28" t="s">
        <v>231</v>
      </c>
      <c r="AR7" s="28" t="s">
        <v>212</v>
      </c>
      <c r="AS7" s="28" t="s">
        <v>212</v>
      </c>
      <c r="AT7" s="28" t="s">
        <v>212</v>
      </c>
      <c r="AU7" s="28" t="s">
        <v>212</v>
      </c>
      <c r="AV7" s="28" t="s">
        <v>212</v>
      </c>
      <c r="AW7" s="28" t="s">
        <v>212</v>
      </c>
      <c r="AX7" s="28" t="s">
        <v>212</v>
      </c>
      <c r="AY7" s="28" t="s">
        <v>212</v>
      </c>
      <c r="AZ7" s="28" t="s">
        <v>212</v>
      </c>
      <c r="BA7" s="28" t="s">
        <v>212</v>
      </c>
      <c r="BB7" s="28" t="s">
        <v>212</v>
      </c>
      <c r="BC7" s="28" t="s">
        <v>212</v>
      </c>
      <c r="BD7" s="28" t="s">
        <v>212</v>
      </c>
      <c r="BE7" s="28" t="s">
        <v>212</v>
      </c>
      <c r="BF7" s="35">
        <v>45979</v>
      </c>
      <c r="BG7" s="28" t="s">
        <v>212</v>
      </c>
      <c r="BH7" s="28" t="s">
        <v>212</v>
      </c>
      <c r="BI7" s="28" t="s">
        <v>229</v>
      </c>
      <c r="BJ7" s="28" t="s">
        <v>212</v>
      </c>
      <c r="BK7" s="28" t="s">
        <v>212</v>
      </c>
      <c r="BL7" s="28" t="s">
        <v>212</v>
      </c>
      <c r="BM7" s="28" t="s">
        <v>212</v>
      </c>
      <c r="BN7" s="28" t="s">
        <v>212</v>
      </c>
      <c r="BO7" s="28" t="s">
        <v>212</v>
      </c>
      <c r="BP7" s="28" t="s">
        <v>212</v>
      </c>
      <c r="BQ7" s="28" t="s">
        <v>212</v>
      </c>
      <c r="BR7" s="28" t="s">
        <v>212</v>
      </c>
      <c r="BS7" s="28" t="s">
        <v>212</v>
      </c>
      <c r="BT7" s="28" t="s">
        <v>212</v>
      </c>
      <c r="BU7" s="28" t="s">
        <v>212</v>
      </c>
      <c r="BV7" s="28" t="s">
        <v>212</v>
      </c>
      <c r="BW7" s="28" t="s">
        <v>212</v>
      </c>
      <c r="BX7" s="28" t="s">
        <v>212</v>
      </c>
      <c r="BY7" s="28" t="s">
        <v>212</v>
      </c>
      <c r="BZ7" s="28" t="s">
        <v>212</v>
      </c>
      <c r="CA7" s="28" t="s">
        <v>212</v>
      </c>
      <c r="CB7" s="28" t="s">
        <v>212</v>
      </c>
      <c r="CC7" s="28" t="s">
        <v>212</v>
      </c>
      <c r="CD7" s="28" t="s">
        <v>212</v>
      </c>
      <c r="CE7" s="28" t="s">
        <v>212</v>
      </c>
      <c r="CF7" s="28" t="s">
        <v>212</v>
      </c>
      <c r="CG7" s="28" t="s">
        <v>212</v>
      </c>
      <c r="CH7" s="28" t="s">
        <v>212</v>
      </c>
      <c r="CI7" s="28" t="s">
        <v>212</v>
      </c>
      <c r="CJ7" s="28" t="s">
        <v>212</v>
      </c>
      <c r="CK7" s="28" t="s">
        <v>212</v>
      </c>
      <c r="CL7" s="28" t="s">
        <v>212</v>
      </c>
      <c r="CM7" s="28" t="s">
        <v>212</v>
      </c>
      <c r="CN7" s="28" t="s">
        <v>212</v>
      </c>
      <c r="CO7" s="28" t="s">
        <v>212</v>
      </c>
      <c r="CP7" s="28" t="s">
        <v>212</v>
      </c>
      <c r="CQ7" s="28" t="s">
        <v>212</v>
      </c>
      <c r="CR7" s="28" t="s">
        <v>212</v>
      </c>
      <c r="CS7" s="28" t="s">
        <v>212</v>
      </c>
      <c r="CT7" s="28" t="s">
        <v>212</v>
      </c>
      <c r="CU7" s="28" t="s">
        <v>212</v>
      </c>
      <c r="CV7" s="28" t="s">
        <v>212</v>
      </c>
      <c r="CW7" s="28" t="s">
        <v>212</v>
      </c>
      <c r="CX7" s="28" t="s">
        <v>212</v>
      </c>
      <c r="CY7" s="28" t="s">
        <v>212</v>
      </c>
      <c r="CZ7" s="28" t="s">
        <v>212</v>
      </c>
      <c r="DA7" s="28" t="s">
        <v>225</v>
      </c>
      <c r="DB7" s="28" t="s">
        <v>225</v>
      </c>
      <c r="DC7" s="35">
        <v>46001</v>
      </c>
      <c r="DD7" s="28" t="s">
        <v>212</v>
      </c>
      <c r="DE7" s="28" t="s">
        <v>225</v>
      </c>
      <c r="DF7" s="28" t="s">
        <v>212</v>
      </c>
      <c r="DG7" s="31" t="s">
        <v>212</v>
      </c>
      <c r="DH7" s="31">
        <f t="shared" si="0"/>
        <v>19</v>
      </c>
      <c r="DI7" s="31">
        <f t="shared" si="1"/>
        <v>110</v>
      </c>
      <c r="DJ7" s="32">
        <f t="shared" si="2"/>
        <v>0.17272727272727273</v>
      </c>
      <c r="DK7" s="31" t="str">
        <f t="shared" si="3"/>
        <v>RED</v>
      </c>
      <c r="DL7" s="31">
        <f t="shared" si="4"/>
        <v>91</v>
      </c>
      <c r="DM7" s="31">
        <f t="shared" si="5"/>
        <v>0</v>
      </c>
    </row>
    <row r="8" spans="1:117" s="33" customFormat="1" ht="11.5" customHeight="1" x14ac:dyDescent="0.35">
      <c r="A8" s="8" t="s">
        <v>232</v>
      </c>
      <c r="B8" s="28" t="s">
        <v>212</v>
      </c>
      <c r="C8" s="28" t="s">
        <v>233</v>
      </c>
      <c r="D8" s="30">
        <v>46199</v>
      </c>
      <c r="E8" s="28" t="s">
        <v>233</v>
      </c>
      <c r="F8" s="28" t="s">
        <v>212</v>
      </c>
      <c r="G8" s="30">
        <v>46201</v>
      </c>
      <c r="H8" s="28" t="s">
        <v>212</v>
      </c>
      <c r="I8" s="28" t="s">
        <v>212</v>
      </c>
      <c r="J8" s="28" t="s">
        <v>227</v>
      </c>
      <c r="K8" s="28" t="s">
        <v>212</v>
      </c>
      <c r="L8" s="28" t="s">
        <v>212</v>
      </c>
      <c r="M8" s="27">
        <v>46195</v>
      </c>
      <c r="N8" s="28" t="s">
        <v>212</v>
      </c>
      <c r="O8" s="28" t="s">
        <v>233</v>
      </c>
      <c r="P8" s="28" t="s">
        <v>212</v>
      </c>
      <c r="Q8" s="28" t="s">
        <v>227</v>
      </c>
      <c r="R8" s="28" t="s">
        <v>234</v>
      </c>
      <c r="S8" s="28" t="s">
        <v>212</v>
      </c>
      <c r="T8" s="27">
        <v>46195</v>
      </c>
      <c r="U8" s="27">
        <v>46193</v>
      </c>
      <c r="V8" s="27">
        <v>46194</v>
      </c>
      <c r="W8" s="28" t="s">
        <v>233</v>
      </c>
      <c r="X8" s="28" t="s">
        <v>212</v>
      </c>
      <c r="Y8" s="27">
        <v>46195</v>
      </c>
      <c r="Z8" s="27">
        <v>46195</v>
      </c>
      <c r="AA8" s="28" t="s">
        <v>212</v>
      </c>
      <c r="AB8" s="35">
        <v>45994</v>
      </c>
      <c r="AC8" s="28" t="s">
        <v>212</v>
      </c>
      <c r="AD8" s="28" t="s">
        <v>212</v>
      </c>
      <c r="AE8" s="28" t="s">
        <v>234</v>
      </c>
      <c r="AF8" s="28" t="s">
        <v>212</v>
      </c>
      <c r="AG8" s="28" t="s">
        <v>212</v>
      </c>
      <c r="AH8" s="30">
        <v>46200</v>
      </c>
      <c r="AI8" s="28" t="s">
        <v>212</v>
      </c>
      <c r="AJ8" s="28" t="s">
        <v>212</v>
      </c>
      <c r="AK8" s="28" t="s">
        <v>227</v>
      </c>
      <c r="AL8" s="28" t="s">
        <v>212</v>
      </c>
      <c r="AM8" s="28" t="s">
        <v>212</v>
      </c>
      <c r="AN8" s="28" t="s">
        <v>212</v>
      </c>
      <c r="AO8" s="28" t="s">
        <v>212</v>
      </c>
      <c r="AP8" s="28" t="s">
        <v>227</v>
      </c>
      <c r="AQ8" s="28" t="s">
        <v>234</v>
      </c>
      <c r="AR8" s="28" t="s">
        <v>212</v>
      </c>
      <c r="AS8" s="28" t="s">
        <v>212</v>
      </c>
      <c r="AT8" s="28" t="s">
        <v>212</v>
      </c>
      <c r="AU8" s="28" t="s">
        <v>212</v>
      </c>
      <c r="AV8" s="28" t="s">
        <v>212</v>
      </c>
      <c r="AW8" s="28" t="s">
        <v>212</v>
      </c>
      <c r="AX8" s="28" t="s">
        <v>212</v>
      </c>
      <c r="AY8" s="28" t="s">
        <v>212</v>
      </c>
      <c r="AZ8" s="28" t="s">
        <v>212</v>
      </c>
      <c r="BA8" s="28" t="s">
        <v>212</v>
      </c>
      <c r="BB8" s="28" t="s">
        <v>212</v>
      </c>
      <c r="BC8" s="28" t="s">
        <v>212</v>
      </c>
      <c r="BD8" s="28" t="s">
        <v>212</v>
      </c>
      <c r="BE8" s="28" t="s">
        <v>212</v>
      </c>
      <c r="BF8" s="35">
        <v>45979</v>
      </c>
      <c r="BG8" s="28" t="s">
        <v>212</v>
      </c>
      <c r="BH8" s="28" t="s">
        <v>212</v>
      </c>
      <c r="BI8" s="28" t="s">
        <v>233</v>
      </c>
      <c r="BJ8" s="28" t="s">
        <v>212</v>
      </c>
      <c r="BK8" s="28" t="s">
        <v>212</v>
      </c>
      <c r="BL8" s="28" t="s">
        <v>212</v>
      </c>
      <c r="BM8" s="28" t="s">
        <v>212</v>
      </c>
      <c r="BN8" s="28" t="s">
        <v>212</v>
      </c>
      <c r="BO8" s="28" t="s">
        <v>212</v>
      </c>
      <c r="BP8" s="28" t="s">
        <v>212</v>
      </c>
      <c r="BQ8" s="28" t="s">
        <v>212</v>
      </c>
      <c r="BR8" s="28" t="s">
        <v>212</v>
      </c>
      <c r="BS8" s="28" t="s">
        <v>212</v>
      </c>
      <c r="BT8" s="28" t="s">
        <v>212</v>
      </c>
      <c r="BU8" s="28" t="s">
        <v>212</v>
      </c>
      <c r="BV8" s="28" t="s">
        <v>212</v>
      </c>
      <c r="BW8" s="28" t="s">
        <v>212</v>
      </c>
      <c r="BX8" s="28" t="s">
        <v>212</v>
      </c>
      <c r="BY8" s="28" t="s">
        <v>212</v>
      </c>
      <c r="BZ8" s="28" t="s">
        <v>212</v>
      </c>
      <c r="CA8" s="28" t="s">
        <v>212</v>
      </c>
      <c r="CB8" s="28" t="s">
        <v>212</v>
      </c>
      <c r="CC8" s="28" t="s">
        <v>212</v>
      </c>
      <c r="CD8" s="28" t="s">
        <v>212</v>
      </c>
      <c r="CE8" s="28" t="s">
        <v>212</v>
      </c>
      <c r="CF8" s="28" t="s">
        <v>212</v>
      </c>
      <c r="CG8" s="28" t="s">
        <v>212</v>
      </c>
      <c r="CH8" s="28" t="s">
        <v>212</v>
      </c>
      <c r="CI8" s="28" t="s">
        <v>212</v>
      </c>
      <c r="CJ8" s="28" t="s">
        <v>212</v>
      </c>
      <c r="CK8" s="28" t="s">
        <v>212</v>
      </c>
      <c r="CL8" s="28" t="s">
        <v>212</v>
      </c>
      <c r="CM8" s="28" t="s">
        <v>212</v>
      </c>
      <c r="CN8" s="28" t="s">
        <v>212</v>
      </c>
      <c r="CO8" s="28" t="s">
        <v>212</v>
      </c>
      <c r="CP8" s="28" t="s">
        <v>212</v>
      </c>
      <c r="CQ8" s="28" t="s">
        <v>212</v>
      </c>
      <c r="CR8" s="28" t="s">
        <v>212</v>
      </c>
      <c r="CS8" s="28" t="s">
        <v>212</v>
      </c>
      <c r="CT8" s="28" t="s">
        <v>212</v>
      </c>
      <c r="CU8" s="28" t="s">
        <v>212</v>
      </c>
      <c r="CV8" s="28" t="s">
        <v>212</v>
      </c>
      <c r="CW8" s="28" t="s">
        <v>212</v>
      </c>
      <c r="CX8" s="28" t="s">
        <v>212</v>
      </c>
      <c r="CY8" s="28" t="s">
        <v>212</v>
      </c>
      <c r="CZ8" s="28" t="s">
        <v>212</v>
      </c>
      <c r="DA8" s="28" t="s">
        <v>233</v>
      </c>
      <c r="DB8" s="28" t="s">
        <v>233</v>
      </c>
      <c r="DC8" s="35">
        <v>46010</v>
      </c>
      <c r="DD8" s="28" t="s">
        <v>233</v>
      </c>
      <c r="DE8" s="28" t="s">
        <v>212</v>
      </c>
      <c r="DF8" s="28" t="s">
        <v>212</v>
      </c>
      <c r="DG8" s="31" t="s">
        <v>212</v>
      </c>
      <c r="DH8" s="31">
        <f t="shared" si="0"/>
        <v>27</v>
      </c>
      <c r="DI8" s="31">
        <f t="shared" si="1"/>
        <v>110</v>
      </c>
      <c r="DJ8" s="32">
        <f t="shared" si="2"/>
        <v>0.24545454545454545</v>
      </c>
      <c r="DK8" s="31" t="str">
        <f t="shared" si="3"/>
        <v>RED</v>
      </c>
      <c r="DL8" s="31">
        <f t="shared" si="4"/>
        <v>83</v>
      </c>
      <c r="DM8" s="31">
        <f t="shared" si="5"/>
        <v>0</v>
      </c>
    </row>
    <row r="9" spans="1:117" s="33" customFormat="1" ht="11.5" customHeight="1" x14ac:dyDescent="0.35">
      <c r="A9" s="8" t="s">
        <v>235</v>
      </c>
      <c r="B9" s="28" t="s">
        <v>212</v>
      </c>
      <c r="C9" s="28" t="s">
        <v>227</v>
      </c>
      <c r="D9" s="27">
        <v>46194</v>
      </c>
      <c r="E9" s="28" t="s">
        <v>227</v>
      </c>
      <c r="F9" s="27">
        <v>46195</v>
      </c>
      <c r="G9" s="27">
        <v>46193</v>
      </c>
      <c r="H9" s="28" t="s">
        <v>212</v>
      </c>
      <c r="I9" s="28" t="s">
        <v>212</v>
      </c>
      <c r="J9" s="27">
        <v>46193</v>
      </c>
      <c r="K9" s="29" t="s">
        <v>219</v>
      </c>
      <c r="L9" s="30">
        <v>46200</v>
      </c>
      <c r="M9" s="27">
        <v>46193</v>
      </c>
      <c r="N9" s="28" t="s">
        <v>212</v>
      </c>
      <c r="O9" s="28" t="s">
        <v>233</v>
      </c>
      <c r="P9" s="28" t="s">
        <v>212</v>
      </c>
      <c r="Q9" s="28" t="s">
        <v>228</v>
      </c>
      <c r="R9" s="28" t="s">
        <v>228</v>
      </c>
      <c r="S9" s="30">
        <v>46199</v>
      </c>
      <c r="T9" s="28" t="s">
        <v>228</v>
      </c>
      <c r="U9" s="27">
        <v>46193</v>
      </c>
      <c r="V9" s="28" t="s">
        <v>212</v>
      </c>
      <c r="W9" s="28" t="s">
        <v>227</v>
      </c>
      <c r="X9" s="27">
        <v>46193</v>
      </c>
      <c r="Y9" s="28" t="s">
        <v>212</v>
      </c>
      <c r="Z9" s="28" t="s">
        <v>236</v>
      </c>
      <c r="AA9" s="27">
        <v>46195</v>
      </c>
      <c r="AB9" s="28" t="s">
        <v>237</v>
      </c>
      <c r="AC9" s="28" t="s">
        <v>212</v>
      </c>
      <c r="AD9" s="30">
        <v>46194</v>
      </c>
      <c r="AE9" s="28" t="s">
        <v>236</v>
      </c>
      <c r="AF9" s="27">
        <v>46194</v>
      </c>
      <c r="AG9" s="27">
        <v>46193</v>
      </c>
      <c r="AH9" s="28" t="s">
        <v>212</v>
      </c>
      <c r="AI9" s="29" t="s">
        <v>219</v>
      </c>
      <c r="AJ9" s="27">
        <v>46195</v>
      </c>
      <c r="AK9" s="35">
        <v>45987</v>
      </c>
      <c r="AL9" s="30">
        <v>46200</v>
      </c>
      <c r="AM9" s="28" t="s">
        <v>212</v>
      </c>
      <c r="AN9" s="28" t="s">
        <v>212</v>
      </c>
      <c r="AO9" s="28" t="s">
        <v>212</v>
      </c>
      <c r="AP9" s="28" t="s">
        <v>228</v>
      </c>
      <c r="AQ9" s="28" t="s">
        <v>236</v>
      </c>
      <c r="AR9" s="27">
        <v>46194</v>
      </c>
      <c r="AS9" s="27">
        <v>46194</v>
      </c>
      <c r="AT9" s="28" t="s">
        <v>212</v>
      </c>
      <c r="AU9" s="28" t="s">
        <v>212</v>
      </c>
      <c r="AV9" s="28" t="s">
        <v>212</v>
      </c>
      <c r="AW9" s="28" t="s">
        <v>212</v>
      </c>
      <c r="AX9" s="28" t="s">
        <v>212</v>
      </c>
      <c r="AY9" s="28" t="s">
        <v>212</v>
      </c>
      <c r="AZ9" s="28" t="s">
        <v>212</v>
      </c>
      <c r="BA9" s="28" t="s">
        <v>212</v>
      </c>
      <c r="BB9" s="28" t="s">
        <v>212</v>
      </c>
      <c r="BC9" s="28" t="s">
        <v>212</v>
      </c>
      <c r="BD9" s="28" t="s">
        <v>212</v>
      </c>
      <c r="BE9" s="28" t="s">
        <v>212</v>
      </c>
      <c r="BF9" s="35">
        <v>45979</v>
      </c>
      <c r="BG9" s="28" t="s">
        <v>212</v>
      </c>
      <c r="BH9" s="28" t="s">
        <v>212</v>
      </c>
      <c r="BI9" s="28" t="s">
        <v>238</v>
      </c>
      <c r="BJ9" s="28" t="s">
        <v>212</v>
      </c>
      <c r="BK9" s="30">
        <v>46194</v>
      </c>
      <c r="BL9" s="28" t="s">
        <v>212</v>
      </c>
      <c r="BM9" s="28" t="s">
        <v>212</v>
      </c>
      <c r="BN9" s="28" t="s">
        <v>212</v>
      </c>
      <c r="BO9" s="28" t="s">
        <v>212</v>
      </c>
      <c r="BP9" s="28" t="s">
        <v>212</v>
      </c>
      <c r="BQ9" s="28" t="s">
        <v>212</v>
      </c>
      <c r="BR9" s="28" t="s">
        <v>212</v>
      </c>
      <c r="BS9" s="28" t="s">
        <v>212</v>
      </c>
      <c r="BT9" s="28" t="s">
        <v>212</v>
      </c>
      <c r="BU9" s="35">
        <v>45981</v>
      </c>
      <c r="BV9" s="28" t="s">
        <v>212</v>
      </c>
      <c r="BW9" s="28" t="s">
        <v>212</v>
      </c>
      <c r="BX9" s="28" t="s">
        <v>212</v>
      </c>
      <c r="BY9" s="28" t="s">
        <v>212</v>
      </c>
      <c r="BZ9" s="28" t="s">
        <v>212</v>
      </c>
      <c r="CA9" s="28" t="s">
        <v>212</v>
      </c>
      <c r="CB9" s="28" t="s">
        <v>212</v>
      </c>
      <c r="CC9" s="28" t="s">
        <v>212</v>
      </c>
      <c r="CD9" s="28" t="s">
        <v>212</v>
      </c>
      <c r="CE9" s="28" t="s">
        <v>212</v>
      </c>
      <c r="CF9" s="28" t="s">
        <v>212</v>
      </c>
      <c r="CG9" s="28" t="s">
        <v>212</v>
      </c>
      <c r="CH9" s="28" t="s">
        <v>212</v>
      </c>
      <c r="CI9" s="28" t="s">
        <v>212</v>
      </c>
      <c r="CJ9" s="28" t="s">
        <v>212</v>
      </c>
      <c r="CK9" s="28" t="s">
        <v>212</v>
      </c>
      <c r="CL9" s="28" t="s">
        <v>212</v>
      </c>
      <c r="CM9" s="28" t="s">
        <v>212</v>
      </c>
      <c r="CN9" s="28" t="s">
        <v>239</v>
      </c>
      <c r="CO9" s="28" t="s">
        <v>212</v>
      </c>
      <c r="CP9" s="28" t="s">
        <v>212</v>
      </c>
      <c r="CQ9" s="28" t="s">
        <v>212</v>
      </c>
      <c r="CR9" s="28" t="s">
        <v>212</v>
      </c>
      <c r="CS9" s="28" t="s">
        <v>212</v>
      </c>
      <c r="CT9" s="28" t="s">
        <v>212</v>
      </c>
      <c r="CU9" s="28" t="s">
        <v>212</v>
      </c>
      <c r="CV9" s="28" t="s">
        <v>212</v>
      </c>
      <c r="CW9" s="28" t="s">
        <v>212</v>
      </c>
      <c r="CX9" s="28" t="s">
        <v>212</v>
      </c>
      <c r="CY9" s="28" t="s">
        <v>212</v>
      </c>
      <c r="CZ9" s="28" t="s">
        <v>212</v>
      </c>
      <c r="DA9" s="28" t="s">
        <v>227</v>
      </c>
      <c r="DB9" s="28" t="s">
        <v>227</v>
      </c>
      <c r="DC9" s="35">
        <v>46001</v>
      </c>
      <c r="DD9" s="28" t="s">
        <v>227</v>
      </c>
      <c r="DE9" s="28" t="s">
        <v>227</v>
      </c>
      <c r="DF9" s="28" t="s">
        <v>212</v>
      </c>
      <c r="DG9" s="31" t="s">
        <v>240</v>
      </c>
      <c r="DH9" s="31">
        <f t="shared" si="0"/>
        <v>43</v>
      </c>
      <c r="DI9" s="31">
        <f t="shared" si="1"/>
        <v>110</v>
      </c>
      <c r="DJ9" s="32">
        <f t="shared" si="2"/>
        <v>0.39090909090909093</v>
      </c>
      <c r="DK9" s="31" t="str">
        <f t="shared" si="3"/>
        <v>RED</v>
      </c>
      <c r="DL9" s="31">
        <f t="shared" si="4"/>
        <v>67</v>
      </c>
      <c r="DM9" s="31">
        <f t="shared" si="5"/>
        <v>0</v>
      </c>
    </row>
    <row r="10" spans="1:117" s="33" customFormat="1" ht="11.5" customHeight="1" x14ac:dyDescent="0.35">
      <c r="A10" s="8" t="s">
        <v>241</v>
      </c>
      <c r="B10" s="28" t="s">
        <v>242</v>
      </c>
      <c r="C10" s="28" t="s">
        <v>212</v>
      </c>
      <c r="D10" s="28" t="s">
        <v>212</v>
      </c>
      <c r="E10" s="27">
        <v>46192</v>
      </c>
      <c r="F10" s="28" t="s">
        <v>212</v>
      </c>
      <c r="G10" s="28" t="s">
        <v>212</v>
      </c>
      <c r="H10" s="28" t="s">
        <v>212</v>
      </c>
      <c r="I10" s="28" t="s">
        <v>212</v>
      </c>
      <c r="J10" s="28" t="s">
        <v>212</v>
      </c>
      <c r="K10" s="28" t="s">
        <v>212</v>
      </c>
      <c r="L10" s="28" t="s">
        <v>212</v>
      </c>
      <c r="M10" s="28" t="s">
        <v>212</v>
      </c>
      <c r="N10" s="28" t="s">
        <v>212</v>
      </c>
      <c r="O10" s="34" t="s">
        <v>217</v>
      </c>
      <c r="P10" s="28" t="s">
        <v>212</v>
      </c>
      <c r="Q10" s="28" t="s">
        <v>212</v>
      </c>
      <c r="R10" s="28" t="s">
        <v>212</v>
      </c>
      <c r="S10" s="27">
        <v>46192</v>
      </c>
      <c r="T10" s="28" t="s">
        <v>212</v>
      </c>
      <c r="U10" s="34" t="s">
        <v>217</v>
      </c>
      <c r="V10" s="28" t="s">
        <v>212</v>
      </c>
      <c r="W10" s="28" t="s">
        <v>212</v>
      </c>
      <c r="X10" s="28" t="s">
        <v>212</v>
      </c>
      <c r="Y10" s="28" t="s">
        <v>212</v>
      </c>
      <c r="Z10" s="28" t="s">
        <v>212</v>
      </c>
      <c r="AA10" s="28" t="s">
        <v>212</v>
      </c>
      <c r="AB10" s="28" t="s">
        <v>212</v>
      </c>
      <c r="AC10" s="28" t="s">
        <v>212</v>
      </c>
      <c r="AD10" s="28" t="s">
        <v>212</v>
      </c>
      <c r="AE10" s="28" t="s">
        <v>212</v>
      </c>
      <c r="AF10" s="28" t="s">
        <v>212</v>
      </c>
      <c r="AG10" s="27">
        <v>46192</v>
      </c>
      <c r="AH10" s="28" t="s">
        <v>212</v>
      </c>
      <c r="AI10" s="28" t="s">
        <v>212</v>
      </c>
      <c r="AJ10" s="28" t="s">
        <v>212</v>
      </c>
      <c r="AK10" s="28" t="s">
        <v>212</v>
      </c>
      <c r="AL10" s="28" t="s">
        <v>212</v>
      </c>
      <c r="AM10" s="27">
        <v>46194</v>
      </c>
      <c r="AN10" s="28" t="s">
        <v>212</v>
      </c>
      <c r="AO10" s="27">
        <v>46194</v>
      </c>
      <c r="AP10" s="28" t="s">
        <v>212</v>
      </c>
      <c r="AQ10" s="28" t="s">
        <v>212</v>
      </c>
      <c r="AR10" s="28" t="s">
        <v>212</v>
      </c>
      <c r="AS10" s="28" t="s">
        <v>212</v>
      </c>
      <c r="AT10" s="27">
        <v>46194</v>
      </c>
      <c r="AU10" s="28" t="s">
        <v>212</v>
      </c>
      <c r="AV10" s="28" t="s">
        <v>212</v>
      </c>
      <c r="AW10" s="28" t="s">
        <v>212</v>
      </c>
      <c r="AX10" s="28" t="s">
        <v>212</v>
      </c>
      <c r="AY10" s="27">
        <v>46192</v>
      </c>
      <c r="AZ10" s="27">
        <v>46192</v>
      </c>
      <c r="BA10" s="27">
        <v>46192</v>
      </c>
      <c r="BB10" s="28" t="s">
        <v>212</v>
      </c>
      <c r="BC10" s="28" t="s">
        <v>212</v>
      </c>
      <c r="BD10" s="28" t="s">
        <v>212</v>
      </c>
      <c r="BE10" s="28" t="s">
        <v>212</v>
      </c>
      <c r="BF10" s="28" t="s">
        <v>212</v>
      </c>
      <c r="BG10" s="28" t="s">
        <v>212</v>
      </c>
      <c r="BH10" s="28" t="s">
        <v>212</v>
      </c>
      <c r="BI10" s="28" t="s">
        <v>212</v>
      </c>
      <c r="BJ10" s="28" t="s">
        <v>212</v>
      </c>
      <c r="BK10" s="28" t="s">
        <v>212</v>
      </c>
      <c r="BL10" s="28" t="s">
        <v>212</v>
      </c>
      <c r="BM10" s="28" t="s">
        <v>212</v>
      </c>
      <c r="BN10" s="28" t="s">
        <v>212</v>
      </c>
      <c r="BO10" s="28" t="s">
        <v>212</v>
      </c>
      <c r="BP10" s="28" t="s">
        <v>212</v>
      </c>
      <c r="BQ10" s="28" t="s">
        <v>212</v>
      </c>
      <c r="BR10" s="28" t="s">
        <v>212</v>
      </c>
      <c r="BS10" s="28" t="s">
        <v>212</v>
      </c>
      <c r="BT10" s="28" t="s">
        <v>212</v>
      </c>
      <c r="BU10" s="28" t="s">
        <v>243</v>
      </c>
      <c r="BV10" s="28" t="s">
        <v>212</v>
      </c>
      <c r="BW10" s="28" t="s">
        <v>212</v>
      </c>
      <c r="BX10" s="28" t="s">
        <v>212</v>
      </c>
      <c r="BY10" s="28" t="s">
        <v>212</v>
      </c>
      <c r="BZ10" s="28" t="s">
        <v>212</v>
      </c>
      <c r="CA10" s="28" t="s">
        <v>212</v>
      </c>
      <c r="CB10" s="28" t="s">
        <v>212</v>
      </c>
      <c r="CC10" s="28" t="s">
        <v>212</v>
      </c>
      <c r="CD10" s="28" t="s">
        <v>212</v>
      </c>
      <c r="CE10" s="28" t="s">
        <v>212</v>
      </c>
      <c r="CF10" s="28" t="s">
        <v>212</v>
      </c>
      <c r="CG10" s="28" t="s">
        <v>212</v>
      </c>
      <c r="CH10" s="28" t="s">
        <v>212</v>
      </c>
      <c r="CI10" s="28" t="s">
        <v>212</v>
      </c>
      <c r="CJ10" s="28" t="s">
        <v>212</v>
      </c>
      <c r="CK10" s="28" t="s">
        <v>212</v>
      </c>
      <c r="CL10" s="28" t="s">
        <v>212</v>
      </c>
      <c r="CM10" s="28" t="s">
        <v>212</v>
      </c>
      <c r="CN10" s="28" t="s">
        <v>212</v>
      </c>
      <c r="CO10" s="28" t="s">
        <v>212</v>
      </c>
      <c r="CP10" s="28" t="s">
        <v>212</v>
      </c>
      <c r="CQ10" s="28" t="s">
        <v>212</v>
      </c>
      <c r="CR10" s="28" t="s">
        <v>212</v>
      </c>
      <c r="CS10" s="28" t="s">
        <v>212</v>
      </c>
      <c r="CT10" s="28" t="s">
        <v>212</v>
      </c>
      <c r="CU10" s="28" t="s">
        <v>212</v>
      </c>
      <c r="CV10" s="28" t="s">
        <v>212</v>
      </c>
      <c r="CW10" s="28" t="s">
        <v>212</v>
      </c>
      <c r="CX10" s="28" t="s">
        <v>212</v>
      </c>
      <c r="CY10" s="28" t="s">
        <v>212</v>
      </c>
      <c r="CZ10" s="28" t="s">
        <v>212</v>
      </c>
      <c r="DA10" s="28" t="s">
        <v>212</v>
      </c>
      <c r="DB10" s="28" t="s">
        <v>212</v>
      </c>
      <c r="DC10" s="28" t="s">
        <v>212</v>
      </c>
      <c r="DD10" s="28" t="s">
        <v>212</v>
      </c>
      <c r="DE10" s="28" t="s">
        <v>212</v>
      </c>
      <c r="DF10" s="28" t="s">
        <v>212</v>
      </c>
      <c r="DG10" s="31" t="s">
        <v>212</v>
      </c>
      <c r="DH10" s="31">
        <f t="shared" si="0"/>
        <v>11</v>
      </c>
      <c r="DI10" s="31">
        <f t="shared" si="1"/>
        <v>110</v>
      </c>
      <c r="DJ10" s="32">
        <f t="shared" si="2"/>
        <v>0.1</v>
      </c>
      <c r="DK10" s="31" t="str">
        <f t="shared" si="3"/>
        <v>RED</v>
      </c>
      <c r="DL10" s="31">
        <f t="shared" si="4"/>
        <v>97</v>
      </c>
      <c r="DM10" s="31">
        <f t="shared" si="5"/>
        <v>2</v>
      </c>
    </row>
    <row r="11" spans="1:117" s="33" customFormat="1" ht="11.5" customHeight="1" x14ac:dyDescent="0.35">
      <c r="A11" s="8" t="s">
        <v>244</v>
      </c>
      <c r="B11" s="28" t="s">
        <v>245</v>
      </c>
      <c r="C11" s="35">
        <v>45228</v>
      </c>
      <c r="D11" s="28" t="s">
        <v>246</v>
      </c>
      <c r="E11" s="27">
        <v>46193</v>
      </c>
      <c r="F11" s="35">
        <v>45227</v>
      </c>
      <c r="G11" s="35">
        <v>46194</v>
      </c>
      <c r="H11" s="35">
        <v>45228</v>
      </c>
      <c r="I11" s="35">
        <v>46193</v>
      </c>
      <c r="J11" s="28" t="s">
        <v>247</v>
      </c>
      <c r="K11" s="35">
        <v>46076</v>
      </c>
      <c r="L11" s="29" t="s">
        <v>240</v>
      </c>
      <c r="M11" s="28" t="s">
        <v>212</v>
      </c>
      <c r="N11" s="28" t="s">
        <v>212</v>
      </c>
      <c r="O11" s="28" t="s">
        <v>225</v>
      </c>
      <c r="P11" s="28" t="s">
        <v>212</v>
      </c>
      <c r="Q11" s="35">
        <v>46061</v>
      </c>
      <c r="R11" s="28" t="s">
        <v>231</v>
      </c>
      <c r="S11" s="28" t="s">
        <v>212</v>
      </c>
      <c r="T11" s="28" t="s">
        <v>248</v>
      </c>
      <c r="U11" s="28" t="s">
        <v>249</v>
      </c>
      <c r="V11" s="28" t="s">
        <v>212</v>
      </c>
      <c r="W11" s="28" t="s">
        <v>225</v>
      </c>
      <c r="X11" s="28" t="s">
        <v>212</v>
      </c>
      <c r="Y11" s="28" t="s">
        <v>212</v>
      </c>
      <c r="Z11" s="28" t="s">
        <v>212</v>
      </c>
      <c r="AA11" s="28" t="s">
        <v>212</v>
      </c>
      <c r="AB11" s="35">
        <v>45994</v>
      </c>
      <c r="AC11" s="28" t="s">
        <v>212</v>
      </c>
      <c r="AD11" s="35">
        <v>46076</v>
      </c>
      <c r="AE11" s="36">
        <v>45228</v>
      </c>
      <c r="AF11" s="28" t="s">
        <v>212</v>
      </c>
      <c r="AG11" s="35">
        <v>46193</v>
      </c>
      <c r="AH11" s="35">
        <v>46076</v>
      </c>
      <c r="AI11" s="28" t="s">
        <v>212</v>
      </c>
      <c r="AJ11" s="29" t="s">
        <v>240</v>
      </c>
      <c r="AK11" s="35">
        <v>45987</v>
      </c>
      <c r="AL11" s="28" t="s">
        <v>212</v>
      </c>
      <c r="AM11" s="28" t="s">
        <v>212</v>
      </c>
      <c r="AN11" s="28" t="s">
        <v>212</v>
      </c>
      <c r="AO11" s="28" t="s">
        <v>212</v>
      </c>
      <c r="AP11" s="29" t="s">
        <v>240</v>
      </c>
      <c r="AQ11" s="36">
        <v>46193</v>
      </c>
      <c r="AR11" s="28" t="s">
        <v>212</v>
      </c>
      <c r="AS11" s="28" t="s">
        <v>212</v>
      </c>
      <c r="AT11" s="28" t="s">
        <v>212</v>
      </c>
      <c r="AU11" s="28" t="s">
        <v>212</v>
      </c>
      <c r="AV11" s="28" t="s">
        <v>212</v>
      </c>
      <c r="AW11" s="28" t="s">
        <v>212</v>
      </c>
      <c r="AX11" s="28" t="s">
        <v>212</v>
      </c>
      <c r="AY11" s="28" t="s">
        <v>212</v>
      </c>
      <c r="AZ11" s="28" t="s">
        <v>212</v>
      </c>
      <c r="BA11" s="28" t="s">
        <v>212</v>
      </c>
      <c r="BB11" s="28" t="s">
        <v>212</v>
      </c>
      <c r="BC11" s="28" t="s">
        <v>212</v>
      </c>
      <c r="BD11" s="28" t="s">
        <v>212</v>
      </c>
      <c r="BE11" s="28" t="s">
        <v>212</v>
      </c>
      <c r="BF11" s="35">
        <v>45979</v>
      </c>
      <c r="BG11" s="28" t="s">
        <v>212</v>
      </c>
      <c r="BH11" s="28" t="s">
        <v>212</v>
      </c>
      <c r="BI11" s="35">
        <v>46193</v>
      </c>
      <c r="BJ11" s="28" t="s">
        <v>212</v>
      </c>
      <c r="BK11" s="28" t="s">
        <v>212</v>
      </c>
      <c r="BL11" s="28" t="s">
        <v>212</v>
      </c>
      <c r="BM11" s="28" t="s">
        <v>212</v>
      </c>
      <c r="BN11" s="35">
        <v>45228</v>
      </c>
      <c r="BO11" s="35">
        <v>45228</v>
      </c>
      <c r="BP11" s="35">
        <v>45228</v>
      </c>
      <c r="BQ11" s="35">
        <v>46061</v>
      </c>
      <c r="BR11" s="28" t="s">
        <v>212</v>
      </c>
      <c r="BS11" s="35">
        <v>45895</v>
      </c>
      <c r="BT11" s="28" t="s">
        <v>212</v>
      </c>
      <c r="BU11" s="35">
        <v>45981</v>
      </c>
      <c r="BV11" s="28" t="s">
        <v>212</v>
      </c>
      <c r="BW11" s="28" t="s">
        <v>212</v>
      </c>
      <c r="BX11" s="28" t="s">
        <v>212</v>
      </c>
      <c r="BY11" s="28" t="s">
        <v>212</v>
      </c>
      <c r="BZ11" s="35">
        <v>45228</v>
      </c>
      <c r="CA11" s="28" t="s">
        <v>212</v>
      </c>
      <c r="CB11" s="28" t="s">
        <v>212</v>
      </c>
      <c r="CC11" s="28" t="s">
        <v>212</v>
      </c>
      <c r="CD11" s="28" t="s">
        <v>212</v>
      </c>
      <c r="CE11" s="28" t="s">
        <v>212</v>
      </c>
      <c r="CF11" s="35">
        <v>46194</v>
      </c>
      <c r="CG11" s="28" t="s">
        <v>212</v>
      </c>
      <c r="CH11" s="28" t="s">
        <v>212</v>
      </c>
      <c r="CI11" s="28" t="s">
        <v>212</v>
      </c>
      <c r="CJ11" s="28" t="s">
        <v>212</v>
      </c>
      <c r="CK11" s="28" t="s">
        <v>212</v>
      </c>
      <c r="CL11" s="28" t="s">
        <v>212</v>
      </c>
      <c r="CM11" s="28" t="s">
        <v>212</v>
      </c>
      <c r="CN11" s="28" t="s">
        <v>212</v>
      </c>
      <c r="CO11" s="28" t="s">
        <v>212</v>
      </c>
      <c r="CP11" s="28" t="s">
        <v>212</v>
      </c>
      <c r="CQ11" s="28" t="s">
        <v>212</v>
      </c>
      <c r="CR11" s="35">
        <v>45228</v>
      </c>
      <c r="CS11" s="28" t="s">
        <v>212</v>
      </c>
      <c r="CT11" s="28" t="s">
        <v>212</v>
      </c>
      <c r="CU11" s="28" t="s">
        <v>212</v>
      </c>
      <c r="CV11" s="28" t="s">
        <v>212</v>
      </c>
      <c r="CW11" s="28" t="s">
        <v>212</v>
      </c>
      <c r="CX11" s="28" t="s">
        <v>212</v>
      </c>
      <c r="CY11" s="35">
        <v>46061</v>
      </c>
      <c r="CZ11" s="35">
        <v>45894</v>
      </c>
      <c r="DA11" s="28" t="s">
        <v>225</v>
      </c>
      <c r="DB11" s="30">
        <v>45228</v>
      </c>
      <c r="DC11" s="35">
        <v>46001</v>
      </c>
      <c r="DD11" s="35">
        <v>45228</v>
      </c>
      <c r="DE11" s="35">
        <v>46076</v>
      </c>
      <c r="DF11" s="35">
        <v>45228</v>
      </c>
      <c r="DG11" s="31" t="s">
        <v>212</v>
      </c>
      <c r="DH11" s="31">
        <f t="shared" si="0"/>
        <v>45</v>
      </c>
      <c r="DI11" s="31">
        <f t="shared" si="1"/>
        <v>110</v>
      </c>
      <c r="DJ11" s="32">
        <f t="shared" si="2"/>
        <v>0.40909090909090912</v>
      </c>
      <c r="DK11" s="31" t="str">
        <f t="shared" si="3"/>
        <v>RED</v>
      </c>
      <c r="DL11" s="31">
        <f t="shared" si="4"/>
        <v>65</v>
      </c>
      <c r="DM11" s="31">
        <f t="shared" si="5"/>
        <v>0</v>
      </c>
    </row>
    <row r="12" spans="1:117" s="33" customFormat="1" ht="11.5" customHeight="1" x14ac:dyDescent="0.35">
      <c r="A12" s="8" t="s">
        <v>250</v>
      </c>
      <c r="B12" s="28" t="s">
        <v>212</v>
      </c>
      <c r="C12" s="28" t="s">
        <v>251</v>
      </c>
      <c r="D12" s="28" t="s">
        <v>212</v>
      </c>
      <c r="E12" s="29" t="s">
        <v>251</v>
      </c>
      <c r="F12" s="28" t="s">
        <v>212</v>
      </c>
      <c r="G12" s="28" t="s">
        <v>212</v>
      </c>
      <c r="H12" s="28" t="s">
        <v>212</v>
      </c>
      <c r="I12" s="28" t="s">
        <v>212</v>
      </c>
      <c r="J12" s="28" t="s">
        <v>231</v>
      </c>
      <c r="K12" s="28" t="s">
        <v>212</v>
      </c>
      <c r="L12" s="29" t="s">
        <v>212</v>
      </c>
      <c r="M12" s="28" t="s">
        <v>212</v>
      </c>
      <c r="N12" s="28" t="s">
        <v>212</v>
      </c>
      <c r="O12" s="28" t="s">
        <v>252</v>
      </c>
      <c r="P12" s="28" t="s">
        <v>212</v>
      </c>
      <c r="Q12" s="28" t="s">
        <v>248</v>
      </c>
      <c r="R12" s="28" t="s">
        <v>231</v>
      </c>
      <c r="S12" s="28" t="s">
        <v>212</v>
      </c>
      <c r="T12" s="28" t="s">
        <v>248</v>
      </c>
      <c r="U12" s="28" t="s">
        <v>212</v>
      </c>
      <c r="V12" s="28" t="s">
        <v>212</v>
      </c>
      <c r="W12" s="28" t="s">
        <v>253</v>
      </c>
      <c r="X12" s="28" t="s">
        <v>212</v>
      </c>
      <c r="Y12" s="28" t="s">
        <v>212</v>
      </c>
      <c r="Z12" s="28" t="s">
        <v>212</v>
      </c>
      <c r="AA12" s="28" t="s">
        <v>212</v>
      </c>
      <c r="AB12" s="35">
        <v>45985</v>
      </c>
      <c r="AC12" s="28" t="s">
        <v>212</v>
      </c>
      <c r="AD12" s="28" t="s">
        <v>212</v>
      </c>
      <c r="AE12" s="29" t="s">
        <v>231</v>
      </c>
      <c r="AF12" s="28" t="s">
        <v>212</v>
      </c>
      <c r="AG12" s="28" t="s">
        <v>212</v>
      </c>
      <c r="AH12" s="28" t="s">
        <v>212</v>
      </c>
      <c r="AI12" s="28" t="s">
        <v>212</v>
      </c>
      <c r="AJ12" s="29" t="s">
        <v>212</v>
      </c>
      <c r="AK12" s="35">
        <v>45987</v>
      </c>
      <c r="AL12" s="28" t="s">
        <v>212</v>
      </c>
      <c r="AM12" s="28" t="s">
        <v>212</v>
      </c>
      <c r="AN12" s="28" t="s">
        <v>212</v>
      </c>
      <c r="AO12" s="28" t="s">
        <v>212</v>
      </c>
      <c r="AP12" s="29" t="s">
        <v>248</v>
      </c>
      <c r="AQ12" s="29" t="s">
        <v>254</v>
      </c>
      <c r="AR12" s="28" t="s">
        <v>212</v>
      </c>
      <c r="AS12" s="28" t="s">
        <v>212</v>
      </c>
      <c r="AT12" s="28" t="s">
        <v>212</v>
      </c>
      <c r="AU12" s="28" t="s">
        <v>212</v>
      </c>
      <c r="AV12" s="28" t="s">
        <v>212</v>
      </c>
      <c r="AW12" s="28" t="s">
        <v>212</v>
      </c>
      <c r="AX12" s="28" t="s">
        <v>212</v>
      </c>
      <c r="AY12" s="28" t="s">
        <v>212</v>
      </c>
      <c r="AZ12" s="28" t="s">
        <v>212</v>
      </c>
      <c r="BA12" s="28" t="s">
        <v>212</v>
      </c>
      <c r="BB12" s="28" t="s">
        <v>212</v>
      </c>
      <c r="BC12" s="28" t="s">
        <v>212</v>
      </c>
      <c r="BD12" s="28" t="s">
        <v>212</v>
      </c>
      <c r="BE12" s="28" t="s">
        <v>212</v>
      </c>
      <c r="BF12" s="35">
        <v>45979</v>
      </c>
      <c r="BG12" s="28" t="s">
        <v>255</v>
      </c>
      <c r="BH12" s="28" t="s">
        <v>212</v>
      </c>
      <c r="BI12" s="28" t="s">
        <v>255</v>
      </c>
      <c r="BJ12" s="28" t="s">
        <v>212</v>
      </c>
      <c r="BK12" s="28" t="s">
        <v>212</v>
      </c>
      <c r="BL12" s="28" t="s">
        <v>212</v>
      </c>
      <c r="BM12" s="28" t="s">
        <v>212</v>
      </c>
      <c r="BN12" s="28" t="s">
        <v>212</v>
      </c>
      <c r="BO12" s="28" t="s">
        <v>212</v>
      </c>
      <c r="BP12" s="28" t="s">
        <v>212</v>
      </c>
      <c r="BQ12" s="28" t="s">
        <v>212</v>
      </c>
      <c r="BR12" s="28" t="s">
        <v>212</v>
      </c>
      <c r="BS12" s="28" t="s">
        <v>212</v>
      </c>
      <c r="BT12" s="28" t="s">
        <v>212</v>
      </c>
      <c r="BU12" s="35">
        <v>45981</v>
      </c>
      <c r="BV12" s="28" t="s">
        <v>212</v>
      </c>
      <c r="BW12" s="28" t="s">
        <v>212</v>
      </c>
      <c r="BX12" s="28" t="s">
        <v>212</v>
      </c>
      <c r="BY12" s="28" t="s">
        <v>212</v>
      </c>
      <c r="BZ12" s="28" t="s">
        <v>212</v>
      </c>
      <c r="CA12" s="28" t="s">
        <v>212</v>
      </c>
      <c r="CB12" s="28" t="s">
        <v>212</v>
      </c>
      <c r="CC12" s="28" t="s">
        <v>212</v>
      </c>
      <c r="CD12" s="28" t="s">
        <v>212</v>
      </c>
      <c r="CE12" s="28" t="s">
        <v>212</v>
      </c>
      <c r="CF12" s="28" t="s">
        <v>212</v>
      </c>
      <c r="CG12" s="28" t="s">
        <v>212</v>
      </c>
      <c r="CH12" s="28" t="s">
        <v>212</v>
      </c>
      <c r="CI12" s="28" t="s">
        <v>212</v>
      </c>
      <c r="CJ12" s="28" t="s">
        <v>212</v>
      </c>
      <c r="CK12" s="28" t="s">
        <v>212</v>
      </c>
      <c r="CL12" s="28" t="s">
        <v>212</v>
      </c>
      <c r="CM12" s="28" t="s">
        <v>212</v>
      </c>
      <c r="CN12" s="28" t="s">
        <v>212</v>
      </c>
      <c r="CO12" s="28" t="s">
        <v>212</v>
      </c>
      <c r="CP12" s="28" t="s">
        <v>212</v>
      </c>
      <c r="CQ12" s="28" t="s">
        <v>212</v>
      </c>
      <c r="CR12" s="28" t="s">
        <v>212</v>
      </c>
      <c r="CS12" s="28" t="s">
        <v>212</v>
      </c>
      <c r="CT12" s="28" t="s">
        <v>212</v>
      </c>
      <c r="CU12" s="28" t="s">
        <v>212</v>
      </c>
      <c r="CV12" s="28" t="s">
        <v>212</v>
      </c>
      <c r="CW12" s="28" t="s">
        <v>212</v>
      </c>
      <c r="CX12" s="28" t="s">
        <v>212</v>
      </c>
      <c r="CY12" s="28" t="s">
        <v>212</v>
      </c>
      <c r="CZ12" s="28" t="s">
        <v>212</v>
      </c>
      <c r="DA12" s="28" t="s">
        <v>256</v>
      </c>
      <c r="DB12" s="28" t="s">
        <v>256</v>
      </c>
      <c r="DC12" s="28" t="s">
        <v>257</v>
      </c>
      <c r="DD12" s="28" t="s">
        <v>256</v>
      </c>
      <c r="DE12" s="28" t="s">
        <v>253</v>
      </c>
      <c r="DF12" s="28" t="s">
        <v>212</v>
      </c>
      <c r="DG12" s="31" t="s">
        <v>212</v>
      </c>
      <c r="DH12" s="31">
        <f t="shared" si="0"/>
        <v>22</v>
      </c>
      <c r="DI12" s="31">
        <f t="shared" si="1"/>
        <v>110</v>
      </c>
      <c r="DJ12" s="32">
        <f t="shared" si="2"/>
        <v>0.2</v>
      </c>
      <c r="DK12" s="31" t="str">
        <f t="shared" si="3"/>
        <v>RED</v>
      </c>
      <c r="DL12" s="31">
        <f t="shared" si="4"/>
        <v>88</v>
      </c>
      <c r="DM12" s="31">
        <f t="shared" si="5"/>
        <v>0</v>
      </c>
    </row>
    <row r="13" spans="1:117" s="33" customFormat="1" ht="11.5" customHeight="1" x14ac:dyDescent="0.35">
      <c r="A13" s="8" t="s">
        <v>99</v>
      </c>
      <c r="B13" s="28" t="s">
        <v>212</v>
      </c>
      <c r="C13" s="28" t="s">
        <v>212</v>
      </c>
      <c r="D13" s="28" t="s">
        <v>212</v>
      </c>
      <c r="E13" s="29" t="s">
        <v>227</v>
      </c>
      <c r="F13" s="28" t="s">
        <v>258</v>
      </c>
      <c r="G13" s="28" t="s">
        <v>212</v>
      </c>
      <c r="H13" s="28" t="s">
        <v>212</v>
      </c>
      <c r="I13" s="28" t="s">
        <v>212</v>
      </c>
      <c r="J13" s="28" t="s">
        <v>228</v>
      </c>
      <c r="K13" s="28" t="s">
        <v>212</v>
      </c>
      <c r="L13" s="29" t="s">
        <v>212</v>
      </c>
      <c r="M13" s="28" t="s">
        <v>212</v>
      </c>
      <c r="N13" s="28" t="s">
        <v>212</v>
      </c>
      <c r="O13" s="28" t="s">
        <v>212</v>
      </c>
      <c r="P13" s="28" t="s">
        <v>212</v>
      </c>
      <c r="Q13" s="28" t="s">
        <v>228</v>
      </c>
      <c r="R13" s="28" t="s">
        <v>259</v>
      </c>
      <c r="S13" s="28" t="s">
        <v>212</v>
      </c>
      <c r="T13" s="28" t="s">
        <v>228</v>
      </c>
      <c r="U13" s="28" t="s">
        <v>212</v>
      </c>
      <c r="V13" s="28" t="s">
        <v>212</v>
      </c>
      <c r="W13" s="28" t="s">
        <v>227</v>
      </c>
      <c r="X13" s="28" t="s">
        <v>212</v>
      </c>
      <c r="Y13" s="28" t="s">
        <v>260</v>
      </c>
      <c r="Z13" s="28" t="s">
        <v>261</v>
      </c>
      <c r="AA13" s="28" t="s">
        <v>212</v>
      </c>
      <c r="AB13" s="35">
        <v>45985</v>
      </c>
      <c r="AC13" s="28" t="s">
        <v>212</v>
      </c>
      <c r="AD13" s="28" t="s">
        <v>212</v>
      </c>
      <c r="AE13" s="29" t="s">
        <v>248</v>
      </c>
      <c r="AF13" s="28" t="s">
        <v>212</v>
      </c>
      <c r="AG13" s="28" t="s">
        <v>262</v>
      </c>
      <c r="AH13" s="28" t="s">
        <v>212</v>
      </c>
      <c r="AI13" s="28" t="s">
        <v>212</v>
      </c>
      <c r="AJ13" s="29" t="s">
        <v>212</v>
      </c>
      <c r="AK13" s="35">
        <v>45987</v>
      </c>
      <c r="AL13" s="28" t="s">
        <v>212</v>
      </c>
      <c r="AM13" s="28" t="s">
        <v>212</v>
      </c>
      <c r="AN13" s="28" t="s">
        <v>212</v>
      </c>
      <c r="AO13" s="28" t="s">
        <v>212</v>
      </c>
      <c r="AP13" s="29" t="s">
        <v>228</v>
      </c>
      <c r="AQ13" s="29" t="s">
        <v>263</v>
      </c>
      <c r="AR13" s="28" t="s">
        <v>212</v>
      </c>
      <c r="AS13" s="28" t="s">
        <v>212</v>
      </c>
      <c r="AT13" s="28" t="s">
        <v>212</v>
      </c>
      <c r="AU13" s="28" t="s">
        <v>212</v>
      </c>
      <c r="AV13" s="28" t="s">
        <v>212</v>
      </c>
      <c r="AW13" s="28" t="s">
        <v>212</v>
      </c>
      <c r="AX13" s="28" t="s">
        <v>212</v>
      </c>
      <c r="AY13" s="28" t="s">
        <v>212</v>
      </c>
      <c r="AZ13" s="28" t="s">
        <v>212</v>
      </c>
      <c r="BA13" s="28" t="s">
        <v>212</v>
      </c>
      <c r="BB13" s="28" t="s">
        <v>212</v>
      </c>
      <c r="BC13" s="28" t="s">
        <v>212</v>
      </c>
      <c r="BD13" s="28" t="s">
        <v>212</v>
      </c>
      <c r="BE13" s="28" t="s">
        <v>212</v>
      </c>
      <c r="BF13" s="35">
        <v>45979</v>
      </c>
      <c r="BG13" s="28" t="s">
        <v>212</v>
      </c>
      <c r="BH13" s="28" t="s">
        <v>212</v>
      </c>
      <c r="BI13" s="28" t="s">
        <v>264</v>
      </c>
      <c r="BJ13" s="28" t="s">
        <v>212</v>
      </c>
      <c r="BK13" s="28" t="s">
        <v>212</v>
      </c>
      <c r="BL13" s="28" t="s">
        <v>212</v>
      </c>
      <c r="BM13" s="28" t="s">
        <v>212</v>
      </c>
      <c r="BN13" s="28" t="s">
        <v>212</v>
      </c>
      <c r="BO13" s="28" t="s">
        <v>212</v>
      </c>
      <c r="BP13" s="28" t="s">
        <v>212</v>
      </c>
      <c r="BQ13" s="28" t="s">
        <v>212</v>
      </c>
      <c r="BR13" s="28" t="s">
        <v>212</v>
      </c>
      <c r="BS13" s="28" t="s">
        <v>212</v>
      </c>
      <c r="BT13" s="28" t="s">
        <v>212</v>
      </c>
      <c r="BU13" s="28" t="s">
        <v>212</v>
      </c>
      <c r="BV13" s="28" t="s">
        <v>212</v>
      </c>
      <c r="BW13" s="28" t="s">
        <v>212</v>
      </c>
      <c r="BX13" s="28" t="s">
        <v>212</v>
      </c>
      <c r="BY13" s="28" t="s">
        <v>212</v>
      </c>
      <c r="BZ13" s="28" t="s">
        <v>212</v>
      </c>
      <c r="CA13" s="28" t="s">
        <v>212</v>
      </c>
      <c r="CB13" s="28" t="s">
        <v>212</v>
      </c>
      <c r="CC13" s="28" t="s">
        <v>259</v>
      </c>
      <c r="CD13" s="28" t="s">
        <v>212</v>
      </c>
      <c r="CE13" s="28" t="s">
        <v>212</v>
      </c>
      <c r="CF13" s="28" t="s">
        <v>212</v>
      </c>
      <c r="CG13" s="28" t="s">
        <v>212</v>
      </c>
      <c r="CH13" s="28" t="s">
        <v>212</v>
      </c>
      <c r="CI13" s="28" t="s">
        <v>212</v>
      </c>
      <c r="CJ13" s="28" t="s">
        <v>212</v>
      </c>
      <c r="CK13" s="28" t="s">
        <v>212</v>
      </c>
      <c r="CL13" s="28" t="s">
        <v>212</v>
      </c>
      <c r="CM13" s="28" t="s">
        <v>212</v>
      </c>
      <c r="CN13" s="28" t="s">
        <v>212</v>
      </c>
      <c r="CO13" s="28" t="s">
        <v>212</v>
      </c>
      <c r="CP13" s="28" t="s">
        <v>212</v>
      </c>
      <c r="CQ13" s="28" t="s">
        <v>212</v>
      </c>
      <c r="CR13" s="28" t="s">
        <v>212</v>
      </c>
      <c r="CS13" s="28" t="s">
        <v>212</v>
      </c>
      <c r="CT13" s="28" t="s">
        <v>212</v>
      </c>
      <c r="CU13" s="28" t="s">
        <v>212</v>
      </c>
      <c r="CV13" s="28" t="s">
        <v>212</v>
      </c>
      <c r="CW13" s="28" t="s">
        <v>212</v>
      </c>
      <c r="CX13" s="28" t="s">
        <v>212</v>
      </c>
      <c r="CY13" s="28" t="s">
        <v>212</v>
      </c>
      <c r="CZ13" s="28" t="s">
        <v>212</v>
      </c>
      <c r="DA13" s="28" t="s">
        <v>212</v>
      </c>
      <c r="DB13" s="28" t="s">
        <v>227</v>
      </c>
      <c r="DC13" s="28" t="s">
        <v>257</v>
      </c>
      <c r="DD13" s="28" t="s">
        <v>212</v>
      </c>
      <c r="DE13" s="28" t="s">
        <v>227</v>
      </c>
      <c r="DF13" s="28" t="s">
        <v>212</v>
      </c>
      <c r="DG13" s="31" t="s">
        <v>212</v>
      </c>
      <c r="DH13" s="31">
        <f t="shared" si="0"/>
        <v>21</v>
      </c>
      <c r="DI13" s="31">
        <f t="shared" si="1"/>
        <v>110</v>
      </c>
      <c r="DJ13" s="32">
        <f t="shared" si="2"/>
        <v>0.19090909090909092</v>
      </c>
      <c r="DK13" s="31" t="str">
        <f t="shared" si="3"/>
        <v>RED</v>
      </c>
      <c r="DL13" s="31">
        <f t="shared" si="4"/>
        <v>89</v>
      </c>
      <c r="DM13" s="31">
        <f t="shared" si="5"/>
        <v>0</v>
      </c>
    </row>
    <row r="14" spans="1:117" s="33" customFormat="1" ht="11.5" customHeight="1" x14ac:dyDescent="0.35">
      <c r="A14" s="8" t="s">
        <v>265</v>
      </c>
      <c r="B14" s="28" t="s">
        <v>231</v>
      </c>
      <c r="C14" s="28" t="s">
        <v>266</v>
      </c>
      <c r="D14" s="28" t="s">
        <v>212</v>
      </c>
      <c r="E14" s="29" t="s">
        <v>267</v>
      </c>
      <c r="F14" s="28" t="s">
        <v>212</v>
      </c>
      <c r="G14" s="28" t="s">
        <v>212</v>
      </c>
      <c r="H14" s="28" t="s">
        <v>212</v>
      </c>
      <c r="I14" s="28" t="s">
        <v>212</v>
      </c>
      <c r="J14" s="28" t="s">
        <v>231</v>
      </c>
      <c r="K14" s="28" t="s">
        <v>212</v>
      </c>
      <c r="L14" s="29" t="s">
        <v>212</v>
      </c>
      <c r="M14" s="28" t="s">
        <v>212</v>
      </c>
      <c r="N14" s="28" t="s">
        <v>212</v>
      </c>
      <c r="O14" s="28" t="s">
        <v>252</v>
      </c>
      <c r="P14" s="28" t="s">
        <v>212</v>
      </c>
      <c r="Q14" s="28" t="s">
        <v>248</v>
      </c>
      <c r="R14" s="28" t="s">
        <v>231</v>
      </c>
      <c r="S14" s="28" t="s">
        <v>212</v>
      </c>
      <c r="T14" s="28" t="s">
        <v>248</v>
      </c>
      <c r="U14" s="28" t="s">
        <v>212</v>
      </c>
      <c r="V14" s="28" t="s">
        <v>212</v>
      </c>
      <c r="W14" s="28" t="s">
        <v>252</v>
      </c>
      <c r="X14" s="28" t="s">
        <v>212</v>
      </c>
      <c r="Y14" s="28" t="s">
        <v>212</v>
      </c>
      <c r="Z14" s="28" t="s">
        <v>212</v>
      </c>
      <c r="AA14" s="28" t="s">
        <v>212</v>
      </c>
      <c r="AB14" s="35">
        <v>45985</v>
      </c>
      <c r="AC14" s="28" t="s">
        <v>212</v>
      </c>
      <c r="AD14" s="28" t="s">
        <v>212</v>
      </c>
      <c r="AE14" s="29" t="s">
        <v>212</v>
      </c>
      <c r="AF14" s="28" t="s">
        <v>212</v>
      </c>
      <c r="AG14" s="28" t="s">
        <v>231</v>
      </c>
      <c r="AH14" s="28" t="s">
        <v>212</v>
      </c>
      <c r="AI14" s="28" t="s">
        <v>212</v>
      </c>
      <c r="AJ14" s="29" t="s">
        <v>212</v>
      </c>
      <c r="AK14" s="28" t="s">
        <v>268</v>
      </c>
      <c r="AL14" s="28" t="s">
        <v>212</v>
      </c>
      <c r="AM14" s="28" t="s">
        <v>212</v>
      </c>
      <c r="AN14" s="28" t="s">
        <v>212</v>
      </c>
      <c r="AO14" s="28" t="s">
        <v>212</v>
      </c>
      <c r="AP14" s="29" t="s">
        <v>248</v>
      </c>
      <c r="AQ14" s="29" t="s">
        <v>269</v>
      </c>
      <c r="AR14" s="28" t="s">
        <v>212</v>
      </c>
      <c r="AS14" s="28" t="s">
        <v>212</v>
      </c>
      <c r="AT14" s="28" t="s">
        <v>212</v>
      </c>
      <c r="AU14" s="28" t="s">
        <v>212</v>
      </c>
      <c r="AV14" s="28" t="s">
        <v>212</v>
      </c>
      <c r="AW14" s="28" t="s">
        <v>212</v>
      </c>
      <c r="AX14" s="28" t="s">
        <v>212</v>
      </c>
      <c r="AY14" s="28" t="s">
        <v>212</v>
      </c>
      <c r="AZ14" s="28" t="s">
        <v>212</v>
      </c>
      <c r="BA14" s="28" t="s">
        <v>212</v>
      </c>
      <c r="BB14" s="28" t="s">
        <v>212</v>
      </c>
      <c r="BC14" s="28" t="s">
        <v>212</v>
      </c>
      <c r="BD14" s="28" t="s">
        <v>212</v>
      </c>
      <c r="BE14" s="28" t="s">
        <v>212</v>
      </c>
      <c r="BF14" s="35">
        <v>45979</v>
      </c>
      <c r="BG14" s="28" t="s">
        <v>268</v>
      </c>
      <c r="BH14" s="28" t="s">
        <v>212</v>
      </c>
      <c r="BI14" s="28" t="s">
        <v>270</v>
      </c>
      <c r="BJ14" s="28" t="s">
        <v>212</v>
      </c>
      <c r="BK14" s="28" t="s">
        <v>212</v>
      </c>
      <c r="BL14" s="28" t="s">
        <v>212</v>
      </c>
      <c r="BM14" s="28" t="s">
        <v>212</v>
      </c>
      <c r="BN14" s="28" t="s">
        <v>212</v>
      </c>
      <c r="BO14" s="28" t="s">
        <v>212</v>
      </c>
      <c r="BP14" s="28" t="s">
        <v>212</v>
      </c>
      <c r="BQ14" s="28" t="s">
        <v>212</v>
      </c>
      <c r="BR14" s="28" t="s">
        <v>212</v>
      </c>
      <c r="BS14" s="28" t="s">
        <v>212</v>
      </c>
      <c r="BT14" s="28" t="s">
        <v>212</v>
      </c>
      <c r="BU14" s="35">
        <v>45981</v>
      </c>
      <c r="BV14" s="28" t="s">
        <v>212</v>
      </c>
      <c r="BW14" s="28" t="s">
        <v>212</v>
      </c>
      <c r="BX14" s="28" t="s">
        <v>212</v>
      </c>
      <c r="BY14" s="28" t="s">
        <v>212</v>
      </c>
      <c r="BZ14" s="28" t="s">
        <v>212</v>
      </c>
      <c r="CA14" s="28" t="s">
        <v>212</v>
      </c>
      <c r="CB14" s="28" t="s">
        <v>212</v>
      </c>
      <c r="CC14" s="28" t="s">
        <v>212</v>
      </c>
      <c r="CD14" s="28" t="s">
        <v>212</v>
      </c>
      <c r="CE14" s="28" t="s">
        <v>212</v>
      </c>
      <c r="CF14" s="28" t="s">
        <v>212</v>
      </c>
      <c r="CG14" s="28" t="s">
        <v>212</v>
      </c>
      <c r="CH14" s="28" t="s">
        <v>212</v>
      </c>
      <c r="CI14" s="28" t="s">
        <v>212</v>
      </c>
      <c r="CJ14" s="28" t="s">
        <v>212</v>
      </c>
      <c r="CK14" s="28" t="s">
        <v>212</v>
      </c>
      <c r="CL14" s="28" t="s">
        <v>212</v>
      </c>
      <c r="CM14" s="28" t="s">
        <v>212</v>
      </c>
      <c r="CN14" s="28" t="s">
        <v>212</v>
      </c>
      <c r="CO14" s="28" t="s">
        <v>212</v>
      </c>
      <c r="CP14" s="28" t="s">
        <v>212</v>
      </c>
      <c r="CQ14" s="28" t="s">
        <v>212</v>
      </c>
      <c r="CR14" s="28" t="s">
        <v>212</v>
      </c>
      <c r="CS14" s="28" t="s">
        <v>212</v>
      </c>
      <c r="CT14" s="28" t="s">
        <v>212</v>
      </c>
      <c r="CU14" s="28" t="s">
        <v>212</v>
      </c>
      <c r="CV14" s="28" t="s">
        <v>212</v>
      </c>
      <c r="CW14" s="28" t="s">
        <v>212</v>
      </c>
      <c r="CX14" s="28" t="s">
        <v>212</v>
      </c>
      <c r="CY14" s="28" t="s">
        <v>212</v>
      </c>
      <c r="CZ14" s="28" t="s">
        <v>212</v>
      </c>
      <c r="DA14" s="28" t="s">
        <v>252</v>
      </c>
      <c r="DB14" s="28" t="s">
        <v>252</v>
      </c>
      <c r="DC14" s="35">
        <v>46010</v>
      </c>
      <c r="DD14" s="28" t="s">
        <v>253</v>
      </c>
      <c r="DE14" s="28" t="s">
        <v>252</v>
      </c>
      <c r="DF14" s="28" t="s">
        <v>212</v>
      </c>
      <c r="DG14" s="31" t="s">
        <v>212</v>
      </c>
      <c r="DH14" s="31">
        <f t="shared" si="0"/>
        <v>23</v>
      </c>
      <c r="DI14" s="31">
        <f t="shared" si="1"/>
        <v>110</v>
      </c>
      <c r="DJ14" s="32">
        <f t="shared" si="2"/>
        <v>0.20909090909090908</v>
      </c>
      <c r="DK14" s="31" t="str">
        <f t="shared" si="3"/>
        <v>RED</v>
      </c>
      <c r="DL14" s="31">
        <f t="shared" si="4"/>
        <v>87</v>
      </c>
      <c r="DM14" s="31">
        <f t="shared" si="5"/>
        <v>0</v>
      </c>
    </row>
    <row r="15" spans="1:117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</row>
    <row r="16" spans="1:117" ht="13.4" customHeight="1" x14ac:dyDescent="0.35">
      <c r="A16" s="9" t="s">
        <v>271</v>
      </c>
      <c r="B16" s="10">
        <f t="shared" ref="B16:AG16" si="6">IFERROR(COUNTIFS(B$3:B$14,"&lt;&gt;NS",B$3:B$14,"&lt;&gt;IP",B$3:B$14,"&lt;&gt;",B$3:B$14,"&lt;&gt;Failed",B$3:B$14,"&lt;&gt;F")/COUNTA($A$3:$A$14),0)</f>
        <v>0.5</v>
      </c>
      <c r="C16" s="10">
        <f t="shared" si="6"/>
        <v>0.66666666666666663</v>
      </c>
      <c r="D16" s="10">
        <f t="shared" si="6"/>
        <v>0.58333333333333337</v>
      </c>
      <c r="E16" s="10">
        <f t="shared" si="6"/>
        <v>0.83333333333333337</v>
      </c>
      <c r="F16" s="10">
        <f t="shared" si="6"/>
        <v>0.58333333333333337</v>
      </c>
      <c r="G16" s="10">
        <f t="shared" si="6"/>
        <v>0.58333333333333337</v>
      </c>
      <c r="H16" s="10">
        <f t="shared" si="6"/>
        <v>0.33333333333333331</v>
      </c>
      <c r="I16" s="10">
        <f t="shared" si="6"/>
        <v>0.16666666666666666</v>
      </c>
      <c r="J16" s="10">
        <f t="shared" si="6"/>
        <v>0.83333333333333337</v>
      </c>
      <c r="K16" s="10">
        <f t="shared" si="6"/>
        <v>0.33333333333333331</v>
      </c>
      <c r="L16" s="10">
        <f t="shared" si="6"/>
        <v>0.25</v>
      </c>
      <c r="M16" s="10">
        <f t="shared" si="6"/>
        <v>0.33333333333333331</v>
      </c>
      <c r="N16" s="10">
        <f t="shared" si="6"/>
        <v>8.3333333333333329E-2</v>
      </c>
      <c r="O16" s="10">
        <f t="shared" si="6"/>
        <v>0.66666666666666663</v>
      </c>
      <c r="P16" s="10">
        <f t="shared" si="6"/>
        <v>8.3333333333333329E-2</v>
      </c>
      <c r="Q16" s="10">
        <f t="shared" si="6"/>
        <v>0.91666666666666663</v>
      </c>
      <c r="R16" s="10">
        <f t="shared" si="6"/>
        <v>0.91666666666666663</v>
      </c>
      <c r="S16" s="10">
        <f t="shared" si="6"/>
        <v>0.25</v>
      </c>
      <c r="T16" s="10">
        <f t="shared" si="6"/>
        <v>0.91666666666666663</v>
      </c>
      <c r="U16" s="10">
        <f t="shared" si="6"/>
        <v>0.66666666666666663</v>
      </c>
      <c r="V16" s="10">
        <f t="shared" si="6"/>
        <v>0.41666666666666669</v>
      </c>
      <c r="W16" s="10">
        <f t="shared" si="6"/>
        <v>0.66666666666666663</v>
      </c>
      <c r="X16" s="10">
        <f t="shared" si="6"/>
        <v>0.25</v>
      </c>
      <c r="Y16" s="10">
        <f t="shared" si="6"/>
        <v>0.41666666666666669</v>
      </c>
      <c r="Z16" s="10">
        <f t="shared" si="6"/>
        <v>0.41666666666666669</v>
      </c>
      <c r="AA16" s="10">
        <f t="shared" si="6"/>
        <v>0.16666666666666666</v>
      </c>
      <c r="AB16" s="10">
        <f t="shared" si="6"/>
        <v>0.83333333333333337</v>
      </c>
      <c r="AC16" s="10">
        <f t="shared" si="6"/>
        <v>0.25</v>
      </c>
      <c r="AD16" s="10">
        <f t="shared" si="6"/>
        <v>0.33333333333333331</v>
      </c>
      <c r="AE16" s="10">
        <f t="shared" si="6"/>
        <v>0.75</v>
      </c>
      <c r="AF16" s="10">
        <f t="shared" si="6"/>
        <v>0.41666666666666669</v>
      </c>
      <c r="AG16" s="10">
        <f t="shared" si="6"/>
        <v>0.66666666666666663</v>
      </c>
      <c r="AH16" s="10">
        <f t="shared" ref="AH16:BM16" si="7">IFERROR(COUNTIFS(AH$3:AH$14,"&lt;&gt;NS",AH$3:AH$14,"&lt;&gt;IP",AH$3:AH$14,"&lt;&gt;",AH$3:AH$14,"&lt;&gt;Failed",AH$3:AH$14,"&lt;&gt;F")/COUNTA($A$3:$A$14),0)</f>
        <v>0.25</v>
      </c>
      <c r="AI16" s="10">
        <f t="shared" si="7"/>
        <v>0.16666666666666666</v>
      </c>
      <c r="AJ16" s="10">
        <f t="shared" si="7"/>
        <v>0.16666666666666666</v>
      </c>
      <c r="AK16" s="10">
        <f t="shared" si="7"/>
        <v>0.75</v>
      </c>
      <c r="AL16" s="10">
        <f t="shared" si="7"/>
        <v>0.25</v>
      </c>
      <c r="AM16" s="10">
        <f t="shared" si="7"/>
        <v>0.16666666666666666</v>
      </c>
      <c r="AN16" s="10">
        <f t="shared" si="7"/>
        <v>8.3333333333333329E-2</v>
      </c>
      <c r="AO16" s="10">
        <f t="shared" si="7"/>
        <v>8.3333333333333329E-2</v>
      </c>
      <c r="AP16" s="10">
        <f t="shared" si="7"/>
        <v>0.75</v>
      </c>
      <c r="AQ16" s="10">
        <f t="shared" si="7"/>
        <v>0.83333333333333337</v>
      </c>
      <c r="AR16" s="10">
        <f t="shared" si="7"/>
        <v>8.3333333333333329E-2</v>
      </c>
      <c r="AS16" s="10">
        <f t="shared" si="7"/>
        <v>0.16666666666666666</v>
      </c>
      <c r="AT16" s="10">
        <f t="shared" si="7"/>
        <v>8.3333333333333329E-2</v>
      </c>
      <c r="AU16" s="10">
        <f t="shared" si="7"/>
        <v>0.16666666666666666</v>
      </c>
      <c r="AV16" s="10">
        <f t="shared" si="7"/>
        <v>0.16666666666666666</v>
      </c>
      <c r="AW16" s="10">
        <f t="shared" si="7"/>
        <v>8.3333333333333329E-2</v>
      </c>
      <c r="AX16" s="10">
        <f t="shared" si="7"/>
        <v>8.3333333333333329E-2</v>
      </c>
      <c r="AY16" s="10">
        <f t="shared" si="7"/>
        <v>0.16666666666666666</v>
      </c>
      <c r="AZ16" s="10">
        <f t="shared" si="7"/>
        <v>0.25</v>
      </c>
      <c r="BA16" s="10">
        <f t="shared" si="7"/>
        <v>8.3333333333333329E-2</v>
      </c>
      <c r="BB16" s="10">
        <f t="shared" si="7"/>
        <v>8.3333333333333329E-2</v>
      </c>
      <c r="BC16" s="10">
        <f t="shared" si="7"/>
        <v>0.16666666666666666</v>
      </c>
      <c r="BD16" s="10">
        <f t="shared" si="7"/>
        <v>8.3333333333333329E-2</v>
      </c>
      <c r="BE16" s="10">
        <f t="shared" si="7"/>
        <v>0.16666666666666666</v>
      </c>
      <c r="BF16" s="10">
        <f t="shared" si="7"/>
        <v>0.91666666666666663</v>
      </c>
      <c r="BG16" s="10">
        <f t="shared" si="7"/>
        <v>0.16666666666666666</v>
      </c>
      <c r="BH16" s="10">
        <f t="shared" si="7"/>
        <v>8.3333333333333329E-2</v>
      </c>
      <c r="BI16" s="10">
        <f t="shared" si="7"/>
        <v>0.58333333333333337</v>
      </c>
      <c r="BJ16" s="10">
        <f t="shared" si="7"/>
        <v>0</v>
      </c>
      <c r="BK16" s="10">
        <f t="shared" si="7"/>
        <v>0.25</v>
      </c>
      <c r="BL16" s="10">
        <f t="shared" si="7"/>
        <v>0</v>
      </c>
      <c r="BM16" s="10">
        <f t="shared" si="7"/>
        <v>0</v>
      </c>
      <c r="BN16" s="10">
        <f t="shared" ref="BN16:CS16" si="8">IFERROR(COUNTIFS(BN$3:BN$14,"&lt;&gt;NS",BN$3:BN$14,"&lt;&gt;IP",BN$3:BN$14,"&lt;&gt;",BN$3:BN$14,"&lt;&gt;Failed",BN$3:BN$14,"&lt;&gt;F")/COUNTA($A$3:$A$14),0)</f>
        <v>8.3333333333333329E-2</v>
      </c>
      <c r="BO16" s="10">
        <f t="shared" si="8"/>
        <v>8.3333333333333329E-2</v>
      </c>
      <c r="BP16" s="10">
        <f t="shared" si="8"/>
        <v>8.3333333333333329E-2</v>
      </c>
      <c r="BQ16" s="10">
        <f t="shared" si="8"/>
        <v>8.3333333333333329E-2</v>
      </c>
      <c r="BR16" s="10">
        <f t="shared" si="8"/>
        <v>0</v>
      </c>
      <c r="BS16" s="10">
        <f t="shared" si="8"/>
        <v>8.3333333333333329E-2</v>
      </c>
      <c r="BT16" s="10">
        <f t="shared" si="8"/>
        <v>0</v>
      </c>
      <c r="BU16" s="10">
        <f t="shared" si="8"/>
        <v>0.41666666666666669</v>
      </c>
      <c r="BV16" s="10">
        <f t="shared" si="8"/>
        <v>0</v>
      </c>
      <c r="BW16" s="10">
        <f t="shared" si="8"/>
        <v>0</v>
      </c>
      <c r="BX16" s="10">
        <f t="shared" si="8"/>
        <v>0</v>
      </c>
      <c r="BY16" s="10">
        <f t="shared" si="8"/>
        <v>0</v>
      </c>
      <c r="BZ16" s="10">
        <f t="shared" si="8"/>
        <v>8.3333333333333329E-2</v>
      </c>
      <c r="CA16" s="10">
        <f t="shared" si="8"/>
        <v>0</v>
      </c>
      <c r="CB16" s="10">
        <f t="shared" si="8"/>
        <v>0</v>
      </c>
      <c r="CC16" s="10">
        <f t="shared" si="8"/>
        <v>8.3333333333333329E-2</v>
      </c>
      <c r="CD16" s="10">
        <f t="shared" si="8"/>
        <v>0</v>
      </c>
      <c r="CE16" s="10">
        <f t="shared" si="8"/>
        <v>0</v>
      </c>
      <c r="CF16" s="10">
        <f t="shared" si="8"/>
        <v>8.3333333333333329E-2</v>
      </c>
      <c r="CG16" s="10">
        <f t="shared" si="8"/>
        <v>0</v>
      </c>
      <c r="CH16" s="10">
        <f t="shared" si="8"/>
        <v>0</v>
      </c>
      <c r="CI16" s="10">
        <f t="shared" si="8"/>
        <v>0</v>
      </c>
      <c r="CJ16" s="10">
        <f t="shared" si="8"/>
        <v>0</v>
      </c>
      <c r="CK16" s="10">
        <f t="shared" si="8"/>
        <v>0</v>
      </c>
      <c r="CL16" s="10">
        <f t="shared" si="8"/>
        <v>0</v>
      </c>
      <c r="CM16" s="10">
        <f t="shared" si="8"/>
        <v>0</v>
      </c>
      <c r="CN16" s="10">
        <f t="shared" si="8"/>
        <v>8.3333333333333329E-2</v>
      </c>
      <c r="CO16" s="10">
        <f t="shared" si="8"/>
        <v>0</v>
      </c>
      <c r="CP16" s="10">
        <f t="shared" si="8"/>
        <v>0</v>
      </c>
      <c r="CQ16" s="10">
        <f t="shared" si="8"/>
        <v>0</v>
      </c>
      <c r="CR16" s="10">
        <f t="shared" si="8"/>
        <v>8.3333333333333329E-2</v>
      </c>
      <c r="CS16" s="10">
        <f t="shared" si="8"/>
        <v>0</v>
      </c>
      <c r="CT16" s="10">
        <f t="shared" ref="CT16:DF16" si="9">IFERROR(COUNTIFS(CT$3:CT$14,"&lt;&gt;NS",CT$3:CT$14,"&lt;&gt;IP",CT$3:CT$14,"&lt;&gt;",CT$3:CT$14,"&lt;&gt;Failed",CT$3:CT$14,"&lt;&gt;F")/COUNTA($A$3:$A$14),0)</f>
        <v>0</v>
      </c>
      <c r="CU16" s="10">
        <f t="shared" si="9"/>
        <v>8.3333333333333329E-2</v>
      </c>
      <c r="CV16" s="10">
        <f t="shared" si="9"/>
        <v>0</v>
      </c>
      <c r="CW16" s="10">
        <f t="shared" si="9"/>
        <v>0</v>
      </c>
      <c r="CX16" s="10">
        <f t="shared" si="9"/>
        <v>0</v>
      </c>
      <c r="CY16" s="10">
        <f t="shared" si="9"/>
        <v>8.3333333333333329E-2</v>
      </c>
      <c r="CZ16" s="10">
        <f t="shared" si="9"/>
        <v>8.3333333333333329E-2</v>
      </c>
      <c r="DA16" s="10">
        <f t="shared" si="9"/>
        <v>0.5</v>
      </c>
      <c r="DB16" s="10">
        <f t="shared" si="9"/>
        <v>0.58333333333333337</v>
      </c>
      <c r="DC16" s="10">
        <f t="shared" si="9"/>
        <v>0.91666666666666663</v>
      </c>
      <c r="DD16" s="10">
        <f t="shared" si="9"/>
        <v>0.41666666666666669</v>
      </c>
      <c r="DE16" s="10">
        <f t="shared" si="9"/>
        <v>0.5</v>
      </c>
      <c r="DF16" s="10">
        <f t="shared" si="9"/>
        <v>8.3333333333333329E-2</v>
      </c>
      <c r="DG16" s="1"/>
      <c r="DH16" s="1"/>
      <c r="DI16" s="1"/>
      <c r="DJ16" s="1"/>
      <c r="DK16" s="1"/>
      <c r="DL16" s="1"/>
      <c r="DM16" s="1"/>
    </row>
    <row r="17" spans="1:117" ht="13.4" customHeight="1" x14ac:dyDescent="0.35">
      <c r="A17" s="2" t="s">
        <v>272</v>
      </c>
      <c r="B17" s="11" t="str">
        <f t="shared" ref="B17:AG17" si="10">COUNTIFS(B$3:B$14,"&lt;&gt;NS",B$3:B$14,"&lt;&gt;IP",B$3:B$14,"&lt;&gt;",B$3:B$14,"&lt;&gt;Failed",B$3:B$14,"&lt;&gt;F")&amp;"/"&amp;COUNTA($A$3:$A$14)</f>
        <v>6/12</v>
      </c>
      <c r="C17" s="11" t="str">
        <f t="shared" si="10"/>
        <v>8/12</v>
      </c>
      <c r="D17" s="11" t="str">
        <f t="shared" si="10"/>
        <v>7/12</v>
      </c>
      <c r="E17" s="11" t="str">
        <f t="shared" si="10"/>
        <v>10/12</v>
      </c>
      <c r="F17" s="11" t="str">
        <f t="shared" si="10"/>
        <v>7/12</v>
      </c>
      <c r="G17" s="11" t="str">
        <f t="shared" si="10"/>
        <v>7/12</v>
      </c>
      <c r="H17" s="11" t="str">
        <f t="shared" si="10"/>
        <v>4/12</v>
      </c>
      <c r="I17" s="11" t="str">
        <f t="shared" si="10"/>
        <v>2/12</v>
      </c>
      <c r="J17" s="11" t="str">
        <f t="shared" si="10"/>
        <v>10/12</v>
      </c>
      <c r="K17" s="11" t="str">
        <f t="shared" si="10"/>
        <v>4/12</v>
      </c>
      <c r="L17" s="11" t="str">
        <f t="shared" si="10"/>
        <v>3/12</v>
      </c>
      <c r="M17" s="11" t="str">
        <f t="shared" si="10"/>
        <v>4/12</v>
      </c>
      <c r="N17" s="11" t="str">
        <f t="shared" si="10"/>
        <v>1/12</v>
      </c>
      <c r="O17" s="11" t="str">
        <f t="shared" si="10"/>
        <v>8/12</v>
      </c>
      <c r="P17" s="11" t="str">
        <f t="shared" si="10"/>
        <v>1/12</v>
      </c>
      <c r="Q17" s="11" t="str">
        <f t="shared" si="10"/>
        <v>11/12</v>
      </c>
      <c r="R17" s="11" t="str">
        <f t="shared" si="10"/>
        <v>11/12</v>
      </c>
      <c r="S17" s="11" t="str">
        <f t="shared" si="10"/>
        <v>3/12</v>
      </c>
      <c r="T17" s="11" t="str">
        <f t="shared" si="10"/>
        <v>11/12</v>
      </c>
      <c r="U17" s="11" t="str">
        <f t="shared" si="10"/>
        <v>8/12</v>
      </c>
      <c r="V17" s="11" t="str">
        <f t="shared" si="10"/>
        <v>5/12</v>
      </c>
      <c r="W17" s="11" t="str">
        <f t="shared" si="10"/>
        <v>8/12</v>
      </c>
      <c r="X17" s="11" t="str">
        <f t="shared" si="10"/>
        <v>3/12</v>
      </c>
      <c r="Y17" s="11" t="str">
        <f t="shared" si="10"/>
        <v>5/12</v>
      </c>
      <c r="Z17" s="11" t="str">
        <f t="shared" si="10"/>
        <v>5/12</v>
      </c>
      <c r="AA17" s="11" t="str">
        <f t="shared" si="10"/>
        <v>2/12</v>
      </c>
      <c r="AB17" s="11" t="str">
        <f t="shared" si="10"/>
        <v>10/12</v>
      </c>
      <c r="AC17" s="11" t="str">
        <f t="shared" si="10"/>
        <v>3/12</v>
      </c>
      <c r="AD17" s="11" t="str">
        <f t="shared" si="10"/>
        <v>4/12</v>
      </c>
      <c r="AE17" s="11" t="str">
        <f t="shared" si="10"/>
        <v>9/12</v>
      </c>
      <c r="AF17" s="11" t="str">
        <f t="shared" si="10"/>
        <v>5/12</v>
      </c>
      <c r="AG17" s="11" t="str">
        <f t="shared" si="10"/>
        <v>8/12</v>
      </c>
      <c r="AH17" s="11" t="str">
        <f t="shared" ref="AH17:BM17" si="11">COUNTIFS(AH$3:AH$14,"&lt;&gt;NS",AH$3:AH$14,"&lt;&gt;IP",AH$3:AH$14,"&lt;&gt;",AH$3:AH$14,"&lt;&gt;Failed",AH$3:AH$14,"&lt;&gt;F")&amp;"/"&amp;COUNTA($A$3:$A$14)</f>
        <v>3/12</v>
      </c>
      <c r="AI17" s="11" t="str">
        <f t="shared" si="11"/>
        <v>2/12</v>
      </c>
      <c r="AJ17" s="11" t="str">
        <f t="shared" si="11"/>
        <v>2/12</v>
      </c>
      <c r="AK17" s="11" t="str">
        <f t="shared" si="11"/>
        <v>9/12</v>
      </c>
      <c r="AL17" s="11" t="str">
        <f t="shared" si="11"/>
        <v>3/12</v>
      </c>
      <c r="AM17" s="11" t="str">
        <f t="shared" si="11"/>
        <v>2/12</v>
      </c>
      <c r="AN17" s="11" t="str">
        <f t="shared" si="11"/>
        <v>1/12</v>
      </c>
      <c r="AO17" s="11" t="str">
        <f t="shared" si="11"/>
        <v>1/12</v>
      </c>
      <c r="AP17" s="11" t="str">
        <f t="shared" si="11"/>
        <v>9/12</v>
      </c>
      <c r="AQ17" s="11" t="str">
        <f t="shared" si="11"/>
        <v>10/12</v>
      </c>
      <c r="AR17" s="11" t="str">
        <f t="shared" si="11"/>
        <v>1/12</v>
      </c>
      <c r="AS17" s="11" t="str">
        <f t="shared" si="11"/>
        <v>2/12</v>
      </c>
      <c r="AT17" s="11" t="str">
        <f t="shared" si="11"/>
        <v>1/12</v>
      </c>
      <c r="AU17" s="11" t="str">
        <f t="shared" si="11"/>
        <v>2/12</v>
      </c>
      <c r="AV17" s="11" t="str">
        <f t="shared" si="11"/>
        <v>2/12</v>
      </c>
      <c r="AW17" s="11" t="str">
        <f t="shared" si="11"/>
        <v>1/12</v>
      </c>
      <c r="AX17" s="11" t="str">
        <f t="shared" si="11"/>
        <v>1/12</v>
      </c>
      <c r="AY17" s="11" t="str">
        <f t="shared" si="11"/>
        <v>2/12</v>
      </c>
      <c r="AZ17" s="11" t="str">
        <f t="shared" si="11"/>
        <v>3/12</v>
      </c>
      <c r="BA17" s="11" t="str">
        <f t="shared" si="11"/>
        <v>1/12</v>
      </c>
      <c r="BB17" s="11" t="str">
        <f t="shared" si="11"/>
        <v>1/12</v>
      </c>
      <c r="BC17" s="11" t="str">
        <f t="shared" si="11"/>
        <v>2/12</v>
      </c>
      <c r="BD17" s="11" t="str">
        <f t="shared" si="11"/>
        <v>1/12</v>
      </c>
      <c r="BE17" s="11" t="str">
        <f t="shared" si="11"/>
        <v>2/12</v>
      </c>
      <c r="BF17" s="11" t="str">
        <f t="shared" si="11"/>
        <v>11/12</v>
      </c>
      <c r="BG17" s="11" t="str">
        <f t="shared" si="11"/>
        <v>2/12</v>
      </c>
      <c r="BH17" s="11" t="str">
        <f t="shared" si="11"/>
        <v>1/12</v>
      </c>
      <c r="BI17" s="11" t="str">
        <f t="shared" si="11"/>
        <v>7/12</v>
      </c>
      <c r="BJ17" s="11" t="str">
        <f t="shared" si="11"/>
        <v>0/12</v>
      </c>
      <c r="BK17" s="11" t="str">
        <f t="shared" si="11"/>
        <v>3/12</v>
      </c>
      <c r="BL17" s="11" t="str">
        <f t="shared" si="11"/>
        <v>0/12</v>
      </c>
      <c r="BM17" s="11" t="str">
        <f t="shared" si="11"/>
        <v>0/12</v>
      </c>
      <c r="BN17" s="11" t="str">
        <f t="shared" ref="BN17:CS17" si="12">COUNTIFS(BN$3:BN$14,"&lt;&gt;NS",BN$3:BN$14,"&lt;&gt;IP",BN$3:BN$14,"&lt;&gt;",BN$3:BN$14,"&lt;&gt;Failed",BN$3:BN$14,"&lt;&gt;F")&amp;"/"&amp;COUNTA($A$3:$A$14)</f>
        <v>1/12</v>
      </c>
      <c r="BO17" s="11" t="str">
        <f t="shared" si="12"/>
        <v>1/12</v>
      </c>
      <c r="BP17" s="11" t="str">
        <f t="shared" si="12"/>
        <v>1/12</v>
      </c>
      <c r="BQ17" s="11" t="str">
        <f t="shared" si="12"/>
        <v>1/12</v>
      </c>
      <c r="BR17" s="11" t="str">
        <f t="shared" si="12"/>
        <v>0/12</v>
      </c>
      <c r="BS17" s="11" t="str">
        <f t="shared" si="12"/>
        <v>1/12</v>
      </c>
      <c r="BT17" s="11" t="str">
        <f t="shared" si="12"/>
        <v>0/12</v>
      </c>
      <c r="BU17" s="11" t="str">
        <f t="shared" si="12"/>
        <v>5/12</v>
      </c>
      <c r="BV17" s="11" t="str">
        <f t="shared" si="12"/>
        <v>0/12</v>
      </c>
      <c r="BW17" s="11" t="str">
        <f t="shared" si="12"/>
        <v>0/12</v>
      </c>
      <c r="BX17" s="11" t="str">
        <f t="shared" si="12"/>
        <v>0/12</v>
      </c>
      <c r="BY17" s="11" t="str">
        <f t="shared" si="12"/>
        <v>0/12</v>
      </c>
      <c r="BZ17" s="11" t="str">
        <f t="shared" si="12"/>
        <v>1/12</v>
      </c>
      <c r="CA17" s="11" t="str">
        <f t="shared" si="12"/>
        <v>0/12</v>
      </c>
      <c r="CB17" s="11" t="str">
        <f t="shared" si="12"/>
        <v>0/12</v>
      </c>
      <c r="CC17" s="11" t="str">
        <f t="shared" si="12"/>
        <v>1/12</v>
      </c>
      <c r="CD17" s="11" t="str">
        <f t="shared" si="12"/>
        <v>0/12</v>
      </c>
      <c r="CE17" s="11" t="str">
        <f t="shared" si="12"/>
        <v>0/12</v>
      </c>
      <c r="CF17" s="11" t="str">
        <f t="shared" si="12"/>
        <v>1/12</v>
      </c>
      <c r="CG17" s="11" t="str">
        <f t="shared" si="12"/>
        <v>0/12</v>
      </c>
      <c r="CH17" s="11" t="str">
        <f t="shared" si="12"/>
        <v>0/12</v>
      </c>
      <c r="CI17" s="11" t="str">
        <f t="shared" si="12"/>
        <v>0/12</v>
      </c>
      <c r="CJ17" s="11" t="str">
        <f t="shared" si="12"/>
        <v>0/12</v>
      </c>
      <c r="CK17" s="11" t="str">
        <f t="shared" si="12"/>
        <v>0/12</v>
      </c>
      <c r="CL17" s="11" t="str">
        <f t="shared" si="12"/>
        <v>0/12</v>
      </c>
      <c r="CM17" s="11" t="str">
        <f t="shared" si="12"/>
        <v>0/12</v>
      </c>
      <c r="CN17" s="11" t="str">
        <f t="shared" si="12"/>
        <v>1/12</v>
      </c>
      <c r="CO17" s="11" t="str">
        <f t="shared" si="12"/>
        <v>0/12</v>
      </c>
      <c r="CP17" s="11" t="str">
        <f t="shared" si="12"/>
        <v>0/12</v>
      </c>
      <c r="CQ17" s="11" t="str">
        <f t="shared" si="12"/>
        <v>0/12</v>
      </c>
      <c r="CR17" s="11" t="str">
        <f t="shared" si="12"/>
        <v>1/12</v>
      </c>
      <c r="CS17" s="11" t="str">
        <f t="shared" si="12"/>
        <v>0/12</v>
      </c>
      <c r="CT17" s="11" t="str">
        <f t="shared" ref="CT17:DF17" si="13">COUNTIFS(CT$3:CT$14,"&lt;&gt;NS",CT$3:CT$14,"&lt;&gt;IP",CT$3:CT$14,"&lt;&gt;",CT$3:CT$14,"&lt;&gt;Failed",CT$3:CT$14,"&lt;&gt;F")&amp;"/"&amp;COUNTA($A$3:$A$14)</f>
        <v>0/12</v>
      </c>
      <c r="CU17" s="11" t="str">
        <f t="shared" si="13"/>
        <v>1/12</v>
      </c>
      <c r="CV17" s="11" t="str">
        <f t="shared" si="13"/>
        <v>0/12</v>
      </c>
      <c r="CW17" s="11" t="str">
        <f t="shared" si="13"/>
        <v>0/12</v>
      </c>
      <c r="CX17" s="11" t="str">
        <f t="shared" si="13"/>
        <v>0/12</v>
      </c>
      <c r="CY17" s="11" t="str">
        <f t="shared" si="13"/>
        <v>1/12</v>
      </c>
      <c r="CZ17" s="11" t="str">
        <f t="shared" si="13"/>
        <v>1/12</v>
      </c>
      <c r="DA17" s="11" t="str">
        <f t="shared" si="13"/>
        <v>6/12</v>
      </c>
      <c r="DB17" s="11" t="str">
        <f t="shared" si="13"/>
        <v>7/12</v>
      </c>
      <c r="DC17" s="11" t="str">
        <f t="shared" si="13"/>
        <v>11/12</v>
      </c>
      <c r="DD17" s="11" t="str">
        <f t="shared" si="13"/>
        <v>5/12</v>
      </c>
      <c r="DE17" s="11" t="str">
        <f t="shared" si="13"/>
        <v>6/12</v>
      </c>
      <c r="DF17" s="11" t="str">
        <f t="shared" si="13"/>
        <v>1/12</v>
      </c>
      <c r="DG17" s="1"/>
      <c r="DH17" s="1"/>
      <c r="DI17" s="1"/>
      <c r="DJ17" s="1"/>
      <c r="DK17" s="1"/>
      <c r="DL17" s="1"/>
      <c r="DM17" s="1"/>
    </row>
    <row r="18" spans="1:117" x14ac:dyDescent="0.35">
      <c r="A18" s="2" t="s">
        <v>35</v>
      </c>
      <c r="B18" s="2" t="s">
        <v>3</v>
      </c>
      <c r="C18" s="2" t="s">
        <v>10</v>
      </c>
      <c r="D18" s="2" t="s">
        <v>11</v>
      </c>
      <c r="E18" s="2" t="s">
        <v>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</row>
    <row r="19" spans="1:117" ht="16.5" customHeight="1" x14ac:dyDescent="0.35">
      <c r="A19" s="12" t="s">
        <v>111</v>
      </c>
      <c r="B19" s="1">
        <f t="array" ref="B19">SUMPRODUCT(--ISNUMBER(INDEX($B$3:$ZZ$14,0,ROWS($A$1:A1))))+COUNTIF(INDEX($B$3:$ZZ$14,0,ROWS($A$1:A1)),"??/??/????")</f>
        <v>6</v>
      </c>
      <c r="C19" s="1">
        <v>12</v>
      </c>
      <c r="D19" s="3">
        <f t="shared" ref="D19:D50" si="14">IF(C19=0,"",B19/C19)</f>
        <v>0.5</v>
      </c>
      <c r="E19" s="1" t="str">
        <f t="shared" ref="E19:E50" si="15">IF(D19="","",IF(D19&gt;=0.8,"GREEN",IF(D19&gt;=0.7,"AMBER","RED")))</f>
        <v>RED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</row>
    <row r="20" spans="1:117" x14ac:dyDescent="0.35">
      <c r="A20" s="1" t="s">
        <v>100</v>
      </c>
      <c r="B20" s="1">
        <f t="array" ref="B20">SUMPRODUCT(--ISNUMBER(INDEX($B$3:$ZZ$14,0,ROWS($A$1:A2))))+COUNTIF(INDEX($B$3:$ZZ$14,0,ROWS($A$1:A2)),"??/??/????")</f>
        <v>8</v>
      </c>
      <c r="C20" s="1">
        <v>12</v>
      </c>
      <c r="D20" s="3">
        <f t="shared" si="14"/>
        <v>0.66666666666666663</v>
      </c>
      <c r="E20" s="1" t="str">
        <f t="shared" si="15"/>
        <v>RED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</row>
    <row r="21" spans="1:117" x14ac:dyDescent="0.35">
      <c r="A21" s="1" t="s">
        <v>112</v>
      </c>
      <c r="B21" s="1">
        <f t="array" ref="B21">SUMPRODUCT(--ISNUMBER(INDEX($B$3:$ZZ$14,0,ROWS($A$1:A3))))+COUNTIF(INDEX($B$3:$ZZ$14,0,ROWS($A$1:A3)),"??/??/????")</f>
        <v>7</v>
      </c>
      <c r="C21" s="1">
        <v>12</v>
      </c>
      <c r="D21" s="3">
        <f t="shared" si="14"/>
        <v>0.58333333333333337</v>
      </c>
      <c r="E21" s="1" t="str">
        <f t="shared" si="15"/>
        <v>RED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</row>
    <row r="22" spans="1:117" x14ac:dyDescent="0.35">
      <c r="A22" s="1" t="s">
        <v>96</v>
      </c>
      <c r="B22" s="1">
        <f t="array" ref="B22">SUMPRODUCT(--ISNUMBER(INDEX($B$3:$ZZ$14,0,ROWS($A$1:A4))))+COUNTIF(INDEX($B$3:$ZZ$14,0,ROWS($A$1:A4)),"??/??/????")</f>
        <v>10</v>
      </c>
      <c r="C22" s="1">
        <v>12</v>
      </c>
      <c r="D22" s="3">
        <f t="shared" si="14"/>
        <v>0.83333333333333337</v>
      </c>
      <c r="E22" s="1" t="str">
        <f t="shared" si="15"/>
        <v>GREEN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</row>
    <row r="23" spans="1:117" x14ac:dyDescent="0.35">
      <c r="A23" s="1" t="s">
        <v>113</v>
      </c>
      <c r="B23" s="1">
        <f t="array" ref="B23">SUMPRODUCT(--ISNUMBER(INDEX($B$3:$ZZ$14,0,ROWS($A$1:A5))))+COUNTIF(INDEX($B$3:$ZZ$14,0,ROWS($A$1:A5)),"??/??/????")</f>
        <v>7</v>
      </c>
      <c r="C23" s="1">
        <v>12</v>
      </c>
      <c r="D23" s="3">
        <f t="shared" si="14"/>
        <v>0.58333333333333337</v>
      </c>
      <c r="E23" s="1" t="str">
        <f t="shared" si="15"/>
        <v>RED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</row>
    <row r="24" spans="1:117" x14ac:dyDescent="0.35">
      <c r="A24" s="1" t="s">
        <v>114</v>
      </c>
      <c r="B24" s="1">
        <f t="array" ref="B24">SUMPRODUCT(--ISNUMBER(INDEX($B$3:$ZZ$14,0,ROWS($A$1:A6))))+COUNTIF(INDEX($B$3:$ZZ$14,0,ROWS($A$1:A6)),"??/??/????")</f>
        <v>7</v>
      </c>
      <c r="C24" s="1">
        <v>12</v>
      </c>
      <c r="D24" s="3">
        <f t="shared" si="14"/>
        <v>0.58333333333333337</v>
      </c>
      <c r="E24" s="1" t="str">
        <f t="shared" si="15"/>
        <v>RED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</row>
    <row r="25" spans="1:117" x14ac:dyDescent="0.35">
      <c r="A25" s="1" t="s">
        <v>115</v>
      </c>
      <c r="B25" s="1">
        <f t="array" ref="B25">SUMPRODUCT(--ISNUMBER(INDEX($B$3:$ZZ$14,0,ROWS($A$1:A7))))+COUNTIF(INDEX($B$3:$ZZ$14,0,ROWS($A$1:A7)),"??/??/????")</f>
        <v>4</v>
      </c>
      <c r="C25" s="1">
        <v>12</v>
      </c>
      <c r="D25" s="3">
        <f t="shared" si="14"/>
        <v>0.33333333333333331</v>
      </c>
      <c r="E25" s="1" t="str">
        <f t="shared" si="15"/>
        <v>RED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</row>
    <row r="26" spans="1:117" x14ac:dyDescent="0.35">
      <c r="A26" s="1" t="s">
        <v>116</v>
      </c>
      <c r="B26" s="1">
        <f t="array" ref="B26">SUMPRODUCT(--ISNUMBER(INDEX($B$3:$ZZ$14,0,ROWS($A$1:A8))))+COUNTIF(INDEX($B$3:$ZZ$14,0,ROWS($A$1:A8)),"??/??/????")</f>
        <v>2</v>
      </c>
      <c r="C26" s="1">
        <v>12</v>
      </c>
      <c r="D26" s="3">
        <f t="shared" si="14"/>
        <v>0.16666666666666666</v>
      </c>
      <c r="E26" s="1" t="str">
        <f t="shared" si="15"/>
        <v>RED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</row>
    <row r="27" spans="1:117" x14ac:dyDescent="0.35">
      <c r="A27" s="1" t="s">
        <v>117</v>
      </c>
      <c r="B27" s="1">
        <f t="array" ref="B27">SUMPRODUCT(--ISNUMBER(INDEX($B$3:$ZZ$14,0,ROWS($A$1:A9))))+COUNTIF(INDEX($B$3:$ZZ$14,0,ROWS($A$1:A9)),"??/??/????")</f>
        <v>10</v>
      </c>
      <c r="C27" s="1">
        <v>12</v>
      </c>
      <c r="D27" s="3">
        <f t="shared" si="14"/>
        <v>0.83333333333333337</v>
      </c>
      <c r="E27" s="1" t="str">
        <f t="shared" si="15"/>
        <v>GREEN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</row>
    <row r="28" spans="1:117" x14ac:dyDescent="0.35">
      <c r="A28" s="1" t="s">
        <v>118</v>
      </c>
      <c r="B28" s="1">
        <f t="array" ref="B28">SUMPRODUCT(--ISNUMBER(INDEX($B$3:$ZZ$14,0,ROWS($A$1:A10))))+COUNTIF(INDEX($B$3:$ZZ$14,0,ROWS($A$1:A10)),"??/??/????")</f>
        <v>4</v>
      </c>
      <c r="C28" s="1">
        <v>12</v>
      </c>
      <c r="D28" s="3">
        <f t="shared" si="14"/>
        <v>0.33333333333333331</v>
      </c>
      <c r="E28" s="1" t="str">
        <f t="shared" si="15"/>
        <v>RED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</row>
    <row r="29" spans="1:117" x14ac:dyDescent="0.35">
      <c r="A29" s="1" t="s">
        <v>119</v>
      </c>
      <c r="B29" s="1">
        <f t="array" ref="B29">SUMPRODUCT(--ISNUMBER(INDEX($B$3:$ZZ$14,0,ROWS($A$1:A11))))+COUNTIF(INDEX($B$3:$ZZ$14,0,ROWS($A$1:A11)),"??/??/????")</f>
        <v>3</v>
      </c>
      <c r="C29" s="1">
        <v>12</v>
      </c>
      <c r="D29" s="3">
        <f t="shared" si="14"/>
        <v>0.25</v>
      </c>
      <c r="E29" s="1" t="str">
        <f t="shared" si="15"/>
        <v>RED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</row>
    <row r="30" spans="1:117" x14ac:dyDescent="0.35">
      <c r="A30" s="1" t="s">
        <v>120</v>
      </c>
      <c r="B30" s="1">
        <f t="array" ref="B30">SUMPRODUCT(--ISNUMBER(INDEX($B$3:$ZZ$14,0,ROWS($A$1:A12))))+COUNTIF(INDEX($B$3:$ZZ$14,0,ROWS($A$1:A12)),"??/??/????")</f>
        <v>4</v>
      </c>
      <c r="C30" s="1">
        <v>12</v>
      </c>
      <c r="D30" s="3">
        <f t="shared" si="14"/>
        <v>0.33333333333333331</v>
      </c>
      <c r="E30" s="1" t="str">
        <f t="shared" si="15"/>
        <v>RED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</row>
    <row r="31" spans="1:117" x14ac:dyDescent="0.35">
      <c r="A31" s="1" t="s">
        <v>121</v>
      </c>
      <c r="B31" s="1">
        <f t="array" ref="B31">SUMPRODUCT(--ISNUMBER(INDEX($B$3:$ZZ$14,0,ROWS($A$1:A13))))+COUNTIF(INDEX($B$3:$ZZ$14,0,ROWS($A$1:A13)),"??/??/????")</f>
        <v>1</v>
      </c>
      <c r="C31" s="1">
        <v>12</v>
      </c>
      <c r="D31" s="3">
        <f t="shared" si="14"/>
        <v>8.3333333333333329E-2</v>
      </c>
      <c r="E31" s="1" t="str">
        <f t="shared" si="15"/>
        <v>RED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</row>
    <row r="32" spans="1:117" ht="12.9" customHeight="1" x14ac:dyDescent="0.35">
      <c r="A32" s="1" t="s">
        <v>103</v>
      </c>
      <c r="B32" s="1">
        <f t="array" ref="B32">SUMPRODUCT(--ISNUMBER(INDEX($B$3:$ZZ$14,0,ROWS($A$1:A14))))+COUNTIF(INDEX($B$3:$ZZ$14,0,ROWS($A$1:A14)),"??/??/????")</f>
        <v>8</v>
      </c>
      <c r="C32" s="1">
        <v>12</v>
      </c>
      <c r="D32" s="3">
        <f t="shared" si="14"/>
        <v>0.66666666666666663</v>
      </c>
      <c r="E32" s="1" t="str">
        <f t="shared" si="15"/>
        <v>RED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</row>
    <row r="33" spans="1:117" x14ac:dyDescent="0.35">
      <c r="A33" s="1" t="s">
        <v>122</v>
      </c>
      <c r="B33" s="1">
        <f t="array" ref="B33">SUMPRODUCT(--ISNUMBER(INDEX($B$3:$ZZ$14,0,ROWS($A$1:A15))))+COUNTIF(INDEX($B$3:$ZZ$14,0,ROWS($A$1:A15)),"??/??/????")</f>
        <v>1</v>
      </c>
      <c r="C33" s="1">
        <v>12</v>
      </c>
      <c r="D33" s="3">
        <f t="shared" si="14"/>
        <v>8.3333333333333329E-2</v>
      </c>
      <c r="E33" s="1" t="str">
        <f t="shared" si="15"/>
        <v>RED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</row>
    <row r="34" spans="1:117" x14ac:dyDescent="0.35">
      <c r="A34" s="1" t="s">
        <v>101</v>
      </c>
      <c r="B34" s="1">
        <f t="array" ref="B34">SUMPRODUCT(--ISNUMBER(INDEX($B$3:$ZZ$14,0,ROWS($A$1:A16))))+COUNTIF(INDEX($B$3:$ZZ$14,0,ROWS($A$1:A16)),"??/??/????")</f>
        <v>11</v>
      </c>
      <c r="C34" s="1">
        <v>12</v>
      </c>
      <c r="D34" s="3">
        <f t="shared" si="14"/>
        <v>0.91666666666666663</v>
      </c>
      <c r="E34" s="1" t="str">
        <f t="shared" si="15"/>
        <v>GREEN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</row>
    <row r="35" spans="1:117" x14ac:dyDescent="0.35">
      <c r="A35" s="1" t="s">
        <v>123</v>
      </c>
      <c r="B35" s="1">
        <f t="array" ref="B35">SUMPRODUCT(--ISNUMBER(INDEX($B$3:$ZZ$14,0,ROWS($A$1:A17))))+COUNTIF(INDEX($B$3:$ZZ$14,0,ROWS($A$1:A17)),"??/??/????")</f>
        <v>11</v>
      </c>
      <c r="C35" s="1">
        <v>12</v>
      </c>
      <c r="D35" s="3">
        <f t="shared" si="14"/>
        <v>0.91666666666666663</v>
      </c>
      <c r="E35" s="1" t="str">
        <f t="shared" si="15"/>
        <v>GREEN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</row>
    <row r="36" spans="1:117" x14ac:dyDescent="0.35">
      <c r="A36" s="1" t="s">
        <v>124</v>
      </c>
      <c r="B36" s="1">
        <f t="array" ref="B36">SUMPRODUCT(--ISNUMBER(INDEX($B$3:$ZZ$14,0,ROWS($A$1:A18))))+COUNTIF(INDEX($B$3:$ZZ$14,0,ROWS($A$1:A18)),"??/??/????")</f>
        <v>3</v>
      </c>
      <c r="C36" s="1">
        <v>12</v>
      </c>
      <c r="D36" s="3">
        <f t="shared" si="14"/>
        <v>0.25</v>
      </c>
      <c r="E36" s="1" t="str">
        <f t="shared" si="15"/>
        <v>RED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</row>
    <row r="37" spans="1:117" x14ac:dyDescent="0.35">
      <c r="A37" s="1" t="s">
        <v>125</v>
      </c>
      <c r="B37" s="1">
        <f t="array" ref="B37">SUMPRODUCT(--ISNUMBER(INDEX($B$3:$ZZ$14,0,ROWS($A$1:A19))))+COUNTIF(INDEX($B$3:$ZZ$14,0,ROWS($A$1:A19)),"??/??/????")</f>
        <v>11</v>
      </c>
      <c r="C37" s="1">
        <v>12</v>
      </c>
      <c r="D37" s="3">
        <f t="shared" si="14"/>
        <v>0.91666666666666663</v>
      </c>
      <c r="E37" s="1" t="str">
        <f t="shared" si="15"/>
        <v>GREEN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</row>
    <row r="38" spans="1:117" x14ac:dyDescent="0.35">
      <c r="A38" s="1" t="s">
        <v>126</v>
      </c>
      <c r="B38" s="1">
        <f t="array" ref="B38">SUMPRODUCT(--ISNUMBER(INDEX($B$3:$ZZ$14,0,ROWS($A$1:A20))))+COUNTIF(INDEX($B$3:$ZZ$14,0,ROWS($A$1:A20)),"??/??/????")</f>
        <v>8</v>
      </c>
      <c r="C38" s="1">
        <v>12</v>
      </c>
      <c r="D38" s="3">
        <f t="shared" si="14"/>
        <v>0.66666666666666663</v>
      </c>
      <c r="E38" s="1" t="str">
        <f t="shared" si="15"/>
        <v>RED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</row>
    <row r="39" spans="1:117" x14ac:dyDescent="0.35">
      <c r="A39" s="1" t="s">
        <v>127</v>
      </c>
      <c r="B39" s="1">
        <f t="array" ref="B39">SUMPRODUCT(--ISNUMBER(INDEX($B$3:$ZZ$14,0,ROWS($A$1:A21))))+COUNTIF(INDEX($B$3:$ZZ$14,0,ROWS($A$1:A21)),"??/??/????")</f>
        <v>5</v>
      </c>
      <c r="C39" s="1">
        <v>12</v>
      </c>
      <c r="D39" s="3">
        <f t="shared" si="14"/>
        <v>0.41666666666666669</v>
      </c>
      <c r="E39" s="1" t="str">
        <f t="shared" si="15"/>
        <v>RED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</row>
    <row r="40" spans="1:117" x14ac:dyDescent="0.35">
      <c r="A40" s="1" t="s">
        <v>128</v>
      </c>
      <c r="B40" s="1">
        <f t="array" ref="B40">SUMPRODUCT(--ISNUMBER(INDEX($B$3:$ZZ$14,0,ROWS($A$1:A22))))+COUNTIF(INDEX($B$3:$ZZ$14,0,ROWS($A$1:A22)),"??/??/????")</f>
        <v>8</v>
      </c>
      <c r="C40" s="1">
        <v>12</v>
      </c>
      <c r="D40" s="3">
        <f t="shared" si="14"/>
        <v>0.66666666666666663</v>
      </c>
      <c r="E40" s="1" t="str">
        <f t="shared" si="15"/>
        <v>RED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</row>
    <row r="41" spans="1:117" x14ac:dyDescent="0.35">
      <c r="A41" s="1" t="s">
        <v>129</v>
      </c>
      <c r="B41" s="1">
        <f t="array" ref="B41">SUMPRODUCT(--ISNUMBER(INDEX($B$3:$ZZ$14,0,ROWS($A$1:A23))))+COUNTIF(INDEX($B$3:$ZZ$14,0,ROWS($A$1:A23)),"??/??/????")</f>
        <v>3</v>
      </c>
      <c r="C41" s="1">
        <v>12</v>
      </c>
      <c r="D41" s="3">
        <f t="shared" si="14"/>
        <v>0.25</v>
      </c>
      <c r="E41" s="1" t="str">
        <f t="shared" si="15"/>
        <v>RED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</row>
    <row r="42" spans="1:117" x14ac:dyDescent="0.35">
      <c r="A42" s="1" t="s">
        <v>130</v>
      </c>
      <c r="B42" s="1">
        <f t="array" ref="B42">SUMPRODUCT(--ISNUMBER(INDEX($B$3:$ZZ$14,0,ROWS($A$1:A24))))+COUNTIF(INDEX($B$3:$ZZ$14,0,ROWS($A$1:A24)),"??/??/????")</f>
        <v>5</v>
      </c>
      <c r="C42" s="1">
        <v>12</v>
      </c>
      <c r="D42" s="3">
        <f t="shared" si="14"/>
        <v>0.41666666666666669</v>
      </c>
      <c r="E42" s="1" t="str">
        <f t="shared" si="15"/>
        <v>RED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</row>
    <row r="43" spans="1:117" x14ac:dyDescent="0.35">
      <c r="A43" s="1" t="s">
        <v>131</v>
      </c>
      <c r="B43" s="1">
        <f t="array" ref="B43">SUMPRODUCT(--ISNUMBER(INDEX($B$3:$ZZ$14,0,ROWS($A$1:A25))))+COUNTIF(INDEX($B$3:$ZZ$14,0,ROWS($A$1:A25)),"??/??/????")</f>
        <v>5</v>
      </c>
      <c r="C43" s="1">
        <v>12</v>
      </c>
      <c r="D43" s="3">
        <f t="shared" si="14"/>
        <v>0.41666666666666669</v>
      </c>
      <c r="E43" s="1" t="str">
        <f t="shared" si="15"/>
        <v>RED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</row>
    <row r="44" spans="1:117" x14ac:dyDescent="0.35">
      <c r="A44" s="1" t="s">
        <v>132</v>
      </c>
      <c r="B44" s="1">
        <f t="array" ref="B44">SUMPRODUCT(--ISNUMBER(INDEX($B$3:$ZZ$14,0,ROWS($A$1:A26))))+COUNTIF(INDEX($B$3:$ZZ$14,0,ROWS($A$1:A26)),"??/??/????")</f>
        <v>2</v>
      </c>
      <c r="C44" s="1">
        <v>12</v>
      </c>
      <c r="D44" s="3">
        <f t="shared" si="14"/>
        <v>0.16666666666666666</v>
      </c>
      <c r="E44" s="1" t="str">
        <f t="shared" si="15"/>
        <v>RED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</row>
    <row r="45" spans="1:117" x14ac:dyDescent="0.35">
      <c r="A45" s="1" t="s">
        <v>92</v>
      </c>
      <c r="B45" s="1">
        <f t="array" ref="B45">SUMPRODUCT(--ISNUMBER(INDEX($B$3:$ZZ$14,0,ROWS($A$1:A27))))+COUNTIF(INDEX($B$3:$ZZ$14,0,ROWS($A$1:A27)),"??/??/????")</f>
        <v>10</v>
      </c>
      <c r="C45" s="1">
        <v>12</v>
      </c>
      <c r="D45" s="3">
        <f t="shared" si="14"/>
        <v>0.83333333333333337</v>
      </c>
      <c r="E45" s="1" t="str">
        <f t="shared" si="15"/>
        <v>GREEN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</row>
    <row r="46" spans="1:117" x14ac:dyDescent="0.35">
      <c r="A46" s="1" t="s">
        <v>133</v>
      </c>
      <c r="B46" s="1">
        <f t="array" ref="B46">SUMPRODUCT(--ISNUMBER(INDEX($B$3:$ZZ$14,0,ROWS($A$1:A28))))+COUNTIF(INDEX($B$3:$ZZ$14,0,ROWS($A$1:A28)),"??/??/????")</f>
        <v>3</v>
      </c>
      <c r="C46" s="1">
        <v>12</v>
      </c>
      <c r="D46" s="3">
        <f t="shared" si="14"/>
        <v>0.25</v>
      </c>
      <c r="E46" s="1" t="str">
        <f t="shared" si="15"/>
        <v>RED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</row>
    <row r="47" spans="1:117" x14ac:dyDescent="0.35">
      <c r="A47" s="1" t="s">
        <v>134</v>
      </c>
      <c r="B47" s="1">
        <f t="array" ref="B47">SUMPRODUCT(--ISNUMBER(INDEX($B$3:$ZZ$14,0,ROWS($A$1:A29))))+COUNTIF(INDEX($B$3:$ZZ$14,0,ROWS($A$1:A29)),"??/??/????")</f>
        <v>4</v>
      </c>
      <c r="C47" s="1">
        <v>12</v>
      </c>
      <c r="D47" s="3">
        <f t="shared" si="14"/>
        <v>0.33333333333333331</v>
      </c>
      <c r="E47" s="1" t="str">
        <f t="shared" si="15"/>
        <v>RED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</row>
    <row r="48" spans="1:117" x14ac:dyDescent="0.35">
      <c r="A48" s="1" t="s">
        <v>98</v>
      </c>
      <c r="B48" s="1">
        <f t="array" ref="B48">SUMPRODUCT(--ISNUMBER(INDEX($B$3:$ZZ$14,0,ROWS($A$1:A30))))+COUNTIF(INDEX($B$3:$ZZ$14,0,ROWS($A$1:A30)),"??/??/????")</f>
        <v>9</v>
      </c>
      <c r="C48" s="1">
        <v>12</v>
      </c>
      <c r="D48" s="3">
        <f t="shared" si="14"/>
        <v>0.75</v>
      </c>
      <c r="E48" s="1" t="str">
        <f t="shared" si="15"/>
        <v>AMBER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</row>
    <row r="49" spans="1:117" x14ac:dyDescent="0.35">
      <c r="A49" s="1" t="s">
        <v>135</v>
      </c>
      <c r="B49" s="1">
        <f t="array" ref="B49">SUMPRODUCT(--ISNUMBER(INDEX($B$3:$ZZ$14,0,ROWS($A$1:A31))))+COUNTIF(INDEX($B$3:$ZZ$14,0,ROWS($A$1:A31)),"??/??/????")</f>
        <v>5</v>
      </c>
      <c r="C49" s="1">
        <v>12</v>
      </c>
      <c r="D49" s="3">
        <f t="shared" si="14"/>
        <v>0.41666666666666669</v>
      </c>
      <c r="E49" s="1" t="str">
        <f t="shared" si="15"/>
        <v>RED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</row>
    <row r="50" spans="1:117" x14ac:dyDescent="0.35">
      <c r="A50" s="1" t="s">
        <v>136</v>
      </c>
      <c r="B50" s="1">
        <f t="array" ref="B50">SUMPRODUCT(--ISNUMBER(INDEX($B$3:$ZZ$14,0,ROWS($A$1:A32))))+COUNTIF(INDEX($B$3:$ZZ$14,0,ROWS($A$1:A32)),"??/??/????")</f>
        <v>8</v>
      </c>
      <c r="C50" s="1">
        <v>12</v>
      </c>
      <c r="D50" s="3">
        <f t="shared" si="14"/>
        <v>0.66666666666666663</v>
      </c>
      <c r="E50" s="1" t="str">
        <f t="shared" si="15"/>
        <v>RED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</row>
    <row r="51" spans="1:117" x14ac:dyDescent="0.35">
      <c r="A51" s="1" t="s">
        <v>137</v>
      </c>
      <c r="B51" s="1">
        <f t="array" ref="B51">SUMPRODUCT(--ISNUMBER(INDEX($B$3:$ZZ$14,0,ROWS($A$1:A33))))+COUNTIF(INDEX($B$3:$ZZ$14,0,ROWS($A$1:A33)),"??/??/????")</f>
        <v>3</v>
      </c>
      <c r="C51" s="1">
        <v>12</v>
      </c>
      <c r="D51" s="3">
        <f t="shared" ref="D51:D82" si="16">IF(C51=0,"",B51/C51)</f>
        <v>0.25</v>
      </c>
      <c r="E51" s="1" t="str">
        <f t="shared" ref="E51:E82" si="17">IF(D51="","",IF(D51&gt;=0.8,"GREEN",IF(D51&gt;=0.7,"AMBER","RED")))</f>
        <v>RED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</row>
    <row r="52" spans="1:117" ht="12.9" customHeight="1" x14ac:dyDescent="0.35">
      <c r="A52" s="1" t="s">
        <v>138</v>
      </c>
      <c r="B52" s="1">
        <f t="array" ref="B52">SUMPRODUCT(--ISNUMBER(INDEX($B$3:$ZZ$14,0,ROWS($A$1:A34))))+COUNTIF(INDEX($B$3:$ZZ$14,0,ROWS($A$1:A34)),"??/??/????")</f>
        <v>2</v>
      </c>
      <c r="C52" s="1">
        <v>12</v>
      </c>
      <c r="D52" s="3">
        <f t="shared" si="16"/>
        <v>0.16666666666666666</v>
      </c>
      <c r="E52" s="1" t="str">
        <f t="shared" si="17"/>
        <v>RED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</row>
    <row r="53" spans="1:117" x14ac:dyDescent="0.35">
      <c r="A53" s="1" t="s">
        <v>139</v>
      </c>
      <c r="B53" s="1">
        <f t="array" ref="B53">SUMPRODUCT(--ISNUMBER(INDEX($B$3:$ZZ$14,0,ROWS($A$1:A35))))+COUNTIF(INDEX($B$3:$ZZ$14,0,ROWS($A$1:A35)),"??/??/????")</f>
        <v>2</v>
      </c>
      <c r="C53" s="1">
        <v>12</v>
      </c>
      <c r="D53" s="3">
        <f t="shared" si="16"/>
        <v>0.16666666666666666</v>
      </c>
      <c r="E53" s="1" t="str">
        <f t="shared" si="17"/>
        <v>RED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</row>
    <row r="54" spans="1:117" x14ac:dyDescent="0.35">
      <c r="A54" s="1" t="s">
        <v>97</v>
      </c>
      <c r="B54" s="1">
        <f t="array" ref="B54">SUMPRODUCT(--ISNUMBER(INDEX($B$3:$ZZ$14,0,ROWS($A$1:A36))))+COUNTIF(INDEX($B$3:$ZZ$14,0,ROWS($A$1:A36)),"??/??/????")</f>
        <v>9</v>
      </c>
      <c r="C54" s="1">
        <v>12</v>
      </c>
      <c r="D54" s="3">
        <f t="shared" si="16"/>
        <v>0.75</v>
      </c>
      <c r="E54" s="1" t="str">
        <f t="shared" si="17"/>
        <v>AMBER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</row>
    <row r="55" spans="1:117" x14ac:dyDescent="0.35">
      <c r="A55" s="1" t="s">
        <v>140</v>
      </c>
      <c r="B55" s="1">
        <f t="array" ref="B55">SUMPRODUCT(--ISNUMBER(INDEX($B$3:$ZZ$14,0,ROWS($A$1:A37))))+COUNTIF(INDEX($B$3:$ZZ$14,0,ROWS($A$1:A37)),"??/??/????")</f>
        <v>3</v>
      </c>
      <c r="C55" s="1">
        <v>12</v>
      </c>
      <c r="D55" s="3">
        <f t="shared" si="16"/>
        <v>0.25</v>
      </c>
      <c r="E55" s="1" t="str">
        <f t="shared" si="17"/>
        <v>RED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</row>
    <row r="56" spans="1:117" x14ac:dyDescent="0.35">
      <c r="A56" s="1" t="s">
        <v>141</v>
      </c>
      <c r="B56" s="1">
        <f t="array" ref="B56">SUMPRODUCT(--ISNUMBER(INDEX($B$3:$ZZ$14,0,ROWS($A$1:A38))))+COUNTIF(INDEX($B$3:$ZZ$14,0,ROWS($A$1:A38)),"??/??/????")</f>
        <v>2</v>
      </c>
      <c r="C56" s="1">
        <v>12</v>
      </c>
      <c r="D56" s="3">
        <f t="shared" si="16"/>
        <v>0.16666666666666666</v>
      </c>
      <c r="E56" s="1" t="str">
        <f t="shared" si="17"/>
        <v>RED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</row>
    <row r="57" spans="1:117" x14ac:dyDescent="0.35">
      <c r="A57" s="1" t="s">
        <v>142</v>
      </c>
      <c r="B57" s="1">
        <f t="array" ref="B57">SUMPRODUCT(--ISNUMBER(INDEX($B$3:$ZZ$14,0,ROWS($A$1:A39))))+COUNTIF(INDEX($B$3:$ZZ$14,0,ROWS($A$1:A39)),"??/??/????")</f>
        <v>1</v>
      </c>
      <c r="C57" s="1">
        <v>12</v>
      </c>
      <c r="D57" s="3">
        <f t="shared" si="16"/>
        <v>8.3333333333333329E-2</v>
      </c>
      <c r="E57" s="1" t="str">
        <f t="shared" si="17"/>
        <v>RED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</row>
    <row r="58" spans="1:117" x14ac:dyDescent="0.35">
      <c r="A58" s="1" t="s">
        <v>143</v>
      </c>
      <c r="B58" s="1">
        <f t="array" ref="B58">SUMPRODUCT(--ISNUMBER(INDEX($B$3:$ZZ$14,0,ROWS($A$1:A40))))+COUNTIF(INDEX($B$3:$ZZ$14,0,ROWS($A$1:A40)),"??/??/????")</f>
        <v>1</v>
      </c>
      <c r="C58" s="1">
        <v>12</v>
      </c>
      <c r="D58" s="3">
        <f t="shared" si="16"/>
        <v>8.3333333333333329E-2</v>
      </c>
      <c r="E58" s="1" t="str">
        <f t="shared" si="17"/>
        <v>RED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</row>
    <row r="59" spans="1:117" x14ac:dyDescent="0.35">
      <c r="A59" s="1" t="s">
        <v>102</v>
      </c>
      <c r="B59" s="1">
        <f t="array" ref="B59">SUMPRODUCT(--ISNUMBER(INDEX($B$3:$ZZ$14,0,ROWS($A$1:A41))))+COUNTIF(INDEX($B$3:$ZZ$14,0,ROWS($A$1:A41)),"??/??/????")</f>
        <v>9</v>
      </c>
      <c r="C59" s="1">
        <v>12</v>
      </c>
      <c r="D59" s="3">
        <f t="shared" si="16"/>
        <v>0.75</v>
      </c>
      <c r="E59" s="1" t="str">
        <f t="shared" si="17"/>
        <v>AMBER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</row>
    <row r="60" spans="1:117" x14ac:dyDescent="0.35">
      <c r="A60" s="1" t="s">
        <v>144</v>
      </c>
      <c r="B60" s="1">
        <f t="array" ref="B60">SUMPRODUCT(--ISNUMBER(INDEX($B$3:$ZZ$14,0,ROWS($A$1:A42))))+COUNTIF(INDEX($B$3:$ZZ$14,0,ROWS($A$1:A42)),"??/??/????")</f>
        <v>10</v>
      </c>
      <c r="C60" s="1">
        <v>12</v>
      </c>
      <c r="D60" s="3">
        <f t="shared" si="16"/>
        <v>0.83333333333333337</v>
      </c>
      <c r="E60" s="1" t="str">
        <f t="shared" si="17"/>
        <v>GREEN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</row>
    <row r="61" spans="1:117" x14ac:dyDescent="0.35">
      <c r="A61" s="1" t="s">
        <v>145</v>
      </c>
      <c r="B61" s="1">
        <f t="array" ref="B61">SUMPRODUCT(--ISNUMBER(INDEX($B$3:$ZZ$14,0,ROWS($A$1:A43))))+COUNTIF(INDEX($B$3:$ZZ$14,0,ROWS($A$1:A43)),"??/??/????")</f>
        <v>1</v>
      </c>
      <c r="C61" s="1">
        <v>12</v>
      </c>
      <c r="D61" s="3">
        <f t="shared" si="16"/>
        <v>8.3333333333333329E-2</v>
      </c>
      <c r="E61" s="1" t="str">
        <f t="shared" si="17"/>
        <v>RED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</row>
    <row r="62" spans="1:117" x14ac:dyDescent="0.35">
      <c r="A62" s="1" t="s">
        <v>146</v>
      </c>
      <c r="B62" s="1">
        <f t="array" ref="B62">SUMPRODUCT(--ISNUMBER(INDEX($B$3:$ZZ$14,0,ROWS($A$1:A44))))+COUNTIF(INDEX($B$3:$ZZ$14,0,ROWS($A$1:A44)),"??/??/????")</f>
        <v>2</v>
      </c>
      <c r="C62" s="1">
        <v>12</v>
      </c>
      <c r="D62" s="3">
        <f t="shared" si="16"/>
        <v>0.16666666666666666</v>
      </c>
      <c r="E62" s="1" t="str">
        <f t="shared" si="17"/>
        <v>RED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</row>
    <row r="63" spans="1:117" x14ac:dyDescent="0.35">
      <c r="A63" s="1" t="s">
        <v>147</v>
      </c>
      <c r="B63" s="1">
        <f t="array" ref="B63">SUMPRODUCT(--ISNUMBER(INDEX($B$3:$ZZ$14,0,ROWS($A$1:A45))))+COUNTIF(INDEX($B$3:$ZZ$14,0,ROWS($A$1:A45)),"??/??/????")</f>
        <v>1</v>
      </c>
      <c r="C63" s="1">
        <v>12</v>
      </c>
      <c r="D63" s="3">
        <f t="shared" si="16"/>
        <v>8.3333333333333329E-2</v>
      </c>
      <c r="E63" s="1" t="str">
        <f t="shared" si="17"/>
        <v>RED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</row>
    <row r="64" spans="1:117" x14ac:dyDescent="0.35">
      <c r="A64" s="1" t="s">
        <v>148</v>
      </c>
      <c r="B64" s="1">
        <f t="array" ref="B64">SUMPRODUCT(--ISNUMBER(INDEX($B$3:$ZZ$14,0,ROWS($A$1:A46))))+COUNTIF(INDEX($B$3:$ZZ$14,0,ROWS($A$1:A46)),"??/??/????")</f>
        <v>2</v>
      </c>
      <c r="C64" s="1">
        <v>12</v>
      </c>
      <c r="D64" s="3">
        <f t="shared" si="16"/>
        <v>0.16666666666666666</v>
      </c>
      <c r="E64" s="1" t="str">
        <f t="shared" si="17"/>
        <v>RED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</row>
    <row r="65" spans="1:117" x14ac:dyDescent="0.35">
      <c r="A65" s="1" t="s">
        <v>149</v>
      </c>
      <c r="B65" s="1">
        <f t="array" ref="B65">SUMPRODUCT(--ISNUMBER(INDEX($B$3:$ZZ$14,0,ROWS($A$1:A47))))+COUNTIF(INDEX($B$3:$ZZ$14,0,ROWS($A$1:A47)),"??/??/????")</f>
        <v>2</v>
      </c>
      <c r="C65" s="1">
        <v>12</v>
      </c>
      <c r="D65" s="3">
        <f t="shared" si="16"/>
        <v>0.16666666666666666</v>
      </c>
      <c r="E65" s="1" t="str">
        <f t="shared" si="17"/>
        <v>RED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</row>
    <row r="66" spans="1:117" x14ac:dyDescent="0.35">
      <c r="A66" s="1" t="s">
        <v>150</v>
      </c>
      <c r="B66" s="1">
        <f t="array" ref="B66">SUMPRODUCT(--ISNUMBER(INDEX($B$3:$ZZ$14,0,ROWS($A$1:A48))))+COUNTIF(INDEX($B$3:$ZZ$14,0,ROWS($A$1:A48)),"??/??/????")</f>
        <v>1</v>
      </c>
      <c r="C66" s="1">
        <v>12</v>
      </c>
      <c r="D66" s="3">
        <f t="shared" si="16"/>
        <v>8.3333333333333329E-2</v>
      </c>
      <c r="E66" s="1" t="str">
        <f t="shared" si="17"/>
        <v>RED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</row>
    <row r="67" spans="1:117" x14ac:dyDescent="0.35">
      <c r="A67" s="1" t="s">
        <v>151</v>
      </c>
      <c r="B67" s="1">
        <f t="array" ref="B67">SUMPRODUCT(--ISNUMBER(INDEX($B$3:$ZZ$14,0,ROWS($A$1:A49))))+COUNTIF(INDEX($B$3:$ZZ$14,0,ROWS($A$1:A49)),"??/??/????")</f>
        <v>1</v>
      </c>
      <c r="C67" s="1">
        <v>12</v>
      </c>
      <c r="D67" s="3">
        <f t="shared" si="16"/>
        <v>8.3333333333333329E-2</v>
      </c>
      <c r="E67" s="1" t="str">
        <f t="shared" si="17"/>
        <v>RED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</row>
    <row r="68" spans="1:117" x14ac:dyDescent="0.35">
      <c r="A68" s="1" t="s">
        <v>152</v>
      </c>
      <c r="B68" s="1">
        <f t="array" ref="B68">SUMPRODUCT(--ISNUMBER(INDEX($B$3:$ZZ$14,0,ROWS($A$1:A50))))+COUNTIF(INDEX($B$3:$ZZ$14,0,ROWS($A$1:A50)),"??/??/????")</f>
        <v>2</v>
      </c>
      <c r="C68" s="1">
        <v>12</v>
      </c>
      <c r="D68" s="3">
        <f t="shared" si="16"/>
        <v>0.16666666666666666</v>
      </c>
      <c r="E68" s="1" t="str">
        <f t="shared" si="17"/>
        <v>RED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</row>
    <row r="69" spans="1:117" x14ac:dyDescent="0.35">
      <c r="A69" s="1" t="s">
        <v>153</v>
      </c>
      <c r="B69" s="1">
        <f t="array" ref="B69">SUMPRODUCT(--ISNUMBER(INDEX($B$3:$ZZ$14,0,ROWS($A$1:A51))))+COUNTIF(INDEX($B$3:$ZZ$14,0,ROWS($A$1:A51)),"??/??/????")</f>
        <v>3</v>
      </c>
      <c r="C69" s="1">
        <v>12</v>
      </c>
      <c r="D69" s="3">
        <f t="shared" si="16"/>
        <v>0.25</v>
      </c>
      <c r="E69" s="1" t="str">
        <f t="shared" si="17"/>
        <v>RED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</row>
    <row r="70" spans="1:117" x14ac:dyDescent="0.35">
      <c r="A70" s="1" t="s">
        <v>154</v>
      </c>
      <c r="B70" s="1">
        <f t="array" ref="B70">SUMPRODUCT(--ISNUMBER(INDEX($B$3:$ZZ$14,0,ROWS($A$1:A52))))+COUNTIF(INDEX($B$3:$ZZ$14,0,ROWS($A$1:A52)),"??/??/????")</f>
        <v>1</v>
      </c>
      <c r="C70" s="1">
        <v>12</v>
      </c>
      <c r="D70" s="3">
        <f t="shared" si="16"/>
        <v>8.3333333333333329E-2</v>
      </c>
      <c r="E70" s="1" t="str">
        <f t="shared" si="17"/>
        <v>RED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</row>
    <row r="71" spans="1:117" x14ac:dyDescent="0.35">
      <c r="A71" s="1" t="s">
        <v>155</v>
      </c>
      <c r="B71" s="1">
        <f t="array" ref="B71">SUMPRODUCT(--ISNUMBER(INDEX($B$3:$ZZ$14,0,ROWS($A$1:A53))))+COUNTIF(INDEX($B$3:$ZZ$14,0,ROWS($A$1:A53)),"??/??/????")</f>
        <v>1</v>
      </c>
      <c r="C71" s="1">
        <v>12</v>
      </c>
      <c r="D71" s="3">
        <f t="shared" si="16"/>
        <v>8.3333333333333329E-2</v>
      </c>
      <c r="E71" s="1" t="str">
        <f t="shared" si="17"/>
        <v>RED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</row>
    <row r="72" spans="1:117" x14ac:dyDescent="0.35">
      <c r="A72" s="1" t="s">
        <v>156</v>
      </c>
      <c r="B72" s="1">
        <f t="array" ref="B72">SUMPRODUCT(--ISNUMBER(INDEX($B$3:$ZZ$14,0,ROWS($A$1:A54))))+COUNTIF(INDEX($B$3:$ZZ$14,0,ROWS($A$1:A54)),"??/??/????")</f>
        <v>2</v>
      </c>
      <c r="C72" s="1">
        <v>12</v>
      </c>
      <c r="D72" s="3">
        <f t="shared" si="16"/>
        <v>0.16666666666666666</v>
      </c>
      <c r="E72" s="1" t="str">
        <f t="shared" si="17"/>
        <v>RED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</row>
    <row r="73" spans="1:117" x14ac:dyDescent="0.35">
      <c r="A73" s="1" t="s">
        <v>157</v>
      </c>
      <c r="B73" s="1">
        <f t="array" ref="B73">SUMPRODUCT(--ISNUMBER(INDEX($B$3:$ZZ$14,0,ROWS($A$1:A55))))+COUNTIF(INDEX($B$3:$ZZ$14,0,ROWS($A$1:A55)),"??/??/????")</f>
        <v>1</v>
      </c>
      <c r="C73" s="1">
        <v>12</v>
      </c>
      <c r="D73" s="3">
        <f t="shared" si="16"/>
        <v>8.3333333333333329E-2</v>
      </c>
      <c r="E73" s="1" t="str">
        <f t="shared" si="17"/>
        <v>RED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</row>
    <row r="74" spans="1:117" ht="12.9" customHeight="1" x14ac:dyDescent="0.35">
      <c r="A74" s="1" t="s">
        <v>158</v>
      </c>
      <c r="B74" s="1">
        <f t="array" ref="B74">SUMPRODUCT(--ISNUMBER(INDEX($B$3:$ZZ$14,0,ROWS($A$1:A56))))+COUNTIF(INDEX($B$3:$ZZ$14,0,ROWS($A$1:A56)),"??/??/????")</f>
        <v>2</v>
      </c>
      <c r="C74" s="1">
        <v>12</v>
      </c>
      <c r="D74" s="3">
        <f t="shared" si="16"/>
        <v>0.16666666666666666</v>
      </c>
      <c r="E74" s="1" t="str">
        <f t="shared" si="17"/>
        <v>RED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</row>
    <row r="75" spans="1:117" x14ac:dyDescent="0.35">
      <c r="A75" s="1" t="s">
        <v>95</v>
      </c>
      <c r="B75" s="1">
        <f t="array" ref="B75">SUMPRODUCT(--ISNUMBER(INDEX($B$3:$ZZ$14,0,ROWS($A$1:A57))))+COUNTIF(INDEX($B$3:$ZZ$14,0,ROWS($A$1:A57)),"??/??/????")</f>
        <v>11</v>
      </c>
      <c r="C75" s="1">
        <v>12</v>
      </c>
      <c r="D75" s="3">
        <f t="shared" si="16"/>
        <v>0.91666666666666663</v>
      </c>
      <c r="E75" s="1" t="str">
        <f t="shared" si="17"/>
        <v>GREEN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</row>
    <row r="76" spans="1:117" x14ac:dyDescent="0.35">
      <c r="A76" s="1" t="s">
        <v>93</v>
      </c>
      <c r="B76" s="1">
        <f t="array" ref="B76">SUMPRODUCT(--ISNUMBER(INDEX($B$3:$ZZ$14,0,ROWS($A$1:A58))))+COUNTIF(INDEX($B$3:$ZZ$14,0,ROWS($A$1:A58)),"??/??/????")</f>
        <v>2</v>
      </c>
      <c r="C76" s="1">
        <v>12</v>
      </c>
      <c r="D76" s="3">
        <f t="shared" si="16"/>
        <v>0.16666666666666666</v>
      </c>
      <c r="E76" s="1" t="str">
        <f t="shared" si="17"/>
        <v>RED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</row>
    <row r="77" spans="1:117" x14ac:dyDescent="0.35">
      <c r="A77" s="1" t="s">
        <v>159</v>
      </c>
      <c r="B77" s="1">
        <f t="array" ref="B77">SUMPRODUCT(--ISNUMBER(INDEX($B$3:$ZZ$14,0,ROWS($A$1:A59))))+COUNTIF(INDEX($B$3:$ZZ$14,0,ROWS($A$1:A59)),"??/??/????")</f>
        <v>1</v>
      </c>
      <c r="C77" s="1">
        <v>12</v>
      </c>
      <c r="D77" s="3">
        <f t="shared" si="16"/>
        <v>8.3333333333333329E-2</v>
      </c>
      <c r="E77" s="1" t="str">
        <f t="shared" si="17"/>
        <v>RED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</row>
    <row r="78" spans="1:117" x14ac:dyDescent="0.35">
      <c r="A78" s="1" t="s">
        <v>160</v>
      </c>
      <c r="B78" s="1">
        <f t="array" ref="B78">SUMPRODUCT(--ISNUMBER(INDEX($B$3:$ZZ$14,0,ROWS($A$1:A60))))+COUNTIF(INDEX($B$3:$ZZ$14,0,ROWS($A$1:A60)),"??/??/????")</f>
        <v>7</v>
      </c>
      <c r="C78" s="1">
        <v>12</v>
      </c>
      <c r="D78" s="3">
        <f t="shared" si="16"/>
        <v>0.58333333333333337</v>
      </c>
      <c r="E78" s="1" t="str">
        <f t="shared" si="17"/>
        <v>RED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</row>
    <row r="79" spans="1:117" x14ac:dyDescent="0.35">
      <c r="A79" s="1" t="s">
        <v>161</v>
      </c>
      <c r="B79" s="1">
        <f t="array" ref="B79">SUMPRODUCT(--ISNUMBER(INDEX($B$3:$ZZ$14,0,ROWS($A$1:A61))))+COUNTIF(INDEX($B$3:$ZZ$14,0,ROWS($A$1:A61)),"??/??/????")</f>
        <v>0</v>
      </c>
      <c r="C79" s="1">
        <v>12</v>
      </c>
      <c r="D79" s="3">
        <f t="shared" si="16"/>
        <v>0</v>
      </c>
      <c r="E79" s="1" t="str">
        <f t="shared" si="17"/>
        <v>RED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</row>
    <row r="80" spans="1:117" x14ac:dyDescent="0.35">
      <c r="A80" s="1" t="s">
        <v>162</v>
      </c>
      <c r="B80" s="1">
        <f t="array" ref="B80">SUMPRODUCT(--ISNUMBER(INDEX($B$3:$ZZ$14,0,ROWS($A$1:A62))))+COUNTIF(INDEX($B$3:$ZZ$14,0,ROWS($A$1:A62)),"??/??/????")</f>
        <v>3</v>
      </c>
      <c r="C80" s="1">
        <v>12</v>
      </c>
      <c r="D80" s="3">
        <f t="shared" si="16"/>
        <v>0.25</v>
      </c>
      <c r="E80" s="1" t="str">
        <f t="shared" si="17"/>
        <v>RED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</row>
    <row r="81" spans="1:117" x14ac:dyDescent="0.35">
      <c r="A81" s="1" t="s">
        <v>163</v>
      </c>
      <c r="B81" s="1">
        <f t="array" ref="B81">SUMPRODUCT(--ISNUMBER(INDEX($B$3:$ZZ$14,0,ROWS($A$1:A63))))+COUNTIF(INDEX($B$3:$ZZ$14,0,ROWS($A$1:A63)),"??/??/????")</f>
        <v>0</v>
      </c>
      <c r="C81" s="1">
        <v>12</v>
      </c>
      <c r="D81" s="3">
        <f t="shared" si="16"/>
        <v>0</v>
      </c>
      <c r="E81" s="1" t="str">
        <f t="shared" si="17"/>
        <v>RED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</row>
    <row r="82" spans="1:117" x14ac:dyDescent="0.35">
      <c r="A82" s="1" t="s">
        <v>164</v>
      </c>
      <c r="B82" s="1">
        <f t="array" ref="B82">SUMPRODUCT(--ISNUMBER(INDEX($B$3:$ZZ$14,0,ROWS($A$1:A64))))+COUNTIF(INDEX($B$3:$ZZ$14,0,ROWS($A$1:A64)),"??/??/????")</f>
        <v>0</v>
      </c>
      <c r="C82" s="1">
        <v>12</v>
      </c>
      <c r="D82" s="3">
        <f t="shared" si="16"/>
        <v>0</v>
      </c>
      <c r="E82" s="1" t="str">
        <f t="shared" si="17"/>
        <v>RED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</row>
    <row r="83" spans="1:117" x14ac:dyDescent="0.35">
      <c r="A83" s="1" t="s">
        <v>165</v>
      </c>
      <c r="B83" s="1">
        <f t="array" ref="B83">SUMPRODUCT(--ISNUMBER(INDEX($B$3:$ZZ$14,0,ROWS($A$1:A65))))+COUNTIF(INDEX($B$3:$ZZ$14,0,ROWS($A$1:A65)),"??/??/????")</f>
        <v>1</v>
      </c>
      <c r="C83" s="1">
        <v>12</v>
      </c>
      <c r="D83" s="3">
        <f t="shared" ref="D83:D114" si="18">IF(C83=0,"",B83/C83)</f>
        <v>8.3333333333333329E-2</v>
      </c>
      <c r="E83" s="1" t="str">
        <f t="shared" ref="E83:E114" si="19">IF(D83="","",IF(D83&gt;=0.8,"GREEN",IF(D83&gt;=0.7,"AMBER","RED")))</f>
        <v>RED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</row>
    <row r="84" spans="1:117" x14ac:dyDescent="0.35">
      <c r="A84" s="1" t="s">
        <v>166</v>
      </c>
      <c r="B84" s="1">
        <f t="array" ref="B84">SUMPRODUCT(--ISNUMBER(INDEX($B$3:$ZZ$14,0,ROWS($A$1:A66))))+COUNTIF(INDEX($B$3:$ZZ$14,0,ROWS($A$1:A66)),"??/??/????")</f>
        <v>1</v>
      </c>
      <c r="C84" s="1">
        <v>12</v>
      </c>
      <c r="D84" s="3">
        <f t="shared" si="18"/>
        <v>8.3333333333333329E-2</v>
      </c>
      <c r="E84" s="1" t="str">
        <f t="shared" si="19"/>
        <v>RED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</row>
    <row r="85" spans="1:117" x14ac:dyDescent="0.35">
      <c r="A85" s="1" t="s">
        <v>167</v>
      </c>
      <c r="B85" s="1">
        <f t="array" ref="B85">SUMPRODUCT(--ISNUMBER(INDEX($B$3:$ZZ$14,0,ROWS($A$1:A67))))+COUNTIF(INDEX($B$3:$ZZ$14,0,ROWS($A$1:A67)),"??/??/????")</f>
        <v>1</v>
      </c>
      <c r="C85" s="1">
        <v>12</v>
      </c>
      <c r="D85" s="3">
        <f t="shared" si="18"/>
        <v>8.3333333333333329E-2</v>
      </c>
      <c r="E85" s="1" t="str">
        <f t="shared" si="19"/>
        <v>RED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</row>
    <row r="86" spans="1:117" x14ac:dyDescent="0.35">
      <c r="A86" s="1" t="s">
        <v>168</v>
      </c>
      <c r="B86" s="1">
        <f t="array" ref="B86">SUMPRODUCT(--ISNUMBER(INDEX($B$3:$ZZ$14,0,ROWS($A$1:A68))))+COUNTIF(INDEX($B$3:$ZZ$14,0,ROWS($A$1:A68)),"??/??/????")</f>
        <v>1</v>
      </c>
      <c r="C86" s="1">
        <v>12</v>
      </c>
      <c r="D86" s="3">
        <f t="shared" si="18"/>
        <v>8.3333333333333329E-2</v>
      </c>
      <c r="E86" s="1" t="str">
        <f t="shared" si="19"/>
        <v>RED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</row>
    <row r="87" spans="1:117" x14ac:dyDescent="0.35">
      <c r="A87" s="1" t="s">
        <v>169</v>
      </c>
      <c r="B87" s="1">
        <f t="array" ref="B87">SUMPRODUCT(--ISNUMBER(INDEX($B$3:$ZZ$14,0,ROWS($A$1:A69))))+COUNTIF(INDEX($B$3:$ZZ$14,0,ROWS($A$1:A69)),"??/??/????")</f>
        <v>0</v>
      </c>
      <c r="C87" s="1">
        <v>12</v>
      </c>
      <c r="D87" s="3">
        <f t="shared" si="18"/>
        <v>0</v>
      </c>
      <c r="E87" s="1" t="str">
        <f t="shared" si="19"/>
        <v>RED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</row>
    <row r="88" spans="1:117" x14ac:dyDescent="0.35">
      <c r="A88" s="1" t="s">
        <v>170</v>
      </c>
      <c r="B88" s="1">
        <f t="array" ref="B88">SUMPRODUCT(--ISNUMBER(INDEX($B$3:$ZZ$14,0,ROWS($A$1:A70))))+COUNTIF(INDEX($B$3:$ZZ$14,0,ROWS($A$1:A70)),"??/??/????")</f>
        <v>1</v>
      </c>
      <c r="C88" s="1">
        <v>12</v>
      </c>
      <c r="D88" s="3">
        <f t="shared" si="18"/>
        <v>8.3333333333333329E-2</v>
      </c>
      <c r="E88" s="1" t="str">
        <f t="shared" si="19"/>
        <v>RED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</row>
    <row r="89" spans="1:117" x14ac:dyDescent="0.35">
      <c r="A89" s="1" t="s">
        <v>171</v>
      </c>
      <c r="B89" s="1">
        <f t="array" ref="B89">SUMPRODUCT(--ISNUMBER(INDEX($B$3:$ZZ$14,0,ROWS($A$1:A71))))+COUNTIF(INDEX($B$3:$ZZ$14,0,ROWS($A$1:A71)),"??/??/????")</f>
        <v>0</v>
      </c>
      <c r="C89" s="1">
        <v>12</v>
      </c>
      <c r="D89" s="3">
        <f t="shared" si="18"/>
        <v>0</v>
      </c>
      <c r="E89" s="1" t="str">
        <f t="shared" si="19"/>
        <v>RED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</row>
    <row r="90" spans="1:117" x14ac:dyDescent="0.35">
      <c r="A90" s="1" t="s">
        <v>172</v>
      </c>
      <c r="B90" s="1">
        <f t="array" ref="B90">SUMPRODUCT(--ISNUMBER(INDEX($B$3:$ZZ$14,0,ROWS($A$1:A72))))+COUNTIF(INDEX($B$3:$ZZ$14,0,ROWS($A$1:A72)),"??/??/????")</f>
        <v>5</v>
      </c>
      <c r="C90" s="1">
        <v>12</v>
      </c>
      <c r="D90" s="3">
        <f t="shared" si="18"/>
        <v>0.41666666666666669</v>
      </c>
      <c r="E90" s="1" t="str">
        <f t="shared" si="19"/>
        <v>RED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</row>
    <row r="91" spans="1:117" x14ac:dyDescent="0.35">
      <c r="A91" s="1" t="s">
        <v>173</v>
      </c>
      <c r="B91" s="1">
        <f t="array" ref="B91">SUMPRODUCT(--ISNUMBER(INDEX($B$3:$ZZ$14,0,ROWS($A$1:A73))))+COUNTIF(INDEX($B$3:$ZZ$14,0,ROWS($A$1:A73)),"??/??/????")</f>
        <v>0</v>
      </c>
      <c r="C91" s="1">
        <v>12</v>
      </c>
      <c r="D91" s="3">
        <f t="shared" si="18"/>
        <v>0</v>
      </c>
      <c r="E91" s="1" t="str">
        <f t="shared" si="19"/>
        <v>RED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</row>
    <row r="92" spans="1:117" x14ac:dyDescent="0.35">
      <c r="A92" s="1" t="s">
        <v>174</v>
      </c>
      <c r="B92" s="1">
        <f t="array" ref="B92">SUMPRODUCT(--ISNUMBER(INDEX($B$3:$ZZ$14,0,ROWS($A$1:A74))))+COUNTIF(INDEX($B$3:$ZZ$14,0,ROWS($A$1:A74)),"??/??/????")</f>
        <v>0</v>
      </c>
      <c r="C92" s="1">
        <v>12</v>
      </c>
      <c r="D92" s="3">
        <f t="shared" si="18"/>
        <v>0</v>
      </c>
      <c r="E92" s="1" t="str">
        <f t="shared" si="19"/>
        <v>RED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</row>
    <row r="93" spans="1:117" x14ac:dyDescent="0.35">
      <c r="A93" s="1" t="s">
        <v>175</v>
      </c>
      <c r="B93" s="1">
        <f t="array" ref="B93">SUMPRODUCT(--ISNUMBER(INDEX($B$3:$ZZ$14,0,ROWS($A$1:A75))))+COUNTIF(INDEX($B$3:$ZZ$14,0,ROWS($A$1:A75)),"??/??/????")</f>
        <v>0</v>
      </c>
      <c r="C93" s="1">
        <v>12</v>
      </c>
      <c r="D93" s="3">
        <f t="shared" si="18"/>
        <v>0</v>
      </c>
      <c r="E93" s="1" t="str">
        <f t="shared" si="19"/>
        <v>RED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</row>
    <row r="94" spans="1:117" x14ac:dyDescent="0.35">
      <c r="A94" s="1" t="s">
        <v>176</v>
      </c>
      <c r="B94" s="1">
        <f t="array" ref="B94">SUMPRODUCT(--ISNUMBER(INDEX($B$3:$ZZ$14,0,ROWS($A$1:A76))))+COUNTIF(INDEX($B$3:$ZZ$14,0,ROWS($A$1:A76)),"??/??/????")</f>
        <v>0</v>
      </c>
      <c r="C94" s="1">
        <v>12</v>
      </c>
      <c r="D94" s="3">
        <f t="shared" si="18"/>
        <v>0</v>
      </c>
      <c r="E94" s="1" t="str">
        <f t="shared" si="19"/>
        <v>RED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</row>
    <row r="95" spans="1:117" x14ac:dyDescent="0.35">
      <c r="A95" s="1" t="s">
        <v>177</v>
      </c>
      <c r="B95" s="1">
        <f t="array" ref="B95">SUMPRODUCT(--ISNUMBER(INDEX($B$3:$ZZ$14,0,ROWS($A$1:A77))))+COUNTIF(INDEX($B$3:$ZZ$14,0,ROWS($A$1:A77)),"??/??/????")</f>
        <v>1</v>
      </c>
      <c r="C95" s="1">
        <v>12</v>
      </c>
      <c r="D95" s="3">
        <f t="shared" si="18"/>
        <v>8.3333333333333329E-2</v>
      </c>
      <c r="E95" s="1" t="str">
        <f t="shared" si="19"/>
        <v>RED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</row>
    <row r="96" spans="1:117" x14ac:dyDescent="0.35">
      <c r="A96" s="1" t="s">
        <v>178</v>
      </c>
      <c r="B96" s="1">
        <f t="array" ref="B96">SUMPRODUCT(--ISNUMBER(INDEX($B$3:$ZZ$14,0,ROWS($A$1:A78))))+COUNTIF(INDEX($B$3:$ZZ$14,0,ROWS($A$1:A78)),"??/??/????")</f>
        <v>0</v>
      </c>
      <c r="C96" s="1">
        <v>12</v>
      </c>
      <c r="D96" s="3">
        <f t="shared" si="18"/>
        <v>0</v>
      </c>
      <c r="E96" s="1" t="str">
        <f t="shared" si="19"/>
        <v>RED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</row>
    <row r="97" spans="1:117" x14ac:dyDescent="0.35">
      <c r="A97" s="1" t="s">
        <v>179</v>
      </c>
      <c r="B97" s="1">
        <f t="array" ref="B97">SUMPRODUCT(--ISNUMBER(INDEX($B$3:$ZZ$14,0,ROWS($A$1:A79))))+COUNTIF(INDEX($B$3:$ZZ$14,0,ROWS($A$1:A79)),"??/??/????")</f>
        <v>0</v>
      </c>
      <c r="C97" s="1">
        <v>12</v>
      </c>
      <c r="D97" s="3">
        <f t="shared" si="18"/>
        <v>0</v>
      </c>
      <c r="E97" s="1" t="str">
        <f t="shared" si="19"/>
        <v>RED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</row>
    <row r="98" spans="1:117" x14ac:dyDescent="0.35">
      <c r="A98" s="1" t="s">
        <v>180</v>
      </c>
      <c r="B98" s="1">
        <f t="array" ref="B98">SUMPRODUCT(--ISNUMBER(INDEX($B$3:$ZZ$14,0,ROWS($A$1:A80))))+COUNTIF(INDEX($B$3:$ZZ$14,0,ROWS($A$1:A80)),"??/??/????")</f>
        <v>1</v>
      </c>
      <c r="C98" s="1">
        <v>12</v>
      </c>
      <c r="D98" s="3">
        <f t="shared" si="18"/>
        <v>8.3333333333333329E-2</v>
      </c>
      <c r="E98" s="1" t="str">
        <f t="shared" si="19"/>
        <v>RED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</row>
    <row r="99" spans="1:117" x14ac:dyDescent="0.35">
      <c r="A99" s="1" t="s">
        <v>181</v>
      </c>
      <c r="B99" s="1">
        <f t="array" ref="B99">SUMPRODUCT(--ISNUMBER(INDEX($B$3:$ZZ$14,0,ROWS($A$1:A81))))+COUNTIF(INDEX($B$3:$ZZ$14,0,ROWS($A$1:A81)),"??/??/????")</f>
        <v>0</v>
      </c>
      <c r="C99" s="1">
        <v>12</v>
      </c>
      <c r="D99" s="3">
        <f t="shared" si="18"/>
        <v>0</v>
      </c>
      <c r="E99" s="1" t="str">
        <f t="shared" si="19"/>
        <v>RED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</row>
    <row r="100" spans="1:117" x14ac:dyDescent="0.35">
      <c r="A100" s="1" t="s">
        <v>182</v>
      </c>
      <c r="B100" s="1">
        <f t="array" ref="B100">SUMPRODUCT(--ISNUMBER(INDEX($B$3:$ZZ$14,0,ROWS($A$1:A82))))+COUNTIF(INDEX($B$3:$ZZ$14,0,ROWS($A$1:A82)),"??/??/????")</f>
        <v>0</v>
      </c>
      <c r="C100" s="1">
        <v>12</v>
      </c>
      <c r="D100" s="3">
        <f t="shared" si="18"/>
        <v>0</v>
      </c>
      <c r="E100" s="1" t="str">
        <f t="shared" si="19"/>
        <v>RED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</row>
    <row r="101" spans="1:117" x14ac:dyDescent="0.35">
      <c r="A101" s="1" t="s">
        <v>183</v>
      </c>
      <c r="B101" s="1">
        <f t="array" ref="B101">SUMPRODUCT(--ISNUMBER(INDEX($B$3:$ZZ$14,0,ROWS($A$1:A83))))+COUNTIF(INDEX($B$3:$ZZ$14,0,ROWS($A$1:A83)),"??/??/????")</f>
        <v>1</v>
      </c>
      <c r="C101" s="1">
        <v>12</v>
      </c>
      <c r="D101" s="3">
        <f t="shared" si="18"/>
        <v>8.3333333333333329E-2</v>
      </c>
      <c r="E101" s="1" t="str">
        <f t="shared" si="19"/>
        <v>RED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</row>
    <row r="102" spans="1:117" x14ac:dyDescent="0.35">
      <c r="A102" s="1" t="s">
        <v>184</v>
      </c>
      <c r="B102" s="1">
        <f t="array" ref="B102">SUMPRODUCT(--ISNUMBER(INDEX($B$3:$ZZ$14,0,ROWS($A$1:A84))))+COUNTIF(INDEX($B$3:$ZZ$14,0,ROWS($A$1:A84)),"??/??/????")</f>
        <v>0</v>
      </c>
      <c r="C102" s="1">
        <v>12</v>
      </c>
      <c r="D102" s="3">
        <f t="shared" si="18"/>
        <v>0</v>
      </c>
      <c r="E102" s="1" t="str">
        <f t="shared" si="19"/>
        <v>RED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</row>
    <row r="103" spans="1:117" x14ac:dyDescent="0.35">
      <c r="A103" s="1" t="s">
        <v>185</v>
      </c>
      <c r="B103" s="1">
        <f t="array" ref="B103">SUMPRODUCT(--ISNUMBER(INDEX($B$3:$ZZ$14,0,ROWS($A$1:A85))))+COUNTIF(INDEX($B$3:$ZZ$14,0,ROWS($A$1:A85)),"??/??/????")</f>
        <v>0</v>
      </c>
      <c r="C103" s="1">
        <v>12</v>
      </c>
      <c r="D103" s="3">
        <f t="shared" si="18"/>
        <v>0</v>
      </c>
      <c r="E103" s="1" t="str">
        <f t="shared" si="19"/>
        <v>RED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</row>
    <row r="104" spans="1:117" x14ac:dyDescent="0.35">
      <c r="A104" s="1" t="s">
        <v>186</v>
      </c>
      <c r="B104" s="1">
        <f t="array" ref="B104">SUMPRODUCT(--ISNUMBER(INDEX($B$3:$ZZ$14,0,ROWS($A$1:A86))))+COUNTIF(INDEX($B$3:$ZZ$14,0,ROWS($A$1:A86)),"??/??/????")</f>
        <v>0</v>
      </c>
      <c r="C104" s="1">
        <v>12</v>
      </c>
      <c r="D104" s="3">
        <f t="shared" si="18"/>
        <v>0</v>
      </c>
      <c r="E104" s="1" t="str">
        <f t="shared" si="19"/>
        <v>RED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</row>
    <row r="105" spans="1:117" x14ac:dyDescent="0.35">
      <c r="A105" s="1" t="s">
        <v>187</v>
      </c>
      <c r="B105" s="1">
        <f t="array" ref="B105">SUMPRODUCT(--ISNUMBER(INDEX($B$3:$ZZ$14,0,ROWS($A$1:A87))))+COUNTIF(INDEX($B$3:$ZZ$14,0,ROWS($A$1:A87)),"??/??/????")</f>
        <v>0</v>
      </c>
      <c r="C105" s="1">
        <v>12</v>
      </c>
      <c r="D105" s="3">
        <f t="shared" si="18"/>
        <v>0</v>
      </c>
      <c r="E105" s="1" t="str">
        <f t="shared" si="19"/>
        <v>RED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</row>
    <row r="106" spans="1:117" x14ac:dyDescent="0.35">
      <c r="A106" s="1" t="s">
        <v>188</v>
      </c>
      <c r="B106" s="1">
        <f t="array" ref="B106">SUMPRODUCT(--ISNUMBER(INDEX($B$3:$ZZ$14,0,ROWS($A$1:A88))))+COUNTIF(INDEX($B$3:$ZZ$14,0,ROWS($A$1:A88)),"??/??/????")</f>
        <v>0</v>
      </c>
      <c r="C106" s="1">
        <v>12</v>
      </c>
      <c r="D106" s="3">
        <f t="shared" si="18"/>
        <v>0</v>
      </c>
      <c r="E106" s="1" t="str">
        <f t="shared" si="19"/>
        <v>RED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</row>
    <row r="107" spans="1:117" x14ac:dyDescent="0.35">
      <c r="A107" s="1" t="s">
        <v>189</v>
      </c>
      <c r="B107" s="1">
        <f t="array" ref="B107">SUMPRODUCT(--ISNUMBER(INDEX($B$3:$ZZ$14,0,ROWS($A$1:A89))))+COUNTIF(INDEX($B$3:$ZZ$14,0,ROWS($A$1:A89)),"??/??/????")</f>
        <v>0</v>
      </c>
      <c r="C107" s="1">
        <v>12</v>
      </c>
      <c r="D107" s="3">
        <f t="shared" si="18"/>
        <v>0</v>
      </c>
      <c r="E107" s="1" t="str">
        <f t="shared" si="19"/>
        <v>RED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</row>
    <row r="108" spans="1:117" x14ac:dyDescent="0.35">
      <c r="A108" s="1" t="s">
        <v>190</v>
      </c>
      <c r="B108" s="1">
        <f t="array" ref="B108">SUMPRODUCT(--ISNUMBER(INDEX($B$3:$ZZ$14,0,ROWS($A$1:A90))))+COUNTIF(INDEX($B$3:$ZZ$14,0,ROWS($A$1:A90)),"??/??/????")</f>
        <v>0</v>
      </c>
      <c r="C108" s="1">
        <v>12</v>
      </c>
      <c r="D108" s="3">
        <f t="shared" si="18"/>
        <v>0</v>
      </c>
      <c r="E108" s="1" t="str">
        <f t="shared" si="19"/>
        <v>RED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</row>
    <row r="109" spans="1:117" x14ac:dyDescent="0.35">
      <c r="A109" s="1" t="s">
        <v>191</v>
      </c>
      <c r="B109" s="1">
        <f t="array" ref="B109">SUMPRODUCT(--ISNUMBER(INDEX($B$3:$ZZ$14,0,ROWS($A$1:A91))))+COUNTIF(INDEX($B$3:$ZZ$14,0,ROWS($A$1:A91)),"??/??/????")</f>
        <v>1</v>
      </c>
      <c r="C109" s="1">
        <v>12</v>
      </c>
      <c r="D109" s="3">
        <f t="shared" si="18"/>
        <v>8.3333333333333329E-2</v>
      </c>
      <c r="E109" s="1" t="str">
        <f t="shared" si="19"/>
        <v>RED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</row>
    <row r="110" spans="1:117" x14ac:dyDescent="0.35">
      <c r="A110" s="1" t="s">
        <v>192</v>
      </c>
      <c r="B110" s="1">
        <f t="array" ref="B110">SUMPRODUCT(--ISNUMBER(INDEX($B$3:$ZZ$14,0,ROWS($A$1:A92))))+COUNTIF(INDEX($B$3:$ZZ$14,0,ROWS($A$1:A92)),"??/??/????")</f>
        <v>0</v>
      </c>
      <c r="C110" s="1">
        <v>12</v>
      </c>
      <c r="D110" s="3">
        <f t="shared" si="18"/>
        <v>0</v>
      </c>
      <c r="E110" s="1" t="str">
        <f t="shared" si="19"/>
        <v>RED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</row>
    <row r="111" spans="1:117" ht="12.9" customHeight="1" x14ac:dyDescent="0.35">
      <c r="A111" s="1" t="s">
        <v>193</v>
      </c>
      <c r="B111" s="1">
        <f t="array" ref="B111">SUMPRODUCT(--ISNUMBER(INDEX($B$3:$ZZ$14,0,ROWS($A$1:A93))))+COUNTIF(INDEX($B$3:$ZZ$14,0,ROWS($A$1:A93)),"??/??/????")</f>
        <v>0</v>
      </c>
      <c r="C111" s="1">
        <v>12</v>
      </c>
      <c r="D111" s="3">
        <f t="shared" si="18"/>
        <v>0</v>
      </c>
      <c r="E111" s="1" t="str">
        <f t="shared" si="19"/>
        <v>RED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</row>
    <row r="112" spans="1:117" x14ac:dyDescent="0.35">
      <c r="A112" s="1" t="s">
        <v>194</v>
      </c>
      <c r="B112" s="1">
        <f t="array" ref="B112">SUMPRODUCT(--ISNUMBER(INDEX($B$3:$ZZ$14,0,ROWS($A$1:A94))))+COUNTIF(INDEX($B$3:$ZZ$14,0,ROWS($A$1:A94)),"??/??/????")</f>
        <v>0</v>
      </c>
      <c r="C112" s="1">
        <v>12</v>
      </c>
      <c r="D112" s="3">
        <f t="shared" si="18"/>
        <v>0</v>
      </c>
      <c r="E112" s="1" t="str">
        <f t="shared" si="19"/>
        <v>RED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</row>
    <row r="113" spans="1:117" ht="12.9" customHeight="1" x14ac:dyDescent="0.35">
      <c r="A113" s="1" t="s">
        <v>195</v>
      </c>
      <c r="B113" s="1">
        <f t="array" ref="B113">SUMPRODUCT(--ISNUMBER(INDEX($B$3:$ZZ$14,0,ROWS($A$1:A95))))+COUNTIF(INDEX($B$3:$ZZ$14,0,ROWS($A$1:A95)),"??/??/????")</f>
        <v>1</v>
      </c>
      <c r="C113" s="1">
        <v>12</v>
      </c>
      <c r="D113" s="3">
        <f t="shared" si="18"/>
        <v>8.3333333333333329E-2</v>
      </c>
      <c r="E113" s="1" t="str">
        <f t="shared" si="19"/>
        <v>RED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</row>
    <row r="114" spans="1:117" x14ac:dyDescent="0.35">
      <c r="A114" s="1" t="s">
        <v>196</v>
      </c>
      <c r="B114" s="1">
        <f t="array" ref="B114">SUMPRODUCT(--ISNUMBER(INDEX($B$3:$ZZ$14,0,ROWS($A$1:A96))))+COUNTIF(INDEX($B$3:$ZZ$14,0,ROWS($A$1:A96)),"??/??/????")</f>
        <v>0</v>
      </c>
      <c r="C114" s="1">
        <v>12</v>
      </c>
      <c r="D114" s="3">
        <f t="shared" si="18"/>
        <v>0</v>
      </c>
      <c r="E114" s="1" t="str">
        <f t="shared" si="19"/>
        <v>RED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</row>
    <row r="115" spans="1:117" x14ac:dyDescent="0.35">
      <c r="A115" s="1" t="s">
        <v>197</v>
      </c>
      <c r="B115" s="1">
        <f t="array" ref="B115">SUMPRODUCT(--ISNUMBER(INDEX($B$3:$ZZ$14,0,ROWS($A$1:A97))))+COUNTIF(INDEX($B$3:$ZZ$14,0,ROWS($A$1:A97)),"??/??/????")</f>
        <v>0</v>
      </c>
      <c r="C115" s="1">
        <v>12</v>
      </c>
      <c r="D115" s="3">
        <f t="shared" ref="D115:D127" si="20">IF(C115=0,"",B115/C115)</f>
        <v>0</v>
      </c>
      <c r="E115" s="1" t="str">
        <f t="shared" ref="E115:E128" si="21">IF(D115="","",IF(D115&gt;=0.8,"GREEN",IF(D115&gt;=0.7,"AMBER","RED")))</f>
        <v>RED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</row>
    <row r="116" spans="1:117" x14ac:dyDescent="0.35">
      <c r="A116" s="1" t="s">
        <v>198</v>
      </c>
      <c r="B116" s="1">
        <f t="array" ref="B116">SUMPRODUCT(--ISNUMBER(INDEX($B$3:$ZZ$14,0,ROWS($A$1:A98))))+COUNTIF(INDEX($B$3:$ZZ$14,0,ROWS($A$1:A98)),"??/??/????")</f>
        <v>1</v>
      </c>
      <c r="C116" s="1">
        <v>12</v>
      </c>
      <c r="D116" s="3">
        <f t="shared" si="20"/>
        <v>8.3333333333333329E-2</v>
      </c>
      <c r="E116" s="1" t="str">
        <f t="shared" si="21"/>
        <v>RED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</row>
    <row r="117" spans="1:117" x14ac:dyDescent="0.35">
      <c r="A117" s="1" t="s">
        <v>199</v>
      </c>
      <c r="B117" s="1">
        <f t="array" ref="B117">SUMPRODUCT(--ISNUMBER(INDEX($B$3:$ZZ$14,0,ROWS($A$1:A99))))+COUNTIF(INDEX($B$3:$ZZ$14,0,ROWS($A$1:A99)),"??/??/????")</f>
        <v>0</v>
      </c>
      <c r="C117" s="1">
        <v>12</v>
      </c>
      <c r="D117" s="3">
        <f t="shared" si="20"/>
        <v>0</v>
      </c>
      <c r="E117" s="1" t="str">
        <f t="shared" si="21"/>
        <v>RED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</row>
    <row r="118" spans="1:117" ht="12.9" customHeight="1" x14ac:dyDescent="0.35">
      <c r="A118" s="1" t="s">
        <v>200</v>
      </c>
      <c r="B118" s="1">
        <f t="array" ref="B118">SUMPRODUCT(--ISNUMBER(INDEX($B$3:$ZZ$14,0,ROWS($A$1:A100))))+COUNTIF(INDEX($B$3:$ZZ$14,0,ROWS($A$1:A100)),"??/??/????")</f>
        <v>0</v>
      </c>
      <c r="C118" s="1">
        <v>12</v>
      </c>
      <c r="D118" s="3">
        <f t="shared" si="20"/>
        <v>0</v>
      </c>
      <c r="E118" s="1" t="str">
        <f t="shared" si="21"/>
        <v>RED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</row>
    <row r="119" spans="1:117" x14ac:dyDescent="0.35">
      <c r="A119" s="1" t="s">
        <v>201</v>
      </c>
      <c r="B119" s="1">
        <f t="array" ref="B119">SUMPRODUCT(--ISNUMBER(INDEX($B$3:$ZZ$14,0,ROWS($A$1:A101))))+COUNTIF(INDEX($B$3:$ZZ$14,0,ROWS($A$1:A101)),"??/??/????")</f>
        <v>0</v>
      </c>
      <c r="C119" s="1">
        <v>12</v>
      </c>
      <c r="D119" s="3">
        <f t="shared" si="20"/>
        <v>0</v>
      </c>
      <c r="E119" s="1" t="str">
        <f t="shared" si="21"/>
        <v>RED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</row>
    <row r="120" spans="1:117" x14ac:dyDescent="0.35">
      <c r="A120" s="1" t="s">
        <v>202</v>
      </c>
      <c r="B120" s="1">
        <f t="array" ref="B120">SUMPRODUCT(--ISNUMBER(INDEX($B$3:$ZZ$14,0,ROWS($A$1:A102))))+COUNTIF(INDEX($B$3:$ZZ$14,0,ROWS($A$1:A102)),"??/??/????")</f>
        <v>1</v>
      </c>
      <c r="C120" s="1">
        <v>12</v>
      </c>
      <c r="D120" s="3">
        <f t="shared" si="20"/>
        <v>8.3333333333333329E-2</v>
      </c>
      <c r="E120" s="1" t="str">
        <f t="shared" si="21"/>
        <v>RED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</row>
    <row r="121" spans="1:117" ht="12.9" customHeight="1" x14ac:dyDescent="0.35">
      <c r="A121" s="1" t="s">
        <v>203</v>
      </c>
      <c r="B121" s="1">
        <f t="array" ref="B121">SUMPRODUCT(--ISNUMBER(INDEX($B$3:$ZZ$14,0,ROWS($A$1:A103))))+COUNTIF(INDEX($B$3:$ZZ$14,0,ROWS($A$1:A103)),"??/??/????")</f>
        <v>1</v>
      </c>
      <c r="C121" s="1">
        <v>12</v>
      </c>
      <c r="D121" s="3">
        <f t="shared" si="20"/>
        <v>8.3333333333333329E-2</v>
      </c>
      <c r="E121" s="1" t="str">
        <f t="shared" si="21"/>
        <v>RED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</row>
    <row r="122" spans="1:117" x14ac:dyDescent="0.35">
      <c r="A122" s="1" t="s">
        <v>204</v>
      </c>
      <c r="B122" s="1">
        <f t="array" ref="B122">SUMPRODUCT(--ISNUMBER(INDEX($B$3:$ZZ$14,0,ROWS($A$1:A104))))+COUNTIF(INDEX($B$3:$ZZ$14,0,ROWS($A$1:A104)),"??/??/????")</f>
        <v>6</v>
      </c>
      <c r="C122" s="1">
        <v>12</v>
      </c>
      <c r="D122" s="3">
        <f t="shared" si="20"/>
        <v>0.5</v>
      </c>
      <c r="E122" s="1" t="str">
        <f t="shared" si="21"/>
        <v>RED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</row>
    <row r="123" spans="1:117" x14ac:dyDescent="0.35">
      <c r="A123" s="1" t="s">
        <v>205</v>
      </c>
      <c r="B123" s="1">
        <f t="array" ref="B123">SUMPRODUCT(--ISNUMBER(INDEX($B$3:$ZZ$14,0,ROWS($A$1:A105))))+COUNTIF(INDEX($B$3:$ZZ$14,0,ROWS($A$1:A105)),"??/??/????")</f>
        <v>7</v>
      </c>
      <c r="C123" s="1">
        <v>12</v>
      </c>
      <c r="D123" s="3">
        <f t="shared" si="20"/>
        <v>0.58333333333333337</v>
      </c>
      <c r="E123" s="1" t="str">
        <f t="shared" si="21"/>
        <v>RED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</row>
    <row r="124" spans="1:117" x14ac:dyDescent="0.35">
      <c r="A124" s="1" t="s">
        <v>94</v>
      </c>
      <c r="B124" s="1">
        <f t="array" ref="B124">SUMPRODUCT(--ISNUMBER(INDEX($B$3:$ZZ$14,0,ROWS($A$1:A106))))+COUNTIF(INDEX($B$3:$ZZ$14,0,ROWS($A$1:A106)),"??/??/????")</f>
        <v>11</v>
      </c>
      <c r="C124" s="1">
        <v>12</v>
      </c>
      <c r="D124" s="3">
        <f t="shared" si="20"/>
        <v>0.91666666666666663</v>
      </c>
      <c r="E124" s="1" t="str">
        <f t="shared" si="21"/>
        <v>GREEN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</row>
    <row r="125" spans="1:117" x14ac:dyDescent="0.35">
      <c r="A125" s="1" t="s">
        <v>206</v>
      </c>
      <c r="B125" s="1">
        <f t="array" ref="B125">SUMPRODUCT(--ISNUMBER(INDEX($B$3:$ZZ$14,0,ROWS($A$1:A107))))+COUNTIF(INDEX($B$3:$ZZ$14,0,ROWS($A$1:A107)),"??/??/????")</f>
        <v>5</v>
      </c>
      <c r="C125" s="1">
        <v>12</v>
      </c>
      <c r="D125" s="3">
        <f t="shared" si="20"/>
        <v>0.41666666666666669</v>
      </c>
      <c r="E125" s="1" t="str">
        <f t="shared" si="21"/>
        <v>RED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</row>
    <row r="126" spans="1:117" x14ac:dyDescent="0.35">
      <c r="A126" s="1" t="s">
        <v>207</v>
      </c>
      <c r="B126" s="1">
        <f t="array" ref="B126">SUMPRODUCT(--ISNUMBER(INDEX($B$3:$ZZ$14,0,ROWS($A$1:A108))))+COUNTIF(INDEX($B$3:$ZZ$14,0,ROWS($A$1:A108)),"??/??/????")</f>
        <v>6</v>
      </c>
      <c r="C126" s="1">
        <v>12</v>
      </c>
      <c r="D126" s="3">
        <f t="shared" si="20"/>
        <v>0.5</v>
      </c>
      <c r="E126" s="1" t="str">
        <f t="shared" si="21"/>
        <v>RED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</row>
    <row r="127" spans="1:117" x14ac:dyDescent="0.35">
      <c r="A127" s="1" t="s">
        <v>208</v>
      </c>
      <c r="B127" s="1">
        <f t="array" ref="B127">SUMPRODUCT(--ISNUMBER(INDEX($B$3:$ZZ$14,0,ROWS($A$1:A109))))+COUNTIF(INDEX($B$3:$ZZ$14,0,ROWS($A$1:A109)),"??/??/????")</f>
        <v>1</v>
      </c>
      <c r="C127" s="1">
        <v>12</v>
      </c>
      <c r="D127" s="3">
        <f t="shared" si="20"/>
        <v>8.3333333333333329E-2</v>
      </c>
      <c r="E127" s="1" t="str">
        <f t="shared" si="21"/>
        <v>RED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</row>
    <row r="128" spans="1:117" x14ac:dyDescent="0.35">
      <c r="A128" t="s">
        <v>198</v>
      </c>
      <c r="B128" s="1">
        <f t="array" ref="B128">SUMPRODUCT(--ISNUMBER(INDEX($B$3:$ZZ$14,0,ROWS($A$1:A110))))+COUNTIF(INDEX($B$3:$ZZ$14,0,ROWS($A$1:A110)),"??/??/????")</f>
        <v>3</v>
      </c>
      <c r="C128">
        <v>12</v>
      </c>
      <c r="D128" s="49">
        <v>8.3333333333333329E-2</v>
      </c>
      <c r="E128" s="1" t="str">
        <f t="shared" si="21"/>
        <v>RED</v>
      </c>
      <c r="DG128" s="21"/>
    </row>
  </sheetData>
  <conditionalFormatting sqref="B3:DF14">
    <cfRule type="expression" dxfId="442" priority="5">
      <formula>AND(B3&lt;&gt;"",B3&lt;&gt;"NS",B3&lt;&gt;"IP",B3&lt;&gt;"Failed",B3&lt;&gt;"F")</formula>
    </cfRule>
    <cfRule type="cellIs" dxfId="441" priority="6" operator="equal">
      <formula>"NS"</formula>
    </cfRule>
    <cfRule type="cellIs" dxfId="440" priority="7" operator="equal">
      <formula>"IP"</formula>
    </cfRule>
    <cfRule type="expression" dxfId="439" priority="7">
      <formula>ISNUMBER(B3)</formula>
    </cfRule>
    <cfRule type="expression" dxfId="438" priority="8">
      <formula>B3="NS"</formula>
    </cfRule>
    <cfRule type="expression" dxfId="437" priority="9">
      <formula>B3="IP"</formula>
    </cfRule>
    <cfRule type="expression" dxfId="436" priority="10">
      <formula>B3="Failed"</formula>
    </cfRule>
  </conditionalFormatting>
  <conditionalFormatting sqref="B3:DH14">
    <cfRule type="expression" dxfId="435" priority="14">
      <formula>AND(ISNUMBER(B3),B3&lt;TODAY())</formula>
    </cfRule>
    <cfRule type="expression" dxfId="434" priority="15">
      <formula>AND(ISNUMBER(B3),B3&gt;=TODAY(),B3&lt;=TODAY()+30)</formula>
    </cfRule>
    <cfRule type="expression" dxfId="433" priority="16">
      <formula>AND(ISNUMBER(B3),B3&gt;TODAY()+30)</formula>
    </cfRule>
    <cfRule type="expression" dxfId="432" priority="17">
      <formula>B3="NS"</formula>
    </cfRule>
    <cfRule type="expression" dxfId="431" priority="18">
      <formula>B3="IP"</formula>
    </cfRule>
  </conditionalFormatting>
  <conditionalFormatting sqref="E19:E128">
    <cfRule type="containsText" dxfId="430" priority="1" operator="containsText" text="AMBER">
      <formula>NOT(ISERROR(SEARCH("AMBER",E19)))</formula>
    </cfRule>
    <cfRule type="containsText" dxfId="429" priority="2" operator="containsText" text="RED">
      <formula>NOT(ISERROR(SEARCH("RED",E19)))</formula>
    </cfRule>
    <cfRule type="containsText" dxfId="428" priority="3" operator="containsText" text="GREEN">
      <formula>NOT(ISERROR(SEARCH("GREEN",E19)))</formula>
    </cfRule>
  </conditionalFormatting>
  <conditionalFormatting sqref="DK3:DK14">
    <cfRule type="expression" dxfId="427" priority="11">
      <formula>DK3="GREEN"</formula>
    </cfRule>
    <cfRule type="expression" dxfId="426" priority="12">
      <formula>DK3="AMBER"</formula>
    </cfRule>
    <cfRule type="expression" dxfId="425" priority="13">
      <formula>DK3="RED"</formula>
    </cfRule>
  </conditionalFormatting>
  <dataValidations count="2">
    <dataValidation type="list" allowBlank="1" sqref="B3:DF14" xr:uid="{00000000-0002-0000-0500-000000000000}">
      <formula1>"NS,IP,Failed,N/A"</formula1>
    </dataValidation>
    <dataValidation type="list" sqref="DG3:DG14" xr:uid="{00000000-0002-0000-0500-000001000000}">
      <formula1>"NS,IP,Completed,Failed"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defaultColWidth="8.6328125" defaultRowHeight="14.5" x14ac:dyDescent="0.35"/>
  <cols>
    <col min="1" max="1" width="15" customWidth="1"/>
    <col min="2" max="2" width="35" customWidth="1"/>
  </cols>
  <sheetData>
    <row r="1" spans="1:2" ht="13.5" customHeight="1" x14ac:dyDescent="0.35">
      <c r="A1" s="13" t="s">
        <v>273</v>
      </c>
      <c r="B1" s="13" t="s">
        <v>274</v>
      </c>
    </row>
    <row r="2" spans="1:2" ht="13.5" customHeight="1" x14ac:dyDescent="0.35">
      <c r="A2" s="14" t="s">
        <v>33</v>
      </c>
      <c r="B2" s="8" t="s">
        <v>275</v>
      </c>
    </row>
    <row r="3" spans="1:2" ht="13.5" customHeight="1" x14ac:dyDescent="0.35">
      <c r="A3" s="15" t="s">
        <v>3</v>
      </c>
      <c r="B3" s="8" t="s">
        <v>276</v>
      </c>
    </row>
    <row r="4" spans="1:2" ht="13.5" customHeight="1" x14ac:dyDescent="0.35">
      <c r="A4" s="16" t="s">
        <v>106</v>
      </c>
      <c r="B4" s="8" t="s">
        <v>277</v>
      </c>
    </row>
    <row r="5" spans="1:2" ht="13.5" customHeight="1" x14ac:dyDescent="0.35">
      <c r="A5" s="17" t="s">
        <v>107</v>
      </c>
      <c r="B5" s="8" t="s">
        <v>278</v>
      </c>
    </row>
    <row r="6" spans="1:2" ht="13.5" customHeight="1" x14ac:dyDescent="0.35">
      <c r="A6" s="18" t="s">
        <v>108</v>
      </c>
      <c r="B6" s="8" t="s">
        <v>279</v>
      </c>
    </row>
    <row r="7" spans="1:2" ht="13.5" customHeight="1" x14ac:dyDescent="0.35">
      <c r="A7" s="19" t="s">
        <v>109</v>
      </c>
      <c r="B7" s="8" t="s">
        <v>280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2"/>
  <sheetViews>
    <sheetView workbookViewId="0"/>
  </sheetViews>
  <sheetFormatPr defaultRowHeight="14.5" x14ac:dyDescent="0.35"/>
  <cols>
    <col min="1" max="1" width="16" customWidth="1"/>
    <col min="2" max="2" width="35" customWidth="1"/>
    <col min="3" max="3" width="17" customWidth="1"/>
    <col min="4" max="4" width="23" customWidth="1"/>
    <col min="5" max="5" width="35" customWidth="1"/>
  </cols>
  <sheetData>
    <row r="1" spans="1:5" x14ac:dyDescent="0.35">
      <c r="A1" s="2" t="s">
        <v>31</v>
      </c>
      <c r="B1" s="2" t="s">
        <v>35</v>
      </c>
      <c r="C1" s="2" t="s">
        <v>281</v>
      </c>
      <c r="D1" s="2" t="s">
        <v>282</v>
      </c>
      <c r="E1" s="2" t="s">
        <v>283</v>
      </c>
    </row>
    <row r="2" spans="1:5" x14ac:dyDescent="0.35">
      <c r="A2" s="1" t="s">
        <v>232</v>
      </c>
      <c r="B2" s="1" t="s">
        <v>114</v>
      </c>
      <c r="C2" s="5">
        <v>46201</v>
      </c>
      <c r="D2" s="1" t="s">
        <v>212</v>
      </c>
      <c r="E2" s="1"/>
    </row>
    <row r="3" spans="1:5" x14ac:dyDescent="0.35">
      <c r="A3" s="1" t="s">
        <v>232</v>
      </c>
      <c r="B3" s="1" t="s">
        <v>137</v>
      </c>
      <c r="C3" s="5">
        <v>46200</v>
      </c>
      <c r="D3" s="1" t="s">
        <v>212</v>
      </c>
      <c r="E3" s="1"/>
    </row>
    <row r="4" spans="1:5" x14ac:dyDescent="0.35">
      <c r="A4" s="1" t="s">
        <v>232</v>
      </c>
      <c r="B4" s="1" t="s">
        <v>126</v>
      </c>
      <c r="C4" s="5">
        <v>46193</v>
      </c>
      <c r="D4" s="1" t="s">
        <v>240</v>
      </c>
      <c r="E4" s="1"/>
    </row>
    <row r="5" spans="1:5" x14ac:dyDescent="0.35">
      <c r="A5" s="1" t="s">
        <v>232</v>
      </c>
      <c r="B5" s="1" t="s">
        <v>112</v>
      </c>
      <c r="C5" s="5">
        <v>46199</v>
      </c>
      <c r="D5" s="1" t="s">
        <v>212</v>
      </c>
      <c r="E5" s="1"/>
    </row>
    <row r="6" spans="1:5" x14ac:dyDescent="0.35">
      <c r="A6" s="1" t="s">
        <v>232</v>
      </c>
      <c r="B6" s="1" t="s">
        <v>130</v>
      </c>
      <c r="C6" s="5">
        <v>46195</v>
      </c>
      <c r="D6" s="1" t="s">
        <v>215</v>
      </c>
      <c r="E6" s="1"/>
    </row>
    <row r="7" spans="1:5" x14ac:dyDescent="0.35">
      <c r="A7" s="1" t="s">
        <v>232</v>
      </c>
      <c r="B7" s="1" t="s">
        <v>127</v>
      </c>
      <c r="C7" s="5">
        <v>46194</v>
      </c>
      <c r="D7" s="1" t="s">
        <v>219</v>
      </c>
      <c r="E7" s="1"/>
    </row>
    <row r="8" spans="1:5" x14ac:dyDescent="0.35">
      <c r="A8" s="1" t="s">
        <v>232</v>
      </c>
      <c r="B8" s="1" t="s">
        <v>120</v>
      </c>
      <c r="C8" s="5">
        <v>46195</v>
      </c>
      <c r="D8" s="1" t="s">
        <v>215</v>
      </c>
      <c r="E8" s="1"/>
    </row>
    <row r="9" spans="1:5" x14ac:dyDescent="0.35">
      <c r="A9" s="1" t="s">
        <v>232</v>
      </c>
      <c r="B9" s="1" t="s">
        <v>125</v>
      </c>
      <c r="C9" s="5">
        <v>46195</v>
      </c>
      <c r="D9" s="1" t="s">
        <v>215</v>
      </c>
      <c r="E9" s="1"/>
    </row>
    <row r="10" spans="1:5" x14ac:dyDescent="0.35">
      <c r="A10" s="1" t="s">
        <v>232</v>
      </c>
      <c r="B10" s="1" t="s">
        <v>131</v>
      </c>
      <c r="C10" s="5">
        <v>46195</v>
      </c>
      <c r="D10" s="1" t="s">
        <v>215</v>
      </c>
      <c r="E10" s="1"/>
    </row>
    <row r="11" spans="1:5" x14ac:dyDescent="0.35">
      <c r="A11" s="1" t="s">
        <v>216</v>
      </c>
      <c r="B11" s="1" t="s">
        <v>114</v>
      </c>
      <c r="C11" s="5">
        <v>46197</v>
      </c>
      <c r="D11" s="1" t="s">
        <v>284</v>
      </c>
      <c r="E11" s="1"/>
    </row>
    <row r="12" spans="1:5" ht="12.9" customHeight="1" x14ac:dyDescent="0.35">
      <c r="A12" s="1" t="s">
        <v>216</v>
      </c>
      <c r="B12" s="1" t="s">
        <v>103</v>
      </c>
      <c r="C12" s="5">
        <v>46201</v>
      </c>
      <c r="D12" s="1" t="s">
        <v>212</v>
      </c>
      <c r="E12" s="1"/>
    </row>
    <row r="13" spans="1:5" x14ac:dyDescent="0.35">
      <c r="A13" s="1" t="s">
        <v>216</v>
      </c>
      <c r="B13" s="1" t="s">
        <v>126</v>
      </c>
      <c r="C13" s="5">
        <v>46194</v>
      </c>
      <c r="D13" s="1" t="s">
        <v>219</v>
      </c>
      <c r="E13" s="1"/>
    </row>
    <row r="14" spans="1:5" x14ac:dyDescent="0.35">
      <c r="A14" s="1" t="s">
        <v>216</v>
      </c>
      <c r="B14" s="1" t="s">
        <v>112</v>
      </c>
      <c r="C14" s="5">
        <v>46197</v>
      </c>
      <c r="D14" s="1" t="s">
        <v>284</v>
      </c>
      <c r="E14" s="1"/>
    </row>
    <row r="15" spans="1:5" x14ac:dyDescent="0.35">
      <c r="A15" s="1" t="s">
        <v>216</v>
      </c>
      <c r="B15" s="1" t="s">
        <v>111</v>
      </c>
      <c r="C15" s="5">
        <v>46198</v>
      </c>
      <c r="D15" s="1" t="s">
        <v>284</v>
      </c>
      <c r="E15" s="1"/>
    </row>
    <row r="16" spans="1:5" x14ac:dyDescent="0.35">
      <c r="A16" s="1" t="s">
        <v>216</v>
      </c>
      <c r="B16" s="1" t="s">
        <v>135</v>
      </c>
      <c r="C16" s="5">
        <v>46199</v>
      </c>
      <c r="D16" s="1" t="s">
        <v>212</v>
      </c>
      <c r="E16" s="1"/>
    </row>
    <row r="17" spans="1:5" x14ac:dyDescent="0.35">
      <c r="A17" s="1" t="s">
        <v>216</v>
      </c>
      <c r="B17" s="1" t="s">
        <v>127</v>
      </c>
      <c r="C17" s="5">
        <v>46198</v>
      </c>
      <c r="D17" s="1" t="s">
        <v>212</v>
      </c>
      <c r="E17" s="1"/>
    </row>
    <row r="18" spans="1:5" x14ac:dyDescent="0.35">
      <c r="A18" s="1" t="s">
        <v>216</v>
      </c>
      <c r="B18" s="1" t="s">
        <v>130</v>
      </c>
      <c r="C18" s="5">
        <v>46198</v>
      </c>
      <c r="D18" s="1" t="s">
        <v>212</v>
      </c>
      <c r="E18" s="1"/>
    </row>
    <row r="19" spans="1:5" x14ac:dyDescent="0.35">
      <c r="A19" s="1" t="s">
        <v>216</v>
      </c>
      <c r="B19" s="1" t="s">
        <v>113</v>
      </c>
      <c r="C19" s="5">
        <v>46197</v>
      </c>
      <c r="D19" s="1" t="s">
        <v>284</v>
      </c>
      <c r="E19" s="1"/>
    </row>
    <row r="20" spans="1:5" x14ac:dyDescent="0.35">
      <c r="A20" s="1" t="s">
        <v>216</v>
      </c>
      <c r="B20" s="1" t="s">
        <v>117</v>
      </c>
      <c r="C20" s="5">
        <v>46194</v>
      </c>
      <c r="D20" s="1" t="s">
        <v>219</v>
      </c>
      <c r="E20" s="1"/>
    </row>
    <row r="21" spans="1:5" x14ac:dyDescent="0.35">
      <c r="A21" s="1" t="s">
        <v>216</v>
      </c>
      <c r="B21" s="1" t="s">
        <v>101</v>
      </c>
      <c r="C21" s="5">
        <v>46195</v>
      </c>
      <c r="D21" s="1" t="s">
        <v>215</v>
      </c>
      <c r="E21" s="1"/>
    </row>
    <row r="22" spans="1:5" x14ac:dyDescent="0.35">
      <c r="A22" s="1" t="s">
        <v>216</v>
      </c>
      <c r="B22" s="1" t="s">
        <v>123</v>
      </c>
      <c r="C22" s="5">
        <v>46195</v>
      </c>
      <c r="D22" s="1" t="s">
        <v>215</v>
      </c>
      <c r="E22" s="1"/>
    </row>
    <row r="23" spans="1:5" x14ac:dyDescent="0.35">
      <c r="A23" s="1" t="s">
        <v>216</v>
      </c>
      <c r="B23" s="1" t="s">
        <v>125</v>
      </c>
      <c r="C23" s="5">
        <v>46194</v>
      </c>
      <c r="D23" s="1" t="s">
        <v>219</v>
      </c>
      <c r="E23" s="1"/>
    </row>
    <row r="24" spans="1:5" x14ac:dyDescent="0.35">
      <c r="A24" s="1" t="s">
        <v>216</v>
      </c>
      <c r="B24" s="1" t="s">
        <v>129</v>
      </c>
      <c r="C24" s="5">
        <v>46195</v>
      </c>
      <c r="D24" s="1" t="s">
        <v>215</v>
      </c>
      <c r="E24" s="1"/>
    </row>
    <row r="25" spans="1:5" x14ac:dyDescent="0.35">
      <c r="A25" s="1" t="s">
        <v>216</v>
      </c>
      <c r="B25" s="1" t="s">
        <v>98</v>
      </c>
      <c r="C25" s="5">
        <v>46195</v>
      </c>
      <c r="D25" s="1" t="s">
        <v>215</v>
      </c>
      <c r="E25" s="1"/>
    </row>
    <row r="26" spans="1:5" x14ac:dyDescent="0.35">
      <c r="A26" s="1" t="s">
        <v>216</v>
      </c>
      <c r="B26" s="1" t="s">
        <v>142</v>
      </c>
      <c r="C26" s="5">
        <v>46194</v>
      </c>
      <c r="D26" s="1" t="s">
        <v>219</v>
      </c>
      <c r="E26" s="1"/>
    </row>
    <row r="27" spans="1:5" x14ac:dyDescent="0.35">
      <c r="A27" s="1" t="s">
        <v>216</v>
      </c>
      <c r="B27" s="1" t="s">
        <v>144</v>
      </c>
      <c r="C27" s="5">
        <v>46192</v>
      </c>
      <c r="D27" s="1" t="s">
        <v>220</v>
      </c>
      <c r="E27" s="1"/>
    </row>
    <row r="28" spans="1:5" x14ac:dyDescent="0.35">
      <c r="A28" s="1" t="s">
        <v>235</v>
      </c>
      <c r="B28" s="1" t="s">
        <v>114</v>
      </c>
      <c r="C28" s="5">
        <v>46193</v>
      </c>
      <c r="D28" s="1" t="s">
        <v>240</v>
      </c>
      <c r="E28" s="1"/>
    </row>
    <row r="29" spans="1:5" x14ac:dyDescent="0.35">
      <c r="A29" s="1" t="s">
        <v>235</v>
      </c>
      <c r="B29" s="1" t="s">
        <v>119</v>
      </c>
      <c r="C29" s="5">
        <v>46200</v>
      </c>
      <c r="D29" s="1" t="s">
        <v>212</v>
      </c>
      <c r="E29" s="1"/>
    </row>
    <row r="30" spans="1:5" x14ac:dyDescent="0.35">
      <c r="A30" s="1" t="s">
        <v>235</v>
      </c>
      <c r="B30" s="1" t="s">
        <v>140</v>
      </c>
      <c r="C30" s="5">
        <v>46200</v>
      </c>
      <c r="D30" s="1" t="s">
        <v>212</v>
      </c>
      <c r="E30" s="1"/>
    </row>
    <row r="31" spans="1:5" x14ac:dyDescent="0.35">
      <c r="A31" s="1" t="s">
        <v>235</v>
      </c>
      <c r="B31" s="1" t="s">
        <v>126</v>
      </c>
      <c r="C31" s="5">
        <v>46193</v>
      </c>
      <c r="D31" s="1" t="s">
        <v>240</v>
      </c>
      <c r="E31" s="1"/>
    </row>
    <row r="32" spans="1:5" x14ac:dyDescent="0.35">
      <c r="A32" s="1" t="s">
        <v>235</v>
      </c>
      <c r="B32" s="1" t="s">
        <v>112</v>
      </c>
      <c r="C32" s="5">
        <v>46194</v>
      </c>
      <c r="D32" s="1" t="s">
        <v>219</v>
      </c>
      <c r="E32" s="1"/>
    </row>
    <row r="33" spans="1:5" x14ac:dyDescent="0.35">
      <c r="A33" s="1" t="s">
        <v>235</v>
      </c>
      <c r="B33" s="1" t="s">
        <v>135</v>
      </c>
      <c r="C33" s="5">
        <v>46194</v>
      </c>
      <c r="D33" s="1" t="s">
        <v>219</v>
      </c>
      <c r="E33" s="1"/>
    </row>
    <row r="34" spans="1:5" x14ac:dyDescent="0.35">
      <c r="A34" s="1" t="s">
        <v>235</v>
      </c>
      <c r="B34" s="1" t="s">
        <v>124</v>
      </c>
      <c r="C34" s="5">
        <v>46199</v>
      </c>
      <c r="D34" s="1" t="s">
        <v>212</v>
      </c>
      <c r="E34" s="1"/>
    </row>
    <row r="35" spans="1:5" x14ac:dyDescent="0.35">
      <c r="A35" s="1" t="s">
        <v>235</v>
      </c>
      <c r="B35" s="1" t="s">
        <v>146</v>
      </c>
      <c r="C35" s="5">
        <v>46194</v>
      </c>
      <c r="D35" s="1" t="s">
        <v>219</v>
      </c>
      <c r="E35" s="1"/>
    </row>
    <row r="36" spans="1:5" x14ac:dyDescent="0.35">
      <c r="A36" s="1" t="s">
        <v>235</v>
      </c>
      <c r="B36" s="1" t="s">
        <v>120</v>
      </c>
      <c r="C36" s="5">
        <v>46193</v>
      </c>
      <c r="D36" s="1" t="s">
        <v>240</v>
      </c>
      <c r="E36" s="1"/>
    </row>
    <row r="37" spans="1:5" x14ac:dyDescent="0.35">
      <c r="A37" s="1" t="s">
        <v>235</v>
      </c>
      <c r="B37" s="1" t="s">
        <v>113</v>
      </c>
      <c r="C37" s="5">
        <v>46195</v>
      </c>
      <c r="D37" s="1" t="s">
        <v>215</v>
      </c>
      <c r="E37" s="1"/>
    </row>
    <row r="38" spans="1:5" x14ac:dyDescent="0.35">
      <c r="A38" s="1" t="s">
        <v>235</v>
      </c>
      <c r="B38" s="1" t="s">
        <v>117</v>
      </c>
      <c r="C38" s="5">
        <v>46193</v>
      </c>
      <c r="D38" s="1" t="s">
        <v>240</v>
      </c>
      <c r="E38" s="1"/>
    </row>
    <row r="39" spans="1:5" x14ac:dyDescent="0.35">
      <c r="A39" s="1" t="s">
        <v>235</v>
      </c>
      <c r="B39" s="1" t="s">
        <v>134</v>
      </c>
      <c r="C39" s="5">
        <v>46194</v>
      </c>
      <c r="D39" s="1" t="s">
        <v>212</v>
      </c>
      <c r="E39" s="1"/>
    </row>
    <row r="40" spans="1:5" x14ac:dyDescent="0.35">
      <c r="A40" s="1" t="s">
        <v>235</v>
      </c>
      <c r="B40" s="1" t="s">
        <v>129</v>
      </c>
      <c r="C40" s="5">
        <v>46193</v>
      </c>
      <c r="D40" s="1" t="s">
        <v>240</v>
      </c>
      <c r="E40" s="1"/>
    </row>
    <row r="41" spans="1:5" x14ac:dyDescent="0.35">
      <c r="A41" s="1" t="s">
        <v>235</v>
      </c>
      <c r="B41" s="1" t="s">
        <v>132</v>
      </c>
      <c r="C41" s="5">
        <v>46195</v>
      </c>
      <c r="D41" s="1" t="s">
        <v>215</v>
      </c>
      <c r="E41" s="1"/>
    </row>
    <row r="42" spans="1:5" x14ac:dyDescent="0.35">
      <c r="A42" s="1" t="s">
        <v>235</v>
      </c>
      <c r="B42" s="1" t="s">
        <v>136</v>
      </c>
      <c r="C42" s="5">
        <v>46193</v>
      </c>
      <c r="D42" s="1" t="s">
        <v>240</v>
      </c>
      <c r="E42" s="1"/>
    </row>
    <row r="43" spans="1:5" x14ac:dyDescent="0.35">
      <c r="A43" s="1" t="s">
        <v>235</v>
      </c>
      <c r="B43" s="1" t="s">
        <v>162</v>
      </c>
      <c r="C43" s="5">
        <v>46194</v>
      </c>
      <c r="D43" s="1" t="s">
        <v>212</v>
      </c>
      <c r="E43" s="1"/>
    </row>
    <row r="44" spans="1:5" x14ac:dyDescent="0.35">
      <c r="A44" s="1" t="s">
        <v>235</v>
      </c>
      <c r="B44" s="1" t="s">
        <v>139</v>
      </c>
      <c r="C44" s="5">
        <v>46195</v>
      </c>
      <c r="D44" s="1" t="s">
        <v>215</v>
      </c>
      <c r="E44" s="1"/>
    </row>
    <row r="45" spans="1:5" x14ac:dyDescent="0.35">
      <c r="A45" s="1" t="s">
        <v>235</v>
      </c>
      <c r="B45" s="1" t="s">
        <v>145</v>
      </c>
      <c r="C45" s="5">
        <v>46194</v>
      </c>
      <c r="D45" s="1" t="s">
        <v>219</v>
      </c>
      <c r="E45" s="1"/>
    </row>
    <row r="46" spans="1:5" x14ac:dyDescent="0.35">
      <c r="A46" s="1" t="s">
        <v>218</v>
      </c>
      <c r="B46" s="1" t="s">
        <v>114</v>
      </c>
      <c r="C46" s="5">
        <v>46195</v>
      </c>
      <c r="D46" s="1" t="s">
        <v>215</v>
      </c>
      <c r="E46" s="1"/>
    </row>
    <row r="47" spans="1:5" x14ac:dyDescent="0.35">
      <c r="A47" s="1" t="s">
        <v>218</v>
      </c>
      <c r="B47" s="1" t="s">
        <v>137</v>
      </c>
      <c r="C47" s="5">
        <v>46195</v>
      </c>
      <c r="D47" s="1" t="s">
        <v>215</v>
      </c>
      <c r="E47" s="1"/>
    </row>
    <row r="48" spans="1:5" ht="12.9" customHeight="1" x14ac:dyDescent="0.35">
      <c r="A48" s="1" t="s">
        <v>218</v>
      </c>
      <c r="B48" s="1" t="s">
        <v>103</v>
      </c>
      <c r="C48" s="5">
        <v>46196</v>
      </c>
      <c r="D48" s="1" t="s">
        <v>213</v>
      </c>
      <c r="E48" s="1"/>
    </row>
    <row r="49" spans="1:5" x14ac:dyDescent="0.35">
      <c r="A49" s="1" t="s">
        <v>218</v>
      </c>
      <c r="B49" s="1" t="s">
        <v>119</v>
      </c>
      <c r="C49" s="5">
        <v>46196</v>
      </c>
      <c r="D49" s="1" t="s">
        <v>213</v>
      </c>
      <c r="E49" s="1"/>
    </row>
    <row r="50" spans="1:5" x14ac:dyDescent="0.35">
      <c r="A50" s="1" t="s">
        <v>218</v>
      </c>
      <c r="B50" s="1" t="s">
        <v>159</v>
      </c>
      <c r="C50" s="5">
        <v>46200</v>
      </c>
      <c r="D50" s="1" t="s">
        <v>212</v>
      </c>
      <c r="E50" s="1"/>
    </row>
    <row r="51" spans="1:5" x14ac:dyDescent="0.35">
      <c r="A51" s="1" t="s">
        <v>218</v>
      </c>
      <c r="B51" s="1" t="s">
        <v>140</v>
      </c>
      <c r="C51" s="5">
        <v>46194</v>
      </c>
      <c r="D51" s="1" t="s">
        <v>219</v>
      </c>
      <c r="E51" s="1"/>
    </row>
    <row r="52" spans="1:5" x14ac:dyDescent="0.35">
      <c r="A52" s="1" t="s">
        <v>218</v>
      </c>
      <c r="B52" s="1" t="s">
        <v>126</v>
      </c>
      <c r="C52" s="5">
        <v>46192</v>
      </c>
      <c r="D52" s="1" t="s">
        <v>220</v>
      </c>
      <c r="E52" s="1"/>
    </row>
    <row r="53" spans="1:5" x14ac:dyDescent="0.35">
      <c r="A53" s="1" t="s">
        <v>218</v>
      </c>
      <c r="B53" s="1" t="s">
        <v>112</v>
      </c>
      <c r="C53" s="5">
        <v>46193</v>
      </c>
      <c r="D53" s="1" t="s">
        <v>240</v>
      </c>
      <c r="E53" s="1"/>
    </row>
    <row r="54" spans="1:5" x14ac:dyDescent="0.35">
      <c r="A54" s="1" t="s">
        <v>218</v>
      </c>
      <c r="B54" s="1" t="s">
        <v>97</v>
      </c>
      <c r="C54" s="5">
        <v>46199</v>
      </c>
      <c r="D54" s="1" t="s">
        <v>212</v>
      </c>
      <c r="E54" s="1"/>
    </row>
    <row r="55" spans="1:5" x14ac:dyDescent="0.35">
      <c r="A55" s="1" t="s">
        <v>218</v>
      </c>
      <c r="B55" s="1" t="s">
        <v>135</v>
      </c>
      <c r="C55" s="5">
        <v>46195</v>
      </c>
      <c r="D55" s="1" t="s">
        <v>215</v>
      </c>
      <c r="E55" s="1"/>
    </row>
    <row r="56" spans="1:5" x14ac:dyDescent="0.35">
      <c r="A56" s="1" t="s">
        <v>218</v>
      </c>
      <c r="B56" s="1" t="s">
        <v>156</v>
      </c>
      <c r="C56" s="5">
        <v>46192</v>
      </c>
      <c r="D56" s="1" t="s">
        <v>220</v>
      </c>
      <c r="E56" s="1"/>
    </row>
    <row r="57" spans="1:5" x14ac:dyDescent="0.35">
      <c r="A57" s="1" t="s">
        <v>218</v>
      </c>
      <c r="B57" s="1" t="s">
        <v>149</v>
      </c>
      <c r="C57" s="5">
        <v>46193</v>
      </c>
      <c r="D57" s="1" t="s">
        <v>240</v>
      </c>
      <c r="E57" s="1"/>
    </row>
    <row r="58" spans="1:5" ht="12.9" customHeight="1" x14ac:dyDescent="0.35">
      <c r="A58" s="1" t="s">
        <v>218</v>
      </c>
      <c r="B58" s="1" t="s">
        <v>158</v>
      </c>
      <c r="C58" s="5">
        <v>46192</v>
      </c>
      <c r="D58" s="1" t="s">
        <v>220</v>
      </c>
      <c r="E58" s="1"/>
    </row>
    <row r="59" spans="1:5" x14ac:dyDescent="0.35">
      <c r="A59" s="1" t="s">
        <v>218</v>
      </c>
      <c r="B59" s="1" t="s">
        <v>153</v>
      </c>
      <c r="C59" s="5">
        <v>46192</v>
      </c>
      <c r="D59" s="1" t="s">
        <v>220</v>
      </c>
      <c r="E59" s="1"/>
    </row>
    <row r="60" spans="1:5" x14ac:dyDescent="0.35">
      <c r="A60" s="1" t="s">
        <v>218</v>
      </c>
      <c r="B60" s="1" t="s">
        <v>148</v>
      </c>
      <c r="C60" s="5">
        <v>46193</v>
      </c>
      <c r="D60" s="1" t="s">
        <v>240</v>
      </c>
      <c r="E60" s="1"/>
    </row>
    <row r="61" spans="1:5" x14ac:dyDescent="0.35">
      <c r="A61" s="1" t="s">
        <v>218</v>
      </c>
      <c r="B61" s="1" t="s">
        <v>127</v>
      </c>
      <c r="C61" s="5">
        <v>46195</v>
      </c>
      <c r="D61" s="1" t="s">
        <v>215</v>
      </c>
      <c r="E61" s="1"/>
    </row>
    <row r="62" spans="1:5" x14ac:dyDescent="0.35">
      <c r="A62" s="1" t="s">
        <v>218</v>
      </c>
      <c r="B62" s="1" t="s">
        <v>120</v>
      </c>
      <c r="C62" s="5">
        <v>46196</v>
      </c>
      <c r="D62" s="1" t="s">
        <v>213</v>
      </c>
      <c r="E62" s="1"/>
    </row>
    <row r="63" spans="1:5" x14ac:dyDescent="0.35">
      <c r="A63" s="1" t="s">
        <v>218</v>
      </c>
      <c r="B63" s="1" t="s">
        <v>130</v>
      </c>
      <c r="C63" s="5">
        <v>46194</v>
      </c>
      <c r="D63" s="1" t="s">
        <v>212</v>
      </c>
      <c r="E63" s="1"/>
    </row>
    <row r="64" spans="1:5" x14ac:dyDescent="0.35">
      <c r="A64" s="1" t="s">
        <v>218</v>
      </c>
      <c r="B64" s="1" t="s">
        <v>96</v>
      </c>
      <c r="C64" s="5">
        <v>46192</v>
      </c>
      <c r="D64" s="1" t="s">
        <v>220</v>
      </c>
      <c r="E64" s="1"/>
    </row>
    <row r="65" spans="1:5" x14ac:dyDescent="0.35">
      <c r="A65" s="1" t="s">
        <v>218</v>
      </c>
      <c r="B65" s="1" t="s">
        <v>113</v>
      </c>
      <c r="C65" s="5">
        <v>46193</v>
      </c>
      <c r="D65" s="1" t="s">
        <v>240</v>
      </c>
      <c r="E65" s="1"/>
    </row>
    <row r="66" spans="1:5" x14ac:dyDescent="0.35">
      <c r="A66" s="1" t="s">
        <v>218</v>
      </c>
      <c r="B66" s="1" t="s">
        <v>115</v>
      </c>
      <c r="C66" s="5">
        <v>46195</v>
      </c>
      <c r="D66" s="1" t="s">
        <v>215</v>
      </c>
      <c r="E66" s="1"/>
    </row>
    <row r="67" spans="1:5" x14ac:dyDescent="0.35">
      <c r="A67" s="1" t="s">
        <v>218</v>
      </c>
      <c r="B67" s="1" t="s">
        <v>117</v>
      </c>
      <c r="C67" s="5">
        <v>46194</v>
      </c>
      <c r="D67" s="1" t="s">
        <v>219</v>
      </c>
      <c r="E67" s="1"/>
    </row>
    <row r="68" spans="1:5" x14ac:dyDescent="0.35">
      <c r="A68" s="1" t="s">
        <v>218</v>
      </c>
      <c r="B68" s="1" t="s">
        <v>134</v>
      </c>
      <c r="C68" s="5">
        <v>46192</v>
      </c>
      <c r="D68" s="1" t="s">
        <v>215</v>
      </c>
      <c r="E68" s="1"/>
    </row>
    <row r="69" spans="1:5" x14ac:dyDescent="0.35">
      <c r="A69" s="1" t="s">
        <v>218</v>
      </c>
      <c r="B69" s="1" t="s">
        <v>121</v>
      </c>
      <c r="C69" s="5">
        <v>46196</v>
      </c>
      <c r="D69" s="1" t="s">
        <v>213</v>
      </c>
      <c r="E69" s="1"/>
    </row>
    <row r="70" spans="1:5" x14ac:dyDescent="0.35">
      <c r="A70" s="1" t="s">
        <v>218</v>
      </c>
      <c r="B70" s="1" t="s">
        <v>101</v>
      </c>
      <c r="C70" s="5">
        <v>46194</v>
      </c>
      <c r="D70" s="1" t="s">
        <v>219</v>
      </c>
      <c r="E70" s="1"/>
    </row>
    <row r="71" spans="1:5" x14ac:dyDescent="0.35">
      <c r="A71" s="1" t="s">
        <v>218</v>
      </c>
      <c r="B71" s="1" t="s">
        <v>123</v>
      </c>
      <c r="C71" s="5">
        <v>46194</v>
      </c>
      <c r="D71" s="1" t="s">
        <v>219</v>
      </c>
      <c r="E71" s="1"/>
    </row>
    <row r="72" spans="1:5" x14ac:dyDescent="0.35">
      <c r="A72" s="1" t="s">
        <v>218</v>
      </c>
      <c r="B72" s="1" t="s">
        <v>125</v>
      </c>
      <c r="C72" s="5">
        <v>46194</v>
      </c>
      <c r="D72" s="1" t="s">
        <v>219</v>
      </c>
      <c r="E72" s="1"/>
    </row>
    <row r="73" spans="1:5" x14ac:dyDescent="0.35">
      <c r="A73" s="1" t="s">
        <v>218</v>
      </c>
      <c r="B73" s="1" t="s">
        <v>129</v>
      </c>
      <c r="C73" s="5">
        <v>46192</v>
      </c>
      <c r="D73" s="1" t="s">
        <v>220</v>
      </c>
      <c r="E73" s="1"/>
    </row>
    <row r="74" spans="1:5" x14ac:dyDescent="0.35">
      <c r="A74" s="1" t="s">
        <v>218</v>
      </c>
      <c r="B74" s="1" t="s">
        <v>131</v>
      </c>
      <c r="C74" s="5">
        <v>46193</v>
      </c>
      <c r="D74" s="1" t="s">
        <v>240</v>
      </c>
      <c r="E74" s="1"/>
    </row>
    <row r="75" spans="1:5" x14ac:dyDescent="0.35">
      <c r="A75" s="1" t="s">
        <v>218</v>
      </c>
      <c r="B75" s="1" t="s">
        <v>133</v>
      </c>
      <c r="C75" s="5">
        <v>46191</v>
      </c>
      <c r="D75" s="1" t="s">
        <v>285</v>
      </c>
      <c r="E75" s="1"/>
    </row>
    <row r="76" spans="1:5" x14ac:dyDescent="0.35">
      <c r="A76" s="1" t="s">
        <v>218</v>
      </c>
      <c r="B76" s="1" t="s">
        <v>134</v>
      </c>
      <c r="C76" s="5">
        <v>46195</v>
      </c>
      <c r="D76" s="20">
        <v>46192</v>
      </c>
      <c r="E76" s="1"/>
    </row>
    <row r="77" spans="1:5" x14ac:dyDescent="0.35">
      <c r="A77" s="1" t="s">
        <v>218</v>
      </c>
      <c r="B77" s="1" t="s">
        <v>98</v>
      </c>
      <c r="C77" s="5">
        <v>46194</v>
      </c>
      <c r="D77" s="1" t="s">
        <v>219</v>
      </c>
      <c r="E77" s="1"/>
    </row>
    <row r="78" spans="1:5" x14ac:dyDescent="0.35">
      <c r="A78" s="1" t="s">
        <v>218</v>
      </c>
      <c r="B78" s="1" t="s">
        <v>136</v>
      </c>
      <c r="C78" s="5">
        <v>46194</v>
      </c>
      <c r="D78" s="1" t="s">
        <v>219</v>
      </c>
      <c r="E78" s="1"/>
    </row>
    <row r="79" spans="1:5" x14ac:dyDescent="0.35">
      <c r="A79" s="1" t="s">
        <v>218</v>
      </c>
      <c r="B79" s="1" t="s">
        <v>141</v>
      </c>
      <c r="C79" s="5">
        <v>46193</v>
      </c>
      <c r="D79" s="1" t="s">
        <v>240</v>
      </c>
      <c r="E79" s="1"/>
    </row>
    <row r="80" spans="1:5" x14ac:dyDescent="0.35">
      <c r="A80" s="1" t="s">
        <v>218</v>
      </c>
      <c r="B80" s="1" t="s">
        <v>102</v>
      </c>
      <c r="C80" s="5">
        <v>46194</v>
      </c>
      <c r="D80" s="1" t="s">
        <v>219</v>
      </c>
      <c r="E80" s="1"/>
    </row>
    <row r="81" spans="1:5" x14ac:dyDescent="0.35">
      <c r="A81" s="1" t="s">
        <v>218</v>
      </c>
      <c r="B81" s="1" t="s">
        <v>144</v>
      </c>
      <c r="C81" s="5">
        <v>46194</v>
      </c>
      <c r="D81" s="1" t="s">
        <v>219</v>
      </c>
      <c r="E81" s="1"/>
    </row>
    <row r="82" spans="1:5" x14ac:dyDescent="0.35">
      <c r="A82" s="1" t="s">
        <v>218</v>
      </c>
      <c r="B82" s="1" t="s">
        <v>150</v>
      </c>
      <c r="C82" s="5">
        <v>46193</v>
      </c>
      <c r="D82" s="1" t="s">
        <v>240</v>
      </c>
      <c r="E82" s="1"/>
    </row>
    <row r="83" spans="1:5" x14ac:dyDescent="0.35">
      <c r="A83" s="1" t="s">
        <v>218</v>
      </c>
      <c r="B83" s="1" t="s">
        <v>151</v>
      </c>
      <c r="C83" s="5">
        <v>46192</v>
      </c>
      <c r="D83" s="1" t="s">
        <v>220</v>
      </c>
      <c r="E83" s="1"/>
    </row>
    <row r="84" spans="1:5" x14ac:dyDescent="0.35">
      <c r="A84" s="1" t="s">
        <v>218</v>
      </c>
      <c r="B84" s="1" t="s">
        <v>155</v>
      </c>
      <c r="C84" s="5">
        <v>46192</v>
      </c>
      <c r="D84" s="1" t="s">
        <v>220</v>
      </c>
      <c r="E84" s="1"/>
    </row>
    <row r="85" spans="1:5" x14ac:dyDescent="0.35">
      <c r="A85" s="1" t="s">
        <v>218</v>
      </c>
      <c r="B85" s="1" t="s">
        <v>157</v>
      </c>
      <c r="C85" s="5">
        <v>46192</v>
      </c>
      <c r="D85" s="1" t="s">
        <v>220</v>
      </c>
      <c r="E85" s="1"/>
    </row>
    <row r="86" spans="1:5" x14ac:dyDescent="0.35">
      <c r="A86" s="1" t="s">
        <v>224</v>
      </c>
      <c r="B86" s="1" t="s">
        <v>126</v>
      </c>
      <c r="C86" s="5">
        <v>46199</v>
      </c>
      <c r="D86" s="1" t="s">
        <v>212</v>
      </c>
      <c r="E86" s="1"/>
    </row>
    <row r="87" spans="1:5" x14ac:dyDescent="0.35">
      <c r="A87" s="1" t="s">
        <v>221</v>
      </c>
      <c r="B87" s="1" t="s">
        <v>114</v>
      </c>
      <c r="C87" s="5">
        <v>46199</v>
      </c>
      <c r="D87" s="1" t="s">
        <v>212</v>
      </c>
      <c r="E87" s="1"/>
    </row>
    <row r="88" spans="1:5" ht="12.9" customHeight="1" x14ac:dyDescent="0.35">
      <c r="A88" s="1" t="s">
        <v>221</v>
      </c>
      <c r="B88" s="1" t="s">
        <v>103</v>
      </c>
      <c r="C88" s="5">
        <v>46195</v>
      </c>
      <c r="D88" s="1" t="s">
        <v>215</v>
      </c>
      <c r="E88" s="1"/>
    </row>
    <row r="89" spans="1:5" x14ac:dyDescent="0.35">
      <c r="A89" s="1" t="s">
        <v>221</v>
      </c>
      <c r="B89" s="1" t="s">
        <v>140</v>
      </c>
      <c r="C89" s="5">
        <v>46194</v>
      </c>
      <c r="D89" s="1" t="s">
        <v>219</v>
      </c>
      <c r="E89" s="1"/>
    </row>
    <row r="90" spans="1:5" x14ac:dyDescent="0.35">
      <c r="A90" s="1" t="s">
        <v>221</v>
      </c>
      <c r="B90" s="1" t="s">
        <v>126</v>
      </c>
      <c r="C90" s="5">
        <v>46196</v>
      </c>
      <c r="D90" s="1" t="s">
        <v>213</v>
      </c>
      <c r="E90" s="1"/>
    </row>
    <row r="91" spans="1:5" x14ac:dyDescent="0.35">
      <c r="A91" s="1" t="s">
        <v>221</v>
      </c>
      <c r="B91" s="1" t="s">
        <v>112</v>
      </c>
      <c r="C91" s="5">
        <v>46199</v>
      </c>
      <c r="D91" s="1" t="s">
        <v>212</v>
      </c>
      <c r="E91" s="1"/>
    </row>
    <row r="92" spans="1:5" x14ac:dyDescent="0.35">
      <c r="A92" s="1" t="s">
        <v>221</v>
      </c>
      <c r="B92" s="1" t="s">
        <v>111</v>
      </c>
      <c r="C92" s="5">
        <v>46196</v>
      </c>
      <c r="D92" s="1" t="s">
        <v>213</v>
      </c>
      <c r="E92" s="1"/>
    </row>
    <row r="93" spans="1:5" x14ac:dyDescent="0.35">
      <c r="A93" s="1" t="s">
        <v>221</v>
      </c>
      <c r="B93" s="1" t="s">
        <v>135</v>
      </c>
      <c r="C93" s="5">
        <v>46199</v>
      </c>
      <c r="D93" s="1" t="s">
        <v>212</v>
      </c>
      <c r="E93" s="1"/>
    </row>
    <row r="94" spans="1:5" x14ac:dyDescent="0.35">
      <c r="A94" s="1" t="s">
        <v>221</v>
      </c>
      <c r="B94" s="1" t="s">
        <v>124</v>
      </c>
      <c r="C94" s="5">
        <v>46199</v>
      </c>
      <c r="D94" s="1" t="s">
        <v>213</v>
      </c>
      <c r="E94" s="1"/>
    </row>
    <row r="95" spans="1:5" x14ac:dyDescent="0.35">
      <c r="A95" s="1" t="s">
        <v>221</v>
      </c>
      <c r="B95" s="1" t="s">
        <v>162</v>
      </c>
      <c r="C95" s="5">
        <v>46199</v>
      </c>
      <c r="D95" s="1" t="s">
        <v>212</v>
      </c>
      <c r="E95" s="1"/>
    </row>
    <row r="96" spans="1:5" x14ac:dyDescent="0.35">
      <c r="A96" s="1" t="s">
        <v>221</v>
      </c>
      <c r="B96" s="1" t="s">
        <v>152</v>
      </c>
      <c r="C96" s="5">
        <v>46199</v>
      </c>
      <c r="D96" s="1" t="s">
        <v>212</v>
      </c>
      <c r="E96" s="1"/>
    </row>
    <row r="97" spans="1:5" x14ac:dyDescent="0.35">
      <c r="A97" s="1" t="s">
        <v>221</v>
      </c>
      <c r="B97" s="1" t="s">
        <v>130</v>
      </c>
      <c r="C97" s="5">
        <v>46199</v>
      </c>
      <c r="D97" s="1" t="s">
        <v>212</v>
      </c>
      <c r="E97" s="1"/>
    </row>
    <row r="98" spans="1:5" x14ac:dyDescent="0.35">
      <c r="A98" s="1" t="s">
        <v>221</v>
      </c>
      <c r="B98" s="1" t="s">
        <v>156</v>
      </c>
      <c r="C98" s="5">
        <v>46199</v>
      </c>
      <c r="D98" s="1" t="s">
        <v>212</v>
      </c>
      <c r="E98" s="1"/>
    </row>
    <row r="99" spans="1:5" x14ac:dyDescent="0.35">
      <c r="A99" s="1" t="s">
        <v>221</v>
      </c>
      <c r="B99" s="1" t="s">
        <v>149</v>
      </c>
      <c r="C99" s="5">
        <v>46199</v>
      </c>
      <c r="D99" s="1" t="s">
        <v>212</v>
      </c>
      <c r="E99" s="1"/>
    </row>
    <row r="100" spans="1:5" x14ac:dyDescent="0.35">
      <c r="A100" s="1" t="s">
        <v>221</v>
      </c>
      <c r="B100" s="1" t="s">
        <v>198</v>
      </c>
      <c r="C100" s="5">
        <v>46199</v>
      </c>
      <c r="D100" s="1" t="s">
        <v>212</v>
      </c>
      <c r="E100" s="1"/>
    </row>
    <row r="101" spans="1:5" ht="12.9" customHeight="1" x14ac:dyDescent="0.35">
      <c r="A101" s="1" t="s">
        <v>221</v>
      </c>
      <c r="B101" s="1" t="s">
        <v>158</v>
      </c>
      <c r="C101" s="5">
        <v>46199</v>
      </c>
      <c r="D101" s="1" t="s">
        <v>212</v>
      </c>
      <c r="E101" s="1"/>
    </row>
    <row r="102" spans="1:5" x14ac:dyDescent="0.35">
      <c r="A102" s="1" t="s">
        <v>221</v>
      </c>
      <c r="B102" s="1" t="s">
        <v>153</v>
      </c>
      <c r="C102" s="5">
        <v>46199</v>
      </c>
      <c r="D102" s="1" t="s">
        <v>212</v>
      </c>
      <c r="E102" s="1"/>
    </row>
    <row r="103" spans="1:5" x14ac:dyDescent="0.35">
      <c r="A103" s="1" t="s">
        <v>221</v>
      </c>
      <c r="B103" s="1" t="s">
        <v>148</v>
      </c>
      <c r="C103" s="5">
        <v>46199</v>
      </c>
      <c r="D103" s="1" t="s">
        <v>212</v>
      </c>
      <c r="E103" s="1"/>
    </row>
    <row r="104" spans="1:5" x14ac:dyDescent="0.35">
      <c r="A104" s="1" t="s">
        <v>221</v>
      </c>
      <c r="B104" s="1" t="s">
        <v>127</v>
      </c>
      <c r="C104" s="5">
        <v>46199</v>
      </c>
      <c r="D104" s="1" t="s">
        <v>212</v>
      </c>
      <c r="E104" s="1"/>
    </row>
    <row r="105" spans="1:5" x14ac:dyDescent="0.35">
      <c r="A105" s="1" t="s">
        <v>221</v>
      </c>
      <c r="B105" s="1" t="s">
        <v>146</v>
      </c>
      <c r="C105" s="5">
        <v>46199</v>
      </c>
      <c r="D105" s="1" t="s">
        <v>212</v>
      </c>
      <c r="E105" s="1"/>
    </row>
    <row r="106" spans="1:5" x14ac:dyDescent="0.35">
      <c r="A106" s="1" t="s">
        <v>221</v>
      </c>
      <c r="B106" s="1" t="s">
        <v>120</v>
      </c>
      <c r="C106" s="5">
        <v>46199</v>
      </c>
      <c r="D106" s="1" t="s">
        <v>212</v>
      </c>
      <c r="E106" s="1"/>
    </row>
    <row r="107" spans="1:5" x14ac:dyDescent="0.35">
      <c r="A107" s="1" t="s">
        <v>221</v>
      </c>
      <c r="B107" s="1" t="s">
        <v>130</v>
      </c>
      <c r="C107" s="5">
        <v>46194</v>
      </c>
      <c r="D107" s="20">
        <v>46199</v>
      </c>
      <c r="E107" s="1"/>
    </row>
    <row r="108" spans="1:5" x14ac:dyDescent="0.35">
      <c r="A108" s="1" t="s">
        <v>221</v>
      </c>
      <c r="B108" s="1" t="s">
        <v>96</v>
      </c>
      <c r="C108" s="5">
        <v>46184</v>
      </c>
      <c r="D108" s="1" t="s">
        <v>286</v>
      </c>
      <c r="E108" s="1"/>
    </row>
    <row r="109" spans="1:5" x14ac:dyDescent="0.35">
      <c r="A109" s="1" t="s">
        <v>221</v>
      </c>
      <c r="B109" s="1" t="s">
        <v>113</v>
      </c>
      <c r="C109" s="5">
        <v>46194</v>
      </c>
      <c r="D109" s="1" t="s">
        <v>219</v>
      </c>
      <c r="E109" s="1"/>
    </row>
    <row r="110" spans="1:5" x14ac:dyDescent="0.35">
      <c r="A110" s="1" t="s">
        <v>221</v>
      </c>
      <c r="B110" s="1" t="s">
        <v>115</v>
      </c>
      <c r="C110" s="5">
        <v>46195</v>
      </c>
      <c r="D110" s="1" t="s">
        <v>215</v>
      </c>
      <c r="E110" s="1"/>
    </row>
    <row r="111" spans="1:5" x14ac:dyDescent="0.35">
      <c r="A111" s="1" t="s">
        <v>221</v>
      </c>
      <c r="B111" s="1" t="s">
        <v>101</v>
      </c>
      <c r="C111" s="5">
        <v>46196</v>
      </c>
      <c r="D111" s="1" t="s">
        <v>213</v>
      </c>
      <c r="E111" s="1"/>
    </row>
    <row r="112" spans="1:5" x14ac:dyDescent="0.35">
      <c r="A112" s="1" t="s">
        <v>221</v>
      </c>
      <c r="B112" s="1" t="s">
        <v>123</v>
      </c>
      <c r="C112" s="5">
        <v>46196</v>
      </c>
      <c r="D112" s="1" t="s">
        <v>213</v>
      </c>
      <c r="E112" s="1"/>
    </row>
    <row r="113" spans="1:5" x14ac:dyDescent="0.35">
      <c r="A113" s="1" t="s">
        <v>221</v>
      </c>
      <c r="B113" s="1" t="s">
        <v>125</v>
      </c>
      <c r="C113" s="5">
        <v>46195</v>
      </c>
      <c r="D113" s="1" t="s">
        <v>215</v>
      </c>
      <c r="E113" s="1"/>
    </row>
    <row r="114" spans="1:5" x14ac:dyDescent="0.35">
      <c r="A114" s="1" t="s">
        <v>221</v>
      </c>
      <c r="B114" s="1" t="s">
        <v>92</v>
      </c>
      <c r="C114" s="5">
        <v>46195</v>
      </c>
      <c r="D114" s="1" t="s">
        <v>215</v>
      </c>
      <c r="E114" s="1"/>
    </row>
    <row r="115" spans="1:5" x14ac:dyDescent="0.35">
      <c r="A115" s="1" t="s">
        <v>221</v>
      </c>
      <c r="B115" s="1" t="s">
        <v>133</v>
      </c>
      <c r="C115" s="5">
        <v>46195</v>
      </c>
      <c r="D115" s="1" t="s">
        <v>215</v>
      </c>
      <c r="E115" s="1"/>
    </row>
    <row r="116" spans="1:5" x14ac:dyDescent="0.35">
      <c r="A116" s="1" t="s">
        <v>221</v>
      </c>
      <c r="B116" s="1" t="s">
        <v>136</v>
      </c>
      <c r="C116" s="5">
        <v>46195</v>
      </c>
      <c r="D116" s="1" t="s">
        <v>215</v>
      </c>
      <c r="E116" s="1"/>
    </row>
    <row r="117" spans="1:5" ht="12.9" customHeight="1" x14ac:dyDescent="0.35">
      <c r="A117" s="1" t="s">
        <v>211</v>
      </c>
      <c r="B117" s="1" t="s">
        <v>114</v>
      </c>
      <c r="C117" s="5">
        <v>46196</v>
      </c>
      <c r="D117" s="1" t="s">
        <v>213</v>
      </c>
      <c r="E117" s="1"/>
    </row>
    <row r="118" spans="1:5" ht="12.9" customHeight="1" x14ac:dyDescent="0.35">
      <c r="A118" s="1" t="s">
        <v>211</v>
      </c>
      <c r="B118" s="1" t="s">
        <v>126</v>
      </c>
      <c r="C118" s="5">
        <v>46193</v>
      </c>
      <c r="D118" s="1" t="s">
        <v>240</v>
      </c>
      <c r="E118" s="1"/>
    </row>
    <row r="119" spans="1:5" ht="12.9" customHeight="1" x14ac:dyDescent="0.35">
      <c r="A119" s="1" t="s">
        <v>211</v>
      </c>
      <c r="B119" s="1" t="s">
        <v>112</v>
      </c>
      <c r="C119" s="5">
        <v>46196</v>
      </c>
      <c r="D119" s="1" t="s">
        <v>213</v>
      </c>
      <c r="E119" s="1"/>
    </row>
    <row r="120" spans="1:5" ht="12.9" customHeight="1" x14ac:dyDescent="0.35">
      <c r="A120" s="1" t="s">
        <v>211</v>
      </c>
      <c r="B120" s="1" t="s">
        <v>111</v>
      </c>
      <c r="C120" s="5">
        <v>46197</v>
      </c>
      <c r="D120" s="1" t="s">
        <v>284</v>
      </c>
      <c r="E120" s="1"/>
    </row>
    <row r="121" spans="1:5" ht="12.9" customHeight="1" x14ac:dyDescent="0.35">
      <c r="A121" s="1" t="s">
        <v>211</v>
      </c>
      <c r="B121" s="1" t="s">
        <v>97</v>
      </c>
      <c r="C121" s="5">
        <v>46195</v>
      </c>
      <c r="D121" s="1" t="s">
        <v>215</v>
      </c>
      <c r="E121" s="1"/>
    </row>
    <row r="122" spans="1:5" ht="12.9" customHeight="1" x14ac:dyDescent="0.35">
      <c r="A122" s="1" t="s">
        <v>211</v>
      </c>
      <c r="B122" s="1" t="s">
        <v>135</v>
      </c>
      <c r="C122" s="5">
        <v>46195</v>
      </c>
      <c r="D122" s="1" t="s">
        <v>215</v>
      </c>
      <c r="E122" s="1"/>
    </row>
    <row r="123" spans="1:5" ht="12.9" customHeight="1" x14ac:dyDescent="0.35">
      <c r="A123" s="1" t="s">
        <v>211</v>
      </c>
      <c r="B123" s="1" t="s">
        <v>127</v>
      </c>
      <c r="C123" s="5">
        <v>46196</v>
      </c>
      <c r="D123" s="1" t="s">
        <v>213</v>
      </c>
      <c r="E123" s="1"/>
    </row>
    <row r="124" spans="1:5" ht="12.9" customHeight="1" x14ac:dyDescent="0.35">
      <c r="A124" s="1" t="s">
        <v>211</v>
      </c>
      <c r="B124" s="1" t="s">
        <v>96</v>
      </c>
      <c r="C124" s="5">
        <v>46197</v>
      </c>
      <c r="D124" s="1" t="s">
        <v>284</v>
      </c>
      <c r="E124" s="1"/>
    </row>
    <row r="125" spans="1:5" ht="12.9" customHeight="1" x14ac:dyDescent="0.35">
      <c r="A125" s="1" t="s">
        <v>211</v>
      </c>
      <c r="B125" s="1" t="s">
        <v>113</v>
      </c>
      <c r="C125" s="5">
        <v>46195</v>
      </c>
      <c r="D125" s="1" t="s">
        <v>215</v>
      </c>
      <c r="E125" s="1"/>
    </row>
    <row r="126" spans="1:5" ht="12.9" customHeight="1" x14ac:dyDescent="0.35">
      <c r="A126" s="1" t="s">
        <v>211</v>
      </c>
      <c r="B126" s="1" t="s">
        <v>115</v>
      </c>
      <c r="C126" s="5">
        <v>46197</v>
      </c>
      <c r="D126" s="1" t="s">
        <v>284</v>
      </c>
      <c r="E126" s="1"/>
    </row>
    <row r="127" spans="1:5" ht="12.9" customHeight="1" x14ac:dyDescent="0.35">
      <c r="A127" s="1" t="s">
        <v>211</v>
      </c>
      <c r="B127" s="1" t="s">
        <v>116</v>
      </c>
      <c r="C127" s="5">
        <v>46197</v>
      </c>
      <c r="D127" s="1" t="s">
        <v>284</v>
      </c>
      <c r="E127" s="1"/>
    </row>
    <row r="128" spans="1:5" ht="12.9" customHeight="1" x14ac:dyDescent="0.35">
      <c r="A128" s="1" t="s">
        <v>211</v>
      </c>
      <c r="B128" s="1" t="s">
        <v>117</v>
      </c>
      <c r="C128" s="5">
        <v>46197</v>
      </c>
      <c r="D128" s="1" t="s">
        <v>284</v>
      </c>
      <c r="E128" s="1"/>
    </row>
    <row r="129" spans="1:5" ht="12.9" customHeight="1" x14ac:dyDescent="0.35">
      <c r="A129" s="1" t="s">
        <v>211</v>
      </c>
      <c r="B129" s="1" t="s">
        <v>134</v>
      </c>
      <c r="C129" s="5">
        <v>46196</v>
      </c>
      <c r="D129" s="1" t="s">
        <v>212</v>
      </c>
      <c r="E129" s="1"/>
    </row>
    <row r="130" spans="1:5" ht="12.9" customHeight="1" x14ac:dyDescent="0.35">
      <c r="A130" s="1" t="s">
        <v>211</v>
      </c>
      <c r="B130" s="1" t="s">
        <v>122</v>
      </c>
      <c r="C130" s="5">
        <v>46196</v>
      </c>
      <c r="D130" s="1" t="s">
        <v>213</v>
      </c>
      <c r="E130" s="1"/>
    </row>
    <row r="131" spans="1:5" ht="12.9" customHeight="1" x14ac:dyDescent="0.35">
      <c r="A131" s="1" t="s">
        <v>211</v>
      </c>
      <c r="B131" s="1" t="s">
        <v>101</v>
      </c>
      <c r="C131" s="5">
        <v>46194</v>
      </c>
      <c r="D131" s="1" t="s">
        <v>219</v>
      </c>
      <c r="E131" s="1"/>
    </row>
    <row r="132" spans="1:5" ht="12.9" customHeight="1" x14ac:dyDescent="0.35">
      <c r="A132" s="1" t="s">
        <v>211</v>
      </c>
      <c r="B132" s="1" t="s">
        <v>123</v>
      </c>
      <c r="C132" s="5">
        <v>46194</v>
      </c>
      <c r="D132" s="1" t="s">
        <v>219</v>
      </c>
      <c r="E132" s="1"/>
    </row>
    <row r="133" spans="1:5" ht="12.9" customHeight="1" x14ac:dyDescent="0.35">
      <c r="A133" s="1" t="s">
        <v>211</v>
      </c>
      <c r="B133" s="1" t="s">
        <v>125</v>
      </c>
      <c r="C133" s="5">
        <v>46193</v>
      </c>
      <c r="D133" s="1" t="s">
        <v>240</v>
      </c>
      <c r="E133" s="1"/>
    </row>
    <row r="134" spans="1:5" ht="12.9" customHeight="1" x14ac:dyDescent="0.35">
      <c r="A134" s="1" t="s">
        <v>211</v>
      </c>
      <c r="B134" s="1" t="s">
        <v>128</v>
      </c>
      <c r="C134" s="5">
        <v>46196</v>
      </c>
      <c r="D134" s="1" t="s">
        <v>213</v>
      </c>
      <c r="E134" s="1"/>
    </row>
    <row r="135" spans="1:5" ht="12.9" customHeight="1" x14ac:dyDescent="0.35">
      <c r="A135" s="1" t="s">
        <v>211</v>
      </c>
      <c r="B135" s="1" t="s">
        <v>131</v>
      </c>
      <c r="C135" s="5">
        <v>46194</v>
      </c>
      <c r="D135" s="1" t="s">
        <v>219</v>
      </c>
      <c r="E135" s="1"/>
    </row>
    <row r="136" spans="1:5" ht="12.9" customHeight="1" x14ac:dyDescent="0.35">
      <c r="A136" s="1" t="s">
        <v>211</v>
      </c>
      <c r="B136" s="1" t="s">
        <v>132</v>
      </c>
      <c r="C136" s="5">
        <v>46195</v>
      </c>
      <c r="D136" s="1" t="s">
        <v>215</v>
      </c>
      <c r="E136" s="1"/>
    </row>
    <row r="137" spans="1:5" ht="12.9" customHeight="1" x14ac:dyDescent="0.35">
      <c r="A137" s="1" t="s">
        <v>211</v>
      </c>
      <c r="B137" s="1" t="s">
        <v>133</v>
      </c>
      <c r="C137" s="5">
        <v>46193</v>
      </c>
      <c r="D137" s="1" t="s">
        <v>240</v>
      </c>
      <c r="E137" s="1"/>
    </row>
    <row r="138" spans="1:5" ht="12.9" customHeight="1" x14ac:dyDescent="0.35">
      <c r="A138" s="1" t="s">
        <v>211</v>
      </c>
      <c r="B138" s="1" t="s">
        <v>98</v>
      </c>
      <c r="C138" s="5">
        <v>46194</v>
      </c>
      <c r="D138" s="1" t="s">
        <v>219</v>
      </c>
      <c r="E138" s="1"/>
    </row>
    <row r="139" spans="1:5" ht="12.9" customHeight="1" x14ac:dyDescent="0.35">
      <c r="A139" s="1" t="s">
        <v>211</v>
      </c>
      <c r="B139" s="1" t="s">
        <v>162</v>
      </c>
      <c r="C139" s="5">
        <v>46195</v>
      </c>
      <c r="D139" s="1" t="s">
        <v>212</v>
      </c>
      <c r="E139" s="1"/>
    </row>
    <row r="140" spans="1:5" ht="12.9" customHeight="1" x14ac:dyDescent="0.35">
      <c r="A140" s="1" t="s">
        <v>211</v>
      </c>
      <c r="B140" s="1" t="s">
        <v>102</v>
      </c>
      <c r="C140" s="5">
        <v>46194</v>
      </c>
      <c r="D140" s="1" t="s">
        <v>219</v>
      </c>
      <c r="E140" s="1"/>
    </row>
    <row r="141" spans="1:5" x14ac:dyDescent="0.35">
      <c r="A141" s="1" t="s">
        <v>241</v>
      </c>
      <c r="B141" s="1" t="s">
        <v>124</v>
      </c>
      <c r="C141" s="5">
        <v>46192</v>
      </c>
      <c r="D141" s="1" t="s">
        <v>220</v>
      </c>
      <c r="E141" s="1"/>
    </row>
    <row r="142" spans="1:5" x14ac:dyDescent="0.35">
      <c r="A142" s="1" t="s">
        <v>241</v>
      </c>
      <c r="B142" s="1" t="s">
        <v>152</v>
      </c>
      <c r="C142" s="5">
        <v>46192</v>
      </c>
      <c r="D142" s="1" t="s">
        <v>220</v>
      </c>
      <c r="E142" s="1"/>
    </row>
    <row r="143" spans="1:5" x14ac:dyDescent="0.35">
      <c r="A143" s="1" t="s">
        <v>241</v>
      </c>
      <c r="B143" s="1" t="s">
        <v>153</v>
      </c>
      <c r="C143" s="5">
        <v>46192</v>
      </c>
      <c r="D143" s="1" t="s">
        <v>220</v>
      </c>
      <c r="E143" s="1"/>
    </row>
    <row r="144" spans="1:5" x14ac:dyDescent="0.35">
      <c r="A144" s="1" t="s">
        <v>241</v>
      </c>
      <c r="B144" s="1" t="s">
        <v>96</v>
      </c>
      <c r="C144" s="5">
        <v>46192</v>
      </c>
      <c r="D144" s="1" t="s">
        <v>220</v>
      </c>
      <c r="E144" s="1"/>
    </row>
    <row r="145" spans="1:5" x14ac:dyDescent="0.35">
      <c r="A145" s="1" t="s">
        <v>241</v>
      </c>
      <c r="B145" s="1" t="s">
        <v>136</v>
      </c>
      <c r="C145" s="5">
        <v>46192</v>
      </c>
      <c r="D145" s="1" t="s">
        <v>220</v>
      </c>
      <c r="E145" s="1"/>
    </row>
    <row r="146" spans="1:5" x14ac:dyDescent="0.35">
      <c r="A146" s="1" t="s">
        <v>241</v>
      </c>
      <c r="B146" s="1" t="s">
        <v>141</v>
      </c>
      <c r="C146" s="5">
        <v>46194</v>
      </c>
      <c r="D146" s="1" t="s">
        <v>219</v>
      </c>
      <c r="E146" s="1"/>
    </row>
    <row r="147" spans="1:5" x14ac:dyDescent="0.35">
      <c r="A147" s="1" t="s">
        <v>241</v>
      </c>
      <c r="B147" s="1" t="s">
        <v>143</v>
      </c>
      <c r="C147" s="5">
        <v>46194</v>
      </c>
      <c r="D147" s="1" t="s">
        <v>219</v>
      </c>
      <c r="E147" s="1"/>
    </row>
    <row r="148" spans="1:5" x14ac:dyDescent="0.35">
      <c r="A148" s="1" t="s">
        <v>241</v>
      </c>
      <c r="B148" s="1" t="s">
        <v>147</v>
      </c>
      <c r="C148" s="5">
        <v>46194</v>
      </c>
      <c r="D148" s="1" t="s">
        <v>219</v>
      </c>
      <c r="E148" s="1"/>
    </row>
    <row r="149" spans="1:5" x14ac:dyDescent="0.35">
      <c r="A149" s="1" t="s">
        <v>241</v>
      </c>
      <c r="B149" s="1" t="s">
        <v>154</v>
      </c>
      <c r="C149" s="5">
        <v>46192</v>
      </c>
      <c r="D149" s="1" t="s">
        <v>220</v>
      </c>
      <c r="E149" s="1"/>
    </row>
    <row r="150" spans="1:5" x14ac:dyDescent="0.35">
      <c r="A150" t="s">
        <v>241</v>
      </c>
      <c r="B150" t="s">
        <v>154</v>
      </c>
      <c r="C150">
        <v>46192</v>
      </c>
      <c r="D150" t="s">
        <v>220</v>
      </c>
    </row>
    <row r="151" spans="1:5" x14ac:dyDescent="0.35">
      <c r="A151" t="s">
        <v>241</v>
      </c>
      <c r="B151" t="s">
        <v>154</v>
      </c>
      <c r="C151">
        <v>46192</v>
      </c>
      <c r="D151" t="s">
        <v>220</v>
      </c>
    </row>
    <row r="152" spans="1:5" x14ac:dyDescent="0.35">
      <c r="A152" t="s">
        <v>241</v>
      </c>
      <c r="B152" t="s">
        <v>154</v>
      </c>
      <c r="C152">
        <v>46192</v>
      </c>
      <c r="D152" t="s">
        <v>220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1"/>
  <sheetViews>
    <sheetView workbookViewId="0"/>
  </sheetViews>
  <sheetFormatPr defaultRowHeight="14.5" x14ac:dyDescent="0.35"/>
  <cols>
    <col min="1" max="1" width="35" customWidth="1"/>
    <col min="2" max="2" width="28" customWidth="1"/>
    <col min="3" max="3" width="35" customWidth="1"/>
  </cols>
  <sheetData>
    <row r="1" spans="1:3" x14ac:dyDescent="0.35">
      <c r="A1" s="2" t="s">
        <v>35</v>
      </c>
      <c r="B1" s="2" t="s">
        <v>287</v>
      </c>
      <c r="C1" s="2" t="s">
        <v>43</v>
      </c>
    </row>
    <row r="2" spans="1:3" ht="12.9" customHeight="1" x14ac:dyDescent="0.35">
      <c r="A2" s="1" t="s">
        <v>111</v>
      </c>
      <c r="B2" s="1">
        <v>36</v>
      </c>
      <c r="C2" s="1" t="s">
        <v>288</v>
      </c>
    </row>
    <row r="3" spans="1:3" ht="12.9" customHeight="1" x14ac:dyDescent="0.35">
      <c r="A3" s="1" t="s">
        <v>100</v>
      </c>
      <c r="B3" s="1">
        <v>36</v>
      </c>
      <c r="C3" s="1" t="s">
        <v>288</v>
      </c>
    </row>
    <row r="4" spans="1:3" ht="12.9" customHeight="1" x14ac:dyDescent="0.35">
      <c r="A4" s="1" t="s">
        <v>112</v>
      </c>
      <c r="B4" s="1">
        <v>12</v>
      </c>
      <c r="C4" s="1" t="s">
        <v>289</v>
      </c>
    </row>
    <row r="5" spans="1:3" ht="12.9" customHeight="1" x14ac:dyDescent="0.35">
      <c r="A5" s="1" t="s">
        <v>96</v>
      </c>
      <c r="B5" s="1">
        <v>36</v>
      </c>
      <c r="C5" s="1" t="s">
        <v>288</v>
      </c>
    </row>
    <row r="6" spans="1:3" ht="12.9" customHeight="1" x14ac:dyDescent="0.35">
      <c r="A6" s="1" t="s">
        <v>113</v>
      </c>
      <c r="B6" s="1">
        <v>36</v>
      </c>
      <c r="C6" s="1" t="s">
        <v>288</v>
      </c>
    </row>
    <row r="7" spans="1:3" ht="12.9" customHeight="1" x14ac:dyDescent="0.35">
      <c r="A7" s="1" t="s">
        <v>114</v>
      </c>
      <c r="B7" s="1">
        <v>12</v>
      </c>
      <c r="C7" s="1" t="s">
        <v>290</v>
      </c>
    </row>
    <row r="8" spans="1:3" ht="12.9" customHeight="1" x14ac:dyDescent="0.35">
      <c r="A8" s="1" t="s">
        <v>115</v>
      </c>
      <c r="B8" s="1">
        <v>36</v>
      </c>
      <c r="C8" s="1" t="s">
        <v>288</v>
      </c>
    </row>
    <row r="9" spans="1:3" ht="12.9" customHeight="1" x14ac:dyDescent="0.35">
      <c r="A9" s="1" t="s">
        <v>116</v>
      </c>
      <c r="B9" s="1">
        <v>36</v>
      </c>
      <c r="C9" s="1" t="s">
        <v>288</v>
      </c>
    </row>
    <row r="10" spans="1:3" ht="12.9" customHeight="1" x14ac:dyDescent="0.35">
      <c r="A10" s="1" t="s">
        <v>117</v>
      </c>
      <c r="B10" s="1">
        <v>12</v>
      </c>
      <c r="C10" s="1" t="s">
        <v>290</v>
      </c>
    </row>
    <row r="11" spans="1:3" ht="12.9" customHeight="1" x14ac:dyDescent="0.35">
      <c r="A11" s="1" t="s">
        <v>118</v>
      </c>
      <c r="B11" s="1">
        <v>36</v>
      </c>
      <c r="C11" s="1" t="s">
        <v>288</v>
      </c>
    </row>
    <row r="12" spans="1:3" ht="12.9" customHeight="1" x14ac:dyDescent="0.35">
      <c r="A12" s="1" t="s">
        <v>119</v>
      </c>
      <c r="B12" s="1">
        <v>12</v>
      </c>
      <c r="C12" s="1" t="s">
        <v>290</v>
      </c>
    </row>
    <row r="13" spans="1:3" ht="12.9" customHeight="1" x14ac:dyDescent="0.35">
      <c r="A13" s="1" t="s">
        <v>120</v>
      </c>
      <c r="B13" s="1">
        <v>12</v>
      </c>
      <c r="C13" s="1" t="s">
        <v>290</v>
      </c>
    </row>
    <row r="14" spans="1:3" ht="12.9" customHeight="1" x14ac:dyDescent="0.35">
      <c r="A14" s="1" t="s">
        <v>121</v>
      </c>
      <c r="B14" s="1">
        <v>12</v>
      </c>
      <c r="C14" s="1" t="s">
        <v>290</v>
      </c>
    </row>
    <row r="15" spans="1:3" ht="12.9" customHeight="1" x14ac:dyDescent="0.35">
      <c r="A15" s="1" t="s">
        <v>103</v>
      </c>
      <c r="B15" s="1">
        <v>36</v>
      </c>
      <c r="C15" s="1" t="s">
        <v>288</v>
      </c>
    </row>
    <row r="16" spans="1:3" ht="12.9" customHeight="1" x14ac:dyDescent="0.35">
      <c r="A16" s="1" t="s">
        <v>122</v>
      </c>
      <c r="B16" s="1">
        <v>36</v>
      </c>
      <c r="C16" s="1" t="s">
        <v>288</v>
      </c>
    </row>
    <row r="17" spans="1:3" ht="12.9" customHeight="1" x14ac:dyDescent="0.35">
      <c r="A17" s="1" t="s">
        <v>101</v>
      </c>
      <c r="B17" s="1">
        <v>36</v>
      </c>
      <c r="C17" s="1" t="s">
        <v>288</v>
      </c>
    </row>
    <row r="18" spans="1:3" ht="12.9" customHeight="1" x14ac:dyDescent="0.35">
      <c r="A18" s="1" t="s">
        <v>123</v>
      </c>
      <c r="B18" s="1">
        <v>12</v>
      </c>
      <c r="C18" s="1" t="s">
        <v>290</v>
      </c>
    </row>
    <row r="19" spans="1:3" ht="12.9" customHeight="1" x14ac:dyDescent="0.35">
      <c r="A19" s="1" t="s">
        <v>124</v>
      </c>
      <c r="B19" s="1">
        <v>12</v>
      </c>
      <c r="C19" s="1" t="s">
        <v>289</v>
      </c>
    </row>
    <row r="20" spans="1:3" ht="12.9" customHeight="1" x14ac:dyDescent="0.35">
      <c r="A20" s="1" t="s">
        <v>125</v>
      </c>
      <c r="B20" s="1">
        <v>12</v>
      </c>
      <c r="C20" s="1" t="s">
        <v>290</v>
      </c>
    </row>
    <row r="21" spans="1:3" ht="12.9" customHeight="1" x14ac:dyDescent="0.35">
      <c r="A21" s="1" t="s">
        <v>126</v>
      </c>
      <c r="B21" s="1">
        <v>36</v>
      </c>
      <c r="C21" s="1" t="s">
        <v>288</v>
      </c>
    </row>
    <row r="22" spans="1:3" ht="12.9" customHeight="1" x14ac:dyDescent="0.35">
      <c r="A22" s="1" t="s">
        <v>127</v>
      </c>
      <c r="B22" s="1">
        <v>12</v>
      </c>
      <c r="C22" s="1" t="s">
        <v>290</v>
      </c>
    </row>
    <row r="23" spans="1:3" ht="12.9" customHeight="1" x14ac:dyDescent="0.35">
      <c r="A23" s="1" t="s">
        <v>128</v>
      </c>
      <c r="B23" s="1">
        <v>12</v>
      </c>
      <c r="C23" s="1" t="s">
        <v>289</v>
      </c>
    </row>
    <row r="24" spans="1:3" ht="12.9" customHeight="1" x14ac:dyDescent="0.35">
      <c r="A24" s="1" t="s">
        <v>129</v>
      </c>
      <c r="B24" s="1">
        <v>36</v>
      </c>
      <c r="C24" s="1" t="s">
        <v>288</v>
      </c>
    </row>
    <row r="25" spans="1:3" ht="12.9" customHeight="1" x14ac:dyDescent="0.35">
      <c r="A25" s="1" t="s">
        <v>130</v>
      </c>
      <c r="B25" s="1">
        <v>36</v>
      </c>
      <c r="C25" s="1" t="s">
        <v>288</v>
      </c>
    </row>
    <row r="26" spans="1:3" ht="12.9" customHeight="1" x14ac:dyDescent="0.35">
      <c r="A26" s="1" t="s">
        <v>131</v>
      </c>
      <c r="B26" s="1">
        <v>12</v>
      </c>
      <c r="C26" s="1" t="s">
        <v>290</v>
      </c>
    </row>
    <row r="27" spans="1:3" ht="12.9" customHeight="1" x14ac:dyDescent="0.35">
      <c r="A27" s="1" t="s">
        <v>132</v>
      </c>
      <c r="B27" s="1">
        <v>12</v>
      </c>
      <c r="C27" s="1" t="s">
        <v>290</v>
      </c>
    </row>
    <row r="28" spans="1:3" ht="12.9" customHeight="1" x14ac:dyDescent="0.35">
      <c r="A28" s="1" t="s">
        <v>92</v>
      </c>
      <c r="B28" s="1">
        <v>12</v>
      </c>
      <c r="C28" s="1" t="s">
        <v>290</v>
      </c>
    </row>
    <row r="29" spans="1:3" ht="12.9" customHeight="1" x14ac:dyDescent="0.35">
      <c r="A29" s="1" t="s">
        <v>133</v>
      </c>
      <c r="B29" s="1">
        <v>36</v>
      </c>
      <c r="C29" s="1" t="s">
        <v>288</v>
      </c>
    </row>
    <row r="30" spans="1:3" ht="12.9" customHeight="1" x14ac:dyDescent="0.35">
      <c r="A30" s="1" t="s">
        <v>134</v>
      </c>
      <c r="B30" s="1">
        <v>36</v>
      </c>
      <c r="C30" s="1" t="s">
        <v>288</v>
      </c>
    </row>
    <row r="31" spans="1:3" ht="12.9" customHeight="1" x14ac:dyDescent="0.35">
      <c r="A31" s="1" t="s">
        <v>98</v>
      </c>
      <c r="B31" s="1">
        <v>36</v>
      </c>
      <c r="C31" s="1" t="s">
        <v>288</v>
      </c>
    </row>
    <row r="32" spans="1:3" ht="12.9" customHeight="1" x14ac:dyDescent="0.35">
      <c r="A32" s="1" t="s">
        <v>135</v>
      </c>
      <c r="B32" s="1">
        <v>36</v>
      </c>
      <c r="C32" s="1" t="s">
        <v>288</v>
      </c>
    </row>
    <row r="33" spans="1:3" ht="12.9" customHeight="1" x14ac:dyDescent="0.35">
      <c r="A33" s="1" t="s">
        <v>136</v>
      </c>
      <c r="B33" s="1">
        <v>12</v>
      </c>
      <c r="C33" s="1" t="s">
        <v>290</v>
      </c>
    </row>
    <row r="34" spans="1:3" ht="12.9" customHeight="1" x14ac:dyDescent="0.35">
      <c r="A34" s="1" t="s">
        <v>137</v>
      </c>
      <c r="B34" s="1">
        <v>36</v>
      </c>
      <c r="C34" s="1" t="s">
        <v>288</v>
      </c>
    </row>
    <row r="35" spans="1:3" ht="12.9" customHeight="1" x14ac:dyDescent="0.35">
      <c r="A35" s="1" t="s">
        <v>138</v>
      </c>
      <c r="B35" s="1">
        <v>12</v>
      </c>
      <c r="C35" s="1" t="s">
        <v>290</v>
      </c>
    </row>
    <row r="36" spans="1:3" ht="12.9" customHeight="1" x14ac:dyDescent="0.35">
      <c r="A36" s="1" t="s">
        <v>139</v>
      </c>
      <c r="B36" s="1">
        <v>12</v>
      </c>
      <c r="C36" s="1" t="s">
        <v>289</v>
      </c>
    </row>
    <row r="37" spans="1:3" ht="12.9" customHeight="1" x14ac:dyDescent="0.35">
      <c r="A37" s="1" t="s">
        <v>97</v>
      </c>
      <c r="B37" s="1">
        <v>12</v>
      </c>
      <c r="C37" s="1" t="s">
        <v>290</v>
      </c>
    </row>
    <row r="38" spans="1:3" ht="12.9" customHeight="1" x14ac:dyDescent="0.35">
      <c r="A38" s="1" t="s">
        <v>140</v>
      </c>
      <c r="B38" s="1">
        <v>36</v>
      </c>
      <c r="C38" s="1" t="s">
        <v>288</v>
      </c>
    </row>
    <row r="39" spans="1:3" ht="12.9" customHeight="1" x14ac:dyDescent="0.35">
      <c r="A39" s="1" t="s">
        <v>141</v>
      </c>
      <c r="B39" s="1">
        <v>12</v>
      </c>
      <c r="C39" s="1" t="s">
        <v>290</v>
      </c>
    </row>
    <row r="40" spans="1:3" ht="12.9" customHeight="1" x14ac:dyDescent="0.35">
      <c r="A40" s="1" t="s">
        <v>142</v>
      </c>
      <c r="B40" s="1">
        <v>12</v>
      </c>
      <c r="C40" s="1" t="s">
        <v>290</v>
      </c>
    </row>
    <row r="41" spans="1:3" ht="12.9" customHeight="1" x14ac:dyDescent="0.35">
      <c r="A41" s="1" t="s">
        <v>143</v>
      </c>
      <c r="B41" s="1">
        <v>12</v>
      </c>
      <c r="C41" s="1" t="s">
        <v>290</v>
      </c>
    </row>
    <row r="42" spans="1:3" ht="12.9" customHeight="1" x14ac:dyDescent="0.35">
      <c r="A42" s="1" t="s">
        <v>102</v>
      </c>
      <c r="B42" s="1">
        <v>12</v>
      </c>
      <c r="C42" s="1" t="s">
        <v>290</v>
      </c>
    </row>
    <row r="43" spans="1:3" ht="12.9" customHeight="1" x14ac:dyDescent="0.35">
      <c r="A43" s="1" t="s">
        <v>144</v>
      </c>
      <c r="B43" s="1">
        <v>36</v>
      </c>
      <c r="C43" s="1" t="s">
        <v>288</v>
      </c>
    </row>
    <row r="44" spans="1:3" ht="12.9" customHeight="1" x14ac:dyDescent="0.35">
      <c r="A44" s="1" t="s">
        <v>145</v>
      </c>
      <c r="B44" s="1">
        <v>12</v>
      </c>
      <c r="C44" s="1" t="s">
        <v>290</v>
      </c>
    </row>
    <row r="45" spans="1:3" ht="12.9" customHeight="1" x14ac:dyDescent="0.35">
      <c r="A45" s="1" t="s">
        <v>146</v>
      </c>
      <c r="B45" s="1">
        <v>12</v>
      </c>
      <c r="C45" s="1" t="s">
        <v>290</v>
      </c>
    </row>
    <row r="46" spans="1:3" ht="12.9" customHeight="1" x14ac:dyDescent="0.35">
      <c r="A46" s="1" t="s">
        <v>147</v>
      </c>
      <c r="B46" s="1">
        <v>36</v>
      </c>
      <c r="C46" s="1" t="s">
        <v>288</v>
      </c>
    </row>
    <row r="47" spans="1:3" ht="12.9" customHeight="1" x14ac:dyDescent="0.35">
      <c r="A47" s="1" t="s">
        <v>148</v>
      </c>
      <c r="B47" s="1">
        <v>36</v>
      </c>
      <c r="C47" s="1" t="s">
        <v>288</v>
      </c>
    </row>
    <row r="48" spans="1:3" ht="12.9" customHeight="1" x14ac:dyDescent="0.35">
      <c r="A48" s="1" t="s">
        <v>149</v>
      </c>
      <c r="B48" s="1">
        <v>36</v>
      </c>
      <c r="C48" s="1" t="s">
        <v>288</v>
      </c>
    </row>
    <row r="49" spans="1:3" ht="12.9" customHeight="1" x14ac:dyDescent="0.35">
      <c r="A49" s="1" t="s">
        <v>150</v>
      </c>
      <c r="B49" s="1">
        <v>36</v>
      </c>
      <c r="C49" s="1" t="s">
        <v>288</v>
      </c>
    </row>
    <row r="50" spans="1:3" ht="12.9" customHeight="1" x14ac:dyDescent="0.35">
      <c r="A50" s="1" t="s">
        <v>151</v>
      </c>
      <c r="B50" s="1">
        <v>36</v>
      </c>
      <c r="C50" s="1" t="s">
        <v>288</v>
      </c>
    </row>
    <row r="51" spans="1:3" ht="12.9" customHeight="1" x14ac:dyDescent="0.35">
      <c r="A51" s="1" t="s">
        <v>152</v>
      </c>
      <c r="B51" s="1">
        <v>36</v>
      </c>
      <c r="C51" s="1" t="s">
        <v>288</v>
      </c>
    </row>
    <row r="52" spans="1:3" ht="12.9" customHeight="1" x14ac:dyDescent="0.35">
      <c r="A52" s="1" t="s">
        <v>153</v>
      </c>
      <c r="B52" s="1">
        <v>36</v>
      </c>
      <c r="C52" s="1" t="s">
        <v>288</v>
      </c>
    </row>
    <row r="53" spans="1:3" ht="12.9" customHeight="1" x14ac:dyDescent="0.35">
      <c r="A53" s="1" t="s">
        <v>154</v>
      </c>
      <c r="B53" s="1">
        <v>36</v>
      </c>
      <c r="C53" s="1" t="s">
        <v>288</v>
      </c>
    </row>
    <row r="54" spans="1:3" ht="12.9" customHeight="1" x14ac:dyDescent="0.35">
      <c r="A54" s="1" t="s">
        <v>155</v>
      </c>
      <c r="B54" s="1">
        <v>12</v>
      </c>
      <c r="C54" s="1" t="s">
        <v>289</v>
      </c>
    </row>
    <row r="55" spans="1:3" ht="12.9" customHeight="1" x14ac:dyDescent="0.35">
      <c r="A55" s="1" t="s">
        <v>156</v>
      </c>
      <c r="B55" s="1">
        <v>12</v>
      </c>
      <c r="C55" s="1" t="s">
        <v>290</v>
      </c>
    </row>
    <row r="56" spans="1:3" ht="12.9" customHeight="1" x14ac:dyDescent="0.35">
      <c r="A56" s="1" t="s">
        <v>157</v>
      </c>
      <c r="B56" s="1">
        <v>36</v>
      </c>
      <c r="C56" s="1" t="s">
        <v>288</v>
      </c>
    </row>
    <row r="57" spans="1:3" ht="12.9" customHeight="1" x14ac:dyDescent="0.35">
      <c r="A57" s="1" t="s">
        <v>158</v>
      </c>
      <c r="B57" s="1">
        <v>12</v>
      </c>
      <c r="C57" s="1" t="s">
        <v>290</v>
      </c>
    </row>
    <row r="58" spans="1:3" ht="12.9" customHeight="1" x14ac:dyDescent="0.35">
      <c r="A58" s="1" t="s">
        <v>95</v>
      </c>
      <c r="B58" s="1">
        <v>12</v>
      </c>
      <c r="C58" s="1" t="s">
        <v>290</v>
      </c>
    </row>
    <row r="59" spans="1:3" ht="12.9" customHeight="1" x14ac:dyDescent="0.35">
      <c r="A59" s="1" t="s">
        <v>93</v>
      </c>
      <c r="B59" s="1">
        <v>12</v>
      </c>
      <c r="C59" s="1" t="s">
        <v>290</v>
      </c>
    </row>
    <row r="60" spans="1:3" ht="12.9" customHeight="1" x14ac:dyDescent="0.35">
      <c r="A60" s="1" t="s">
        <v>159</v>
      </c>
      <c r="B60" s="1">
        <v>12</v>
      </c>
      <c r="C60" s="1" t="s">
        <v>290</v>
      </c>
    </row>
    <row r="61" spans="1:3" ht="12.9" customHeight="1" x14ac:dyDescent="0.35">
      <c r="A61" s="1" t="s">
        <v>160</v>
      </c>
      <c r="B61" s="1">
        <v>36</v>
      </c>
      <c r="C61" s="1" t="s">
        <v>288</v>
      </c>
    </row>
    <row r="62" spans="1:3" ht="12.9" customHeight="1" x14ac:dyDescent="0.35">
      <c r="A62" s="1" t="s">
        <v>161</v>
      </c>
      <c r="B62" s="1">
        <v>12</v>
      </c>
      <c r="C62" s="1" t="s">
        <v>290</v>
      </c>
    </row>
    <row r="63" spans="1:3" ht="12.9" customHeight="1" x14ac:dyDescent="0.35">
      <c r="A63" s="1" t="s">
        <v>162</v>
      </c>
      <c r="B63" s="1">
        <v>12</v>
      </c>
      <c r="C63" s="1" t="s">
        <v>290</v>
      </c>
    </row>
    <row r="64" spans="1:3" ht="12.9" customHeight="1" x14ac:dyDescent="0.35">
      <c r="A64" s="1" t="s">
        <v>163</v>
      </c>
      <c r="B64" s="1">
        <v>36</v>
      </c>
      <c r="C64" s="1" t="s">
        <v>288</v>
      </c>
    </row>
    <row r="65" spans="1:3" ht="12.9" customHeight="1" x14ac:dyDescent="0.35">
      <c r="A65" s="1" t="s">
        <v>164</v>
      </c>
      <c r="B65" s="1">
        <v>12</v>
      </c>
      <c r="C65" s="1" t="s">
        <v>290</v>
      </c>
    </row>
    <row r="66" spans="1:3" ht="12.9" customHeight="1" x14ac:dyDescent="0.35">
      <c r="A66" s="1" t="s">
        <v>165</v>
      </c>
      <c r="B66" s="1">
        <v>36</v>
      </c>
      <c r="C66" s="1" t="s">
        <v>288</v>
      </c>
    </row>
    <row r="67" spans="1:3" ht="12.9" customHeight="1" x14ac:dyDescent="0.35">
      <c r="A67" s="1" t="s">
        <v>166</v>
      </c>
      <c r="B67" s="1">
        <v>36</v>
      </c>
      <c r="C67" s="1" t="s">
        <v>288</v>
      </c>
    </row>
    <row r="68" spans="1:3" ht="12.9" customHeight="1" x14ac:dyDescent="0.35">
      <c r="A68" s="1" t="s">
        <v>167</v>
      </c>
      <c r="B68" s="1">
        <v>36</v>
      </c>
      <c r="C68" s="1" t="s">
        <v>288</v>
      </c>
    </row>
    <row r="69" spans="1:3" ht="12.9" customHeight="1" x14ac:dyDescent="0.35">
      <c r="A69" s="1" t="s">
        <v>168</v>
      </c>
      <c r="B69" s="1">
        <v>36</v>
      </c>
      <c r="C69" s="1" t="s">
        <v>288</v>
      </c>
    </row>
    <row r="70" spans="1:3" ht="12.9" customHeight="1" x14ac:dyDescent="0.35">
      <c r="A70" s="1" t="s">
        <v>169</v>
      </c>
      <c r="B70" s="1">
        <v>36</v>
      </c>
      <c r="C70" s="1" t="s">
        <v>288</v>
      </c>
    </row>
    <row r="71" spans="1:3" ht="12.9" customHeight="1" x14ac:dyDescent="0.35">
      <c r="A71" s="1" t="s">
        <v>170</v>
      </c>
      <c r="B71" s="1">
        <v>12</v>
      </c>
      <c r="C71" s="1" t="s">
        <v>290</v>
      </c>
    </row>
    <row r="72" spans="1:3" ht="12.9" customHeight="1" x14ac:dyDescent="0.35">
      <c r="A72" s="1" t="s">
        <v>171</v>
      </c>
      <c r="B72" s="1">
        <v>12</v>
      </c>
      <c r="C72" s="1" t="s">
        <v>290</v>
      </c>
    </row>
    <row r="73" spans="1:3" ht="12.9" customHeight="1" x14ac:dyDescent="0.35">
      <c r="A73" s="1" t="s">
        <v>172</v>
      </c>
      <c r="B73" s="1">
        <v>12</v>
      </c>
      <c r="C73" s="1" t="s">
        <v>290</v>
      </c>
    </row>
    <row r="74" spans="1:3" ht="12.9" customHeight="1" x14ac:dyDescent="0.35">
      <c r="A74" s="1" t="s">
        <v>173</v>
      </c>
      <c r="B74" s="1">
        <v>12</v>
      </c>
      <c r="C74" s="1" t="s">
        <v>290</v>
      </c>
    </row>
    <row r="75" spans="1:3" ht="12.9" customHeight="1" x14ac:dyDescent="0.35">
      <c r="A75" s="1" t="s">
        <v>174</v>
      </c>
      <c r="B75" s="1">
        <v>12</v>
      </c>
      <c r="C75" s="1" t="s">
        <v>289</v>
      </c>
    </row>
    <row r="76" spans="1:3" ht="12.9" customHeight="1" x14ac:dyDescent="0.35">
      <c r="A76" s="1" t="s">
        <v>175</v>
      </c>
      <c r="B76" s="1">
        <v>12</v>
      </c>
      <c r="C76" s="1" t="s">
        <v>289</v>
      </c>
    </row>
    <row r="77" spans="1:3" ht="12.9" customHeight="1" x14ac:dyDescent="0.35">
      <c r="A77" s="1" t="s">
        <v>176</v>
      </c>
      <c r="B77" s="1">
        <v>36</v>
      </c>
      <c r="C77" s="1" t="s">
        <v>288</v>
      </c>
    </row>
    <row r="78" spans="1:3" ht="12.9" customHeight="1" x14ac:dyDescent="0.35">
      <c r="A78" s="1" t="s">
        <v>177</v>
      </c>
      <c r="B78" s="1">
        <v>36</v>
      </c>
      <c r="C78" s="1" t="s">
        <v>288</v>
      </c>
    </row>
    <row r="79" spans="1:3" ht="12.9" customHeight="1" x14ac:dyDescent="0.35">
      <c r="A79" s="1" t="s">
        <v>178</v>
      </c>
      <c r="B79" s="1">
        <v>12</v>
      </c>
      <c r="C79" s="1" t="s">
        <v>290</v>
      </c>
    </row>
    <row r="80" spans="1:3" ht="12.9" customHeight="1" x14ac:dyDescent="0.35">
      <c r="A80" s="1" t="s">
        <v>179</v>
      </c>
      <c r="B80" s="1">
        <v>12</v>
      </c>
      <c r="C80" s="1" t="s">
        <v>290</v>
      </c>
    </row>
    <row r="81" spans="1:3" ht="12.9" customHeight="1" x14ac:dyDescent="0.35">
      <c r="A81" s="1" t="s">
        <v>180</v>
      </c>
      <c r="B81" s="1">
        <v>36</v>
      </c>
      <c r="C81" s="1" t="s">
        <v>288</v>
      </c>
    </row>
    <row r="82" spans="1:3" ht="12.9" customHeight="1" x14ac:dyDescent="0.35">
      <c r="A82" s="1" t="s">
        <v>181</v>
      </c>
      <c r="B82" s="1">
        <v>36</v>
      </c>
      <c r="C82" s="1" t="s">
        <v>288</v>
      </c>
    </row>
    <row r="83" spans="1:3" ht="12.9" customHeight="1" x14ac:dyDescent="0.35">
      <c r="A83" s="1" t="s">
        <v>182</v>
      </c>
      <c r="B83" s="1">
        <v>12</v>
      </c>
      <c r="C83" s="1" t="s">
        <v>290</v>
      </c>
    </row>
    <row r="84" spans="1:3" ht="12.9" customHeight="1" x14ac:dyDescent="0.35">
      <c r="A84" s="1" t="s">
        <v>183</v>
      </c>
      <c r="B84" s="1">
        <v>36</v>
      </c>
      <c r="C84" s="1" t="s">
        <v>288</v>
      </c>
    </row>
    <row r="85" spans="1:3" ht="12.9" customHeight="1" x14ac:dyDescent="0.35">
      <c r="A85" s="1" t="s">
        <v>184</v>
      </c>
      <c r="B85" s="1">
        <v>12</v>
      </c>
      <c r="C85" s="1" t="s">
        <v>290</v>
      </c>
    </row>
    <row r="86" spans="1:3" ht="12.9" customHeight="1" x14ac:dyDescent="0.35">
      <c r="A86" s="1" t="s">
        <v>185</v>
      </c>
      <c r="B86" s="1">
        <v>12</v>
      </c>
      <c r="C86" s="1" t="s">
        <v>290</v>
      </c>
    </row>
    <row r="87" spans="1:3" ht="12.9" customHeight="1" x14ac:dyDescent="0.35">
      <c r="A87" s="1" t="s">
        <v>186</v>
      </c>
      <c r="B87" s="1">
        <v>36</v>
      </c>
      <c r="C87" s="1" t="s">
        <v>288</v>
      </c>
    </row>
    <row r="88" spans="1:3" ht="12.9" customHeight="1" x14ac:dyDescent="0.35">
      <c r="A88" s="1" t="s">
        <v>187</v>
      </c>
      <c r="B88" s="1">
        <v>12</v>
      </c>
      <c r="C88" s="1" t="s">
        <v>289</v>
      </c>
    </row>
    <row r="89" spans="1:3" ht="12.9" customHeight="1" x14ac:dyDescent="0.35">
      <c r="A89" s="1" t="s">
        <v>188</v>
      </c>
      <c r="B89" s="1">
        <v>36</v>
      </c>
      <c r="C89" s="1" t="s">
        <v>288</v>
      </c>
    </row>
    <row r="90" spans="1:3" ht="12.9" customHeight="1" x14ac:dyDescent="0.35">
      <c r="A90" s="1" t="s">
        <v>189</v>
      </c>
      <c r="B90" s="1">
        <v>36</v>
      </c>
      <c r="C90" s="1" t="s">
        <v>288</v>
      </c>
    </row>
    <row r="91" spans="1:3" ht="12.9" customHeight="1" x14ac:dyDescent="0.35">
      <c r="A91" s="1" t="s">
        <v>190</v>
      </c>
      <c r="B91" s="1">
        <v>12</v>
      </c>
      <c r="C91" s="1" t="s">
        <v>290</v>
      </c>
    </row>
    <row r="92" spans="1:3" ht="12.9" customHeight="1" x14ac:dyDescent="0.35">
      <c r="A92" s="1" t="s">
        <v>191</v>
      </c>
      <c r="B92" s="1">
        <v>36</v>
      </c>
      <c r="C92" s="1" t="s">
        <v>288</v>
      </c>
    </row>
    <row r="93" spans="1:3" ht="12.9" customHeight="1" x14ac:dyDescent="0.35">
      <c r="A93" s="1" t="s">
        <v>192</v>
      </c>
      <c r="B93" s="1">
        <v>12</v>
      </c>
      <c r="C93" s="1" t="s">
        <v>289</v>
      </c>
    </row>
    <row r="94" spans="1:3" ht="12.9" customHeight="1" x14ac:dyDescent="0.35">
      <c r="A94" s="1" t="s">
        <v>193</v>
      </c>
      <c r="B94" s="1">
        <v>12</v>
      </c>
      <c r="C94" s="1" t="s">
        <v>290</v>
      </c>
    </row>
    <row r="95" spans="1:3" ht="12.9" customHeight="1" x14ac:dyDescent="0.35">
      <c r="A95" s="1" t="s">
        <v>194</v>
      </c>
      <c r="B95" s="1">
        <v>36</v>
      </c>
      <c r="C95" s="1" t="s">
        <v>288</v>
      </c>
    </row>
    <row r="96" spans="1:3" ht="12.9" customHeight="1" x14ac:dyDescent="0.35">
      <c r="A96" s="1" t="s">
        <v>195</v>
      </c>
      <c r="B96" s="1">
        <v>36</v>
      </c>
      <c r="C96" s="1" t="s">
        <v>288</v>
      </c>
    </row>
    <row r="97" spans="1:3" ht="12.9" customHeight="1" x14ac:dyDescent="0.35">
      <c r="A97" s="1" t="s">
        <v>196</v>
      </c>
      <c r="B97" s="1">
        <v>36</v>
      </c>
      <c r="C97" s="1" t="s">
        <v>288</v>
      </c>
    </row>
    <row r="98" spans="1:3" ht="12.9" customHeight="1" x14ac:dyDescent="0.35">
      <c r="A98" s="1" t="s">
        <v>197</v>
      </c>
      <c r="B98" s="1">
        <v>12</v>
      </c>
      <c r="C98" s="1" t="s">
        <v>289</v>
      </c>
    </row>
    <row r="99" spans="1:3" ht="12.9" customHeight="1" x14ac:dyDescent="0.35">
      <c r="A99" s="1" t="s">
        <v>198</v>
      </c>
      <c r="B99" s="1">
        <v>12</v>
      </c>
      <c r="C99" s="1" t="s">
        <v>290</v>
      </c>
    </row>
    <row r="100" spans="1:3" ht="12.9" customHeight="1" x14ac:dyDescent="0.35">
      <c r="A100" s="1" t="s">
        <v>199</v>
      </c>
      <c r="B100" s="1">
        <v>12</v>
      </c>
      <c r="C100" s="1" t="s">
        <v>289</v>
      </c>
    </row>
    <row r="101" spans="1:3" ht="12.9" customHeight="1" x14ac:dyDescent="0.35">
      <c r="A101" s="1" t="s">
        <v>200</v>
      </c>
      <c r="B101" s="1">
        <v>12</v>
      </c>
      <c r="C101" s="1" t="s">
        <v>290</v>
      </c>
    </row>
    <row r="102" spans="1:3" ht="12.9" customHeight="1" x14ac:dyDescent="0.35">
      <c r="A102" s="1" t="s">
        <v>201</v>
      </c>
      <c r="B102" s="1">
        <v>12</v>
      </c>
      <c r="C102" s="1" t="s">
        <v>289</v>
      </c>
    </row>
    <row r="103" spans="1:3" ht="12.9" customHeight="1" x14ac:dyDescent="0.35">
      <c r="A103" s="1" t="s">
        <v>202</v>
      </c>
      <c r="B103" s="1">
        <v>36</v>
      </c>
      <c r="C103" s="1" t="s">
        <v>288</v>
      </c>
    </row>
    <row r="104" spans="1:3" ht="12.9" customHeight="1" x14ac:dyDescent="0.35">
      <c r="A104" s="1" t="s">
        <v>203</v>
      </c>
      <c r="B104" s="1">
        <v>12</v>
      </c>
      <c r="C104" s="1" t="s">
        <v>290</v>
      </c>
    </row>
    <row r="105" spans="1:3" ht="12.9" customHeight="1" x14ac:dyDescent="0.35">
      <c r="A105" s="1" t="s">
        <v>204</v>
      </c>
      <c r="B105" s="1">
        <v>12</v>
      </c>
      <c r="C105" s="1" t="s">
        <v>290</v>
      </c>
    </row>
    <row r="106" spans="1:3" ht="12.9" customHeight="1" x14ac:dyDescent="0.35">
      <c r="A106" s="1" t="s">
        <v>205</v>
      </c>
      <c r="B106" s="1">
        <v>36</v>
      </c>
      <c r="C106" s="1" t="s">
        <v>288</v>
      </c>
    </row>
    <row r="107" spans="1:3" ht="12.9" customHeight="1" x14ac:dyDescent="0.35">
      <c r="A107" s="1" t="s">
        <v>94</v>
      </c>
      <c r="B107" s="1">
        <v>12</v>
      </c>
      <c r="C107" s="1" t="s">
        <v>290</v>
      </c>
    </row>
    <row r="108" spans="1:3" ht="12.9" customHeight="1" x14ac:dyDescent="0.35">
      <c r="A108" s="1" t="s">
        <v>206</v>
      </c>
      <c r="B108" s="1">
        <v>36</v>
      </c>
      <c r="C108" s="1" t="s">
        <v>288</v>
      </c>
    </row>
    <row r="109" spans="1:3" ht="12.9" customHeight="1" x14ac:dyDescent="0.35">
      <c r="A109" s="1" t="s">
        <v>207</v>
      </c>
      <c r="B109" s="1">
        <v>36</v>
      </c>
      <c r="C109" s="1" t="s">
        <v>288</v>
      </c>
    </row>
    <row r="110" spans="1:3" ht="12.9" customHeight="1" x14ac:dyDescent="0.35">
      <c r="A110" s="1" t="s">
        <v>208</v>
      </c>
      <c r="B110" s="1">
        <v>36</v>
      </c>
      <c r="C110" s="1" t="s">
        <v>288</v>
      </c>
    </row>
    <row r="111" spans="1:3" x14ac:dyDescent="0.35">
      <c r="A111" t="s">
        <v>104</v>
      </c>
      <c r="B111">
        <v>12</v>
      </c>
      <c r="C111" t="s">
        <v>290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322"/>
  <sheetViews>
    <sheetView workbookViewId="0"/>
  </sheetViews>
  <sheetFormatPr defaultRowHeight="14.5" x14ac:dyDescent="0.35"/>
  <cols>
    <col min="1" max="1" width="22" customWidth="1"/>
    <col min="2" max="2" width="34" customWidth="1"/>
    <col min="3" max="5" width="15" customWidth="1"/>
    <col min="6" max="8" width="14" customWidth="1"/>
    <col min="9" max="9" width="28" customWidth="1"/>
  </cols>
  <sheetData>
    <row r="1" spans="1:9" ht="12.5" customHeight="1" x14ac:dyDescent="0.35">
      <c r="A1" s="147" t="s">
        <v>291</v>
      </c>
      <c r="B1" s="129"/>
      <c r="C1" s="129"/>
      <c r="D1" s="129"/>
      <c r="E1" s="129"/>
      <c r="F1" s="129"/>
      <c r="G1" s="129"/>
      <c r="H1" s="129"/>
      <c r="I1" s="129"/>
    </row>
    <row r="2" spans="1:9" ht="12.9" customHeight="1" x14ac:dyDescent="0.35">
      <c r="A2" s="23" t="s">
        <v>31</v>
      </c>
      <c r="B2" s="23" t="s">
        <v>35</v>
      </c>
      <c r="C2" s="23" t="s">
        <v>292</v>
      </c>
      <c r="D2" s="23" t="s">
        <v>293</v>
      </c>
      <c r="E2" s="23" t="s">
        <v>294</v>
      </c>
      <c r="F2" s="23" t="s">
        <v>295</v>
      </c>
      <c r="G2" s="23" t="s">
        <v>6</v>
      </c>
      <c r="H2" s="23" t="s">
        <v>296</v>
      </c>
      <c r="I2" s="23" t="s">
        <v>297</v>
      </c>
    </row>
    <row r="3" spans="1:9" x14ac:dyDescent="0.35">
      <c r="A3" s="46" t="s">
        <v>211</v>
      </c>
      <c r="B3" s="46" t="s">
        <v>111</v>
      </c>
      <c r="C3" s="47">
        <f>Matrix!B3</f>
        <v>46197</v>
      </c>
      <c r="D3" s="48">
        <f>IFERROR(VLOOKUP(B3,'Renewal Rules'!$A:$B,2,FALSE),"")</f>
        <v>36</v>
      </c>
      <c r="E3" s="47">
        <f t="shared" ref="E3:E66" si="0">IF(OR(C3="",C3="NS",C3="IP",C3="Failed"),"",IFERROR(EDATE(IF(ISNUMBER(C3),C3,IFERROR(DATEVALUE(C3),DATE(VALUE(RIGHT(C3,4)),VALUE(MID(C3,4,2)),VALUE(LEFT(C3,2))))),D3),""))</f>
        <v>47293</v>
      </c>
      <c r="F3" s="48">
        <f t="shared" ref="F3:F66" ca="1" si="1">IF(E3="","",E3-TODAY())</f>
        <v>1090</v>
      </c>
      <c r="G3" s="46" t="str">
        <f t="shared" ref="G3:G66" ca="1" si="2">IF(C3="NS","RED",IF(C3="IP","AMBER",IF(E3="","",IF(E3&lt;TODAY(),"RED",IF(E3&lt;=TODAY()+30,"AMBER","GREEN")))))</f>
        <v>GREEN</v>
      </c>
      <c r="H3" s="46" t="str">
        <f t="shared" ref="H3:H66" ca="1" si="3">IF(C3="NS","Not Started",IF(C3="IP","In Progress",IF(E3="","Check",IF(E3&lt;TODAY(),"Expired",IF(E3&lt;=TODAY()+30,"Expiring Soon","Current")))))</f>
        <v>Current</v>
      </c>
      <c r="I3" s="21"/>
    </row>
    <row r="4" spans="1:9" x14ac:dyDescent="0.35">
      <c r="A4" s="46" t="s">
        <v>211</v>
      </c>
      <c r="B4" s="46" t="s">
        <v>100</v>
      </c>
      <c r="C4" s="47" t="str">
        <f>Matrix!C3</f>
        <v>NS</v>
      </c>
      <c r="D4" s="48">
        <f>IFERROR(VLOOKUP(B4,'Renewal Rules'!$A:$B,2,FALSE),"")</f>
        <v>36</v>
      </c>
      <c r="E4" s="47" t="str">
        <f t="shared" si="0"/>
        <v/>
      </c>
      <c r="F4" s="48" t="str">
        <f t="shared" ca="1" si="1"/>
        <v/>
      </c>
      <c r="G4" s="46" t="str">
        <f t="shared" ca="1" si="2"/>
        <v>RED</v>
      </c>
      <c r="H4" s="46" t="str">
        <f t="shared" ca="1" si="3"/>
        <v>Not Started</v>
      </c>
      <c r="I4" s="21"/>
    </row>
    <row r="5" spans="1:9" x14ac:dyDescent="0.35">
      <c r="A5" s="46" t="s">
        <v>211</v>
      </c>
      <c r="B5" s="46" t="s">
        <v>112</v>
      </c>
      <c r="C5" s="47">
        <f>Matrix!D3</f>
        <v>46196</v>
      </c>
      <c r="D5" s="48">
        <f>IFERROR(VLOOKUP(B5,'Renewal Rules'!$A:$B,2,FALSE),"")</f>
        <v>12</v>
      </c>
      <c r="E5" s="47">
        <f t="shared" si="0"/>
        <v>46561</v>
      </c>
      <c r="F5" s="48">
        <f t="shared" ca="1" si="1"/>
        <v>358</v>
      </c>
      <c r="G5" s="46" t="str">
        <f t="shared" ca="1" si="2"/>
        <v>GREEN</v>
      </c>
      <c r="H5" s="46" t="str">
        <f t="shared" ca="1" si="3"/>
        <v>Current</v>
      </c>
      <c r="I5" s="21"/>
    </row>
    <row r="6" spans="1:9" x14ac:dyDescent="0.35">
      <c r="A6" s="46" t="s">
        <v>211</v>
      </c>
      <c r="B6" s="46" t="s">
        <v>96</v>
      </c>
      <c r="C6" s="47">
        <f>Matrix!E3</f>
        <v>46197</v>
      </c>
      <c r="D6" s="48">
        <f>IFERROR(VLOOKUP(B6,'Renewal Rules'!$A:$B,2,FALSE),"")</f>
        <v>36</v>
      </c>
      <c r="E6" s="47">
        <f t="shared" si="0"/>
        <v>47293</v>
      </c>
      <c r="F6" s="48">
        <f t="shared" ca="1" si="1"/>
        <v>1090</v>
      </c>
      <c r="G6" s="46" t="str">
        <f t="shared" ca="1" si="2"/>
        <v>GREEN</v>
      </c>
      <c r="H6" s="46" t="str">
        <f t="shared" ca="1" si="3"/>
        <v>Current</v>
      </c>
      <c r="I6" s="21"/>
    </row>
    <row r="7" spans="1:9" x14ac:dyDescent="0.35">
      <c r="A7" s="46" t="s">
        <v>211</v>
      </c>
      <c r="B7" s="46" t="s">
        <v>113</v>
      </c>
      <c r="C7" s="47">
        <f>Matrix!F3</f>
        <v>46195</v>
      </c>
      <c r="D7" s="48">
        <f>IFERROR(VLOOKUP(B7,'Renewal Rules'!$A:$B,2,FALSE),"")</f>
        <v>36</v>
      </c>
      <c r="E7" s="47">
        <f t="shared" si="0"/>
        <v>47291</v>
      </c>
      <c r="F7" s="48">
        <f t="shared" ca="1" si="1"/>
        <v>1088</v>
      </c>
      <c r="G7" s="46" t="str">
        <f t="shared" ca="1" si="2"/>
        <v>GREEN</v>
      </c>
      <c r="H7" s="46" t="str">
        <f t="shared" ca="1" si="3"/>
        <v>Current</v>
      </c>
      <c r="I7" s="21"/>
    </row>
    <row r="8" spans="1:9" x14ac:dyDescent="0.35">
      <c r="A8" s="46" t="s">
        <v>211</v>
      </c>
      <c r="B8" s="46" t="s">
        <v>114</v>
      </c>
      <c r="C8" s="47">
        <f>Matrix!G3</f>
        <v>46196</v>
      </c>
      <c r="D8" s="48">
        <f>IFERROR(VLOOKUP(B8,'Renewal Rules'!$A:$B,2,FALSE),"")</f>
        <v>12</v>
      </c>
      <c r="E8" s="47">
        <f t="shared" si="0"/>
        <v>46561</v>
      </c>
      <c r="F8" s="48">
        <f t="shared" ca="1" si="1"/>
        <v>358</v>
      </c>
      <c r="G8" s="46" t="str">
        <f t="shared" ca="1" si="2"/>
        <v>GREEN</v>
      </c>
      <c r="H8" s="46" t="str">
        <f t="shared" ca="1" si="3"/>
        <v>Current</v>
      </c>
      <c r="I8" s="21"/>
    </row>
    <row r="9" spans="1:9" x14ac:dyDescent="0.35">
      <c r="A9" s="46" t="s">
        <v>211</v>
      </c>
      <c r="B9" s="46" t="s">
        <v>115</v>
      </c>
      <c r="C9" s="47">
        <f>Matrix!H3</f>
        <v>46197</v>
      </c>
      <c r="D9" s="48">
        <f>IFERROR(VLOOKUP(B9,'Renewal Rules'!$A:$B,2,FALSE),"")</f>
        <v>36</v>
      </c>
      <c r="E9" s="47">
        <f t="shared" si="0"/>
        <v>47293</v>
      </c>
      <c r="F9" s="48">
        <f t="shared" ca="1" si="1"/>
        <v>1090</v>
      </c>
      <c r="G9" s="46" t="str">
        <f t="shared" ca="1" si="2"/>
        <v>GREEN</v>
      </c>
      <c r="H9" s="46" t="str">
        <f t="shared" ca="1" si="3"/>
        <v>Current</v>
      </c>
      <c r="I9" s="21"/>
    </row>
    <row r="10" spans="1:9" x14ac:dyDescent="0.35">
      <c r="A10" s="46" t="s">
        <v>211</v>
      </c>
      <c r="B10" s="46" t="s">
        <v>116</v>
      </c>
      <c r="C10" s="47">
        <f>Matrix!I3</f>
        <v>46197</v>
      </c>
      <c r="D10" s="48">
        <f>IFERROR(VLOOKUP(B10,'Renewal Rules'!$A:$B,2,FALSE),"")</f>
        <v>36</v>
      </c>
      <c r="E10" s="47">
        <f t="shared" si="0"/>
        <v>47293</v>
      </c>
      <c r="F10" s="48">
        <f t="shared" ca="1" si="1"/>
        <v>1090</v>
      </c>
      <c r="G10" s="46" t="str">
        <f t="shared" ca="1" si="2"/>
        <v>GREEN</v>
      </c>
      <c r="H10" s="46" t="str">
        <f t="shared" ca="1" si="3"/>
        <v>Current</v>
      </c>
      <c r="I10" s="21"/>
    </row>
    <row r="11" spans="1:9" x14ac:dyDescent="0.35">
      <c r="A11" s="46" t="s">
        <v>211</v>
      </c>
      <c r="B11" s="46" t="s">
        <v>117</v>
      </c>
      <c r="C11" s="47">
        <f>Matrix!J3</f>
        <v>46197</v>
      </c>
      <c r="D11" s="48">
        <f>IFERROR(VLOOKUP(B11,'Renewal Rules'!$A:$B,2,FALSE),"")</f>
        <v>12</v>
      </c>
      <c r="E11" s="47">
        <f t="shared" si="0"/>
        <v>46562</v>
      </c>
      <c r="F11" s="48">
        <f t="shared" ca="1" si="1"/>
        <v>359</v>
      </c>
      <c r="G11" s="46" t="str">
        <f t="shared" ca="1" si="2"/>
        <v>GREEN</v>
      </c>
      <c r="H11" s="46" t="str">
        <f t="shared" ca="1" si="3"/>
        <v>Current</v>
      </c>
      <c r="I11" s="21"/>
    </row>
    <row r="12" spans="1:9" x14ac:dyDescent="0.35">
      <c r="A12" s="46" t="s">
        <v>211</v>
      </c>
      <c r="B12" s="46" t="s">
        <v>118</v>
      </c>
      <c r="C12" s="47" t="str">
        <f>Matrix!K3</f>
        <v>23/06/2026</v>
      </c>
      <c r="D12" s="48">
        <f>IFERROR(VLOOKUP(B12,'Renewal Rules'!$A:$B,2,FALSE),"")</f>
        <v>36</v>
      </c>
      <c r="E12" s="47">
        <f t="shared" si="0"/>
        <v>47292</v>
      </c>
      <c r="F12" s="48">
        <f t="shared" ca="1" si="1"/>
        <v>1089</v>
      </c>
      <c r="G12" s="46" t="str">
        <f t="shared" ca="1" si="2"/>
        <v>GREEN</v>
      </c>
      <c r="H12" s="46" t="str">
        <f t="shared" ca="1" si="3"/>
        <v>Current</v>
      </c>
      <c r="I12" s="21"/>
    </row>
    <row r="13" spans="1:9" x14ac:dyDescent="0.35">
      <c r="A13" s="46" t="s">
        <v>211</v>
      </c>
      <c r="B13" s="46" t="s">
        <v>119</v>
      </c>
      <c r="C13" s="47" t="str">
        <f>Matrix!L3</f>
        <v>NS</v>
      </c>
      <c r="D13" s="48">
        <f>IFERROR(VLOOKUP(B13,'Renewal Rules'!$A:$B,2,FALSE),"")</f>
        <v>12</v>
      </c>
      <c r="E13" s="47" t="str">
        <f t="shared" si="0"/>
        <v/>
      </c>
      <c r="F13" s="48" t="str">
        <f t="shared" ca="1" si="1"/>
        <v/>
      </c>
      <c r="G13" s="46" t="str">
        <f t="shared" ca="1" si="2"/>
        <v>RED</v>
      </c>
      <c r="H13" s="46" t="str">
        <f t="shared" ca="1" si="3"/>
        <v>Not Started</v>
      </c>
      <c r="I13" s="21"/>
    </row>
    <row r="14" spans="1:9" x14ac:dyDescent="0.35">
      <c r="A14" s="46" t="s">
        <v>211</v>
      </c>
      <c r="B14" s="46" t="s">
        <v>120</v>
      </c>
      <c r="C14" s="47" t="str">
        <f>Matrix!M3</f>
        <v>NS</v>
      </c>
      <c r="D14" s="48">
        <f>IFERROR(VLOOKUP(B14,'Renewal Rules'!$A:$B,2,FALSE),"")</f>
        <v>12</v>
      </c>
      <c r="E14" s="47" t="str">
        <f t="shared" si="0"/>
        <v/>
      </c>
      <c r="F14" s="48" t="str">
        <f t="shared" ca="1" si="1"/>
        <v/>
      </c>
      <c r="G14" s="46" t="str">
        <f t="shared" ca="1" si="2"/>
        <v>RED</v>
      </c>
      <c r="H14" s="46" t="str">
        <f t="shared" ca="1" si="3"/>
        <v>Not Started</v>
      </c>
      <c r="I14" s="21"/>
    </row>
    <row r="15" spans="1:9" x14ac:dyDescent="0.35">
      <c r="A15" s="46" t="s">
        <v>211</v>
      </c>
      <c r="B15" s="46" t="s">
        <v>121</v>
      </c>
      <c r="C15" s="47" t="str">
        <f>Matrix!N3</f>
        <v>NS</v>
      </c>
      <c r="D15" s="48">
        <f>IFERROR(VLOOKUP(B15,'Renewal Rules'!$A:$B,2,FALSE),"")</f>
        <v>12</v>
      </c>
      <c r="E15" s="47" t="str">
        <f t="shared" si="0"/>
        <v/>
      </c>
      <c r="F15" s="48" t="str">
        <f t="shared" ca="1" si="1"/>
        <v/>
      </c>
      <c r="G15" s="46" t="str">
        <f t="shared" ca="1" si="2"/>
        <v>RED</v>
      </c>
      <c r="H15" s="46" t="str">
        <f t="shared" ca="1" si="3"/>
        <v>Not Started</v>
      </c>
      <c r="I15" s="21"/>
    </row>
    <row r="16" spans="1:9" ht="12.9" customHeight="1" x14ac:dyDescent="0.35">
      <c r="A16" s="46" t="s">
        <v>211</v>
      </c>
      <c r="B16" s="46" t="s">
        <v>103</v>
      </c>
      <c r="C16" s="47" t="str">
        <f>Matrix!O3</f>
        <v>NS</v>
      </c>
      <c r="D16" s="48">
        <f>IFERROR(VLOOKUP(B16,'Renewal Rules'!$A:$B,2,FALSE),"")</f>
        <v>36</v>
      </c>
      <c r="E16" s="47" t="str">
        <f t="shared" si="0"/>
        <v/>
      </c>
      <c r="F16" s="48" t="str">
        <f t="shared" ca="1" si="1"/>
        <v/>
      </c>
      <c r="G16" s="46" t="str">
        <f t="shared" ca="1" si="2"/>
        <v>RED</v>
      </c>
      <c r="H16" s="46" t="str">
        <f t="shared" ca="1" si="3"/>
        <v>Not Started</v>
      </c>
      <c r="I16" s="21"/>
    </row>
    <row r="17" spans="1:9" x14ac:dyDescent="0.35">
      <c r="A17" s="46" t="s">
        <v>211</v>
      </c>
      <c r="B17" s="46" t="s">
        <v>122</v>
      </c>
      <c r="C17" s="47">
        <f>Matrix!P3</f>
        <v>46196</v>
      </c>
      <c r="D17" s="48">
        <f>IFERROR(VLOOKUP(B17,'Renewal Rules'!$A:$B,2,FALSE),"")</f>
        <v>36</v>
      </c>
      <c r="E17" s="47">
        <f t="shared" si="0"/>
        <v>47292</v>
      </c>
      <c r="F17" s="48">
        <f t="shared" ca="1" si="1"/>
        <v>1089</v>
      </c>
      <c r="G17" s="46" t="str">
        <f t="shared" ca="1" si="2"/>
        <v>GREEN</v>
      </c>
      <c r="H17" s="46" t="str">
        <f t="shared" ca="1" si="3"/>
        <v>Current</v>
      </c>
      <c r="I17" s="21"/>
    </row>
    <row r="18" spans="1:9" x14ac:dyDescent="0.35">
      <c r="A18" s="46" t="s">
        <v>211</v>
      </c>
      <c r="B18" s="46" t="s">
        <v>101</v>
      </c>
      <c r="C18" s="47">
        <f>Matrix!Q3</f>
        <v>46194</v>
      </c>
      <c r="D18" s="48">
        <f>IFERROR(VLOOKUP(B18,'Renewal Rules'!$A:$B,2,FALSE),"")</f>
        <v>36</v>
      </c>
      <c r="E18" s="47">
        <f t="shared" si="0"/>
        <v>47290</v>
      </c>
      <c r="F18" s="48">
        <f t="shared" ca="1" si="1"/>
        <v>1087</v>
      </c>
      <c r="G18" s="46" t="str">
        <f t="shared" ca="1" si="2"/>
        <v>GREEN</v>
      </c>
      <c r="H18" s="46" t="str">
        <f t="shared" ca="1" si="3"/>
        <v>Current</v>
      </c>
      <c r="I18" s="21"/>
    </row>
    <row r="19" spans="1:9" x14ac:dyDescent="0.35">
      <c r="A19" s="46" t="s">
        <v>211</v>
      </c>
      <c r="B19" s="46" t="s">
        <v>123</v>
      </c>
      <c r="C19" s="47">
        <f>Matrix!R3</f>
        <v>46194</v>
      </c>
      <c r="D19" s="48">
        <f>IFERROR(VLOOKUP(B19,'Renewal Rules'!$A:$B,2,FALSE),"")</f>
        <v>12</v>
      </c>
      <c r="E19" s="47">
        <f t="shared" si="0"/>
        <v>46559</v>
      </c>
      <c r="F19" s="48">
        <f t="shared" ca="1" si="1"/>
        <v>356</v>
      </c>
      <c r="G19" s="46" t="str">
        <f t="shared" ca="1" si="2"/>
        <v>GREEN</v>
      </c>
      <c r="H19" s="46" t="str">
        <f t="shared" ca="1" si="3"/>
        <v>Current</v>
      </c>
      <c r="I19" s="21"/>
    </row>
    <row r="20" spans="1:9" x14ac:dyDescent="0.35">
      <c r="A20" s="46" t="s">
        <v>211</v>
      </c>
      <c r="B20" s="46" t="s">
        <v>124</v>
      </c>
      <c r="C20" s="47" t="str">
        <f>Matrix!S3</f>
        <v>NS</v>
      </c>
      <c r="D20" s="48">
        <f>IFERROR(VLOOKUP(B20,'Renewal Rules'!$A:$B,2,FALSE),"")</f>
        <v>12</v>
      </c>
      <c r="E20" s="47" t="str">
        <f t="shared" si="0"/>
        <v/>
      </c>
      <c r="F20" s="48" t="str">
        <f t="shared" ca="1" si="1"/>
        <v/>
      </c>
      <c r="G20" s="46" t="str">
        <f t="shared" ca="1" si="2"/>
        <v>RED</v>
      </c>
      <c r="H20" s="46" t="str">
        <f t="shared" ca="1" si="3"/>
        <v>Not Started</v>
      </c>
      <c r="I20" s="21"/>
    </row>
    <row r="21" spans="1:9" x14ac:dyDescent="0.35">
      <c r="A21" s="46" t="s">
        <v>211</v>
      </c>
      <c r="B21" s="46" t="s">
        <v>125</v>
      </c>
      <c r="C21" s="47">
        <f>Matrix!T3</f>
        <v>46193</v>
      </c>
      <c r="D21" s="48">
        <f>IFERROR(VLOOKUP(B21,'Renewal Rules'!$A:$B,2,FALSE),"")</f>
        <v>12</v>
      </c>
      <c r="E21" s="47">
        <f t="shared" si="0"/>
        <v>46558</v>
      </c>
      <c r="F21" s="48">
        <f t="shared" ca="1" si="1"/>
        <v>355</v>
      </c>
      <c r="G21" s="46" t="str">
        <f t="shared" ca="1" si="2"/>
        <v>GREEN</v>
      </c>
      <c r="H21" s="46" t="str">
        <f t="shared" ca="1" si="3"/>
        <v>Current</v>
      </c>
      <c r="I21" s="21"/>
    </row>
    <row r="22" spans="1:9" x14ac:dyDescent="0.35">
      <c r="A22" s="46" t="s">
        <v>211</v>
      </c>
      <c r="B22" s="46" t="s">
        <v>126</v>
      </c>
      <c r="C22" s="47">
        <f>Matrix!U3</f>
        <v>46193</v>
      </c>
      <c r="D22" s="48">
        <f>IFERROR(VLOOKUP(B22,'Renewal Rules'!$A:$B,2,FALSE),"")</f>
        <v>36</v>
      </c>
      <c r="E22" s="47">
        <f t="shared" si="0"/>
        <v>47289</v>
      </c>
      <c r="F22" s="48">
        <f t="shared" ca="1" si="1"/>
        <v>1086</v>
      </c>
      <c r="G22" s="46" t="str">
        <f t="shared" ca="1" si="2"/>
        <v>GREEN</v>
      </c>
      <c r="H22" s="46" t="str">
        <f t="shared" ca="1" si="3"/>
        <v>Current</v>
      </c>
      <c r="I22" s="21"/>
    </row>
    <row r="23" spans="1:9" x14ac:dyDescent="0.35">
      <c r="A23" s="46" t="s">
        <v>211</v>
      </c>
      <c r="B23" s="46" t="s">
        <v>127</v>
      </c>
      <c r="C23" s="47">
        <f>Matrix!V3</f>
        <v>46196</v>
      </c>
      <c r="D23" s="48">
        <f>IFERROR(VLOOKUP(B23,'Renewal Rules'!$A:$B,2,FALSE),"")</f>
        <v>12</v>
      </c>
      <c r="E23" s="47">
        <f t="shared" si="0"/>
        <v>46561</v>
      </c>
      <c r="F23" s="48">
        <f t="shared" ca="1" si="1"/>
        <v>358</v>
      </c>
      <c r="G23" s="46" t="str">
        <f t="shared" ca="1" si="2"/>
        <v>GREEN</v>
      </c>
      <c r="H23" s="46" t="str">
        <f t="shared" ca="1" si="3"/>
        <v>Current</v>
      </c>
      <c r="I23" s="21"/>
    </row>
    <row r="24" spans="1:9" x14ac:dyDescent="0.35">
      <c r="A24" s="46" t="s">
        <v>211</v>
      </c>
      <c r="B24" s="46" t="s">
        <v>128</v>
      </c>
      <c r="C24" s="47">
        <f>Matrix!W3</f>
        <v>46196</v>
      </c>
      <c r="D24" s="48">
        <f>IFERROR(VLOOKUP(B24,'Renewal Rules'!$A:$B,2,FALSE),"")</f>
        <v>12</v>
      </c>
      <c r="E24" s="47">
        <f t="shared" si="0"/>
        <v>46561</v>
      </c>
      <c r="F24" s="48">
        <f t="shared" ca="1" si="1"/>
        <v>358</v>
      </c>
      <c r="G24" s="46" t="str">
        <f t="shared" ca="1" si="2"/>
        <v>GREEN</v>
      </c>
      <c r="H24" s="46" t="str">
        <f t="shared" ca="1" si="3"/>
        <v>Current</v>
      </c>
      <c r="I24" s="21"/>
    </row>
    <row r="25" spans="1:9" x14ac:dyDescent="0.35">
      <c r="A25" s="46" t="s">
        <v>211</v>
      </c>
      <c r="B25" s="46" t="s">
        <v>129</v>
      </c>
      <c r="C25" s="47" t="str">
        <f>Matrix!X3</f>
        <v>NS</v>
      </c>
      <c r="D25" s="48">
        <f>IFERROR(VLOOKUP(B25,'Renewal Rules'!$A:$B,2,FALSE),"")</f>
        <v>36</v>
      </c>
      <c r="E25" s="47" t="str">
        <f t="shared" si="0"/>
        <v/>
      </c>
      <c r="F25" s="48" t="str">
        <f t="shared" ca="1" si="1"/>
        <v/>
      </c>
      <c r="G25" s="46" t="str">
        <f t="shared" ca="1" si="2"/>
        <v>RED</v>
      </c>
      <c r="H25" s="46" t="str">
        <f t="shared" ca="1" si="3"/>
        <v>Not Started</v>
      </c>
      <c r="I25" s="21"/>
    </row>
    <row r="26" spans="1:9" x14ac:dyDescent="0.35">
      <c r="A26" s="46" t="s">
        <v>211</v>
      </c>
      <c r="B26" s="46" t="s">
        <v>130</v>
      </c>
      <c r="C26" s="47" t="str">
        <f>Matrix!Y3</f>
        <v>NS</v>
      </c>
      <c r="D26" s="48">
        <f>IFERROR(VLOOKUP(B26,'Renewal Rules'!$A:$B,2,FALSE),"")</f>
        <v>36</v>
      </c>
      <c r="E26" s="47" t="str">
        <f t="shared" si="0"/>
        <v/>
      </c>
      <c r="F26" s="48" t="str">
        <f t="shared" ca="1" si="1"/>
        <v/>
      </c>
      <c r="G26" s="46" t="str">
        <f t="shared" ca="1" si="2"/>
        <v>RED</v>
      </c>
      <c r="H26" s="46" t="str">
        <f t="shared" ca="1" si="3"/>
        <v>Not Started</v>
      </c>
      <c r="I26" s="21"/>
    </row>
    <row r="27" spans="1:9" x14ac:dyDescent="0.35">
      <c r="A27" s="46" t="s">
        <v>211</v>
      </c>
      <c r="B27" s="46" t="s">
        <v>131</v>
      </c>
      <c r="C27" s="47">
        <f>Matrix!Z3</f>
        <v>46194</v>
      </c>
      <c r="D27" s="48">
        <f>IFERROR(VLOOKUP(B27,'Renewal Rules'!$A:$B,2,FALSE),"")</f>
        <v>12</v>
      </c>
      <c r="E27" s="47">
        <f t="shared" si="0"/>
        <v>46559</v>
      </c>
      <c r="F27" s="48">
        <f t="shared" ca="1" si="1"/>
        <v>356</v>
      </c>
      <c r="G27" s="46" t="str">
        <f t="shared" ca="1" si="2"/>
        <v>GREEN</v>
      </c>
      <c r="H27" s="46" t="str">
        <f t="shared" ca="1" si="3"/>
        <v>Current</v>
      </c>
      <c r="I27" s="21"/>
    </row>
    <row r="28" spans="1:9" x14ac:dyDescent="0.35">
      <c r="A28" s="46" t="s">
        <v>211</v>
      </c>
      <c r="B28" s="46" t="s">
        <v>132</v>
      </c>
      <c r="C28" s="47">
        <f>Matrix!AA3</f>
        <v>46195</v>
      </c>
      <c r="D28" s="48">
        <f>IFERROR(VLOOKUP(B28,'Renewal Rules'!$A:$B,2,FALSE),"")</f>
        <v>12</v>
      </c>
      <c r="E28" s="47">
        <f t="shared" si="0"/>
        <v>46560</v>
      </c>
      <c r="F28" s="48">
        <f t="shared" ca="1" si="1"/>
        <v>357</v>
      </c>
      <c r="G28" s="46" t="str">
        <f t="shared" ca="1" si="2"/>
        <v>GREEN</v>
      </c>
      <c r="H28" s="46" t="str">
        <f t="shared" ca="1" si="3"/>
        <v>Current</v>
      </c>
      <c r="I28" s="21"/>
    </row>
    <row r="29" spans="1:9" x14ac:dyDescent="0.35">
      <c r="A29" s="46" t="s">
        <v>211</v>
      </c>
      <c r="B29" s="46" t="s">
        <v>92</v>
      </c>
      <c r="C29" s="47" t="str">
        <f>Matrix!AB3</f>
        <v>13/04/2026</v>
      </c>
      <c r="D29" s="48">
        <f>IFERROR(VLOOKUP(B29,'Renewal Rules'!$A:$B,2,FALSE),"")</f>
        <v>12</v>
      </c>
      <c r="E29" s="47">
        <f t="shared" si="0"/>
        <v>46490</v>
      </c>
      <c r="F29" s="48">
        <f t="shared" ca="1" si="1"/>
        <v>287</v>
      </c>
      <c r="G29" s="46" t="str">
        <f t="shared" ca="1" si="2"/>
        <v>GREEN</v>
      </c>
      <c r="H29" s="46" t="str">
        <f t="shared" ca="1" si="3"/>
        <v>Current</v>
      </c>
      <c r="I29" s="21"/>
    </row>
    <row r="30" spans="1:9" x14ac:dyDescent="0.35">
      <c r="A30" s="46" t="s">
        <v>211</v>
      </c>
      <c r="B30" s="46" t="s">
        <v>133</v>
      </c>
      <c r="C30" s="47">
        <f>Matrix!AC3</f>
        <v>46193</v>
      </c>
      <c r="D30" s="48">
        <f>IFERROR(VLOOKUP(B30,'Renewal Rules'!$A:$B,2,FALSE),"")</f>
        <v>36</v>
      </c>
      <c r="E30" s="47">
        <f t="shared" si="0"/>
        <v>47289</v>
      </c>
      <c r="F30" s="48">
        <f t="shared" ca="1" si="1"/>
        <v>1086</v>
      </c>
      <c r="G30" s="46" t="str">
        <f t="shared" ca="1" si="2"/>
        <v>GREEN</v>
      </c>
      <c r="H30" s="46" t="str">
        <f t="shared" ca="1" si="3"/>
        <v>Current</v>
      </c>
      <c r="I30" s="21"/>
    </row>
    <row r="31" spans="1:9" x14ac:dyDescent="0.35">
      <c r="A31" s="46" t="s">
        <v>211</v>
      </c>
      <c r="B31" s="46" t="s">
        <v>134</v>
      </c>
      <c r="C31" s="47">
        <f>Matrix!AD3</f>
        <v>46196</v>
      </c>
      <c r="D31" s="48">
        <f>IFERROR(VLOOKUP(B31,'Renewal Rules'!$A:$B,2,FALSE),"")</f>
        <v>36</v>
      </c>
      <c r="E31" s="47">
        <f t="shared" si="0"/>
        <v>47292</v>
      </c>
      <c r="F31" s="48">
        <f t="shared" ca="1" si="1"/>
        <v>1089</v>
      </c>
      <c r="G31" s="46" t="str">
        <f t="shared" ca="1" si="2"/>
        <v>GREEN</v>
      </c>
      <c r="H31" s="46" t="str">
        <f t="shared" ca="1" si="3"/>
        <v>Current</v>
      </c>
      <c r="I31" s="21"/>
    </row>
    <row r="32" spans="1:9" x14ac:dyDescent="0.35">
      <c r="A32" s="46" t="s">
        <v>211</v>
      </c>
      <c r="B32" s="46" t="s">
        <v>98</v>
      </c>
      <c r="C32" s="47">
        <f>Matrix!AE3</f>
        <v>46194</v>
      </c>
      <c r="D32" s="48">
        <f>IFERROR(VLOOKUP(B32,'Renewal Rules'!$A:$B,2,FALSE),"")</f>
        <v>36</v>
      </c>
      <c r="E32" s="47">
        <f t="shared" si="0"/>
        <v>47290</v>
      </c>
      <c r="F32" s="48">
        <f t="shared" ca="1" si="1"/>
        <v>1087</v>
      </c>
      <c r="G32" s="46" t="str">
        <f t="shared" ca="1" si="2"/>
        <v>GREEN</v>
      </c>
      <c r="H32" s="46" t="str">
        <f t="shared" ca="1" si="3"/>
        <v>Current</v>
      </c>
      <c r="I32" s="21"/>
    </row>
    <row r="33" spans="1:9" x14ac:dyDescent="0.35">
      <c r="A33" s="46" t="s">
        <v>211</v>
      </c>
      <c r="B33" s="46" t="s">
        <v>135</v>
      </c>
      <c r="C33" s="47">
        <f>Matrix!AF3</f>
        <v>46195</v>
      </c>
      <c r="D33" s="48">
        <f>IFERROR(VLOOKUP(B33,'Renewal Rules'!$A:$B,2,FALSE),"")</f>
        <v>36</v>
      </c>
      <c r="E33" s="47">
        <f t="shared" si="0"/>
        <v>47291</v>
      </c>
      <c r="F33" s="48">
        <f t="shared" ca="1" si="1"/>
        <v>1088</v>
      </c>
      <c r="G33" s="46" t="str">
        <f t="shared" ca="1" si="2"/>
        <v>GREEN</v>
      </c>
      <c r="H33" s="46" t="str">
        <f t="shared" ca="1" si="3"/>
        <v>Current</v>
      </c>
      <c r="I33" s="21"/>
    </row>
    <row r="34" spans="1:9" x14ac:dyDescent="0.35">
      <c r="A34" s="46" t="s">
        <v>211</v>
      </c>
      <c r="B34" s="46" t="s">
        <v>136</v>
      </c>
      <c r="C34" s="47" t="str">
        <f>Matrix!AG3</f>
        <v>NS</v>
      </c>
      <c r="D34" s="48">
        <f>IFERROR(VLOOKUP(B34,'Renewal Rules'!$A:$B,2,FALSE),"")</f>
        <v>12</v>
      </c>
      <c r="E34" s="47" t="str">
        <f t="shared" si="0"/>
        <v/>
      </c>
      <c r="F34" s="48" t="str">
        <f t="shared" ca="1" si="1"/>
        <v/>
      </c>
      <c r="G34" s="46" t="str">
        <f t="shared" ca="1" si="2"/>
        <v>RED</v>
      </c>
      <c r="H34" s="46" t="str">
        <f t="shared" ca="1" si="3"/>
        <v>Not Started</v>
      </c>
      <c r="I34" s="21"/>
    </row>
    <row r="35" spans="1:9" x14ac:dyDescent="0.35">
      <c r="A35" s="46" t="s">
        <v>211</v>
      </c>
      <c r="B35" s="46" t="s">
        <v>137</v>
      </c>
      <c r="C35" s="47" t="str">
        <f>Matrix!AH3</f>
        <v>NS</v>
      </c>
      <c r="D35" s="48">
        <f>IFERROR(VLOOKUP(B35,'Renewal Rules'!$A:$B,2,FALSE),"")</f>
        <v>36</v>
      </c>
      <c r="E35" s="47" t="str">
        <f t="shared" si="0"/>
        <v/>
      </c>
      <c r="F35" s="48" t="str">
        <f t="shared" ca="1" si="1"/>
        <v/>
      </c>
      <c r="G35" s="46" t="str">
        <f t="shared" ca="1" si="2"/>
        <v>RED</v>
      </c>
      <c r="H35" s="46" t="str">
        <f t="shared" ca="1" si="3"/>
        <v>Not Started</v>
      </c>
      <c r="I35" s="21"/>
    </row>
    <row r="36" spans="1:9" ht="12.9" customHeight="1" x14ac:dyDescent="0.35">
      <c r="A36" s="46" t="s">
        <v>211</v>
      </c>
      <c r="B36" s="46" t="s">
        <v>138</v>
      </c>
      <c r="C36" s="47" t="str">
        <f>Matrix!AI3</f>
        <v>22/06/2026</v>
      </c>
      <c r="D36" s="48">
        <f>IFERROR(VLOOKUP(B36,'Renewal Rules'!$A:$B,2,FALSE),"")</f>
        <v>12</v>
      </c>
      <c r="E36" s="47">
        <f t="shared" si="0"/>
        <v>46560</v>
      </c>
      <c r="F36" s="48">
        <f t="shared" ca="1" si="1"/>
        <v>357</v>
      </c>
      <c r="G36" s="46" t="str">
        <f t="shared" ca="1" si="2"/>
        <v>GREEN</v>
      </c>
      <c r="H36" s="46" t="str">
        <f t="shared" ca="1" si="3"/>
        <v>Current</v>
      </c>
      <c r="I36" s="21"/>
    </row>
    <row r="37" spans="1:9" x14ac:dyDescent="0.35">
      <c r="A37" s="46" t="s">
        <v>211</v>
      </c>
      <c r="B37" s="46" t="s">
        <v>139</v>
      </c>
      <c r="C37" s="47" t="str">
        <f>Matrix!AJ3</f>
        <v>NS</v>
      </c>
      <c r="D37" s="48">
        <f>IFERROR(VLOOKUP(B37,'Renewal Rules'!$A:$B,2,FALSE),"")</f>
        <v>12</v>
      </c>
      <c r="E37" s="47" t="str">
        <f t="shared" si="0"/>
        <v/>
      </c>
      <c r="F37" s="48" t="str">
        <f t="shared" ca="1" si="1"/>
        <v/>
      </c>
      <c r="G37" s="46" t="str">
        <f t="shared" ca="1" si="2"/>
        <v>RED</v>
      </c>
      <c r="H37" s="46" t="str">
        <f t="shared" ca="1" si="3"/>
        <v>Not Started</v>
      </c>
      <c r="I37" s="21"/>
    </row>
    <row r="38" spans="1:9" x14ac:dyDescent="0.35">
      <c r="A38" s="46" t="s">
        <v>211</v>
      </c>
      <c r="B38" s="46" t="s">
        <v>97</v>
      </c>
      <c r="C38" s="47">
        <f>Matrix!AK3</f>
        <v>46195</v>
      </c>
      <c r="D38" s="48">
        <f>IFERROR(VLOOKUP(B38,'Renewal Rules'!$A:$B,2,FALSE),"")</f>
        <v>12</v>
      </c>
      <c r="E38" s="47">
        <f t="shared" si="0"/>
        <v>46560</v>
      </c>
      <c r="F38" s="48">
        <f t="shared" ca="1" si="1"/>
        <v>357</v>
      </c>
      <c r="G38" s="46" t="str">
        <f t="shared" ca="1" si="2"/>
        <v>GREEN</v>
      </c>
      <c r="H38" s="46" t="str">
        <f t="shared" ca="1" si="3"/>
        <v>Current</v>
      </c>
      <c r="I38" s="21"/>
    </row>
    <row r="39" spans="1:9" x14ac:dyDescent="0.35">
      <c r="A39" s="46" t="s">
        <v>211</v>
      </c>
      <c r="B39" s="46" t="s">
        <v>140</v>
      </c>
      <c r="C39" s="47" t="str">
        <f>Matrix!AL3</f>
        <v>NS</v>
      </c>
      <c r="D39" s="48">
        <f>IFERROR(VLOOKUP(B39,'Renewal Rules'!$A:$B,2,FALSE),"")</f>
        <v>36</v>
      </c>
      <c r="E39" s="47" t="str">
        <f t="shared" si="0"/>
        <v/>
      </c>
      <c r="F39" s="48" t="str">
        <f t="shared" ca="1" si="1"/>
        <v/>
      </c>
      <c r="G39" s="46" t="str">
        <f t="shared" ca="1" si="2"/>
        <v>RED</v>
      </c>
      <c r="H39" s="46" t="str">
        <f t="shared" ca="1" si="3"/>
        <v>Not Started</v>
      </c>
      <c r="I39" s="21"/>
    </row>
    <row r="40" spans="1:9" x14ac:dyDescent="0.35">
      <c r="A40" s="46" t="s">
        <v>211</v>
      </c>
      <c r="B40" s="46" t="s">
        <v>141</v>
      </c>
      <c r="C40" s="47" t="str">
        <f>Matrix!AM3</f>
        <v>NS</v>
      </c>
      <c r="D40" s="48">
        <f>IFERROR(VLOOKUP(B40,'Renewal Rules'!$A:$B,2,FALSE),"")</f>
        <v>12</v>
      </c>
      <c r="E40" s="47" t="str">
        <f t="shared" si="0"/>
        <v/>
      </c>
      <c r="F40" s="48" t="str">
        <f t="shared" ca="1" si="1"/>
        <v/>
      </c>
      <c r="G40" s="46" t="str">
        <f t="shared" ca="1" si="2"/>
        <v>RED</v>
      </c>
      <c r="H40" s="46" t="str">
        <f t="shared" ca="1" si="3"/>
        <v>Not Started</v>
      </c>
      <c r="I40" s="21"/>
    </row>
    <row r="41" spans="1:9" x14ac:dyDescent="0.35">
      <c r="A41" s="46" t="s">
        <v>211</v>
      </c>
      <c r="B41" s="46" t="s">
        <v>142</v>
      </c>
      <c r="C41" s="47" t="str">
        <f>Matrix!AN3</f>
        <v>NS</v>
      </c>
      <c r="D41" s="48">
        <f>IFERROR(VLOOKUP(B41,'Renewal Rules'!$A:$B,2,FALSE),"")</f>
        <v>12</v>
      </c>
      <c r="E41" s="47" t="str">
        <f t="shared" si="0"/>
        <v/>
      </c>
      <c r="F41" s="48" t="str">
        <f t="shared" ca="1" si="1"/>
        <v/>
      </c>
      <c r="G41" s="46" t="str">
        <f t="shared" ca="1" si="2"/>
        <v>RED</v>
      </c>
      <c r="H41" s="46" t="str">
        <f t="shared" ca="1" si="3"/>
        <v>Not Started</v>
      </c>
      <c r="I41" s="21"/>
    </row>
    <row r="42" spans="1:9" x14ac:dyDescent="0.35">
      <c r="A42" s="46" t="s">
        <v>211</v>
      </c>
      <c r="B42" s="46" t="s">
        <v>143</v>
      </c>
      <c r="C42" s="47" t="str">
        <f>Matrix!AO3</f>
        <v>NS</v>
      </c>
      <c r="D42" s="48">
        <f>IFERROR(VLOOKUP(B42,'Renewal Rules'!$A:$B,2,FALSE),"")</f>
        <v>12</v>
      </c>
      <c r="E42" s="47" t="str">
        <f t="shared" si="0"/>
        <v/>
      </c>
      <c r="F42" s="48" t="str">
        <f t="shared" ca="1" si="1"/>
        <v/>
      </c>
      <c r="G42" s="46" t="str">
        <f t="shared" ca="1" si="2"/>
        <v>RED</v>
      </c>
      <c r="H42" s="46" t="str">
        <f t="shared" ca="1" si="3"/>
        <v>Not Started</v>
      </c>
      <c r="I42" s="21"/>
    </row>
    <row r="43" spans="1:9" x14ac:dyDescent="0.35">
      <c r="A43" s="46" t="s">
        <v>211</v>
      </c>
      <c r="B43" s="46" t="s">
        <v>102</v>
      </c>
      <c r="C43" s="47">
        <f>Matrix!AP3</f>
        <v>46194</v>
      </c>
      <c r="D43" s="48">
        <f>IFERROR(VLOOKUP(B43,'Renewal Rules'!$A:$B,2,FALSE),"")</f>
        <v>12</v>
      </c>
      <c r="E43" s="47">
        <f t="shared" si="0"/>
        <v>46559</v>
      </c>
      <c r="F43" s="48">
        <f t="shared" ca="1" si="1"/>
        <v>356</v>
      </c>
      <c r="G43" s="46" t="str">
        <f t="shared" ca="1" si="2"/>
        <v>GREEN</v>
      </c>
      <c r="H43" s="46" t="str">
        <f t="shared" ca="1" si="3"/>
        <v>Current</v>
      </c>
      <c r="I43" s="21"/>
    </row>
    <row r="44" spans="1:9" x14ac:dyDescent="0.35">
      <c r="A44" s="46" t="s">
        <v>211</v>
      </c>
      <c r="B44" s="46" t="s">
        <v>144</v>
      </c>
      <c r="C44" s="47" t="str">
        <f>Matrix!AQ3</f>
        <v>NS</v>
      </c>
      <c r="D44" s="48">
        <f>IFERROR(VLOOKUP(B44,'Renewal Rules'!$A:$B,2,FALSE),"")</f>
        <v>36</v>
      </c>
      <c r="E44" s="47" t="str">
        <f t="shared" si="0"/>
        <v/>
      </c>
      <c r="F44" s="48" t="str">
        <f t="shared" ca="1" si="1"/>
        <v/>
      </c>
      <c r="G44" s="46" t="str">
        <f t="shared" ca="1" si="2"/>
        <v>RED</v>
      </c>
      <c r="H44" s="46" t="str">
        <f t="shared" ca="1" si="3"/>
        <v>Not Started</v>
      </c>
      <c r="I44" s="21"/>
    </row>
    <row r="45" spans="1:9" x14ac:dyDescent="0.35">
      <c r="A45" s="46" t="s">
        <v>211</v>
      </c>
      <c r="B45" s="46" t="s">
        <v>145</v>
      </c>
      <c r="C45" s="47" t="str">
        <f>Matrix!AR3</f>
        <v>NS</v>
      </c>
      <c r="D45" s="48">
        <f>IFERROR(VLOOKUP(B45,'Renewal Rules'!$A:$B,2,FALSE),"")</f>
        <v>12</v>
      </c>
      <c r="E45" s="47" t="str">
        <f t="shared" si="0"/>
        <v/>
      </c>
      <c r="F45" s="48" t="str">
        <f t="shared" ca="1" si="1"/>
        <v/>
      </c>
      <c r="G45" s="46" t="str">
        <f t="shared" ca="1" si="2"/>
        <v>RED</v>
      </c>
      <c r="H45" s="46" t="str">
        <f t="shared" ca="1" si="3"/>
        <v>Not Started</v>
      </c>
      <c r="I45" s="21"/>
    </row>
    <row r="46" spans="1:9" x14ac:dyDescent="0.35">
      <c r="A46" s="46" t="s">
        <v>211</v>
      </c>
      <c r="B46" s="46" t="s">
        <v>146</v>
      </c>
      <c r="C46" s="47" t="str">
        <f>Matrix!AS3</f>
        <v>NS</v>
      </c>
      <c r="D46" s="48">
        <f>IFERROR(VLOOKUP(B46,'Renewal Rules'!$A:$B,2,FALSE),"")</f>
        <v>12</v>
      </c>
      <c r="E46" s="47" t="str">
        <f t="shared" si="0"/>
        <v/>
      </c>
      <c r="F46" s="48" t="str">
        <f t="shared" ca="1" si="1"/>
        <v/>
      </c>
      <c r="G46" s="46" t="str">
        <f t="shared" ca="1" si="2"/>
        <v>RED</v>
      </c>
      <c r="H46" s="46" t="str">
        <f t="shared" ca="1" si="3"/>
        <v>Not Started</v>
      </c>
      <c r="I46" s="21"/>
    </row>
    <row r="47" spans="1:9" x14ac:dyDescent="0.35">
      <c r="A47" s="46" t="s">
        <v>211</v>
      </c>
      <c r="B47" s="46" t="s">
        <v>147</v>
      </c>
      <c r="C47" s="47" t="str">
        <f>Matrix!AT3</f>
        <v>NS</v>
      </c>
      <c r="D47" s="48">
        <f>IFERROR(VLOOKUP(B47,'Renewal Rules'!$A:$B,2,FALSE),"")</f>
        <v>36</v>
      </c>
      <c r="E47" s="47" t="str">
        <f t="shared" si="0"/>
        <v/>
      </c>
      <c r="F47" s="48" t="str">
        <f t="shared" ca="1" si="1"/>
        <v/>
      </c>
      <c r="G47" s="46" t="str">
        <f t="shared" ca="1" si="2"/>
        <v>RED</v>
      </c>
      <c r="H47" s="46" t="str">
        <f t="shared" ca="1" si="3"/>
        <v>Not Started</v>
      </c>
      <c r="I47" s="21"/>
    </row>
    <row r="48" spans="1:9" x14ac:dyDescent="0.35">
      <c r="A48" s="46" t="s">
        <v>211</v>
      </c>
      <c r="B48" s="46" t="s">
        <v>148</v>
      </c>
      <c r="C48" s="47" t="str">
        <f>Matrix!AU3</f>
        <v>NS</v>
      </c>
      <c r="D48" s="48">
        <f>IFERROR(VLOOKUP(B48,'Renewal Rules'!$A:$B,2,FALSE),"")</f>
        <v>36</v>
      </c>
      <c r="E48" s="47" t="str">
        <f t="shared" si="0"/>
        <v/>
      </c>
      <c r="F48" s="48" t="str">
        <f t="shared" ca="1" si="1"/>
        <v/>
      </c>
      <c r="G48" s="46" t="str">
        <f t="shared" ca="1" si="2"/>
        <v>RED</v>
      </c>
      <c r="H48" s="46" t="str">
        <f t="shared" ca="1" si="3"/>
        <v>Not Started</v>
      </c>
      <c r="I48" s="21"/>
    </row>
    <row r="49" spans="1:9" x14ac:dyDescent="0.35">
      <c r="A49" s="46" t="s">
        <v>211</v>
      </c>
      <c r="B49" s="46" t="s">
        <v>149</v>
      </c>
      <c r="C49" s="47" t="str">
        <f>Matrix!AV3</f>
        <v>NS</v>
      </c>
      <c r="D49" s="48">
        <f>IFERROR(VLOOKUP(B49,'Renewal Rules'!$A:$B,2,FALSE),"")</f>
        <v>36</v>
      </c>
      <c r="E49" s="47" t="str">
        <f t="shared" si="0"/>
        <v/>
      </c>
      <c r="F49" s="48" t="str">
        <f t="shared" ca="1" si="1"/>
        <v/>
      </c>
      <c r="G49" s="46" t="str">
        <f t="shared" ca="1" si="2"/>
        <v>RED</v>
      </c>
      <c r="H49" s="46" t="str">
        <f t="shared" ca="1" si="3"/>
        <v>Not Started</v>
      </c>
      <c r="I49" s="21"/>
    </row>
    <row r="50" spans="1:9" x14ac:dyDescent="0.35">
      <c r="A50" s="46" t="s">
        <v>211</v>
      </c>
      <c r="B50" s="46" t="s">
        <v>150</v>
      </c>
      <c r="C50" s="47" t="str">
        <f>Matrix!AW3</f>
        <v>NS</v>
      </c>
      <c r="D50" s="48">
        <f>IFERROR(VLOOKUP(B50,'Renewal Rules'!$A:$B,2,FALSE),"")</f>
        <v>36</v>
      </c>
      <c r="E50" s="47" t="str">
        <f t="shared" si="0"/>
        <v/>
      </c>
      <c r="F50" s="48" t="str">
        <f t="shared" ca="1" si="1"/>
        <v/>
      </c>
      <c r="G50" s="46" t="str">
        <f t="shared" ca="1" si="2"/>
        <v>RED</v>
      </c>
      <c r="H50" s="46" t="str">
        <f t="shared" ca="1" si="3"/>
        <v>Not Started</v>
      </c>
      <c r="I50" s="21"/>
    </row>
    <row r="51" spans="1:9" x14ac:dyDescent="0.35">
      <c r="A51" s="46" t="s">
        <v>211</v>
      </c>
      <c r="B51" s="46" t="s">
        <v>151</v>
      </c>
      <c r="C51" s="47" t="str">
        <f>Matrix!AX3</f>
        <v>NS</v>
      </c>
      <c r="D51" s="48">
        <f>IFERROR(VLOOKUP(B51,'Renewal Rules'!$A:$B,2,FALSE),"")</f>
        <v>36</v>
      </c>
      <c r="E51" s="47" t="str">
        <f t="shared" si="0"/>
        <v/>
      </c>
      <c r="F51" s="48" t="str">
        <f t="shared" ca="1" si="1"/>
        <v/>
      </c>
      <c r="G51" s="46" t="str">
        <f t="shared" ca="1" si="2"/>
        <v>RED</v>
      </c>
      <c r="H51" s="46" t="str">
        <f t="shared" ca="1" si="3"/>
        <v>Not Started</v>
      </c>
      <c r="I51" s="21"/>
    </row>
    <row r="52" spans="1:9" x14ac:dyDescent="0.35">
      <c r="A52" s="46" t="s">
        <v>211</v>
      </c>
      <c r="B52" s="46" t="s">
        <v>152</v>
      </c>
      <c r="C52" s="47" t="str">
        <f>Matrix!AY3</f>
        <v>NS</v>
      </c>
      <c r="D52" s="48">
        <f>IFERROR(VLOOKUP(B52,'Renewal Rules'!$A:$B,2,FALSE),"")</f>
        <v>36</v>
      </c>
      <c r="E52" s="47" t="str">
        <f t="shared" si="0"/>
        <v/>
      </c>
      <c r="F52" s="48" t="str">
        <f t="shared" ca="1" si="1"/>
        <v/>
      </c>
      <c r="G52" s="46" t="str">
        <f t="shared" ca="1" si="2"/>
        <v>RED</v>
      </c>
      <c r="H52" s="46" t="str">
        <f t="shared" ca="1" si="3"/>
        <v>Not Started</v>
      </c>
      <c r="I52" s="21"/>
    </row>
    <row r="53" spans="1:9" x14ac:dyDescent="0.35">
      <c r="A53" s="46" t="s">
        <v>211</v>
      </c>
      <c r="B53" s="46" t="s">
        <v>153</v>
      </c>
      <c r="C53" s="47" t="str">
        <f>Matrix!AZ3</f>
        <v>NS</v>
      </c>
      <c r="D53" s="48">
        <f>IFERROR(VLOOKUP(B53,'Renewal Rules'!$A:$B,2,FALSE),"")</f>
        <v>36</v>
      </c>
      <c r="E53" s="47" t="str">
        <f t="shared" si="0"/>
        <v/>
      </c>
      <c r="F53" s="48" t="str">
        <f t="shared" ca="1" si="1"/>
        <v/>
      </c>
      <c r="G53" s="46" t="str">
        <f t="shared" ca="1" si="2"/>
        <v>RED</v>
      </c>
      <c r="H53" s="46" t="str">
        <f t="shared" ca="1" si="3"/>
        <v>Not Started</v>
      </c>
      <c r="I53" s="21"/>
    </row>
    <row r="54" spans="1:9" x14ac:dyDescent="0.35">
      <c r="A54" s="46" t="s">
        <v>211</v>
      </c>
      <c r="B54" s="46" t="s">
        <v>154</v>
      </c>
      <c r="C54" s="47" t="str">
        <f>Matrix!BA3</f>
        <v>NS</v>
      </c>
      <c r="D54" s="48">
        <f>IFERROR(VLOOKUP(B54,'Renewal Rules'!$A:$B,2,FALSE),"")</f>
        <v>36</v>
      </c>
      <c r="E54" s="47" t="str">
        <f t="shared" si="0"/>
        <v/>
      </c>
      <c r="F54" s="48" t="str">
        <f t="shared" ca="1" si="1"/>
        <v/>
      </c>
      <c r="G54" s="46" t="str">
        <f t="shared" ca="1" si="2"/>
        <v>RED</v>
      </c>
      <c r="H54" s="46" t="str">
        <f t="shared" ca="1" si="3"/>
        <v>Not Started</v>
      </c>
      <c r="I54" s="21"/>
    </row>
    <row r="55" spans="1:9" x14ac:dyDescent="0.35">
      <c r="A55" s="46" t="s">
        <v>211</v>
      </c>
      <c r="B55" s="46" t="s">
        <v>155</v>
      </c>
      <c r="C55" s="47" t="str">
        <f>Matrix!BB3</f>
        <v>NS</v>
      </c>
      <c r="D55" s="48">
        <f>IFERROR(VLOOKUP(B55,'Renewal Rules'!$A:$B,2,FALSE),"")</f>
        <v>12</v>
      </c>
      <c r="E55" s="47" t="str">
        <f t="shared" si="0"/>
        <v/>
      </c>
      <c r="F55" s="48" t="str">
        <f t="shared" ca="1" si="1"/>
        <v/>
      </c>
      <c r="G55" s="46" t="str">
        <f t="shared" ca="1" si="2"/>
        <v>RED</v>
      </c>
      <c r="H55" s="46" t="str">
        <f t="shared" ca="1" si="3"/>
        <v>Not Started</v>
      </c>
      <c r="I55" s="21"/>
    </row>
    <row r="56" spans="1:9" x14ac:dyDescent="0.35">
      <c r="A56" s="46" t="s">
        <v>211</v>
      </c>
      <c r="B56" s="46" t="s">
        <v>156</v>
      </c>
      <c r="C56" s="47" t="str">
        <f>Matrix!BC3</f>
        <v>NS</v>
      </c>
      <c r="D56" s="48">
        <f>IFERROR(VLOOKUP(B56,'Renewal Rules'!$A:$B,2,FALSE),"")</f>
        <v>12</v>
      </c>
      <c r="E56" s="47" t="str">
        <f t="shared" si="0"/>
        <v/>
      </c>
      <c r="F56" s="48" t="str">
        <f t="shared" ca="1" si="1"/>
        <v/>
      </c>
      <c r="G56" s="46" t="str">
        <f t="shared" ca="1" si="2"/>
        <v>RED</v>
      </c>
      <c r="H56" s="46" t="str">
        <f t="shared" ca="1" si="3"/>
        <v>Not Started</v>
      </c>
      <c r="I56" s="21"/>
    </row>
    <row r="57" spans="1:9" x14ac:dyDescent="0.35">
      <c r="A57" s="46" t="s">
        <v>211</v>
      </c>
      <c r="B57" s="46" t="s">
        <v>157</v>
      </c>
      <c r="C57" s="47" t="str">
        <f>Matrix!BD3</f>
        <v>NS</v>
      </c>
      <c r="D57" s="48">
        <f>IFERROR(VLOOKUP(B57,'Renewal Rules'!$A:$B,2,FALSE),"")</f>
        <v>36</v>
      </c>
      <c r="E57" s="47" t="str">
        <f t="shared" si="0"/>
        <v/>
      </c>
      <c r="F57" s="48" t="str">
        <f t="shared" ca="1" si="1"/>
        <v/>
      </c>
      <c r="G57" s="46" t="str">
        <f t="shared" ca="1" si="2"/>
        <v>RED</v>
      </c>
      <c r="H57" s="46" t="str">
        <f t="shared" ca="1" si="3"/>
        <v>Not Started</v>
      </c>
      <c r="I57" s="21"/>
    </row>
    <row r="58" spans="1:9" ht="12.9" customHeight="1" x14ac:dyDescent="0.35">
      <c r="A58" s="46" t="s">
        <v>211</v>
      </c>
      <c r="B58" s="46" t="s">
        <v>158</v>
      </c>
      <c r="C58" s="47" t="str">
        <f>Matrix!BE3</f>
        <v>NS</v>
      </c>
      <c r="D58" s="48">
        <f>IFERROR(VLOOKUP(B58,'Renewal Rules'!$A:$B,2,FALSE),"")</f>
        <v>12</v>
      </c>
      <c r="E58" s="47" t="str">
        <f t="shared" si="0"/>
        <v/>
      </c>
      <c r="F58" s="48" t="str">
        <f t="shared" ca="1" si="1"/>
        <v/>
      </c>
      <c r="G58" s="46" t="str">
        <f t="shared" ca="1" si="2"/>
        <v>RED</v>
      </c>
      <c r="H58" s="46" t="str">
        <f t="shared" ca="1" si="3"/>
        <v>Not Started</v>
      </c>
      <c r="I58" s="21"/>
    </row>
    <row r="59" spans="1:9" x14ac:dyDescent="0.35">
      <c r="A59" s="46" t="s">
        <v>211</v>
      </c>
      <c r="B59" s="46" t="s">
        <v>95</v>
      </c>
      <c r="C59" s="47" t="str">
        <f>Matrix!BF3</f>
        <v>13/04/2026</v>
      </c>
      <c r="D59" s="48">
        <f>IFERROR(VLOOKUP(B59,'Renewal Rules'!$A:$B,2,FALSE),"")</f>
        <v>12</v>
      </c>
      <c r="E59" s="47">
        <f t="shared" si="0"/>
        <v>46490</v>
      </c>
      <c r="F59" s="48">
        <f t="shared" ca="1" si="1"/>
        <v>287</v>
      </c>
      <c r="G59" s="46" t="str">
        <f t="shared" ca="1" si="2"/>
        <v>GREEN</v>
      </c>
      <c r="H59" s="46" t="str">
        <f t="shared" ca="1" si="3"/>
        <v>Current</v>
      </c>
      <c r="I59" s="21"/>
    </row>
    <row r="60" spans="1:9" x14ac:dyDescent="0.35">
      <c r="A60" s="46" t="s">
        <v>211</v>
      </c>
      <c r="B60" s="46" t="s">
        <v>93</v>
      </c>
      <c r="C60" s="47" t="str">
        <f>Matrix!BG3</f>
        <v>NS</v>
      </c>
      <c r="D60" s="48">
        <f>IFERROR(VLOOKUP(B60,'Renewal Rules'!$A:$B,2,FALSE),"")</f>
        <v>12</v>
      </c>
      <c r="E60" s="47" t="str">
        <f t="shared" si="0"/>
        <v/>
      </c>
      <c r="F60" s="48" t="str">
        <f t="shared" ca="1" si="1"/>
        <v/>
      </c>
      <c r="G60" s="46" t="str">
        <f t="shared" ca="1" si="2"/>
        <v>RED</v>
      </c>
      <c r="H60" s="46" t="str">
        <f t="shared" ca="1" si="3"/>
        <v>Not Started</v>
      </c>
      <c r="I60" s="21"/>
    </row>
    <row r="61" spans="1:9" x14ac:dyDescent="0.35">
      <c r="A61" s="46" t="s">
        <v>211</v>
      </c>
      <c r="B61" s="46" t="s">
        <v>159</v>
      </c>
      <c r="C61" s="47" t="str">
        <f>Matrix!BH3</f>
        <v>NS</v>
      </c>
      <c r="D61" s="48">
        <f>IFERROR(VLOOKUP(B61,'Renewal Rules'!$A:$B,2,FALSE),"")</f>
        <v>12</v>
      </c>
      <c r="E61" s="47" t="str">
        <f t="shared" si="0"/>
        <v/>
      </c>
      <c r="F61" s="48" t="str">
        <f t="shared" ca="1" si="1"/>
        <v/>
      </c>
      <c r="G61" s="46" t="str">
        <f t="shared" ca="1" si="2"/>
        <v>RED</v>
      </c>
      <c r="H61" s="46" t="str">
        <f t="shared" ca="1" si="3"/>
        <v>Not Started</v>
      </c>
      <c r="I61" s="21"/>
    </row>
    <row r="62" spans="1:9" x14ac:dyDescent="0.35">
      <c r="A62" s="46" t="s">
        <v>211</v>
      </c>
      <c r="B62" s="46" t="s">
        <v>160</v>
      </c>
      <c r="C62" s="47" t="str">
        <f>Matrix!BI3</f>
        <v>NS</v>
      </c>
      <c r="D62" s="48">
        <f>IFERROR(VLOOKUP(B62,'Renewal Rules'!$A:$B,2,FALSE),"")</f>
        <v>36</v>
      </c>
      <c r="E62" s="47" t="str">
        <f t="shared" si="0"/>
        <v/>
      </c>
      <c r="F62" s="48" t="str">
        <f t="shared" ca="1" si="1"/>
        <v/>
      </c>
      <c r="G62" s="46" t="str">
        <f t="shared" ca="1" si="2"/>
        <v>RED</v>
      </c>
      <c r="H62" s="46" t="str">
        <f t="shared" ca="1" si="3"/>
        <v>Not Started</v>
      </c>
      <c r="I62" s="21"/>
    </row>
    <row r="63" spans="1:9" x14ac:dyDescent="0.35">
      <c r="A63" s="46" t="s">
        <v>211</v>
      </c>
      <c r="B63" s="46" t="s">
        <v>161</v>
      </c>
      <c r="C63" s="47" t="str">
        <f>Matrix!BJ3</f>
        <v>NS</v>
      </c>
      <c r="D63" s="48">
        <f>IFERROR(VLOOKUP(B63,'Renewal Rules'!$A:$B,2,FALSE),"")</f>
        <v>12</v>
      </c>
      <c r="E63" s="47" t="str">
        <f t="shared" si="0"/>
        <v/>
      </c>
      <c r="F63" s="48" t="str">
        <f t="shared" ca="1" si="1"/>
        <v/>
      </c>
      <c r="G63" s="46" t="str">
        <f t="shared" ca="1" si="2"/>
        <v>RED</v>
      </c>
      <c r="H63" s="46" t="str">
        <f t="shared" ca="1" si="3"/>
        <v>Not Started</v>
      </c>
      <c r="I63" s="21"/>
    </row>
    <row r="64" spans="1:9" x14ac:dyDescent="0.35">
      <c r="A64" s="46" t="s">
        <v>211</v>
      </c>
      <c r="B64" s="46" t="s">
        <v>162</v>
      </c>
      <c r="C64" s="47">
        <f>Matrix!BK3</f>
        <v>46195</v>
      </c>
      <c r="D64" s="48">
        <f>IFERROR(VLOOKUP(B64,'Renewal Rules'!$A:$B,2,FALSE),"")</f>
        <v>12</v>
      </c>
      <c r="E64" s="47">
        <f t="shared" si="0"/>
        <v>46560</v>
      </c>
      <c r="F64" s="48">
        <f t="shared" ca="1" si="1"/>
        <v>357</v>
      </c>
      <c r="G64" s="46" t="str">
        <f t="shared" ca="1" si="2"/>
        <v>GREEN</v>
      </c>
      <c r="H64" s="46" t="str">
        <f t="shared" ca="1" si="3"/>
        <v>Current</v>
      </c>
      <c r="I64" s="21"/>
    </row>
    <row r="65" spans="1:9" x14ac:dyDescent="0.35">
      <c r="A65" s="46" t="s">
        <v>211</v>
      </c>
      <c r="B65" s="46" t="s">
        <v>163</v>
      </c>
      <c r="C65" s="47" t="str">
        <f>Matrix!BL3</f>
        <v>NS</v>
      </c>
      <c r="D65" s="48">
        <f>IFERROR(VLOOKUP(B65,'Renewal Rules'!$A:$B,2,FALSE),"")</f>
        <v>36</v>
      </c>
      <c r="E65" s="47" t="str">
        <f t="shared" si="0"/>
        <v/>
      </c>
      <c r="F65" s="48" t="str">
        <f t="shared" ca="1" si="1"/>
        <v/>
      </c>
      <c r="G65" s="46" t="str">
        <f t="shared" ca="1" si="2"/>
        <v>RED</v>
      </c>
      <c r="H65" s="46" t="str">
        <f t="shared" ca="1" si="3"/>
        <v>Not Started</v>
      </c>
      <c r="I65" s="21"/>
    </row>
    <row r="66" spans="1:9" x14ac:dyDescent="0.35">
      <c r="A66" s="46" t="s">
        <v>211</v>
      </c>
      <c r="B66" s="46" t="s">
        <v>164</v>
      </c>
      <c r="C66" s="47" t="str">
        <f>Matrix!BM3</f>
        <v>NS</v>
      </c>
      <c r="D66" s="48">
        <f>IFERROR(VLOOKUP(B66,'Renewal Rules'!$A:$B,2,FALSE),"")</f>
        <v>12</v>
      </c>
      <c r="E66" s="47" t="str">
        <f t="shared" si="0"/>
        <v/>
      </c>
      <c r="F66" s="48" t="str">
        <f t="shared" ca="1" si="1"/>
        <v/>
      </c>
      <c r="G66" s="46" t="str">
        <f t="shared" ca="1" si="2"/>
        <v>RED</v>
      </c>
      <c r="H66" s="46" t="str">
        <f t="shared" ca="1" si="3"/>
        <v>Not Started</v>
      </c>
      <c r="I66" s="21"/>
    </row>
    <row r="67" spans="1:9" x14ac:dyDescent="0.35">
      <c r="A67" s="46" t="s">
        <v>211</v>
      </c>
      <c r="B67" s="46" t="s">
        <v>165</v>
      </c>
      <c r="C67" s="47" t="str">
        <f>Matrix!BN3</f>
        <v>NS</v>
      </c>
      <c r="D67" s="48">
        <f>IFERROR(VLOOKUP(B67,'Renewal Rules'!$A:$B,2,FALSE),"")</f>
        <v>36</v>
      </c>
      <c r="E67" s="47" t="str">
        <f t="shared" ref="E67:E130" si="4">IF(OR(C67="",C67="NS",C67="IP",C67="Failed"),"",IFERROR(EDATE(IF(ISNUMBER(C67),C67,IFERROR(DATEVALUE(C67),DATE(VALUE(RIGHT(C67,4)),VALUE(MID(C67,4,2)),VALUE(LEFT(C67,2))))),D67),""))</f>
        <v/>
      </c>
      <c r="F67" s="48" t="str">
        <f t="shared" ref="F67:F130" ca="1" si="5">IF(E67="","",E67-TODAY())</f>
        <v/>
      </c>
      <c r="G67" s="46" t="str">
        <f t="shared" ref="G67:G130" ca="1" si="6">IF(C67="NS","RED",IF(C67="IP","AMBER",IF(E67="","",IF(E67&lt;TODAY(),"RED",IF(E67&lt;=TODAY()+30,"AMBER","GREEN")))))</f>
        <v>RED</v>
      </c>
      <c r="H67" s="46" t="str">
        <f t="shared" ref="H67:H130" ca="1" si="7">IF(C67="NS","Not Started",IF(C67="IP","In Progress",IF(E67="","Check",IF(E67&lt;TODAY(),"Expired",IF(E67&lt;=TODAY()+30,"Expiring Soon","Current")))))</f>
        <v>Not Started</v>
      </c>
      <c r="I67" s="21"/>
    </row>
    <row r="68" spans="1:9" x14ac:dyDescent="0.35">
      <c r="A68" s="46" t="s">
        <v>211</v>
      </c>
      <c r="B68" s="46" t="s">
        <v>166</v>
      </c>
      <c r="C68" s="47" t="str">
        <f>Matrix!BO3</f>
        <v>NS</v>
      </c>
      <c r="D68" s="48">
        <f>IFERROR(VLOOKUP(B68,'Renewal Rules'!$A:$B,2,FALSE),"")</f>
        <v>36</v>
      </c>
      <c r="E68" s="47" t="str">
        <f t="shared" si="4"/>
        <v/>
      </c>
      <c r="F68" s="48" t="str">
        <f t="shared" ca="1" si="5"/>
        <v/>
      </c>
      <c r="G68" s="46" t="str">
        <f t="shared" ca="1" si="6"/>
        <v>RED</v>
      </c>
      <c r="H68" s="46" t="str">
        <f t="shared" ca="1" si="7"/>
        <v>Not Started</v>
      </c>
      <c r="I68" s="21"/>
    </row>
    <row r="69" spans="1:9" x14ac:dyDescent="0.35">
      <c r="A69" s="46" t="s">
        <v>211</v>
      </c>
      <c r="B69" s="46" t="s">
        <v>167</v>
      </c>
      <c r="C69" s="47" t="str">
        <f>Matrix!BP3</f>
        <v>NS</v>
      </c>
      <c r="D69" s="48">
        <f>IFERROR(VLOOKUP(B69,'Renewal Rules'!$A:$B,2,FALSE),"")</f>
        <v>36</v>
      </c>
      <c r="E69" s="47" t="str">
        <f t="shared" si="4"/>
        <v/>
      </c>
      <c r="F69" s="48" t="str">
        <f t="shared" ca="1" si="5"/>
        <v/>
      </c>
      <c r="G69" s="46" t="str">
        <f t="shared" ca="1" si="6"/>
        <v>RED</v>
      </c>
      <c r="H69" s="46" t="str">
        <f t="shared" ca="1" si="7"/>
        <v>Not Started</v>
      </c>
      <c r="I69" s="21"/>
    </row>
    <row r="70" spans="1:9" x14ac:dyDescent="0.35">
      <c r="A70" s="46" t="s">
        <v>211</v>
      </c>
      <c r="B70" s="46" t="s">
        <v>168</v>
      </c>
      <c r="C70" s="47" t="str">
        <f>Matrix!BQ3</f>
        <v>NS</v>
      </c>
      <c r="D70" s="48">
        <f>IFERROR(VLOOKUP(B70,'Renewal Rules'!$A:$B,2,FALSE),"")</f>
        <v>36</v>
      </c>
      <c r="E70" s="47" t="str">
        <f t="shared" si="4"/>
        <v/>
      </c>
      <c r="F70" s="48" t="str">
        <f t="shared" ca="1" si="5"/>
        <v/>
      </c>
      <c r="G70" s="46" t="str">
        <f t="shared" ca="1" si="6"/>
        <v>RED</v>
      </c>
      <c r="H70" s="46" t="str">
        <f t="shared" ca="1" si="7"/>
        <v>Not Started</v>
      </c>
      <c r="I70" s="21"/>
    </row>
    <row r="71" spans="1:9" x14ac:dyDescent="0.35">
      <c r="A71" s="46" t="s">
        <v>211</v>
      </c>
      <c r="B71" s="46" t="s">
        <v>169</v>
      </c>
      <c r="C71" s="47" t="str">
        <f>Matrix!BR3</f>
        <v>NS</v>
      </c>
      <c r="D71" s="48">
        <f>IFERROR(VLOOKUP(B71,'Renewal Rules'!$A:$B,2,FALSE),"")</f>
        <v>36</v>
      </c>
      <c r="E71" s="47" t="str">
        <f t="shared" si="4"/>
        <v/>
      </c>
      <c r="F71" s="48" t="str">
        <f t="shared" ca="1" si="5"/>
        <v/>
      </c>
      <c r="G71" s="46" t="str">
        <f t="shared" ca="1" si="6"/>
        <v>RED</v>
      </c>
      <c r="H71" s="46" t="str">
        <f t="shared" ca="1" si="7"/>
        <v>Not Started</v>
      </c>
      <c r="I71" s="21"/>
    </row>
    <row r="72" spans="1:9" x14ac:dyDescent="0.35">
      <c r="A72" s="46" t="s">
        <v>211</v>
      </c>
      <c r="B72" s="46" t="s">
        <v>170</v>
      </c>
      <c r="C72" s="47" t="str">
        <f>Matrix!BS3</f>
        <v>NS</v>
      </c>
      <c r="D72" s="48">
        <f>IFERROR(VLOOKUP(B72,'Renewal Rules'!$A:$B,2,FALSE),"")</f>
        <v>12</v>
      </c>
      <c r="E72" s="47" t="str">
        <f t="shared" si="4"/>
        <v/>
      </c>
      <c r="F72" s="48" t="str">
        <f t="shared" ca="1" si="5"/>
        <v/>
      </c>
      <c r="G72" s="46" t="str">
        <f t="shared" ca="1" si="6"/>
        <v>RED</v>
      </c>
      <c r="H72" s="46" t="str">
        <f t="shared" ca="1" si="7"/>
        <v>Not Started</v>
      </c>
      <c r="I72" s="21"/>
    </row>
    <row r="73" spans="1:9" x14ac:dyDescent="0.35">
      <c r="A73" s="46" t="s">
        <v>211</v>
      </c>
      <c r="B73" s="46" t="s">
        <v>171</v>
      </c>
      <c r="C73" s="47" t="str">
        <f>Matrix!BT3</f>
        <v>NS</v>
      </c>
      <c r="D73" s="48">
        <f>IFERROR(VLOOKUP(B73,'Renewal Rules'!$A:$B,2,FALSE),"")</f>
        <v>12</v>
      </c>
      <c r="E73" s="47" t="str">
        <f t="shared" si="4"/>
        <v/>
      </c>
      <c r="F73" s="48" t="str">
        <f t="shared" ca="1" si="5"/>
        <v/>
      </c>
      <c r="G73" s="46" t="str">
        <f t="shared" ca="1" si="6"/>
        <v>RED</v>
      </c>
      <c r="H73" s="46" t="str">
        <f t="shared" ca="1" si="7"/>
        <v>Not Started</v>
      </c>
      <c r="I73" s="21"/>
    </row>
    <row r="74" spans="1:9" x14ac:dyDescent="0.35">
      <c r="A74" s="46" t="s">
        <v>211</v>
      </c>
      <c r="B74" s="46" t="s">
        <v>172</v>
      </c>
      <c r="C74" s="47" t="str">
        <f>Matrix!BU3</f>
        <v>NS</v>
      </c>
      <c r="D74" s="48">
        <f>IFERROR(VLOOKUP(B74,'Renewal Rules'!$A:$B,2,FALSE),"")</f>
        <v>12</v>
      </c>
      <c r="E74" s="47" t="str">
        <f t="shared" si="4"/>
        <v/>
      </c>
      <c r="F74" s="48" t="str">
        <f t="shared" ca="1" si="5"/>
        <v/>
      </c>
      <c r="G74" s="46" t="str">
        <f t="shared" ca="1" si="6"/>
        <v>RED</v>
      </c>
      <c r="H74" s="46" t="str">
        <f t="shared" ca="1" si="7"/>
        <v>Not Started</v>
      </c>
      <c r="I74" s="21"/>
    </row>
    <row r="75" spans="1:9" x14ac:dyDescent="0.35">
      <c r="A75" s="46" t="s">
        <v>211</v>
      </c>
      <c r="B75" s="46" t="s">
        <v>173</v>
      </c>
      <c r="C75" s="47" t="str">
        <f>Matrix!BV3</f>
        <v>NS</v>
      </c>
      <c r="D75" s="48">
        <f>IFERROR(VLOOKUP(B75,'Renewal Rules'!$A:$B,2,FALSE),"")</f>
        <v>12</v>
      </c>
      <c r="E75" s="47" t="str">
        <f t="shared" si="4"/>
        <v/>
      </c>
      <c r="F75" s="48" t="str">
        <f t="shared" ca="1" si="5"/>
        <v/>
      </c>
      <c r="G75" s="46" t="str">
        <f t="shared" ca="1" si="6"/>
        <v>RED</v>
      </c>
      <c r="H75" s="46" t="str">
        <f t="shared" ca="1" si="7"/>
        <v>Not Started</v>
      </c>
      <c r="I75" s="21"/>
    </row>
    <row r="76" spans="1:9" x14ac:dyDescent="0.35">
      <c r="A76" s="46" t="s">
        <v>211</v>
      </c>
      <c r="B76" s="46" t="s">
        <v>174</v>
      </c>
      <c r="C76" s="47" t="str">
        <f>Matrix!BW3</f>
        <v>NS</v>
      </c>
      <c r="D76" s="48">
        <f>IFERROR(VLOOKUP(B76,'Renewal Rules'!$A:$B,2,FALSE),"")</f>
        <v>12</v>
      </c>
      <c r="E76" s="47" t="str">
        <f t="shared" si="4"/>
        <v/>
      </c>
      <c r="F76" s="48" t="str">
        <f t="shared" ca="1" si="5"/>
        <v/>
      </c>
      <c r="G76" s="46" t="str">
        <f t="shared" ca="1" si="6"/>
        <v>RED</v>
      </c>
      <c r="H76" s="46" t="str">
        <f t="shared" ca="1" si="7"/>
        <v>Not Started</v>
      </c>
      <c r="I76" s="21"/>
    </row>
    <row r="77" spans="1:9" x14ac:dyDescent="0.35">
      <c r="A77" s="46" t="s">
        <v>211</v>
      </c>
      <c r="B77" s="46" t="s">
        <v>175</v>
      </c>
      <c r="C77" s="47" t="str">
        <f>Matrix!BX3</f>
        <v>NS</v>
      </c>
      <c r="D77" s="48">
        <f>IFERROR(VLOOKUP(B77,'Renewal Rules'!$A:$B,2,FALSE),"")</f>
        <v>12</v>
      </c>
      <c r="E77" s="47" t="str">
        <f t="shared" si="4"/>
        <v/>
      </c>
      <c r="F77" s="48" t="str">
        <f t="shared" ca="1" si="5"/>
        <v/>
      </c>
      <c r="G77" s="46" t="str">
        <f t="shared" ca="1" si="6"/>
        <v>RED</v>
      </c>
      <c r="H77" s="46" t="str">
        <f t="shared" ca="1" si="7"/>
        <v>Not Started</v>
      </c>
      <c r="I77" s="21"/>
    </row>
    <row r="78" spans="1:9" x14ac:dyDescent="0.35">
      <c r="A78" s="46" t="s">
        <v>211</v>
      </c>
      <c r="B78" s="46" t="s">
        <v>176</v>
      </c>
      <c r="C78" s="47" t="str">
        <f>Matrix!BY3</f>
        <v>NS</v>
      </c>
      <c r="D78" s="48">
        <f>IFERROR(VLOOKUP(B78,'Renewal Rules'!$A:$B,2,FALSE),"")</f>
        <v>36</v>
      </c>
      <c r="E78" s="47" t="str">
        <f t="shared" si="4"/>
        <v/>
      </c>
      <c r="F78" s="48" t="str">
        <f t="shared" ca="1" si="5"/>
        <v/>
      </c>
      <c r="G78" s="46" t="str">
        <f t="shared" ca="1" si="6"/>
        <v>RED</v>
      </c>
      <c r="H78" s="46" t="str">
        <f t="shared" ca="1" si="7"/>
        <v>Not Started</v>
      </c>
      <c r="I78" s="21"/>
    </row>
    <row r="79" spans="1:9" x14ac:dyDescent="0.35">
      <c r="A79" s="46" t="s">
        <v>211</v>
      </c>
      <c r="B79" s="46" t="s">
        <v>177</v>
      </c>
      <c r="C79" s="47" t="str">
        <f>Matrix!BZ3</f>
        <v>NS</v>
      </c>
      <c r="D79" s="48">
        <f>IFERROR(VLOOKUP(B79,'Renewal Rules'!$A:$B,2,FALSE),"")</f>
        <v>36</v>
      </c>
      <c r="E79" s="47" t="str">
        <f t="shared" si="4"/>
        <v/>
      </c>
      <c r="F79" s="48" t="str">
        <f t="shared" ca="1" si="5"/>
        <v/>
      </c>
      <c r="G79" s="46" t="str">
        <f t="shared" ca="1" si="6"/>
        <v>RED</v>
      </c>
      <c r="H79" s="46" t="str">
        <f t="shared" ca="1" si="7"/>
        <v>Not Started</v>
      </c>
      <c r="I79" s="21"/>
    </row>
    <row r="80" spans="1:9" x14ac:dyDescent="0.35">
      <c r="A80" s="46" t="s">
        <v>211</v>
      </c>
      <c r="B80" s="46" t="s">
        <v>178</v>
      </c>
      <c r="C80" s="47" t="str">
        <f>Matrix!CA3</f>
        <v>NS</v>
      </c>
      <c r="D80" s="48">
        <f>IFERROR(VLOOKUP(B80,'Renewal Rules'!$A:$B,2,FALSE),"")</f>
        <v>12</v>
      </c>
      <c r="E80" s="47" t="str">
        <f t="shared" si="4"/>
        <v/>
      </c>
      <c r="F80" s="48" t="str">
        <f t="shared" ca="1" si="5"/>
        <v/>
      </c>
      <c r="G80" s="46" t="str">
        <f t="shared" ca="1" si="6"/>
        <v>RED</v>
      </c>
      <c r="H80" s="46" t="str">
        <f t="shared" ca="1" si="7"/>
        <v>Not Started</v>
      </c>
      <c r="I80" s="21"/>
    </row>
    <row r="81" spans="1:9" x14ac:dyDescent="0.35">
      <c r="A81" s="46" t="s">
        <v>211</v>
      </c>
      <c r="B81" s="46" t="s">
        <v>179</v>
      </c>
      <c r="C81" s="47" t="str">
        <f>Matrix!CB3</f>
        <v>NS</v>
      </c>
      <c r="D81" s="48">
        <f>IFERROR(VLOOKUP(B81,'Renewal Rules'!$A:$B,2,FALSE),"")</f>
        <v>12</v>
      </c>
      <c r="E81" s="47" t="str">
        <f t="shared" si="4"/>
        <v/>
      </c>
      <c r="F81" s="48" t="str">
        <f t="shared" ca="1" si="5"/>
        <v/>
      </c>
      <c r="G81" s="46" t="str">
        <f t="shared" ca="1" si="6"/>
        <v>RED</v>
      </c>
      <c r="H81" s="46" t="str">
        <f t="shared" ca="1" si="7"/>
        <v>Not Started</v>
      </c>
      <c r="I81" s="21"/>
    </row>
    <row r="82" spans="1:9" x14ac:dyDescent="0.35">
      <c r="A82" s="46" t="s">
        <v>211</v>
      </c>
      <c r="B82" s="46" t="s">
        <v>180</v>
      </c>
      <c r="C82" s="47" t="str">
        <f>Matrix!CC3</f>
        <v>NS</v>
      </c>
      <c r="D82" s="48">
        <f>IFERROR(VLOOKUP(B82,'Renewal Rules'!$A:$B,2,FALSE),"")</f>
        <v>36</v>
      </c>
      <c r="E82" s="47" t="str">
        <f t="shared" si="4"/>
        <v/>
      </c>
      <c r="F82" s="48" t="str">
        <f t="shared" ca="1" si="5"/>
        <v/>
      </c>
      <c r="G82" s="46" t="str">
        <f t="shared" ca="1" si="6"/>
        <v>RED</v>
      </c>
      <c r="H82" s="46" t="str">
        <f t="shared" ca="1" si="7"/>
        <v>Not Started</v>
      </c>
      <c r="I82" s="21"/>
    </row>
    <row r="83" spans="1:9" x14ac:dyDescent="0.35">
      <c r="A83" s="46" t="s">
        <v>211</v>
      </c>
      <c r="B83" s="46" t="s">
        <v>181</v>
      </c>
      <c r="C83" s="47" t="str">
        <f>Matrix!CD3</f>
        <v>NS</v>
      </c>
      <c r="D83" s="48">
        <f>IFERROR(VLOOKUP(B83,'Renewal Rules'!$A:$B,2,FALSE),"")</f>
        <v>36</v>
      </c>
      <c r="E83" s="47" t="str">
        <f t="shared" si="4"/>
        <v/>
      </c>
      <c r="F83" s="48" t="str">
        <f t="shared" ca="1" si="5"/>
        <v/>
      </c>
      <c r="G83" s="46" t="str">
        <f t="shared" ca="1" si="6"/>
        <v>RED</v>
      </c>
      <c r="H83" s="46" t="str">
        <f t="shared" ca="1" si="7"/>
        <v>Not Started</v>
      </c>
      <c r="I83" s="21"/>
    </row>
    <row r="84" spans="1:9" x14ac:dyDescent="0.35">
      <c r="A84" s="46" t="s">
        <v>211</v>
      </c>
      <c r="B84" s="46" t="s">
        <v>182</v>
      </c>
      <c r="C84" s="47" t="str">
        <f>Matrix!CE3</f>
        <v>NS</v>
      </c>
      <c r="D84" s="48">
        <f>IFERROR(VLOOKUP(B84,'Renewal Rules'!$A:$B,2,FALSE),"")</f>
        <v>12</v>
      </c>
      <c r="E84" s="47" t="str">
        <f t="shared" si="4"/>
        <v/>
      </c>
      <c r="F84" s="48" t="str">
        <f t="shared" ca="1" si="5"/>
        <v/>
      </c>
      <c r="G84" s="46" t="str">
        <f t="shared" ca="1" si="6"/>
        <v>RED</v>
      </c>
      <c r="H84" s="46" t="str">
        <f t="shared" ca="1" si="7"/>
        <v>Not Started</v>
      </c>
      <c r="I84" s="21"/>
    </row>
    <row r="85" spans="1:9" x14ac:dyDescent="0.35">
      <c r="A85" s="46" t="s">
        <v>211</v>
      </c>
      <c r="B85" s="46" t="s">
        <v>183</v>
      </c>
      <c r="C85" s="47" t="str">
        <f>Matrix!CF3</f>
        <v>NS</v>
      </c>
      <c r="D85" s="48">
        <f>IFERROR(VLOOKUP(B85,'Renewal Rules'!$A:$B,2,FALSE),"")</f>
        <v>36</v>
      </c>
      <c r="E85" s="47" t="str">
        <f t="shared" si="4"/>
        <v/>
      </c>
      <c r="F85" s="48" t="str">
        <f t="shared" ca="1" si="5"/>
        <v/>
      </c>
      <c r="G85" s="46" t="str">
        <f t="shared" ca="1" si="6"/>
        <v>RED</v>
      </c>
      <c r="H85" s="46" t="str">
        <f t="shared" ca="1" si="7"/>
        <v>Not Started</v>
      </c>
      <c r="I85" s="21"/>
    </row>
    <row r="86" spans="1:9" x14ac:dyDescent="0.35">
      <c r="A86" s="46" t="s">
        <v>211</v>
      </c>
      <c r="B86" s="46" t="s">
        <v>184</v>
      </c>
      <c r="C86" s="47" t="str">
        <f>Matrix!CG3</f>
        <v>NS</v>
      </c>
      <c r="D86" s="48">
        <f>IFERROR(VLOOKUP(B86,'Renewal Rules'!$A:$B,2,FALSE),"")</f>
        <v>12</v>
      </c>
      <c r="E86" s="47" t="str">
        <f t="shared" si="4"/>
        <v/>
      </c>
      <c r="F86" s="48" t="str">
        <f t="shared" ca="1" si="5"/>
        <v/>
      </c>
      <c r="G86" s="46" t="str">
        <f t="shared" ca="1" si="6"/>
        <v>RED</v>
      </c>
      <c r="H86" s="46" t="str">
        <f t="shared" ca="1" si="7"/>
        <v>Not Started</v>
      </c>
      <c r="I86" s="21"/>
    </row>
    <row r="87" spans="1:9" x14ac:dyDescent="0.35">
      <c r="A87" s="46" t="s">
        <v>211</v>
      </c>
      <c r="B87" s="46" t="s">
        <v>185</v>
      </c>
      <c r="C87" s="47" t="str">
        <f>Matrix!CH3</f>
        <v>NS</v>
      </c>
      <c r="D87" s="48">
        <f>IFERROR(VLOOKUP(B87,'Renewal Rules'!$A:$B,2,FALSE),"")</f>
        <v>12</v>
      </c>
      <c r="E87" s="47" t="str">
        <f t="shared" si="4"/>
        <v/>
      </c>
      <c r="F87" s="48" t="str">
        <f t="shared" ca="1" si="5"/>
        <v/>
      </c>
      <c r="G87" s="46" t="str">
        <f t="shared" ca="1" si="6"/>
        <v>RED</v>
      </c>
      <c r="H87" s="46" t="str">
        <f t="shared" ca="1" si="7"/>
        <v>Not Started</v>
      </c>
      <c r="I87" s="21"/>
    </row>
    <row r="88" spans="1:9" x14ac:dyDescent="0.35">
      <c r="A88" s="46" t="s">
        <v>211</v>
      </c>
      <c r="B88" s="46" t="s">
        <v>186</v>
      </c>
      <c r="C88" s="47" t="str">
        <f>Matrix!CI3</f>
        <v>NS</v>
      </c>
      <c r="D88" s="48">
        <f>IFERROR(VLOOKUP(B88,'Renewal Rules'!$A:$B,2,FALSE),"")</f>
        <v>36</v>
      </c>
      <c r="E88" s="47" t="str">
        <f t="shared" si="4"/>
        <v/>
      </c>
      <c r="F88" s="48" t="str">
        <f t="shared" ca="1" si="5"/>
        <v/>
      </c>
      <c r="G88" s="46" t="str">
        <f t="shared" ca="1" si="6"/>
        <v>RED</v>
      </c>
      <c r="H88" s="46" t="str">
        <f t="shared" ca="1" si="7"/>
        <v>Not Started</v>
      </c>
      <c r="I88" s="21"/>
    </row>
    <row r="89" spans="1:9" x14ac:dyDescent="0.35">
      <c r="A89" s="46" t="s">
        <v>211</v>
      </c>
      <c r="B89" s="46" t="s">
        <v>187</v>
      </c>
      <c r="C89" s="47" t="str">
        <f>Matrix!CJ3</f>
        <v>NS</v>
      </c>
      <c r="D89" s="48">
        <f>IFERROR(VLOOKUP(B89,'Renewal Rules'!$A:$B,2,FALSE),"")</f>
        <v>12</v>
      </c>
      <c r="E89" s="47" t="str">
        <f t="shared" si="4"/>
        <v/>
      </c>
      <c r="F89" s="48" t="str">
        <f t="shared" ca="1" si="5"/>
        <v/>
      </c>
      <c r="G89" s="46" t="str">
        <f t="shared" ca="1" si="6"/>
        <v>RED</v>
      </c>
      <c r="H89" s="46" t="str">
        <f t="shared" ca="1" si="7"/>
        <v>Not Started</v>
      </c>
      <c r="I89" s="21"/>
    </row>
    <row r="90" spans="1:9" x14ac:dyDescent="0.35">
      <c r="A90" s="46" t="s">
        <v>211</v>
      </c>
      <c r="B90" s="46" t="s">
        <v>188</v>
      </c>
      <c r="C90" s="47" t="str">
        <f>Matrix!CK3</f>
        <v>NS</v>
      </c>
      <c r="D90" s="48">
        <f>IFERROR(VLOOKUP(B90,'Renewal Rules'!$A:$B,2,FALSE),"")</f>
        <v>36</v>
      </c>
      <c r="E90" s="47" t="str">
        <f t="shared" si="4"/>
        <v/>
      </c>
      <c r="F90" s="48" t="str">
        <f t="shared" ca="1" si="5"/>
        <v/>
      </c>
      <c r="G90" s="46" t="str">
        <f t="shared" ca="1" si="6"/>
        <v>RED</v>
      </c>
      <c r="H90" s="46" t="str">
        <f t="shared" ca="1" si="7"/>
        <v>Not Started</v>
      </c>
      <c r="I90" s="21"/>
    </row>
    <row r="91" spans="1:9" x14ac:dyDescent="0.35">
      <c r="A91" s="46" t="s">
        <v>211</v>
      </c>
      <c r="B91" s="46" t="s">
        <v>189</v>
      </c>
      <c r="C91" s="47" t="str">
        <f>Matrix!CL3</f>
        <v>NS</v>
      </c>
      <c r="D91" s="48">
        <f>IFERROR(VLOOKUP(B91,'Renewal Rules'!$A:$B,2,FALSE),"")</f>
        <v>36</v>
      </c>
      <c r="E91" s="47" t="str">
        <f t="shared" si="4"/>
        <v/>
      </c>
      <c r="F91" s="48" t="str">
        <f t="shared" ca="1" si="5"/>
        <v/>
      </c>
      <c r="G91" s="46" t="str">
        <f t="shared" ca="1" si="6"/>
        <v>RED</v>
      </c>
      <c r="H91" s="46" t="str">
        <f t="shared" ca="1" si="7"/>
        <v>Not Started</v>
      </c>
      <c r="I91" s="21"/>
    </row>
    <row r="92" spans="1:9" x14ac:dyDescent="0.35">
      <c r="A92" s="46" t="s">
        <v>211</v>
      </c>
      <c r="B92" s="46" t="s">
        <v>190</v>
      </c>
      <c r="C92" s="47" t="str">
        <f>Matrix!CM3</f>
        <v>NS</v>
      </c>
      <c r="D92" s="48">
        <f>IFERROR(VLOOKUP(B92,'Renewal Rules'!$A:$B,2,FALSE),"")</f>
        <v>12</v>
      </c>
      <c r="E92" s="47" t="str">
        <f t="shared" si="4"/>
        <v/>
      </c>
      <c r="F92" s="48" t="str">
        <f t="shared" ca="1" si="5"/>
        <v/>
      </c>
      <c r="G92" s="46" t="str">
        <f t="shared" ca="1" si="6"/>
        <v>RED</v>
      </c>
      <c r="H92" s="46" t="str">
        <f t="shared" ca="1" si="7"/>
        <v>Not Started</v>
      </c>
      <c r="I92" s="21"/>
    </row>
    <row r="93" spans="1:9" x14ac:dyDescent="0.35">
      <c r="A93" s="46" t="s">
        <v>211</v>
      </c>
      <c r="B93" s="46" t="s">
        <v>191</v>
      </c>
      <c r="C93" s="47" t="str">
        <f>Matrix!CN3</f>
        <v>NS</v>
      </c>
      <c r="D93" s="48">
        <f>IFERROR(VLOOKUP(B93,'Renewal Rules'!$A:$B,2,FALSE),"")</f>
        <v>36</v>
      </c>
      <c r="E93" s="47" t="str">
        <f t="shared" si="4"/>
        <v/>
      </c>
      <c r="F93" s="48" t="str">
        <f t="shared" ca="1" si="5"/>
        <v/>
      </c>
      <c r="G93" s="46" t="str">
        <f t="shared" ca="1" si="6"/>
        <v>RED</v>
      </c>
      <c r="H93" s="46" t="str">
        <f t="shared" ca="1" si="7"/>
        <v>Not Started</v>
      </c>
      <c r="I93" s="21"/>
    </row>
    <row r="94" spans="1:9" x14ac:dyDescent="0.35">
      <c r="A94" s="46" t="s">
        <v>211</v>
      </c>
      <c r="B94" s="46" t="s">
        <v>192</v>
      </c>
      <c r="C94" s="47" t="str">
        <f>Matrix!CO3</f>
        <v>NS</v>
      </c>
      <c r="D94" s="48">
        <f>IFERROR(VLOOKUP(B94,'Renewal Rules'!$A:$B,2,FALSE),"")</f>
        <v>12</v>
      </c>
      <c r="E94" s="47" t="str">
        <f t="shared" si="4"/>
        <v/>
      </c>
      <c r="F94" s="48" t="str">
        <f t="shared" ca="1" si="5"/>
        <v/>
      </c>
      <c r="G94" s="46" t="str">
        <f t="shared" ca="1" si="6"/>
        <v>RED</v>
      </c>
      <c r="H94" s="46" t="str">
        <f t="shared" ca="1" si="7"/>
        <v>Not Started</v>
      </c>
      <c r="I94" s="21"/>
    </row>
    <row r="95" spans="1:9" ht="12.9" customHeight="1" x14ac:dyDescent="0.35">
      <c r="A95" s="46" t="s">
        <v>211</v>
      </c>
      <c r="B95" s="46" t="s">
        <v>193</v>
      </c>
      <c r="C95" s="47" t="str">
        <f>Matrix!CP3</f>
        <v>NS</v>
      </c>
      <c r="D95" s="48">
        <f>IFERROR(VLOOKUP(B95,'Renewal Rules'!$A:$B,2,FALSE),"")</f>
        <v>12</v>
      </c>
      <c r="E95" s="47" t="str">
        <f t="shared" si="4"/>
        <v/>
      </c>
      <c r="F95" s="48" t="str">
        <f t="shared" ca="1" si="5"/>
        <v/>
      </c>
      <c r="G95" s="46" t="str">
        <f t="shared" ca="1" si="6"/>
        <v>RED</v>
      </c>
      <c r="H95" s="46" t="str">
        <f t="shared" ca="1" si="7"/>
        <v>Not Started</v>
      </c>
      <c r="I95" s="21"/>
    </row>
    <row r="96" spans="1:9" x14ac:dyDescent="0.35">
      <c r="A96" s="46" t="s">
        <v>211</v>
      </c>
      <c r="B96" s="46" t="s">
        <v>194</v>
      </c>
      <c r="C96" s="47" t="str">
        <f>Matrix!CQ3</f>
        <v>NS</v>
      </c>
      <c r="D96" s="48">
        <f>IFERROR(VLOOKUP(B96,'Renewal Rules'!$A:$B,2,FALSE),"")</f>
        <v>36</v>
      </c>
      <c r="E96" s="47" t="str">
        <f t="shared" si="4"/>
        <v/>
      </c>
      <c r="F96" s="48" t="str">
        <f t="shared" ca="1" si="5"/>
        <v/>
      </c>
      <c r="G96" s="46" t="str">
        <f t="shared" ca="1" si="6"/>
        <v>RED</v>
      </c>
      <c r="H96" s="46" t="str">
        <f t="shared" ca="1" si="7"/>
        <v>Not Started</v>
      </c>
      <c r="I96" s="21"/>
    </row>
    <row r="97" spans="1:9" ht="12.9" customHeight="1" x14ac:dyDescent="0.35">
      <c r="A97" s="46" t="s">
        <v>211</v>
      </c>
      <c r="B97" s="46" t="s">
        <v>195</v>
      </c>
      <c r="C97" s="47" t="str">
        <f>Matrix!CR3</f>
        <v>NS</v>
      </c>
      <c r="D97" s="48">
        <f>IFERROR(VLOOKUP(B97,'Renewal Rules'!$A:$B,2,FALSE),"")</f>
        <v>36</v>
      </c>
      <c r="E97" s="47" t="str">
        <f t="shared" si="4"/>
        <v/>
      </c>
      <c r="F97" s="48" t="str">
        <f t="shared" ca="1" si="5"/>
        <v/>
      </c>
      <c r="G97" s="46" t="str">
        <f t="shared" ca="1" si="6"/>
        <v>RED</v>
      </c>
      <c r="H97" s="46" t="str">
        <f t="shared" ca="1" si="7"/>
        <v>Not Started</v>
      </c>
      <c r="I97" s="21"/>
    </row>
    <row r="98" spans="1:9" x14ac:dyDescent="0.35">
      <c r="A98" s="46" t="s">
        <v>211</v>
      </c>
      <c r="B98" s="46" t="s">
        <v>196</v>
      </c>
      <c r="C98" s="47" t="str">
        <f>Matrix!CS3</f>
        <v>NS</v>
      </c>
      <c r="D98" s="48">
        <f>IFERROR(VLOOKUP(B98,'Renewal Rules'!$A:$B,2,FALSE),"")</f>
        <v>36</v>
      </c>
      <c r="E98" s="47" t="str">
        <f t="shared" si="4"/>
        <v/>
      </c>
      <c r="F98" s="48" t="str">
        <f t="shared" ca="1" si="5"/>
        <v/>
      </c>
      <c r="G98" s="46" t="str">
        <f t="shared" ca="1" si="6"/>
        <v>RED</v>
      </c>
      <c r="H98" s="46" t="str">
        <f t="shared" ca="1" si="7"/>
        <v>Not Started</v>
      </c>
      <c r="I98" s="21"/>
    </row>
    <row r="99" spans="1:9" x14ac:dyDescent="0.35">
      <c r="A99" s="46" t="s">
        <v>211</v>
      </c>
      <c r="B99" s="46" t="s">
        <v>197</v>
      </c>
      <c r="C99" s="47" t="str">
        <f>Matrix!CT3</f>
        <v>NS</v>
      </c>
      <c r="D99" s="48">
        <f>IFERROR(VLOOKUP(B99,'Renewal Rules'!$A:$B,2,FALSE),"")</f>
        <v>12</v>
      </c>
      <c r="E99" s="47" t="str">
        <f t="shared" si="4"/>
        <v/>
      </c>
      <c r="F99" s="48" t="str">
        <f t="shared" ca="1" si="5"/>
        <v/>
      </c>
      <c r="G99" s="46" t="str">
        <f t="shared" ca="1" si="6"/>
        <v>RED</v>
      </c>
      <c r="H99" s="46" t="str">
        <f t="shared" ca="1" si="7"/>
        <v>Not Started</v>
      </c>
      <c r="I99" s="21"/>
    </row>
    <row r="100" spans="1:9" x14ac:dyDescent="0.35">
      <c r="A100" s="46" t="s">
        <v>211</v>
      </c>
      <c r="B100" s="46" t="s">
        <v>198</v>
      </c>
      <c r="C100" s="47" t="str">
        <f>Matrix!CU3</f>
        <v>NS</v>
      </c>
      <c r="D100" s="48">
        <f>IFERROR(VLOOKUP(B100,'Renewal Rules'!$A:$B,2,FALSE),"")</f>
        <v>12</v>
      </c>
      <c r="E100" s="47" t="str">
        <f t="shared" si="4"/>
        <v/>
      </c>
      <c r="F100" s="48" t="str">
        <f t="shared" ca="1" si="5"/>
        <v/>
      </c>
      <c r="G100" s="46" t="str">
        <f t="shared" ca="1" si="6"/>
        <v>RED</v>
      </c>
      <c r="H100" s="46" t="str">
        <f t="shared" ca="1" si="7"/>
        <v>Not Started</v>
      </c>
      <c r="I100" s="21"/>
    </row>
    <row r="101" spans="1:9" x14ac:dyDescent="0.35">
      <c r="A101" s="46" t="s">
        <v>211</v>
      </c>
      <c r="B101" s="46" t="s">
        <v>199</v>
      </c>
      <c r="C101" s="47" t="str">
        <f>Matrix!CV3</f>
        <v>NS</v>
      </c>
      <c r="D101" s="48">
        <f>IFERROR(VLOOKUP(B101,'Renewal Rules'!$A:$B,2,FALSE),"")</f>
        <v>12</v>
      </c>
      <c r="E101" s="47" t="str">
        <f t="shared" si="4"/>
        <v/>
      </c>
      <c r="F101" s="48" t="str">
        <f t="shared" ca="1" si="5"/>
        <v/>
      </c>
      <c r="G101" s="46" t="str">
        <f t="shared" ca="1" si="6"/>
        <v>RED</v>
      </c>
      <c r="H101" s="46" t="str">
        <f t="shared" ca="1" si="7"/>
        <v>Not Started</v>
      </c>
      <c r="I101" s="21"/>
    </row>
    <row r="102" spans="1:9" ht="12.9" customHeight="1" x14ac:dyDescent="0.35">
      <c r="A102" s="46" t="s">
        <v>211</v>
      </c>
      <c r="B102" s="46" t="s">
        <v>200</v>
      </c>
      <c r="C102" s="47" t="str">
        <f>Matrix!CW3</f>
        <v>NS</v>
      </c>
      <c r="D102" s="48">
        <f>IFERROR(VLOOKUP(B102,'Renewal Rules'!$A:$B,2,FALSE),"")</f>
        <v>12</v>
      </c>
      <c r="E102" s="47" t="str">
        <f t="shared" si="4"/>
        <v/>
      </c>
      <c r="F102" s="48" t="str">
        <f t="shared" ca="1" si="5"/>
        <v/>
      </c>
      <c r="G102" s="46" t="str">
        <f t="shared" ca="1" si="6"/>
        <v>RED</v>
      </c>
      <c r="H102" s="46" t="str">
        <f t="shared" ca="1" si="7"/>
        <v>Not Started</v>
      </c>
      <c r="I102" s="21"/>
    </row>
    <row r="103" spans="1:9" x14ac:dyDescent="0.35">
      <c r="A103" s="46" t="s">
        <v>211</v>
      </c>
      <c r="B103" s="46" t="s">
        <v>201</v>
      </c>
      <c r="C103" s="47" t="str">
        <f>Matrix!CX3</f>
        <v>NS</v>
      </c>
      <c r="D103" s="48">
        <f>IFERROR(VLOOKUP(B103,'Renewal Rules'!$A:$B,2,FALSE),"")</f>
        <v>12</v>
      </c>
      <c r="E103" s="47" t="str">
        <f t="shared" si="4"/>
        <v/>
      </c>
      <c r="F103" s="48" t="str">
        <f t="shared" ca="1" si="5"/>
        <v/>
      </c>
      <c r="G103" s="46" t="str">
        <f t="shared" ca="1" si="6"/>
        <v>RED</v>
      </c>
      <c r="H103" s="46" t="str">
        <f t="shared" ca="1" si="7"/>
        <v>Not Started</v>
      </c>
      <c r="I103" s="21"/>
    </row>
    <row r="104" spans="1:9" x14ac:dyDescent="0.35">
      <c r="A104" s="46" t="s">
        <v>211</v>
      </c>
      <c r="B104" s="46" t="s">
        <v>202</v>
      </c>
      <c r="C104" s="47" t="str">
        <f>Matrix!CY3</f>
        <v>NS</v>
      </c>
      <c r="D104" s="48">
        <f>IFERROR(VLOOKUP(B104,'Renewal Rules'!$A:$B,2,FALSE),"")</f>
        <v>36</v>
      </c>
      <c r="E104" s="47" t="str">
        <f t="shared" si="4"/>
        <v/>
      </c>
      <c r="F104" s="48" t="str">
        <f t="shared" ca="1" si="5"/>
        <v/>
      </c>
      <c r="G104" s="46" t="str">
        <f t="shared" ca="1" si="6"/>
        <v>RED</v>
      </c>
      <c r="H104" s="46" t="str">
        <f t="shared" ca="1" si="7"/>
        <v>Not Started</v>
      </c>
      <c r="I104" s="21"/>
    </row>
    <row r="105" spans="1:9" ht="12.9" customHeight="1" x14ac:dyDescent="0.35">
      <c r="A105" s="46" t="s">
        <v>211</v>
      </c>
      <c r="B105" s="46" t="s">
        <v>203</v>
      </c>
      <c r="C105" s="47" t="str">
        <f>Matrix!CZ3</f>
        <v>NS</v>
      </c>
      <c r="D105" s="48">
        <f>IFERROR(VLOOKUP(B105,'Renewal Rules'!$A:$B,2,FALSE),"")</f>
        <v>12</v>
      </c>
      <c r="E105" s="47" t="str">
        <f t="shared" si="4"/>
        <v/>
      </c>
      <c r="F105" s="48" t="str">
        <f t="shared" ca="1" si="5"/>
        <v/>
      </c>
      <c r="G105" s="46" t="str">
        <f t="shared" ca="1" si="6"/>
        <v>RED</v>
      </c>
      <c r="H105" s="46" t="str">
        <f t="shared" ca="1" si="7"/>
        <v>Not Started</v>
      </c>
      <c r="I105" s="21"/>
    </row>
    <row r="106" spans="1:9" x14ac:dyDescent="0.35">
      <c r="A106" s="46" t="s">
        <v>211</v>
      </c>
      <c r="B106" s="46" t="s">
        <v>204</v>
      </c>
      <c r="C106" s="47" t="str">
        <f>Matrix!DA3</f>
        <v>NS</v>
      </c>
      <c r="D106" s="48">
        <f>IFERROR(VLOOKUP(B106,'Renewal Rules'!$A:$B,2,FALSE),"")</f>
        <v>12</v>
      </c>
      <c r="E106" s="47" t="str">
        <f t="shared" si="4"/>
        <v/>
      </c>
      <c r="F106" s="48" t="str">
        <f t="shared" ca="1" si="5"/>
        <v/>
      </c>
      <c r="G106" s="46" t="str">
        <f t="shared" ca="1" si="6"/>
        <v>RED</v>
      </c>
      <c r="H106" s="46" t="str">
        <f t="shared" ca="1" si="7"/>
        <v>Not Started</v>
      </c>
      <c r="I106" s="21"/>
    </row>
    <row r="107" spans="1:9" x14ac:dyDescent="0.35">
      <c r="A107" s="46" t="s">
        <v>211</v>
      </c>
      <c r="B107" s="46" t="s">
        <v>205</v>
      </c>
      <c r="C107" s="47" t="str">
        <f>Matrix!DB3</f>
        <v>NS</v>
      </c>
      <c r="D107" s="48">
        <f>IFERROR(VLOOKUP(B107,'Renewal Rules'!$A:$B,2,FALSE),"")</f>
        <v>36</v>
      </c>
      <c r="E107" s="47" t="str">
        <f t="shared" si="4"/>
        <v/>
      </c>
      <c r="F107" s="48" t="str">
        <f t="shared" ca="1" si="5"/>
        <v/>
      </c>
      <c r="G107" s="46" t="str">
        <f t="shared" ca="1" si="6"/>
        <v>RED</v>
      </c>
      <c r="H107" s="46" t="str">
        <f t="shared" ca="1" si="7"/>
        <v>Not Started</v>
      </c>
      <c r="I107" s="21"/>
    </row>
    <row r="108" spans="1:9" x14ac:dyDescent="0.35">
      <c r="A108" s="46" t="s">
        <v>211</v>
      </c>
      <c r="B108" s="46" t="s">
        <v>94</v>
      </c>
      <c r="C108" s="47" t="str">
        <f>Matrix!DC3</f>
        <v>13/04/2026</v>
      </c>
      <c r="D108" s="48">
        <f>IFERROR(VLOOKUP(B108,'Renewal Rules'!$A:$B,2,FALSE),"")</f>
        <v>12</v>
      </c>
      <c r="E108" s="47">
        <f t="shared" si="4"/>
        <v>46490</v>
      </c>
      <c r="F108" s="48">
        <f t="shared" ca="1" si="5"/>
        <v>287</v>
      </c>
      <c r="G108" s="46" t="str">
        <f t="shared" ca="1" si="6"/>
        <v>GREEN</v>
      </c>
      <c r="H108" s="46" t="str">
        <f t="shared" ca="1" si="7"/>
        <v>Current</v>
      </c>
      <c r="I108" s="21"/>
    </row>
    <row r="109" spans="1:9" x14ac:dyDescent="0.35">
      <c r="A109" s="46" t="s">
        <v>211</v>
      </c>
      <c r="B109" s="46" t="s">
        <v>206</v>
      </c>
      <c r="C109" s="47" t="str">
        <f>Matrix!DD3</f>
        <v>NS</v>
      </c>
      <c r="D109" s="48">
        <f>IFERROR(VLOOKUP(B109,'Renewal Rules'!$A:$B,2,FALSE),"")</f>
        <v>36</v>
      </c>
      <c r="E109" s="47" t="str">
        <f t="shared" si="4"/>
        <v/>
      </c>
      <c r="F109" s="48" t="str">
        <f t="shared" ca="1" si="5"/>
        <v/>
      </c>
      <c r="G109" s="46" t="str">
        <f t="shared" ca="1" si="6"/>
        <v>RED</v>
      </c>
      <c r="H109" s="46" t="str">
        <f t="shared" ca="1" si="7"/>
        <v>Not Started</v>
      </c>
      <c r="I109" s="21"/>
    </row>
    <row r="110" spans="1:9" x14ac:dyDescent="0.35">
      <c r="A110" s="46" t="s">
        <v>211</v>
      </c>
      <c r="B110" s="46" t="s">
        <v>207</v>
      </c>
      <c r="C110" s="47" t="str">
        <f>Matrix!DE3</f>
        <v>NS</v>
      </c>
      <c r="D110" s="48">
        <f>IFERROR(VLOOKUP(B110,'Renewal Rules'!$A:$B,2,FALSE),"")</f>
        <v>36</v>
      </c>
      <c r="E110" s="47" t="str">
        <f t="shared" si="4"/>
        <v/>
      </c>
      <c r="F110" s="48" t="str">
        <f t="shared" ca="1" si="5"/>
        <v/>
      </c>
      <c r="G110" s="46" t="str">
        <f t="shared" ca="1" si="6"/>
        <v>RED</v>
      </c>
      <c r="H110" s="46" t="str">
        <f t="shared" ca="1" si="7"/>
        <v>Not Started</v>
      </c>
      <c r="I110" s="21"/>
    </row>
    <row r="111" spans="1:9" x14ac:dyDescent="0.35">
      <c r="A111" s="46" t="s">
        <v>211</v>
      </c>
      <c r="B111" s="46" t="s">
        <v>208</v>
      </c>
      <c r="C111" s="47" t="str">
        <f>Matrix!DF3</f>
        <v>NS</v>
      </c>
      <c r="D111" s="48">
        <f>IFERROR(VLOOKUP(B111,'Renewal Rules'!$A:$B,2,FALSE),"")</f>
        <v>36</v>
      </c>
      <c r="E111" s="47" t="str">
        <f t="shared" si="4"/>
        <v/>
      </c>
      <c r="F111" s="48" t="str">
        <f t="shared" ca="1" si="5"/>
        <v/>
      </c>
      <c r="G111" s="46" t="str">
        <f t="shared" ca="1" si="6"/>
        <v>RED</v>
      </c>
      <c r="H111" s="46" t="str">
        <f t="shared" ca="1" si="7"/>
        <v>Not Started</v>
      </c>
      <c r="I111" s="21"/>
    </row>
    <row r="112" spans="1:9" x14ac:dyDescent="0.35">
      <c r="A112" s="46" t="s">
        <v>211</v>
      </c>
      <c r="B112" s="46" t="s">
        <v>104</v>
      </c>
      <c r="C112" s="47" t="str">
        <f>Matrix!DG3</f>
        <v>22/06/2026</v>
      </c>
      <c r="D112" s="48">
        <f>IFERROR(VLOOKUP(B112,'Renewal Rules'!$A:$B,2,FALSE),"")</f>
        <v>12</v>
      </c>
      <c r="E112" s="47">
        <f t="shared" si="4"/>
        <v>46560</v>
      </c>
      <c r="F112" s="48">
        <f t="shared" ca="1" si="5"/>
        <v>357</v>
      </c>
      <c r="G112" s="46" t="str">
        <f t="shared" ca="1" si="6"/>
        <v>GREEN</v>
      </c>
      <c r="H112" s="46" t="str">
        <f t="shared" ca="1" si="7"/>
        <v>Current</v>
      </c>
      <c r="I112" s="21"/>
    </row>
    <row r="113" spans="1:9" x14ac:dyDescent="0.35">
      <c r="A113" s="46" t="s">
        <v>216</v>
      </c>
      <c r="B113" s="46" t="s">
        <v>111</v>
      </c>
      <c r="C113" s="47">
        <f>Matrix!B4</f>
        <v>46198</v>
      </c>
      <c r="D113" s="48">
        <f>IFERROR(VLOOKUP(B113,'Renewal Rules'!$A:$B,2,FALSE),"")</f>
        <v>36</v>
      </c>
      <c r="E113" s="47">
        <f t="shared" si="4"/>
        <v>47294</v>
      </c>
      <c r="F113" s="48">
        <f t="shared" ca="1" si="5"/>
        <v>1091</v>
      </c>
      <c r="G113" s="46" t="str">
        <f t="shared" ca="1" si="6"/>
        <v>GREEN</v>
      </c>
      <c r="H113" s="46" t="str">
        <f t="shared" ca="1" si="7"/>
        <v>Current</v>
      </c>
      <c r="I113" s="21"/>
    </row>
    <row r="114" spans="1:9" x14ac:dyDescent="0.35">
      <c r="A114" s="46" t="s">
        <v>216</v>
      </c>
      <c r="B114" s="46" t="s">
        <v>100</v>
      </c>
      <c r="C114" s="47" t="str">
        <f>Matrix!C4</f>
        <v>IP</v>
      </c>
      <c r="D114" s="48">
        <f>IFERROR(VLOOKUP(B114,'Renewal Rules'!$A:$B,2,FALSE),"")</f>
        <v>36</v>
      </c>
      <c r="E114" s="47" t="str">
        <f t="shared" si="4"/>
        <v/>
      </c>
      <c r="F114" s="48" t="str">
        <f t="shared" ca="1" si="5"/>
        <v/>
      </c>
      <c r="G114" s="46" t="str">
        <f t="shared" ca="1" si="6"/>
        <v>AMBER</v>
      </c>
      <c r="H114" s="46" t="str">
        <f t="shared" ca="1" si="7"/>
        <v>In Progress</v>
      </c>
      <c r="I114" s="21"/>
    </row>
    <row r="115" spans="1:9" x14ac:dyDescent="0.35">
      <c r="A115" s="46" t="s">
        <v>216</v>
      </c>
      <c r="B115" s="46" t="s">
        <v>112</v>
      </c>
      <c r="C115" s="47">
        <f>Matrix!D4</f>
        <v>46197</v>
      </c>
      <c r="D115" s="48">
        <f>IFERROR(VLOOKUP(B115,'Renewal Rules'!$A:$B,2,FALSE),"")</f>
        <v>12</v>
      </c>
      <c r="E115" s="47">
        <f t="shared" si="4"/>
        <v>46562</v>
      </c>
      <c r="F115" s="48">
        <f t="shared" ca="1" si="5"/>
        <v>359</v>
      </c>
      <c r="G115" s="46" t="str">
        <f t="shared" ca="1" si="6"/>
        <v>GREEN</v>
      </c>
      <c r="H115" s="46" t="str">
        <f t="shared" ca="1" si="7"/>
        <v>Current</v>
      </c>
      <c r="I115" s="21"/>
    </row>
    <row r="116" spans="1:9" x14ac:dyDescent="0.35">
      <c r="A116" s="46" t="s">
        <v>216</v>
      </c>
      <c r="B116" s="46" t="s">
        <v>96</v>
      </c>
      <c r="C116" s="47" t="str">
        <f>Matrix!E4</f>
        <v>NS</v>
      </c>
      <c r="D116" s="48">
        <f>IFERROR(VLOOKUP(B116,'Renewal Rules'!$A:$B,2,FALSE),"")</f>
        <v>36</v>
      </c>
      <c r="E116" s="47" t="str">
        <f t="shared" si="4"/>
        <v/>
      </c>
      <c r="F116" s="48" t="str">
        <f t="shared" ca="1" si="5"/>
        <v/>
      </c>
      <c r="G116" s="46" t="str">
        <f t="shared" ca="1" si="6"/>
        <v>RED</v>
      </c>
      <c r="H116" s="46" t="str">
        <f t="shared" ca="1" si="7"/>
        <v>Not Started</v>
      </c>
      <c r="I116" s="21"/>
    </row>
    <row r="117" spans="1:9" x14ac:dyDescent="0.35">
      <c r="A117" s="46" t="s">
        <v>216</v>
      </c>
      <c r="B117" s="46" t="s">
        <v>113</v>
      </c>
      <c r="C117" s="47">
        <f>Matrix!F4</f>
        <v>46197</v>
      </c>
      <c r="D117" s="48">
        <f>IFERROR(VLOOKUP(B117,'Renewal Rules'!$A:$B,2,FALSE),"")</f>
        <v>36</v>
      </c>
      <c r="E117" s="47">
        <f t="shared" si="4"/>
        <v>47293</v>
      </c>
      <c r="F117" s="48">
        <f t="shared" ca="1" si="5"/>
        <v>1090</v>
      </c>
      <c r="G117" s="46" t="str">
        <f t="shared" ca="1" si="6"/>
        <v>GREEN</v>
      </c>
      <c r="H117" s="46" t="str">
        <f t="shared" ca="1" si="7"/>
        <v>Current</v>
      </c>
      <c r="I117" s="21"/>
    </row>
    <row r="118" spans="1:9" x14ac:dyDescent="0.35">
      <c r="A118" s="46" t="s">
        <v>216</v>
      </c>
      <c r="B118" s="46" t="s">
        <v>114</v>
      </c>
      <c r="C118" s="47">
        <f>Matrix!G4</f>
        <v>46197</v>
      </c>
      <c r="D118" s="48">
        <f>IFERROR(VLOOKUP(B118,'Renewal Rules'!$A:$B,2,FALSE),"")</f>
        <v>12</v>
      </c>
      <c r="E118" s="47">
        <f t="shared" si="4"/>
        <v>46562</v>
      </c>
      <c r="F118" s="48">
        <f t="shared" ca="1" si="5"/>
        <v>359</v>
      </c>
      <c r="G118" s="46" t="str">
        <f t="shared" ca="1" si="6"/>
        <v>GREEN</v>
      </c>
      <c r="H118" s="46" t="str">
        <f t="shared" ca="1" si="7"/>
        <v>Current</v>
      </c>
      <c r="I118" s="21"/>
    </row>
    <row r="119" spans="1:9" x14ac:dyDescent="0.35">
      <c r="A119" s="46" t="s">
        <v>216</v>
      </c>
      <c r="B119" s="46" t="s">
        <v>115</v>
      </c>
      <c r="C119" s="47" t="str">
        <f>Matrix!H4</f>
        <v>NS</v>
      </c>
      <c r="D119" s="48">
        <f>IFERROR(VLOOKUP(B119,'Renewal Rules'!$A:$B,2,FALSE),"")</f>
        <v>36</v>
      </c>
      <c r="E119" s="47" t="str">
        <f t="shared" si="4"/>
        <v/>
      </c>
      <c r="F119" s="48" t="str">
        <f t="shared" ca="1" si="5"/>
        <v/>
      </c>
      <c r="G119" s="46" t="str">
        <f t="shared" ca="1" si="6"/>
        <v>RED</v>
      </c>
      <c r="H119" s="46" t="str">
        <f t="shared" ca="1" si="7"/>
        <v>Not Started</v>
      </c>
      <c r="I119" s="21"/>
    </row>
    <row r="120" spans="1:9" x14ac:dyDescent="0.35">
      <c r="A120" s="46" t="s">
        <v>216</v>
      </c>
      <c r="B120" s="46" t="s">
        <v>116</v>
      </c>
      <c r="C120" s="47" t="str">
        <f>Matrix!I4</f>
        <v>NS</v>
      </c>
      <c r="D120" s="48">
        <f>IFERROR(VLOOKUP(B120,'Renewal Rules'!$A:$B,2,FALSE),"")</f>
        <v>36</v>
      </c>
      <c r="E120" s="47" t="str">
        <f t="shared" si="4"/>
        <v/>
      </c>
      <c r="F120" s="48" t="str">
        <f t="shared" ca="1" si="5"/>
        <v/>
      </c>
      <c r="G120" s="46" t="str">
        <f t="shared" ca="1" si="6"/>
        <v>RED</v>
      </c>
      <c r="H120" s="46" t="str">
        <f t="shared" ca="1" si="7"/>
        <v>Not Started</v>
      </c>
      <c r="I120" s="21"/>
    </row>
    <row r="121" spans="1:9" x14ac:dyDescent="0.35">
      <c r="A121" s="46" t="s">
        <v>216</v>
      </c>
      <c r="B121" s="46" t="s">
        <v>117</v>
      </c>
      <c r="C121" s="47">
        <f>Matrix!J4</f>
        <v>46194</v>
      </c>
      <c r="D121" s="48">
        <f>IFERROR(VLOOKUP(B121,'Renewal Rules'!$A:$B,2,FALSE),"")</f>
        <v>12</v>
      </c>
      <c r="E121" s="47">
        <f t="shared" si="4"/>
        <v>46559</v>
      </c>
      <c r="F121" s="48">
        <f t="shared" ca="1" si="5"/>
        <v>356</v>
      </c>
      <c r="G121" s="46" t="str">
        <f t="shared" ca="1" si="6"/>
        <v>GREEN</v>
      </c>
      <c r="H121" s="46" t="str">
        <f t="shared" ca="1" si="7"/>
        <v>Current</v>
      </c>
      <c r="I121" s="21"/>
    </row>
    <row r="122" spans="1:9" x14ac:dyDescent="0.35">
      <c r="A122" s="46" t="s">
        <v>216</v>
      </c>
      <c r="B122" s="46" t="s">
        <v>118</v>
      </c>
      <c r="C122" s="47" t="str">
        <f>Matrix!K4</f>
        <v>NS</v>
      </c>
      <c r="D122" s="48">
        <f>IFERROR(VLOOKUP(B122,'Renewal Rules'!$A:$B,2,FALSE),"")</f>
        <v>36</v>
      </c>
      <c r="E122" s="47" t="str">
        <f t="shared" si="4"/>
        <v/>
      </c>
      <c r="F122" s="48" t="str">
        <f t="shared" ca="1" si="5"/>
        <v/>
      </c>
      <c r="G122" s="46" t="str">
        <f t="shared" ca="1" si="6"/>
        <v>RED</v>
      </c>
      <c r="H122" s="46" t="str">
        <f t="shared" ca="1" si="7"/>
        <v>Not Started</v>
      </c>
      <c r="I122" s="21"/>
    </row>
    <row r="123" spans="1:9" x14ac:dyDescent="0.35">
      <c r="A123" s="46" t="s">
        <v>216</v>
      </c>
      <c r="B123" s="46" t="s">
        <v>119</v>
      </c>
      <c r="C123" s="47" t="str">
        <f>Matrix!L4</f>
        <v>NS</v>
      </c>
      <c r="D123" s="48">
        <f>IFERROR(VLOOKUP(B123,'Renewal Rules'!$A:$B,2,FALSE),"")</f>
        <v>12</v>
      </c>
      <c r="E123" s="47" t="str">
        <f t="shared" si="4"/>
        <v/>
      </c>
      <c r="F123" s="48" t="str">
        <f t="shared" ca="1" si="5"/>
        <v/>
      </c>
      <c r="G123" s="46" t="str">
        <f t="shared" ca="1" si="6"/>
        <v>RED</v>
      </c>
      <c r="H123" s="46" t="str">
        <f t="shared" ca="1" si="7"/>
        <v>Not Started</v>
      </c>
      <c r="I123" s="21"/>
    </row>
    <row r="124" spans="1:9" x14ac:dyDescent="0.35">
      <c r="A124" s="46" t="s">
        <v>216</v>
      </c>
      <c r="B124" s="46" t="s">
        <v>120</v>
      </c>
      <c r="C124" s="47" t="str">
        <f>Matrix!M4</f>
        <v>NS</v>
      </c>
      <c r="D124" s="48">
        <f>IFERROR(VLOOKUP(B124,'Renewal Rules'!$A:$B,2,FALSE),"")</f>
        <v>12</v>
      </c>
      <c r="E124" s="47" t="str">
        <f t="shared" si="4"/>
        <v/>
      </c>
      <c r="F124" s="48" t="str">
        <f t="shared" ca="1" si="5"/>
        <v/>
      </c>
      <c r="G124" s="46" t="str">
        <f t="shared" ca="1" si="6"/>
        <v>RED</v>
      </c>
      <c r="H124" s="46" t="str">
        <f t="shared" ca="1" si="7"/>
        <v>Not Started</v>
      </c>
      <c r="I124" s="21"/>
    </row>
    <row r="125" spans="1:9" x14ac:dyDescent="0.35">
      <c r="A125" s="46" t="s">
        <v>216</v>
      </c>
      <c r="B125" s="46" t="s">
        <v>121</v>
      </c>
      <c r="C125" s="47" t="str">
        <f>Matrix!N4</f>
        <v>NS</v>
      </c>
      <c r="D125" s="48">
        <f>IFERROR(VLOOKUP(B125,'Renewal Rules'!$A:$B,2,FALSE),"")</f>
        <v>12</v>
      </c>
      <c r="E125" s="47" t="str">
        <f t="shared" si="4"/>
        <v/>
      </c>
      <c r="F125" s="48" t="str">
        <f t="shared" ca="1" si="5"/>
        <v/>
      </c>
      <c r="G125" s="46" t="str">
        <f t="shared" ca="1" si="6"/>
        <v>RED</v>
      </c>
      <c r="H125" s="46" t="str">
        <f t="shared" ca="1" si="7"/>
        <v>Not Started</v>
      </c>
      <c r="I125" s="21"/>
    </row>
    <row r="126" spans="1:9" ht="12.9" customHeight="1" x14ac:dyDescent="0.35">
      <c r="A126" s="46" t="s">
        <v>216</v>
      </c>
      <c r="B126" s="46" t="s">
        <v>103</v>
      </c>
      <c r="C126" s="47">
        <f>Matrix!O4</f>
        <v>46201</v>
      </c>
      <c r="D126" s="48">
        <f>IFERROR(VLOOKUP(B126,'Renewal Rules'!$A:$B,2,FALSE),"")</f>
        <v>36</v>
      </c>
      <c r="E126" s="47">
        <f t="shared" si="4"/>
        <v>47297</v>
      </c>
      <c r="F126" s="48">
        <f t="shared" ca="1" si="5"/>
        <v>1094</v>
      </c>
      <c r="G126" s="46" t="str">
        <f t="shared" ca="1" si="6"/>
        <v>GREEN</v>
      </c>
      <c r="H126" s="46" t="str">
        <f t="shared" ca="1" si="7"/>
        <v>Current</v>
      </c>
      <c r="I126" s="21"/>
    </row>
    <row r="127" spans="1:9" x14ac:dyDescent="0.35">
      <c r="A127" s="46" t="s">
        <v>216</v>
      </c>
      <c r="B127" s="46" t="s">
        <v>122</v>
      </c>
      <c r="C127" s="47" t="str">
        <f>Matrix!P4</f>
        <v>NS</v>
      </c>
      <c r="D127" s="48">
        <f>IFERROR(VLOOKUP(B127,'Renewal Rules'!$A:$B,2,FALSE),"")</f>
        <v>36</v>
      </c>
      <c r="E127" s="47" t="str">
        <f t="shared" si="4"/>
        <v/>
      </c>
      <c r="F127" s="48" t="str">
        <f t="shared" ca="1" si="5"/>
        <v/>
      </c>
      <c r="G127" s="46" t="str">
        <f t="shared" ca="1" si="6"/>
        <v>RED</v>
      </c>
      <c r="H127" s="46" t="str">
        <f t="shared" ca="1" si="7"/>
        <v>Not Started</v>
      </c>
      <c r="I127" s="21"/>
    </row>
    <row r="128" spans="1:9" x14ac:dyDescent="0.35">
      <c r="A128" s="46" t="s">
        <v>216</v>
      </c>
      <c r="B128" s="46" t="s">
        <v>101</v>
      </c>
      <c r="C128" s="47">
        <f>Matrix!Q4</f>
        <v>46195</v>
      </c>
      <c r="D128" s="48">
        <f>IFERROR(VLOOKUP(B128,'Renewal Rules'!$A:$B,2,FALSE),"")</f>
        <v>36</v>
      </c>
      <c r="E128" s="47">
        <f t="shared" si="4"/>
        <v>47291</v>
      </c>
      <c r="F128" s="48">
        <f t="shared" ca="1" si="5"/>
        <v>1088</v>
      </c>
      <c r="G128" s="46" t="str">
        <f t="shared" ca="1" si="6"/>
        <v>GREEN</v>
      </c>
      <c r="H128" s="46" t="str">
        <f t="shared" ca="1" si="7"/>
        <v>Current</v>
      </c>
      <c r="I128" s="21"/>
    </row>
    <row r="129" spans="1:9" x14ac:dyDescent="0.35">
      <c r="A129" s="46" t="s">
        <v>216</v>
      </c>
      <c r="B129" s="46" t="s">
        <v>123</v>
      </c>
      <c r="C129" s="47">
        <f>Matrix!R4</f>
        <v>46195</v>
      </c>
      <c r="D129" s="48">
        <f>IFERROR(VLOOKUP(B129,'Renewal Rules'!$A:$B,2,FALSE),"")</f>
        <v>12</v>
      </c>
      <c r="E129" s="47">
        <f t="shared" si="4"/>
        <v>46560</v>
      </c>
      <c r="F129" s="48">
        <f t="shared" ca="1" si="5"/>
        <v>357</v>
      </c>
      <c r="G129" s="46" t="str">
        <f t="shared" ca="1" si="6"/>
        <v>GREEN</v>
      </c>
      <c r="H129" s="46" t="str">
        <f t="shared" ca="1" si="7"/>
        <v>Current</v>
      </c>
      <c r="I129" s="21"/>
    </row>
    <row r="130" spans="1:9" x14ac:dyDescent="0.35">
      <c r="A130" s="46" t="s">
        <v>216</v>
      </c>
      <c r="B130" s="46" t="s">
        <v>124</v>
      </c>
      <c r="C130" s="47" t="str">
        <f>Matrix!S4</f>
        <v>NS</v>
      </c>
      <c r="D130" s="48">
        <f>IFERROR(VLOOKUP(B130,'Renewal Rules'!$A:$B,2,FALSE),"")</f>
        <v>12</v>
      </c>
      <c r="E130" s="47" t="str">
        <f t="shared" si="4"/>
        <v/>
      </c>
      <c r="F130" s="48" t="str">
        <f t="shared" ca="1" si="5"/>
        <v/>
      </c>
      <c r="G130" s="46" t="str">
        <f t="shared" ca="1" si="6"/>
        <v>RED</v>
      </c>
      <c r="H130" s="46" t="str">
        <f t="shared" ca="1" si="7"/>
        <v>Not Started</v>
      </c>
      <c r="I130" s="21"/>
    </row>
    <row r="131" spans="1:9" x14ac:dyDescent="0.35">
      <c r="A131" s="46" t="s">
        <v>216</v>
      </c>
      <c r="B131" s="46" t="s">
        <v>125</v>
      </c>
      <c r="C131" s="47">
        <f>Matrix!T4</f>
        <v>46194</v>
      </c>
      <c r="D131" s="48">
        <f>IFERROR(VLOOKUP(B131,'Renewal Rules'!$A:$B,2,FALSE),"")</f>
        <v>12</v>
      </c>
      <c r="E131" s="47">
        <f t="shared" ref="E131:E194" si="8">IF(OR(C131="",C131="NS",C131="IP",C131="Failed"),"",IFERROR(EDATE(IF(ISNUMBER(C131),C131,IFERROR(DATEVALUE(C131),DATE(VALUE(RIGHT(C131,4)),VALUE(MID(C131,4,2)),VALUE(LEFT(C131,2))))),D131),""))</f>
        <v>46559</v>
      </c>
      <c r="F131" s="48">
        <f t="shared" ref="F131:F194" ca="1" si="9">IF(E131="","",E131-TODAY())</f>
        <v>356</v>
      </c>
      <c r="G131" s="46" t="str">
        <f t="shared" ref="G131:G194" ca="1" si="10">IF(C131="NS","RED",IF(C131="IP","AMBER",IF(E131="","",IF(E131&lt;TODAY(),"RED",IF(E131&lt;=TODAY()+30,"AMBER","GREEN")))))</f>
        <v>GREEN</v>
      </c>
      <c r="H131" s="46" t="str">
        <f t="shared" ref="H131:H194" ca="1" si="11">IF(C131="NS","Not Started",IF(C131="IP","In Progress",IF(E131="","Check",IF(E131&lt;TODAY(),"Expired",IF(E131&lt;=TODAY()+30,"Expiring Soon","Current")))))</f>
        <v>Current</v>
      </c>
      <c r="I131" s="21"/>
    </row>
    <row r="132" spans="1:9" x14ac:dyDescent="0.35">
      <c r="A132" s="46" t="s">
        <v>216</v>
      </c>
      <c r="B132" s="46" t="s">
        <v>126</v>
      </c>
      <c r="C132" s="47">
        <f>Matrix!U4</f>
        <v>46194</v>
      </c>
      <c r="D132" s="48">
        <f>IFERROR(VLOOKUP(B132,'Renewal Rules'!$A:$B,2,FALSE),"")</f>
        <v>36</v>
      </c>
      <c r="E132" s="47">
        <f t="shared" si="8"/>
        <v>47290</v>
      </c>
      <c r="F132" s="48">
        <f t="shared" ca="1" si="9"/>
        <v>1087</v>
      </c>
      <c r="G132" s="46" t="str">
        <f t="shared" ca="1" si="10"/>
        <v>GREEN</v>
      </c>
      <c r="H132" s="46" t="str">
        <f t="shared" ca="1" si="11"/>
        <v>Current</v>
      </c>
      <c r="I132" s="21"/>
    </row>
    <row r="133" spans="1:9" x14ac:dyDescent="0.35">
      <c r="A133" s="46" t="s">
        <v>216</v>
      </c>
      <c r="B133" s="46" t="s">
        <v>127</v>
      </c>
      <c r="C133" s="47">
        <f>Matrix!V4</f>
        <v>46198</v>
      </c>
      <c r="D133" s="48">
        <f>IFERROR(VLOOKUP(B133,'Renewal Rules'!$A:$B,2,FALSE),"")</f>
        <v>12</v>
      </c>
      <c r="E133" s="47">
        <f t="shared" si="8"/>
        <v>46563</v>
      </c>
      <c r="F133" s="48">
        <f t="shared" ca="1" si="9"/>
        <v>360</v>
      </c>
      <c r="G133" s="46" t="str">
        <f t="shared" ca="1" si="10"/>
        <v>GREEN</v>
      </c>
      <c r="H133" s="46" t="str">
        <f t="shared" ca="1" si="11"/>
        <v>Current</v>
      </c>
      <c r="I133" s="21"/>
    </row>
    <row r="134" spans="1:9" x14ac:dyDescent="0.35">
      <c r="A134" s="46" t="s">
        <v>216</v>
      </c>
      <c r="B134" s="46" t="s">
        <v>128</v>
      </c>
      <c r="C134" s="47" t="str">
        <f>Matrix!W4</f>
        <v>NS</v>
      </c>
      <c r="D134" s="48">
        <f>IFERROR(VLOOKUP(B134,'Renewal Rules'!$A:$B,2,FALSE),"")</f>
        <v>12</v>
      </c>
      <c r="E134" s="47" t="str">
        <f t="shared" si="8"/>
        <v/>
      </c>
      <c r="F134" s="48" t="str">
        <f t="shared" ca="1" si="9"/>
        <v/>
      </c>
      <c r="G134" s="46" t="str">
        <f t="shared" ca="1" si="10"/>
        <v>RED</v>
      </c>
      <c r="H134" s="46" t="str">
        <f t="shared" ca="1" si="11"/>
        <v>Not Started</v>
      </c>
      <c r="I134" s="21"/>
    </row>
    <row r="135" spans="1:9" x14ac:dyDescent="0.35">
      <c r="A135" s="46" t="s">
        <v>216</v>
      </c>
      <c r="B135" s="46" t="s">
        <v>129</v>
      </c>
      <c r="C135" s="47">
        <f>Matrix!X4</f>
        <v>46195</v>
      </c>
      <c r="D135" s="48">
        <f>IFERROR(VLOOKUP(B135,'Renewal Rules'!$A:$B,2,FALSE),"")</f>
        <v>36</v>
      </c>
      <c r="E135" s="47">
        <f t="shared" si="8"/>
        <v>47291</v>
      </c>
      <c r="F135" s="48">
        <f t="shared" ca="1" si="9"/>
        <v>1088</v>
      </c>
      <c r="G135" s="46" t="str">
        <f t="shared" ca="1" si="10"/>
        <v>GREEN</v>
      </c>
      <c r="H135" s="46" t="str">
        <f t="shared" ca="1" si="11"/>
        <v>Current</v>
      </c>
      <c r="I135" s="21"/>
    </row>
    <row r="136" spans="1:9" x14ac:dyDescent="0.35">
      <c r="A136" s="46" t="s">
        <v>216</v>
      </c>
      <c r="B136" s="46" t="s">
        <v>130</v>
      </c>
      <c r="C136" s="47">
        <f>Matrix!Y4</f>
        <v>46198</v>
      </c>
      <c r="D136" s="48">
        <f>IFERROR(VLOOKUP(B136,'Renewal Rules'!$A:$B,2,FALSE),"")</f>
        <v>36</v>
      </c>
      <c r="E136" s="47">
        <f t="shared" si="8"/>
        <v>47294</v>
      </c>
      <c r="F136" s="48">
        <f t="shared" ca="1" si="9"/>
        <v>1091</v>
      </c>
      <c r="G136" s="46" t="str">
        <f t="shared" ca="1" si="10"/>
        <v>GREEN</v>
      </c>
      <c r="H136" s="46" t="str">
        <f t="shared" ca="1" si="11"/>
        <v>Current</v>
      </c>
      <c r="I136" s="21"/>
    </row>
    <row r="137" spans="1:9" x14ac:dyDescent="0.35">
      <c r="A137" s="46" t="s">
        <v>216</v>
      </c>
      <c r="B137" s="46" t="s">
        <v>131</v>
      </c>
      <c r="C137" s="47" t="str">
        <f>Matrix!Z4</f>
        <v>NS</v>
      </c>
      <c r="D137" s="48">
        <f>IFERROR(VLOOKUP(B137,'Renewal Rules'!$A:$B,2,FALSE),"")</f>
        <v>12</v>
      </c>
      <c r="E137" s="47" t="str">
        <f t="shared" si="8"/>
        <v/>
      </c>
      <c r="F137" s="48" t="str">
        <f t="shared" ca="1" si="9"/>
        <v/>
      </c>
      <c r="G137" s="46" t="str">
        <f t="shared" ca="1" si="10"/>
        <v>RED</v>
      </c>
      <c r="H137" s="46" t="str">
        <f t="shared" ca="1" si="11"/>
        <v>Not Started</v>
      </c>
      <c r="I137" s="21"/>
    </row>
    <row r="138" spans="1:9" x14ac:dyDescent="0.35">
      <c r="A138" s="46" t="s">
        <v>216</v>
      </c>
      <c r="B138" s="46" t="s">
        <v>132</v>
      </c>
      <c r="C138" s="47" t="str">
        <f>Matrix!AA4</f>
        <v>NS</v>
      </c>
      <c r="D138" s="48">
        <f>IFERROR(VLOOKUP(B138,'Renewal Rules'!$A:$B,2,FALSE),"")</f>
        <v>12</v>
      </c>
      <c r="E138" s="47" t="str">
        <f t="shared" si="8"/>
        <v/>
      </c>
      <c r="F138" s="48" t="str">
        <f t="shared" ca="1" si="9"/>
        <v/>
      </c>
      <c r="G138" s="46" t="str">
        <f t="shared" ca="1" si="10"/>
        <v>RED</v>
      </c>
      <c r="H138" s="46" t="str">
        <f t="shared" ca="1" si="11"/>
        <v>Not Started</v>
      </c>
      <c r="I138" s="21"/>
    </row>
    <row r="139" spans="1:9" x14ac:dyDescent="0.35">
      <c r="A139" s="46" t="s">
        <v>216</v>
      </c>
      <c r="B139" s="46" t="s">
        <v>92</v>
      </c>
      <c r="C139" s="47" t="str">
        <f>Matrix!AB4</f>
        <v>NS</v>
      </c>
      <c r="D139" s="48">
        <f>IFERROR(VLOOKUP(B139,'Renewal Rules'!$A:$B,2,FALSE),"")</f>
        <v>12</v>
      </c>
      <c r="E139" s="47" t="str">
        <f t="shared" si="8"/>
        <v/>
      </c>
      <c r="F139" s="48" t="str">
        <f t="shared" ca="1" si="9"/>
        <v/>
      </c>
      <c r="G139" s="46" t="str">
        <f t="shared" ca="1" si="10"/>
        <v>RED</v>
      </c>
      <c r="H139" s="46" t="str">
        <f t="shared" ca="1" si="11"/>
        <v>Not Started</v>
      </c>
      <c r="I139" s="21"/>
    </row>
    <row r="140" spans="1:9" x14ac:dyDescent="0.35">
      <c r="A140" s="46" t="s">
        <v>216</v>
      </c>
      <c r="B140" s="46" t="s">
        <v>133</v>
      </c>
      <c r="C140" s="47" t="str">
        <f>Matrix!AC4</f>
        <v>NS</v>
      </c>
      <c r="D140" s="48">
        <f>IFERROR(VLOOKUP(B140,'Renewal Rules'!$A:$B,2,FALSE),"")</f>
        <v>36</v>
      </c>
      <c r="E140" s="47" t="str">
        <f t="shared" si="8"/>
        <v/>
      </c>
      <c r="F140" s="48" t="str">
        <f t="shared" ca="1" si="9"/>
        <v/>
      </c>
      <c r="G140" s="46" t="str">
        <f t="shared" ca="1" si="10"/>
        <v>RED</v>
      </c>
      <c r="H140" s="46" t="str">
        <f t="shared" ca="1" si="11"/>
        <v>Not Started</v>
      </c>
      <c r="I140" s="21"/>
    </row>
    <row r="141" spans="1:9" x14ac:dyDescent="0.35">
      <c r="A141" s="46" t="s">
        <v>216</v>
      </c>
      <c r="B141" s="46" t="s">
        <v>134</v>
      </c>
      <c r="C141" s="47" t="str">
        <f>Matrix!AD4</f>
        <v>NS</v>
      </c>
      <c r="D141" s="48">
        <f>IFERROR(VLOOKUP(B141,'Renewal Rules'!$A:$B,2,FALSE),"")</f>
        <v>36</v>
      </c>
      <c r="E141" s="47" t="str">
        <f t="shared" si="8"/>
        <v/>
      </c>
      <c r="F141" s="48" t="str">
        <f t="shared" ca="1" si="9"/>
        <v/>
      </c>
      <c r="G141" s="46" t="str">
        <f t="shared" ca="1" si="10"/>
        <v>RED</v>
      </c>
      <c r="H141" s="46" t="str">
        <f t="shared" ca="1" si="11"/>
        <v>Not Started</v>
      </c>
      <c r="I141" s="21"/>
    </row>
    <row r="142" spans="1:9" x14ac:dyDescent="0.35">
      <c r="A142" s="46" t="s">
        <v>216</v>
      </c>
      <c r="B142" s="46" t="s">
        <v>98</v>
      </c>
      <c r="C142" s="47">
        <f>Matrix!AE4</f>
        <v>46195</v>
      </c>
      <c r="D142" s="48">
        <f>IFERROR(VLOOKUP(B142,'Renewal Rules'!$A:$B,2,FALSE),"")</f>
        <v>36</v>
      </c>
      <c r="E142" s="47">
        <f t="shared" si="8"/>
        <v>47291</v>
      </c>
      <c r="F142" s="48">
        <f t="shared" ca="1" si="9"/>
        <v>1088</v>
      </c>
      <c r="G142" s="46" t="str">
        <f t="shared" ca="1" si="10"/>
        <v>GREEN</v>
      </c>
      <c r="H142" s="46" t="str">
        <f t="shared" ca="1" si="11"/>
        <v>Current</v>
      </c>
      <c r="I142" s="21"/>
    </row>
    <row r="143" spans="1:9" x14ac:dyDescent="0.35">
      <c r="A143" s="46" t="s">
        <v>216</v>
      </c>
      <c r="B143" s="46" t="s">
        <v>135</v>
      </c>
      <c r="C143" s="47">
        <f>Matrix!AF4</f>
        <v>46199</v>
      </c>
      <c r="D143" s="48">
        <f>IFERROR(VLOOKUP(B143,'Renewal Rules'!$A:$B,2,FALSE),"")</f>
        <v>36</v>
      </c>
      <c r="E143" s="47">
        <f t="shared" si="8"/>
        <v>47295</v>
      </c>
      <c r="F143" s="48">
        <f t="shared" ca="1" si="9"/>
        <v>1092</v>
      </c>
      <c r="G143" s="46" t="str">
        <f t="shared" ca="1" si="10"/>
        <v>GREEN</v>
      </c>
      <c r="H143" s="46" t="str">
        <f t="shared" ca="1" si="11"/>
        <v>Current</v>
      </c>
      <c r="I143" s="21"/>
    </row>
    <row r="144" spans="1:9" x14ac:dyDescent="0.35">
      <c r="A144" s="46" t="s">
        <v>216</v>
      </c>
      <c r="B144" s="46" t="s">
        <v>136</v>
      </c>
      <c r="C144" s="47" t="str">
        <f>Matrix!AG4</f>
        <v>NS</v>
      </c>
      <c r="D144" s="48">
        <f>IFERROR(VLOOKUP(B144,'Renewal Rules'!$A:$B,2,FALSE),"")</f>
        <v>12</v>
      </c>
      <c r="E144" s="47" t="str">
        <f t="shared" si="8"/>
        <v/>
      </c>
      <c r="F144" s="48" t="str">
        <f t="shared" ca="1" si="9"/>
        <v/>
      </c>
      <c r="G144" s="46" t="str">
        <f t="shared" ca="1" si="10"/>
        <v>RED</v>
      </c>
      <c r="H144" s="46" t="str">
        <f t="shared" ca="1" si="11"/>
        <v>Not Started</v>
      </c>
      <c r="I144" s="21"/>
    </row>
    <row r="145" spans="1:9" x14ac:dyDescent="0.35">
      <c r="A145" s="46" t="s">
        <v>216</v>
      </c>
      <c r="B145" s="46" t="s">
        <v>137</v>
      </c>
      <c r="C145" s="47" t="str">
        <f>Matrix!AH4</f>
        <v>NS</v>
      </c>
      <c r="D145" s="48">
        <f>IFERROR(VLOOKUP(B145,'Renewal Rules'!$A:$B,2,FALSE),"")</f>
        <v>36</v>
      </c>
      <c r="E145" s="47" t="str">
        <f t="shared" si="8"/>
        <v/>
      </c>
      <c r="F145" s="48" t="str">
        <f t="shared" ca="1" si="9"/>
        <v/>
      </c>
      <c r="G145" s="46" t="str">
        <f t="shared" ca="1" si="10"/>
        <v>RED</v>
      </c>
      <c r="H145" s="46" t="str">
        <f t="shared" ca="1" si="11"/>
        <v>Not Started</v>
      </c>
      <c r="I145" s="21"/>
    </row>
    <row r="146" spans="1:9" ht="12.9" customHeight="1" x14ac:dyDescent="0.35">
      <c r="A146" s="46" t="s">
        <v>216</v>
      </c>
      <c r="B146" s="46" t="s">
        <v>138</v>
      </c>
      <c r="C146" s="47" t="str">
        <f>Matrix!AI4</f>
        <v>NS</v>
      </c>
      <c r="D146" s="48">
        <f>IFERROR(VLOOKUP(B146,'Renewal Rules'!$A:$B,2,FALSE),"")</f>
        <v>12</v>
      </c>
      <c r="E146" s="47" t="str">
        <f t="shared" si="8"/>
        <v/>
      </c>
      <c r="F146" s="48" t="str">
        <f t="shared" ca="1" si="9"/>
        <v/>
      </c>
      <c r="G146" s="46" t="str">
        <f t="shared" ca="1" si="10"/>
        <v>RED</v>
      </c>
      <c r="H146" s="46" t="str">
        <f t="shared" ca="1" si="11"/>
        <v>Not Started</v>
      </c>
      <c r="I146" s="21"/>
    </row>
    <row r="147" spans="1:9" x14ac:dyDescent="0.35">
      <c r="A147" s="46" t="s">
        <v>216</v>
      </c>
      <c r="B147" s="46" t="s">
        <v>139</v>
      </c>
      <c r="C147" s="47" t="str">
        <f>Matrix!AJ4</f>
        <v>NS</v>
      </c>
      <c r="D147" s="48">
        <f>IFERROR(VLOOKUP(B147,'Renewal Rules'!$A:$B,2,FALSE),"")</f>
        <v>12</v>
      </c>
      <c r="E147" s="47" t="str">
        <f t="shared" si="8"/>
        <v/>
      </c>
      <c r="F147" s="48" t="str">
        <f t="shared" ca="1" si="9"/>
        <v/>
      </c>
      <c r="G147" s="46" t="str">
        <f t="shared" ca="1" si="10"/>
        <v>RED</v>
      </c>
      <c r="H147" s="46" t="str">
        <f t="shared" ca="1" si="11"/>
        <v>Not Started</v>
      </c>
      <c r="I147" s="21"/>
    </row>
    <row r="148" spans="1:9" x14ac:dyDescent="0.35">
      <c r="A148" s="46" t="s">
        <v>216</v>
      </c>
      <c r="B148" s="46" t="s">
        <v>97</v>
      </c>
      <c r="C148" s="47" t="str">
        <f>Matrix!AK4</f>
        <v>NS</v>
      </c>
      <c r="D148" s="48">
        <f>IFERROR(VLOOKUP(B148,'Renewal Rules'!$A:$B,2,FALSE),"")</f>
        <v>12</v>
      </c>
      <c r="E148" s="47" t="str">
        <f t="shared" si="8"/>
        <v/>
      </c>
      <c r="F148" s="48" t="str">
        <f t="shared" ca="1" si="9"/>
        <v/>
      </c>
      <c r="G148" s="46" t="str">
        <f t="shared" ca="1" si="10"/>
        <v>RED</v>
      </c>
      <c r="H148" s="46" t="str">
        <f t="shared" ca="1" si="11"/>
        <v>Not Started</v>
      </c>
      <c r="I148" s="21"/>
    </row>
    <row r="149" spans="1:9" x14ac:dyDescent="0.35">
      <c r="A149" s="46" t="s">
        <v>216</v>
      </c>
      <c r="B149" s="46" t="s">
        <v>140</v>
      </c>
      <c r="C149" s="47" t="str">
        <f>Matrix!AL4</f>
        <v>NS</v>
      </c>
      <c r="D149" s="48">
        <f>IFERROR(VLOOKUP(B149,'Renewal Rules'!$A:$B,2,FALSE),"")</f>
        <v>36</v>
      </c>
      <c r="E149" s="47" t="str">
        <f t="shared" si="8"/>
        <v/>
      </c>
      <c r="F149" s="48" t="str">
        <f t="shared" ca="1" si="9"/>
        <v/>
      </c>
      <c r="G149" s="46" t="str">
        <f t="shared" ca="1" si="10"/>
        <v>RED</v>
      </c>
      <c r="H149" s="46" t="str">
        <f t="shared" ca="1" si="11"/>
        <v>Not Started</v>
      </c>
      <c r="I149" s="21"/>
    </row>
    <row r="150" spans="1:9" x14ac:dyDescent="0.35">
      <c r="A150" s="46" t="s">
        <v>216</v>
      </c>
      <c r="B150" s="46" t="s">
        <v>141</v>
      </c>
      <c r="C150" s="47" t="str">
        <f>Matrix!AM4</f>
        <v>NS</v>
      </c>
      <c r="D150" s="48">
        <f>IFERROR(VLOOKUP(B150,'Renewal Rules'!$A:$B,2,FALSE),"")</f>
        <v>12</v>
      </c>
      <c r="E150" s="47" t="str">
        <f t="shared" si="8"/>
        <v/>
      </c>
      <c r="F150" s="48" t="str">
        <f t="shared" ca="1" si="9"/>
        <v/>
      </c>
      <c r="G150" s="46" t="str">
        <f t="shared" ca="1" si="10"/>
        <v>RED</v>
      </c>
      <c r="H150" s="46" t="str">
        <f t="shared" ca="1" si="11"/>
        <v>Not Started</v>
      </c>
      <c r="I150" s="21"/>
    </row>
    <row r="151" spans="1:9" x14ac:dyDescent="0.35">
      <c r="A151" s="46" t="s">
        <v>216</v>
      </c>
      <c r="B151" s="46" t="s">
        <v>142</v>
      </c>
      <c r="C151" s="47">
        <f>Matrix!AN4</f>
        <v>46194</v>
      </c>
      <c r="D151" s="48">
        <f>IFERROR(VLOOKUP(B151,'Renewal Rules'!$A:$B,2,FALSE),"")</f>
        <v>12</v>
      </c>
      <c r="E151" s="47">
        <f t="shared" si="8"/>
        <v>46559</v>
      </c>
      <c r="F151" s="48">
        <f t="shared" ca="1" si="9"/>
        <v>356</v>
      </c>
      <c r="G151" s="46" t="str">
        <f t="shared" ca="1" si="10"/>
        <v>GREEN</v>
      </c>
      <c r="H151" s="46" t="str">
        <f t="shared" ca="1" si="11"/>
        <v>Current</v>
      </c>
      <c r="I151" s="21"/>
    </row>
    <row r="152" spans="1:9" x14ac:dyDescent="0.35">
      <c r="A152" s="46" t="s">
        <v>216</v>
      </c>
      <c r="B152" s="46" t="s">
        <v>143</v>
      </c>
      <c r="C152" s="47" t="str">
        <f>Matrix!AO4</f>
        <v>NS</v>
      </c>
      <c r="D152" s="48">
        <f>IFERROR(VLOOKUP(B152,'Renewal Rules'!$A:$B,2,FALSE),"")</f>
        <v>12</v>
      </c>
      <c r="E152" s="47" t="str">
        <f t="shared" si="8"/>
        <v/>
      </c>
      <c r="F152" s="48" t="str">
        <f t="shared" ca="1" si="9"/>
        <v/>
      </c>
      <c r="G152" s="46" t="str">
        <f t="shared" ca="1" si="10"/>
        <v>RED</v>
      </c>
      <c r="H152" s="46" t="str">
        <f t="shared" ca="1" si="11"/>
        <v>Not Started</v>
      </c>
      <c r="I152" s="21"/>
    </row>
    <row r="153" spans="1:9" x14ac:dyDescent="0.35">
      <c r="A153" s="46" t="s">
        <v>216</v>
      </c>
      <c r="B153" s="46" t="s">
        <v>102</v>
      </c>
      <c r="C153" s="47" t="str">
        <f>Matrix!AP4</f>
        <v>NS</v>
      </c>
      <c r="D153" s="48">
        <f>IFERROR(VLOOKUP(B153,'Renewal Rules'!$A:$B,2,FALSE),"")</f>
        <v>12</v>
      </c>
      <c r="E153" s="47" t="str">
        <f t="shared" si="8"/>
        <v/>
      </c>
      <c r="F153" s="48" t="str">
        <f t="shared" ca="1" si="9"/>
        <v/>
      </c>
      <c r="G153" s="46" t="str">
        <f t="shared" ca="1" si="10"/>
        <v>RED</v>
      </c>
      <c r="H153" s="46" t="str">
        <f t="shared" ca="1" si="11"/>
        <v>Not Started</v>
      </c>
      <c r="I153" s="21"/>
    </row>
    <row r="154" spans="1:9" x14ac:dyDescent="0.35">
      <c r="A154" s="46" t="s">
        <v>216</v>
      </c>
      <c r="B154" s="46" t="s">
        <v>144</v>
      </c>
      <c r="C154" s="47">
        <f>Matrix!AQ4</f>
        <v>46192</v>
      </c>
      <c r="D154" s="48">
        <f>IFERROR(VLOOKUP(B154,'Renewal Rules'!$A:$B,2,FALSE),"")</f>
        <v>36</v>
      </c>
      <c r="E154" s="47">
        <f t="shared" si="8"/>
        <v>47288</v>
      </c>
      <c r="F154" s="48">
        <f t="shared" ca="1" si="9"/>
        <v>1085</v>
      </c>
      <c r="G154" s="46" t="str">
        <f t="shared" ca="1" si="10"/>
        <v>GREEN</v>
      </c>
      <c r="H154" s="46" t="str">
        <f t="shared" ca="1" si="11"/>
        <v>Current</v>
      </c>
      <c r="I154" s="21"/>
    </row>
    <row r="155" spans="1:9" x14ac:dyDescent="0.35">
      <c r="A155" s="46" t="s">
        <v>216</v>
      </c>
      <c r="B155" s="46" t="s">
        <v>145</v>
      </c>
      <c r="C155" s="47" t="str">
        <f>Matrix!AR4</f>
        <v>NS</v>
      </c>
      <c r="D155" s="48">
        <f>IFERROR(VLOOKUP(B155,'Renewal Rules'!$A:$B,2,FALSE),"")</f>
        <v>12</v>
      </c>
      <c r="E155" s="47" t="str">
        <f t="shared" si="8"/>
        <v/>
      </c>
      <c r="F155" s="48" t="str">
        <f t="shared" ca="1" si="9"/>
        <v/>
      </c>
      <c r="G155" s="46" t="str">
        <f t="shared" ca="1" si="10"/>
        <v>RED</v>
      </c>
      <c r="H155" s="46" t="str">
        <f t="shared" ca="1" si="11"/>
        <v>Not Started</v>
      </c>
      <c r="I155" s="21"/>
    </row>
    <row r="156" spans="1:9" x14ac:dyDescent="0.35">
      <c r="A156" s="46" t="s">
        <v>216</v>
      </c>
      <c r="B156" s="46" t="s">
        <v>146</v>
      </c>
      <c r="C156" s="47" t="str">
        <f>Matrix!AS4</f>
        <v>NS</v>
      </c>
      <c r="D156" s="48">
        <f>IFERROR(VLOOKUP(B156,'Renewal Rules'!$A:$B,2,FALSE),"")</f>
        <v>12</v>
      </c>
      <c r="E156" s="47" t="str">
        <f t="shared" si="8"/>
        <v/>
      </c>
      <c r="F156" s="48" t="str">
        <f t="shared" ca="1" si="9"/>
        <v/>
      </c>
      <c r="G156" s="46" t="str">
        <f t="shared" ca="1" si="10"/>
        <v>RED</v>
      </c>
      <c r="H156" s="46" t="str">
        <f t="shared" ca="1" si="11"/>
        <v>Not Started</v>
      </c>
      <c r="I156" s="21"/>
    </row>
    <row r="157" spans="1:9" x14ac:dyDescent="0.35">
      <c r="A157" s="46" t="s">
        <v>216</v>
      </c>
      <c r="B157" s="46" t="s">
        <v>147</v>
      </c>
      <c r="C157" s="47" t="str">
        <f>Matrix!AT4</f>
        <v>NS</v>
      </c>
      <c r="D157" s="48">
        <f>IFERROR(VLOOKUP(B157,'Renewal Rules'!$A:$B,2,FALSE),"")</f>
        <v>36</v>
      </c>
      <c r="E157" s="47" t="str">
        <f t="shared" si="8"/>
        <v/>
      </c>
      <c r="F157" s="48" t="str">
        <f t="shared" ca="1" si="9"/>
        <v/>
      </c>
      <c r="G157" s="46" t="str">
        <f t="shared" ca="1" si="10"/>
        <v>RED</v>
      </c>
      <c r="H157" s="46" t="str">
        <f t="shared" ca="1" si="11"/>
        <v>Not Started</v>
      </c>
      <c r="I157" s="21"/>
    </row>
    <row r="158" spans="1:9" x14ac:dyDescent="0.35">
      <c r="A158" s="46" t="s">
        <v>216</v>
      </c>
      <c r="B158" s="46" t="s">
        <v>148</v>
      </c>
      <c r="C158" s="47" t="str">
        <f>Matrix!AU4</f>
        <v>NS</v>
      </c>
      <c r="D158" s="48">
        <f>IFERROR(VLOOKUP(B158,'Renewal Rules'!$A:$B,2,FALSE),"")</f>
        <v>36</v>
      </c>
      <c r="E158" s="47" t="str">
        <f t="shared" si="8"/>
        <v/>
      </c>
      <c r="F158" s="48" t="str">
        <f t="shared" ca="1" si="9"/>
        <v/>
      </c>
      <c r="G158" s="46" t="str">
        <f t="shared" ca="1" si="10"/>
        <v>RED</v>
      </c>
      <c r="H158" s="46" t="str">
        <f t="shared" ca="1" si="11"/>
        <v>Not Started</v>
      </c>
      <c r="I158" s="21"/>
    </row>
    <row r="159" spans="1:9" x14ac:dyDescent="0.35">
      <c r="A159" s="46" t="s">
        <v>216</v>
      </c>
      <c r="B159" s="46" t="s">
        <v>149</v>
      </c>
      <c r="C159" s="47" t="str">
        <f>Matrix!AV4</f>
        <v>NS</v>
      </c>
      <c r="D159" s="48">
        <f>IFERROR(VLOOKUP(B159,'Renewal Rules'!$A:$B,2,FALSE),"")</f>
        <v>36</v>
      </c>
      <c r="E159" s="47" t="str">
        <f t="shared" si="8"/>
        <v/>
      </c>
      <c r="F159" s="48" t="str">
        <f t="shared" ca="1" si="9"/>
        <v/>
      </c>
      <c r="G159" s="46" t="str">
        <f t="shared" ca="1" si="10"/>
        <v>RED</v>
      </c>
      <c r="H159" s="46" t="str">
        <f t="shared" ca="1" si="11"/>
        <v>Not Started</v>
      </c>
      <c r="I159" s="21"/>
    </row>
    <row r="160" spans="1:9" x14ac:dyDescent="0.35">
      <c r="A160" s="46" t="s">
        <v>216</v>
      </c>
      <c r="B160" s="46" t="s">
        <v>150</v>
      </c>
      <c r="C160" s="47" t="str">
        <f>Matrix!AW4</f>
        <v>NS</v>
      </c>
      <c r="D160" s="48">
        <f>IFERROR(VLOOKUP(B160,'Renewal Rules'!$A:$B,2,FALSE),"")</f>
        <v>36</v>
      </c>
      <c r="E160" s="47" t="str">
        <f t="shared" si="8"/>
        <v/>
      </c>
      <c r="F160" s="48" t="str">
        <f t="shared" ca="1" si="9"/>
        <v/>
      </c>
      <c r="G160" s="46" t="str">
        <f t="shared" ca="1" si="10"/>
        <v>RED</v>
      </c>
      <c r="H160" s="46" t="str">
        <f t="shared" ca="1" si="11"/>
        <v>Not Started</v>
      </c>
      <c r="I160" s="21"/>
    </row>
    <row r="161" spans="1:9" x14ac:dyDescent="0.35">
      <c r="A161" s="46" t="s">
        <v>216</v>
      </c>
      <c r="B161" s="46" t="s">
        <v>151</v>
      </c>
      <c r="C161" s="47" t="str">
        <f>Matrix!AX4</f>
        <v>NS</v>
      </c>
      <c r="D161" s="48">
        <f>IFERROR(VLOOKUP(B161,'Renewal Rules'!$A:$B,2,FALSE),"")</f>
        <v>36</v>
      </c>
      <c r="E161" s="47" t="str">
        <f t="shared" si="8"/>
        <v/>
      </c>
      <c r="F161" s="48" t="str">
        <f t="shared" ca="1" si="9"/>
        <v/>
      </c>
      <c r="G161" s="46" t="str">
        <f t="shared" ca="1" si="10"/>
        <v>RED</v>
      </c>
      <c r="H161" s="46" t="str">
        <f t="shared" ca="1" si="11"/>
        <v>Not Started</v>
      </c>
      <c r="I161" s="21"/>
    </row>
    <row r="162" spans="1:9" x14ac:dyDescent="0.35">
      <c r="A162" s="46" t="s">
        <v>216</v>
      </c>
      <c r="B162" s="46" t="s">
        <v>152</v>
      </c>
      <c r="C162" s="47" t="str">
        <f>Matrix!AY4</f>
        <v>NS</v>
      </c>
      <c r="D162" s="48">
        <f>IFERROR(VLOOKUP(B162,'Renewal Rules'!$A:$B,2,FALSE),"")</f>
        <v>36</v>
      </c>
      <c r="E162" s="47" t="str">
        <f t="shared" si="8"/>
        <v/>
      </c>
      <c r="F162" s="48" t="str">
        <f t="shared" ca="1" si="9"/>
        <v/>
      </c>
      <c r="G162" s="46" t="str">
        <f t="shared" ca="1" si="10"/>
        <v>RED</v>
      </c>
      <c r="H162" s="46" t="str">
        <f t="shared" ca="1" si="11"/>
        <v>Not Started</v>
      </c>
      <c r="I162" s="21"/>
    </row>
    <row r="163" spans="1:9" x14ac:dyDescent="0.35">
      <c r="A163" s="46" t="s">
        <v>216</v>
      </c>
      <c r="B163" s="46" t="s">
        <v>153</v>
      </c>
      <c r="C163" s="47" t="str">
        <f>Matrix!AZ4</f>
        <v>NS</v>
      </c>
      <c r="D163" s="48">
        <f>IFERROR(VLOOKUP(B163,'Renewal Rules'!$A:$B,2,FALSE),"")</f>
        <v>36</v>
      </c>
      <c r="E163" s="47" t="str">
        <f t="shared" si="8"/>
        <v/>
      </c>
      <c r="F163" s="48" t="str">
        <f t="shared" ca="1" si="9"/>
        <v/>
      </c>
      <c r="G163" s="46" t="str">
        <f t="shared" ca="1" si="10"/>
        <v>RED</v>
      </c>
      <c r="H163" s="46" t="str">
        <f t="shared" ca="1" si="11"/>
        <v>Not Started</v>
      </c>
      <c r="I163" s="21"/>
    </row>
    <row r="164" spans="1:9" x14ac:dyDescent="0.35">
      <c r="A164" s="46" t="s">
        <v>216</v>
      </c>
      <c r="B164" s="46" t="s">
        <v>154</v>
      </c>
      <c r="C164" s="47" t="str">
        <f>Matrix!BA4</f>
        <v>NS</v>
      </c>
      <c r="D164" s="48">
        <f>IFERROR(VLOOKUP(B164,'Renewal Rules'!$A:$B,2,FALSE),"")</f>
        <v>36</v>
      </c>
      <c r="E164" s="47" t="str">
        <f t="shared" si="8"/>
        <v/>
      </c>
      <c r="F164" s="48" t="str">
        <f t="shared" ca="1" si="9"/>
        <v/>
      </c>
      <c r="G164" s="46" t="str">
        <f t="shared" ca="1" si="10"/>
        <v>RED</v>
      </c>
      <c r="H164" s="46" t="str">
        <f t="shared" ca="1" si="11"/>
        <v>Not Started</v>
      </c>
      <c r="I164" s="21"/>
    </row>
    <row r="165" spans="1:9" x14ac:dyDescent="0.35">
      <c r="A165" s="46" t="s">
        <v>216</v>
      </c>
      <c r="B165" s="46" t="s">
        <v>155</v>
      </c>
      <c r="C165" s="47" t="str">
        <f>Matrix!BB4</f>
        <v>NS</v>
      </c>
      <c r="D165" s="48">
        <f>IFERROR(VLOOKUP(B165,'Renewal Rules'!$A:$B,2,FALSE),"")</f>
        <v>12</v>
      </c>
      <c r="E165" s="47" t="str">
        <f t="shared" si="8"/>
        <v/>
      </c>
      <c r="F165" s="48" t="str">
        <f t="shared" ca="1" si="9"/>
        <v/>
      </c>
      <c r="G165" s="46" t="str">
        <f t="shared" ca="1" si="10"/>
        <v>RED</v>
      </c>
      <c r="H165" s="46" t="str">
        <f t="shared" ca="1" si="11"/>
        <v>Not Started</v>
      </c>
      <c r="I165" s="21"/>
    </row>
    <row r="166" spans="1:9" x14ac:dyDescent="0.35">
      <c r="A166" s="46" t="s">
        <v>216</v>
      </c>
      <c r="B166" s="46" t="s">
        <v>156</v>
      </c>
      <c r="C166" s="47" t="str">
        <f>Matrix!BC4</f>
        <v>NS</v>
      </c>
      <c r="D166" s="48">
        <f>IFERROR(VLOOKUP(B166,'Renewal Rules'!$A:$B,2,FALSE),"")</f>
        <v>12</v>
      </c>
      <c r="E166" s="47" t="str">
        <f t="shared" si="8"/>
        <v/>
      </c>
      <c r="F166" s="48" t="str">
        <f t="shared" ca="1" si="9"/>
        <v/>
      </c>
      <c r="G166" s="46" t="str">
        <f t="shared" ca="1" si="10"/>
        <v>RED</v>
      </c>
      <c r="H166" s="46" t="str">
        <f t="shared" ca="1" si="11"/>
        <v>Not Started</v>
      </c>
      <c r="I166" s="21"/>
    </row>
    <row r="167" spans="1:9" x14ac:dyDescent="0.35">
      <c r="A167" s="46" t="s">
        <v>216</v>
      </c>
      <c r="B167" s="46" t="s">
        <v>157</v>
      </c>
      <c r="C167" s="47" t="str">
        <f>Matrix!BD4</f>
        <v>NS</v>
      </c>
      <c r="D167" s="48">
        <f>IFERROR(VLOOKUP(B167,'Renewal Rules'!$A:$B,2,FALSE),"")</f>
        <v>36</v>
      </c>
      <c r="E167" s="47" t="str">
        <f t="shared" si="8"/>
        <v/>
      </c>
      <c r="F167" s="48" t="str">
        <f t="shared" ca="1" si="9"/>
        <v/>
      </c>
      <c r="G167" s="46" t="str">
        <f t="shared" ca="1" si="10"/>
        <v>RED</v>
      </c>
      <c r="H167" s="46" t="str">
        <f t="shared" ca="1" si="11"/>
        <v>Not Started</v>
      </c>
      <c r="I167" s="21"/>
    </row>
    <row r="168" spans="1:9" ht="12.9" customHeight="1" x14ac:dyDescent="0.35">
      <c r="A168" s="46" t="s">
        <v>216</v>
      </c>
      <c r="B168" s="46" t="s">
        <v>158</v>
      </c>
      <c r="C168" s="47" t="str">
        <f>Matrix!BE4</f>
        <v>NS</v>
      </c>
      <c r="D168" s="48">
        <f>IFERROR(VLOOKUP(B168,'Renewal Rules'!$A:$B,2,FALSE),"")</f>
        <v>12</v>
      </c>
      <c r="E168" s="47" t="str">
        <f t="shared" si="8"/>
        <v/>
      </c>
      <c r="F168" s="48" t="str">
        <f t="shared" ca="1" si="9"/>
        <v/>
      </c>
      <c r="G168" s="46" t="str">
        <f t="shared" ca="1" si="10"/>
        <v>RED</v>
      </c>
      <c r="H168" s="46" t="str">
        <f t="shared" ca="1" si="11"/>
        <v>Not Started</v>
      </c>
      <c r="I168" s="21"/>
    </row>
    <row r="169" spans="1:9" x14ac:dyDescent="0.35">
      <c r="A169" s="46" t="s">
        <v>216</v>
      </c>
      <c r="B169" s="46" t="s">
        <v>95</v>
      </c>
      <c r="C169" s="47" t="str">
        <f>Matrix!BF4</f>
        <v>13/04/2026</v>
      </c>
      <c r="D169" s="48">
        <f>IFERROR(VLOOKUP(B169,'Renewal Rules'!$A:$B,2,FALSE),"")</f>
        <v>12</v>
      </c>
      <c r="E169" s="47">
        <f t="shared" si="8"/>
        <v>46490</v>
      </c>
      <c r="F169" s="48">
        <f t="shared" ca="1" si="9"/>
        <v>287</v>
      </c>
      <c r="G169" s="46" t="str">
        <f t="shared" ca="1" si="10"/>
        <v>GREEN</v>
      </c>
      <c r="H169" s="46" t="str">
        <f t="shared" ca="1" si="11"/>
        <v>Current</v>
      </c>
      <c r="I169" s="21"/>
    </row>
    <row r="170" spans="1:9" x14ac:dyDescent="0.35">
      <c r="A170" s="46" t="s">
        <v>216</v>
      </c>
      <c r="B170" s="46" t="s">
        <v>93</v>
      </c>
      <c r="C170" s="47" t="str">
        <f>Matrix!BG4</f>
        <v>NS</v>
      </c>
      <c r="D170" s="48">
        <f>IFERROR(VLOOKUP(B170,'Renewal Rules'!$A:$B,2,FALSE),"")</f>
        <v>12</v>
      </c>
      <c r="E170" s="47" t="str">
        <f t="shared" si="8"/>
        <v/>
      </c>
      <c r="F170" s="48" t="str">
        <f t="shared" ca="1" si="9"/>
        <v/>
      </c>
      <c r="G170" s="46" t="str">
        <f t="shared" ca="1" si="10"/>
        <v>RED</v>
      </c>
      <c r="H170" s="46" t="str">
        <f t="shared" ca="1" si="11"/>
        <v>Not Started</v>
      </c>
      <c r="I170" s="21"/>
    </row>
    <row r="171" spans="1:9" x14ac:dyDescent="0.35">
      <c r="A171" s="46" t="s">
        <v>216</v>
      </c>
      <c r="B171" s="46" t="s">
        <v>159</v>
      </c>
      <c r="C171" s="47" t="str">
        <f>Matrix!BH4</f>
        <v>NS</v>
      </c>
      <c r="D171" s="48">
        <f>IFERROR(VLOOKUP(B171,'Renewal Rules'!$A:$B,2,FALSE),"")</f>
        <v>12</v>
      </c>
      <c r="E171" s="47" t="str">
        <f t="shared" si="8"/>
        <v/>
      </c>
      <c r="F171" s="48" t="str">
        <f t="shared" ca="1" si="9"/>
        <v/>
      </c>
      <c r="G171" s="46" t="str">
        <f t="shared" ca="1" si="10"/>
        <v>RED</v>
      </c>
      <c r="H171" s="46" t="str">
        <f t="shared" ca="1" si="11"/>
        <v>Not Started</v>
      </c>
      <c r="I171" s="21"/>
    </row>
    <row r="172" spans="1:9" x14ac:dyDescent="0.35">
      <c r="A172" s="46" t="s">
        <v>216</v>
      </c>
      <c r="B172" s="46" t="s">
        <v>160</v>
      </c>
      <c r="C172" s="47" t="str">
        <f>Matrix!BI4</f>
        <v>NS</v>
      </c>
      <c r="D172" s="48">
        <f>IFERROR(VLOOKUP(B172,'Renewal Rules'!$A:$B,2,FALSE),"")</f>
        <v>36</v>
      </c>
      <c r="E172" s="47" t="str">
        <f t="shared" si="8"/>
        <v/>
      </c>
      <c r="F172" s="48" t="str">
        <f t="shared" ca="1" si="9"/>
        <v/>
      </c>
      <c r="G172" s="46" t="str">
        <f t="shared" ca="1" si="10"/>
        <v>RED</v>
      </c>
      <c r="H172" s="46" t="str">
        <f t="shared" ca="1" si="11"/>
        <v>Not Started</v>
      </c>
      <c r="I172" s="21"/>
    </row>
    <row r="173" spans="1:9" x14ac:dyDescent="0.35">
      <c r="A173" s="46" t="s">
        <v>216</v>
      </c>
      <c r="B173" s="46" t="s">
        <v>161</v>
      </c>
      <c r="C173" s="47" t="str">
        <f>Matrix!BJ4</f>
        <v>NS</v>
      </c>
      <c r="D173" s="48">
        <f>IFERROR(VLOOKUP(B173,'Renewal Rules'!$A:$B,2,FALSE),"")</f>
        <v>12</v>
      </c>
      <c r="E173" s="47" t="str">
        <f t="shared" si="8"/>
        <v/>
      </c>
      <c r="F173" s="48" t="str">
        <f t="shared" ca="1" si="9"/>
        <v/>
      </c>
      <c r="G173" s="46" t="str">
        <f t="shared" ca="1" si="10"/>
        <v>RED</v>
      </c>
      <c r="H173" s="46" t="str">
        <f t="shared" ca="1" si="11"/>
        <v>Not Started</v>
      </c>
      <c r="I173" s="21"/>
    </row>
    <row r="174" spans="1:9" x14ac:dyDescent="0.35">
      <c r="A174" s="46" t="s">
        <v>216</v>
      </c>
      <c r="B174" s="46" t="s">
        <v>162</v>
      </c>
      <c r="C174" s="47" t="str">
        <f>Matrix!BK4</f>
        <v>NS</v>
      </c>
      <c r="D174" s="48">
        <f>IFERROR(VLOOKUP(B174,'Renewal Rules'!$A:$B,2,FALSE),"")</f>
        <v>12</v>
      </c>
      <c r="E174" s="47" t="str">
        <f t="shared" si="8"/>
        <v/>
      </c>
      <c r="F174" s="48" t="str">
        <f t="shared" ca="1" si="9"/>
        <v/>
      </c>
      <c r="G174" s="46" t="str">
        <f t="shared" ca="1" si="10"/>
        <v>RED</v>
      </c>
      <c r="H174" s="46" t="str">
        <f t="shared" ca="1" si="11"/>
        <v>Not Started</v>
      </c>
      <c r="I174" s="21"/>
    </row>
    <row r="175" spans="1:9" x14ac:dyDescent="0.35">
      <c r="A175" s="46" t="s">
        <v>216</v>
      </c>
      <c r="B175" s="46" t="s">
        <v>163</v>
      </c>
      <c r="C175" s="47" t="str">
        <f>Matrix!BL4</f>
        <v>NS</v>
      </c>
      <c r="D175" s="48">
        <f>IFERROR(VLOOKUP(B175,'Renewal Rules'!$A:$B,2,FALSE),"")</f>
        <v>36</v>
      </c>
      <c r="E175" s="47" t="str">
        <f t="shared" si="8"/>
        <v/>
      </c>
      <c r="F175" s="48" t="str">
        <f t="shared" ca="1" si="9"/>
        <v/>
      </c>
      <c r="G175" s="46" t="str">
        <f t="shared" ca="1" si="10"/>
        <v>RED</v>
      </c>
      <c r="H175" s="46" t="str">
        <f t="shared" ca="1" si="11"/>
        <v>Not Started</v>
      </c>
      <c r="I175" s="21"/>
    </row>
    <row r="176" spans="1:9" x14ac:dyDescent="0.35">
      <c r="A176" s="46" t="s">
        <v>216</v>
      </c>
      <c r="B176" s="46" t="s">
        <v>164</v>
      </c>
      <c r="C176" s="47" t="str">
        <f>Matrix!BM4</f>
        <v>NS</v>
      </c>
      <c r="D176" s="48">
        <f>IFERROR(VLOOKUP(B176,'Renewal Rules'!$A:$B,2,FALSE),"")</f>
        <v>12</v>
      </c>
      <c r="E176" s="47" t="str">
        <f t="shared" si="8"/>
        <v/>
      </c>
      <c r="F176" s="48" t="str">
        <f t="shared" ca="1" si="9"/>
        <v/>
      </c>
      <c r="G176" s="46" t="str">
        <f t="shared" ca="1" si="10"/>
        <v>RED</v>
      </c>
      <c r="H176" s="46" t="str">
        <f t="shared" ca="1" si="11"/>
        <v>Not Started</v>
      </c>
      <c r="I176" s="21"/>
    </row>
    <row r="177" spans="1:9" x14ac:dyDescent="0.35">
      <c r="A177" s="46" t="s">
        <v>216</v>
      </c>
      <c r="B177" s="46" t="s">
        <v>165</v>
      </c>
      <c r="C177" s="47" t="str">
        <f>Matrix!BN4</f>
        <v>NS</v>
      </c>
      <c r="D177" s="48">
        <f>IFERROR(VLOOKUP(B177,'Renewal Rules'!$A:$B,2,FALSE),"")</f>
        <v>36</v>
      </c>
      <c r="E177" s="47" t="str">
        <f t="shared" si="8"/>
        <v/>
      </c>
      <c r="F177" s="48" t="str">
        <f t="shared" ca="1" si="9"/>
        <v/>
      </c>
      <c r="G177" s="46" t="str">
        <f t="shared" ca="1" si="10"/>
        <v>RED</v>
      </c>
      <c r="H177" s="46" t="str">
        <f t="shared" ca="1" si="11"/>
        <v>Not Started</v>
      </c>
      <c r="I177" s="21"/>
    </row>
    <row r="178" spans="1:9" x14ac:dyDescent="0.35">
      <c r="A178" s="46" t="s">
        <v>216</v>
      </c>
      <c r="B178" s="46" t="s">
        <v>166</v>
      </c>
      <c r="C178" s="47" t="str">
        <f>Matrix!BO4</f>
        <v>NS</v>
      </c>
      <c r="D178" s="48">
        <f>IFERROR(VLOOKUP(B178,'Renewal Rules'!$A:$B,2,FALSE),"")</f>
        <v>36</v>
      </c>
      <c r="E178" s="47" t="str">
        <f t="shared" si="8"/>
        <v/>
      </c>
      <c r="F178" s="48" t="str">
        <f t="shared" ca="1" si="9"/>
        <v/>
      </c>
      <c r="G178" s="46" t="str">
        <f t="shared" ca="1" si="10"/>
        <v>RED</v>
      </c>
      <c r="H178" s="46" t="str">
        <f t="shared" ca="1" si="11"/>
        <v>Not Started</v>
      </c>
      <c r="I178" s="21"/>
    </row>
    <row r="179" spans="1:9" x14ac:dyDescent="0.35">
      <c r="A179" s="46" t="s">
        <v>216</v>
      </c>
      <c r="B179" s="46" t="s">
        <v>167</v>
      </c>
      <c r="C179" s="47" t="str">
        <f>Matrix!BP4</f>
        <v>NS</v>
      </c>
      <c r="D179" s="48">
        <f>IFERROR(VLOOKUP(B179,'Renewal Rules'!$A:$B,2,FALSE),"")</f>
        <v>36</v>
      </c>
      <c r="E179" s="47" t="str">
        <f t="shared" si="8"/>
        <v/>
      </c>
      <c r="F179" s="48" t="str">
        <f t="shared" ca="1" si="9"/>
        <v/>
      </c>
      <c r="G179" s="46" t="str">
        <f t="shared" ca="1" si="10"/>
        <v>RED</v>
      </c>
      <c r="H179" s="46" t="str">
        <f t="shared" ca="1" si="11"/>
        <v>Not Started</v>
      </c>
      <c r="I179" s="21"/>
    </row>
    <row r="180" spans="1:9" x14ac:dyDescent="0.35">
      <c r="A180" s="46" t="s">
        <v>216</v>
      </c>
      <c r="B180" s="46" t="s">
        <v>168</v>
      </c>
      <c r="C180" s="47" t="str">
        <f>Matrix!BQ4</f>
        <v>NS</v>
      </c>
      <c r="D180" s="48">
        <f>IFERROR(VLOOKUP(B180,'Renewal Rules'!$A:$B,2,FALSE),"")</f>
        <v>36</v>
      </c>
      <c r="E180" s="47" t="str">
        <f t="shared" si="8"/>
        <v/>
      </c>
      <c r="F180" s="48" t="str">
        <f t="shared" ca="1" si="9"/>
        <v/>
      </c>
      <c r="G180" s="46" t="str">
        <f t="shared" ca="1" si="10"/>
        <v>RED</v>
      </c>
      <c r="H180" s="46" t="str">
        <f t="shared" ca="1" si="11"/>
        <v>Not Started</v>
      </c>
      <c r="I180" s="21"/>
    </row>
    <row r="181" spans="1:9" x14ac:dyDescent="0.35">
      <c r="A181" s="46" t="s">
        <v>216</v>
      </c>
      <c r="B181" s="46" t="s">
        <v>169</v>
      </c>
      <c r="C181" s="47" t="str">
        <f>Matrix!BR4</f>
        <v>NS</v>
      </c>
      <c r="D181" s="48">
        <f>IFERROR(VLOOKUP(B181,'Renewal Rules'!$A:$B,2,FALSE),"")</f>
        <v>36</v>
      </c>
      <c r="E181" s="47" t="str">
        <f t="shared" si="8"/>
        <v/>
      </c>
      <c r="F181" s="48" t="str">
        <f t="shared" ca="1" si="9"/>
        <v/>
      </c>
      <c r="G181" s="46" t="str">
        <f t="shared" ca="1" si="10"/>
        <v>RED</v>
      </c>
      <c r="H181" s="46" t="str">
        <f t="shared" ca="1" si="11"/>
        <v>Not Started</v>
      </c>
      <c r="I181" s="21"/>
    </row>
    <row r="182" spans="1:9" x14ac:dyDescent="0.35">
      <c r="A182" s="46" t="s">
        <v>216</v>
      </c>
      <c r="B182" s="46" t="s">
        <v>170</v>
      </c>
      <c r="C182" s="47" t="str">
        <f>Matrix!BS4</f>
        <v>NS</v>
      </c>
      <c r="D182" s="48">
        <f>IFERROR(VLOOKUP(B182,'Renewal Rules'!$A:$B,2,FALSE),"")</f>
        <v>12</v>
      </c>
      <c r="E182" s="47" t="str">
        <f t="shared" si="8"/>
        <v/>
      </c>
      <c r="F182" s="48" t="str">
        <f t="shared" ca="1" si="9"/>
        <v/>
      </c>
      <c r="G182" s="46" t="str">
        <f t="shared" ca="1" si="10"/>
        <v>RED</v>
      </c>
      <c r="H182" s="46" t="str">
        <f t="shared" ca="1" si="11"/>
        <v>Not Started</v>
      </c>
      <c r="I182" s="21"/>
    </row>
    <row r="183" spans="1:9" x14ac:dyDescent="0.35">
      <c r="A183" s="46" t="s">
        <v>216</v>
      </c>
      <c r="B183" s="46" t="s">
        <v>171</v>
      </c>
      <c r="C183" s="47" t="str">
        <f>Matrix!BT4</f>
        <v>NS</v>
      </c>
      <c r="D183" s="48">
        <f>IFERROR(VLOOKUP(B183,'Renewal Rules'!$A:$B,2,FALSE),"")</f>
        <v>12</v>
      </c>
      <c r="E183" s="47" t="str">
        <f t="shared" si="8"/>
        <v/>
      </c>
      <c r="F183" s="48" t="str">
        <f t="shared" ca="1" si="9"/>
        <v/>
      </c>
      <c r="G183" s="46" t="str">
        <f t="shared" ca="1" si="10"/>
        <v>RED</v>
      </c>
      <c r="H183" s="46" t="str">
        <f t="shared" ca="1" si="11"/>
        <v>Not Started</v>
      </c>
      <c r="I183" s="21"/>
    </row>
    <row r="184" spans="1:9" x14ac:dyDescent="0.35">
      <c r="A184" s="46" t="s">
        <v>216</v>
      </c>
      <c r="B184" s="46" t="s">
        <v>172</v>
      </c>
      <c r="C184" s="47" t="str">
        <f>Matrix!BU4</f>
        <v>NS</v>
      </c>
      <c r="D184" s="48">
        <f>IFERROR(VLOOKUP(B184,'Renewal Rules'!$A:$B,2,FALSE),"")</f>
        <v>12</v>
      </c>
      <c r="E184" s="47" t="str">
        <f t="shared" si="8"/>
        <v/>
      </c>
      <c r="F184" s="48" t="str">
        <f t="shared" ca="1" si="9"/>
        <v/>
      </c>
      <c r="G184" s="46" t="str">
        <f t="shared" ca="1" si="10"/>
        <v>RED</v>
      </c>
      <c r="H184" s="46" t="str">
        <f t="shared" ca="1" si="11"/>
        <v>Not Started</v>
      </c>
      <c r="I184" s="21"/>
    </row>
    <row r="185" spans="1:9" x14ac:dyDescent="0.35">
      <c r="A185" s="46" t="s">
        <v>216</v>
      </c>
      <c r="B185" s="46" t="s">
        <v>173</v>
      </c>
      <c r="C185" s="47" t="str">
        <f>Matrix!BV4</f>
        <v>NS</v>
      </c>
      <c r="D185" s="48">
        <f>IFERROR(VLOOKUP(B185,'Renewal Rules'!$A:$B,2,FALSE),"")</f>
        <v>12</v>
      </c>
      <c r="E185" s="47" t="str">
        <f t="shared" si="8"/>
        <v/>
      </c>
      <c r="F185" s="48" t="str">
        <f t="shared" ca="1" si="9"/>
        <v/>
      </c>
      <c r="G185" s="46" t="str">
        <f t="shared" ca="1" si="10"/>
        <v>RED</v>
      </c>
      <c r="H185" s="46" t="str">
        <f t="shared" ca="1" si="11"/>
        <v>Not Started</v>
      </c>
      <c r="I185" s="21"/>
    </row>
    <row r="186" spans="1:9" x14ac:dyDescent="0.35">
      <c r="A186" s="46" t="s">
        <v>216</v>
      </c>
      <c r="B186" s="46" t="s">
        <v>174</v>
      </c>
      <c r="C186" s="47" t="str">
        <f>Matrix!BW4</f>
        <v>NS</v>
      </c>
      <c r="D186" s="48">
        <f>IFERROR(VLOOKUP(B186,'Renewal Rules'!$A:$B,2,FALSE),"")</f>
        <v>12</v>
      </c>
      <c r="E186" s="47" t="str">
        <f t="shared" si="8"/>
        <v/>
      </c>
      <c r="F186" s="48" t="str">
        <f t="shared" ca="1" si="9"/>
        <v/>
      </c>
      <c r="G186" s="46" t="str">
        <f t="shared" ca="1" si="10"/>
        <v>RED</v>
      </c>
      <c r="H186" s="46" t="str">
        <f t="shared" ca="1" si="11"/>
        <v>Not Started</v>
      </c>
      <c r="I186" s="21"/>
    </row>
    <row r="187" spans="1:9" x14ac:dyDescent="0.35">
      <c r="A187" s="46" t="s">
        <v>216</v>
      </c>
      <c r="B187" s="46" t="s">
        <v>175</v>
      </c>
      <c r="C187" s="47" t="str">
        <f>Matrix!BX4</f>
        <v>NS</v>
      </c>
      <c r="D187" s="48">
        <f>IFERROR(VLOOKUP(B187,'Renewal Rules'!$A:$B,2,FALSE),"")</f>
        <v>12</v>
      </c>
      <c r="E187" s="47" t="str">
        <f t="shared" si="8"/>
        <v/>
      </c>
      <c r="F187" s="48" t="str">
        <f t="shared" ca="1" si="9"/>
        <v/>
      </c>
      <c r="G187" s="46" t="str">
        <f t="shared" ca="1" si="10"/>
        <v>RED</v>
      </c>
      <c r="H187" s="46" t="str">
        <f t="shared" ca="1" si="11"/>
        <v>Not Started</v>
      </c>
      <c r="I187" s="21"/>
    </row>
    <row r="188" spans="1:9" x14ac:dyDescent="0.35">
      <c r="A188" s="46" t="s">
        <v>216</v>
      </c>
      <c r="B188" s="46" t="s">
        <v>176</v>
      </c>
      <c r="C188" s="47" t="str">
        <f>Matrix!BY4</f>
        <v>NS</v>
      </c>
      <c r="D188" s="48">
        <f>IFERROR(VLOOKUP(B188,'Renewal Rules'!$A:$B,2,FALSE),"")</f>
        <v>36</v>
      </c>
      <c r="E188" s="47" t="str">
        <f t="shared" si="8"/>
        <v/>
      </c>
      <c r="F188" s="48" t="str">
        <f t="shared" ca="1" si="9"/>
        <v/>
      </c>
      <c r="G188" s="46" t="str">
        <f t="shared" ca="1" si="10"/>
        <v>RED</v>
      </c>
      <c r="H188" s="46" t="str">
        <f t="shared" ca="1" si="11"/>
        <v>Not Started</v>
      </c>
      <c r="I188" s="21"/>
    </row>
    <row r="189" spans="1:9" x14ac:dyDescent="0.35">
      <c r="A189" s="46" t="s">
        <v>216</v>
      </c>
      <c r="B189" s="46" t="s">
        <v>177</v>
      </c>
      <c r="C189" s="47" t="str">
        <f>Matrix!BZ4</f>
        <v>NS</v>
      </c>
      <c r="D189" s="48">
        <f>IFERROR(VLOOKUP(B189,'Renewal Rules'!$A:$B,2,FALSE),"")</f>
        <v>36</v>
      </c>
      <c r="E189" s="47" t="str">
        <f t="shared" si="8"/>
        <v/>
      </c>
      <c r="F189" s="48" t="str">
        <f t="shared" ca="1" si="9"/>
        <v/>
      </c>
      <c r="G189" s="46" t="str">
        <f t="shared" ca="1" si="10"/>
        <v>RED</v>
      </c>
      <c r="H189" s="46" t="str">
        <f t="shared" ca="1" si="11"/>
        <v>Not Started</v>
      </c>
      <c r="I189" s="21"/>
    </row>
    <row r="190" spans="1:9" x14ac:dyDescent="0.35">
      <c r="A190" s="46" t="s">
        <v>216</v>
      </c>
      <c r="B190" s="46" t="s">
        <v>178</v>
      </c>
      <c r="C190" s="47" t="str">
        <f>Matrix!CA4</f>
        <v>NS</v>
      </c>
      <c r="D190" s="48">
        <f>IFERROR(VLOOKUP(B190,'Renewal Rules'!$A:$B,2,FALSE),"")</f>
        <v>12</v>
      </c>
      <c r="E190" s="47" t="str">
        <f t="shared" si="8"/>
        <v/>
      </c>
      <c r="F190" s="48" t="str">
        <f t="shared" ca="1" si="9"/>
        <v/>
      </c>
      <c r="G190" s="46" t="str">
        <f t="shared" ca="1" si="10"/>
        <v>RED</v>
      </c>
      <c r="H190" s="46" t="str">
        <f t="shared" ca="1" si="11"/>
        <v>Not Started</v>
      </c>
      <c r="I190" s="21"/>
    </row>
    <row r="191" spans="1:9" x14ac:dyDescent="0.35">
      <c r="A191" s="46" t="s">
        <v>216</v>
      </c>
      <c r="B191" s="46" t="s">
        <v>179</v>
      </c>
      <c r="C191" s="47" t="str">
        <f>Matrix!CB4</f>
        <v>NS</v>
      </c>
      <c r="D191" s="48">
        <f>IFERROR(VLOOKUP(B191,'Renewal Rules'!$A:$B,2,FALSE),"")</f>
        <v>12</v>
      </c>
      <c r="E191" s="47" t="str">
        <f t="shared" si="8"/>
        <v/>
      </c>
      <c r="F191" s="48" t="str">
        <f t="shared" ca="1" si="9"/>
        <v/>
      </c>
      <c r="G191" s="46" t="str">
        <f t="shared" ca="1" si="10"/>
        <v>RED</v>
      </c>
      <c r="H191" s="46" t="str">
        <f t="shared" ca="1" si="11"/>
        <v>Not Started</v>
      </c>
      <c r="I191" s="21"/>
    </row>
    <row r="192" spans="1:9" x14ac:dyDescent="0.35">
      <c r="A192" s="46" t="s">
        <v>216</v>
      </c>
      <c r="B192" s="46" t="s">
        <v>180</v>
      </c>
      <c r="C192" s="47" t="str">
        <f>Matrix!CC4</f>
        <v>NS</v>
      </c>
      <c r="D192" s="48">
        <f>IFERROR(VLOOKUP(B192,'Renewal Rules'!$A:$B,2,FALSE),"")</f>
        <v>36</v>
      </c>
      <c r="E192" s="47" t="str">
        <f t="shared" si="8"/>
        <v/>
      </c>
      <c r="F192" s="48" t="str">
        <f t="shared" ca="1" si="9"/>
        <v/>
      </c>
      <c r="G192" s="46" t="str">
        <f t="shared" ca="1" si="10"/>
        <v>RED</v>
      </c>
      <c r="H192" s="46" t="str">
        <f t="shared" ca="1" si="11"/>
        <v>Not Started</v>
      </c>
      <c r="I192" s="21"/>
    </row>
    <row r="193" spans="1:9" x14ac:dyDescent="0.35">
      <c r="A193" s="46" t="s">
        <v>216</v>
      </c>
      <c r="B193" s="46" t="s">
        <v>181</v>
      </c>
      <c r="C193" s="47" t="str">
        <f>Matrix!CD4</f>
        <v>NS</v>
      </c>
      <c r="D193" s="48">
        <f>IFERROR(VLOOKUP(B193,'Renewal Rules'!$A:$B,2,FALSE),"")</f>
        <v>36</v>
      </c>
      <c r="E193" s="47" t="str">
        <f t="shared" si="8"/>
        <v/>
      </c>
      <c r="F193" s="48" t="str">
        <f t="shared" ca="1" si="9"/>
        <v/>
      </c>
      <c r="G193" s="46" t="str">
        <f t="shared" ca="1" si="10"/>
        <v>RED</v>
      </c>
      <c r="H193" s="46" t="str">
        <f t="shared" ca="1" si="11"/>
        <v>Not Started</v>
      </c>
      <c r="I193" s="21"/>
    </row>
    <row r="194" spans="1:9" x14ac:dyDescent="0.35">
      <c r="A194" s="46" t="s">
        <v>216</v>
      </c>
      <c r="B194" s="46" t="s">
        <v>182</v>
      </c>
      <c r="C194" s="47" t="str">
        <f>Matrix!CE4</f>
        <v>NS</v>
      </c>
      <c r="D194" s="48">
        <f>IFERROR(VLOOKUP(B194,'Renewal Rules'!$A:$B,2,FALSE),"")</f>
        <v>12</v>
      </c>
      <c r="E194" s="47" t="str">
        <f t="shared" si="8"/>
        <v/>
      </c>
      <c r="F194" s="48" t="str">
        <f t="shared" ca="1" si="9"/>
        <v/>
      </c>
      <c r="G194" s="46" t="str">
        <f t="shared" ca="1" si="10"/>
        <v>RED</v>
      </c>
      <c r="H194" s="46" t="str">
        <f t="shared" ca="1" si="11"/>
        <v>Not Started</v>
      </c>
      <c r="I194" s="21"/>
    </row>
    <row r="195" spans="1:9" x14ac:dyDescent="0.35">
      <c r="A195" s="46" t="s">
        <v>216</v>
      </c>
      <c r="B195" s="46" t="s">
        <v>183</v>
      </c>
      <c r="C195" s="47" t="str">
        <f>Matrix!CF4</f>
        <v>NS</v>
      </c>
      <c r="D195" s="48">
        <f>IFERROR(VLOOKUP(B195,'Renewal Rules'!$A:$B,2,FALSE),"")</f>
        <v>36</v>
      </c>
      <c r="E195" s="47" t="str">
        <f t="shared" ref="E195:E258" si="12">IF(OR(C195="",C195="NS",C195="IP",C195="Failed"),"",IFERROR(EDATE(IF(ISNUMBER(C195),C195,IFERROR(DATEVALUE(C195),DATE(VALUE(RIGHT(C195,4)),VALUE(MID(C195,4,2)),VALUE(LEFT(C195,2))))),D195),""))</f>
        <v/>
      </c>
      <c r="F195" s="48" t="str">
        <f t="shared" ref="F195:F258" ca="1" si="13">IF(E195="","",E195-TODAY())</f>
        <v/>
      </c>
      <c r="G195" s="46" t="str">
        <f t="shared" ref="G195:G258" ca="1" si="14">IF(C195="NS","RED",IF(C195="IP","AMBER",IF(E195="","",IF(E195&lt;TODAY(),"RED",IF(E195&lt;=TODAY()+30,"AMBER","GREEN")))))</f>
        <v>RED</v>
      </c>
      <c r="H195" s="46" t="str">
        <f t="shared" ref="H195:H258" ca="1" si="15">IF(C195="NS","Not Started",IF(C195="IP","In Progress",IF(E195="","Check",IF(E195&lt;TODAY(),"Expired",IF(E195&lt;=TODAY()+30,"Expiring Soon","Current")))))</f>
        <v>Not Started</v>
      </c>
      <c r="I195" s="21"/>
    </row>
    <row r="196" spans="1:9" x14ac:dyDescent="0.35">
      <c r="A196" s="46" t="s">
        <v>216</v>
      </c>
      <c r="B196" s="46" t="s">
        <v>184</v>
      </c>
      <c r="C196" s="47" t="str">
        <f>Matrix!CG4</f>
        <v>NS</v>
      </c>
      <c r="D196" s="48">
        <f>IFERROR(VLOOKUP(B196,'Renewal Rules'!$A:$B,2,FALSE),"")</f>
        <v>12</v>
      </c>
      <c r="E196" s="47" t="str">
        <f t="shared" si="12"/>
        <v/>
      </c>
      <c r="F196" s="48" t="str">
        <f t="shared" ca="1" si="13"/>
        <v/>
      </c>
      <c r="G196" s="46" t="str">
        <f t="shared" ca="1" si="14"/>
        <v>RED</v>
      </c>
      <c r="H196" s="46" t="str">
        <f t="shared" ca="1" si="15"/>
        <v>Not Started</v>
      </c>
      <c r="I196" s="21"/>
    </row>
    <row r="197" spans="1:9" x14ac:dyDescent="0.35">
      <c r="A197" s="46" t="s">
        <v>216</v>
      </c>
      <c r="B197" s="46" t="s">
        <v>185</v>
      </c>
      <c r="C197" s="47" t="str">
        <f>Matrix!CH4</f>
        <v>NS</v>
      </c>
      <c r="D197" s="48">
        <f>IFERROR(VLOOKUP(B197,'Renewal Rules'!$A:$B,2,FALSE),"")</f>
        <v>12</v>
      </c>
      <c r="E197" s="47" t="str">
        <f t="shared" si="12"/>
        <v/>
      </c>
      <c r="F197" s="48" t="str">
        <f t="shared" ca="1" si="13"/>
        <v/>
      </c>
      <c r="G197" s="46" t="str">
        <f t="shared" ca="1" si="14"/>
        <v>RED</v>
      </c>
      <c r="H197" s="46" t="str">
        <f t="shared" ca="1" si="15"/>
        <v>Not Started</v>
      </c>
      <c r="I197" s="21"/>
    </row>
    <row r="198" spans="1:9" x14ac:dyDescent="0.35">
      <c r="A198" s="46" t="s">
        <v>216</v>
      </c>
      <c r="B198" s="46" t="s">
        <v>186</v>
      </c>
      <c r="C198" s="47" t="str">
        <f>Matrix!CI4</f>
        <v>NS</v>
      </c>
      <c r="D198" s="48">
        <f>IFERROR(VLOOKUP(B198,'Renewal Rules'!$A:$B,2,FALSE),"")</f>
        <v>36</v>
      </c>
      <c r="E198" s="47" t="str">
        <f t="shared" si="12"/>
        <v/>
      </c>
      <c r="F198" s="48" t="str">
        <f t="shared" ca="1" si="13"/>
        <v/>
      </c>
      <c r="G198" s="46" t="str">
        <f t="shared" ca="1" si="14"/>
        <v>RED</v>
      </c>
      <c r="H198" s="46" t="str">
        <f t="shared" ca="1" si="15"/>
        <v>Not Started</v>
      </c>
      <c r="I198" s="21"/>
    </row>
    <row r="199" spans="1:9" x14ac:dyDescent="0.35">
      <c r="A199" s="46" t="s">
        <v>216</v>
      </c>
      <c r="B199" s="46" t="s">
        <v>187</v>
      </c>
      <c r="C199" s="47" t="str">
        <f>Matrix!CJ4</f>
        <v>NS</v>
      </c>
      <c r="D199" s="48">
        <f>IFERROR(VLOOKUP(B199,'Renewal Rules'!$A:$B,2,FALSE),"")</f>
        <v>12</v>
      </c>
      <c r="E199" s="47" t="str">
        <f t="shared" si="12"/>
        <v/>
      </c>
      <c r="F199" s="48" t="str">
        <f t="shared" ca="1" si="13"/>
        <v/>
      </c>
      <c r="G199" s="46" t="str">
        <f t="shared" ca="1" si="14"/>
        <v>RED</v>
      </c>
      <c r="H199" s="46" t="str">
        <f t="shared" ca="1" si="15"/>
        <v>Not Started</v>
      </c>
      <c r="I199" s="21"/>
    </row>
    <row r="200" spans="1:9" x14ac:dyDescent="0.35">
      <c r="A200" s="46" t="s">
        <v>216</v>
      </c>
      <c r="B200" s="46" t="s">
        <v>188</v>
      </c>
      <c r="C200" s="47" t="str">
        <f>Matrix!CK4</f>
        <v>NS</v>
      </c>
      <c r="D200" s="48">
        <f>IFERROR(VLOOKUP(B200,'Renewal Rules'!$A:$B,2,FALSE),"")</f>
        <v>36</v>
      </c>
      <c r="E200" s="47" t="str">
        <f t="shared" si="12"/>
        <v/>
      </c>
      <c r="F200" s="48" t="str">
        <f t="shared" ca="1" si="13"/>
        <v/>
      </c>
      <c r="G200" s="46" t="str">
        <f t="shared" ca="1" si="14"/>
        <v>RED</v>
      </c>
      <c r="H200" s="46" t="str">
        <f t="shared" ca="1" si="15"/>
        <v>Not Started</v>
      </c>
      <c r="I200" s="21"/>
    </row>
    <row r="201" spans="1:9" x14ac:dyDescent="0.35">
      <c r="A201" s="46" t="s">
        <v>216</v>
      </c>
      <c r="B201" s="46" t="s">
        <v>189</v>
      </c>
      <c r="C201" s="47" t="str">
        <f>Matrix!CL4</f>
        <v>NS</v>
      </c>
      <c r="D201" s="48">
        <f>IFERROR(VLOOKUP(B201,'Renewal Rules'!$A:$B,2,FALSE),"")</f>
        <v>36</v>
      </c>
      <c r="E201" s="47" t="str">
        <f t="shared" si="12"/>
        <v/>
      </c>
      <c r="F201" s="48" t="str">
        <f t="shared" ca="1" si="13"/>
        <v/>
      </c>
      <c r="G201" s="46" t="str">
        <f t="shared" ca="1" si="14"/>
        <v>RED</v>
      </c>
      <c r="H201" s="46" t="str">
        <f t="shared" ca="1" si="15"/>
        <v>Not Started</v>
      </c>
      <c r="I201" s="21"/>
    </row>
    <row r="202" spans="1:9" x14ac:dyDescent="0.35">
      <c r="A202" s="46" t="s">
        <v>216</v>
      </c>
      <c r="B202" s="46" t="s">
        <v>190</v>
      </c>
      <c r="C202" s="47" t="str">
        <f>Matrix!CM4</f>
        <v>NS</v>
      </c>
      <c r="D202" s="48">
        <f>IFERROR(VLOOKUP(B202,'Renewal Rules'!$A:$B,2,FALSE),"")</f>
        <v>12</v>
      </c>
      <c r="E202" s="47" t="str">
        <f t="shared" si="12"/>
        <v/>
      </c>
      <c r="F202" s="48" t="str">
        <f t="shared" ca="1" si="13"/>
        <v/>
      </c>
      <c r="G202" s="46" t="str">
        <f t="shared" ca="1" si="14"/>
        <v>RED</v>
      </c>
      <c r="H202" s="46" t="str">
        <f t="shared" ca="1" si="15"/>
        <v>Not Started</v>
      </c>
      <c r="I202" s="21"/>
    </row>
    <row r="203" spans="1:9" x14ac:dyDescent="0.35">
      <c r="A203" s="46" t="s">
        <v>216</v>
      </c>
      <c r="B203" s="46" t="s">
        <v>191</v>
      </c>
      <c r="C203" s="47" t="str">
        <f>Matrix!CN4</f>
        <v>NS</v>
      </c>
      <c r="D203" s="48">
        <f>IFERROR(VLOOKUP(B203,'Renewal Rules'!$A:$B,2,FALSE),"")</f>
        <v>36</v>
      </c>
      <c r="E203" s="47" t="str">
        <f t="shared" si="12"/>
        <v/>
      </c>
      <c r="F203" s="48" t="str">
        <f t="shared" ca="1" si="13"/>
        <v/>
      </c>
      <c r="G203" s="46" t="str">
        <f t="shared" ca="1" si="14"/>
        <v>RED</v>
      </c>
      <c r="H203" s="46" t="str">
        <f t="shared" ca="1" si="15"/>
        <v>Not Started</v>
      </c>
      <c r="I203" s="21"/>
    </row>
    <row r="204" spans="1:9" x14ac:dyDescent="0.35">
      <c r="A204" s="46" t="s">
        <v>216</v>
      </c>
      <c r="B204" s="46" t="s">
        <v>192</v>
      </c>
      <c r="C204" s="47" t="str">
        <f>Matrix!CO4</f>
        <v>NS</v>
      </c>
      <c r="D204" s="48">
        <f>IFERROR(VLOOKUP(B204,'Renewal Rules'!$A:$B,2,FALSE),"")</f>
        <v>12</v>
      </c>
      <c r="E204" s="47" t="str">
        <f t="shared" si="12"/>
        <v/>
      </c>
      <c r="F204" s="48" t="str">
        <f t="shared" ca="1" si="13"/>
        <v/>
      </c>
      <c r="G204" s="46" t="str">
        <f t="shared" ca="1" si="14"/>
        <v>RED</v>
      </c>
      <c r="H204" s="46" t="str">
        <f t="shared" ca="1" si="15"/>
        <v>Not Started</v>
      </c>
      <c r="I204" s="21"/>
    </row>
    <row r="205" spans="1:9" ht="12.9" customHeight="1" x14ac:dyDescent="0.35">
      <c r="A205" s="46" t="s">
        <v>216</v>
      </c>
      <c r="B205" s="46" t="s">
        <v>193</v>
      </c>
      <c r="C205" s="47" t="str">
        <f>Matrix!CP4</f>
        <v>NS</v>
      </c>
      <c r="D205" s="48">
        <f>IFERROR(VLOOKUP(B205,'Renewal Rules'!$A:$B,2,FALSE),"")</f>
        <v>12</v>
      </c>
      <c r="E205" s="47" t="str">
        <f t="shared" si="12"/>
        <v/>
      </c>
      <c r="F205" s="48" t="str">
        <f t="shared" ca="1" si="13"/>
        <v/>
      </c>
      <c r="G205" s="46" t="str">
        <f t="shared" ca="1" si="14"/>
        <v>RED</v>
      </c>
      <c r="H205" s="46" t="str">
        <f t="shared" ca="1" si="15"/>
        <v>Not Started</v>
      </c>
      <c r="I205" s="21"/>
    </row>
    <row r="206" spans="1:9" x14ac:dyDescent="0.35">
      <c r="A206" s="46" t="s">
        <v>216</v>
      </c>
      <c r="B206" s="46" t="s">
        <v>194</v>
      </c>
      <c r="C206" s="47" t="str">
        <f>Matrix!CQ4</f>
        <v>NS</v>
      </c>
      <c r="D206" s="48">
        <f>IFERROR(VLOOKUP(B206,'Renewal Rules'!$A:$B,2,FALSE),"")</f>
        <v>36</v>
      </c>
      <c r="E206" s="47" t="str">
        <f t="shared" si="12"/>
        <v/>
      </c>
      <c r="F206" s="48" t="str">
        <f t="shared" ca="1" si="13"/>
        <v/>
      </c>
      <c r="G206" s="46" t="str">
        <f t="shared" ca="1" si="14"/>
        <v>RED</v>
      </c>
      <c r="H206" s="46" t="str">
        <f t="shared" ca="1" si="15"/>
        <v>Not Started</v>
      </c>
      <c r="I206" s="21"/>
    </row>
    <row r="207" spans="1:9" ht="12.9" customHeight="1" x14ac:dyDescent="0.35">
      <c r="A207" s="46" t="s">
        <v>216</v>
      </c>
      <c r="B207" s="46" t="s">
        <v>195</v>
      </c>
      <c r="C207" s="47" t="str">
        <f>Matrix!CR4</f>
        <v>NS</v>
      </c>
      <c r="D207" s="48">
        <f>IFERROR(VLOOKUP(B207,'Renewal Rules'!$A:$B,2,FALSE),"")</f>
        <v>36</v>
      </c>
      <c r="E207" s="47" t="str">
        <f t="shared" si="12"/>
        <v/>
      </c>
      <c r="F207" s="48" t="str">
        <f t="shared" ca="1" si="13"/>
        <v/>
      </c>
      <c r="G207" s="46" t="str">
        <f t="shared" ca="1" si="14"/>
        <v>RED</v>
      </c>
      <c r="H207" s="46" t="str">
        <f t="shared" ca="1" si="15"/>
        <v>Not Started</v>
      </c>
      <c r="I207" s="21"/>
    </row>
    <row r="208" spans="1:9" x14ac:dyDescent="0.35">
      <c r="A208" s="46" t="s">
        <v>216</v>
      </c>
      <c r="B208" s="46" t="s">
        <v>196</v>
      </c>
      <c r="C208" s="47" t="str">
        <f>Matrix!CS4</f>
        <v>NS</v>
      </c>
      <c r="D208" s="48">
        <f>IFERROR(VLOOKUP(B208,'Renewal Rules'!$A:$B,2,FALSE),"")</f>
        <v>36</v>
      </c>
      <c r="E208" s="47" t="str">
        <f t="shared" si="12"/>
        <v/>
      </c>
      <c r="F208" s="48" t="str">
        <f t="shared" ca="1" si="13"/>
        <v/>
      </c>
      <c r="G208" s="46" t="str">
        <f t="shared" ca="1" si="14"/>
        <v>RED</v>
      </c>
      <c r="H208" s="46" t="str">
        <f t="shared" ca="1" si="15"/>
        <v>Not Started</v>
      </c>
      <c r="I208" s="21"/>
    </row>
    <row r="209" spans="1:9" x14ac:dyDescent="0.35">
      <c r="A209" s="46" t="s">
        <v>216</v>
      </c>
      <c r="B209" s="46" t="s">
        <v>197</v>
      </c>
      <c r="C209" s="47" t="str">
        <f>Matrix!CT4</f>
        <v>NS</v>
      </c>
      <c r="D209" s="48">
        <f>IFERROR(VLOOKUP(B209,'Renewal Rules'!$A:$B,2,FALSE),"")</f>
        <v>12</v>
      </c>
      <c r="E209" s="47" t="str">
        <f t="shared" si="12"/>
        <v/>
      </c>
      <c r="F209" s="48" t="str">
        <f t="shared" ca="1" si="13"/>
        <v/>
      </c>
      <c r="G209" s="46" t="str">
        <f t="shared" ca="1" si="14"/>
        <v>RED</v>
      </c>
      <c r="H209" s="46" t="str">
        <f t="shared" ca="1" si="15"/>
        <v>Not Started</v>
      </c>
      <c r="I209" s="21"/>
    </row>
    <row r="210" spans="1:9" x14ac:dyDescent="0.35">
      <c r="A210" s="46" t="s">
        <v>216</v>
      </c>
      <c r="B210" s="46" t="s">
        <v>198</v>
      </c>
      <c r="C210" s="47" t="str">
        <f>Matrix!CU4</f>
        <v>NS</v>
      </c>
      <c r="D210" s="48">
        <f>IFERROR(VLOOKUP(B210,'Renewal Rules'!$A:$B,2,FALSE),"")</f>
        <v>12</v>
      </c>
      <c r="E210" s="47" t="str">
        <f t="shared" si="12"/>
        <v/>
      </c>
      <c r="F210" s="48" t="str">
        <f t="shared" ca="1" si="13"/>
        <v/>
      </c>
      <c r="G210" s="46" t="str">
        <f t="shared" ca="1" si="14"/>
        <v>RED</v>
      </c>
      <c r="H210" s="46" t="str">
        <f t="shared" ca="1" si="15"/>
        <v>Not Started</v>
      </c>
      <c r="I210" s="21"/>
    </row>
    <row r="211" spans="1:9" x14ac:dyDescent="0.35">
      <c r="A211" s="46" t="s">
        <v>216</v>
      </c>
      <c r="B211" s="46" t="s">
        <v>199</v>
      </c>
      <c r="C211" s="47" t="str">
        <f>Matrix!CV4</f>
        <v>NS</v>
      </c>
      <c r="D211" s="48">
        <f>IFERROR(VLOOKUP(B211,'Renewal Rules'!$A:$B,2,FALSE),"")</f>
        <v>12</v>
      </c>
      <c r="E211" s="47" t="str">
        <f t="shared" si="12"/>
        <v/>
      </c>
      <c r="F211" s="48" t="str">
        <f t="shared" ca="1" si="13"/>
        <v/>
      </c>
      <c r="G211" s="46" t="str">
        <f t="shared" ca="1" si="14"/>
        <v>RED</v>
      </c>
      <c r="H211" s="46" t="str">
        <f t="shared" ca="1" si="15"/>
        <v>Not Started</v>
      </c>
      <c r="I211" s="21"/>
    </row>
    <row r="212" spans="1:9" ht="12.9" customHeight="1" x14ac:dyDescent="0.35">
      <c r="A212" s="46" t="s">
        <v>216</v>
      </c>
      <c r="B212" s="46" t="s">
        <v>200</v>
      </c>
      <c r="C212" s="47" t="str">
        <f>Matrix!CW4</f>
        <v>NS</v>
      </c>
      <c r="D212" s="48">
        <f>IFERROR(VLOOKUP(B212,'Renewal Rules'!$A:$B,2,FALSE),"")</f>
        <v>12</v>
      </c>
      <c r="E212" s="47" t="str">
        <f t="shared" si="12"/>
        <v/>
      </c>
      <c r="F212" s="48" t="str">
        <f t="shared" ca="1" si="13"/>
        <v/>
      </c>
      <c r="G212" s="46" t="str">
        <f t="shared" ca="1" si="14"/>
        <v>RED</v>
      </c>
      <c r="H212" s="46" t="str">
        <f t="shared" ca="1" si="15"/>
        <v>Not Started</v>
      </c>
      <c r="I212" s="21"/>
    </row>
    <row r="213" spans="1:9" x14ac:dyDescent="0.35">
      <c r="A213" s="46" t="s">
        <v>216</v>
      </c>
      <c r="B213" s="46" t="s">
        <v>201</v>
      </c>
      <c r="C213" s="47" t="str">
        <f>Matrix!CX4</f>
        <v>NS</v>
      </c>
      <c r="D213" s="48">
        <f>IFERROR(VLOOKUP(B213,'Renewal Rules'!$A:$B,2,FALSE),"")</f>
        <v>12</v>
      </c>
      <c r="E213" s="47" t="str">
        <f t="shared" si="12"/>
        <v/>
      </c>
      <c r="F213" s="48" t="str">
        <f t="shared" ca="1" si="13"/>
        <v/>
      </c>
      <c r="G213" s="46" t="str">
        <f t="shared" ca="1" si="14"/>
        <v>RED</v>
      </c>
      <c r="H213" s="46" t="str">
        <f t="shared" ca="1" si="15"/>
        <v>Not Started</v>
      </c>
      <c r="I213" s="21"/>
    </row>
    <row r="214" spans="1:9" x14ac:dyDescent="0.35">
      <c r="A214" s="46" t="s">
        <v>216</v>
      </c>
      <c r="B214" s="46" t="s">
        <v>202</v>
      </c>
      <c r="C214" s="47" t="str">
        <f>Matrix!CY4</f>
        <v>NS</v>
      </c>
      <c r="D214" s="48">
        <f>IFERROR(VLOOKUP(B214,'Renewal Rules'!$A:$B,2,FALSE),"")</f>
        <v>36</v>
      </c>
      <c r="E214" s="47" t="str">
        <f t="shared" si="12"/>
        <v/>
      </c>
      <c r="F214" s="48" t="str">
        <f t="shared" ca="1" si="13"/>
        <v/>
      </c>
      <c r="G214" s="46" t="str">
        <f t="shared" ca="1" si="14"/>
        <v>RED</v>
      </c>
      <c r="H214" s="46" t="str">
        <f t="shared" ca="1" si="15"/>
        <v>Not Started</v>
      </c>
      <c r="I214" s="21"/>
    </row>
    <row r="215" spans="1:9" ht="12.9" customHeight="1" x14ac:dyDescent="0.35">
      <c r="A215" s="46" t="s">
        <v>216</v>
      </c>
      <c r="B215" s="46" t="s">
        <v>203</v>
      </c>
      <c r="C215" s="47" t="str">
        <f>Matrix!CZ4</f>
        <v>NS</v>
      </c>
      <c r="D215" s="48">
        <f>IFERROR(VLOOKUP(B215,'Renewal Rules'!$A:$B,2,FALSE),"")</f>
        <v>12</v>
      </c>
      <c r="E215" s="47" t="str">
        <f t="shared" si="12"/>
        <v/>
      </c>
      <c r="F215" s="48" t="str">
        <f t="shared" ca="1" si="13"/>
        <v/>
      </c>
      <c r="G215" s="46" t="str">
        <f t="shared" ca="1" si="14"/>
        <v>RED</v>
      </c>
      <c r="H215" s="46" t="str">
        <f t="shared" ca="1" si="15"/>
        <v>Not Started</v>
      </c>
      <c r="I215" s="21"/>
    </row>
    <row r="216" spans="1:9" x14ac:dyDescent="0.35">
      <c r="A216" s="46" t="s">
        <v>216</v>
      </c>
      <c r="B216" s="46" t="s">
        <v>204</v>
      </c>
      <c r="C216" s="47" t="str">
        <f>Matrix!DA4</f>
        <v>NS</v>
      </c>
      <c r="D216" s="48">
        <f>IFERROR(VLOOKUP(B216,'Renewal Rules'!$A:$B,2,FALSE),"")</f>
        <v>12</v>
      </c>
      <c r="E216" s="47" t="str">
        <f t="shared" si="12"/>
        <v/>
      </c>
      <c r="F216" s="48" t="str">
        <f t="shared" ca="1" si="13"/>
        <v/>
      </c>
      <c r="G216" s="46" t="str">
        <f t="shared" ca="1" si="14"/>
        <v>RED</v>
      </c>
      <c r="H216" s="46" t="str">
        <f t="shared" ca="1" si="15"/>
        <v>Not Started</v>
      </c>
      <c r="I216" s="21"/>
    </row>
    <row r="217" spans="1:9" x14ac:dyDescent="0.35">
      <c r="A217" s="46" t="s">
        <v>216</v>
      </c>
      <c r="B217" s="46" t="s">
        <v>205</v>
      </c>
      <c r="C217" s="47" t="str">
        <f>Matrix!DB4</f>
        <v>NS</v>
      </c>
      <c r="D217" s="48">
        <f>IFERROR(VLOOKUP(B217,'Renewal Rules'!$A:$B,2,FALSE),"")</f>
        <v>36</v>
      </c>
      <c r="E217" s="47" t="str">
        <f t="shared" si="12"/>
        <v/>
      </c>
      <c r="F217" s="48" t="str">
        <f t="shared" ca="1" si="13"/>
        <v/>
      </c>
      <c r="G217" s="46" t="str">
        <f t="shared" ca="1" si="14"/>
        <v>RED</v>
      </c>
      <c r="H217" s="46" t="str">
        <f t="shared" ca="1" si="15"/>
        <v>Not Started</v>
      </c>
      <c r="I217" s="21"/>
    </row>
    <row r="218" spans="1:9" x14ac:dyDescent="0.35">
      <c r="A218" s="46" t="s">
        <v>216</v>
      </c>
      <c r="B218" s="46" t="s">
        <v>94</v>
      </c>
      <c r="C218" s="47" t="str">
        <f>Matrix!DC4</f>
        <v>13/04/2026</v>
      </c>
      <c r="D218" s="48">
        <f>IFERROR(VLOOKUP(B218,'Renewal Rules'!$A:$B,2,FALSE),"")</f>
        <v>12</v>
      </c>
      <c r="E218" s="47">
        <f t="shared" si="12"/>
        <v>46490</v>
      </c>
      <c r="F218" s="48">
        <f t="shared" ca="1" si="13"/>
        <v>287</v>
      </c>
      <c r="G218" s="46" t="str">
        <f t="shared" ca="1" si="14"/>
        <v>GREEN</v>
      </c>
      <c r="H218" s="46" t="str">
        <f t="shared" ca="1" si="15"/>
        <v>Current</v>
      </c>
      <c r="I218" s="21"/>
    </row>
    <row r="219" spans="1:9" x14ac:dyDescent="0.35">
      <c r="A219" s="46" t="s">
        <v>216</v>
      </c>
      <c r="B219" s="46" t="s">
        <v>206</v>
      </c>
      <c r="C219" s="47" t="str">
        <f>Matrix!DD4</f>
        <v>NS</v>
      </c>
      <c r="D219" s="48">
        <f>IFERROR(VLOOKUP(B219,'Renewal Rules'!$A:$B,2,FALSE),"")</f>
        <v>36</v>
      </c>
      <c r="E219" s="47" t="str">
        <f t="shared" si="12"/>
        <v/>
      </c>
      <c r="F219" s="48" t="str">
        <f t="shared" ca="1" si="13"/>
        <v/>
      </c>
      <c r="G219" s="46" t="str">
        <f t="shared" ca="1" si="14"/>
        <v>RED</v>
      </c>
      <c r="H219" s="46" t="str">
        <f t="shared" ca="1" si="15"/>
        <v>Not Started</v>
      </c>
      <c r="I219" s="21"/>
    </row>
    <row r="220" spans="1:9" x14ac:dyDescent="0.35">
      <c r="A220" s="46" t="s">
        <v>216</v>
      </c>
      <c r="B220" s="46" t="s">
        <v>207</v>
      </c>
      <c r="C220" s="47" t="str">
        <f>Matrix!DE4</f>
        <v>NS</v>
      </c>
      <c r="D220" s="48">
        <f>IFERROR(VLOOKUP(B220,'Renewal Rules'!$A:$B,2,FALSE),"")</f>
        <v>36</v>
      </c>
      <c r="E220" s="47" t="str">
        <f t="shared" si="12"/>
        <v/>
      </c>
      <c r="F220" s="48" t="str">
        <f t="shared" ca="1" si="13"/>
        <v/>
      </c>
      <c r="G220" s="46" t="str">
        <f t="shared" ca="1" si="14"/>
        <v>RED</v>
      </c>
      <c r="H220" s="46" t="str">
        <f t="shared" ca="1" si="15"/>
        <v>Not Started</v>
      </c>
      <c r="I220" s="21"/>
    </row>
    <row r="221" spans="1:9" x14ac:dyDescent="0.35">
      <c r="A221" s="46" t="s">
        <v>216</v>
      </c>
      <c r="B221" s="46" t="s">
        <v>208</v>
      </c>
      <c r="C221" s="47" t="str">
        <f>Matrix!DF4</f>
        <v>NS</v>
      </c>
      <c r="D221" s="48">
        <f>IFERROR(VLOOKUP(B221,'Renewal Rules'!$A:$B,2,FALSE),"")</f>
        <v>36</v>
      </c>
      <c r="E221" s="47" t="str">
        <f t="shared" si="12"/>
        <v/>
      </c>
      <c r="F221" s="48" t="str">
        <f t="shared" ca="1" si="13"/>
        <v/>
      </c>
      <c r="G221" s="46" t="str">
        <f t="shared" ca="1" si="14"/>
        <v>RED</v>
      </c>
      <c r="H221" s="46" t="str">
        <f t="shared" ca="1" si="15"/>
        <v>Not Started</v>
      </c>
      <c r="I221" s="21"/>
    </row>
    <row r="222" spans="1:9" x14ac:dyDescent="0.35">
      <c r="A222" s="46" t="s">
        <v>216</v>
      </c>
      <c r="B222" s="46" t="s">
        <v>104</v>
      </c>
      <c r="C222" s="47" t="str">
        <f>Matrix!DG4</f>
        <v>NS</v>
      </c>
      <c r="D222" s="48">
        <f>IFERROR(VLOOKUP(B222,'Renewal Rules'!$A:$B,2,FALSE),"")</f>
        <v>12</v>
      </c>
      <c r="E222" s="47" t="str">
        <f t="shared" si="12"/>
        <v/>
      </c>
      <c r="F222" s="48" t="str">
        <f t="shared" ca="1" si="13"/>
        <v/>
      </c>
      <c r="G222" s="46" t="str">
        <f t="shared" ca="1" si="14"/>
        <v>RED</v>
      </c>
      <c r="H222" s="46" t="str">
        <f t="shared" ca="1" si="15"/>
        <v>Not Started</v>
      </c>
      <c r="I222" s="21"/>
    </row>
    <row r="223" spans="1:9" x14ac:dyDescent="0.35">
      <c r="A223" s="46" t="s">
        <v>218</v>
      </c>
      <c r="B223" s="46" t="s">
        <v>111</v>
      </c>
      <c r="C223" s="47" t="str">
        <f>Matrix!B5</f>
        <v>NS</v>
      </c>
      <c r="D223" s="48">
        <f>IFERROR(VLOOKUP(B223,'Renewal Rules'!$A:$B,2,FALSE),"")</f>
        <v>36</v>
      </c>
      <c r="E223" s="47" t="str">
        <f t="shared" si="12"/>
        <v/>
      </c>
      <c r="F223" s="48" t="str">
        <f t="shared" ca="1" si="13"/>
        <v/>
      </c>
      <c r="G223" s="46" t="str">
        <f t="shared" ca="1" si="14"/>
        <v>RED</v>
      </c>
      <c r="H223" s="46" t="str">
        <f t="shared" ca="1" si="15"/>
        <v>Not Started</v>
      </c>
      <c r="I223" s="21"/>
    </row>
    <row r="224" spans="1:9" x14ac:dyDescent="0.35">
      <c r="A224" s="46" t="s">
        <v>218</v>
      </c>
      <c r="B224" s="46" t="s">
        <v>100</v>
      </c>
      <c r="C224" s="47" t="str">
        <f>Matrix!C5</f>
        <v>21/06/2026</v>
      </c>
      <c r="D224" s="48">
        <f>IFERROR(VLOOKUP(B224,'Renewal Rules'!$A:$B,2,FALSE),"")</f>
        <v>36</v>
      </c>
      <c r="E224" s="47">
        <f t="shared" si="12"/>
        <v>47290</v>
      </c>
      <c r="F224" s="48">
        <f t="shared" ca="1" si="13"/>
        <v>1087</v>
      </c>
      <c r="G224" s="46" t="str">
        <f t="shared" ca="1" si="14"/>
        <v>GREEN</v>
      </c>
      <c r="H224" s="46" t="str">
        <f t="shared" ca="1" si="15"/>
        <v>Current</v>
      </c>
      <c r="I224" s="21"/>
    </row>
    <row r="225" spans="1:9" x14ac:dyDescent="0.35">
      <c r="A225" s="46" t="s">
        <v>218</v>
      </c>
      <c r="B225" s="46" t="s">
        <v>112</v>
      </c>
      <c r="C225" s="47">
        <f>Matrix!D5</f>
        <v>46193</v>
      </c>
      <c r="D225" s="48">
        <f>IFERROR(VLOOKUP(B225,'Renewal Rules'!$A:$B,2,FALSE),"")</f>
        <v>12</v>
      </c>
      <c r="E225" s="47">
        <f t="shared" si="12"/>
        <v>46558</v>
      </c>
      <c r="F225" s="48">
        <f t="shared" ca="1" si="13"/>
        <v>355</v>
      </c>
      <c r="G225" s="46" t="str">
        <f t="shared" ca="1" si="14"/>
        <v>GREEN</v>
      </c>
      <c r="H225" s="46" t="str">
        <f t="shared" ca="1" si="15"/>
        <v>Current</v>
      </c>
      <c r="I225" s="21"/>
    </row>
    <row r="226" spans="1:9" x14ac:dyDescent="0.35">
      <c r="A226" s="46" t="s">
        <v>218</v>
      </c>
      <c r="B226" s="46" t="s">
        <v>96</v>
      </c>
      <c r="C226" s="47">
        <f>Matrix!E5</f>
        <v>46192</v>
      </c>
      <c r="D226" s="48">
        <f>IFERROR(VLOOKUP(B226,'Renewal Rules'!$A:$B,2,FALSE),"")</f>
        <v>36</v>
      </c>
      <c r="E226" s="47">
        <f t="shared" si="12"/>
        <v>47288</v>
      </c>
      <c r="F226" s="48">
        <f t="shared" ca="1" si="13"/>
        <v>1085</v>
      </c>
      <c r="G226" s="46" t="str">
        <f t="shared" ca="1" si="14"/>
        <v>GREEN</v>
      </c>
      <c r="H226" s="46" t="str">
        <f t="shared" ca="1" si="15"/>
        <v>Current</v>
      </c>
      <c r="I226" s="21"/>
    </row>
    <row r="227" spans="1:9" x14ac:dyDescent="0.35">
      <c r="A227" s="46" t="s">
        <v>218</v>
      </c>
      <c r="B227" s="46" t="s">
        <v>113</v>
      </c>
      <c r="C227" s="47">
        <f>Matrix!F5</f>
        <v>46193</v>
      </c>
      <c r="D227" s="48">
        <f>IFERROR(VLOOKUP(B227,'Renewal Rules'!$A:$B,2,FALSE),"")</f>
        <v>36</v>
      </c>
      <c r="E227" s="47">
        <f t="shared" si="12"/>
        <v>47289</v>
      </c>
      <c r="F227" s="48">
        <f t="shared" ca="1" si="13"/>
        <v>1086</v>
      </c>
      <c r="G227" s="46" t="str">
        <f t="shared" ca="1" si="14"/>
        <v>GREEN</v>
      </c>
      <c r="H227" s="46" t="str">
        <f t="shared" ca="1" si="15"/>
        <v>Current</v>
      </c>
      <c r="I227" s="21"/>
    </row>
    <row r="228" spans="1:9" x14ac:dyDescent="0.35">
      <c r="A228" s="46" t="s">
        <v>218</v>
      </c>
      <c r="B228" s="46" t="s">
        <v>114</v>
      </c>
      <c r="C228" s="47">
        <f>Matrix!G5</f>
        <v>46195</v>
      </c>
      <c r="D228" s="48">
        <f>IFERROR(VLOOKUP(B228,'Renewal Rules'!$A:$B,2,FALSE),"")</f>
        <v>12</v>
      </c>
      <c r="E228" s="47">
        <f t="shared" si="12"/>
        <v>46560</v>
      </c>
      <c r="F228" s="48">
        <f t="shared" ca="1" si="13"/>
        <v>357</v>
      </c>
      <c r="G228" s="46" t="str">
        <f t="shared" ca="1" si="14"/>
        <v>GREEN</v>
      </c>
      <c r="H228" s="46" t="str">
        <f t="shared" ca="1" si="15"/>
        <v>Current</v>
      </c>
      <c r="I228" s="21"/>
    </row>
    <row r="229" spans="1:9" x14ac:dyDescent="0.35">
      <c r="A229" s="46" t="s">
        <v>218</v>
      </c>
      <c r="B229" s="46" t="s">
        <v>115</v>
      </c>
      <c r="C229" s="47">
        <f>Matrix!H5</f>
        <v>46195</v>
      </c>
      <c r="D229" s="48">
        <f>IFERROR(VLOOKUP(B229,'Renewal Rules'!$A:$B,2,FALSE),"")</f>
        <v>36</v>
      </c>
      <c r="E229" s="47">
        <f t="shared" si="12"/>
        <v>47291</v>
      </c>
      <c r="F229" s="48">
        <f t="shared" ca="1" si="13"/>
        <v>1088</v>
      </c>
      <c r="G229" s="46" t="str">
        <f t="shared" ca="1" si="14"/>
        <v>GREEN</v>
      </c>
      <c r="H229" s="46" t="str">
        <f t="shared" ca="1" si="15"/>
        <v>Current</v>
      </c>
      <c r="I229" s="21"/>
    </row>
    <row r="230" spans="1:9" x14ac:dyDescent="0.35">
      <c r="A230" s="46" t="s">
        <v>218</v>
      </c>
      <c r="B230" s="46" t="s">
        <v>116</v>
      </c>
      <c r="C230" s="47" t="str">
        <f>Matrix!I5</f>
        <v>NS</v>
      </c>
      <c r="D230" s="48">
        <f>IFERROR(VLOOKUP(B230,'Renewal Rules'!$A:$B,2,FALSE),"")</f>
        <v>36</v>
      </c>
      <c r="E230" s="47" t="str">
        <f t="shared" si="12"/>
        <v/>
      </c>
      <c r="F230" s="48" t="str">
        <f t="shared" ca="1" si="13"/>
        <v/>
      </c>
      <c r="G230" s="46" t="str">
        <f t="shared" ca="1" si="14"/>
        <v>RED</v>
      </c>
      <c r="H230" s="46" t="str">
        <f t="shared" ca="1" si="15"/>
        <v>Not Started</v>
      </c>
      <c r="I230" s="21"/>
    </row>
    <row r="231" spans="1:9" x14ac:dyDescent="0.35">
      <c r="A231" s="46" t="s">
        <v>218</v>
      </c>
      <c r="B231" s="46" t="s">
        <v>117</v>
      </c>
      <c r="C231" s="47">
        <f>Matrix!J5</f>
        <v>46194</v>
      </c>
      <c r="D231" s="48">
        <f>IFERROR(VLOOKUP(B231,'Renewal Rules'!$A:$B,2,FALSE),"")</f>
        <v>12</v>
      </c>
      <c r="E231" s="47">
        <f t="shared" si="12"/>
        <v>46559</v>
      </c>
      <c r="F231" s="48">
        <f t="shared" ca="1" si="13"/>
        <v>356</v>
      </c>
      <c r="G231" s="46" t="str">
        <f t="shared" ca="1" si="14"/>
        <v>GREEN</v>
      </c>
      <c r="H231" s="46" t="str">
        <f t="shared" ca="1" si="15"/>
        <v>Current</v>
      </c>
      <c r="I231" s="21"/>
    </row>
    <row r="232" spans="1:9" x14ac:dyDescent="0.35">
      <c r="A232" s="46" t="s">
        <v>218</v>
      </c>
      <c r="B232" s="46" t="s">
        <v>118</v>
      </c>
      <c r="C232" s="47" t="str">
        <f>Matrix!K5</f>
        <v>19/06/2026</v>
      </c>
      <c r="D232" s="48">
        <f>IFERROR(VLOOKUP(B232,'Renewal Rules'!$A:$B,2,FALSE),"")</f>
        <v>36</v>
      </c>
      <c r="E232" s="47">
        <f t="shared" si="12"/>
        <v>47288</v>
      </c>
      <c r="F232" s="48">
        <f t="shared" ca="1" si="13"/>
        <v>1085</v>
      </c>
      <c r="G232" s="46" t="str">
        <f t="shared" ca="1" si="14"/>
        <v>GREEN</v>
      </c>
      <c r="H232" s="46" t="str">
        <f t="shared" ca="1" si="15"/>
        <v>Current</v>
      </c>
      <c r="I232" s="21"/>
    </row>
    <row r="233" spans="1:9" x14ac:dyDescent="0.35">
      <c r="A233" s="46" t="s">
        <v>218</v>
      </c>
      <c r="B233" s="46" t="s">
        <v>119</v>
      </c>
      <c r="C233" s="47">
        <f>Matrix!L5</f>
        <v>46196</v>
      </c>
      <c r="D233" s="48">
        <f>IFERROR(VLOOKUP(B233,'Renewal Rules'!$A:$B,2,FALSE),"")</f>
        <v>12</v>
      </c>
      <c r="E233" s="47">
        <f t="shared" si="12"/>
        <v>46561</v>
      </c>
      <c r="F233" s="48">
        <f t="shared" ca="1" si="13"/>
        <v>358</v>
      </c>
      <c r="G233" s="46" t="str">
        <f t="shared" ca="1" si="14"/>
        <v>GREEN</v>
      </c>
      <c r="H233" s="46" t="str">
        <f t="shared" ca="1" si="15"/>
        <v>Current</v>
      </c>
      <c r="I233" s="21"/>
    </row>
    <row r="234" spans="1:9" x14ac:dyDescent="0.35">
      <c r="A234" s="46" t="s">
        <v>218</v>
      </c>
      <c r="B234" s="46" t="s">
        <v>120</v>
      </c>
      <c r="C234" s="47">
        <f>Matrix!M5</f>
        <v>46196</v>
      </c>
      <c r="D234" s="48">
        <f>IFERROR(VLOOKUP(B234,'Renewal Rules'!$A:$B,2,FALSE),"")</f>
        <v>12</v>
      </c>
      <c r="E234" s="47">
        <f t="shared" si="12"/>
        <v>46561</v>
      </c>
      <c r="F234" s="48">
        <f t="shared" ca="1" si="13"/>
        <v>358</v>
      </c>
      <c r="G234" s="46" t="str">
        <f t="shared" ca="1" si="14"/>
        <v>GREEN</v>
      </c>
      <c r="H234" s="46" t="str">
        <f t="shared" ca="1" si="15"/>
        <v>Current</v>
      </c>
      <c r="I234" s="21"/>
    </row>
    <row r="235" spans="1:9" x14ac:dyDescent="0.35">
      <c r="A235" s="46" t="s">
        <v>218</v>
      </c>
      <c r="B235" s="46" t="s">
        <v>121</v>
      </c>
      <c r="C235" s="47">
        <f>Matrix!N5</f>
        <v>46196</v>
      </c>
      <c r="D235" s="48">
        <f>IFERROR(VLOOKUP(B235,'Renewal Rules'!$A:$B,2,FALSE),"")</f>
        <v>12</v>
      </c>
      <c r="E235" s="47">
        <f t="shared" si="12"/>
        <v>46561</v>
      </c>
      <c r="F235" s="48">
        <f t="shared" ca="1" si="13"/>
        <v>358</v>
      </c>
      <c r="G235" s="46" t="str">
        <f t="shared" ca="1" si="14"/>
        <v>GREEN</v>
      </c>
      <c r="H235" s="46" t="str">
        <f t="shared" ca="1" si="15"/>
        <v>Current</v>
      </c>
      <c r="I235" s="21"/>
    </row>
    <row r="236" spans="1:9" ht="12.9" customHeight="1" x14ac:dyDescent="0.35">
      <c r="A236" s="46" t="s">
        <v>218</v>
      </c>
      <c r="B236" s="46" t="s">
        <v>103</v>
      </c>
      <c r="C236" s="47">
        <f>Matrix!O5</f>
        <v>46196</v>
      </c>
      <c r="D236" s="48">
        <f>IFERROR(VLOOKUP(B236,'Renewal Rules'!$A:$B,2,FALSE),"")</f>
        <v>36</v>
      </c>
      <c r="E236" s="47">
        <f t="shared" si="12"/>
        <v>47292</v>
      </c>
      <c r="F236" s="48">
        <f t="shared" ca="1" si="13"/>
        <v>1089</v>
      </c>
      <c r="G236" s="46" t="str">
        <f t="shared" ca="1" si="14"/>
        <v>GREEN</v>
      </c>
      <c r="H236" s="46" t="str">
        <f t="shared" ca="1" si="15"/>
        <v>Current</v>
      </c>
      <c r="I236" s="21"/>
    </row>
    <row r="237" spans="1:9" x14ac:dyDescent="0.35">
      <c r="A237" s="46" t="s">
        <v>218</v>
      </c>
      <c r="B237" s="46" t="s">
        <v>122</v>
      </c>
      <c r="C237" s="47" t="str">
        <f>Matrix!P5</f>
        <v>NS</v>
      </c>
      <c r="D237" s="48">
        <f>IFERROR(VLOOKUP(B237,'Renewal Rules'!$A:$B,2,FALSE),"")</f>
        <v>36</v>
      </c>
      <c r="E237" s="47" t="str">
        <f t="shared" si="12"/>
        <v/>
      </c>
      <c r="F237" s="48" t="str">
        <f t="shared" ca="1" si="13"/>
        <v/>
      </c>
      <c r="G237" s="46" t="str">
        <f t="shared" ca="1" si="14"/>
        <v>RED</v>
      </c>
      <c r="H237" s="46" t="str">
        <f t="shared" ca="1" si="15"/>
        <v>Not Started</v>
      </c>
      <c r="I237" s="21"/>
    </row>
    <row r="238" spans="1:9" x14ac:dyDescent="0.35">
      <c r="A238" s="46" t="s">
        <v>218</v>
      </c>
      <c r="B238" s="46" t="s">
        <v>101</v>
      </c>
      <c r="C238" s="47">
        <f>Matrix!Q5</f>
        <v>46194</v>
      </c>
      <c r="D238" s="48">
        <f>IFERROR(VLOOKUP(B238,'Renewal Rules'!$A:$B,2,FALSE),"")</f>
        <v>36</v>
      </c>
      <c r="E238" s="47">
        <f t="shared" si="12"/>
        <v>47290</v>
      </c>
      <c r="F238" s="48">
        <f t="shared" ca="1" si="13"/>
        <v>1087</v>
      </c>
      <c r="G238" s="46" t="str">
        <f t="shared" ca="1" si="14"/>
        <v>GREEN</v>
      </c>
      <c r="H238" s="46" t="str">
        <f t="shared" ca="1" si="15"/>
        <v>Current</v>
      </c>
      <c r="I238" s="21"/>
    </row>
    <row r="239" spans="1:9" x14ac:dyDescent="0.35">
      <c r="A239" s="46" t="s">
        <v>218</v>
      </c>
      <c r="B239" s="46" t="s">
        <v>123</v>
      </c>
      <c r="C239" s="47">
        <f>Matrix!R5</f>
        <v>46194</v>
      </c>
      <c r="D239" s="48">
        <f>IFERROR(VLOOKUP(B239,'Renewal Rules'!$A:$B,2,FALSE),"")</f>
        <v>12</v>
      </c>
      <c r="E239" s="47">
        <f t="shared" si="12"/>
        <v>46559</v>
      </c>
      <c r="F239" s="48">
        <f t="shared" ca="1" si="13"/>
        <v>356</v>
      </c>
      <c r="G239" s="46" t="str">
        <f t="shared" ca="1" si="14"/>
        <v>GREEN</v>
      </c>
      <c r="H239" s="46" t="str">
        <f t="shared" ca="1" si="15"/>
        <v>Current</v>
      </c>
      <c r="I239" s="21"/>
    </row>
    <row r="240" spans="1:9" x14ac:dyDescent="0.35">
      <c r="A240" s="46" t="s">
        <v>218</v>
      </c>
      <c r="B240" s="46" t="s">
        <v>124</v>
      </c>
      <c r="C240" s="47" t="str">
        <f>Matrix!S5</f>
        <v>NS</v>
      </c>
      <c r="D240" s="48">
        <f>IFERROR(VLOOKUP(B240,'Renewal Rules'!$A:$B,2,FALSE),"")</f>
        <v>12</v>
      </c>
      <c r="E240" s="47" t="str">
        <f t="shared" si="12"/>
        <v/>
      </c>
      <c r="F240" s="48" t="str">
        <f t="shared" ca="1" si="13"/>
        <v/>
      </c>
      <c r="G240" s="46" t="str">
        <f t="shared" ca="1" si="14"/>
        <v>RED</v>
      </c>
      <c r="H240" s="46" t="str">
        <f t="shared" ca="1" si="15"/>
        <v>Not Started</v>
      </c>
      <c r="I240" s="21"/>
    </row>
    <row r="241" spans="1:9" x14ac:dyDescent="0.35">
      <c r="A241" s="46" t="s">
        <v>218</v>
      </c>
      <c r="B241" s="46" t="s">
        <v>125</v>
      </c>
      <c r="C241" s="47">
        <f>Matrix!T5</f>
        <v>46194</v>
      </c>
      <c r="D241" s="48">
        <f>IFERROR(VLOOKUP(B241,'Renewal Rules'!$A:$B,2,FALSE),"")</f>
        <v>12</v>
      </c>
      <c r="E241" s="47">
        <f t="shared" si="12"/>
        <v>46559</v>
      </c>
      <c r="F241" s="48">
        <f t="shared" ca="1" si="13"/>
        <v>356</v>
      </c>
      <c r="G241" s="46" t="str">
        <f t="shared" ca="1" si="14"/>
        <v>GREEN</v>
      </c>
      <c r="H241" s="46" t="str">
        <f t="shared" ca="1" si="15"/>
        <v>Current</v>
      </c>
      <c r="I241" s="21"/>
    </row>
    <row r="242" spans="1:9" x14ac:dyDescent="0.35">
      <c r="A242" s="46" t="s">
        <v>218</v>
      </c>
      <c r="B242" s="46" t="s">
        <v>126</v>
      </c>
      <c r="C242" s="47">
        <f>Matrix!U5</f>
        <v>46192</v>
      </c>
      <c r="D242" s="48">
        <f>IFERROR(VLOOKUP(B242,'Renewal Rules'!$A:$B,2,FALSE),"")</f>
        <v>36</v>
      </c>
      <c r="E242" s="47">
        <f t="shared" si="12"/>
        <v>47288</v>
      </c>
      <c r="F242" s="48">
        <f t="shared" ca="1" si="13"/>
        <v>1085</v>
      </c>
      <c r="G242" s="46" t="str">
        <f t="shared" ca="1" si="14"/>
        <v>GREEN</v>
      </c>
      <c r="H242" s="46" t="str">
        <f t="shared" ca="1" si="15"/>
        <v>Current</v>
      </c>
      <c r="I242" s="21"/>
    </row>
    <row r="243" spans="1:9" x14ac:dyDescent="0.35">
      <c r="A243" s="46" t="s">
        <v>218</v>
      </c>
      <c r="B243" s="46" t="s">
        <v>127</v>
      </c>
      <c r="C243" s="47">
        <f>Matrix!V5</f>
        <v>46195</v>
      </c>
      <c r="D243" s="48">
        <f>IFERROR(VLOOKUP(B243,'Renewal Rules'!$A:$B,2,FALSE),"")</f>
        <v>12</v>
      </c>
      <c r="E243" s="47">
        <f t="shared" si="12"/>
        <v>46560</v>
      </c>
      <c r="F243" s="48">
        <f t="shared" ca="1" si="13"/>
        <v>357</v>
      </c>
      <c r="G243" s="46" t="str">
        <f t="shared" ca="1" si="14"/>
        <v>GREEN</v>
      </c>
      <c r="H243" s="46" t="str">
        <f t="shared" ca="1" si="15"/>
        <v>Current</v>
      </c>
      <c r="I243" s="21"/>
    </row>
    <row r="244" spans="1:9" x14ac:dyDescent="0.35">
      <c r="A244" s="46" t="s">
        <v>218</v>
      </c>
      <c r="B244" s="46" t="s">
        <v>128</v>
      </c>
      <c r="C244" s="47" t="str">
        <f>Matrix!W5</f>
        <v>NS</v>
      </c>
      <c r="D244" s="48">
        <f>IFERROR(VLOOKUP(B244,'Renewal Rules'!$A:$B,2,FALSE),"")</f>
        <v>12</v>
      </c>
      <c r="E244" s="47" t="str">
        <f t="shared" si="12"/>
        <v/>
      </c>
      <c r="F244" s="48" t="str">
        <f t="shared" ca="1" si="13"/>
        <v/>
      </c>
      <c r="G244" s="46" t="str">
        <f t="shared" ca="1" si="14"/>
        <v>RED</v>
      </c>
      <c r="H244" s="46" t="str">
        <f t="shared" ca="1" si="15"/>
        <v>Not Started</v>
      </c>
      <c r="I244" s="21"/>
    </row>
    <row r="245" spans="1:9" x14ac:dyDescent="0.35">
      <c r="A245" s="46" t="s">
        <v>218</v>
      </c>
      <c r="B245" s="46" t="s">
        <v>129</v>
      </c>
      <c r="C245" s="47">
        <f>Matrix!X5</f>
        <v>46192</v>
      </c>
      <c r="D245" s="48">
        <f>IFERROR(VLOOKUP(B245,'Renewal Rules'!$A:$B,2,FALSE),"")</f>
        <v>36</v>
      </c>
      <c r="E245" s="47">
        <f t="shared" si="12"/>
        <v>47288</v>
      </c>
      <c r="F245" s="48">
        <f t="shared" ca="1" si="13"/>
        <v>1085</v>
      </c>
      <c r="G245" s="46" t="str">
        <f t="shared" ca="1" si="14"/>
        <v>GREEN</v>
      </c>
      <c r="H245" s="46" t="str">
        <f t="shared" ca="1" si="15"/>
        <v>Current</v>
      </c>
      <c r="I245" s="21"/>
    </row>
    <row r="246" spans="1:9" x14ac:dyDescent="0.35">
      <c r="A246" s="46" t="s">
        <v>218</v>
      </c>
      <c r="B246" s="46" t="s">
        <v>130</v>
      </c>
      <c r="C246" s="47">
        <f>Matrix!Y5</f>
        <v>46194</v>
      </c>
      <c r="D246" s="48">
        <f>IFERROR(VLOOKUP(B246,'Renewal Rules'!$A:$B,2,FALSE),"")</f>
        <v>36</v>
      </c>
      <c r="E246" s="47">
        <f t="shared" si="12"/>
        <v>47290</v>
      </c>
      <c r="F246" s="48">
        <f t="shared" ca="1" si="13"/>
        <v>1087</v>
      </c>
      <c r="G246" s="46" t="str">
        <f t="shared" ca="1" si="14"/>
        <v>GREEN</v>
      </c>
      <c r="H246" s="46" t="str">
        <f t="shared" ca="1" si="15"/>
        <v>Current</v>
      </c>
      <c r="I246" s="21"/>
    </row>
    <row r="247" spans="1:9" x14ac:dyDescent="0.35">
      <c r="A247" s="46" t="s">
        <v>218</v>
      </c>
      <c r="B247" s="46" t="s">
        <v>131</v>
      </c>
      <c r="C247" s="47">
        <f>Matrix!Z5</f>
        <v>46193</v>
      </c>
      <c r="D247" s="48">
        <f>IFERROR(VLOOKUP(B247,'Renewal Rules'!$A:$B,2,FALSE),"")</f>
        <v>12</v>
      </c>
      <c r="E247" s="47">
        <f t="shared" si="12"/>
        <v>46558</v>
      </c>
      <c r="F247" s="48">
        <f t="shared" ca="1" si="13"/>
        <v>355</v>
      </c>
      <c r="G247" s="46" t="str">
        <f t="shared" ca="1" si="14"/>
        <v>GREEN</v>
      </c>
      <c r="H247" s="46" t="str">
        <f t="shared" ca="1" si="15"/>
        <v>Current</v>
      </c>
      <c r="I247" s="21"/>
    </row>
    <row r="248" spans="1:9" x14ac:dyDescent="0.35">
      <c r="A248" s="46" t="s">
        <v>218</v>
      </c>
      <c r="B248" s="46" t="s">
        <v>132</v>
      </c>
      <c r="C248" s="47" t="str">
        <f>Matrix!AA5</f>
        <v>NS</v>
      </c>
      <c r="D248" s="48">
        <f>IFERROR(VLOOKUP(B248,'Renewal Rules'!$A:$B,2,FALSE),"")</f>
        <v>12</v>
      </c>
      <c r="E248" s="47" t="str">
        <f t="shared" si="12"/>
        <v/>
      </c>
      <c r="F248" s="48" t="str">
        <f t="shared" ca="1" si="13"/>
        <v/>
      </c>
      <c r="G248" s="46" t="str">
        <f t="shared" ca="1" si="14"/>
        <v>RED</v>
      </c>
      <c r="H248" s="46" t="str">
        <f t="shared" ca="1" si="15"/>
        <v>Not Started</v>
      </c>
      <c r="I248" s="21"/>
    </row>
    <row r="249" spans="1:9" x14ac:dyDescent="0.35">
      <c r="A249" s="46" t="s">
        <v>218</v>
      </c>
      <c r="B249" s="46" t="s">
        <v>92</v>
      </c>
      <c r="C249" s="47">
        <f>Matrix!AB5</f>
        <v>46155</v>
      </c>
      <c r="D249" s="48">
        <f>IFERROR(VLOOKUP(B249,'Renewal Rules'!$A:$B,2,FALSE),"")</f>
        <v>12</v>
      </c>
      <c r="E249" s="47">
        <f t="shared" si="12"/>
        <v>46520</v>
      </c>
      <c r="F249" s="48">
        <f t="shared" ca="1" si="13"/>
        <v>317</v>
      </c>
      <c r="G249" s="46" t="str">
        <f t="shared" ca="1" si="14"/>
        <v>GREEN</v>
      </c>
      <c r="H249" s="46" t="str">
        <f t="shared" ca="1" si="15"/>
        <v>Current</v>
      </c>
      <c r="I249" s="21"/>
    </row>
    <row r="250" spans="1:9" x14ac:dyDescent="0.35">
      <c r="A250" s="46" t="s">
        <v>218</v>
      </c>
      <c r="B250" s="46" t="s">
        <v>133</v>
      </c>
      <c r="C250" s="47">
        <f>Matrix!AC5</f>
        <v>46191</v>
      </c>
      <c r="D250" s="48">
        <f>IFERROR(VLOOKUP(B250,'Renewal Rules'!$A:$B,2,FALSE),"")</f>
        <v>36</v>
      </c>
      <c r="E250" s="47">
        <f t="shared" si="12"/>
        <v>47287</v>
      </c>
      <c r="F250" s="48">
        <f t="shared" ca="1" si="13"/>
        <v>1084</v>
      </c>
      <c r="G250" s="46" t="str">
        <f t="shared" ca="1" si="14"/>
        <v>GREEN</v>
      </c>
      <c r="H250" s="46" t="str">
        <f t="shared" ca="1" si="15"/>
        <v>Current</v>
      </c>
      <c r="I250" s="21"/>
    </row>
    <row r="251" spans="1:9" x14ac:dyDescent="0.35">
      <c r="A251" s="46" t="s">
        <v>218</v>
      </c>
      <c r="B251" s="46" t="s">
        <v>134</v>
      </c>
      <c r="C251" s="47">
        <f>Matrix!AD5</f>
        <v>46195</v>
      </c>
      <c r="D251" s="48">
        <f>IFERROR(VLOOKUP(B251,'Renewal Rules'!$A:$B,2,FALSE),"")</f>
        <v>36</v>
      </c>
      <c r="E251" s="47">
        <f t="shared" si="12"/>
        <v>47291</v>
      </c>
      <c r="F251" s="48">
        <f t="shared" ca="1" si="13"/>
        <v>1088</v>
      </c>
      <c r="G251" s="46" t="str">
        <f t="shared" ca="1" si="14"/>
        <v>GREEN</v>
      </c>
      <c r="H251" s="46" t="str">
        <f t="shared" ca="1" si="15"/>
        <v>Current</v>
      </c>
      <c r="I251" s="21"/>
    </row>
    <row r="252" spans="1:9" x14ac:dyDescent="0.35">
      <c r="A252" s="46" t="s">
        <v>218</v>
      </c>
      <c r="B252" s="46" t="s">
        <v>98</v>
      </c>
      <c r="C252" s="47">
        <f>Matrix!AE5</f>
        <v>46194</v>
      </c>
      <c r="D252" s="48">
        <f>IFERROR(VLOOKUP(B252,'Renewal Rules'!$A:$B,2,FALSE),"")</f>
        <v>36</v>
      </c>
      <c r="E252" s="47">
        <f t="shared" si="12"/>
        <v>47290</v>
      </c>
      <c r="F252" s="48">
        <f t="shared" ca="1" si="13"/>
        <v>1087</v>
      </c>
      <c r="G252" s="46" t="str">
        <f t="shared" ca="1" si="14"/>
        <v>GREEN</v>
      </c>
      <c r="H252" s="46" t="str">
        <f t="shared" ca="1" si="15"/>
        <v>Current</v>
      </c>
      <c r="I252" s="21"/>
    </row>
    <row r="253" spans="1:9" x14ac:dyDescent="0.35">
      <c r="A253" s="46" t="s">
        <v>218</v>
      </c>
      <c r="B253" s="46" t="s">
        <v>135</v>
      </c>
      <c r="C253" s="47">
        <f>Matrix!AF5</f>
        <v>46195</v>
      </c>
      <c r="D253" s="48">
        <f>IFERROR(VLOOKUP(B253,'Renewal Rules'!$A:$B,2,FALSE),"")</f>
        <v>36</v>
      </c>
      <c r="E253" s="47">
        <f t="shared" si="12"/>
        <v>47291</v>
      </c>
      <c r="F253" s="48">
        <f t="shared" ca="1" si="13"/>
        <v>1088</v>
      </c>
      <c r="G253" s="46" t="str">
        <f t="shared" ca="1" si="14"/>
        <v>GREEN</v>
      </c>
      <c r="H253" s="46" t="str">
        <f t="shared" ca="1" si="15"/>
        <v>Current</v>
      </c>
      <c r="I253" s="21"/>
    </row>
    <row r="254" spans="1:9" x14ac:dyDescent="0.35">
      <c r="A254" s="46" t="s">
        <v>218</v>
      </c>
      <c r="B254" s="46" t="s">
        <v>136</v>
      </c>
      <c r="C254" s="47">
        <f>Matrix!AG5</f>
        <v>46194</v>
      </c>
      <c r="D254" s="48">
        <f>IFERROR(VLOOKUP(B254,'Renewal Rules'!$A:$B,2,FALSE),"")</f>
        <v>12</v>
      </c>
      <c r="E254" s="47">
        <f t="shared" si="12"/>
        <v>46559</v>
      </c>
      <c r="F254" s="48">
        <f t="shared" ca="1" si="13"/>
        <v>356</v>
      </c>
      <c r="G254" s="46" t="str">
        <f t="shared" ca="1" si="14"/>
        <v>GREEN</v>
      </c>
      <c r="H254" s="46" t="str">
        <f t="shared" ca="1" si="15"/>
        <v>Current</v>
      </c>
      <c r="I254" s="21"/>
    </row>
    <row r="255" spans="1:9" x14ac:dyDescent="0.35">
      <c r="A255" s="46" t="s">
        <v>218</v>
      </c>
      <c r="B255" s="46" t="s">
        <v>137</v>
      </c>
      <c r="C255" s="47">
        <f>Matrix!AH5</f>
        <v>46195</v>
      </c>
      <c r="D255" s="48">
        <f>IFERROR(VLOOKUP(B255,'Renewal Rules'!$A:$B,2,FALSE),"")</f>
        <v>36</v>
      </c>
      <c r="E255" s="47">
        <f t="shared" si="12"/>
        <v>47291</v>
      </c>
      <c r="F255" s="48">
        <f t="shared" ca="1" si="13"/>
        <v>1088</v>
      </c>
      <c r="G255" s="46" t="str">
        <f t="shared" ca="1" si="14"/>
        <v>GREEN</v>
      </c>
      <c r="H255" s="46" t="str">
        <f t="shared" ca="1" si="15"/>
        <v>Current</v>
      </c>
      <c r="I255" s="21"/>
    </row>
    <row r="256" spans="1:9" ht="12.9" customHeight="1" x14ac:dyDescent="0.35">
      <c r="A256" s="46" t="s">
        <v>218</v>
      </c>
      <c r="B256" s="46" t="s">
        <v>138</v>
      </c>
      <c r="C256" s="47" t="str">
        <f>Matrix!AI5</f>
        <v>NS</v>
      </c>
      <c r="D256" s="48">
        <f>IFERROR(VLOOKUP(B256,'Renewal Rules'!$A:$B,2,FALSE),"")</f>
        <v>12</v>
      </c>
      <c r="E256" s="47" t="str">
        <f t="shared" si="12"/>
        <v/>
      </c>
      <c r="F256" s="48" t="str">
        <f t="shared" ca="1" si="13"/>
        <v/>
      </c>
      <c r="G256" s="46" t="str">
        <f t="shared" ca="1" si="14"/>
        <v>RED</v>
      </c>
      <c r="H256" s="46" t="str">
        <f t="shared" ca="1" si="15"/>
        <v>Not Started</v>
      </c>
      <c r="I256" s="21"/>
    </row>
    <row r="257" spans="1:9" x14ac:dyDescent="0.35">
      <c r="A257" s="46" t="s">
        <v>218</v>
      </c>
      <c r="B257" s="46" t="s">
        <v>139</v>
      </c>
      <c r="C257" s="47" t="str">
        <f>Matrix!AJ5</f>
        <v>NS</v>
      </c>
      <c r="D257" s="48">
        <f>IFERROR(VLOOKUP(B257,'Renewal Rules'!$A:$B,2,FALSE),"")</f>
        <v>12</v>
      </c>
      <c r="E257" s="47" t="str">
        <f t="shared" si="12"/>
        <v/>
      </c>
      <c r="F257" s="48" t="str">
        <f t="shared" ca="1" si="13"/>
        <v/>
      </c>
      <c r="G257" s="46" t="str">
        <f t="shared" ca="1" si="14"/>
        <v>RED</v>
      </c>
      <c r="H257" s="46" t="str">
        <f t="shared" ca="1" si="15"/>
        <v>Not Started</v>
      </c>
      <c r="I257" s="21"/>
    </row>
    <row r="258" spans="1:9" x14ac:dyDescent="0.35">
      <c r="A258" s="46" t="s">
        <v>218</v>
      </c>
      <c r="B258" s="46" t="s">
        <v>97</v>
      </c>
      <c r="C258" s="47">
        <f>Matrix!AK5</f>
        <v>46199</v>
      </c>
      <c r="D258" s="48">
        <f>IFERROR(VLOOKUP(B258,'Renewal Rules'!$A:$B,2,FALSE),"")</f>
        <v>12</v>
      </c>
      <c r="E258" s="47">
        <f t="shared" si="12"/>
        <v>46564</v>
      </c>
      <c r="F258" s="48">
        <f t="shared" ca="1" si="13"/>
        <v>361</v>
      </c>
      <c r="G258" s="46" t="str">
        <f t="shared" ca="1" si="14"/>
        <v>GREEN</v>
      </c>
      <c r="H258" s="46" t="str">
        <f t="shared" ca="1" si="15"/>
        <v>Current</v>
      </c>
      <c r="I258" s="21"/>
    </row>
    <row r="259" spans="1:9" x14ac:dyDescent="0.35">
      <c r="A259" s="46" t="s">
        <v>218</v>
      </c>
      <c r="B259" s="46" t="s">
        <v>140</v>
      </c>
      <c r="C259" s="47">
        <f>Matrix!AL5</f>
        <v>46194</v>
      </c>
      <c r="D259" s="48">
        <f>IFERROR(VLOOKUP(B259,'Renewal Rules'!$A:$B,2,FALSE),"")</f>
        <v>36</v>
      </c>
      <c r="E259" s="47">
        <f t="shared" ref="E259:E322" si="16">IF(OR(C259="",C259="NS",C259="IP",C259="Failed"),"",IFERROR(EDATE(IF(ISNUMBER(C259),C259,IFERROR(DATEVALUE(C259),DATE(VALUE(RIGHT(C259,4)),VALUE(MID(C259,4,2)),VALUE(LEFT(C259,2))))),D259),""))</f>
        <v>47290</v>
      </c>
      <c r="F259" s="48">
        <f t="shared" ref="F259:F322" ca="1" si="17">IF(E259="","",E259-TODAY())</f>
        <v>1087</v>
      </c>
      <c r="G259" s="46" t="str">
        <f t="shared" ref="G259:G322" ca="1" si="18">IF(C259="NS","RED",IF(C259="IP","AMBER",IF(E259="","",IF(E259&lt;TODAY(),"RED",IF(E259&lt;=TODAY()+30,"AMBER","GREEN")))))</f>
        <v>GREEN</v>
      </c>
      <c r="H259" s="46" t="str">
        <f t="shared" ref="H259:H322" ca="1" si="19">IF(C259="NS","Not Started",IF(C259="IP","In Progress",IF(E259="","Check",IF(E259&lt;TODAY(),"Expired",IF(E259&lt;=TODAY()+30,"Expiring Soon","Current")))))</f>
        <v>Current</v>
      </c>
      <c r="I259" s="21"/>
    </row>
    <row r="260" spans="1:9" x14ac:dyDescent="0.35">
      <c r="A260" s="46" t="s">
        <v>218</v>
      </c>
      <c r="B260" s="46" t="s">
        <v>141</v>
      </c>
      <c r="C260" s="47">
        <f>Matrix!AM5</f>
        <v>46193</v>
      </c>
      <c r="D260" s="48">
        <f>IFERROR(VLOOKUP(B260,'Renewal Rules'!$A:$B,2,FALSE),"")</f>
        <v>12</v>
      </c>
      <c r="E260" s="47">
        <f t="shared" si="16"/>
        <v>46558</v>
      </c>
      <c r="F260" s="48">
        <f t="shared" ca="1" si="17"/>
        <v>355</v>
      </c>
      <c r="G260" s="46" t="str">
        <f t="shared" ca="1" si="18"/>
        <v>GREEN</v>
      </c>
      <c r="H260" s="46" t="str">
        <f t="shared" ca="1" si="19"/>
        <v>Current</v>
      </c>
      <c r="I260" s="21"/>
    </row>
    <row r="261" spans="1:9" x14ac:dyDescent="0.35">
      <c r="A261" s="46" t="s">
        <v>218</v>
      </c>
      <c r="B261" s="46" t="s">
        <v>142</v>
      </c>
      <c r="C261" s="47" t="str">
        <f>Matrix!AN5</f>
        <v>NS</v>
      </c>
      <c r="D261" s="48">
        <f>IFERROR(VLOOKUP(B261,'Renewal Rules'!$A:$B,2,FALSE),"")</f>
        <v>12</v>
      </c>
      <c r="E261" s="47" t="str">
        <f t="shared" si="16"/>
        <v/>
      </c>
      <c r="F261" s="48" t="str">
        <f t="shared" ca="1" si="17"/>
        <v/>
      </c>
      <c r="G261" s="46" t="str">
        <f t="shared" ca="1" si="18"/>
        <v>RED</v>
      </c>
      <c r="H261" s="46" t="str">
        <f t="shared" ca="1" si="19"/>
        <v>Not Started</v>
      </c>
      <c r="I261" s="21"/>
    </row>
    <row r="262" spans="1:9" x14ac:dyDescent="0.35">
      <c r="A262" s="46" t="s">
        <v>218</v>
      </c>
      <c r="B262" s="46" t="s">
        <v>143</v>
      </c>
      <c r="C262" s="47" t="str">
        <f>Matrix!AO5</f>
        <v>NS</v>
      </c>
      <c r="D262" s="48">
        <f>IFERROR(VLOOKUP(B262,'Renewal Rules'!$A:$B,2,FALSE),"")</f>
        <v>12</v>
      </c>
      <c r="E262" s="47" t="str">
        <f t="shared" si="16"/>
        <v/>
      </c>
      <c r="F262" s="48" t="str">
        <f t="shared" ca="1" si="17"/>
        <v/>
      </c>
      <c r="G262" s="46" t="str">
        <f t="shared" ca="1" si="18"/>
        <v>RED</v>
      </c>
      <c r="H262" s="46" t="str">
        <f t="shared" ca="1" si="19"/>
        <v>Not Started</v>
      </c>
      <c r="I262" s="21"/>
    </row>
    <row r="263" spans="1:9" x14ac:dyDescent="0.35">
      <c r="A263" s="46" t="s">
        <v>218</v>
      </c>
      <c r="B263" s="46" t="s">
        <v>102</v>
      </c>
      <c r="C263" s="47">
        <f>Matrix!AP5</f>
        <v>46194</v>
      </c>
      <c r="D263" s="48">
        <f>IFERROR(VLOOKUP(B263,'Renewal Rules'!$A:$B,2,FALSE),"")</f>
        <v>12</v>
      </c>
      <c r="E263" s="47">
        <f t="shared" si="16"/>
        <v>46559</v>
      </c>
      <c r="F263" s="48">
        <f t="shared" ca="1" si="17"/>
        <v>356</v>
      </c>
      <c r="G263" s="46" t="str">
        <f t="shared" ca="1" si="18"/>
        <v>GREEN</v>
      </c>
      <c r="H263" s="46" t="str">
        <f t="shared" ca="1" si="19"/>
        <v>Current</v>
      </c>
      <c r="I263" s="21"/>
    </row>
    <row r="264" spans="1:9" x14ac:dyDescent="0.35">
      <c r="A264" s="46" t="s">
        <v>218</v>
      </c>
      <c r="B264" s="46" t="s">
        <v>144</v>
      </c>
      <c r="C264" s="47">
        <f>Matrix!AQ5</f>
        <v>46194</v>
      </c>
      <c r="D264" s="48">
        <f>IFERROR(VLOOKUP(B264,'Renewal Rules'!$A:$B,2,FALSE),"")</f>
        <v>36</v>
      </c>
      <c r="E264" s="47">
        <f t="shared" si="16"/>
        <v>47290</v>
      </c>
      <c r="F264" s="48">
        <f t="shared" ca="1" si="17"/>
        <v>1087</v>
      </c>
      <c r="G264" s="46" t="str">
        <f t="shared" ca="1" si="18"/>
        <v>GREEN</v>
      </c>
      <c r="H264" s="46" t="str">
        <f t="shared" ca="1" si="19"/>
        <v>Current</v>
      </c>
      <c r="I264" s="21"/>
    </row>
    <row r="265" spans="1:9" x14ac:dyDescent="0.35">
      <c r="A265" s="46" t="s">
        <v>218</v>
      </c>
      <c r="B265" s="46" t="s">
        <v>145</v>
      </c>
      <c r="C265" s="47" t="str">
        <f>Matrix!AR5</f>
        <v>NS</v>
      </c>
      <c r="D265" s="48">
        <f>IFERROR(VLOOKUP(B265,'Renewal Rules'!$A:$B,2,FALSE),"")</f>
        <v>12</v>
      </c>
      <c r="E265" s="47" t="str">
        <f t="shared" si="16"/>
        <v/>
      </c>
      <c r="F265" s="48" t="str">
        <f t="shared" ca="1" si="17"/>
        <v/>
      </c>
      <c r="G265" s="46" t="str">
        <f t="shared" ca="1" si="18"/>
        <v>RED</v>
      </c>
      <c r="H265" s="46" t="str">
        <f t="shared" ca="1" si="19"/>
        <v>Not Started</v>
      </c>
      <c r="I265" s="21"/>
    </row>
    <row r="266" spans="1:9" x14ac:dyDescent="0.35">
      <c r="A266" s="46" t="s">
        <v>218</v>
      </c>
      <c r="B266" s="46" t="s">
        <v>146</v>
      </c>
      <c r="C266" s="47" t="str">
        <f>Matrix!AS5</f>
        <v>NS</v>
      </c>
      <c r="D266" s="48">
        <f>IFERROR(VLOOKUP(B266,'Renewal Rules'!$A:$B,2,FALSE),"")</f>
        <v>12</v>
      </c>
      <c r="E266" s="47" t="str">
        <f t="shared" si="16"/>
        <v/>
      </c>
      <c r="F266" s="48" t="str">
        <f t="shared" ca="1" si="17"/>
        <v/>
      </c>
      <c r="G266" s="46" t="str">
        <f t="shared" ca="1" si="18"/>
        <v>RED</v>
      </c>
      <c r="H266" s="46" t="str">
        <f t="shared" ca="1" si="19"/>
        <v>Not Started</v>
      </c>
      <c r="I266" s="21"/>
    </row>
    <row r="267" spans="1:9" x14ac:dyDescent="0.35">
      <c r="A267" s="46" t="s">
        <v>218</v>
      </c>
      <c r="B267" s="46" t="s">
        <v>147</v>
      </c>
      <c r="C267" s="47" t="str">
        <f>Matrix!AT5</f>
        <v>NS</v>
      </c>
      <c r="D267" s="48">
        <f>IFERROR(VLOOKUP(B267,'Renewal Rules'!$A:$B,2,FALSE),"")</f>
        <v>36</v>
      </c>
      <c r="E267" s="47" t="str">
        <f t="shared" si="16"/>
        <v/>
      </c>
      <c r="F267" s="48" t="str">
        <f t="shared" ca="1" si="17"/>
        <v/>
      </c>
      <c r="G267" s="46" t="str">
        <f t="shared" ca="1" si="18"/>
        <v>RED</v>
      </c>
      <c r="H267" s="46" t="str">
        <f t="shared" ca="1" si="19"/>
        <v>Not Started</v>
      </c>
      <c r="I267" s="21"/>
    </row>
    <row r="268" spans="1:9" x14ac:dyDescent="0.35">
      <c r="A268" s="46" t="s">
        <v>218</v>
      </c>
      <c r="B268" s="46" t="s">
        <v>148</v>
      </c>
      <c r="C268" s="47">
        <f>Matrix!AU5</f>
        <v>46193</v>
      </c>
      <c r="D268" s="48">
        <f>IFERROR(VLOOKUP(B268,'Renewal Rules'!$A:$B,2,FALSE),"")</f>
        <v>36</v>
      </c>
      <c r="E268" s="47">
        <f t="shared" si="16"/>
        <v>47289</v>
      </c>
      <c r="F268" s="48">
        <f t="shared" ca="1" si="17"/>
        <v>1086</v>
      </c>
      <c r="G268" s="46" t="str">
        <f t="shared" ca="1" si="18"/>
        <v>GREEN</v>
      </c>
      <c r="H268" s="46" t="str">
        <f t="shared" ca="1" si="19"/>
        <v>Current</v>
      </c>
      <c r="I268" s="21"/>
    </row>
    <row r="269" spans="1:9" x14ac:dyDescent="0.35">
      <c r="A269" s="46" t="s">
        <v>218</v>
      </c>
      <c r="B269" s="46" t="s">
        <v>149</v>
      </c>
      <c r="C269" s="47">
        <f>Matrix!AV5</f>
        <v>46193</v>
      </c>
      <c r="D269" s="48">
        <f>IFERROR(VLOOKUP(B269,'Renewal Rules'!$A:$B,2,FALSE),"")</f>
        <v>36</v>
      </c>
      <c r="E269" s="47">
        <f t="shared" si="16"/>
        <v>47289</v>
      </c>
      <c r="F269" s="48">
        <f t="shared" ca="1" si="17"/>
        <v>1086</v>
      </c>
      <c r="G269" s="46" t="str">
        <f t="shared" ca="1" si="18"/>
        <v>GREEN</v>
      </c>
      <c r="H269" s="46" t="str">
        <f t="shared" ca="1" si="19"/>
        <v>Current</v>
      </c>
      <c r="I269" s="21"/>
    </row>
    <row r="270" spans="1:9" x14ac:dyDescent="0.35">
      <c r="A270" s="46" t="s">
        <v>218</v>
      </c>
      <c r="B270" s="46" t="s">
        <v>150</v>
      </c>
      <c r="C270" s="47">
        <f>Matrix!AW5</f>
        <v>46193</v>
      </c>
      <c r="D270" s="48">
        <f>IFERROR(VLOOKUP(B270,'Renewal Rules'!$A:$B,2,FALSE),"")</f>
        <v>36</v>
      </c>
      <c r="E270" s="47">
        <f t="shared" si="16"/>
        <v>47289</v>
      </c>
      <c r="F270" s="48">
        <f t="shared" ca="1" si="17"/>
        <v>1086</v>
      </c>
      <c r="G270" s="46" t="str">
        <f t="shared" ca="1" si="18"/>
        <v>GREEN</v>
      </c>
      <c r="H270" s="46" t="str">
        <f t="shared" ca="1" si="19"/>
        <v>Current</v>
      </c>
      <c r="I270" s="21"/>
    </row>
    <row r="271" spans="1:9" x14ac:dyDescent="0.35">
      <c r="A271" s="46" t="s">
        <v>218</v>
      </c>
      <c r="B271" s="46" t="s">
        <v>151</v>
      </c>
      <c r="C271" s="47">
        <f>Matrix!AX5</f>
        <v>46192</v>
      </c>
      <c r="D271" s="48">
        <f>IFERROR(VLOOKUP(B271,'Renewal Rules'!$A:$B,2,FALSE),"")</f>
        <v>36</v>
      </c>
      <c r="E271" s="47">
        <f t="shared" si="16"/>
        <v>47288</v>
      </c>
      <c r="F271" s="48">
        <f t="shared" ca="1" si="17"/>
        <v>1085</v>
      </c>
      <c r="G271" s="46" t="str">
        <f t="shared" ca="1" si="18"/>
        <v>GREEN</v>
      </c>
      <c r="H271" s="46" t="str">
        <f t="shared" ca="1" si="19"/>
        <v>Current</v>
      </c>
      <c r="I271" s="21"/>
    </row>
    <row r="272" spans="1:9" x14ac:dyDescent="0.35">
      <c r="A272" s="46" t="s">
        <v>218</v>
      </c>
      <c r="B272" s="46" t="s">
        <v>152</v>
      </c>
      <c r="C272" s="47" t="str">
        <f>Matrix!AY5</f>
        <v>NS</v>
      </c>
      <c r="D272" s="48">
        <f>IFERROR(VLOOKUP(B272,'Renewal Rules'!$A:$B,2,FALSE),"")</f>
        <v>36</v>
      </c>
      <c r="E272" s="47" t="str">
        <f t="shared" si="16"/>
        <v/>
      </c>
      <c r="F272" s="48" t="str">
        <f t="shared" ca="1" si="17"/>
        <v/>
      </c>
      <c r="G272" s="46" t="str">
        <f t="shared" ca="1" si="18"/>
        <v>RED</v>
      </c>
      <c r="H272" s="46" t="str">
        <f t="shared" ca="1" si="19"/>
        <v>Not Started</v>
      </c>
      <c r="I272" s="21"/>
    </row>
    <row r="273" spans="1:9" x14ac:dyDescent="0.35">
      <c r="A273" s="46" t="s">
        <v>218</v>
      </c>
      <c r="B273" s="46" t="s">
        <v>153</v>
      </c>
      <c r="C273" s="47">
        <f>Matrix!AZ5</f>
        <v>46192</v>
      </c>
      <c r="D273" s="48">
        <f>IFERROR(VLOOKUP(B273,'Renewal Rules'!$A:$B,2,FALSE),"")</f>
        <v>36</v>
      </c>
      <c r="E273" s="47">
        <f t="shared" si="16"/>
        <v>47288</v>
      </c>
      <c r="F273" s="48">
        <f t="shared" ca="1" si="17"/>
        <v>1085</v>
      </c>
      <c r="G273" s="46" t="str">
        <f t="shared" ca="1" si="18"/>
        <v>GREEN</v>
      </c>
      <c r="H273" s="46" t="str">
        <f t="shared" ca="1" si="19"/>
        <v>Current</v>
      </c>
      <c r="I273" s="21"/>
    </row>
    <row r="274" spans="1:9" x14ac:dyDescent="0.35">
      <c r="A274" s="46" t="s">
        <v>218</v>
      </c>
      <c r="B274" s="46" t="s">
        <v>154</v>
      </c>
      <c r="C274" s="47" t="str">
        <f>Matrix!BA5</f>
        <v>NS</v>
      </c>
      <c r="D274" s="48">
        <f>IFERROR(VLOOKUP(B274,'Renewal Rules'!$A:$B,2,FALSE),"")</f>
        <v>36</v>
      </c>
      <c r="E274" s="47" t="str">
        <f t="shared" si="16"/>
        <v/>
      </c>
      <c r="F274" s="48" t="str">
        <f t="shared" ca="1" si="17"/>
        <v/>
      </c>
      <c r="G274" s="46" t="str">
        <f t="shared" ca="1" si="18"/>
        <v>RED</v>
      </c>
      <c r="H274" s="46" t="str">
        <f t="shared" ca="1" si="19"/>
        <v>Not Started</v>
      </c>
      <c r="I274" s="21"/>
    </row>
    <row r="275" spans="1:9" x14ac:dyDescent="0.35">
      <c r="A275" s="46" t="s">
        <v>218</v>
      </c>
      <c r="B275" s="46" t="s">
        <v>155</v>
      </c>
      <c r="C275" s="47">
        <f>Matrix!BB5</f>
        <v>46192</v>
      </c>
      <c r="D275" s="48">
        <f>IFERROR(VLOOKUP(B275,'Renewal Rules'!$A:$B,2,FALSE),"")</f>
        <v>12</v>
      </c>
      <c r="E275" s="47">
        <f t="shared" si="16"/>
        <v>46557</v>
      </c>
      <c r="F275" s="48">
        <f t="shared" ca="1" si="17"/>
        <v>354</v>
      </c>
      <c r="G275" s="46" t="str">
        <f t="shared" ca="1" si="18"/>
        <v>GREEN</v>
      </c>
      <c r="H275" s="46" t="str">
        <f t="shared" ca="1" si="19"/>
        <v>Current</v>
      </c>
      <c r="I275" s="21"/>
    </row>
    <row r="276" spans="1:9" x14ac:dyDescent="0.35">
      <c r="A276" s="46" t="s">
        <v>218</v>
      </c>
      <c r="B276" s="46" t="s">
        <v>156</v>
      </c>
      <c r="C276" s="47">
        <f>Matrix!BC5</f>
        <v>46192</v>
      </c>
      <c r="D276" s="48">
        <f>IFERROR(VLOOKUP(B276,'Renewal Rules'!$A:$B,2,FALSE),"")</f>
        <v>12</v>
      </c>
      <c r="E276" s="47">
        <f t="shared" si="16"/>
        <v>46557</v>
      </c>
      <c r="F276" s="48">
        <f t="shared" ca="1" si="17"/>
        <v>354</v>
      </c>
      <c r="G276" s="46" t="str">
        <f t="shared" ca="1" si="18"/>
        <v>GREEN</v>
      </c>
      <c r="H276" s="46" t="str">
        <f t="shared" ca="1" si="19"/>
        <v>Current</v>
      </c>
      <c r="I276" s="21"/>
    </row>
    <row r="277" spans="1:9" x14ac:dyDescent="0.35">
      <c r="A277" s="46" t="s">
        <v>218</v>
      </c>
      <c r="B277" s="46" t="s">
        <v>157</v>
      </c>
      <c r="C277" s="47">
        <f>Matrix!BD5</f>
        <v>46192</v>
      </c>
      <c r="D277" s="48">
        <f>IFERROR(VLOOKUP(B277,'Renewal Rules'!$A:$B,2,FALSE),"")</f>
        <v>36</v>
      </c>
      <c r="E277" s="47">
        <f t="shared" si="16"/>
        <v>47288</v>
      </c>
      <c r="F277" s="48">
        <f t="shared" ca="1" si="17"/>
        <v>1085</v>
      </c>
      <c r="G277" s="46" t="str">
        <f t="shared" ca="1" si="18"/>
        <v>GREEN</v>
      </c>
      <c r="H277" s="46" t="str">
        <f t="shared" ca="1" si="19"/>
        <v>Current</v>
      </c>
      <c r="I277" s="21"/>
    </row>
    <row r="278" spans="1:9" ht="12.9" customHeight="1" x14ac:dyDescent="0.35">
      <c r="A278" s="46" t="s">
        <v>218</v>
      </c>
      <c r="B278" s="46" t="s">
        <v>158</v>
      </c>
      <c r="C278" s="47">
        <f>Matrix!BE5</f>
        <v>46192</v>
      </c>
      <c r="D278" s="48">
        <f>IFERROR(VLOOKUP(B278,'Renewal Rules'!$A:$B,2,FALSE),"")</f>
        <v>12</v>
      </c>
      <c r="E278" s="47">
        <f t="shared" si="16"/>
        <v>46557</v>
      </c>
      <c r="F278" s="48">
        <f t="shared" ca="1" si="17"/>
        <v>354</v>
      </c>
      <c r="G278" s="46" t="str">
        <f t="shared" ca="1" si="18"/>
        <v>GREEN</v>
      </c>
      <c r="H278" s="46" t="str">
        <f t="shared" ca="1" si="19"/>
        <v>Current</v>
      </c>
      <c r="I278" s="21"/>
    </row>
    <row r="279" spans="1:9" x14ac:dyDescent="0.35">
      <c r="A279" s="46" t="s">
        <v>218</v>
      </c>
      <c r="B279" s="46" t="s">
        <v>95</v>
      </c>
      <c r="C279" s="47">
        <f>Matrix!BF5</f>
        <v>46157</v>
      </c>
      <c r="D279" s="48">
        <f>IFERROR(VLOOKUP(B279,'Renewal Rules'!$A:$B,2,FALSE),"")</f>
        <v>12</v>
      </c>
      <c r="E279" s="47">
        <f t="shared" si="16"/>
        <v>46522</v>
      </c>
      <c r="F279" s="48">
        <f t="shared" ca="1" si="17"/>
        <v>319</v>
      </c>
      <c r="G279" s="46" t="str">
        <f t="shared" ca="1" si="18"/>
        <v>GREEN</v>
      </c>
      <c r="H279" s="46" t="str">
        <f t="shared" ca="1" si="19"/>
        <v>Current</v>
      </c>
      <c r="I279" s="21"/>
    </row>
    <row r="280" spans="1:9" x14ac:dyDescent="0.35">
      <c r="A280" s="46" t="s">
        <v>218</v>
      </c>
      <c r="B280" s="46" t="s">
        <v>93</v>
      </c>
      <c r="C280" s="47" t="str">
        <f>Matrix!BG5</f>
        <v>NS</v>
      </c>
      <c r="D280" s="48">
        <f>IFERROR(VLOOKUP(B280,'Renewal Rules'!$A:$B,2,FALSE),"")</f>
        <v>12</v>
      </c>
      <c r="E280" s="47" t="str">
        <f t="shared" si="16"/>
        <v/>
      </c>
      <c r="F280" s="48" t="str">
        <f t="shared" ca="1" si="17"/>
        <v/>
      </c>
      <c r="G280" s="46" t="str">
        <f t="shared" ca="1" si="18"/>
        <v>RED</v>
      </c>
      <c r="H280" s="46" t="str">
        <f t="shared" ca="1" si="19"/>
        <v>Not Started</v>
      </c>
      <c r="I280" s="21"/>
    </row>
    <row r="281" spans="1:9" x14ac:dyDescent="0.35">
      <c r="A281" s="46" t="s">
        <v>218</v>
      </c>
      <c r="B281" s="46" t="s">
        <v>159</v>
      </c>
      <c r="C281" s="47">
        <f>Matrix!BH5</f>
        <v>46200</v>
      </c>
      <c r="D281" s="48">
        <f>IFERROR(VLOOKUP(B281,'Renewal Rules'!$A:$B,2,FALSE),"")</f>
        <v>12</v>
      </c>
      <c r="E281" s="47">
        <f t="shared" si="16"/>
        <v>46565</v>
      </c>
      <c r="F281" s="48">
        <f t="shared" ca="1" si="17"/>
        <v>362</v>
      </c>
      <c r="G281" s="46" t="str">
        <f t="shared" ca="1" si="18"/>
        <v>GREEN</v>
      </c>
      <c r="H281" s="46" t="str">
        <f t="shared" ca="1" si="19"/>
        <v>Current</v>
      </c>
      <c r="I281" s="21"/>
    </row>
    <row r="282" spans="1:9" x14ac:dyDescent="0.35">
      <c r="A282" s="46" t="s">
        <v>218</v>
      </c>
      <c r="B282" s="46" t="s">
        <v>160</v>
      </c>
      <c r="C282" s="47" t="str">
        <f>Matrix!BI5</f>
        <v>NS</v>
      </c>
      <c r="D282" s="48">
        <f>IFERROR(VLOOKUP(B282,'Renewal Rules'!$A:$B,2,FALSE),"")</f>
        <v>36</v>
      </c>
      <c r="E282" s="47" t="str">
        <f t="shared" si="16"/>
        <v/>
      </c>
      <c r="F282" s="48" t="str">
        <f t="shared" ca="1" si="17"/>
        <v/>
      </c>
      <c r="G282" s="46" t="str">
        <f t="shared" ca="1" si="18"/>
        <v>RED</v>
      </c>
      <c r="H282" s="46" t="str">
        <f t="shared" ca="1" si="19"/>
        <v>Not Started</v>
      </c>
      <c r="I282" s="21"/>
    </row>
    <row r="283" spans="1:9" x14ac:dyDescent="0.35">
      <c r="A283" s="46" t="s">
        <v>218</v>
      </c>
      <c r="B283" s="46" t="s">
        <v>161</v>
      </c>
      <c r="C283" s="47" t="str">
        <f>Matrix!BJ5</f>
        <v>NS</v>
      </c>
      <c r="D283" s="48">
        <f>IFERROR(VLOOKUP(B283,'Renewal Rules'!$A:$B,2,FALSE),"")</f>
        <v>12</v>
      </c>
      <c r="E283" s="47" t="str">
        <f t="shared" si="16"/>
        <v/>
      </c>
      <c r="F283" s="48" t="str">
        <f t="shared" ca="1" si="17"/>
        <v/>
      </c>
      <c r="G283" s="46" t="str">
        <f t="shared" ca="1" si="18"/>
        <v>RED</v>
      </c>
      <c r="H283" s="46" t="str">
        <f t="shared" ca="1" si="19"/>
        <v>Not Started</v>
      </c>
      <c r="I283" s="21"/>
    </row>
    <row r="284" spans="1:9" x14ac:dyDescent="0.35">
      <c r="A284" s="46" t="s">
        <v>218</v>
      </c>
      <c r="B284" s="46" t="s">
        <v>162</v>
      </c>
      <c r="C284" s="47" t="str">
        <f>Matrix!BK5</f>
        <v>NS</v>
      </c>
      <c r="D284" s="48">
        <f>IFERROR(VLOOKUP(B284,'Renewal Rules'!$A:$B,2,FALSE),"")</f>
        <v>12</v>
      </c>
      <c r="E284" s="47" t="str">
        <f t="shared" si="16"/>
        <v/>
      </c>
      <c r="F284" s="48" t="str">
        <f t="shared" ca="1" si="17"/>
        <v/>
      </c>
      <c r="G284" s="46" t="str">
        <f t="shared" ca="1" si="18"/>
        <v>RED</v>
      </c>
      <c r="H284" s="46" t="str">
        <f t="shared" ca="1" si="19"/>
        <v>Not Started</v>
      </c>
      <c r="I284" s="21"/>
    </row>
    <row r="285" spans="1:9" x14ac:dyDescent="0.35">
      <c r="A285" s="46" t="s">
        <v>218</v>
      </c>
      <c r="B285" s="46" t="s">
        <v>163</v>
      </c>
      <c r="C285" s="47" t="str">
        <f>Matrix!BL5</f>
        <v>NS</v>
      </c>
      <c r="D285" s="48">
        <f>IFERROR(VLOOKUP(B285,'Renewal Rules'!$A:$B,2,FALSE),"")</f>
        <v>36</v>
      </c>
      <c r="E285" s="47" t="str">
        <f t="shared" si="16"/>
        <v/>
      </c>
      <c r="F285" s="48" t="str">
        <f t="shared" ca="1" si="17"/>
        <v/>
      </c>
      <c r="G285" s="46" t="str">
        <f t="shared" ca="1" si="18"/>
        <v>RED</v>
      </c>
      <c r="H285" s="46" t="str">
        <f t="shared" ca="1" si="19"/>
        <v>Not Started</v>
      </c>
      <c r="I285" s="21"/>
    </row>
    <row r="286" spans="1:9" x14ac:dyDescent="0.35">
      <c r="A286" s="46" t="s">
        <v>218</v>
      </c>
      <c r="B286" s="46" t="s">
        <v>164</v>
      </c>
      <c r="C286" s="47" t="str">
        <f>Matrix!BM5</f>
        <v>NS</v>
      </c>
      <c r="D286" s="48">
        <f>IFERROR(VLOOKUP(B286,'Renewal Rules'!$A:$B,2,FALSE),"")</f>
        <v>12</v>
      </c>
      <c r="E286" s="47" t="str">
        <f t="shared" si="16"/>
        <v/>
      </c>
      <c r="F286" s="48" t="str">
        <f t="shared" ca="1" si="17"/>
        <v/>
      </c>
      <c r="G286" s="46" t="str">
        <f t="shared" ca="1" si="18"/>
        <v>RED</v>
      </c>
      <c r="H286" s="46" t="str">
        <f t="shared" ca="1" si="19"/>
        <v>Not Started</v>
      </c>
      <c r="I286" s="21"/>
    </row>
    <row r="287" spans="1:9" x14ac:dyDescent="0.35">
      <c r="A287" s="46" t="s">
        <v>218</v>
      </c>
      <c r="B287" s="46" t="s">
        <v>165</v>
      </c>
      <c r="C287" s="47" t="str">
        <f>Matrix!BN5</f>
        <v>NS</v>
      </c>
      <c r="D287" s="48">
        <f>IFERROR(VLOOKUP(B287,'Renewal Rules'!$A:$B,2,FALSE),"")</f>
        <v>36</v>
      </c>
      <c r="E287" s="47" t="str">
        <f t="shared" si="16"/>
        <v/>
      </c>
      <c r="F287" s="48" t="str">
        <f t="shared" ca="1" si="17"/>
        <v/>
      </c>
      <c r="G287" s="46" t="str">
        <f t="shared" ca="1" si="18"/>
        <v>RED</v>
      </c>
      <c r="H287" s="46" t="str">
        <f t="shared" ca="1" si="19"/>
        <v>Not Started</v>
      </c>
      <c r="I287" s="21"/>
    </row>
    <row r="288" spans="1:9" x14ac:dyDescent="0.35">
      <c r="A288" s="46" t="s">
        <v>218</v>
      </c>
      <c r="B288" s="46" t="s">
        <v>166</v>
      </c>
      <c r="C288" s="47" t="str">
        <f>Matrix!BO5</f>
        <v>NS</v>
      </c>
      <c r="D288" s="48">
        <f>IFERROR(VLOOKUP(B288,'Renewal Rules'!$A:$B,2,FALSE),"")</f>
        <v>36</v>
      </c>
      <c r="E288" s="47" t="str">
        <f t="shared" si="16"/>
        <v/>
      </c>
      <c r="F288" s="48" t="str">
        <f t="shared" ca="1" si="17"/>
        <v/>
      </c>
      <c r="G288" s="46" t="str">
        <f t="shared" ca="1" si="18"/>
        <v>RED</v>
      </c>
      <c r="H288" s="46" t="str">
        <f t="shared" ca="1" si="19"/>
        <v>Not Started</v>
      </c>
      <c r="I288" s="21"/>
    </row>
    <row r="289" spans="1:9" x14ac:dyDescent="0.35">
      <c r="A289" s="46" t="s">
        <v>218</v>
      </c>
      <c r="B289" s="46" t="s">
        <v>167</v>
      </c>
      <c r="C289" s="47" t="str">
        <f>Matrix!BP5</f>
        <v>NS</v>
      </c>
      <c r="D289" s="48">
        <f>IFERROR(VLOOKUP(B289,'Renewal Rules'!$A:$B,2,FALSE),"")</f>
        <v>36</v>
      </c>
      <c r="E289" s="47" t="str">
        <f t="shared" si="16"/>
        <v/>
      </c>
      <c r="F289" s="48" t="str">
        <f t="shared" ca="1" si="17"/>
        <v/>
      </c>
      <c r="G289" s="46" t="str">
        <f t="shared" ca="1" si="18"/>
        <v>RED</v>
      </c>
      <c r="H289" s="46" t="str">
        <f t="shared" ca="1" si="19"/>
        <v>Not Started</v>
      </c>
      <c r="I289" s="21"/>
    </row>
    <row r="290" spans="1:9" x14ac:dyDescent="0.35">
      <c r="A290" s="46" t="s">
        <v>218</v>
      </c>
      <c r="B290" s="46" t="s">
        <v>168</v>
      </c>
      <c r="C290" s="47" t="str">
        <f>Matrix!BQ5</f>
        <v>NS</v>
      </c>
      <c r="D290" s="48">
        <f>IFERROR(VLOOKUP(B290,'Renewal Rules'!$A:$B,2,FALSE),"")</f>
        <v>36</v>
      </c>
      <c r="E290" s="47" t="str">
        <f t="shared" si="16"/>
        <v/>
      </c>
      <c r="F290" s="48" t="str">
        <f t="shared" ca="1" si="17"/>
        <v/>
      </c>
      <c r="G290" s="46" t="str">
        <f t="shared" ca="1" si="18"/>
        <v>RED</v>
      </c>
      <c r="H290" s="46" t="str">
        <f t="shared" ca="1" si="19"/>
        <v>Not Started</v>
      </c>
      <c r="I290" s="21"/>
    </row>
    <row r="291" spans="1:9" x14ac:dyDescent="0.35">
      <c r="A291" s="46" t="s">
        <v>218</v>
      </c>
      <c r="B291" s="46" t="s">
        <v>169</v>
      </c>
      <c r="C291" s="47" t="str">
        <f>Matrix!BR5</f>
        <v>NS</v>
      </c>
      <c r="D291" s="48">
        <f>IFERROR(VLOOKUP(B291,'Renewal Rules'!$A:$B,2,FALSE),"")</f>
        <v>36</v>
      </c>
      <c r="E291" s="47" t="str">
        <f t="shared" si="16"/>
        <v/>
      </c>
      <c r="F291" s="48" t="str">
        <f t="shared" ca="1" si="17"/>
        <v/>
      </c>
      <c r="G291" s="46" t="str">
        <f t="shared" ca="1" si="18"/>
        <v>RED</v>
      </c>
      <c r="H291" s="46" t="str">
        <f t="shared" ca="1" si="19"/>
        <v>Not Started</v>
      </c>
      <c r="I291" s="21"/>
    </row>
    <row r="292" spans="1:9" x14ac:dyDescent="0.35">
      <c r="A292" s="46" t="s">
        <v>218</v>
      </c>
      <c r="B292" s="46" t="s">
        <v>170</v>
      </c>
      <c r="C292" s="47" t="str">
        <f>Matrix!BS5</f>
        <v>NS</v>
      </c>
      <c r="D292" s="48">
        <f>IFERROR(VLOOKUP(B292,'Renewal Rules'!$A:$B,2,FALSE),"")</f>
        <v>12</v>
      </c>
      <c r="E292" s="47" t="str">
        <f t="shared" si="16"/>
        <v/>
      </c>
      <c r="F292" s="48" t="str">
        <f t="shared" ca="1" si="17"/>
        <v/>
      </c>
      <c r="G292" s="46" t="str">
        <f t="shared" ca="1" si="18"/>
        <v>RED</v>
      </c>
      <c r="H292" s="46" t="str">
        <f t="shared" ca="1" si="19"/>
        <v>Not Started</v>
      </c>
      <c r="I292" s="21"/>
    </row>
    <row r="293" spans="1:9" x14ac:dyDescent="0.35">
      <c r="A293" s="46" t="s">
        <v>218</v>
      </c>
      <c r="B293" s="46" t="s">
        <v>171</v>
      </c>
      <c r="C293" s="47" t="str">
        <f>Matrix!BT5</f>
        <v>NS</v>
      </c>
      <c r="D293" s="48">
        <f>IFERROR(VLOOKUP(B293,'Renewal Rules'!$A:$B,2,FALSE),"")</f>
        <v>12</v>
      </c>
      <c r="E293" s="47" t="str">
        <f t="shared" si="16"/>
        <v/>
      </c>
      <c r="F293" s="48" t="str">
        <f t="shared" ca="1" si="17"/>
        <v/>
      </c>
      <c r="G293" s="46" t="str">
        <f t="shared" ca="1" si="18"/>
        <v>RED</v>
      </c>
      <c r="H293" s="46" t="str">
        <f t="shared" ca="1" si="19"/>
        <v>Not Started</v>
      </c>
      <c r="I293" s="21"/>
    </row>
    <row r="294" spans="1:9" x14ac:dyDescent="0.35">
      <c r="A294" s="46" t="s">
        <v>218</v>
      </c>
      <c r="B294" s="46" t="s">
        <v>172</v>
      </c>
      <c r="C294" s="47" t="str">
        <f>Matrix!BU5</f>
        <v>NS</v>
      </c>
      <c r="D294" s="48">
        <f>IFERROR(VLOOKUP(B294,'Renewal Rules'!$A:$B,2,FALSE),"")</f>
        <v>12</v>
      </c>
      <c r="E294" s="47" t="str">
        <f t="shared" si="16"/>
        <v/>
      </c>
      <c r="F294" s="48" t="str">
        <f t="shared" ca="1" si="17"/>
        <v/>
      </c>
      <c r="G294" s="46" t="str">
        <f t="shared" ca="1" si="18"/>
        <v>RED</v>
      </c>
      <c r="H294" s="46" t="str">
        <f t="shared" ca="1" si="19"/>
        <v>Not Started</v>
      </c>
      <c r="I294" s="21"/>
    </row>
    <row r="295" spans="1:9" x14ac:dyDescent="0.35">
      <c r="A295" s="46" t="s">
        <v>218</v>
      </c>
      <c r="B295" s="46" t="s">
        <v>173</v>
      </c>
      <c r="C295" s="47" t="str">
        <f>Matrix!BV5</f>
        <v>NS</v>
      </c>
      <c r="D295" s="48">
        <f>IFERROR(VLOOKUP(B295,'Renewal Rules'!$A:$B,2,FALSE),"")</f>
        <v>12</v>
      </c>
      <c r="E295" s="47" t="str">
        <f t="shared" si="16"/>
        <v/>
      </c>
      <c r="F295" s="48" t="str">
        <f t="shared" ca="1" si="17"/>
        <v/>
      </c>
      <c r="G295" s="46" t="str">
        <f t="shared" ca="1" si="18"/>
        <v>RED</v>
      </c>
      <c r="H295" s="46" t="str">
        <f t="shared" ca="1" si="19"/>
        <v>Not Started</v>
      </c>
      <c r="I295" s="21"/>
    </row>
    <row r="296" spans="1:9" x14ac:dyDescent="0.35">
      <c r="A296" s="46" t="s">
        <v>218</v>
      </c>
      <c r="B296" s="46" t="s">
        <v>174</v>
      </c>
      <c r="C296" s="47" t="str">
        <f>Matrix!BW5</f>
        <v>NS</v>
      </c>
      <c r="D296" s="48">
        <f>IFERROR(VLOOKUP(B296,'Renewal Rules'!$A:$B,2,FALSE),"")</f>
        <v>12</v>
      </c>
      <c r="E296" s="47" t="str">
        <f t="shared" si="16"/>
        <v/>
      </c>
      <c r="F296" s="48" t="str">
        <f t="shared" ca="1" si="17"/>
        <v/>
      </c>
      <c r="G296" s="46" t="str">
        <f t="shared" ca="1" si="18"/>
        <v>RED</v>
      </c>
      <c r="H296" s="46" t="str">
        <f t="shared" ca="1" si="19"/>
        <v>Not Started</v>
      </c>
      <c r="I296" s="21"/>
    </row>
    <row r="297" spans="1:9" x14ac:dyDescent="0.35">
      <c r="A297" s="46" t="s">
        <v>218</v>
      </c>
      <c r="B297" s="46" t="s">
        <v>175</v>
      </c>
      <c r="C297" s="47" t="str">
        <f>Matrix!BX5</f>
        <v>NS</v>
      </c>
      <c r="D297" s="48">
        <f>IFERROR(VLOOKUP(B297,'Renewal Rules'!$A:$B,2,FALSE),"")</f>
        <v>12</v>
      </c>
      <c r="E297" s="47" t="str">
        <f t="shared" si="16"/>
        <v/>
      </c>
      <c r="F297" s="48" t="str">
        <f t="shared" ca="1" si="17"/>
        <v/>
      </c>
      <c r="G297" s="46" t="str">
        <f t="shared" ca="1" si="18"/>
        <v>RED</v>
      </c>
      <c r="H297" s="46" t="str">
        <f t="shared" ca="1" si="19"/>
        <v>Not Started</v>
      </c>
      <c r="I297" s="21"/>
    </row>
    <row r="298" spans="1:9" x14ac:dyDescent="0.35">
      <c r="A298" s="46" t="s">
        <v>218</v>
      </c>
      <c r="B298" s="46" t="s">
        <v>176</v>
      </c>
      <c r="C298" s="47" t="str">
        <f>Matrix!BY5</f>
        <v>NS</v>
      </c>
      <c r="D298" s="48">
        <f>IFERROR(VLOOKUP(B298,'Renewal Rules'!$A:$B,2,FALSE),"")</f>
        <v>36</v>
      </c>
      <c r="E298" s="47" t="str">
        <f t="shared" si="16"/>
        <v/>
      </c>
      <c r="F298" s="48" t="str">
        <f t="shared" ca="1" si="17"/>
        <v/>
      </c>
      <c r="G298" s="46" t="str">
        <f t="shared" ca="1" si="18"/>
        <v>RED</v>
      </c>
      <c r="H298" s="46" t="str">
        <f t="shared" ca="1" si="19"/>
        <v>Not Started</v>
      </c>
      <c r="I298" s="21"/>
    </row>
    <row r="299" spans="1:9" x14ac:dyDescent="0.35">
      <c r="A299" s="46" t="s">
        <v>218</v>
      </c>
      <c r="B299" s="46" t="s">
        <v>177</v>
      </c>
      <c r="C299" s="47" t="str">
        <f>Matrix!BZ5</f>
        <v>NS</v>
      </c>
      <c r="D299" s="48">
        <f>IFERROR(VLOOKUP(B299,'Renewal Rules'!$A:$B,2,FALSE),"")</f>
        <v>36</v>
      </c>
      <c r="E299" s="47" t="str">
        <f t="shared" si="16"/>
        <v/>
      </c>
      <c r="F299" s="48" t="str">
        <f t="shared" ca="1" si="17"/>
        <v/>
      </c>
      <c r="G299" s="46" t="str">
        <f t="shared" ca="1" si="18"/>
        <v>RED</v>
      </c>
      <c r="H299" s="46" t="str">
        <f t="shared" ca="1" si="19"/>
        <v>Not Started</v>
      </c>
      <c r="I299" s="21"/>
    </row>
    <row r="300" spans="1:9" x14ac:dyDescent="0.35">
      <c r="A300" s="46" t="s">
        <v>218</v>
      </c>
      <c r="B300" s="46" t="s">
        <v>178</v>
      </c>
      <c r="C300" s="47" t="str">
        <f>Matrix!CA5</f>
        <v>NS</v>
      </c>
      <c r="D300" s="48">
        <f>IFERROR(VLOOKUP(B300,'Renewal Rules'!$A:$B,2,FALSE),"")</f>
        <v>12</v>
      </c>
      <c r="E300" s="47" t="str">
        <f t="shared" si="16"/>
        <v/>
      </c>
      <c r="F300" s="48" t="str">
        <f t="shared" ca="1" si="17"/>
        <v/>
      </c>
      <c r="G300" s="46" t="str">
        <f t="shared" ca="1" si="18"/>
        <v>RED</v>
      </c>
      <c r="H300" s="46" t="str">
        <f t="shared" ca="1" si="19"/>
        <v>Not Started</v>
      </c>
      <c r="I300" s="21"/>
    </row>
    <row r="301" spans="1:9" x14ac:dyDescent="0.35">
      <c r="A301" s="46" t="s">
        <v>218</v>
      </c>
      <c r="B301" s="46" t="s">
        <v>179</v>
      </c>
      <c r="C301" s="47" t="str">
        <f>Matrix!CB5</f>
        <v>NS</v>
      </c>
      <c r="D301" s="48">
        <f>IFERROR(VLOOKUP(B301,'Renewal Rules'!$A:$B,2,FALSE),"")</f>
        <v>12</v>
      </c>
      <c r="E301" s="47" t="str">
        <f t="shared" si="16"/>
        <v/>
      </c>
      <c r="F301" s="48" t="str">
        <f t="shared" ca="1" si="17"/>
        <v/>
      </c>
      <c r="G301" s="46" t="str">
        <f t="shared" ca="1" si="18"/>
        <v>RED</v>
      </c>
      <c r="H301" s="46" t="str">
        <f t="shared" ca="1" si="19"/>
        <v>Not Started</v>
      </c>
      <c r="I301" s="21"/>
    </row>
    <row r="302" spans="1:9" x14ac:dyDescent="0.35">
      <c r="A302" s="46" t="s">
        <v>218</v>
      </c>
      <c r="B302" s="46" t="s">
        <v>180</v>
      </c>
      <c r="C302" s="47" t="str">
        <f>Matrix!CC5</f>
        <v>NS</v>
      </c>
      <c r="D302" s="48">
        <f>IFERROR(VLOOKUP(B302,'Renewal Rules'!$A:$B,2,FALSE),"")</f>
        <v>36</v>
      </c>
      <c r="E302" s="47" t="str">
        <f t="shared" si="16"/>
        <v/>
      </c>
      <c r="F302" s="48" t="str">
        <f t="shared" ca="1" si="17"/>
        <v/>
      </c>
      <c r="G302" s="46" t="str">
        <f t="shared" ca="1" si="18"/>
        <v>RED</v>
      </c>
      <c r="H302" s="46" t="str">
        <f t="shared" ca="1" si="19"/>
        <v>Not Started</v>
      </c>
      <c r="I302" s="21"/>
    </row>
    <row r="303" spans="1:9" x14ac:dyDescent="0.35">
      <c r="A303" s="46" t="s">
        <v>218</v>
      </c>
      <c r="B303" s="46" t="s">
        <v>181</v>
      </c>
      <c r="C303" s="47" t="str">
        <f>Matrix!CD5</f>
        <v>NS</v>
      </c>
      <c r="D303" s="48">
        <f>IFERROR(VLOOKUP(B303,'Renewal Rules'!$A:$B,2,FALSE),"")</f>
        <v>36</v>
      </c>
      <c r="E303" s="47" t="str">
        <f t="shared" si="16"/>
        <v/>
      </c>
      <c r="F303" s="48" t="str">
        <f t="shared" ca="1" si="17"/>
        <v/>
      </c>
      <c r="G303" s="46" t="str">
        <f t="shared" ca="1" si="18"/>
        <v>RED</v>
      </c>
      <c r="H303" s="46" t="str">
        <f t="shared" ca="1" si="19"/>
        <v>Not Started</v>
      </c>
      <c r="I303" s="21"/>
    </row>
    <row r="304" spans="1:9" x14ac:dyDescent="0.35">
      <c r="A304" s="46" t="s">
        <v>218</v>
      </c>
      <c r="B304" s="46" t="s">
        <v>182</v>
      </c>
      <c r="C304" s="47" t="str">
        <f>Matrix!CE5</f>
        <v>NS</v>
      </c>
      <c r="D304" s="48">
        <f>IFERROR(VLOOKUP(B304,'Renewal Rules'!$A:$B,2,FALSE),"")</f>
        <v>12</v>
      </c>
      <c r="E304" s="47" t="str">
        <f t="shared" si="16"/>
        <v/>
      </c>
      <c r="F304" s="48" t="str">
        <f t="shared" ca="1" si="17"/>
        <v/>
      </c>
      <c r="G304" s="46" t="str">
        <f t="shared" ca="1" si="18"/>
        <v>RED</v>
      </c>
      <c r="H304" s="46" t="str">
        <f t="shared" ca="1" si="19"/>
        <v>Not Started</v>
      </c>
      <c r="I304" s="21"/>
    </row>
    <row r="305" spans="1:9" x14ac:dyDescent="0.35">
      <c r="A305" s="46" t="s">
        <v>218</v>
      </c>
      <c r="B305" s="46" t="s">
        <v>183</v>
      </c>
      <c r="C305" s="47" t="str">
        <f>Matrix!CF5</f>
        <v>NS</v>
      </c>
      <c r="D305" s="48">
        <f>IFERROR(VLOOKUP(B305,'Renewal Rules'!$A:$B,2,FALSE),"")</f>
        <v>36</v>
      </c>
      <c r="E305" s="47" t="str">
        <f t="shared" si="16"/>
        <v/>
      </c>
      <c r="F305" s="48" t="str">
        <f t="shared" ca="1" si="17"/>
        <v/>
      </c>
      <c r="G305" s="46" t="str">
        <f t="shared" ca="1" si="18"/>
        <v>RED</v>
      </c>
      <c r="H305" s="46" t="str">
        <f t="shared" ca="1" si="19"/>
        <v>Not Started</v>
      </c>
      <c r="I305" s="21"/>
    </row>
    <row r="306" spans="1:9" x14ac:dyDescent="0.35">
      <c r="A306" s="46" t="s">
        <v>218</v>
      </c>
      <c r="B306" s="46" t="s">
        <v>184</v>
      </c>
      <c r="C306" s="47" t="str">
        <f>Matrix!CG5</f>
        <v>NS</v>
      </c>
      <c r="D306" s="48">
        <f>IFERROR(VLOOKUP(B306,'Renewal Rules'!$A:$B,2,FALSE),"")</f>
        <v>12</v>
      </c>
      <c r="E306" s="47" t="str">
        <f t="shared" si="16"/>
        <v/>
      </c>
      <c r="F306" s="48" t="str">
        <f t="shared" ca="1" si="17"/>
        <v/>
      </c>
      <c r="G306" s="46" t="str">
        <f t="shared" ca="1" si="18"/>
        <v>RED</v>
      </c>
      <c r="H306" s="46" t="str">
        <f t="shared" ca="1" si="19"/>
        <v>Not Started</v>
      </c>
      <c r="I306" s="21"/>
    </row>
    <row r="307" spans="1:9" x14ac:dyDescent="0.35">
      <c r="A307" s="46" t="s">
        <v>218</v>
      </c>
      <c r="B307" s="46" t="s">
        <v>185</v>
      </c>
      <c r="C307" s="47" t="str">
        <f>Matrix!CH5</f>
        <v>NS</v>
      </c>
      <c r="D307" s="48">
        <f>IFERROR(VLOOKUP(B307,'Renewal Rules'!$A:$B,2,FALSE),"")</f>
        <v>12</v>
      </c>
      <c r="E307" s="47" t="str">
        <f t="shared" si="16"/>
        <v/>
      </c>
      <c r="F307" s="48" t="str">
        <f t="shared" ca="1" si="17"/>
        <v/>
      </c>
      <c r="G307" s="46" t="str">
        <f t="shared" ca="1" si="18"/>
        <v>RED</v>
      </c>
      <c r="H307" s="46" t="str">
        <f t="shared" ca="1" si="19"/>
        <v>Not Started</v>
      </c>
      <c r="I307" s="21"/>
    </row>
    <row r="308" spans="1:9" x14ac:dyDescent="0.35">
      <c r="A308" s="46" t="s">
        <v>218</v>
      </c>
      <c r="B308" s="46" t="s">
        <v>186</v>
      </c>
      <c r="C308" s="47" t="str">
        <f>Matrix!CI5</f>
        <v>NS</v>
      </c>
      <c r="D308" s="48">
        <f>IFERROR(VLOOKUP(B308,'Renewal Rules'!$A:$B,2,FALSE),"")</f>
        <v>36</v>
      </c>
      <c r="E308" s="47" t="str">
        <f t="shared" si="16"/>
        <v/>
      </c>
      <c r="F308" s="48" t="str">
        <f t="shared" ca="1" si="17"/>
        <v/>
      </c>
      <c r="G308" s="46" t="str">
        <f t="shared" ca="1" si="18"/>
        <v>RED</v>
      </c>
      <c r="H308" s="46" t="str">
        <f t="shared" ca="1" si="19"/>
        <v>Not Started</v>
      </c>
      <c r="I308" s="21"/>
    </row>
    <row r="309" spans="1:9" x14ac:dyDescent="0.35">
      <c r="A309" s="46" t="s">
        <v>218</v>
      </c>
      <c r="B309" s="46" t="s">
        <v>187</v>
      </c>
      <c r="C309" s="47" t="str">
        <f>Matrix!CJ5</f>
        <v>NS</v>
      </c>
      <c r="D309" s="48">
        <f>IFERROR(VLOOKUP(B309,'Renewal Rules'!$A:$B,2,FALSE),"")</f>
        <v>12</v>
      </c>
      <c r="E309" s="47" t="str">
        <f t="shared" si="16"/>
        <v/>
      </c>
      <c r="F309" s="48" t="str">
        <f t="shared" ca="1" si="17"/>
        <v/>
      </c>
      <c r="G309" s="46" t="str">
        <f t="shared" ca="1" si="18"/>
        <v>RED</v>
      </c>
      <c r="H309" s="46" t="str">
        <f t="shared" ca="1" si="19"/>
        <v>Not Started</v>
      </c>
      <c r="I309" s="21"/>
    </row>
    <row r="310" spans="1:9" x14ac:dyDescent="0.35">
      <c r="A310" s="46" t="s">
        <v>218</v>
      </c>
      <c r="B310" s="46" t="s">
        <v>188</v>
      </c>
      <c r="C310" s="47" t="str">
        <f>Matrix!CK5</f>
        <v>NS</v>
      </c>
      <c r="D310" s="48">
        <f>IFERROR(VLOOKUP(B310,'Renewal Rules'!$A:$B,2,FALSE),"")</f>
        <v>36</v>
      </c>
      <c r="E310" s="47" t="str">
        <f t="shared" si="16"/>
        <v/>
      </c>
      <c r="F310" s="48" t="str">
        <f t="shared" ca="1" si="17"/>
        <v/>
      </c>
      <c r="G310" s="46" t="str">
        <f t="shared" ca="1" si="18"/>
        <v>RED</v>
      </c>
      <c r="H310" s="46" t="str">
        <f t="shared" ca="1" si="19"/>
        <v>Not Started</v>
      </c>
      <c r="I310" s="21"/>
    </row>
    <row r="311" spans="1:9" x14ac:dyDescent="0.35">
      <c r="A311" s="46" t="s">
        <v>218</v>
      </c>
      <c r="B311" s="46" t="s">
        <v>189</v>
      </c>
      <c r="C311" s="47" t="str">
        <f>Matrix!CL5</f>
        <v>NS</v>
      </c>
      <c r="D311" s="48">
        <f>IFERROR(VLOOKUP(B311,'Renewal Rules'!$A:$B,2,FALSE),"")</f>
        <v>36</v>
      </c>
      <c r="E311" s="47" t="str">
        <f t="shared" si="16"/>
        <v/>
      </c>
      <c r="F311" s="48" t="str">
        <f t="shared" ca="1" si="17"/>
        <v/>
      </c>
      <c r="G311" s="46" t="str">
        <f t="shared" ca="1" si="18"/>
        <v>RED</v>
      </c>
      <c r="H311" s="46" t="str">
        <f t="shared" ca="1" si="19"/>
        <v>Not Started</v>
      </c>
      <c r="I311" s="21"/>
    </row>
    <row r="312" spans="1:9" x14ac:dyDescent="0.35">
      <c r="A312" s="46" t="s">
        <v>218</v>
      </c>
      <c r="B312" s="46" t="s">
        <v>190</v>
      </c>
      <c r="C312" s="47" t="str">
        <f>Matrix!CM5</f>
        <v>NS</v>
      </c>
      <c r="D312" s="48">
        <f>IFERROR(VLOOKUP(B312,'Renewal Rules'!$A:$B,2,FALSE),"")</f>
        <v>12</v>
      </c>
      <c r="E312" s="47" t="str">
        <f t="shared" si="16"/>
        <v/>
      </c>
      <c r="F312" s="48" t="str">
        <f t="shared" ca="1" si="17"/>
        <v/>
      </c>
      <c r="G312" s="46" t="str">
        <f t="shared" ca="1" si="18"/>
        <v>RED</v>
      </c>
      <c r="H312" s="46" t="str">
        <f t="shared" ca="1" si="19"/>
        <v>Not Started</v>
      </c>
      <c r="I312" s="21"/>
    </row>
    <row r="313" spans="1:9" x14ac:dyDescent="0.35">
      <c r="A313" s="46" t="s">
        <v>218</v>
      </c>
      <c r="B313" s="46" t="s">
        <v>191</v>
      </c>
      <c r="C313" s="47" t="str">
        <f>Matrix!CN5</f>
        <v>NS</v>
      </c>
      <c r="D313" s="48">
        <f>IFERROR(VLOOKUP(B313,'Renewal Rules'!$A:$B,2,FALSE),"")</f>
        <v>36</v>
      </c>
      <c r="E313" s="47" t="str">
        <f t="shared" si="16"/>
        <v/>
      </c>
      <c r="F313" s="48" t="str">
        <f t="shared" ca="1" si="17"/>
        <v/>
      </c>
      <c r="G313" s="46" t="str">
        <f t="shared" ca="1" si="18"/>
        <v>RED</v>
      </c>
      <c r="H313" s="46" t="str">
        <f t="shared" ca="1" si="19"/>
        <v>Not Started</v>
      </c>
      <c r="I313" s="21"/>
    </row>
    <row r="314" spans="1:9" x14ac:dyDescent="0.35">
      <c r="A314" s="46" t="s">
        <v>218</v>
      </c>
      <c r="B314" s="46" t="s">
        <v>192</v>
      </c>
      <c r="C314" s="47" t="str">
        <f>Matrix!CO5</f>
        <v>NS</v>
      </c>
      <c r="D314" s="48">
        <f>IFERROR(VLOOKUP(B314,'Renewal Rules'!$A:$B,2,FALSE),"")</f>
        <v>12</v>
      </c>
      <c r="E314" s="47" t="str">
        <f t="shared" si="16"/>
        <v/>
      </c>
      <c r="F314" s="48" t="str">
        <f t="shared" ca="1" si="17"/>
        <v/>
      </c>
      <c r="G314" s="46" t="str">
        <f t="shared" ca="1" si="18"/>
        <v>RED</v>
      </c>
      <c r="H314" s="46" t="str">
        <f t="shared" ca="1" si="19"/>
        <v>Not Started</v>
      </c>
      <c r="I314" s="21"/>
    </row>
    <row r="315" spans="1:9" ht="12.9" customHeight="1" x14ac:dyDescent="0.35">
      <c r="A315" s="46" t="s">
        <v>218</v>
      </c>
      <c r="B315" s="46" t="s">
        <v>193</v>
      </c>
      <c r="C315" s="47" t="str">
        <f>Matrix!CP5</f>
        <v>NS</v>
      </c>
      <c r="D315" s="48">
        <f>IFERROR(VLOOKUP(B315,'Renewal Rules'!$A:$B,2,FALSE),"")</f>
        <v>12</v>
      </c>
      <c r="E315" s="47" t="str">
        <f t="shared" si="16"/>
        <v/>
      </c>
      <c r="F315" s="48" t="str">
        <f t="shared" ca="1" si="17"/>
        <v/>
      </c>
      <c r="G315" s="46" t="str">
        <f t="shared" ca="1" si="18"/>
        <v>RED</v>
      </c>
      <c r="H315" s="46" t="str">
        <f t="shared" ca="1" si="19"/>
        <v>Not Started</v>
      </c>
      <c r="I315" s="21"/>
    </row>
    <row r="316" spans="1:9" x14ac:dyDescent="0.35">
      <c r="A316" s="46" t="s">
        <v>218</v>
      </c>
      <c r="B316" s="46" t="s">
        <v>194</v>
      </c>
      <c r="C316" s="47" t="str">
        <f>Matrix!CQ5</f>
        <v>NS</v>
      </c>
      <c r="D316" s="48">
        <f>IFERROR(VLOOKUP(B316,'Renewal Rules'!$A:$B,2,FALSE),"")</f>
        <v>36</v>
      </c>
      <c r="E316" s="47" t="str">
        <f t="shared" si="16"/>
        <v/>
      </c>
      <c r="F316" s="48" t="str">
        <f t="shared" ca="1" si="17"/>
        <v/>
      </c>
      <c r="G316" s="46" t="str">
        <f t="shared" ca="1" si="18"/>
        <v>RED</v>
      </c>
      <c r="H316" s="46" t="str">
        <f t="shared" ca="1" si="19"/>
        <v>Not Started</v>
      </c>
      <c r="I316" s="21"/>
    </row>
    <row r="317" spans="1:9" ht="12.9" customHeight="1" x14ac:dyDescent="0.35">
      <c r="A317" s="46" t="s">
        <v>218</v>
      </c>
      <c r="B317" s="46" t="s">
        <v>195</v>
      </c>
      <c r="C317" s="47" t="str">
        <f>Matrix!CR5</f>
        <v>NS</v>
      </c>
      <c r="D317" s="48">
        <f>IFERROR(VLOOKUP(B317,'Renewal Rules'!$A:$B,2,FALSE),"")</f>
        <v>36</v>
      </c>
      <c r="E317" s="47" t="str">
        <f t="shared" si="16"/>
        <v/>
      </c>
      <c r="F317" s="48" t="str">
        <f t="shared" ca="1" si="17"/>
        <v/>
      </c>
      <c r="G317" s="46" t="str">
        <f t="shared" ca="1" si="18"/>
        <v>RED</v>
      </c>
      <c r="H317" s="46" t="str">
        <f t="shared" ca="1" si="19"/>
        <v>Not Started</v>
      </c>
      <c r="I317" s="21"/>
    </row>
    <row r="318" spans="1:9" x14ac:dyDescent="0.35">
      <c r="A318" s="46" t="s">
        <v>218</v>
      </c>
      <c r="B318" s="46" t="s">
        <v>196</v>
      </c>
      <c r="C318" s="47" t="str">
        <f>Matrix!CS5</f>
        <v>NS</v>
      </c>
      <c r="D318" s="48">
        <f>IFERROR(VLOOKUP(B318,'Renewal Rules'!$A:$B,2,FALSE),"")</f>
        <v>36</v>
      </c>
      <c r="E318" s="47" t="str">
        <f t="shared" si="16"/>
        <v/>
      </c>
      <c r="F318" s="48" t="str">
        <f t="shared" ca="1" si="17"/>
        <v/>
      </c>
      <c r="G318" s="46" t="str">
        <f t="shared" ca="1" si="18"/>
        <v>RED</v>
      </c>
      <c r="H318" s="46" t="str">
        <f t="shared" ca="1" si="19"/>
        <v>Not Started</v>
      </c>
      <c r="I318" s="21"/>
    </row>
    <row r="319" spans="1:9" x14ac:dyDescent="0.35">
      <c r="A319" s="46" t="s">
        <v>218</v>
      </c>
      <c r="B319" s="46" t="s">
        <v>197</v>
      </c>
      <c r="C319" s="47" t="str">
        <f>Matrix!CT5</f>
        <v>NS</v>
      </c>
      <c r="D319" s="48">
        <f>IFERROR(VLOOKUP(B319,'Renewal Rules'!$A:$B,2,FALSE),"")</f>
        <v>12</v>
      </c>
      <c r="E319" s="47" t="str">
        <f t="shared" si="16"/>
        <v/>
      </c>
      <c r="F319" s="48" t="str">
        <f t="shared" ca="1" si="17"/>
        <v/>
      </c>
      <c r="G319" s="46" t="str">
        <f t="shared" ca="1" si="18"/>
        <v>RED</v>
      </c>
      <c r="H319" s="46" t="str">
        <f t="shared" ca="1" si="19"/>
        <v>Not Started</v>
      </c>
      <c r="I319" s="21"/>
    </row>
    <row r="320" spans="1:9" x14ac:dyDescent="0.35">
      <c r="A320" s="46" t="s">
        <v>218</v>
      </c>
      <c r="B320" s="46" t="s">
        <v>198</v>
      </c>
      <c r="C320" s="47" t="str">
        <f>Matrix!CU5</f>
        <v>NS</v>
      </c>
      <c r="D320" s="48">
        <f>IFERROR(VLOOKUP(B320,'Renewal Rules'!$A:$B,2,FALSE),"")</f>
        <v>12</v>
      </c>
      <c r="E320" s="47" t="str">
        <f t="shared" si="16"/>
        <v/>
      </c>
      <c r="F320" s="48" t="str">
        <f t="shared" ca="1" si="17"/>
        <v/>
      </c>
      <c r="G320" s="46" t="str">
        <f t="shared" ca="1" si="18"/>
        <v>RED</v>
      </c>
      <c r="H320" s="46" t="str">
        <f t="shared" ca="1" si="19"/>
        <v>Not Started</v>
      </c>
      <c r="I320" s="21"/>
    </row>
    <row r="321" spans="1:9" x14ac:dyDescent="0.35">
      <c r="A321" s="46" t="s">
        <v>218</v>
      </c>
      <c r="B321" s="46" t="s">
        <v>199</v>
      </c>
      <c r="C321" s="47" t="str">
        <f>Matrix!CV5</f>
        <v>NS</v>
      </c>
      <c r="D321" s="48">
        <f>IFERROR(VLOOKUP(B321,'Renewal Rules'!$A:$B,2,FALSE),"")</f>
        <v>12</v>
      </c>
      <c r="E321" s="47" t="str">
        <f t="shared" si="16"/>
        <v/>
      </c>
      <c r="F321" s="48" t="str">
        <f t="shared" ca="1" si="17"/>
        <v/>
      </c>
      <c r="G321" s="46" t="str">
        <f t="shared" ca="1" si="18"/>
        <v>RED</v>
      </c>
      <c r="H321" s="46" t="str">
        <f t="shared" ca="1" si="19"/>
        <v>Not Started</v>
      </c>
      <c r="I321" s="21"/>
    </row>
    <row r="322" spans="1:9" ht="12.9" customHeight="1" x14ac:dyDescent="0.35">
      <c r="A322" s="46" t="s">
        <v>218</v>
      </c>
      <c r="B322" s="46" t="s">
        <v>200</v>
      </c>
      <c r="C322" s="47" t="str">
        <f>Matrix!CW5</f>
        <v>NS</v>
      </c>
      <c r="D322" s="48">
        <f>IFERROR(VLOOKUP(B322,'Renewal Rules'!$A:$B,2,FALSE),"")</f>
        <v>12</v>
      </c>
      <c r="E322" s="47" t="str">
        <f t="shared" si="16"/>
        <v/>
      </c>
      <c r="F322" s="48" t="str">
        <f t="shared" ca="1" si="17"/>
        <v/>
      </c>
      <c r="G322" s="46" t="str">
        <f t="shared" ca="1" si="18"/>
        <v>RED</v>
      </c>
      <c r="H322" s="46" t="str">
        <f t="shared" ca="1" si="19"/>
        <v>Not Started</v>
      </c>
      <c r="I322" s="21"/>
    </row>
    <row r="323" spans="1:9" x14ac:dyDescent="0.35">
      <c r="A323" s="46" t="s">
        <v>218</v>
      </c>
      <c r="B323" s="46" t="s">
        <v>201</v>
      </c>
      <c r="C323" s="47" t="str">
        <f>Matrix!CX5</f>
        <v>NS</v>
      </c>
      <c r="D323" s="48">
        <f>IFERROR(VLOOKUP(B323,'Renewal Rules'!$A:$B,2,FALSE),"")</f>
        <v>12</v>
      </c>
      <c r="E323" s="47" t="str">
        <f t="shared" ref="E323:E386" si="20">IF(OR(C323="",C323="NS",C323="IP",C323="Failed"),"",IFERROR(EDATE(IF(ISNUMBER(C323),C323,IFERROR(DATEVALUE(C323),DATE(VALUE(RIGHT(C323,4)),VALUE(MID(C323,4,2)),VALUE(LEFT(C323,2))))),D323),""))</f>
        <v/>
      </c>
      <c r="F323" s="48" t="str">
        <f t="shared" ref="F323:F386" ca="1" si="21">IF(E323="","",E323-TODAY())</f>
        <v/>
      </c>
      <c r="G323" s="46" t="str">
        <f t="shared" ref="G323:G386" ca="1" si="22">IF(C323="NS","RED",IF(C323="IP","AMBER",IF(E323="","",IF(E323&lt;TODAY(),"RED",IF(E323&lt;=TODAY()+30,"AMBER","GREEN")))))</f>
        <v>RED</v>
      </c>
      <c r="H323" s="46" t="str">
        <f t="shared" ref="H323:H386" ca="1" si="23">IF(C323="NS","Not Started",IF(C323="IP","In Progress",IF(E323="","Check",IF(E323&lt;TODAY(),"Expired",IF(E323&lt;=TODAY()+30,"Expiring Soon","Current")))))</f>
        <v>Not Started</v>
      </c>
      <c r="I323" s="21"/>
    </row>
    <row r="324" spans="1:9" x14ac:dyDescent="0.35">
      <c r="A324" s="46" t="s">
        <v>218</v>
      </c>
      <c r="B324" s="46" t="s">
        <v>202</v>
      </c>
      <c r="C324" s="47" t="str">
        <f>Matrix!CY5</f>
        <v>NS</v>
      </c>
      <c r="D324" s="48">
        <f>IFERROR(VLOOKUP(B324,'Renewal Rules'!$A:$B,2,FALSE),"")</f>
        <v>36</v>
      </c>
      <c r="E324" s="47" t="str">
        <f t="shared" si="20"/>
        <v/>
      </c>
      <c r="F324" s="48" t="str">
        <f t="shared" ca="1" si="21"/>
        <v/>
      </c>
      <c r="G324" s="46" t="str">
        <f t="shared" ca="1" si="22"/>
        <v>RED</v>
      </c>
      <c r="H324" s="46" t="str">
        <f t="shared" ca="1" si="23"/>
        <v>Not Started</v>
      </c>
      <c r="I324" s="21"/>
    </row>
    <row r="325" spans="1:9" ht="12.9" customHeight="1" x14ac:dyDescent="0.35">
      <c r="A325" s="46" t="s">
        <v>218</v>
      </c>
      <c r="B325" s="46" t="s">
        <v>203</v>
      </c>
      <c r="C325" s="47" t="str">
        <f>Matrix!CZ5</f>
        <v>NS</v>
      </c>
      <c r="D325" s="48">
        <f>IFERROR(VLOOKUP(B325,'Renewal Rules'!$A:$B,2,FALSE),"")</f>
        <v>12</v>
      </c>
      <c r="E325" s="47" t="str">
        <f t="shared" si="20"/>
        <v/>
      </c>
      <c r="F325" s="48" t="str">
        <f t="shared" ca="1" si="21"/>
        <v/>
      </c>
      <c r="G325" s="46" t="str">
        <f t="shared" ca="1" si="22"/>
        <v>RED</v>
      </c>
      <c r="H325" s="46" t="str">
        <f t="shared" ca="1" si="23"/>
        <v>Not Started</v>
      </c>
      <c r="I325" s="21"/>
    </row>
    <row r="326" spans="1:9" x14ac:dyDescent="0.35">
      <c r="A326" s="46" t="s">
        <v>218</v>
      </c>
      <c r="B326" s="46" t="s">
        <v>204</v>
      </c>
      <c r="C326" s="47" t="str">
        <f>Matrix!DA5</f>
        <v>NS</v>
      </c>
      <c r="D326" s="48">
        <f>IFERROR(VLOOKUP(B326,'Renewal Rules'!$A:$B,2,FALSE),"")</f>
        <v>12</v>
      </c>
      <c r="E326" s="47" t="str">
        <f t="shared" si="20"/>
        <v/>
      </c>
      <c r="F326" s="48" t="str">
        <f t="shared" ca="1" si="21"/>
        <v/>
      </c>
      <c r="G326" s="46" t="str">
        <f t="shared" ca="1" si="22"/>
        <v>RED</v>
      </c>
      <c r="H326" s="46" t="str">
        <f t="shared" ca="1" si="23"/>
        <v>Not Started</v>
      </c>
      <c r="I326" s="21"/>
    </row>
    <row r="327" spans="1:9" x14ac:dyDescent="0.35">
      <c r="A327" s="46" t="s">
        <v>218</v>
      </c>
      <c r="B327" s="46" t="s">
        <v>205</v>
      </c>
      <c r="C327" s="47" t="str">
        <f>Matrix!DB5</f>
        <v>NS</v>
      </c>
      <c r="D327" s="48">
        <f>IFERROR(VLOOKUP(B327,'Renewal Rules'!$A:$B,2,FALSE),"")</f>
        <v>36</v>
      </c>
      <c r="E327" s="47" t="str">
        <f t="shared" si="20"/>
        <v/>
      </c>
      <c r="F327" s="48" t="str">
        <f t="shared" ca="1" si="21"/>
        <v/>
      </c>
      <c r="G327" s="46" t="str">
        <f t="shared" ca="1" si="22"/>
        <v>RED</v>
      </c>
      <c r="H327" s="46" t="str">
        <f t="shared" ca="1" si="23"/>
        <v>Not Started</v>
      </c>
      <c r="I327" s="21"/>
    </row>
    <row r="328" spans="1:9" x14ac:dyDescent="0.35">
      <c r="A328" s="46" t="s">
        <v>218</v>
      </c>
      <c r="B328" s="46" t="s">
        <v>94</v>
      </c>
      <c r="C328" s="47">
        <f>Matrix!DC5</f>
        <v>46155</v>
      </c>
      <c r="D328" s="48">
        <f>IFERROR(VLOOKUP(B328,'Renewal Rules'!$A:$B,2,FALSE),"")</f>
        <v>12</v>
      </c>
      <c r="E328" s="47">
        <f t="shared" si="20"/>
        <v>46520</v>
      </c>
      <c r="F328" s="48">
        <f t="shared" ca="1" si="21"/>
        <v>317</v>
      </c>
      <c r="G328" s="46" t="str">
        <f t="shared" ca="1" si="22"/>
        <v>GREEN</v>
      </c>
      <c r="H328" s="46" t="str">
        <f t="shared" ca="1" si="23"/>
        <v>Current</v>
      </c>
      <c r="I328" s="21"/>
    </row>
    <row r="329" spans="1:9" x14ac:dyDescent="0.35">
      <c r="A329" s="46" t="s">
        <v>218</v>
      </c>
      <c r="B329" s="46" t="s">
        <v>206</v>
      </c>
      <c r="C329" s="47" t="str">
        <f>Matrix!DD5</f>
        <v>NS</v>
      </c>
      <c r="D329" s="48">
        <f>IFERROR(VLOOKUP(B329,'Renewal Rules'!$A:$B,2,FALSE),"")</f>
        <v>36</v>
      </c>
      <c r="E329" s="47" t="str">
        <f t="shared" si="20"/>
        <v/>
      </c>
      <c r="F329" s="48" t="str">
        <f t="shared" ca="1" si="21"/>
        <v/>
      </c>
      <c r="G329" s="46" t="str">
        <f t="shared" ca="1" si="22"/>
        <v>RED</v>
      </c>
      <c r="H329" s="46" t="str">
        <f t="shared" ca="1" si="23"/>
        <v>Not Started</v>
      </c>
      <c r="I329" s="21"/>
    </row>
    <row r="330" spans="1:9" x14ac:dyDescent="0.35">
      <c r="A330" s="46" t="s">
        <v>218</v>
      </c>
      <c r="B330" s="46" t="s">
        <v>207</v>
      </c>
      <c r="C330" s="47" t="str">
        <f>Matrix!DE5</f>
        <v>NS</v>
      </c>
      <c r="D330" s="48">
        <f>IFERROR(VLOOKUP(B330,'Renewal Rules'!$A:$B,2,FALSE),"")</f>
        <v>36</v>
      </c>
      <c r="E330" s="47" t="str">
        <f t="shared" si="20"/>
        <v/>
      </c>
      <c r="F330" s="48" t="str">
        <f t="shared" ca="1" si="21"/>
        <v/>
      </c>
      <c r="G330" s="46" t="str">
        <f t="shared" ca="1" si="22"/>
        <v>RED</v>
      </c>
      <c r="H330" s="46" t="str">
        <f t="shared" ca="1" si="23"/>
        <v>Not Started</v>
      </c>
      <c r="I330" s="21"/>
    </row>
    <row r="331" spans="1:9" x14ac:dyDescent="0.35">
      <c r="A331" s="46" t="s">
        <v>218</v>
      </c>
      <c r="B331" s="46" t="s">
        <v>208</v>
      </c>
      <c r="C331" s="47" t="str">
        <f>Matrix!DF5</f>
        <v>NS</v>
      </c>
      <c r="D331" s="48">
        <f>IFERROR(VLOOKUP(B331,'Renewal Rules'!$A:$B,2,FALSE),"")</f>
        <v>36</v>
      </c>
      <c r="E331" s="47" t="str">
        <f t="shared" si="20"/>
        <v/>
      </c>
      <c r="F331" s="48" t="str">
        <f t="shared" ca="1" si="21"/>
        <v/>
      </c>
      <c r="G331" s="46" t="str">
        <f t="shared" ca="1" si="22"/>
        <v>RED</v>
      </c>
      <c r="H331" s="46" t="str">
        <f t="shared" ca="1" si="23"/>
        <v>Not Started</v>
      </c>
      <c r="I331" s="21"/>
    </row>
    <row r="332" spans="1:9" x14ac:dyDescent="0.35">
      <c r="A332" s="46" t="s">
        <v>218</v>
      </c>
      <c r="B332" s="46" t="s">
        <v>104</v>
      </c>
      <c r="C332" s="47" t="str">
        <f>Matrix!DG5</f>
        <v>NS</v>
      </c>
      <c r="D332" s="48">
        <f>IFERROR(VLOOKUP(B332,'Renewal Rules'!$A:$B,2,FALSE),"")</f>
        <v>12</v>
      </c>
      <c r="E332" s="47" t="str">
        <f t="shared" si="20"/>
        <v/>
      </c>
      <c r="F332" s="48" t="str">
        <f t="shared" ca="1" si="21"/>
        <v/>
      </c>
      <c r="G332" s="46" t="str">
        <f t="shared" ca="1" si="22"/>
        <v>RED</v>
      </c>
      <c r="H332" s="46" t="str">
        <f t="shared" ca="1" si="23"/>
        <v>Not Started</v>
      </c>
      <c r="I332" s="21"/>
    </row>
    <row r="333" spans="1:9" x14ac:dyDescent="0.35">
      <c r="A333" s="46" t="s">
        <v>221</v>
      </c>
      <c r="B333" s="46" t="s">
        <v>111</v>
      </c>
      <c r="C333" s="47">
        <f>Matrix!B6</f>
        <v>46196</v>
      </c>
      <c r="D333" s="48">
        <f>IFERROR(VLOOKUP(B333,'Renewal Rules'!$A:$B,2,FALSE),"")</f>
        <v>36</v>
      </c>
      <c r="E333" s="47">
        <f t="shared" si="20"/>
        <v>47292</v>
      </c>
      <c r="F333" s="48">
        <f t="shared" ca="1" si="21"/>
        <v>1089</v>
      </c>
      <c r="G333" s="46" t="str">
        <f t="shared" ca="1" si="22"/>
        <v>GREEN</v>
      </c>
      <c r="H333" s="46" t="str">
        <f t="shared" ca="1" si="23"/>
        <v>Current</v>
      </c>
      <c r="I333" s="21"/>
    </row>
    <row r="334" spans="1:9" x14ac:dyDescent="0.35">
      <c r="A334" s="46" t="s">
        <v>221</v>
      </c>
      <c r="B334" s="46" t="s">
        <v>100</v>
      </c>
      <c r="C334" s="47" t="str">
        <f>Matrix!C6</f>
        <v>21/06/2026</v>
      </c>
      <c r="D334" s="48">
        <f>IFERROR(VLOOKUP(B334,'Renewal Rules'!$A:$B,2,FALSE),"")</f>
        <v>36</v>
      </c>
      <c r="E334" s="47">
        <f t="shared" si="20"/>
        <v>47290</v>
      </c>
      <c r="F334" s="48">
        <f t="shared" ca="1" si="21"/>
        <v>1087</v>
      </c>
      <c r="G334" s="46" t="str">
        <f t="shared" ca="1" si="22"/>
        <v>GREEN</v>
      </c>
      <c r="H334" s="46" t="str">
        <f t="shared" ca="1" si="23"/>
        <v>Current</v>
      </c>
      <c r="I334" s="21"/>
    </row>
    <row r="335" spans="1:9" x14ac:dyDescent="0.35">
      <c r="A335" s="46" t="s">
        <v>221</v>
      </c>
      <c r="B335" s="46" t="s">
        <v>112</v>
      </c>
      <c r="C335" s="47">
        <f>Matrix!D6</f>
        <v>46199</v>
      </c>
      <c r="D335" s="48">
        <f>IFERROR(VLOOKUP(B335,'Renewal Rules'!$A:$B,2,FALSE),"")</f>
        <v>12</v>
      </c>
      <c r="E335" s="47">
        <f t="shared" si="20"/>
        <v>46564</v>
      </c>
      <c r="F335" s="48">
        <f t="shared" ca="1" si="21"/>
        <v>361</v>
      </c>
      <c r="G335" s="46" t="str">
        <f t="shared" ca="1" si="22"/>
        <v>GREEN</v>
      </c>
      <c r="H335" s="46" t="str">
        <f t="shared" ca="1" si="23"/>
        <v>Current</v>
      </c>
      <c r="I335" s="21"/>
    </row>
    <row r="336" spans="1:9" x14ac:dyDescent="0.35">
      <c r="A336" s="46" t="s">
        <v>221</v>
      </c>
      <c r="B336" s="46" t="s">
        <v>96</v>
      </c>
      <c r="C336" s="47">
        <f>Matrix!E6</f>
        <v>46184</v>
      </c>
      <c r="D336" s="48">
        <f>IFERROR(VLOOKUP(B336,'Renewal Rules'!$A:$B,2,FALSE),"")</f>
        <v>36</v>
      </c>
      <c r="E336" s="47">
        <f t="shared" si="20"/>
        <v>47280</v>
      </c>
      <c r="F336" s="48">
        <f t="shared" ca="1" si="21"/>
        <v>1077</v>
      </c>
      <c r="G336" s="46" t="str">
        <f t="shared" ca="1" si="22"/>
        <v>GREEN</v>
      </c>
      <c r="H336" s="46" t="str">
        <f t="shared" ca="1" si="23"/>
        <v>Current</v>
      </c>
      <c r="I336" s="21"/>
    </row>
    <row r="337" spans="1:9" x14ac:dyDescent="0.35">
      <c r="A337" s="46" t="s">
        <v>221</v>
      </c>
      <c r="B337" s="46" t="s">
        <v>113</v>
      </c>
      <c r="C337" s="47">
        <f>Matrix!F6</f>
        <v>46194</v>
      </c>
      <c r="D337" s="48">
        <f>IFERROR(VLOOKUP(B337,'Renewal Rules'!$A:$B,2,FALSE),"")</f>
        <v>36</v>
      </c>
      <c r="E337" s="47">
        <f t="shared" si="20"/>
        <v>47290</v>
      </c>
      <c r="F337" s="48">
        <f t="shared" ca="1" si="21"/>
        <v>1087</v>
      </c>
      <c r="G337" s="46" t="str">
        <f t="shared" ca="1" si="22"/>
        <v>GREEN</v>
      </c>
      <c r="H337" s="46" t="str">
        <f t="shared" ca="1" si="23"/>
        <v>Current</v>
      </c>
      <c r="I337" s="21"/>
    </row>
    <row r="338" spans="1:9" x14ac:dyDescent="0.35">
      <c r="A338" s="46" t="s">
        <v>221</v>
      </c>
      <c r="B338" s="46" t="s">
        <v>114</v>
      </c>
      <c r="C338" s="47">
        <f>Matrix!G6</f>
        <v>46199</v>
      </c>
      <c r="D338" s="48">
        <f>IFERROR(VLOOKUP(B338,'Renewal Rules'!$A:$B,2,FALSE),"")</f>
        <v>12</v>
      </c>
      <c r="E338" s="47">
        <f t="shared" si="20"/>
        <v>46564</v>
      </c>
      <c r="F338" s="48">
        <f t="shared" ca="1" si="21"/>
        <v>361</v>
      </c>
      <c r="G338" s="46" t="str">
        <f t="shared" ca="1" si="22"/>
        <v>GREEN</v>
      </c>
      <c r="H338" s="46" t="str">
        <f t="shared" ca="1" si="23"/>
        <v>Current</v>
      </c>
      <c r="I338" s="21"/>
    </row>
    <row r="339" spans="1:9" x14ac:dyDescent="0.35">
      <c r="A339" s="46" t="s">
        <v>221</v>
      </c>
      <c r="B339" s="46" t="s">
        <v>115</v>
      </c>
      <c r="C339" s="47">
        <f>Matrix!H6</f>
        <v>46195</v>
      </c>
      <c r="D339" s="48">
        <f>IFERROR(VLOOKUP(B339,'Renewal Rules'!$A:$B,2,FALSE),"")</f>
        <v>36</v>
      </c>
      <c r="E339" s="47">
        <f t="shared" si="20"/>
        <v>47291</v>
      </c>
      <c r="F339" s="48">
        <f t="shared" ca="1" si="21"/>
        <v>1088</v>
      </c>
      <c r="G339" s="46" t="str">
        <f t="shared" ca="1" si="22"/>
        <v>GREEN</v>
      </c>
      <c r="H339" s="46" t="str">
        <f t="shared" ca="1" si="23"/>
        <v>Current</v>
      </c>
      <c r="I339" s="21"/>
    </row>
    <row r="340" spans="1:9" x14ac:dyDescent="0.35">
      <c r="A340" s="46" t="s">
        <v>221</v>
      </c>
      <c r="B340" s="46" t="s">
        <v>116</v>
      </c>
      <c r="C340" s="47" t="str">
        <f>Matrix!I6</f>
        <v>NS</v>
      </c>
      <c r="D340" s="48">
        <f>IFERROR(VLOOKUP(B340,'Renewal Rules'!$A:$B,2,FALSE),"")</f>
        <v>36</v>
      </c>
      <c r="E340" s="47" t="str">
        <f t="shared" si="20"/>
        <v/>
      </c>
      <c r="F340" s="48" t="str">
        <f t="shared" ca="1" si="21"/>
        <v/>
      </c>
      <c r="G340" s="46" t="str">
        <f t="shared" ca="1" si="22"/>
        <v>RED</v>
      </c>
      <c r="H340" s="46" t="str">
        <f t="shared" ca="1" si="23"/>
        <v>Not Started</v>
      </c>
      <c r="I340" s="21"/>
    </row>
    <row r="341" spans="1:9" x14ac:dyDescent="0.35">
      <c r="A341" s="46" t="s">
        <v>221</v>
      </c>
      <c r="B341" s="46" t="s">
        <v>117</v>
      </c>
      <c r="C341" s="47" t="str">
        <f>Matrix!J6</f>
        <v>NS</v>
      </c>
      <c r="D341" s="48">
        <f>IFERROR(VLOOKUP(B341,'Renewal Rules'!$A:$B,2,FALSE),"")</f>
        <v>12</v>
      </c>
      <c r="E341" s="47" t="str">
        <f t="shared" si="20"/>
        <v/>
      </c>
      <c r="F341" s="48" t="str">
        <f t="shared" ca="1" si="21"/>
        <v/>
      </c>
      <c r="G341" s="46" t="str">
        <f t="shared" ca="1" si="22"/>
        <v>RED</v>
      </c>
      <c r="H341" s="46" t="str">
        <f t="shared" ca="1" si="23"/>
        <v>Not Started</v>
      </c>
      <c r="I341" s="21"/>
    </row>
    <row r="342" spans="1:9" x14ac:dyDescent="0.35">
      <c r="A342" s="46" t="s">
        <v>221</v>
      </c>
      <c r="B342" s="46" t="s">
        <v>118</v>
      </c>
      <c r="C342" s="47" t="str">
        <f>Matrix!K6</f>
        <v>NS</v>
      </c>
      <c r="D342" s="48">
        <f>IFERROR(VLOOKUP(B342,'Renewal Rules'!$A:$B,2,FALSE),"")</f>
        <v>36</v>
      </c>
      <c r="E342" s="47" t="str">
        <f t="shared" si="20"/>
        <v/>
      </c>
      <c r="F342" s="48" t="str">
        <f t="shared" ca="1" si="21"/>
        <v/>
      </c>
      <c r="G342" s="46" t="str">
        <f t="shared" ca="1" si="22"/>
        <v>RED</v>
      </c>
      <c r="H342" s="46" t="str">
        <f t="shared" ca="1" si="23"/>
        <v>Not Started</v>
      </c>
      <c r="I342" s="21"/>
    </row>
    <row r="343" spans="1:9" x14ac:dyDescent="0.35">
      <c r="A343" s="46" t="s">
        <v>221</v>
      </c>
      <c r="B343" s="46" t="s">
        <v>119</v>
      </c>
      <c r="C343" s="47" t="str">
        <f>Matrix!L6</f>
        <v>NS</v>
      </c>
      <c r="D343" s="48">
        <f>IFERROR(VLOOKUP(B343,'Renewal Rules'!$A:$B,2,FALSE),"")</f>
        <v>12</v>
      </c>
      <c r="E343" s="47" t="str">
        <f t="shared" si="20"/>
        <v/>
      </c>
      <c r="F343" s="48" t="str">
        <f t="shared" ca="1" si="21"/>
        <v/>
      </c>
      <c r="G343" s="46" t="str">
        <f t="shared" ca="1" si="22"/>
        <v>RED</v>
      </c>
      <c r="H343" s="46" t="str">
        <f t="shared" ca="1" si="23"/>
        <v>Not Started</v>
      </c>
      <c r="I343" s="21"/>
    </row>
    <row r="344" spans="1:9" x14ac:dyDescent="0.35">
      <c r="A344" s="46" t="s">
        <v>221</v>
      </c>
      <c r="B344" s="46" t="s">
        <v>120</v>
      </c>
      <c r="C344" s="47">
        <f>Matrix!M6</f>
        <v>46199</v>
      </c>
      <c r="D344" s="48">
        <f>IFERROR(VLOOKUP(B344,'Renewal Rules'!$A:$B,2,FALSE),"")</f>
        <v>12</v>
      </c>
      <c r="E344" s="47">
        <f t="shared" si="20"/>
        <v>46564</v>
      </c>
      <c r="F344" s="48">
        <f t="shared" ca="1" si="21"/>
        <v>361</v>
      </c>
      <c r="G344" s="46" t="str">
        <f t="shared" ca="1" si="22"/>
        <v>GREEN</v>
      </c>
      <c r="H344" s="46" t="str">
        <f t="shared" ca="1" si="23"/>
        <v>Current</v>
      </c>
      <c r="I344" s="21"/>
    </row>
    <row r="345" spans="1:9" x14ac:dyDescent="0.35">
      <c r="A345" s="46" t="s">
        <v>221</v>
      </c>
      <c r="B345" s="46" t="s">
        <v>121</v>
      </c>
      <c r="C345" s="47" t="str">
        <f>Matrix!N6</f>
        <v>NS</v>
      </c>
      <c r="D345" s="48">
        <f>IFERROR(VLOOKUP(B345,'Renewal Rules'!$A:$B,2,FALSE),"")</f>
        <v>12</v>
      </c>
      <c r="E345" s="47" t="str">
        <f t="shared" si="20"/>
        <v/>
      </c>
      <c r="F345" s="48" t="str">
        <f t="shared" ca="1" si="21"/>
        <v/>
      </c>
      <c r="G345" s="46" t="str">
        <f t="shared" ca="1" si="22"/>
        <v>RED</v>
      </c>
      <c r="H345" s="46" t="str">
        <f t="shared" ca="1" si="23"/>
        <v>Not Started</v>
      </c>
      <c r="I345" s="21"/>
    </row>
    <row r="346" spans="1:9" ht="12.9" customHeight="1" x14ac:dyDescent="0.35">
      <c r="A346" s="46" t="s">
        <v>221</v>
      </c>
      <c r="B346" s="46" t="s">
        <v>103</v>
      </c>
      <c r="C346" s="47">
        <f>Matrix!O6</f>
        <v>46195</v>
      </c>
      <c r="D346" s="48">
        <f>IFERROR(VLOOKUP(B346,'Renewal Rules'!$A:$B,2,FALSE),"")</f>
        <v>36</v>
      </c>
      <c r="E346" s="47">
        <f t="shared" si="20"/>
        <v>47291</v>
      </c>
      <c r="F346" s="48">
        <f t="shared" ca="1" si="21"/>
        <v>1088</v>
      </c>
      <c r="G346" s="46" t="str">
        <f t="shared" ca="1" si="22"/>
        <v>GREEN</v>
      </c>
      <c r="H346" s="46" t="str">
        <f t="shared" ca="1" si="23"/>
        <v>Current</v>
      </c>
      <c r="I346" s="21"/>
    </row>
    <row r="347" spans="1:9" x14ac:dyDescent="0.35">
      <c r="A347" s="46" t="s">
        <v>221</v>
      </c>
      <c r="B347" s="46" t="s">
        <v>122</v>
      </c>
      <c r="C347" s="47" t="str">
        <f>Matrix!P6</f>
        <v>NS</v>
      </c>
      <c r="D347" s="48">
        <f>IFERROR(VLOOKUP(B347,'Renewal Rules'!$A:$B,2,FALSE),"")</f>
        <v>36</v>
      </c>
      <c r="E347" s="47" t="str">
        <f t="shared" si="20"/>
        <v/>
      </c>
      <c r="F347" s="48" t="str">
        <f t="shared" ca="1" si="21"/>
        <v/>
      </c>
      <c r="G347" s="46" t="str">
        <f t="shared" ca="1" si="22"/>
        <v>RED</v>
      </c>
      <c r="H347" s="46" t="str">
        <f t="shared" ca="1" si="23"/>
        <v>Not Started</v>
      </c>
      <c r="I347" s="21"/>
    </row>
    <row r="348" spans="1:9" x14ac:dyDescent="0.35">
      <c r="A348" s="46" t="s">
        <v>221</v>
      </c>
      <c r="B348" s="46" t="s">
        <v>101</v>
      </c>
      <c r="C348" s="47">
        <f>Matrix!Q6</f>
        <v>46196</v>
      </c>
      <c r="D348" s="48">
        <f>IFERROR(VLOOKUP(B348,'Renewal Rules'!$A:$B,2,FALSE),"")</f>
        <v>36</v>
      </c>
      <c r="E348" s="47">
        <f t="shared" si="20"/>
        <v>47292</v>
      </c>
      <c r="F348" s="48">
        <f t="shared" ca="1" si="21"/>
        <v>1089</v>
      </c>
      <c r="G348" s="46" t="str">
        <f t="shared" ca="1" si="22"/>
        <v>GREEN</v>
      </c>
      <c r="H348" s="46" t="str">
        <f t="shared" ca="1" si="23"/>
        <v>Current</v>
      </c>
      <c r="I348" s="21"/>
    </row>
    <row r="349" spans="1:9" x14ac:dyDescent="0.35">
      <c r="A349" s="46" t="s">
        <v>221</v>
      </c>
      <c r="B349" s="46" t="s">
        <v>123</v>
      </c>
      <c r="C349" s="47">
        <f>Matrix!R6</f>
        <v>46196</v>
      </c>
      <c r="D349" s="48">
        <f>IFERROR(VLOOKUP(B349,'Renewal Rules'!$A:$B,2,FALSE),"")</f>
        <v>12</v>
      </c>
      <c r="E349" s="47">
        <f t="shared" si="20"/>
        <v>46561</v>
      </c>
      <c r="F349" s="48">
        <f t="shared" ca="1" si="21"/>
        <v>358</v>
      </c>
      <c r="G349" s="46" t="str">
        <f t="shared" ca="1" si="22"/>
        <v>GREEN</v>
      </c>
      <c r="H349" s="46" t="str">
        <f t="shared" ca="1" si="23"/>
        <v>Current</v>
      </c>
      <c r="I349" s="21"/>
    </row>
    <row r="350" spans="1:9" x14ac:dyDescent="0.35">
      <c r="A350" s="46" t="s">
        <v>221</v>
      </c>
      <c r="B350" s="46" t="s">
        <v>124</v>
      </c>
      <c r="C350" s="47">
        <f>Matrix!S6</f>
        <v>46199</v>
      </c>
      <c r="D350" s="48">
        <f>IFERROR(VLOOKUP(B350,'Renewal Rules'!$A:$B,2,FALSE),"")</f>
        <v>12</v>
      </c>
      <c r="E350" s="47">
        <f t="shared" si="20"/>
        <v>46564</v>
      </c>
      <c r="F350" s="48">
        <f t="shared" ca="1" si="21"/>
        <v>361</v>
      </c>
      <c r="G350" s="46" t="str">
        <f t="shared" ca="1" si="22"/>
        <v>GREEN</v>
      </c>
      <c r="H350" s="46" t="str">
        <f t="shared" ca="1" si="23"/>
        <v>Current</v>
      </c>
      <c r="I350" s="21"/>
    </row>
    <row r="351" spans="1:9" x14ac:dyDescent="0.35">
      <c r="A351" s="46" t="s">
        <v>221</v>
      </c>
      <c r="B351" s="46" t="s">
        <v>125</v>
      </c>
      <c r="C351" s="47">
        <f>Matrix!T6</f>
        <v>46195</v>
      </c>
      <c r="D351" s="48">
        <f>IFERROR(VLOOKUP(B351,'Renewal Rules'!$A:$B,2,FALSE),"")</f>
        <v>12</v>
      </c>
      <c r="E351" s="47">
        <f t="shared" si="20"/>
        <v>46560</v>
      </c>
      <c r="F351" s="48">
        <f t="shared" ca="1" si="21"/>
        <v>357</v>
      </c>
      <c r="G351" s="46" t="str">
        <f t="shared" ca="1" si="22"/>
        <v>GREEN</v>
      </c>
      <c r="H351" s="46" t="str">
        <f t="shared" ca="1" si="23"/>
        <v>Current</v>
      </c>
      <c r="I351" s="21"/>
    </row>
    <row r="352" spans="1:9" x14ac:dyDescent="0.35">
      <c r="A352" s="46" t="s">
        <v>221</v>
      </c>
      <c r="B352" s="46" t="s">
        <v>126</v>
      </c>
      <c r="C352" s="47">
        <f>Matrix!U6</f>
        <v>46196</v>
      </c>
      <c r="D352" s="48">
        <f>IFERROR(VLOOKUP(B352,'Renewal Rules'!$A:$B,2,FALSE),"")</f>
        <v>36</v>
      </c>
      <c r="E352" s="47">
        <f t="shared" si="20"/>
        <v>47292</v>
      </c>
      <c r="F352" s="48">
        <f t="shared" ca="1" si="21"/>
        <v>1089</v>
      </c>
      <c r="G352" s="46" t="str">
        <f t="shared" ca="1" si="22"/>
        <v>GREEN</v>
      </c>
      <c r="H352" s="46" t="str">
        <f t="shared" ca="1" si="23"/>
        <v>Current</v>
      </c>
      <c r="I352" s="21"/>
    </row>
    <row r="353" spans="1:9" x14ac:dyDescent="0.35">
      <c r="A353" s="46" t="s">
        <v>221</v>
      </c>
      <c r="B353" s="46" t="s">
        <v>127</v>
      </c>
      <c r="C353" s="47">
        <f>Matrix!V6</f>
        <v>46199</v>
      </c>
      <c r="D353" s="48">
        <f>IFERROR(VLOOKUP(B353,'Renewal Rules'!$A:$B,2,FALSE),"")</f>
        <v>12</v>
      </c>
      <c r="E353" s="47">
        <f t="shared" si="20"/>
        <v>46564</v>
      </c>
      <c r="F353" s="48">
        <f t="shared" ca="1" si="21"/>
        <v>361</v>
      </c>
      <c r="G353" s="46" t="str">
        <f t="shared" ca="1" si="22"/>
        <v>GREEN</v>
      </c>
      <c r="H353" s="46" t="str">
        <f t="shared" ca="1" si="23"/>
        <v>Current</v>
      </c>
      <c r="I353" s="21"/>
    </row>
    <row r="354" spans="1:9" x14ac:dyDescent="0.35">
      <c r="A354" s="46" t="s">
        <v>221</v>
      </c>
      <c r="B354" s="46" t="s">
        <v>128</v>
      </c>
      <c r="C354" s="47" t="str">
        <f>Matrix!W6</f>
        <v>NS</v>
      </c>
      <c r="D354" s="48">
        <f>IFERROR(VLOOKUP(B354,'Renewal Rules'!$A:$B,2,FALSE),"")</f>
        <v>12</v>
      </c>
      <c r="E354" s="47" t="str">
        <f t="shared" si="20"/>
        <v/>
      </c>
      <c r="F354" s="48" t="str">
        <f t="shared" ca="1" si="21"/>
        <v/>
      </c>
      <c r="G354" s="46" t="str">
        <f t="shared" ca="1" si="22"/>
        <v>RED</v>
      </c>
      <c r="H354" s="46" t="str">
        <f t="shared" ca="1" si="23"/>
        <v>Not Started</v>
      </c>
      <c r="I354" s="21"/>
    </row>
    <row r="355" spans="1:9" x14ac:dyDescent="0.35">
      <c r="A355" s="46" t="s">
        <v>221</v>
      </c>
      <c r="B355" s="46" t="s">
        <v>129</v>
      </c>
      <c r="C355" s="47" t="str">
        <f>Matrix!X6</f>
        <v>NS</v>
      </c>
      <c r="D355" s="48">
        <f>IFERROR(VLOOKUP(B355,'Renewal Rules'!$A:$B,2,FALSE),"")</f>
        <v>36</v>
      </c>
      <c r="E355" s="47" t="str">
        <f t="shared" si="20"/>
        <v/>
      </c>
      <c r="F355" s="48" t="str">
        <f t="shared" ca="1" si="21"/>
        <v/>
      </c>
      <c r="G355" s="46" t="str">
        <f t="shared" ca="1" si="22"/>
        <v>RED</v>
      </c>
      <c r="H355" s="46" t="str">
        <f t="shared" ca="1" si="23"/>
        <v>Not Started</v>
      </c>
      <c r="I355" s="21"/>
    </row>
    <row r="356" spans="1:9" x14ac:dyDescent="0.35">
      <c r="A356" s="46" t="s">
        <v>221</v>
      </c>
      <c r="B356" s="46" t="s">
        <v>130</v>
      </c>
      <c r="C356" s="47">
        <f>Matrix!Y6</f>
        <v>46194</v>
      </c>
      <c r="D356" s="48">
        <f>IFERROR(VLOOKUP(B356,'Renewal Rules'!$A:$B,2,FALSE),"")</f>
        <v>36</v>
      </c>
      <c r="E356" s="47">
        <f t="shared" si="20"/>
        <v>47290</v>
      </c>
      <c r="F356" s="48">
        <f t="shared" ca="1" si="21"/>
        <v>1087</v>
      </c>
      <c r="G356" s="46" t="str">
        <f t="shared" ca="1" si="22"/>
        <v>GREEN</v>
      </c>
      <c r="H356" s="46" t="str">
        <f t="shared" ca="1" si="23"/>
        <v>Current</v>
      </c>
      <c r="I356" s="21"/>
    </row>
    <row r="357" spans="1:9" x14ac:dyDescent="0.35">
      <c r="A357" s="46" t="s">
        <v>221</v>
      </c>
      <c r="B357" s="46" t="s">
        <v>131</v>
      </c>
      <c r="C357" s="47" t="str">
        <f>Matrix!Z6</f>
        <v>NS</v>
      </c>
      <c r="D357" s="48">
        <f>IFERROR(VLOOKUP(B357,'Renewal Rules'!$A:$B,2,FALSE),"")</f>
        <v>12</v>
      </c>
      <c r="E357" s="47" t="str">
        <f t="shared" si="20"/>
        <v/>
      </c>
      <c r="F357" s="48" t="str">
        <f t="shared" ca="1" si="21"/>
        <v/>
      </c>
      <c r="G357" s="46" t="str">
        <f t="shared" ca="1" si="22"/>
        <v>RED</v>
      </c>
      <c r="H357" s="46" t="str">
        <f t="shared" ca="1" si="23"/>
        <v>Not Started</v>
      </c>
      <c r="I357" s="21"/>
    </row>
    <row r="358" spans="1:9" x14ac:dyDescent="0.35">
      <c r="A358" s="46" t="s">
        <v>221</v>
      </c>
      <c r="B358" s="46" t="s">
        <v>132</v>
      </c>
      <c r="C358" s="47" t="str">
        <f>Matrix!AA6</f>
        <v>NS</v>
      </c>
      <c r="D358" s="48">
        <f>IFERROR(VLOOKUP(B358,'Renewal Rules'!$A:$B,2,FALSE),"")</f>
        <v>12</v>
      </c>
      <c r="E358" s="47" t="str">
        <f t="shared" si="20"/>
        <v/>
      </c>
      <c r="F358" s="48" t="str">
        <f t="shared" ca="1" si="21"/>
        <v/>
      </c>
      <c r="G358" s="46" t="str">
        <f t="shared" ca="1" si="22"/>
        <v>RED</v>
      </c>
      <c r="H358" s="46" t="str">
        <f t="shared" ca="1" si="23"/>
        <v>Not Started</v>
      </c>
      <c r="I358" s="21"/>
    </row>
    <row r="359" spans="1:9" x14ac:dyDescent="0.35">
      <c r="A359" s="46" t="s">
        <v>221</v>
      </c>
      <c r="B359" s="46" t="s">
        <v>92</v>
      </c>
      <c r="C359" s="47">
        <f>Matrix!AB6</f>
        <v>46195</v>
      </c>
      <c r="D359" s="48">
        <f>IFERROR(VLOOKUP(B359,'Renewal Rules'!$A:$B,2,FALSE),"")</f>
        <v>12</v>
      </c>
      <c r="E359" s="47">
        <f t="shared" si="20"/>
        <v>46560</v>
      </c>
      <c r="F359" s="48">
        <f t="shared" ca="1" si="21"/>
        <v>357</v>
      </c>
      <c r="G359" s="46" t="str">
        <f t="shared" ca="1" si="22"/>
        <v>GREEN</v>
      </c>
      <c r="H359" s="46" t="str">
        <f t="shared" ca="1" si="23"/>
        <v>Current</v>
      </c>
      <c r="I359" s="21"/>
    </row>
    <row r="360" spans="1:9" x14ac:dyDescent="0.35">
      <c r="A360" s="46" t="s">
        <v>221</v>
      </c>
      <c r="B360" s="46" t="s">
        <v>133</v>
      </c>
      <c r="C360" s="47">
        <f>Matrix!AC6</f>
        <v>46195</v>
      </c>
      <c r="D360" s="48">
        <f>IFERROR(VLOOKUP(B360,'Renewal Rules'!$A:$B,2,FALSE),"")</f>
        <v>36</v>
      </c>
      <c r="E360" s="47">
        <f t="shared" si="20"/>
        <v>47291</v>
      </c>
      <c r="F360" s="48">
        <f t="shared" ca="1" si="21"/>
        <v>1088</v>
      </c>
      <c r="G360" s="46" t="str">
        <f t="shared" ca="1" si="22"/>
        <v>GREEN</v>
      </c>
      <c r="H360" s="46" t="str">
        <f t="shared" ca="1" si="23"/>
        <v>Current</v>
      </c>
      <c r="I360" s="21"/>
    </row>
    <row r="361" spans="1:9" x14ac:dyDescent="0.35">
      <c r="A361" s="46" t="s">
        <v>221</v>
      </c>
      <c r="B361" s="46" t="s">
        <v>134</v>
      </c>
      <c r="C361" s="47" t="str">
        <f>Matrix!AD6</f>
        <v>NS</v>
      </c>
      <c r="D361" s="48">
        <f>IFERROR(VLOOKUP(B361,'Renewal Rules'!$A:$B,2,FALSE),"")</f>
        <v>36</v>
      </c>
      <c r="E361" s="47" t="str">
        <f t="shared" si="20"/>
        <v/>
      </c>
      <c r="F361" s="48" t="str">
        <f t="shared" ca="1" si="21"/>
        <v/>
      </c>
      <c r="G361" s="46" t="str">
        <f t="shared" ca="1" si="22"/>
        <v>RED</v>
      </c>
      <c r="H361" s="46" t="str">
        <f t="shared" ca="1" si="23"/>
        <v>Not Started</v>
      </c>
      <c r="I361" s="21"/>
    </row>
    <row r="362" spans="1:9" x14ac:dyDescent="0.35">
      <c r="A362" s="46" t="s">
        <v>221</v>
      </c>
      <c r="B362" s="46" t="s">
        <v>98</v>
      </c>
      <c r="C362" s="47" t="str">
        <f>Matrix!AE6</f>
        <v>NS</v>
      </c>
      <c r="D362" s="48">
        <f>IFERROR(VLOOKUP(B362,'Renewal Rules'!$A:$B,2,FALSE),"")</f>
        <v>36</v>
      </c>
      <c r="E362" s="47" t="str">
        <f t="shared" si="20"/>
        <v/>
      </c>
      <c r="F362" s="48" t="str">
        <f t="shared" ca="1" si="21"/>
        <v/>
      </c>
      <c r="G362" s="46" t="str">
        <f t="shared" ca="1" si="22"/>
        <v>RED</v>
      </c>
      <c r="H362" s="46" t="str">
        <f t="shared" ca="1" si="23"/>
        <v>Not Started</v>
      </c>
      <c r="I362" s="21"/>
    </row>
    <row r="363" spans="1:9" x14ac:dyDescent="0.35">
      <c r="A363" s="46" t="s">
        <v>221</v>
      </c>
      <c r="B363" s="46" t="s">
        <v>135</v>
      </c>
      <c r="C363" s="47">
        <f>Matrix!AF6</f>
        <v>46199</v>
      </c>
      <c r="D363" s="48">
        <f>IFERROR(VLOOKUP(B363,'Renewal Rules'!$A:$B,2,FALSE),"")</f>
        <v>36</v>
      </c>
      <c r="E363" s="47">
        <f t="shared" si="20"/>
        <v>47295</v>
      </c>
      <c r="F363" s="48">
        <f t="shared" ca="1" si="21"/>
        <v>1092</v>
      </c>
      <c r="G363" s="46" t="str">
        <f t="shared" ca="1" si="22"/>
        <v>GREEN</v>
      </c>
      <c r="H363" s="46" t="str">
        <f t="shared" ca="1" si="23"/>
        <v>Current</v>
      </c>
      <c r="I363" s="21"/>
    </row>
    <row r="364" spans="1:9" x14ac:dyDescent="0.35">
      <c r="A364" s="46" t="s">
        <v>221</v>
      </c>
      <c r="B364" s="46" t="s">
        <v>136</v>
      </c>
      <c r="C364" s="47">
        <f>Matrix!AG6</f>
        <v>46195</v>
      </c>
      <c r="D364" s="48">
        <f>IFERROR(VLOOKUP(B364,'Renewal Rules'!$A:$B,2,FALSE),"")</f>
        <v>12</v>
      </c>
      <c r="E364" s="47">
        <f t="shared" si="20"/>
        <v>46560</v>
      </c>
      <c r="F364" s="48">
        <f t="shared" ca="1" si="21"/>
        <v>357</v>
      </c>
      <c r="G364" s="46" t="str">
        <f t="shared" ca="1" si="22"/>
        <v>GREEN</v>
      </c>
      <c r="H364" s="46" t="str">
        <f t="shared" ca="1" si="23"/>
        <v>Current</v>
      </c>
      <c r="I364" s="21"/>
    </row>
    <row r="365" spans="1:9" x14ac:dyDescent="0.35">
      <c r="A365" s="46" t="s">
        <v>221</v>
      </c>
      <c r="B365" s="46" t="s">
        <v>137</v>
      </c>
      <c r="C365" s="47" t="str">
        <f>Matrix!AH6</f>
        <v>NS</v>
      </c>
      <c r="D365" s="48">
        <f>IFERROR(VLOOKUP(B365,'Renewal Rules'!$A:$B,2,FALSE),"")</f>
        <v>36</v>
      </c>
      <c r="E365" s="47" t="str">
        <f t="shared" si="20"/>
        <v/>
      </c>
      <c r="F365" s="48" t="str">
        <f t="shared" ca="1" si="21"/>
        <v/>
      </c>
      <c r="G365" s="46" t="str">
        <f t="shared" ca="1" si="22"/>
        <v>RED</v>
      </c>
      <c r="H365" s="46" t="str">
        <f t="shared" ca="1" si="23"/>
        <v>Not Started</v>
      </c>
      <c r="I365" s="21"/>
    </row>
    <row r="366" spans="1:9" ht="12.9" customHeight="1" x14ac:dyDescent="0.35">
      <c r="A366" s="46" t="s">
        <v>221</v>
      </c>
      <c r="B366" s="46" t="s">
        <v>138</v>
      </c>
      <c r="C366" s="47" t="str">
        <f>Matrix!AI6</f>
        <v>NS</v>
      </c>
      <c r="D366" s="48">
        <f>IFERROR(VLOOKUP(B366,'Renewal Rules'!$A:$B,2,FALSE),"")</f>
        <v>12</v>
      </c>
      <c r="E366" s="47" t="str">
        <f t="shared" si="20"/>
        <v/>
      </c>
      <c r="F366" s="48" t="str">
        <f t="shared" ca="1" si="21"/>
        <v/>
      </c>
      <c r="G366" s="46" t="str">
        <f t="shared" ca="1" si="22"/>
        <v>RED</v>
      </c>
      <c r="H366" s="46" t="str">
        <f t="shared" ca="1" si="23"/>
        <v>Not Started</v>
      </c>
      <c r="I366" s="21"/>
    </row>
    <row r="367" spans="1:9" x14ac:dyDescent="0.35">
      <c r="A367" s="46" t="s">
        <v>221</v>
      </c>
      <c r="B367" s="46" t="s">
        <v>139</v>
      </c>
      <c r="C367" s="47" t="str">
        <f>Matrix!AJ6</f>
        <v>NS</v>
      </c>
      <c r="D367" s="48">
        <f>IFERROR(VLOOKUP(B367,'Renewal Rules'!$A:$B,2,FALSE),"")</f>
        <v>12</v>
      </c>
      <c r="E367" s="47" t="str">
        <f t="shared" si="20"/>
        <v/>
      </c>
      <c r="F367" s="48" t="str">
        <f t="shared" ca="1" si="21"/>
        <v/>
      </c>
      <c r="G367" s="46" t="str">
        <f t="shared" ca="1" si="22"/>
        <v>RED</v>
      </c>
      <c r="H367" s="46" t="str">
        <f t="shared" ca="1" si="23"/>
        <v>Not Started</v>
      </c>
      <c r="I367" s="21"/>
    </row>
    <row r="368" spans="1:9" x14ac:dyDescent="0.35">
      <c r="A368" s="46" t="s">
        <v>221</v>
      </c>
      <c r="B368" s="46" t="s">
        <v>97</v>
      </c>
      <c r="C368" s="47" t="str">
        <f>Matrix!AK6</f>
        <v>NS</v>
      </c>
      <c r="D368" s="48">
        <f>IFERROR(VLOOKUP(B368,'Renewal Rules'!$A:$B,2,FALSE),"")</f>
        <v>12</v>
      </c>
      <c r="E368" s="47" t="str">
        <f t="shared" si="20"/>
        <v/>
      </c>
      <c r="F368" s="48" t="str">
        <f t="shared" ca="1" si="21"/>
        <v/>
      </c>
      <c r="G368" s="46" t="str">
        <f t="shared" ca="1" si="22"/>
        <v>RED</v>
      </c>
      <c r="H368" s="46" t="str">
        <f t="shared" ca="1" si="23"/>
        <v>Not Started</v>
      </c>
      <c r="I368" s="21"/>
    </row>
    <row r="369" spans="1:9" x14ac:dyDescent="0.35">
      <c r="A369" s="46" t="s">
        <v>221</v>
      </c>
      <c r="B369" s="46" t="s">
        <v>140</v>
      </c>
      <c r="C369" s="47">
        <f>Matrix!AL6</f>
        <v>46194</v>
      </c>
      <c r="D369" s="48">
        <f>IFERROR(VLOOKUP(B369,'Renewal Rules'!$A:$B,2,FALSE),"")</f>
        <v>36</v>
      </c>
      <c r="E369" s="47">
        <f t="shared" si="20"/>
        <v>47290</v>
      </c>
      <c r="F369" s="48">
        <f t="shared" ca="1" si="21"/>
        <v>1087</v>
      </c>
      <c r="G369" s="46" t="str">
        <f t="shared" ca="1" si="22"/>
        <v>GREEN</v>
      </c>
      <c r="H369" s="46" t="str">
        <f t="shared" ca="1" si="23"/>
        <v>Current</v>
      </c>
      <c r="I369" s="21"/>
    </row>
    <row r="370" spans="1:9" x14ac:dyDescent="0.35">
      <c r="A370" s="46" t="s">
        <v>221</v>
      </c>
      <c r="B370" s="46" t="s">
        <v>141</v>
      </c>
      <c r="C370" s="47" t="str">
        <f>Matrix!AM6</f>
        <v>NS</v>
      </c>
      <c r="D370" s="48">
        <f>IFERROR(VLOOKUP(B370,'Renewal Rules'!$A:$B,2,FALSE),"")</f>
        <v>12</v>
      </c>
      <c r="E370" s="47" t="str">
        <f t="shared" si="20"/>
        <v/>
      </c>
      <c r="F370" s="48" t="str">
        <f t="shared" ca="1" si="21"/>
        <v/>
      </c>
      <c r="G370" s="46" t="str">
        <f t="shared" ca="1" si="22"/>
        <v>RED</v>
      </c>
      <c r="H370" s="46" t="str">
        <f t="shared" ca="1" si="23"/>
        <v>Not Started</v>
      </c>
      <c r="I370" s="21"/>
    </row>
    <row r="371" spans="1:9" x14ac:dyDescent="0.35">
      <c r="A371" s="46" t="s">
        <v>221</v>
      </c>
      <c r="B371" s="46" t="s">
        <v>142</v>
      </c>
      <c r="C371" s="47" t="str">
        <f>Matrix!AN6</f>
        <v>NS</v>
      </c>
      <c r="D371" s="48">
        <f>IFERROR(VLOOKUP(B371,'Renewal Rules'!$A:$B,2,FALSE),"")</f>
        <v>12</v>
      </c>
      <c r="E371" s="47" t="str">
        <f t="shared" si="20"/>
        <v/>
      </c>
      <c r="F371" s="48" t="str">
        <f t="shared" ca="1" si="21"/>
        <v/>
      </c>
      <c r="G371" s="46" t="str">
        <f t="shared" ca="1" si="22"/>
        <v>RED</v>
      </c>
      <c r="H371" s="46" t="str">
        <f t="shared" ca="1" si="23"/>
        <v>Not Started</v>
      </c>
      <c r="I371" s="21"/>
    </row>
    <row r="372" spans="1:9" x14ac:dyDescent="0.35">
      <c r="A372" s="46" t="s">
        <v>221</v>
      </c>
      <c r="B372" s="46" t="s">
        <v>143</v>
      </c>
      <c r="C372" s="47" t="str">
        <f>Matrix!AO6</f>
        <v>NS</v>
      </c>
      <c r="D372" s="48">
        <f>IFERROR(VLOOKUP(B372,'Renewal Rules'!$A:$B,2,FALSE),"")</f>
        <v>12</v>
      </c>
      <c r="E372" s="47" t="str">
        <f t="shared" si="20"/>
        <v/>
      </c>
      <c r="F372" s="48" t="str">
        <f t="shared" ca="1" si="21"/>
        <v/>
      </c>
      <c r="G372" s="46" t="str">
        <f t="shared" ca="1" si="22"/>
        <v>RED</v>
      </c>
      <c r="H372" s="46" t="str">
        <f t="shared" ca="1" si="23"/>
        <v>Not Started</v>
      </c>
      <c r="I372" s="21"/>
    </row>
    <row r="373" spans="1:9" x14ac:dyDescent="0.35">
      <c r="A373" s="46" t="s">
        <v>221</v>
      </c>
      <c r="B373" s="46" t="s">
        <v>102</v>
      </c>
      <c r="C373" s="47" t="str">
        <f>Matrix!AP6</f>
        <v>NS</v>
      </c>
      <c r="D373" s="48">
        <f>IFERROR(VLOOKUP(B373,'Renewal Rules'!$A:$B,2,FALSE),"")</f>
        <v>12</v>
      </c>
      <c r="E373" s="47" t="str">
        <f t="shared" si="20"/>
        <v/>
      </c>
      <c r="F373" s="48" t="str">
        <f t="shared" ca="1" si="21"/>
        <v/>
      </c>
      <c r="G373" s="46" t="str">
        <f t="shared" ca="1" si="22"/>
        <v>RED</v>
      </c>
      <c r="H373" s="46" t="str">
        <f t="shared" ca="1" si="23"/>
        <v>Not Started</v>
      </c>
      <c r="I373" s="21"/>
    </row>
    <row r="374" spans="1:9" x14ac:dyDescent="0.35">
      <c r="A374" s="46" t="s">
        <v>221</v>
      </c>
      <c r="B374" s="46" t="s">
        <v>144</v>
      </c>
      <c r="C374" s="47" t="str">
        <f>Matrix!AQ6</f>
        <v>31/01/2025</v>
      </c>
      <c r="D374" s="48">
        <f>IFERROR(VLOOKUP(B374,'Renewal Rules'!$A:$B,2,FALSE),"")</f>
        <v>36</v>
      </c>
      <c r="E374" s="47">
        <f t="shared" si="20"/>
        <v>46783</v>
      </c>
      <c r="F374" s="48">
        <f t="shared" ca="1" si="21"/>
        <v>580</v>
      </c>
      <c r="G374" s="46" t="str">
        <f t="shared" ca="1" si="22"/>
        <v>GREEN</v>
      </c>
      <c r="H374" s="46" t="str">
        <f t="shared" ca="1" si="23"/>
        <v>Current</v>
      </c>
      <c r="I374" s="21"/>
    </row>
    <row r="375" spans="1:9" x14ac:dyDescent="0.35">
      <c r="A375" s="46" t="s">
        <v>221</v>
      </c>
      <c r="B375" s="46" t="s">
        <v>145</v>
      </c>
      <c r="C375" s="47" t="str">
        <f>Matrix!AR6</f>
        <v>NS</v>
      </c>
      <c r="D375" s="48">
        <f>IFERROR(VLOOKUP(B375,'Renewal Rules'!$A:$B,2,FALSE),"")</f>
        <v>12</v>
      </c>
      <c r="E375" s="47" t="str">
        <f t="shared" si="20"/>
        <v/>
      </c>
      <c r="F375" s="48" t="str">
        <f t="shared" ca="1" si="21"/>
        <v/>
      </c>
      <c r="G375" s="46" t="str">
        <f t="shared" ca="1" si="22"/>
        <v>RED</v>
      </c>
      <c r="H375" s="46" t="str">
        <f t="shared" ca="1" si="23"/>
        <v>Not Started</v>
      </c>
      <c r="I375" s="21"/>
    </row>
    <row r="376" spans="1:9" x14ac:dyDescent="0.35">
      <c r="A376" s="46" t="s">
        <v>221</v>
      </c>
      <c r="B376" s="46" t="s">
        <v>146</v>
      </c>
      <c r="C376" s="47">
        <f>Matrix!AS6</f>
        <v>46199</v>
      </c>
      <c r="D376" s="48">
        <f>IFERROR(VLOOKUP(B376,'Renewal Rules'!$A:$B,2,FALSE),"")</f>
        <v>12</v>
      </c>
      <c r="E376" s="47">
        <f t="shared" si="20"/>
        <v>46564</v>
      </c>
      <c r="F376" s="48">
        <f t="shared" ca="1" si="21"/>
        <v>361</v>
      </c>
      <c r="G376" s="46" t="str">
        <f t="shared" ca="1" si="22"/>
        <v>GREEN</v>
      </c>
      <c r="H376" s="46" t="str">
        <f t="shared" ca="1" si="23"/>
        <v>Current</v>
      </c>
      <c r="I376" s="21"/>
    </row>
    <row r="377" spans="1:9" x14ac:dyDescent="0.35">
      <c r="A377" s="46" t="s">
        <v>221</v>
      </c>
      <c r="B377" s="46" t="s">
        <v>147</v>
      </c>
      <c r="C377" s="47" t="str">
        <f>Matrix!AT6</f>
        <v>NS</v>
      </c>
      <c r="D377" s="48">
        <f>IFERROR(VLOOKUP(B377,'Renewal Rules'!$A:$B,2,FALSE),"")</f>
        <v>36</v>
      </c>
      <c r="E377" s="47" t="str">
        <f t="shared" si="20"/>
        <v/>
      </c>
      <c r="F377" s="48" t="str">
        <f t="shared" ca="1" si="21"/>
        <v/>
      </c>
      <c r="G377" s="46" t="str">
        <f t="shared" ca="1" si="22"/>
        <v>RED</v>
      </c>
      <c r="H377" s="46" t="str">
        <f t="shared" ca="1" si="23"/>
        <v>Not Started</v>
      </c>
      <c r="I377" s="21"/>
    </row>
    <row r="378" spans="1:9" x14ac:dyDescent="0.35">
      <c r="A378" s="46" t="s">
        <v>221</v>
      </c>
      <c r="B378" s="46" t="s">
        <v>148</v>
      </c>
      <c r="C378" s="47">
        <f>Matrix!AU6</f>
        <v>46199</v>
      </c>
      <c r="D378" s="48">
        <f>IFERROR(VLOOKUP(B378,'Renewal Rules'!$A:$B,2,FALSE),"")</f>
        <v>36</v>
      </c>
      <c r="E378" s="47">
        <f t="shared" si="20"/>
        <v>47295</v>
      </c>
      <c r="F378" s="48">
        <f t="shared" ca="1" si="21"/>
        <v>1092</v>
      </c>
      <c r="G378" s="46" t="str">
        <f t="shared" ca="1" si="22"/>
        <v>GREEN</v>
      </c>
      <c r="H378" s="46" t="str">
        <f t="shared" ca="1" si="23"/>
        <v>Current</v>
      </c>
      <c r="I378" s="21"/>
    </row>
    <row r="379" spans="1:9" x14ac:dyDescent="0.35">
      <c r="A379" s="46" t="s">
        <v>221</v>
      </c>
      <c r="B379" s="46" t="s">
        <v>149</v>
      </c>
      <c r="C379" s="47">
        <f>Matrix!AV6</f>
        <v>46199</v>
      </c>
      <c r="D379" s="48">
        <f>IFERROR(VLOOKUP(B379,'Renewal Rules'!$A:$B,2,FALSE),"")</f>
        <v>36</v>
      </c>
      <c r="E379" s="47">
        <f t="shared" si="20"/>
        <v>47295</v>
      </c>
      <c r="F379" s="48">
        <f t="shared" ca="1" si="21"/>
        <v>1092</v>
      </c>
      <c r="G379" s="46" t="str">
        <f t="shared" ca="1" si="22"/>
        <v>GREEN</v>
      </c>
      <c r="H379" s="46" t="str">
        <f t="shared" ca="1" si="23"/>
        <v>Current</v>
      </c>
      <c r="I379" s="21"/>
    </row>
    <row r="380" spans="1:9" x14ac:dyDescent="0.35">
      <c r="A380" s="46" t="s">
        <v>221</v>
      </c>
      <c r="B380" s="46" t="s">
        <v>150</v>
      </c>
      <c r="C380" s="47" t="str">
        <f>Matrix!AW6</f>
        <v>NS</v>
      </c>
      <c r="D380" s="48">
        <f>IFERROR(VLOOKUP(B380,'Renewal Rules'!$A:$B,2,FALSE),"")</f>
        <v>36</v>
      </c>
      <c r="E380" s="47" t="str">
        <f t="shared" si="20"/>
        <v/>
      </c>
      <c r="F380" s="48" t="str">
        <f t="shared" ca="1" si="21"/>
        <v/>
      </c>
      <c r="G380" s="46" t="str">
        <f t="shared" ca="1" si="22"/>
        <v>RED</v>
      </c>
      <c r="H380" s="46" t="str">
        <f t="shared" ca="1" si="23"/>
        <v>Not Started</v>
      </c>
      <c r="I380" s="21"/>
    </row>
    <row r="381" spans="1:9" x14ac:dyDescent="0.35">
      <c r="A381" s="46" t="s">
        <v>221</v>
      </c>
      <c r="B381" s="46" t="s">
        <v>151</v>
      </c>
      <c r="C381" s="47" t="str">
        <f>Matrix!AX6</f>
        <v>NS</v>
      </c>
      <c r="D381" s="48">
        <f>IFERROR(VLOOKUP(B381,'Renewal Rules'!$A:$B,2,FALSE),"")</f>
        <v>36</v>
      </c>
      <c r="E381" s="47" t="str">
        <f t="shared" si="20"/>
        <v/>
      </c>
      <c r="F381" s="48" t="str">
        <f t="shared" ca="1" si="21"/>
        <v/>
      </c>
      <c r="G381" s="46" t="str">
        <f t="shared" ca="1" si="22"/>
        <v>RED</v>
      </c>
      <c r="H381" s="46" t="str">
        <f t="shared" ca="1" si="23"/>
        <v>Not Started</v>
      </c>
      <c r="I381" s="21"/>
    </row>
    <row r="382" spans="1:9" x14ac:dyDescent="0.35">
      <c r="A382" s="46" t="s">
        <v>221</v>
      </c>
      <c r="B382" s="46" t="s">
        <v>152</v>
      </c>
      <c r="C382" s="47">
        <f>Matrix!AY6</f>
        <v>46199</v>
      </c>
      <c r="D382" s="48">
        <f>IFERROR(VLOOKUP(B382,'Renewal Rules'!$A:$B,2,FALSE),"")</f>
        <v>36</v>
      </c>
      <c r="E382" s="47">
        <f t="shared" si="20"/>
        <v>47295</v>
      </c>
      <c r="F382" s="48">
        <f t="shared" ca="1" si="21"/>
        <v>1092</v>
      </c>
      <c r="G382" s="46" t="str">
        <f t="shared" ca="1" si="22"/>
        <v>GREEN</v>
      </c>
      <c r="H382" s="46" t="str">
        <f t="shared" ca="1" si="23"/>
        <v>Current</v>
      </c>
      <c r="I382" s="21"/>
    </row>
    <row r="383" spans="1:9" x14ac:dyDescent="0.35">
      <c r="A383" s="46" t="s">
        <v>221</v>
      </c>
      <c r="B383" s="46" t="s">
        <v>153</v>
      </c>
      <c r="C383" s="47">
        <f>Matrix!AZ6</f>
        <v>46199</v>
      </c>
      <c r="D383" s="48">
        <f>IFERROR(VLOOKUP(B383,'Renewal Rules'!$A:$B,2,FALSE),"")</f>
        <v>36</v>
      </c>
      <c r="E383" s="47">
        <f t="shared" si="20"/>
        <v>47295</v>
      </c>
      <c r="F383" s="48">
        <f t="shared" ca="1" si="21"/>
        <v>1092</v>
      </c>
      <c r="G383" s="46" t="str">
        <f t="shared" ca="1" si="22"/>
        <v>GREEN</v>
      </c>
      <c r="H383" s="46" t="str">
        <f t="shared" ca="1" si="23"/>
        <v>Current</v>
      </c>
      <c r="I383" s="21"/>
    </row>
    <row r="384" spans="1:9" x14ac:dyDescent="0.35">
      <c r="A384" s="46" t="s">
        <v>221</v>
      </c>
      <c r="B384" s="46" t="s">
        <v>154</v>
      </c>
      <c r="C384" s="47" t="str">
        <f>Matrix!BA6</f>
        <v>NS</v>
      </c>
      <c r="D384" s="48">
        <f>IFERROR(VLOOKUP(B384,'Renewal Rules'!$A:$B,2,FALSE),"")</f>
        <v>36</v>
      </c>
      <c r="E384" s="47" t="str">
        <f t="shared" si="20"/>
        <v/>
      </c>
      <c r="F384" s="48" t="str">
        <f t="shared" ca="1" si="21"/>
        <v/>
      </c>
      <c r="G384" s="46" t="str">
        <f t="shared" ca="1" si="22"/>
        <v>RED</v>
      </c>
      <c r="H384" s="46" t="str">
        <f t="shared" ca="1" si="23"/>
        <v>Not Started</v>
      </c>
      <c r="I384" s="21"/>
    </row>
    <row r="385" spans="1:9" x14ac:dyDescent="0.35">
      <c r="A385" s="46" t="s">
        <v>221</v>
      </c>
      <c r="B385" s="46" t="s">
        <v>155</v>
      </c>
      <c r="C385" s="47" t="str">
        <f>Matrix!BB6</f>
        <v>NS</v>
      </c>
      <c r="D385" s="48">
        <f>IFERROR(VLOOKUP(B385,'Renewal Rules'!$A:$B,2,FALSE),"")</f>
        <v>12</v>
      </c>
      <c r="E385" s="47" t="str">
        <f t="shared" si="20"/>
        <v/>
      </c>
      <c r="F385" s="48" t="str">
        <f t="shared" ca="1" si="21"/>
        <v/>
      </c>
      <c r="G385" s="46" t="str">
        <f t="shared" ca="1" si="22"/>
        <v>RED</v>
      </c>
      <c r="H385" s="46" t="str">
        <f t="shared" ca="1" si="23"/>
        <v>Not Started</v>
      </c>
      <c r="I385" s="21"/>
    </row>
    <row r="386" spans="1:9" x14ac:dyDescent="0.35">
      <c r="A386" s="46" t="s">
        <v>221</v>
      </c>
      <c r="B386" s="46" t="s">
        <v>156</v>
      </c>
      <c r="C386" s="47">
        <f>Matrix!BC6</f>
        <v>46199</v>
      </c>
      <c r="D386" s="48">
        <f>IFERROR(VLOOKUP(B386,'Renewal Rules'!$A:$B,2,FALSE),"")</f>
        <v>12</v>
      </c>
      <c r="E386" s="47">
        <f t="shared" si="20"/>
        <v>46564</v>
      </c>
      <c r="F386" s="48">
        <f t="shared" ca="1" si="21"/>
        <v>361</v>
      </c>
      <c r="G386" s="46" t="str">
        <f t="shared" ca="1" si="22"/>
        <v>GREEN</v>
      </c>
      <c r="H386" s="46" t="str">
        <f t="shared" ca="1" si="23"/>
        <v>Current</v>
      </c>
      <c r="I386" s="21"/>
    </row>
    <row r="387" spans="1:9" x14ac:dyDescent="0.35">
      <c r="A387" s="46" t="s">
        <v>221</v>
      </c>
      <c r="B387" s="46" t="s">
        <v>157</v>
      </c>
      <c r="C387" s="47" t="str">
        <f>Matrix!BD6</f>
        <v>NS</v>
      </c>
      <c r="D387" s="48">
        <f>IFERROR(VLOOKUP(B387,'Renewal Rules'!$A:$B,2,FALSE),"")</f>
        <v>36</v>
      </c>
      <c r="E387" s="47" t="str">
        <f t="shared" ref="E387:E450" si="24">IF(OR(C387="",C387="NS",C387="IP",C387="Failed"),"",IFERROR(EDATE(IF(ISNUMBER(C387),C387,IFERROR(DATEVALUE(C387),DATE(VALUE(RIGHT(C387,4)),VALUE(MID(C387,4,2)),VALUE(LEFT(C387,2))))),D387),""))</f>
        <v/>
      </c>
      <c r="F387" s="48" t="str">
        <f t="shared" ref="F387:F450" ca="1" si="25">IF(E387="","",E387-TODAY())</f>
        <v/>
      </c>
      <c r="G387" s="46" t="str">
        <f t="shared" ref="G387:G450" ca="1" si="26">IF(C387="NS","RED",IF(C387="IP","AMBER",IF(E387="","",IF(E387&lt;TODAY(),"RED",IF(E387&lt;=TODAY()+30,"AMBER","GREEN")))))</f>
        <v>RED</v>
      </c>
      <c r="H387" s="46" t="str">
        <f t="shared" ref="H387:H450" ca="1" si="27">IF(C387="NS","Not Started",IF(C387="IP","In Progress",IF(E387="","Check",IF(E387&lt;TODAY(),"Expired",IF(E387&lt;=TODAY()+30,"Expiring Soon","Current")))))</f>
        <v>Not Started</v>
      </c>
      <c r="I387" s="21"/>
    </row>
    <row r="388" spans="1:9" ht="12.9" customHeight="1" x14ac:dyDescent="0.35">
      <c r="A388" s="46" t="s">
        <v>221</v>
      </c>
      <c r="B388" s="46" t="s">
        <v>158</v>
      </c>
      <c r="C388" s="47">
        <f>Matrix!BE6</f>
        <v>46199</v>
      </c>
      <c r="D388" s="48">
        <f>IFERROR(VLOOKUP(B388,'Renewal Rules'!$A:$B,2,FALSE),"")</f>
        <v>12</v>
      </c>
      <c r="E388" s="47">
        <f t="shared" si="24"/>
        <v>46564</v>
      </c>
      <c r="F388" s="48">
        <f t="shared" ca="1" si="25"/>
        <v>361</v>
      </c>
      <c r="G388" s="46" t="str">
        <f t="shared" ca="1" si="26"/>
        <v>GREEN</v>
      </c>
      <c r="H388" s="46" t="str">
        <f t="shared" ca="1" si="27"/>
        <v>Current</v>
      </c>
      <c r="I388" s="21"/>
    </row>
    <row r="389" spans="1:9" x14ac:dyDescent="0.35">
      <c r="A389" s="46" t="s">
        <v>221</v>
      </c>
      <c r="B389" s="46" t="s">
        <v>95</v>
      </c>
      <c r="C389" s="47" t="str">
        <f>Matrix!BF6</f>
        <v>13/04/2026</v>
      </c>
      <c r="D389" s="48">
        <f>IFERROR(VLOOKUP(B389,'Renewal Rules'!$A:$B,2,FALSE),"")</f>
        <v>12</v>
      </c>
      <c r="E389" s="47">
        <f t="shared" si="24"/>
        <v>46490</v>
      </c>
      <c r="F389" s="48">
        <f t="shared" ca="1" si="25"/>
        <v>287</v>
      </c>
      <c r="G389" s="46" t="str">
        <f t="shared" ca="1" si="26"/>
        <v>GREEN</v>
      </c>
      <c r="H389" s="46" t="str">
        <f t="shared" ca="1" si="27"/>
        <v>Current</v>
      </c>
      <c r="I389" s="21"/>
    </row>
    <row r="390" spans="1:9" x14ac:dyDescent="0.35">
      <c r="A390" s="46" t="s">
        <v>221</v>
      </c>
      <c r="B390" s="46" t="s">
        <v>93</v>
      </c>
      <c r="C390" s="47" t="str">
        <f>Matrix!BG6</f>
        <v>NS</v>
      </c>
      <c r="D390" s="48">
        <f>IFERROR(VLOOKUP(B390,'Renewal Rules'!$A:$B,2,FALSE),"")</f>
        <v>12</v>
      </c>
      <c r="E390" s="47" t="str">
        <f t="shared" si="24"/>
        <v/>
      </c>
      <c r="F390" s="48" t="str">
        <f t="shared" ca="1" si="25"/>
        <v/>
      </c>
      <c r="G390" s="46" t="str">
        <f t="shared" ca="1" si="26"/>
        <v>RED</v>
      </c>
      <c r="H390" s="46" t="str">
        <f t="shared" ca="1" si="27"/>
        <v>Not Started</v>
      </c>
      <c r="I390" s="21"/>
    </row>
    <row r="391" spans="1:9" x14ac:dyDescent="0.35">
      <c r="A391" s="46" t="s">
        <v>221</v>
      </c>
      <c r="B391" s="46" t="s">
        <v>159</v>
      </c>
      <c r="C391" s="47" t="str">
        <f>Matrix!BH6</f>
        <v>NS</v>
      </c>
      <c r="D391" s="48">
        <f>IFERROR(VLOOKUP(B391,'Renewal Rules'!$A:$B,2,FALSE),"")</f>
        <v>12</v>
      </c>
      <c r="E391" s="47" t="str">
        <f t="shared" si="24"/>
        <v/>
      </c>
      <c r="F391" s="48" t="str">
        <f t="shared" ca="1" si="25"/>
        <v/>
      </c>
      <c r="G391" s="46" t="str">
        <f t="shared" ca="1" si="26"/>
        <v>RED</v>
      </c>
      <c r="H391" s="46" t="str">
        <f t="shared" ca="1" si="27"/>
        <v>Not Started</v>
      </c>
      <c r="I391" s="21"/>
    </row>
    <row r="392" spans="1:9" x14ac:dyDescent="0.35">
      <c r="A392" s="46" t="s">
        <v>221</v>
      </c>
      <c r="B392" s="46" t="s">
        <v>160</v>
      </c>
      <c r="C392" s="47" t="str">
        <f>Matrix!BI6</f>
        <v>NS</v>
      </c>
      <c r="D392" s="48">
        <f>IFERROR(VLOOKUP(B392,'Renewal Rules'!$A:$B,2,FALSE),"")</f>
        <v>36</v>
      </c>
      <c r="E392" s="47" t="str">
        <f t="shared" si="24"/>
        <v/>
      </c>
      <c r="F392" s="48" t="str">
        <f t="shared" ca="1" si="25"/>
        <v/>
      </c>
      <c r="G392" s="46" t="str">
        <f t="shared" ca="1" si="26"/>
        <v>RED</v>
      </c>
      <c r="H392" s="46" t="str">
        <f t="shared" ca="1" si="27"/>
        <v>Not Started</v>
      </c>
      <c r="I392" s="21"/>
    </row>
    <row r="393" spans="1:9" x14ac:dyDescent="0.35">
      <c r="A393" s="46" t="s">
        <v>221</v>
      </c>
      <c r="B393" s="46" t="s">
        <v>161</v>
      </c>
      <c r="C393" s="47" t="str">
        <f>Matrix!BJ6</f>
        <v>NS</v>
      </c>
      <c r="D393" s="48">
        <f>IFERROR(VLOOKUP(B393,'Renewal Rules'!$A:$B,2,FALSE),"")</f>
        <v>12</v>
      </c>
      <c r="E393" s="47" t="str">
        <f t="shared" si="24"/>
        <v/>
      </c>
      <c r="F393" s="48" t="str">
        <f t="shared" ca="1" si="25"/>
        <v/>
      </c>
      <c r="G393" s="46" t="str">
        <f t="shared" ca="1" si="26"/>
        <v>RED</v>
      </c>
      <c r="H393" s="46" t="str">
        <f t="shared" ca="1" si="27"/>
        <v>Not Started</v>
      </c>
      <c r="I393" s="21"/>
    </row>
    <row r="394" spans="1:9" x14ac:dyDescent="0.35">
      <c r="A394" s="46" t="s">
        <v>221</v>
      </c>
      <c r="B394" s="46" t="s">
        <v>162</v>
      </c>
      <c r="C394" s="47">
        <f>Matrix!BK6</f>
        <v>46199</v>
      </c>
      <c r="D394" s="48">
        <f>IFERROR(VLOOKUP(B394,'Renewal Rules'!$A:$B,2,FALSE),"")</f>
        <v>12</v>
      </c>
      <c r="E394" s="47">
        <f t="shared" si="24"/>
        <v>46564</v>
      </c>
      <c r="F394" s="48">
        <f t="shared" ca="1" si="25"/>
        <v>361</v>
      </c>
      <c r="G394" s="46" t="str">
        <f t="shared" ca="1" si="26"/>
        <v>GREEN</v>
      </c>
      <c r="H394" s="46" t="str">
        <f t="shared" ca="1" si="27"/>
        <v>Current</v>
      </c>
      <c r="I394" s="21"/>
    </row>
    <row r="395" spans="1:9" x14ac:dyDescent="0.35">
      <c r="A395" s="46" t="s">
        <v>221</v>
      </c>
      <c r="B395" s="46" t="s">
        <v>163</v>
      </c>
      <c r="C395" s="47" t="str">
        <f>Matrix!BL6</f>
        <v>NS</v>
      </c>
      <c r="D395" s="48">
        <f>IFERROR(VLOOKUP(B395,'Renewal Rules'!$A:$B,2,FALSE),"")</f>
        <v>36</v>
      </c>
      <c r="E395" s="47" t="str">
        <f t="shared" si="24"/>
        <v/>
      </c>
      <c r="F395" s="48" t="str">
        <f t="shared" ca="1" si="25"/>
        <v/>
      </c>
      <c r="G395" s="46" t="str">
        <f t="shared" ca="1" si="26"/>
        <v>RED</v>
      </c>
      <c r="H395" s="46" t="str">
        <f t="shared" ca="1" si="27"/>
        <v>Not Started</v>
      </c>
      <c r="I395" s="21"/>
    </row>
    <row r="396" spans="1:9" x14ac:dyDescent="0.35">
      <c r="A396" s="46" t="s">
        <v>221</v>
      </c>
      <c r="B396" s="46" t="s">
        <v>164</v>
      </c>
      <c r="C396" s="47" t="str">
        <f>Matrix!BM6</f>
        <v>NS</v>
      </c>
      <c r="D396" s="48">
        <f>IFERROR(VLOOKUP(B396,'Renewal Rules'!$A:$B,2,FALSE),"")</f>
        <v>12</v>
      </c>
      <c r="E396" s="47" t="str">
        <f t="shared" si="24"/>
        <v/>
      </c>
      <c r="F396" s="48" t="str">
        <f t="shared" ca="1" si="25"/>
        <v/>
      </c>
      <c r="G396" s="46" t="str">
        <f t="shared" ca="1" si="26"/>
        <v>RED</v>
      </c>
      <c r="H396" s="46" t="str">
        <f t="shared" ca="1" si="27"/>
        <v>Not Started</v>
      </c>
      <c r="I396" s="21"/>
    </row>
    <row r="397" spans="1:9" x14ac:dyDescent="0.35">
      <c r="A397" s="46" t="s">
        <v>221</v>
      </c>
      <c r="B397" s="46" t="s">
        <v>165</v>
      </c>
      <c r="C397" s="47" t="str">
        <f>Matrix!BN6</f>
        <v>NS</v>
      </c>
      <c r="D397" s="48">
        <f>IFERROR(VLOOKUP(B397,'Renewal Rules'!$A:$B,2,FALSE),"")</f>
        <v>36</v>
      </c>
      <c r="E397" s="47" t="str">
        <f t="shared" si="24"/>
        <v/>
      </c>
      <c r="F397" s="48" t="str">
        <f t="shared" ca="1" si="25"/>
        <v/>
      </c>
      <c r="G397" s="46" t="str">
        <f t="shared" ca="1" si="26"/>
        <v>RED</v>
      </c>
      <c r="H397" s="46" t="str">
        <f t="shared" ca="1" si="27"/>
        <v>Not Started</v>
      </c>
      <c r="I397" s="21"/>
    </row>
    <row r="398" spans="1:9" x14ac:dyDescent="0.35">
      <c r="A398" s="46" t="s">
        <v>221</v>
      </c>
      <c r="B398" s="46" t="s">
        <v>166</v>
      </c>
      <c r="C398" s="47" t="str">
        <f>Matrix!BO6</f>
        <v>NS</v>
      </c>
      <c r="D398" s="48">
        <f>IFERROR(VLOOKUP(B398,'Renewal Rules'!$A:$B,2,FALSE),"")</f>
        <v>36</v>
      </c>
      <c r="E398" s="47" t="str">
        <f t="shared" si="24"/>
        <v/>
      </c>
      <c r="F398" s="48" t="str">
        <f t="shared" ca="1" si="25"/>
        <v/>
      </c>
      <c r="G398" s="46" t="str">
        <f t="shared" ca="1" si="26"/>
        <v>RED</v>
      </c>
      <c r="H398" s="46" t="str">
        <f t="shared" ca="1" si="27"/>
        <v>Not Started</v>
      </c>
      <c r="I398" s="21"/>
    </row>
    <row r="399" spans="1:9" x14ac:dyDescent="0.35">
      <c r="A399" s="46" t="s">
        <v>221</v>
      </c>
      <c r="B399" s="46" t="s">
        <v>167</v>
      </c>
      <c r="C399" s="47" t="str">
        <f>Matrix!BP6</f>
        <v>NS</v>
      </c>
      <c r="D399" s="48">
        <f>IFERROR(VLOOKUP(B399,'Renewal Rules'!$A:$B,2,FALSE),"")</f>
        <v>36</v>
      </c>
      <c r="E399" s="47" t="str">
        <f t="shared" si="24"/>
        <v/>
      </c>
      <c r="F399" s="48" t="str">
        <f t="shared" ca="1" si="25"/>
        <v/>
      </c>
      <c r="G399" s="46" t="str">
        <f t="shared" ca="1" si="26"/>
        <v>RED</v>
      </c>
      <c r="H399" s="46" t="str">
        <f t="shared" ca="1" si="27"/>
        <v>Not Started</v>
      </c>
      <c r="I399" s="21"/>
    </row>
    <row r="400" spans="1:9" x14ac:dyDescent="0.35">
      <c r="A400" s="46" t="s">
        <v>221</v>
      </c>
      <c r="B400" s="46" t="s">
        <v>168</v>
      </c>
      <c r="C400" s="47" t="str">
        <f>Matrix!BQ6</f>
        <v>NS</v>
      </c>
      <c r="D400" s="48">
        <f>IFERROR(VLOOKUP(B400,'Renewal Rules'!$A:$B,2,FALSE),"")</f>
        <v>36</v>
      </c>
      <c r="E400" s="47" t="str">
        <f t="shared" si="24"/>
        <v/>
      </c>
      <c r="F400" s="48" t="str">
        <f t="shared" ca="1" si="25"/>
        <v/>
      </c>
      <c r="G400" s="46" t="str">
        <f t="shared" ca="1" si="26"/>
        <v>RED</v>
      </c>
      <c r="H400" s="46" t="str">
        <f t="shared" ca="1" si="27"/>
        <v>Not Started</v>
      </c>
      <c r="I400" s="21"/>
    </row>
    <row r="401" spans="1:9" x14ac:dyDescent="0.35">
      <c r="A401" s="46" t="s">
        <v>221</v>
      </c>
      <c r="B401" s="46" t="s">
        <v>169</v>
      </c>
      <c r="C401" s="47" t="str">
        <f>Matrix!BR6</f>
        <v>NS</v>
      </c>
      <c r="D401" s="48">
        <f>IFERROR(VLOOKUP(B401,'Renewal Rules'!$A:$B,2,FALSE),"")</f>
        <v>36</v>
      </c>
      <c r="E401" s="47" t="str">
        <f t="shared" si="24"/>
        <v/>
      </c>
      <c r="F401" s="48" t="str">
        <f t="shared" ca="1" si="25"/>
        <v/>
      </c>
      <c r="G401" s="46" t="str">
        <f t="shared" ca="1" si="26"/>
        <v>RED</v>
      </c>
      <c r="H401" s="46" t="str">
        <f t="shared" ca="1" si="27"/>
        <v>Not Started</v>
      </c>
      <c r="I401" s="21"/>
    </row>
    <row r="402" spans="1:9" x14ac:dyDescent="0.35">
      <c r="A402" s="46" t="s">
        <v>221</v>
      </c>
      <c r="B402" s="46" t="s">
        <v>170</v>
      </c>
      <c r="C402" s="47" t="str">
        <f>Matrix!BS6</f>
        <v>NS</v>
      </c>
      <c r="D402" s="48">
        <f>IFERROR(VLOOKUP(B402,'Renewal Rules'!$A:$B,2,FALSE),"")</f>
        <v>12</v>
      </c>
      <c r="E402" s="47" t="str">
        <f t="shared" si="24"/>
        <v/>
      </c>
      <c r="F402" s="48" t="str">
        <f t="shared" ca="1" si="25"/>
        <v/>
      </c>
      <c r="G402" s="46" t="str">
        <f t="shared" ca="1" si="26"/>
        <v>RED</v>
      </c>
      <c r="H402" s="46" t="str">
        <f t="shared" ca="1" si="27"/>
        <v>Not Started</v>
      </c>
      <c r="I402" s="21"/>
    </row>
    <row r="403" spans="1:9" x14ac:dyDescent="0.35">
      <c r="A403" s="46" t="s">
        <v>221</v>
      </c>
      <c r="B403" s="46" t="s">
        <v>171</v>
      </c>
      <c r="C403" s="47" t="str">
        <f>Matrix!BT6</f>
        <v>NS</v>
      </c>
      <c r="D403" s="48">
        <f>IFERROR(VLOOKUP(B403,'Renewal Rules'!$A:$B,2,FALSE),"")</f>
        <v>12</v>
      </c>
      <c r="E403" s="47" t="str">
        <f t="shared" si="24"/>
        <v/>
      </c>
      <c r="F403" s="48" t="str">
        <f t="shared" ca="1" si="25"/>
        <v/>
      </c>
      <c r="G403" s="46" t="str">
        <f t="shared" ca="1" si="26"/>
        <v>RED</v>
      </c>
      <c r="H403" s="46" t="str">
        <f t="shared" ca="1" si="27"/>
        <v>Not Started</v>
      </c>
      <c r="I403" s="21"/>
    </row>
    <row r="404" spans="1:9" x14ac:dyDescent="0.35">
      <c r="A404" s="46" t="s">
        <v>221</v>
      </c>
      <c r="B404" s="46" t="s">
        <v>172</v>
      </c>
      <c r="C404" s="47" t="str">
        <f>Matrix!BU6</f>
        <v>NS</v>
      </c>
      <c r="D404" s="48">
        <f>IFERROR(VLOOKUP(B404,'Renewal Rules'!$A:$B,2,FALSE),"")</f>
        <v>12</v>
      </c>
      <c r="E404" s="47" t="str">
        <f t="shared" si="24"/>
        <v/>
      </c>
      <c r="F404" s="48" t="str">
        <f t="shared" ca="1" si="25"/>
        <v/>
      </c>
      <c r="G404" s="46" t="str">
        <f t="shared" ca="1" si="26"/>
        <v>RED</v>
      </c>
      <c r="H404" s="46" t="str">
        <f t="shared" ca="1" si="27"/>
        <v>Not Started</v>
      </c>
      <c r="I404" s="21"/>
    </row>
    <row r="405" spans="1:9" x14ac:dyDescent="0.35">
      <c r="A405" s="46" t="s">
        <v>221</v>
      </c>
      <c r="B405" s="46" t="s">
        <v>173</v>
      </c>
      <c r="C405" s="47" t="str">
        <f>Matrix!BV6</f>
        <v>NS</v>
      </c>
      <c r="D405" s="48">
        <f>IFERROR(VLOOKUP(B405,'Renewal Rules'!$A:$B,2,FALSE),"")</f>
        <v>12</v>
      </c>
      <c r="E405" s="47" t="str">
        <f t="shared" si="24"/>
        <v/>
      </c>
      <c r="F405" s="48" t="str">
        <f t="shared" ca="1" si="25"/>
        <v/>
      </c>
      <c r="G405" s="46" t="str">
        <f t="shared" ca="1" si="26"/>
        <v>RED</v>
      </c>
      <c r="H405" s="46" t="str">
        <f t="shared" ca="1" si="27"/>
        <v>Not Started</v>
      </c>
      <c r="I405" s="21"/>
    </row>
    <row r="406" spans="1:9" x14ac:dyDescent="0.35">
      <c r="A406" s="46" t="s">
        <v>221</v>
      </c>
      <c r="B406" s="46" t="s">
        <v>174</v>
      </c>
      <c r="C406" s="47" t="str">
        <f>Matrix!BW6</f>
        <v>NS</v>
      </c>
      <c r="D406" s="48">
        <f>IFERROR(VLOOKUP(B406,'Renewal Rules'!$A:$B,2,FALSE),"")</f>
        <v>12</v>
      </c>
      <c r="E406" s="47" t="str">
        <f t="shared" si="24"/>
        <v/>
      </c>
      <c r="F406" s="48" t="str">
        <f t="shared" ca="1" si="25"/>
        <v/>
      </c>
      <c r="G406" s="46" t="str">
        <f t="shared" ca="1" si="26"/>
        <v>RED</v>
      </c>
      <c r="H406" s="46" t="str">
        <f t="shared" ca="1" si="27"/>
        <v>Not Started</v>
      </c>
      <c r="I406" s="21"/>
    </row>
    <row r="407" spans="1:9" x14ac:dyDescent="0.35">
      <c r="A407" s="46" t="s">
        <v>221</v>
      </c>
      <c r="B407" s="46" t="s">
        <v>175</v>
      </c>
      <c r="C407" s="47" t="str">
        <f>Matrix!BX6</f>
        <v>NS</v>
      </c>
      <c r="D407" s="48">
        <f>IFERROR(VLOOKUP(B407,'Renewal Rules'!$A:$B,2,FALSE),"")</f>
        <v>12</v>
      </c>
      <c r="E407" s="47" t="str">
        <f t="shared" si="24"/>
        <v/>
      </c>
      <c r="F407" s="48" t="str">
        <f t="shared" ca="1" si="25"/>
        <v/>
      </c>
      <c r="G407" s="46" t="str">
        <f t="shared" ca="1" si="26"/>
        <v>RED</v>
      </c>
      <c r="H407" s="46" t="str">
        <f t="shared" ca="1" si="27"/>
        <v>Not Started</v>
      </c>
      <c r="I407" s="21"/>
    </row>
    <row r="408" spans="1:9" x14ac:dyDescent="0.35">
      <c r="A408" s="46" t="s">
        <v>221</v>
      </c>
      <c r="B408" s="46" t="s">
        <v>176</v>
      </c>
      <c r="C408" s="47" t="str">
        <f>Matrix!BY6</f>
        <v>NS</v>
      </c>
      <c r="D408" s="48">
        <f>IFERROR(VLOOKUP(B408,'Renewal Rules'!$A:$B,2,FALSE),"")</f>
        <v>36</v>
      </c>
      <c r="E408" s="47" t="str">
        <f t="shared" si="24"/>
        <v/>
      </c>
      <c r="F408" s="48" t="str">
        <f t="shared" ca="1" si="25"/>
        <v/>
      </c>
      <c r="G408" s="46" t="str">
        <f t="shared" ca="1" si="26"/>
        <v>RED</v>
      </c>
      <c r="H408" s="46" t="str">
        <f t="shared" ca="1" si="27"/>
        <v>Not Started</v>
      </c>
      <c r="I408" s="21"/>
    </row>
    <row r="409" spans="1:9" x14ac:dyDescent="0.35">
      <c r="A409" s="46" t="s">
        <v>221</v>
      </c>
      <c r="B409" s="46" t="s">
        <v>177</v>
      </c>
      <c r="C409" s="47" t="str">
        <f>Matrix!BZ6</f>
        <v>NS</v>
      </c>
      <c r="D409" s="48">
        <f>IFERROR(VLOOKUP(B409,'Renewal Rules'!$A:$B,2,FALSE),"")</f>
        <v>36</v>
      </c>
      <c r="E409" s="47" t="str">
        <f t="shared" si="24"/>
        <v/>
      </c>
      <c r="F409" s="48" t="str">
        <f t="shared" ca="1" si="25"/>
        <v/>
      </c>
      <c r="G409" s="46" t="str">
        <f t="shared" ca="1" si="26"/>
        <v>RED</v>
      </c>
      <c r="H409" s="46" t="str">
        <f t="shared" ca="1" si="27"/>
        <v>Not Started</v>
      </c>
      <c r="I409" s="21"/>
    </row>
    <row r="410" spans="1:9" x14ac:dyDescent="0.35">
      <c r="A410" s="46" t="s">
        <v>221</v>
      </c>
      <c r="B410" s="46" t="s">
        <v>178</v>
      </c>
      <c r="C410" s="47" t="str">
        <f>Matrix!CA6</f>
        <v>NS</v>
      </c>
      <c r="D410" s="48">
        <f>IFERROR(VLOOKUP(B410,'Renewal Rules'!$A:$B,2,FALSE),"")</f>
        <v>12</v>
      </c>
      <c r="E410" s="47" t="str">
        <f t="shared" si="24"/>
        <v/>
      </c>
      <c r="F410" s="48" t="str">
        <f t="shared" ca="1" si="25"/>
        <v/>
      </c>
      <c r="G410" s="46" t="str">
        <f t="shared" ca="1" si="26"/>
        <v>RED</v>
      </c>
      <c r="H410" s="46" t="str">
        <f t="shared" ca="1" si="27"/>
        <v>Not Started</v>
      </c>
      <c r="I410" s="21"/>
    </row>
    <row r="411" spans="1:9" x14ac:dyDescent="0.35">
      <c r="A411" s="46" t="s">
        <v>221</v>
      </c>
      <c r="B411" s="46" t="s">
        <v>179</v>
      </c>
      <c r="C411" s="47" t="str">
        <f>Matrix!CB6</f>
        <v>NS</v>
      </c>
      <c r="D411" s="48">
        <f>IFERROR(VLOOKUP(B411,'Renewal Rules'!$A:$B,2,FALSE),"")</f>
        <v>12</v>
      </c>
      <c r="E411" s="47" t="str">
        <f t="shared" si="24"/>
        <v/>
      </c>
      <c r="F411" s="48" t="str">
        <f t="shared" ca="1" si="25"/>
        <v/>
      </c>
      <c r="G411" s="46" t="str">
        <f t="shared" ca="1" si="26"/>
        <v>RED</v>
      </c>
      <c r="H411" s="46" t="str">
        <f t="shared" ca="1" si="27"/>
        <v>Not Started</v>
      </c>
      <c r="I411" s="21"/>
    </row>
    <row r="412" spans="1:9" x14ac:dyDescent="0.35">
      <c r="A412" s="46" t="s">
        <v>221</v>
      </c>
      <c r="B412" s="46" t="s">
        <v>180</v>
      </c>
      <c r="C412" s="47" t="str">
        <f>Matrix!CC6</f>
        <v>NS</v>
      </c>
      <c r="D412" s="48">
        <f>IFERROR(VLOOKUP(B412,'Renewal Rules'!$A:$B,2,FALSE),"")</f>
        <v>36</v>
      </c>
      <c r="E412" s="47" t="str">
        <f t="shared" si="24"/>
        <v/>
      </c>
      <c r="F412" s="48" t="str">
        <f t="shared" ca="1" si="25"/>
        <v/>
      </c>
      <c r="G412" s="46" t="str">
        <f t="shared" ca="1" si="26"/>
        <v>RED</v>
      </c>
      <c r="H412" s="46" t="str">
        <f t="shared" ca="1" si="27"/>
        <v>Not Started</v>
      </c>
      <c r="I412" s="21"/>
    </row>
    <row r="413" spans="1:9" x14ac:dyDescent="0.35">
      <c r="A413" s="46" t="s">
        <v>221</v>
      </c>
      <c r="B413" s="46" t="s">
        <v>181</v>
      </c>
      <c r="C413" s="47" t="str">
        <f>Matrix!CD6</f>
        <v>NS</v>
      </c>
      <c r="D413" s="48">
        <f>IFERROR(VLOOKUP(B413,'Renewal Rules'!$A:$B,2,FALSE),"")</f>
        <v>36</v>
      </c>
      <c r="E413" s="47" t="str">
        <f t="shared" si="24"/>
        <v/>
      </c>
      <c r="F413" s="48" t="str">
        <f t="shared" ca="1" si="25"/>
        <v/>
      </c>
      <c r="G413" s="46" t="str">
        <f t="shared" ca="1" si="26"/>
        <v>RED</v>
      </c>
      <c r="H413" s="46" t="str">
        <f t="shared" ca="1" si="27"/>
        <v>Not Started</v>
      </c>
      <c r="I413" s="21"/>
    </row>
    <row r="414" spans="1:9" x14ac:dyDescent="0.35">
      <c r="A414" s="46" t="s">
        <v>221</v>
      </c>
      <c r="B414" s="46" t="s">
        <v>182</v>
      </c>
      <c r="C414" s="47" t="str">
        <f>Matrix!CE6</f>
        <v>NS</v>
      </c>
      <c r="D414" s="48">
        <f>IFERROR(VLOOKUP(B414,'Renewal Rules'!$A:$B,2,FALSE),"")</f>
        <v>12</v>
      </c>
      <c r="E414" s="47" t="str">
        <f t="shared" si="24"/>
        <v/>
      </c>
      <c r="F414" s="48" t="str">
        <f t="shared" ca="1" si="25"/>
        <v/>
      </c>
      <c r="G414" s="46" t="str">
        <f t="shared" ca="1" si="26"/>
        <v>RED</v>
      </c>
      <c r="H414" s="46" t="str">
        <f t="shared" ca="1" si="27"/>
        <v>Not Started</v>
      </c>
      <c r="I414" s="21"/>
    </row>
    <row r="415" spans="1:9" x14ac:dyDescent="0.35">
      <c r="A415" s="46" t="s">
        <v>221</v>
      </c>
      <c r="B415" s="46" t="s">
        <v>183</v>
      </c>
      <c r="C415" s="47" t="str">
        <f>Matrix!CF6</f>
        <v>NS</v>
      </c>
      <c r="D415" s="48">
        <f>IFERROR(VLOOKUP(B415,'Renewal Rules'!$A:$B,2,FALSE),"")</f>
        <v>36</v>
      </c>
      <c r="E415" s="47" t="str">
        <f t="shared" si="24"/>
        <v/>
      </c>
      <c r="F415" s="48" t="str">
        <f t="shared" ca="1" si="25"/>
        <v/>
      </c>
      <c r="G415" s="46" t="str">
        <f t="shared" ca="1" si="26"/>
        <v>RED</v>
      </c>
      <c r="H415" s="46" t="str">
        <f t="shared" ca="1" si="27"/>
        <v>Not Started</v>
      </c>
      <c r="I415" s="21"/>
    </row>
    <row r="416" spans="1:9" x14ac:dyDescent="0.35">
      <c r="A416" s="46" t="s">
        <v>221</v>
      </c>
      <c r="B416" s="46" t="s">
        <v>184</v>
      </c>
      <c r="C416" s="47" t="str">
        <f>Matrix!CG6</f>
        <v>NS</v>
      </c>
      <c r="D416" s="48">
        <f>IFERROR(VLOOKUP(B416,'Renewal Rules'!$A:$B,2,FALSE),"")</f>
        <v>12</v>
      </c>
      <c r="E416" s="47" t="str">
        <f t="shared" si="24"/>
        <v/>
      </c>
      <c r="F416" s="48" t="str">
        <f t="shared" ca="1" si="25"/>
        <v/>
      </c>
      <c r="G416" s="46" t="str">
        <f t="shared" ca="1" si="26"/>
        <v>RED</v>
      </c>
      <c r="H416" s="46" t="str">
        <f t="shared" ca="1" si="27"/>
        <v>Not Started</v>
      </c>
      <c r="I416" s="21"/>
    </row>
    <row r="417" spans="1:9" x14ac:dyDescent="0.35">
      <c r="A417" s="46" t="s">
        <v>221</v>
      </c>
      <c r="B417" s="46" t="s">
        <v>185</v>
      </c>
      <c r="C417" s="47" t="str">
        <f>Matrix!CH6</f>
        <v>NS</v>
      </c>
      <c r="D417" s="48">
        <f>IFERROR(VLOOKUP(B417,'Renewal Rules'!$A:$B,2,FALSE),"")</f>
        <v>12</v>
      </c>
      <c r="E417" s="47" t="str">
        <f t="shared" si="24"/>
        <v/>
      </c>
      <c r="F417" s="48" t="str">
        <f t="shared" ca="1" si="25"/>
        <v/>
      </c>
      <c r="G417" s="46" t="str">
        <f t="shared" ca="1" si="26"/>
        <v>RED</v>
      </c>
      <c r="H417" s="46" t="str">
        <f t="shared" ca="1" si="27"/>
        <v>Not Started</v>
      </c>
      <c r="I417" s="21"/>
    </row>
    <row r="418" spans="1:9" x14ac:dyDescent="0.35">
      <c r="A418" s="46" t="s">
        <v>221</v>
      </c>
      <c r="B418" s="46" t="s">
        <v>186</v>
      </c>
      <c r="C418" s="47" t="str">
        <f>Matrix!CI6</f>
        <v>NS</v>
      </c>
      <c r="D418" s="48">
        <f>IFERROR(VLOOKUP(B418,'Renewal Rules'!$A:$B,2,FALSE),"")</f>
        <v>36</v>
      </c>
      <c r="E418" s="47" t="str">
        <f t="shared" si="24"/>
        <v/>
      </c>
      <c r="F418" s="48" t="str">
        <f t="shared" ca="1" si="25"/>
        <v/>
      </c>
      <c r="G418" s="46" t="str">
        <f t="shared" ca="1" si="26"/>
        <v>RED</v>
      </c>
      <c r="H418" s="46" t="str">
        <f t="shared" ca="1" si="27"/>
        <v>Not Started</v>
      </c>
      <c r="I418" s="21"/>
    </row>
    <row r="419" spans="1:9" x14ac:dyDescent="0.35">
      <c r="A419" s="46" t="s">
        <v>221</v>
      </c>
      <c r="B419" s="46" t="s">
        <v>187</v>
      </c>
      <c r="C419" s="47" t="str">
        <f>Matrix!CJ6</f>
        <v>NS</v>
      </c>
      <c r="D419" s="48">
        <f>IFERROR(VLOOKUP(B419,'Renewal Rules'!$A:$B,2,FALSE),"")</f>
        <v>12</v>
      </c>
      <c r="E419" s="47" t="str">
        <f t="shared" si="24"/>
        <v/>
      </c>
      <c r="F419" s="48" t="str">
        <f t="shared" ca="1" si="25"/>
        <v/>
      </c>
      <c r="G419" s="46" t="str">
        <f t="shared" ca="1" si="26"/>
        <v>RED</v>
      </c>
      <c r="H419" s="46" t="str">
        <f t="shared" ca="1" si="27"/>
        <v>Not Started</v>
      </c>
      <c r="I419" s="21"/>
    </row>
    <row r="420" spans="1:9" x14ac:dyDescent="0.35">
      <c r="A420" s="46" t="s">
        <v>221</v>
      </c>
      <c r="B420" s="46" t="s">
        <v>188</v>
      </c>
      <c r="C420" s="47" t="str">
        <f>Matrix!CK6</f>
        <v>NS</v>
      </c>
      <c r="D420" s="48">
        <f>IFERROR(VLOOKUP(B420,'Renewal Rules'!$A:$B,2,FALSE),"")</f>
        <v>36</v>
      </c>
      <c r="E420" s="47" t="str">
        <f t="shared" si="24"/>
        <v/>
      </c>
      <c r="F420" s="48" t="str">
        <f t="shared" ca="1" si="25"/>
        <v/>
      </c>
      <c r="G420" s="46" t="str">
        <f t="shared" ca="1" si="26"/>
        <v>RED</v>
      </c>
      <c r="H420" s="46" t="str">
        <f t="shared" ca="1" si="27"/>
        <v>Not Started</v>
      </c>
      <c r="I420" s="21"/>
    </row>
    <row r="421" spans="1:9" x14ac:dyDescent="0.35">
      <c r="A421" s="46" t="s">
        <v>221</v>
      </c>
      <c r="B421" s="46" t="s">
        <v>189</v>
      </c>
      <c r="C421" s="47" t="str">
        <f>Matrix!CL6</f>
        <v>NS</v>
      </c>
      <c r="D421" s="48">
        <f>IFERROR(VLOOKUP(B421,'Renewal Rules'!$A:$B,2,FALSE),"")</f>
        <v>36</v>
      </c>
      <c r="E421" s="47" t="str">
        <f t="shared" si="24"/>
        <v/>
      </c>
      <c r="F421" s="48" t="str">
        <f t="shared" ca="1" si="25"/>
        <v/>
      </c>
      <c r="G421" s="46" t="str">
        <f t="shared" ca="1" si="26"/>
        <v>RED</v>
      </c>
      <c r="H421" s="46" t="str">
        <f t="shared" ca="1" si="27"/>
        <v>Not Started</v>
      </c>
      <c r="I421" s="21"/>
    </row>
    <row r="422" spans="1:9" x14ac:dyDescent="0.35">
      <c r="A422" s="46" t="s">
        <v>221</v>
      </c>
      <c r="B422" s="46" t="s">
        <v>190</v>
      </c>
      <c r="C422" s="47" t="str">
        <f>Matrix!CM6</f>
        <v>NS</v>
      </c>
      <c r="D422" s="48">
        <f>IFERROR(VLOOKUP(B422,'Renewal Rules'!$A:$B,2,FALSE),"")</f>
        <v>12</v>
      </c>
      <c r="E422" s="47" t="str">
        <f t="shared" si="24"/>
        <v/>
      </c>
      <c r="F422" s="48" t="str">
        <f t="shared" ca="1" si="25"/>
        <v/>
      </c>
      <c r="G422" s="46" t="str">
        <f t="shared" ca="1" si="26"/>
        <v>RED</v>
      </c>
      <c r="H422" s="46" t="str">
        <f t="shared" ca="1" si="27"/>
        <v>Not Started</v>
      </c>
      <c r="I422" s="21"/>
    </row>
    <row r="423" spans="1:9" x14ac:dyDescent="0.35">
      <c r="A423" s="46" t="s">
        <v>221</v>
      </c>
      <c r="B423" s="46" t="s">
        <v>191</v>
      </c>
      <c r="C423" s="47" t="str">
        <f>Matrix!CN6</f>
        <v>NS</v>
      </c>
      <c r="D423" s="48">
        <f>IFERROR(VLOOKUP(B423,'Renewal Rules'!$A:$B,2,FALSE),"")</f>
        <v>36</v>
      </c>
      <c r="E423" s="47" t="str">
        <f t="shared" si="24"/>
        <v/>
      </c>
      <c r="F423" s="48" t="str">
        <f t="shared" ca="1" si="25"/>
        <v/>
      </c>
      <c r="G423" s="46" t="str">
        <f t="shared" ca="1" si="26"/>
        <v>RED</v>
      </c>
      <c r="H423" s="46" t="str">
        <f t="shared" ca="1" si="27"/>
        <v>Not Started</v>
      </c>
      <c r="I423" s="21"/>
    </row>
    <row r="424" spans="1:9" x14ac:dyDescent="0.35">
      <c r="A424" s="46" t="s">
        <v>221</v>
      </c>
      <c r="B424" s="46" t="s">
        <v>192</v>
      </c>
      <c r="C424" s="47" t="str">
        <f>Matrix!CO6</f>
        <v>NS</v>
      </c>
      <c r="D424" s="48">
        <f>IFERROR(VLOOKUP(B424,'Renewal Rules'!$A:$B,2,FALSE),"")</f>
        <v>12</v>
      </c>
      <c r="E424" s="47" t="str">
        <f t="shared" si="24"/>
        <v/>
      </c>
      <c r="F424" s="48" t="str">
        <f t="shared" ca="1" si="25"/>
        <v/>
      </c>
      <c r="G424" s="46" t="str">
        <f t="shared" ca="1" si="26"/>
        <v>RED</v>
      </c>
      <c r="H424" s="46" t="str">
        <f t="shared" ca="1" si="27"/>
        <v>Not Started</v>
      </c>
      <c r="I424" s="21"/>
    </row>
    <row r="425" spans="1:9" ht="12.9" customHeight="1" x14ac:dyDescent="0.35">
      <c r="A425" s="46" t="s">
        <v>221</v>
      </c>
      <c r="B425" s="46" t="s">
        <v>193</v>
      </c>
      <c r="C425" s="47" t="str">
        <f>Matrix!CP6</f>
        <v>NS</v>
      </c>
      <c r="D425" s="48">
        <f>IFERROR(VLOOKUP(B425,'Renewal Rules'!$A:$B,2,FALSE),"")</f>
        <v>12</v>
      </c>
      <c r="E425" s="47" t="str">
        <f t="shared" si="24"/>
        <v/>
      </c>
      <c r="F425" s="48" t="str">
        <f t="shared" ca="1" si="25"/>
        <v/>
      </c>
      <c r="G425" s="46" t="str">
        <f t="shared" ca="1" si="26"/>
        <v>RED</v>
      </c>
      <c r="H425" s="46" t="str">
        <f t="shared" ca="1" si="27"/>
        <v>Not Started</v>
      </c>
      <c r="I425" s="21"/>
    </row>
    <row r="426" spans="1:9" x14ac:dyDescent="0.35">
      <c r="A426" s="46" t="s">
        <v>221</v>
      </c>
      <c r="B426" s="46" t="s">
        <v>194</v>
      </c>
      <c r="C426" s="47" t="str">
        <f>Matrix!CQ6</f>
        <v>NS</v>
      </c>
      <c r="D426" s="48">
        <f>IFERROR(VLOOKUP(B426,'Renewal Rules'!$A:$B,2,FALSE),"")</f>
        <v>36</v>
      </c>
      <c r="E426" s="47" t="str">
        <f t="shared" si="24"/>
        <v/>
      </c>
      <c r="F426" s="48" t="str">
        <f t="shared" ca="1" si="25"/>
        <v/>
      </c>
      <c r="G426" s="46" t="str">
        <f t="shared" ca="1" si="26"/>
        <v>RED</v>
      </c>
      <c r="H426" s="46" t="str">
        <f t="shared" ca="1" si="27"/>
        <v>Not Started</v>
      </c>
      <c r="I426" s="21"/>
    </row>
    <row r="427" spans="1:9" ht="12.9" customHeight="1" x14ac:dyDescent="0.35">
      <c r="A427" s="46" t="s">
        <v>221</v>
      </c>
      <c r="B427" s="46" t="s">
        <v>195</v>
      </c>
      <c r="C427" s="47" t="str">
        <f>Matrix!CR6</f>
        <v>NS</v>
      </c>
      <c r="D427" s="48">
        <f>IFERROR(VLOOKUP(B427,'Renewal Rules'!$A:$B,2,FALSE),"")</f>
        <v>36</v>
      </c>
      <c r="E427" s="47" t="str">
        <f t="shared" si="24"/>
        <v/>
      </c>
      <c r="F427" s="48" t="str">
        <f t="shared" ca="1" si="25"/>
        <v/>
      </c>
      <c r="G427" s="46" t="str">
        <f t="shared" ca="1" si="26"/>
        <v>RED</v>
      </c>
      <c r="H427" s="46" t="str">
        <f t="shared" ca="1" si="27"/>
        <v>Not Started</v>
      </c>
      <c r="I427" s="21"/>
    </row>
    <row r="428" spans="1:9" x14ac:dyDescent="0.35">
      <c r="A428" s="46" t="s">
        <v>221</v>
      </c>
      <c r="B428" s="46" t="s">
        <v>196</v>
      </c>
      <c r="C428" s="47" t="str">
        <f>Matrix!CS6</f>
        <v>NS</v>
      </c>
      <c r="D428" s="48">
        <f>IFERROR(VLOOKUP(B428,'Renewal Rules'!$A:$B,2,FALSE),"")</f>
        <v>36</v>
      </c>
      <c r="E428" s="47" t="str">
        <f t="shared" si="24"/>
        <v/>
      </c>
      <c r="F428" s="48" t="str">
        <f t="shared" ca="1" si="25"/>
        <v/>
      </c>
      <c r="G428" s="46" t="str">
        <f t="shared" ca="1" si="26"/>
        <v>RED</v>
      </c>
      <c r="H428" s="46" t="str">
        <f t="shared" ca="1" si="27"/>
        <v>Not Started</v>
      </c>
      <c r="I428" s="21"/>
    </row>
    <row r="429" spans="1:9" x14ac:dyDescent="0.35">
      <c r="A429" s="46" t="s">
        <v>221</v>
      </c>
      <c r="B429" s="46" t="s">
        <v>197</v>
      </c>
      <c r="C429" s="47" t="str">
        <f>Matrix!CT6</f>
        <v>NS</v>
      </c>
      <c r="D429" s="48">
        <f>IFERROR(VLOOKUP(B429,'Renewal Rules'!$A:$B,2,FALSE),"")</f>
        <v>12</v>
      </c>
      <c r="E429" s="47" t="str">
        <f t="shared" si="24"/>
        <v/>
      </c>
      <c r="F429" s="48" t="str">
        <f t="shared" ca="1" si="25"/>
        <v/>
      </c>
      <c r="G429" s="46" t="str">
        <f t="shared" ca="1" si="26"/>
        <v>RED</v>
      </c>
      <c r="H429" s="46" t="str">
        <f t="shared" ca="1" si="27"/>
        <v>Not Started</v>
      </c>
      <c r="I429" s="21"/>
    </row>
    <row r="430" spans="1:9" x14ac:dyDescent="0.35">
      <c r="A430" s="46" t="s">
        <v>221</v>
      </c>
      <c r="B430" s="46" t="s">
        <v>198</v>
      </c>
      <c r="C430" s="47">
        <f>Matrix!CU6</f>
        <v>46199</v>
      </c>
      <c r="D430" s="48">
        <f>IFERROR(VLOOKUP(B430,'Renewal Rules'!$A:$B,2,FALSE),"")</f>
        <v>12</v>
      </c>
      <c r="E430" s="47">
        <f t="shared" si="24"/>
        <v>46564</v>
      </c>
      <c r="F430" s="48">
        <f t="shared" ca="1" si="25"/>
        <v>361</v>
      </c>
      <c r="G430" s="46" t="str">
        <f t="shared" ca="1" si="26"/>
        <v>GREEN</v>
      </c>
      <c r="H430" s="46" t="str">
        <f t="shared" ca="1" si="27"/>
        <v>Current</v>
      </c>
      <c r="I430" s="21"/>
    </row>
    <row r="431" spans="1:9" x14ac:dyDescent="0.35">
      <c r="A431" s="46" t="s">
        <v>221</v>
      </c>
      <c r="B431" s="46" t="s">
        <v>199</v>
      </c>
      <c r="C431" s="47" t="str">
        <f>Matrix!CV6</f>
        <v>NS</v>
      </c>
      <c r="D431" s="48">
        <f>IFERROR(VLOOKUP(B431,'Renewal Rules'!$A:$B,2,FALSE),"")</f>
        <v>12</v>
      </c>
      <c r="E431" s="47" t="str">
        <f t="shared" si="24"/>
        <v/>
      </c>
      <c r="F431" s="48" t="str">
        <f t="shared" ca="1" si="25"/>
        <v/>
      </c>
      <c r="G431" s="46" t="str">
        <f t="shared" ca="1" si="26"/>
        <v>RED</v>
      </c>
      <c r="H431" s="46" t="str">
        <f t="shared" ca="1" si="27"/>
        <v>Not Started</v>
      </c>
      <c r="I431" s="21"/>
    </row>
    <row r="432" spans="1:9" ht="12.9" customHeight="1" x14ac:dyDescent="0.35">
      <c r="A432" s="46" t="s">
        <v>221</v>
      </c>
      <c r="B432" s="46" t="s">
        <v>200</v>
      </c>
      <c r="C432" s="47" t="str">
        <f>Matrix!CW6</f>
        <v>NS</v>
      </c>
      <c r="D432" s="48">
        <f>IFERROR(VLOOKUP(B432,'Renewal Rules'!$A:$B,2,FALSE),"")</f>
        <v>12</v>
      </c>
      <c r="E432" s="47" t="str">
        <f t="shared" si="24"/>
        <v/>
      </c>
      <c r="F432" s="48" t="str">
        <f t="shared" ca="1" si="25"/>
        <v/>
      </c>
      <c r="G432" s="46" t="str">
        <f t="shared" ca="1" si="26"/>
        <v>RED</v>
      </c>
      <c r="H432" s="46" t="str">
        <f t="shared" ca="1" si="27"/>
        <v>Not Started</v>
      </c>
      <c r="I432" s="21"/>
    </row>
    <row r="433" spans="1:9" x14ac:dyDescent="0.35">
      <c r="A433" s="46" t="s">
        <v>221</v>
      </c>
      <c r="B433" s="46" t="s">
        <v>201</v>
      </c>
      <c r="C433" s="47" t="str">
        <f>Matrix!CX6</f>
        <v>NS</v>
      </c>
      <c r="D433" s="48">
        <f>IFERROR(VLOOKUP(B433,'Renewal Rules'!$A:$B,2,FALSE),"")</f>
        <v>12</v>
      </c>
      <c r="E433" s="47" t="str">
        <f t="shared" si="24"/>
        <v/>
      </c>
      <c r="F433" s="48" t="str">
        <f t="shared" ca="1" si="25"/>
        <v/>
      </c>
      <c r="G433" s="46" t="str">
        <f t="shared" ca="1" si="26"/>
        <v>RED</v>
      </c>
      <c r="H433" s="46" t="str">
        <f t="shared" ca="1" si="27"/>
        <v>Not Started</v>
      </c>
      <c r="I433" s="21"/>
    </row>
    <row r="434" spans="1:9" x14ac:dyDescent="0.35">
      <c r="A434" s="46" t="s">
        <v>221</v>
      </c>
      <c r="B434" s="46" t="s">
        <v>202</v>
      </c>
      <c r="C434" s="47" t="str">
        <f>Matrix!CY6</f>
        <v>NS</v>
      </c>
      <c r="D434" s="48">
        <f>IFERROR(VLOOKUP(B434,'Renewal Rules'!$A:$B,2,FALSE),"")</f>
        <v>36</v>
      </c>
      <c r="E434" s="47" t="str">
        <f t="shared" si="24"/>
        <v/>
      </c>
      <c r="F434" s="48" t="str">
        <f t="shared" ca="1" si="25"/>
        <v/>
      </c>
      <c r="G434" s="46" t="str">
        <f t="shared" ca="1" si="26"/>
        <v>RED</v>
      </c>
      <c r="H434" s="46" t="str">
        <f t="shared" ca="1" si="27"/>
        <v>Not Started</v>
      </c>
      <c r="I434" s="21"/>
    </row>
    <row r="435" spans="1:9" ht="12.9" customHeight="1" x14ac:dyDescent="0.35">
      <c r="A435" s="46" t="s">
        <v>221</v>
      </c>
      <c r="B435" s="46" t="s">
        <v>203</v>
      </c>
      <c r="C435" s="47" t="str">
        <f>Matrix!CZ6</f>
        <v>NS</v>
      </c>
      <c r="D435" s="48">
        <f>IFERROR(VLOOKUP(B435,'Renewal Rules'!$A:$B,2,FALSE),"")</f>
        <v>12</v>
      </c>
      <c r="E435" s="47" t="str">
        <f t="shared" si="24"/>
        <v/>
      </c>
      <c r="F435" s="48" t="str">
        <f t="shared" ca="1" si="25"/>
        <v/>
      </c>
      <c r="G435" s="46" t="str">
        <f t="shared" ca="1" si="26"/>
        <v>RED</v>
      </c>
      <c r="H435" s="46" t="str">
        <f t="shared" ca="1" si="27"/>
        <v>Not Started</v>
      </c>
      <c r="I435" s="21"/>
    </row>
    <row r="436" spans="1:9" x14ac:dyDescent="0.35">
      <c r="A436" s="46" t="s">
        <v>221</v>
      </c>
      <c r="B436" s="46" t="s">
        <v>204</v>
      </c>
      <c r="C436" s="47" t="str">
        <f>Matrix!DA6</f>
        <v>NS</v>
      </c>
      <c r="D436" s="48">
        <f>IFERROR(VLOOKUP(B436,'Renewal Rules'!$A:$B,2,FALSE),"")</f>
        <v>12</v>
      </c>
      <c r="E436" s="47" t="str">
        <f t="shared" si="24"/>
        <v/>
      </c>
      <c r="F436" s="48" t="str">
        <f t="shared" ca="1" si="25"/>
        <v/>
      </c>
      <c r="G436" s="46" t="str">
        <f t="shared" ca="1" si="26"/>
        <v>RED</v>
      </c>
      <c r="H436" s="46" t="str">
        <f t="shared" ca="1" si="27"/>
        <v>Not Started</v>
      </c>
      <c r="I436" s="21"/>
    </row>
    <row r="437" spans="1:9" x14ac:dyDescent="0.35">
      <c r="A437" s="46" t="s">
        <v>221</v>
      </c>
      <c r="B437" s="46" t="s">
        <v>205</v>
      </c>
      <c r="C437" s="47" t="str">
        <f>Matrix!DB6</f>
        <v>NS</v>
      </c>
      <c r="D437" s="48">
        <f>IFERROR(VLOOKUP(B437,'Renewal Rules'!$A:$B,2,FALSE),"")</f>
        <v>36</v>
      </c>
      <c r="E437" s="47" t="str">
        <f t="shared" si="24"/>
        <v/>
      </c>
      <c r="F437" s="48" t="str">
        <f t="shared" ca="1" si="25"/>
        <v/>
      </c>
      <c r="G437" s="46" t="str">
        <f t="shared" ca="1" si="26"/>
        <v>RED</v>
      </c>
      <c r="H437" s="46" t="str">
        <f t="shared" ca="1" si="27"/>
        <v>Not Started</v>
      </c>
      <c r="I437" s="21"/>
    </row>
    <row r="438" spans="1:9" x14ac:dyDescent="0.35">
      <c r="A438" s="46" t="s">
        <v>221</v>
      </c>
      <c r="B438" s="46" t="s">
        <v>94</v>
      </c>
      <c r="C438" s="47" t="str">
        <f>Matrix!DC6</f>
        <v>13/04/2026</v>
      </c>
      <c r="D438" s="48">
        <f>IFERROR(VLOOKUP(B438,'Renewal Rules'!$A:$B,2,FALSE),"")</f>
        <v>12</v>
      </c>
      <c r="E438" s="47">
        <f t="shared" si="24"/>
        <v>46490</v>
      </c>
      <c r="F438" s="48">
        <f t="shared" ca="1" si="25"/>
        <v>287</v>
      </c>
      <c r="G438" s="46" t="str">
        <f t="shared" ca="1" si="26"/>
        <v>GREEN</v>
      </c>
      <c r="H438" s="46" t="str">
        <f t="shared" ca="1" si="27"/>
        <v>Current</v>
      </c>
      <c r="I438" s="21"/>
    </row>
    <row r="439" spans="1:9" x14ac:dyDescent="0.35">
      <c r="A439" s="46" t="s">
        <v>221</v>
      </c>
      <c r="B439" s="46" t="s">
        <v>206</v>
      </c>
      <c r="C439" s="47" t="str">
        <f>Matrix!DD6</f>
        <v>NS</v>
      </c>
      <c r="D439" s="48">
        <f>IFERROR(VLOOKUP(B439,'Renewal Rules'!$A:$B,2,FALSE),"")</f>
        <v>36</v>
      </c>
      <c r="E439" s="47" t="str">
        <f t="shared" si="24"/>
        <v/>
      </c>
      <c r="F439" s="48" t="str">
        <f t="shared" ca="1" si="25"/>
        <v/>
      </c>
      <c r="G439" s="46" t="str">
        <f t="shared" ca="1" si="26"/>
        <v>RED</v>
      </c>
      <c r="H439" s="46" t="str">
        <f t="shared" ca="1" si="27"/>
        <v>Not Started</v>
      </c>
      <c r="I439" s="21"/>
    </row>
    <row r="440" spans="1:9" x14ac:dyDescent="0.35">
      <c r="A440" s="46" t="s">
        <v>221</v>
      </c>
      <c r="B440" s="46" t="s">
        <v>207</v>
      </c>
      <c r="C440" s="47" t="str">
        <f>Matrix!DE6</f>
        <v>NS</v>
      </c>
      <c r="D440" s="48">
        <f>IFERROR(VLOOKUP(B440,'Renewal Rules'!$A:$B,2,FALSE),"")</f>
        <v>36</v>
      </c>
      <c r="E440" s="47" t="str">
        <f t="shared" si="24"/>
        <v/>
      </c>
      <c r="F440" s="48" t="str">
        <f t="shared" ca="1" si="25"/>
        <v/>
      </c>
      <c r="G440" s="46" t="str">
        <f t="shared" ca="1" si="26"/>
        <v>RED</v>
      </c>
      <c r="H440" s="46" t="str">
        <f t="shared" ca="1" si="27"/>
        <v>Not Started</v>
      </c>
      <c r="I440" s="21"/>
    </row>
    <row r="441" spans="1:9" x14ac:dyDescent="0.35">
      <c r="A441" s="46" t="s">
        <v>221</v>
      </c>
      <c r="B441" s="46" t="s">
        <v>208</v>
      </c>
      <c r="C441" s="47" t="str">
        <f>Matrix!DF6</f>
        <v>NS</v>
      </c>
      <c r="D441" s="48">
        <f>IFERROR(VLOOKUP(B441,'Renewal Rules'!$A:$B,2,FALSE),"")</f>
        <v>36</v>
      </c>
      <c r="E441" s="47" t="str">
        <f t="shared" si="24"/>
        <v/>
      </c>
      <c r="F441" s="48" t="str">
        <f t="shared" ca="1" si="25"/>
        <v/>
      </c>
      <c r="G441" s="46" t="str">
        <f t="shared" ca="1" si="26"/>
        <v>RED</v>
      </c>
      <c r="H441" s="46" t="str">
        <f t="shared" ca="1" si="27"/>
        <v>Not Started</v>
      </c>
      <c r="I441" s="21"/>
    </row>
    <row r="442" spans="1:9" x14ac:dyDescent="0.35">
      <c r="A442" s="46" t="s">
        <v>221</v>
      </c>
      <c r="B442" s="46" t="s">
        <v>104</v>
      </c>
      <c r="C442" s="47" t="str">
        <f>Matrix!DG6</f>
        <v>26/06/2026</v>
      </c>
      <c r="D442" s="48">
        <f>IFERROR(VLOOKUP(B442,'Renewal Rules'!$A:$B,2,FALSE),"")</f>
        <v>12</v>
      </c>
      <c r="E442" s="47">
        <f t="shared" si="24"/>
        <v>46564</v>
      </c>
      <c r="F442" s="48">
        <f t="shared" ca="1" si="25"/>
        <v>361</v>
      </c>
      <c r="G442" s="46" t="str">
        <f t="shared" ca="1" si="26"/>
        <v>GREEN</v>
      </c>
      <c r="H442" s="46" t="str">
        <f t="shared" ca="1" si="27"/>
        <v>Current</v>
      </c>
      <c r="I442" s="21"/>
    </row>
    <row r="443" spans="1:9" x14ac:dyDescent="0.35">
      <c r="A443" s="46" t="s">
        <v>224</v>
      </c>
      <c r="B443" s="46" t="s">
        <v>111</v>
      </c>
      <c r="C443" s="47" t="str">
        <f>Matrix!B7</f>
        <v>NS</v>
      </c>
      <c r="D443" s="48">
        <f>IFERROR(VLOOKUP(B443,'Renewal Rules'!$A:$B,2,FALSE),"")</f>
        <v>36</v>
      </c>
      <c r="E443" s="47" t="str">
        <f t="shared" si="24"/>
        <v/>
      </c>
      <c r="F443" s="48" t="str">
        <f t="shared" ca="1" si="25"/>
        <v/>
      </c>
      <c r="G443" s="46" t="str">
        <f t="shared" ca="1" si="26"/>
        <v>RED</v>
      </c>
      <c r="H443" s="46" t="str">
        <f t="shared" ca="1" si="27"/>
        <v>Not Started</v>
      </c>
      <c r="I443" s="21"/>
    </row>
    <row r="444" spans="1:9" x14ac:dyDescent="0.35">
      <c r="A444" s="46" t="s">
        <v>224</v>
      </c>
      <c r="B444" s="46" t="s">
        <v>100</v>
      </c>
      <c r="C444" s="47" t="str">
        <f>Matrix!C7</f>
        <v>23/02/2026</v>
      </c>
      <c r="D444" s="48">
        <f>IFERROR(VLOOKUP(B444,'Renewal Rules'!$A:$B,2,FALSE),"")</f>
        <v>36</v>
      </c>
      <c r="E444" s="47">
        <f t="shared" si="24"/>
        <v>47172</v>
      </c>
      <c r="F444" s="48">
        <f t="shared" ca="1" si="25"/>
        <v>969</v>
      </c>
      <c r="G444" s="46" t="str">
        <f t="shared" ca="1" si="26"/>
        <v>GREEN</v>
      </c>
      <c r="H444" s="46" t="str">
        <f t="shared" ca="1" si="27"/>
        <v>Current</v>
      </c>
      <c r="I444" s="21"/>
    </row>
    <row r="445" spans="1:9" x14ac:dyDescent="0.35">
      <c r="A445" s="46" t="s">
        <v>224</v>
      </c>
      <c r="B445" s="46" t="s">
        <v>112</v>
      </c>
      <c r="C445" s="47" t="str">
        <f>Matrix!D7</f>
        <v>NS</v>
      </c>
      <c r="D445" s="48">
        <f>IFERROR(VLOOKUP(B445,'Renewal Rules'!$A:$B,2,FALSE),"")</f>
        <v>12</v>
      </c>
      <c r="E445" s="47" t="str">
        <f t="shared" si="24"/>
        <v/>
      </c>
      <c r="F445" s="48" t="str">
        <f t="shared" ca="1" si="25"/>
        <v/>
      </c>
      <c r="G445" s="46" t="str">
        <f t="shared" ca="1" si="26"/>
        <v>RED</v>
      </c>
      <c r="H445" s="46" t="str">
        <f t="shared" ca="1" si="27"/>
        <v>Not Started</v>
      </c>
      <c r="I445" s="21"/>
    </row>
    <row r="446" spans="1:9" x14ac:dyDescent="0.35">
      <c r="A446" s="46" t="s">
        <v>224</v>
      </c>
      <c r="B446" s="46" t="s">
        <v>96</v>
      </c>
      <c r="C446" s="47" t="str">
        <f>Matrix!E7</f>
        <v>NS</v>
      </c>
      <c r="D446" s="48">
        <f>IFERROR(VLOOKUP(B446,'Renewal Rules'!$A:$B,2,FALSE),"")</f>
        <v>36</v>
      </c>
      <c r="E446" s="47" t="str">
        <f t="shared" si="24"/>
        <v/>
      </c>
      <c r="F446" s="48" t="str">
        <f t="shared" ca="1" si="25"/>
        <v/>
      </c>
      <c r="G446" s="46" t="str">
        <f t="shared" ca="1" si="26"/>
        <v>RED</v>
      </c>
      <c r="H446" s="46" t="str">
        <f t="shared" ca="1" si="27"/>
        <v>Not Started</v>
      </c>
      <c r="I446" s="21"/>
    </row>
    <row r="447" spans="1:9" x14ac:dyDescent="0.35">
      <c r="A447" s="46" t="s">
        <v>224</v>
      </c>
      <c r="B447" s="46" t="s">
        <v>113</v>
      </c>
      <c r="C447" s="47" t="str">
        <f>Matrix!F7</f>
        <v>NS</v>
      </c>
      <c r="D447" s="48">
        <f>IFERROR(VLOOKUP(B447,'Renewal Rules'!$A:$B,2,FALSE),"")</f>
        <v>36</v>
      </c>
      <c r="E447" s="47" t="str">
        <f t="shared" si="24"/>
        <v/>
      </c>
      <c r="F447" s="48" t="str">
        <f t="shared" ca="1" si="25"/>
        <v/>
      </c>
      <c r="G447" s="46" t="str">
        <f t="shared" ca="1" si="26"/>
        <v>RED</v>
      </c>
      <c r="H447" s="46" t="str">
        <f t="shared" ca="1" si="27"/>
        <v>Not Started</v>
      </c>
      <c r="I447" s="21"/>
    </row>
    <row r="448" spans="1:9" x14ac:dyDescent="0.35">
      <c r="A448" s="46" t="s">
        <v>224</v>
      </c>
      <c r="B448" s="46" t="s">
        <v>114</v>
      </c>
      <c r="C448" s="47" t="str">
        <f>Matrix!G7</f>
        <v>NS</v>
      </c>
      <c r="D448" s="48">
        <f>IFERROR(VLOOKUP(B448,'Renewal Rules'!$A:$B,2,FALSE),"")</f>
        <v>12</v>
      </c>
      <c r="E448" s="47" t="str">
        <f t="shared" si="24"/>
        <v/>
      </c>
      <c r="F448" s="48" t="str">
        <f t="shared" ca="1" si="25"/>
        <v/>
      </c>
      <c r="G448" s="46" t="str">
        <f t="shared" ca="1" si="26"/>
        <v>RED</v>
      </c>
      <c r="H448" s="46" t="str">
        <f t="shared" ca="1" si="27"/>
        <v>Not Started</v>
      </c>
      <c r="I448" s="21"/>
    </row>
    <row r="449" spans="1:9" x14ac:dyDescent="0.35">
      <c r="A449" s="46" t="s">
        <v>224</v>
      </c>
      <c r="B449" s="46" t="s">
        <v>115</v>
      </c>
      <c r="C449" s="47" t="str">
        <f>Matrix!H7</f>
        <v>NS</v>
      </c>
      <c r="D449" s="48">
        <f>IFERROR(VLOOKUP(B449,'Renewal Rules'!$A:$B,2,FALSE),"")</f>
        <v>36</v>
      </c>
      <c r="E449" s="47" t="str">
        <f t="shared" si="24"/>
        <v/>
      </c>
      <c r="F449" s="48" t="str">
        <f t="shared" ca="1" si="25"/>
        <v/>
      </c>
      <c r="G449" s="46" t="str">
        <f t="shared" ca="1" si="26"/>
        <v>RED</v>
      </c>
      <c r="H449" s="46" t="str">
        <f t="shared" ca="1" si="27"/>
        <v>Not Started</v>
      </c>
      <c r="I449" s="21"/>
    </row>
    <row r="450" spans="1:9" x14ac:dyDescent="0.35">
      <c r="A450" s="46" t="s">
        <v>224</v>
      </c>
      <c r="B450" s="46" t="s">
        <v>116</v>
      </c>
      <c r="C450" s="47" t="str">
        <f>Matrix!I7</f>
        <v>NS</v>
      </c>
      <c r="D450" s="48">
        <f>IFERROR(VLOOKUP(B450,'Renewal Rules'!$A:$B,2,FALSE),"")</f>
        <v>36</v>
      </c>
      <c r="E450" s="47" t="str">
        <f t="shared" si="24"/>
        <v/>
      </c>
      <c r="F450" s="48" t="str">
        <f t="shared" ca="1" si="25"/>
        <v/>
      </c>
      <c r="G450" s="46" t="str">
        <f t="shared" ca="1" si="26"/>
        <v>RED</v>
      </c>
      <c r="H450" s="46" t="str">
        <f t="shared" ca="1" si="27"/>
        <v>Not Started</v>
      </c>
      <c r="I450" s="21"/>
    </row>
    <row r="451" spans="1:9" x14ac:dyDescent="0.35">
      <c r="A451" s="46" t="s">
        <v>224</v>
      </c>
      <c r="B451" s="46" t="s">
        <v>117</v>
      </c>
      <c r="C451" s="47" t="str">
        <f>Matrix!J7</f>
        <v>21/01/2026</v>
      </c>
      <c r="D451" s="48">
        <f>IFERROR(VLOOKUP(B451,'Renewal Rules'!$A:$B,2,FALSE),"")</f>
        <v>12</v>
      </c>
      <c r="E451" s="47">
        <f t="shared" ref="E451:E514" si="28">IF(OR(C451="",C451="NS",C451="IP",C451="Failed"),"",IFERROR(EDATE(IF(ISNUMBER(C451),C451,IFERROR(DATEVALUE(C451),DATE(VALUE(RIGHT(C451,4)),VALUE(MID(C451,4,2)),VALUE(LEFT(C451,2))))),D451),""))</f>
        <v>46408</v>
      </c>
      <c r="F451" s="48">
        <f t="shared" ref="F451:F514" ca="1" si="29">IF(E451="","",E451-TODAY())</f>
        <v>205</v>
      </c>
      <c r="G451" s="46" t="str">
        <f t="shared" ref="G451:G514" ca="1" si="30">IF(C451="NS","RED",IF(C451="IP","AMBER",IF(E451="","",IF(E451&lt;TODAY(),"RED",IF(E451&lt;=TODAY()+30,"AMBER","GREEN")))))</f>
        <v>GREEN</v>
      </c>
      <c r="H451" s="46" t="str">
        <f t="shared" ref="H451:H514" ca="1" si="31">IF(C451="NS","Not Started",IF(C451="IP","In Progress",IF(E451="","Check",IF(E451&lt;TODAY(),"Expired",IF(E451&lt;=TODAY()+30,"Expiring Soon","Current")))))</f>
        <v>Current</v>
      </c>
      <c r="I451" s="21"/>
    </row>
    <row r="452" spans="1:9" x14ac:dyDescent="0.35">
      <c r="A452" s="46" t="s">
        <v>224</v>
      </c>
      <c r="B452" s="46" t="s">
        <v>118</v>
      </c>
      <c r="C452" s="47" t="str">
        <f>Matrix!K7</f>
        <v>NS</v>
      </c>
      <c r="D452" s="48">
        <f>IFERROR(VLOOKUP(B452,'Renewal Rules'!$A:$B,2,FALSE),"")</f>
        <v>36</v>
      </c>
      <c r="E452" s="47" t="str">
        <f t="shared" si="28"/>
        <v/>
      </c>
      <c r="F452" s="48" t="str">
        <f t="shared" ca="1" si="29"/>
        <v/>
      </c>
      <c r="G452" s="46" t="str">
        <f t="shared" ca="1" si="30"/>
        <v>RED</v>
      </c>
      <c r="H452" s="46" t="str">
        <f t="shared" ca="1" si="31"/>
        <v>Not Started</v>
      </c>
      <c r="I452" s="21"/>
    </row>
    <row r="453" spans="1:9" x14ac:dyDescent="0.35">
      <c r="A453" s="46" t="s">
        <v>224</v>
      </c>
      <c r="B453" s="46" t="s">
        <v>119</v>
      </c>
      <c r="C453" s="47" t="str">
        <f>Matrix!L7</f>
        <v>NS</v>
      </c>
      <c r="D453" s="48">
        <f>IFERROR(VLOOKUP(B453,'Renewal Rules'!$A:$B,2,FALSE),"")</f>
        <v>12</v>
      </c>
      <c r="E453" s="47" t="str">
        <f t="shared" si="28"/>
        <v/>
      </c>
      <c r="F453" s="48" t="str">
        <f t="shared" ca="1" si="29"/>
        <v/>
      </c>
      <c r="G453" s="46" t="str">
        <f t="shared" ca="1" si="30"/>
        <v>RED</v>
      </c>
      <c r="H453" s="46" t="str">
        <f t="shared" ca="1" si="31"/>
        <v>Not Started</v>
      </c>
      <c r="I453" s="21"/>
    </row>
    <row r="454" spans="1:9" x14ac:dyDescent="0.35">
      <c r="A454" s="46" t="s">
        <v>224</v>
      </c>
      <c r="B454" s="46" t="s">
        <v>120</v>
      </c>
      <c r="C454" s="47" t="str">
        <f>Matrix!M7</f>
        <v>NS</v>
      </c>
      <c r="D454" s="48">
        <f>IFERROR(VLOOKUP(B454,'Renewal Rules'!$A:$B,2,FALSE),"")</f>
        <v>12</v>
      </c>
      <c r="E454" s="47" t="str">
        <f t="shared" si="28"/>
        <v/>
      </c>
      <c r="F454" s="48" t="str">
        <f t="shared" ca="1" si="29"/>
        <v/>
      </c>
      <c r="G454" s="46" t="str">
        <f t="shared" ca="1" si="30"/>
        <v>RED</v>
      </c>
      <c r="H454" s="46" t="str">
        <f t="shared" ca="1" si="31"/>
        <v>Not Started</v>
      </c>
      <c r="I454" s="21"/>
    </row>
    <row r="455" spans="1:9" x14ac:dyDescent="0.35">
      <c r="A455" s="46" t="s">
        <v>224</v>
      </c>
      <c r="B455" s="46" t="s">
        <v>121</v>
      </c>
      <c r="C455" s="47" t="str">
        <f>Matrix!N7</f>
        <v>NS</v>
      </c>
      <c r="D455" s="48">
        <f>IFERROR(VLOOKUP(B455,'Renewal Rules'!$A:$B,2,FALSE),"")</f>
        <v>12</v>
      </c>
      <c r="E455" s="47" t="str">
        <f t="shared" si="28"/>
        <v/>
      </c>
      <c r="F455" s="48" t="str">
        <f t="shared" ca="1" si="29"/>
        <v/>
      </c>
      <c r="G455" s="46" t="str">
        <f t="shared" ca="1" si="30"/>
        <v>RED</v>
      </c>
      <c r="H455" s="46" t="str">
        <f t="shared" ca="1" si="31"/>
        <v>Not Started</v>
      </c>
      <c r="I455" s="21"/>
    </row>
    <row r="456" spans="1:9" ht="12.9" customHeight="1" x14ac:dyDescent="0.35">
      <c r="A456" s="46" t="s">
        <v>224</v>
      </c>
      <c r="B456" s="46" t="s">
        <v>103</v>
      </c>
      <c r="C456" s="47" t="str">
        <f>Matrix!O7</f>
        <v>NS</v>
      </c>
      <c r="D456" s="48">
        <f>IFERROR(VLOOKUP(B456,'Renewal Rules'!$A:$B,2,FALSE),"")</f>
        <v>36</v>
      </c>
      <c r="E456" s="47" t="str">
        <f t="shared" si="28"/>
        <v/>
      </c>
      <c r="F456" s="48" t="str">
        <f t="shared" ca="1" si="29"/>
        <v/>
      </c>
      <c r="G456" s="46" t="str">
        <f t="shared" ca="1" si="30"/>
        <v>RED</v>
      </c>
      <c r="H456" s="46" t="str">
        <f t="shared" ca="1" si="31"/>
        <v>Not Started</v>
      </c>
      <c r="I456" s="21"/>
    </row>
    <row r="457" spans="1:9" x14ac:dyDescent="0.35">
      <c r="A457" s="46" t="s">
        <v>224</v>
      </c>
      <c r="B457" s="46" t="s">
        <v>122</v>
      </c>
      <c r="C457" s="47" t="str">
        <f>Matrix!P7</f>
        <v>NS</v>
      </c>
      <c r="D457" s="48">
        <f>IFERROR(VLOOKUP(B457,'Renewal Rules'!$A:$B,2,FALSE),"")</f>
        <v>36</v>
      </c>
      <c r="E457" s="47" t="str">
        <f t="shared" si="28"/>
        <v/>
      </c>
      <c r="F457" s="48" t="str">
        <f t="shared" ca="1" si="29"/>
        <v/>
      </c>
      <c r="G457" s="46" t="str">
        <f t="shared" ca="1" si="30"/>
        <v>RED</v>
      </c>
      <c r="H457" s="46" t="str">
        <f t="shared" ca="1" si="31"/>
        <v>Not Started</v>
      </c>
      <c r="I457" s="21"/>
    </row>
    <row r="458" spans="1:9" x14ac:dyDescent="0.35">
      <c r="A458" s="46" t="s">
        <v>224</v>
      </c>
      <c r="B458" s="46" t="s">
        <v>101</v>
      </c>
      <c r="C458" s="47" t="str">
        <f>Matrix!Q7</f>
        <v>11/02/2026</v>
      </c>
      <c r="D458" s="48">
        <f>IFERROR(VLOOKUP(B458,'Renewal Rules'!$A:$B,2,FALSE),"")</f>
        <v>36</v>
      </c>
      <c r="E458" s="47">
        <f t="shared" si="28"/>
        <v>47160</v>
      </c>
      <c r="F458" s="48">
        <f t="shared" ca="1" si="29"/>
        <v>957</v>
      </c>
      <c r="G458" s="46" t="str">
        <f t="shared" ca="1" si="30"/>
        <v>GREEN</v>
      </c>
      <c r="H458" s="46" t="str">
        <f t="shared" ca="1" si="31"/>
        <v>Current</v>
      </c>
      <c r="I458" s="21"/>
    </row>
    <row r="459" spans="1:9" x14ac:dyDescent="0.35">
      <c r="A459" s="46" t="s">
        <v>224</v>
      </c>
      <c r="B459" s="46" t="s">
        <v>123</v>
      </c>
      <c r="C459" s="47" t="str">
        <f>Matrix!R7</f>
        <v>21/01/2026</v>
      </c>
      <c r="D459" s="48">
        <f>IFERROR(VLOOKUP(B459,'Renewal Rules'!$A:$B,2,FALSE),"")</f>
        <v>12</v>
      </c>
      <c r="E459" s="47">
        <f t="shared" si="28"/>
        <v>46408</v>
      </c>
      <c r="F459" s="48">
        <f t="shared" ca="1" si="29"/>
        <v>205</v>
      </c>
      <c r="G459" s="46" t="str">
        <f t="shared" ca="1" si="30"/>
        <v>GREEN</v>
      </c>
      <c r="H459" s="46" t="str">
        <f t="shared" ca="1" si="31"/>
        <v>Current</v>
      </c>
      <c r="I459" s="21"/>
    </row>
    <row r="460" spans="1:9" x14ac:dyDescent="0.35">
      <c r="A460" s="46" t="s">
        <v>224</v>
      </c>
      <c r="B460" s="46" t="s">
        <v>124</v>
      </c>
      <c r="C460" s="47" t="str">
        <f>Matrix!S7</f>
        <v>NS</v>
      </c>
      <c r="D460" s="48">
        <f>IFERROR(VLOOKUP(B460,'Renewal Rules'!$A:$B,2,FALSE),"")</f>
        <v>12</v>
      </c>
      <c r="E460" s="47" t="str">
        <f t="shared" si="28"/>
        <v/>
      </c>
      <c r="F460" s="48" t="str">
        <f t="shared" ca="1" si="29"/>
        <v/>
      </c>
      <c r="G460" s="46" t="str">
        <f t="shared" ca="1" si="30"/>
        <v>RED</v>
      </c>
      <c r="H460" s="46" t="str">
        <f t="shared" ca="1" si="31"/>
        <v>Not Started</v>
      </c>
      <c r="I460" s="21"/>
    </row>
    <row r="461" spans="1:9" x14ac:dyDescent="0.35">
      <c r="A461" s="46" t="s">
        <v>224</v>
      </c>
      <c r="B461" s="46" t="s">
        <v>125</v>
      </c>
      <c r="C461" s="47" t="str">
        <f>Matrix!T7</f>
        <v>06/02/2026</v>
      </c>
      <c r="D461" s="48">
        <f>IFERROR(VLOOKUP(B461,'Renewal Rules'!$A:$B,2,FALSE),"")</f>
        <v>12</v>
      </c>
      <c r="E461" s="47">
        <f t="shared" si="28"/>
        <v>46424</v>
      </c>
      <c r="F461" s="48">
        <f t="shared" ca="1" si="29"/>
        <v>221</v>
      </c>
      <c r="G461" s="46" t="str">
        <f t="shared" ca="1" si="30"/>
        <v>GREEN</v>
      </c>
      <c r="H461" s="46" t="str">
        <f t="shared" ca="1" si="31"/>
        <v>Current</v>
      </c>
      <c r="I461" s="21"/>
    </row>
    <row r="462" spans="1:9" x14ac:dyDescent="0.35">
      <c r="A462" s="46" t="s">
        <v>224</v>
      </c>
      <c r="B462" s="46" t="s">
        <v>126</v>
      </c>
      <c r="C462" s="47">
        <f>Matrix!U7</f>
        <v>46199</v>
      </c>
      <c r="D462" s="48">
        <f>IFERROR(VLOOKUP(B462,'Renewal Rules'!$A:$B,2,FALSE),"")</f>
        <v>36</v>
      </c>
      <c r="E462" s="47">
        <f t="shared" si="28"/>
        <v>47295</v>
      </c>
      <c r="F462" s="48">
        <f t="shared" ca="1" si="29"/>
        <v>1092</v>
      </c>
      <c r="G462" s="46" t="str">
        <f t="shared" ca="1" si="30"/>
        <v>GREEN</v>
      </c>
      <c r="H462" s="46" t="str">
        <f t="shared" ca="1" si="31"/>
        <v>Current</v>
      </c>
      <c r="I462" s="21"/>
    </row>
    <row r="463" spans="1:9" x14ac:dyDescent="0.35">
      <c r="A463" s="46" t="s">
        <v>224</v>
      </c>
      <c r="B463" s="46" t="s">
        <v>127</v>
      </c>
      <c r="C463" s="47" t="str">
        <f>Matrix!V7</f>
        <v>NS</v>
      </c>
      <c r="D463" s="48">
        <f>IFERROR(VLOOKUP(B463,'Renewal Rules'!$A:$B,2,FALSE),"")</f>
        <v>12</v>
      </c>
      <c r="E463" s="47" t="str">
        <f t="shared" si="28"/>
        <v/>
      </c>
      <c r="F463" s="48" t="str">
        <f t="shared" ca="1" si="29"/>
        <v/>
      </c>
      <c r="G463" s="46" t="str">
        <f t="shared" ca="1" si="30"/>
        <v>RED</v>
      </c>
      <c r="H463" s="46" t="str">
        <f t="shared" ca="1" si="31"/>
        <v>Not Started</v>
      </c>
      <c r="I463" s="21"/>
    </row>
    <row r="464" spans="1:9" x14ac:dyDescent="0.35">
      <c r="A464" s="46" t="s">
        <v>224</v>
      </c>
      <c r="B464" s="46" t="s">
        <v>128</v>
      </c>
      <c r="C464" s="47" t="str">
        <f>Matrix!W7</f>
        <v>03/03/2026</v>
      </c>
      <c r="D464" s="48">
        <f>IFERROR(VLOOKUP(B464,'Renewal Rules'!$A:$B,2,FALSE),"")</f>
        <v>12</v>
      </c>
      <c r="E464" s="47">
        <f t="shared" si="28"/>
        <v>46449</v>
      </c>
      <c r="F464" s="48">
        <f t="shared" ca="1" si="29"/>
        <v>246</v>
      </c>
      <c r="G464" s="46" t="str">
        <f t="shared" ca="1" si="30"/>
        <v>GREEN</v>
      </c>
      <c r="H464" s="46" t="str">
        <f t="shared" ca="1" si="31"/>
        <v>Current</v>
      </c>
      <c r="I464" s="21"/>
    </row>
    <row r="465" spans="1:9" x14ac:dyDescent="0.35">
      <c r="A465" s="46" t="s">
        <v>224</v>
      </c>
      <c r="B465" s="46" t="s">
        <v>129</v>
      </c>
      <c r="C465" s="47" t="str">
        <f>Matrix!X7</f>
        <v>NS</v>
      </c>
      <c r="D465" s="48">
        <f>IFERROR(VLOOKUP(B465,'Renewal Rules'!$A:$B,2,FALSE),"")</f>
        <v>36</v>
      </c>
      <c r="E465" s="47" t="str">
        <f t="shared" si="28"/>
        <v/>
      </c>
      <c r="F465" s="48" t="str">
        <f t="shared" ca="1" si="29"/>
        <v/>
      </c>
      <c r="G465" s="46" t="str">
        <f t="shared" ca="1" si="30"/>
        <v>RED</v>
      </c>
      <c r="H465" s="46" t="str">
        <f t="shared" ca="1" si="31"/>
        <v>Not Started</v>
      </c>
      <c r="I465" s="21"/>
    </row>
    <row r="466" spans="1:9" x14ac:dyDescent="0.35">
      <c r="A466" s="46" t="s">
        <v>224</v>
      </c>
      <c r="B466" s="46" t="s">
        <v>130</v>
      </c>
      <c r="C466" s="47" t="str">
        <f>Matrix!Y7</f>
        <v>NS</v>
      </c>
      <c r="D466" s="48">
        <f>IFERROR(VLOOKUP(B466,'Renewal Rules'!$A:$B,2,FALSE),"")</f>
        <v>36</v>
      </c>
      <c r="E466" s="47" t="str">
        <f t="shared" si="28"/>
        <v/>
      </c>
      <c r="F466" s="48" t="str">
        <f t="shared" ca="1" si="29"/>
        <v/>
      </c>
      <c r="G466" s="46" t="str">
        <f t="shared" ca="1" si="30"/>
        <v>RED</v>
      </c>
      <c r="H466" s="46" t="str">
        <f t="shared" ca="1" si="31"/>
        <v>Not Started</v>
      </c>
      <c r="I466" s="21"/>
    </row>
    <row r="467" spans="1:9" x14ac:dyDescent="0.35">
      <c r="A467" s="46" t="s">
        <v>224</v>
      </c>
      <c r="B467" s="46" t="s">
        <v>131</v>
      </c>
      <c r="C467" s="47" t="str">
        <f>Matrix!Z7</f>
        <v>NS</v>
      </c>
      <c r="D467" s="48">
        <f>IFERROR(VLOOKUP(B467,'Renewal Rules'!$A:$B,2,FALSE),"")</f>
        <v>12</v>
      </c>
      <c r="E467" s="47" t="str">
        <f t="shared" si="28"/>
        <v/>
      </c>
      <c r="F467" s="48" t="str">
        <f t="shared" ca="1" si="29"/>
        <v/>
      </c>
      <c r="G467" s="46" t="str">
        <f t="shared" ca="1" si="30"/>
        <v>RED</v>
      </c>
      <c r="H467" s="46" t="str">
        <f t="shared" ca="1" si="31"/>
        <v>Not Started</v>
      </c>
      <c r="I467" s="21"/>
    </row>
    <row r="468" spans="1:9" x14ac:dyDescent="0.35">
      <c r="A468" s="46" t="s">
        <v>224</v>
      </c>
      <c r="B468" s="46" t="s">
        <v>132</v>
      </c>
      <c r="C468" s="47" t="str">
        <f>Matrix!AA7</f>
        <v>NS</v>
      </c>
      <c r="D468" s="48">
        <f>IFERROR(VLOOKUP(B468,'Renewal Rules'!$A:$B,2,FALSE),"")</f>
        <v>12</v>
      </c>
      <c r="E468" s="47" t="str">
        <f t="shared" si="28"/>
        <v/>
      </c>
      <c r="F468" s="48" t="str">
        <f t="shared" ca="1" si="29"/>
        <v/>
      </c>
      <c r="G468" s="46" t="str">
        <f t="shared" ca="1" si="30"/>
        <v>RED</v>
      </c>
      <c r="H468" s="46" t="str">
        <f t="shared" ca="1" si="31"/>
        <v>Not Started</v>
      </c>
      <c r="I468" s="21"/>
    </row>
    <row r="469" spans="1:9" x14ac:dyDescent="0.35">
      <c r="A469" s="46" t="s">
        <v>224</v>
      </c>
      <c r="B469" s="46" t="s">
        <v>92</v>
      </c>
      <c r="C469" s="47">
        <f>Matrix!AB7</f>
        <v>45985</v>
      </c>
      <c r="D469" s="48">
        <f>IFERROR(VLOOKUP(B469,'Renewal Rules'!$A:$B,2,FALSE),"")</f>
        <v>12</v>
      </c>
      <c r="E469" s="47">
        <f t="shared" si="28"/>
        <v>46350</v>
      </c>
      <c r="F469" s="48">
        <f t="shared" ca="1" si="29"/>
        <v>147</v>
      </c>
      <c r="G469" s="46" t="str">
        <f t="shared" ca="1" si="30"/>
        <v>GREEN</v>
      </c>
      <c r="H469" s="46" t="str">
        <f t="shared" ca="1" si="31"/>
        <v>Current</v>
      </c>
      <c r="I469" s="21"/>
    </row>
    <row r="470" spans="1:9" x14ac:dyDescent="0.35">
      <c r="A470" s="46" t="s">
        <v>224</v>
      </c>
      <c r="B470" s="46" t="s">
        <v>133</v>
      </c>
      <c r="C470" s="47" t="str">
        <f>Matrix!AC7</f>
        <v>NS</v>
      </c>
      <c r="D470" s="48">
        <f>IFERROR(VLOOKUP(B470,'Renewal Rules'!$A:$B,2,FALSE),"")</f>
        <v>36</v>
      </c>
      <c r="E470" s="47" t="str">
        <f t="shared" si="28"/>
        <v/>
      </c>
      <c r="F470" s="48" t="str">
        <f t="shared" ca="1" si="29"/>
        <v/>
      </c>
      <c r="G470" s="46" t="str">
        <f t="shared" ca="1" si="30"/>
        <v>RED</v>
      </c>
      <c r="H470" s="46" t="str">
        <f t="shared" ca="1" si="31"/>
        <v>Not Started</v>
      </c>
      <c r="I470" s="21"/>
    </row>
    <row r="471" spans="1:9" x14ac:dyDescent="0.35">
      <c r="A471" s="46" t="s">
        <v>224</v>
      </c>
      <c r="B471" s="46" t="s">
        <v>134</v>
      </c>
      <c r="C471" s="47" t="str">
        <f>Matrix!AD7</f>
        <v>NS</v>
      </c>
      <c r="D471" s="48">
        <f>IFERROR(VLOOKUP(B471,'Renewal Rules'!$A:$B,2,FALSE),"")</f>
        <v>36</v>
      </c>
      <c r="E471" s="47" t="str">
        <f t="shared" si="28"/>
        <v/>
      </c>
      <c r="F471" s="48" t="str">
        <f t="shared" ca="1" si="29"/>
        <v/>
      </c>
      <c r="G471" s="46" t="str">
        <f t="shared" ca="1" si="30"/>
        <v>RED</v>
      </c>
      <c r="H471" s="46" t="str">
        <f t="shared" ca="1" si="31"/>
        <v>Not Started</v>
      </c>
      <c r="I471" s="21"/>
    </row>
    <row r="472" spans="1:9" x14ac:dyDescent="0.35">
      <c r="A472" s="46" t="s">
        <v>224</v>
      </c>
      <c r="B472" s="46" t="s">
        <v>98</v>
      </c>
      <c r="C472" s="47" t="str">
        <f>Matrix!AE7</f>
        <v>21/01/2026</v>
      </c>
      <c r="D472" s="48">
        <f>IFERROR(VLOOKUP(B472,'Renewal Rules'!$A:$B,2,FALSE),"")</f>
        <v>36</v>
      </c>
      <c r="E472" s="47">
        <f t="shared" si="28"/>
        <v>47139</v>
      </c>
      <c r="F472" s="48">
        <f t="shared" ca="1" si="29"/>
        <v>936</v>
      </c>
      <c r="G472" s="46" t="str">
        <f t="shared" ca="1" si="30"/>
        <v>GREEN</v>
      </c>
      <c r="H472" s="46" t="str">
        <f t="shared" ca="1" si="31"/>
        <v>Current</v>
      </c>
      <c r="I472" s="21"/>
    </row>
    <row r="473" spans="1:9" x14ac:dyDescent="0.35">
      <c r="A473" s="46" t="s">
        <v>224</v>
      </c>
      <c r="B473" s="46" t="s">
        <v>135</v>
      </c>
      <c r="C473" s="47" t="str">
        <f>Matrix!AF7</f>
        <v>NS</v>
      </c>
      <c r="D473" s="48">
        <f>IFERROR(VLOOKUP(B473,'Renewal Rules'!$A:$B,2,FALSE),"")</f>
        <v>36</v>
      </c>
      <c r="E473" s="47" t="str">
        <f t="shared" si="28"/>
        <v/>
      </c>
      <c r="F473" s="48" t="str">
        <f t="shared" ca="1" si="29"/>
        <v/>
      </c>
      <c r="G473" s="46" t="str">
        <f t="shared" ca="1" si="30"/>
        <v>RED</v>
      </c>
      <c r="H473" s="46" t="str">
        <f t="shared" ca="1" si="31"/>
        <v>Not Started</v>
      </c>
      <c r="I473" s="21"/>
    </row>
    <row r="474" spans="1:9" x14ac:dyDescent="0.35">
      <c r="A474" s="46" t="s">
        <v>224</v>
      </c>
      <c r="B474" s="46" t="s">
        <v>136</v>
      </c>
      <c r="C474" s="47" t="str">
        <f>Matrix!AG7</f>
        <v>23/02/2026</v>
      </c>
      <c r="D474" s="48">
        <f>IFERROR(VLOOKUP(B474,'Renewal Rules'!$A:$B,2,FALSE),"")</f>
        <v>12</v>
      </c>
      <c r="E474" s="47">
        <f t="shared" si="28"/>
        <v>46441</v>
      </c>
      <c r="F474" s="48">
        <f t="shared" ca="1" si="29"/>
        <v>238</v>
      </c>
      <c r="G474" s="46" t="str">
        <f t="shared" ca="1" si="30"/>
        <v>GREEN</v>
      </c>
      <c r="H474" s="46" t="str">
        <f t="shared" ca="1" si="31"/>
        <v>Current</v>
      </c>
      <c r="I474" s="21"/>
    </row>
    <row r="475" spans="1:9" x14ac:dyDescent="0.35">
      <c r="A475" s="46" t="s">
        <v>224</v>
      </c>
      <c r="B475" s="46" t="s">
        <v>137</v>
      </c>
      <c r="C475" s="47" t="str">
        <f>Matrix!AH7</f>
        <v>NS</v>
      </c>
      <c r="D475" s="48">
        <f>IFERROR(VLOOKUP(B475,'Renewal Rules'!$A:$B,2,FALSE),"")</f>
        <v>36</v>
      </c>
      <c r="E475" s="47" t="str">
        <f t="shared" si="28"/>
        <v/>
      </c>
      <c r="F475" s="48" t="str">
        <f t="shared" ca="1" si="29"/>
        <v/>
      </c>
      <c r="G475" s="46" t="str">
        <f t="shared" ca="1" si="30"/>
        <v>RED</v>
      </c>
      <c r="H475" s="46" t="str">
        <f t="shared" ca="1" si="31"/>
        <v>Not Started</v>
      </c>
      <c r="I475" s="21"/>
    </row>
    <row r="476" spans="1:9" ht="12.9" customHeight="1" x14ac:dyDescent="0.35">
      <c r="A476" s="46" t="s">
        <v>224</v>
      </c>
      <c r="B476" s="46" t="s">
        <v>138</v>
      </c>
      <c r="C476" s="47" t="str">
        <f>Matrix!AI7</f>
        <v>NS</v>
      </c>
      <c r="D476" s="48">
        <f>IFERROR(VLOOKUP(B476,'Renewal Rules'!$A:$B,2,FALSE),"")</f>
        <v>12</v>
      </c>
      <c r="E476" s="47" t="str">
        <f t="shared" si="28"/>
        <v/>
      </c>
      <c r="F476" s="48" t="str">
        <f t="shared" ca="1" si="29"/>
        <v/>
      </c>
      <c r="G476" s="46" t="str">
        <f t="shared" ca="1" si="30"/>
        <v>RED</v>
      </c>
      <c r="H476" s="46" t="str">
        <f t="shared" ca="1" si="31"/>
        <v>Not Started</v>
      </c>
      <c r="I476" s="21"/>
    </row>
    <row r="477" spans="1:9" x14ac:dyDescent="0.35">
      <c r="A477" s="46" t="s">
        <v>224</v>
      </c>
      <c r="B477" s="46" t="s">
        <v>139</v>
      </c>
      <c r="C477" s="47" t="str">
        <f>Matrix!AJ7</f>
        <v>NS</v>
      </c>
      <c r="D477" s="48">
        <f>IFERROR(VLOOKUP(B477,'Renewal Rules'!$A:$B,2,FALSE),"")</f>
        <v>12</v>
      </c>
      <c r="E477" s="47" t="str">
        <f t="shared" si="28"/>
        <v/>
      </c>
      <c r="F477" s="48" t="str">
        <f t="shared" ca="1" si="29"/>
        <v/>
      </c>
      <c r="G477" s="46" t="str">
        <f t="shared" ca="1" si="30"/>
        <v>RED</v>
      </c>
      <c r="H477" s="46" t="str">
        <f t="shared" ca="1" si="31"/>
        <v>Not Started</v>
      </c>
      <c r="I477" s="21"/>
    </row>
    <row r="478" spans="1:9" x14ac:dyDescent="0.35">
      <c r="A478" s="46" t="s">
        <v>224</v>
      </c>
      <c r="B478" s="46" t="s">
        <v>97</v>
      </c>
      <c r="C478" s="47">
        <f>Matrix!AK7</f>
        <v>45987</v>
      </c>
      <c r="D478" s="48">
        <f>IFERROR(VLOOKUP(B478,'Renewal Rules'!$A:$B,2,FALSE),"")</f>
        <v>12</v>
      </c>
      <c r="E478" s="47">
        <f t="shared" si="28"/>
        <v>46352</v>
      </c>
      <c r="F478" s="48">
        <f t="shared" ca="1" si="29"/>
        <v>149</v>
      </c>
      <c r="G478" s="46" t="str">
        <f t="shared" ca="1" si="30"/>
        <v>GREEN</v>
      </c>
      <c r="H478" s="46" t="str">
        <f t="shared" ca="1" si="31"/>
        <v>Current</v>
      </c>
      <c r="I478" s="21"/>
    </row>
    <row r="479" spans="1:9" x14ac:dyDescent="0.35">
      <c r="A479" s="46" t="s">
        <v>224</v>
      </c>
      <c r="B479" s="46" t="s">
        <v>140</v>
      </c>
      <c r="C479" s="47" t="str">
        <f>Matrix!AL7</f>
        <v>NS</v>
      </c>
      <c r="D479" s="48">
        <f>IFERROR(VLOOKUP(B479,'Renewal Rules'!$A:$B,2,FALSE),"")</f>
        <v>36</v>
      </c>
      <c r="E479" s="47" t="str">
        <f t="shared" si="28"/>
        <v/>
      </c>
      <c r="F479" s="48" t="str">
        <f t="shared" ca="1" si="29"/>
        <v/>
      </c>
      <c r="G479" s="46" t="str">
        <f t="shared" ca="1" si="30"/>
        <v>RED</v>
      </c>
      <c r="H479" s="46" t="str">
        <f t="shared" ca="1" si="31"/>
        <v>Not Started</v>
      </c>
      <c r="I479" s="21"/>
    </row>
    <row r="480" spans="1:9" x14ac:dyDescent="0.35">
      <c r="A480" s="46" t="s">
        <v>224</v>
      </c>
      <c r="B480" s="46" t="s">
        <v>141</v>
      </c>
      <c r="C480" s="47" t="str">
        <f>Matrix!AM7</f>
        <v>NS</v>
      </c>
      <c r="D480" s="48">
        <f>IFERROR(VLOOKUP(B480,'Renewal Rules'!$A:$B,2,FALSE),"")</f>
        <v>12</v>
      </c>
      <c r="E480" s="47" t="str">
        <f t="shared" si="28"/>
        <v/>
      </c>
      <c r="F480" s="48" t="str">
        <f t="shared" ca="1" si="29"/>
        <v/>
      </c>
      <c r="G480" s="46" t="str">
        <f t="shared" ca="1" si="30"/>
        <v>RED</v>
      </c>
      <c r="H480" s="46" t="str">
        <f t="shared" ca="1" si="31"/>
        <v>Not Started</v>
      </c>
      <c r="I480" s="21"/>
    </row>
    <row r="481" spans="1:9" x14ac:dyDescent="0.35">
      <c r="A481" s="46" t="s">
        <v>224</v>
      </c>
      <c r="B481" s="46" t="s">
        <v>142</v>
      </c>
      <c r="C481" s="47" t="str">
        <f>Matrix!AN7</f>
        <v>NS</v>
      </c>
      <c r="D481" s="48">
        <f>IFERROR(VLOOKUP(B481,'Renewal Rules'!$A:$B,2,FALSE),"")</f>
        <v>12</v>
      </c>
      <c r="E481" s="47" t="str">
        <f t="shared" si="28"/>
        <v/>
      </c>
      <c r="F481" s="48" t="str">
        <f t="shared" ca="1" si="29"/>
        <v/>
      </c>
      <c r="G481" s="46" t="str">
        <f t="shared" ca="1" si="30"/>
        <v>RED</v>
      </c>
      <c r="H481" s="46" t="str">
        <f t="shared" ca="1" si="31"/>
        <v>Not Started</v>
      </c>
      <c r="I481" s="21"/>
    </row>
    <row r="482" spans="1:9" x14ac:dyDescent="0.35">
      <c r="A482" s="46" t="s">
        <v>224</v>
      </c>
      <c r="B482" s="46" t="s">
        <v>143</v>
      </c>
      <c r="C482" s="47" t="str">
        <f>Matrix!AO7</f>
        <v>NS</v>
      </c>
      <c r="D482" s="48">
        <f>IFERROR(VLOOKUP(B482,'Renewal Rules'!$A:$B,2,FALSE),"")</f>
        <v>12</v>
      </c>
      <c r="E482" s="47" t="str">
        <f t="shared" si="28"/>
        <v/>
      </c>
      <c r="F482" s="48" t="str">
        <f t="shared" ca="1" si="29"/>
        <v/>
      </c>
      <c r="G482" s="46" t="str">
        <f t="shared" ca="1" si="30"/>
        <v>RED</v>
      </c>
      <c r="H482" s="46" t="str">
        <f t="shared" ca="1" si="31"/>
        <v>Not Started</v>
      </c>
      <c r="I482" s="21"/>
    </row>
    <row r="483" spans="1:9" x14ac:dyDescent="0.35">
      <c r="A483" s="46" t="s">
        <v>224</v>
      </c>
      <c r="B483" s="46" t="s">
        <v>102</v>
      </c>
      <c r="C483" s="47" t="str">
        <f>Matrix!AP7</f>
        <v>12/02/2026</v>
      </c>
      <c r="D483" s="48">
        <f>IFERROR(VLOOKUP(B483,'Renewal Rules'!$A:$B,2,FALSE),"")</f>
        <v>12</v>
      </c>
      <c r="E483" s="47">
        <f t="shared" si="28"/>
        <v>46430</v>
      </c>
      <c r="F483" s="48">
        <f t="shared" ca="1" si="29"/>
        <v>227</v>
      </c>
      <c r="G483" s="46" t="str">
        <f t="shared" ca="1" si="30"/>
        <v>GREEN</v>
      </c>
      <c r="H483" s="46" t="str">
        <f t="shared" ca="1" si="31"/>
        <v>Current</v>
      </c>
      <c r="I483" s="21"/>
    </row>
    <row r="484" spans="1:9" x14ac:dyDescent="0.35">
      <c r="A484" s="46" t="s">
        <v>224</v>
      </c>
      <c r="B484" s="46" t="s">
        <v>144</v>
      </c>
      <c r="C484" s="47" t="str">
        <f>Matrix!AQ7</f>
        <v>20/01/2026</v>
      </c>
      <c r="D484" s="48">
        <f>IFERROR(VLOOKUP(B484,'Renewal Rules'!$A:$B,2,FALSE),"")</f>
        <v>36</v>
      </c>
      <c r="E484" s="47">
        <f t="shared" si="28"/>
        <v>47138</v>
      </c>
      <c r="F484" s="48">
        <f t="shared" ca="1" si="29"/>
        <v>935</v>
      </c>
      <c r="G484" s="46" t="str">
        <f t="shared" ca="1" si="30"/>
        <v>GREEN</v>
      </c>
      <c r="H484" s="46" t="str">
        <f t="shared" ca="1" si="31"/>
        <v>Current</v>
      </c>
      <c r="I484" s="21"/>
    </row>
    <row r="485" spans="1:9" x14ac:dyDescent="0.35">
      <c r="A485" s="46" t="s">
        <v>224</v>
      </c>
      <c r="B485" s="46" t="s">
        <v>145</v>
      </c>
      <c r="C485" s="47" t="str">
        <f>Matrix!AR7</f>
        <v>NS</v>
      </c>
      <c r="D485" s="48">
        <f>IFERROR(VLOOKUP(B485,'Renewal Rules'!$A:$B,2,FALSE),"")</f>
        <v>12</v>
      </c>
      <c r="E485" s="47" t="str">
        <f t="shared" si="28"/>
        <v/>
      </c>
      <c r="F485" s="48" t="str">
        <f t="shared" ca="1" si="29"/>
        <v/>
      </c>
      <c r="G485" s="46" t="str">
        <f t="shared" ca="1" si="30"/>
        <v>RED</v>
      </c>
      <c r="H485" s="46" t="str">
        <f t="shared" ca="1" si="31"/>
        <v>Not Started</v>
      </c>
      <c r="I485" s="21"/>
    </row>
    <row r="486" spans="1:9" x14ac:dyDescent="0.35">
      <c r="A486" s="46" t="s">
        <v>224</v>
      </c>
      <c r="B486" s="46" t="s">
        <v>146</v>
      </c>
      <c r="C486" s="47" t="str">
        <f>Matrix!AS7</f>
        <v>NS</v>
      </c>
      <c r="D486" s="48">
        <f>IFERROR(VLOOKUP(B486,'Renewal Rules'!$A:$B,2,FALSE),"")</f>
        <v>12</v>
      </c>
      <c r="E486" s="47" t="str">
        <f t="shared" si="28"/>
        <v/>
      </c>
      <c r="F486" s="48" t="str">
        <f t="shared" ca="1" si="29"/>
        <v/>
      </c>
      <c r="G486" s="46" t="str">
        <f t="shared" ca="1" si="30"/>
        <v>RED</v>
      </c>
      <c r="H486" s="46" t="str">
        <f t="shared" ca="1" si="31"/>
        <v>Not Started</v>
      </c>
      <c r="I486" s="21"/>
    </row>
    <row r="487" spans="1:9" x14ac:dyDescent="0.35">
      <c r="A487" s="46" t="s">
        <v>224</v>
      </c>
      <c r="B487" s="46" t="s">
        <v>147</v>
      </c>
      <c r="C487" s="47" t="str">
        <f>Matrix!AT7</f>
        <v>NS</v>
      </c>
      <c r="D487" s="48">
        <f>IFERROR(VLOOKUP(B487,'Renewal Rules'!$A:$B,2,FALSE),"")</f>
        <v>36</v>
      </c>
      <c r="E487" s="47" t="str">
        <f t="shared" si="28"/>
        <v/>
      </c>
      <c r="F487" s="48" t="str">
        <f t="shared" ca="1" si="29"/>
        <v/>
      </c>
      <c r="G487" s="46" t="str">
        <f t="shared" ca="1" si="30"/>
        <v>RED</v>
      </c>
      <c r="H487" s="46" t="str">
        <f t="shared" ca="1" si="31"/>
        <v>Not Started</v>
      </c>
      <c r="I487" s="21"/>
    </row>
    <row r="488" spans="1:9" x14ac:dyDescent="0.35">
      <c r="A488" s="46" t="s">
        <v>224</v>
      </c>
      <c r="B488" s="46" t="s">
        <v>148</v>
      </c>
      <c r="C488" s="47" t="str">
        <f>Matrix!AU7</f>
        <v>NS</v>
      </c>
      <c r="D488" s="48">
        <f>IFERROR(VLOOKUP(B488,'Renewal Rules'!$A:$B,2,FALSE),"")</f>
        <v>36</v>
      </c>
      <c r="E488" s="47" t="str">
        <f t="shared" si="28"/>
        <v/>
      </c>
      <c r="F488" s="48" t="str">
        <f t="shared" ca="1" si="29"/>
        <v/>
      </c>
      <c r="G488" s="46" t="str">
        <f t="shared" ca="1" si="30"/>
        <v>RED</v>
      </c>
      <c r="H488" s="46" t="str">
        <f t="shared" ca="1" si="31"/>
        <v>Not Started</v>
      </c>
      <c r="I488" s="21"/>
    </row>
    <row r="489" spans="1:9" x14ac:dyDescent="0.35">
      <c r="A489" s="46" t="s">
        <v>224</v>
      </c>
      <c r="B489" s="46" t="s">
        <v>149</v>
      </c>
      <c r="C489" s="47" t="str">
        <f>Matrix!AV7</f>
        <v>NS</v>
      </c>
      <c r="D489" s="48">
        <f>IFERROR(VLOOKUP(B489,'Renewal Rules'!$A:$B,2,FALSE),"")</f>
        <v>36</v>
      </c>
      <c r="E489" s="47" t="str">
        <f t="shared" si="28"/>
        <v/>
      </c>
      <c r="F489" s="48" t="str">
        <f t="shared" ca="1" si="29"/>
        <v/>
      </c>
      <c r="G489" s="46" t="str">
        <f t="shared" ca="1" si="30"/>
        <v>RED</v>
      </c>
      <c r="H489" s="46" t="str">
        <f t="shared" ca="1" si="31"/>
        <v>Not Started</v>
      </c>
      <c r="I489" s="21"/>
    </row>
    <row r="490" spans="1:9" x14ac:dyDescent="0.35">
      <c r="A490" s="46" t="s">
        <v>224</v>
      </c>
      <c r="B490" s="46" t="s">
        <v>150</v>
      </c>
      <c r="C490" s="47" t="str">
        <f>Matrix!AW7</f>
        <v>NS</v>
      </c>
      <c r="D490" s="48">
        <f>IFERROR(VLOOKUP(B490,'Renewal Rules'!$A:$B,2,FALSE),"")</f>
        <v>36</v>
      </c>
      <c r="E490" s="47" t="str">
        <f t="shared" si="28"/>
        <v/>
      </c>
      <c r="F490" s="48" t="str">
        <f t="shared" ca="1" si="29"/>
        <v/>
      </c>
      <c r="G490" s="46" t="str">
        <f t="shared" ca="1" si="30"/>
        <v>RED</v>
      </c>
      <c r="H490" s="46" t="str">
        <f t="shared" ca="1" si="31"/>
        <v>Not Started</v>
      </c>
      <c r="I490" s="21"/>
    </row>
    <row r="491" spans="1:9" x14ac:dyDescent="0.35">
      <c r="A491" s="46" t="s">
        <v>224</v>
      </c>
      <c r="B491" s="46" t="s">
        <v>151</v>
      </c>
      <c r="C491" s="47" t="str">
        <f>Matrix!AX7</f>
        <v>NS</v>
      </c>
      <c r="D491" s="48">
        <f>IFERROR(VLOOKUP(B491,'Renewal Rules'!$A:$B,2,FALSE),"")</f>
        <v>36</v>
      </c>
      <c r="E491" s="47" t="str">
        <f t="shared" si="28"/>
        <v/>
      </c>
      <c r="F491" s="48" t="str">
        <f t="shared" ca="1" si="29"/>
        <v/>
      </c>
      <c r="G491" s="46" t="str">
        <f t="shared" ca="1" si="30"/>
        <v>RED</v>
      </c>
      <c r="H491" s="46" t="str">
        <f t="shared" ca="1" si="31"/>
        <v>Not Started</v>
      </c>
      <c r="I491" s="21"/>
    </row>
    <row r="492" spans="1:9" x14ac:dyDescent="0.35">
      <c r="A492" s="46" t="s">
        <v>224</v>
      </c>
      <c r="B492" s="46" t="s">
        <v>152</v>
      </c>
      <c r="C492" s="47" t="str">
        <f>Matrix!AY7</f>
        <v>NS</v>
      </c>
      <c r="D492" s="48">
        <f>IFERROR(VLOOKUP(B492,'Renewal Rules'!$A:$B,2,FALSE),"")</f>
        <v>36</v>
      </c>
      <c r="E492" s="47" t="str">
        <f t="shared" si="28"/>
        <v/>
      </c>
      <c r="F492" s="48" t="str">
        <f t="shared" ca="1" si="29"/>
        <v/>
      </c>
      <c r="G492" s="46" t="str">
        <f t="shared" ca="1" si="30"/>
        <v>RED</v>
      </c>
      <c r="H492" s="46" t="str">
        <f t="shared" ca="1" si="31"/>
        <v>Not Started</v>
      </c>
      <c r="I492" s="21"/>
    </row>
    <row r="493" spans="1:9" x14ac:dyDescent="0.35">
      <c r="A493" s="46" t="s">
        <v>224</v>
      </c>
      <c r="B493" s="46" t="s">
        <v>153</v>
      </c>
      <c r="C493" s="47" t="str">
        <f>Matrix!AZ7</f>
        <v>NS</v>
      </c>
      <c r="D493" s="48">
        <f>IFERROR(VLOOKUP(B493,'Renewal Rules'!$A:$B,2,FALSE),"")</f>
        <v>36</v>
      </c>
      <c r="E493" s="47" t="str">
        <f t="shared" si="28"/>
        <v/>
      </c>
      <c r="F493" s="48" t="str">
        <f t="shared" ca="1" si="29"/>
        <v/>
      </c>
      <c r="G493" s="46" t="str">
        <f t="shared" ca="1" si="30"/>
        <v>RED</v>
      </c>
      <c r="H493" s="46" t="str">
        <f t="shared" ca="1" si="31"/>
        <v>Not Started</v>
      </c>
      <c r="I493" s="21"/>
    </row>
    <row r="494" spans="1:9" x14ac:dyDescent="0.35">
      <c r="A494" s="46" t="s">
        <v>224</v>
      </c>
      <c r="B494" s="46" t="s">
        <v>154</v>
      </c>
      <c r="C494" s="47" t="str">
        <f>Matrix!BA7</f>
        <v>NS</v>
      </c>
      <c r="D494" s="48">
        <f>IFERROR(VLOOKUP(B494,'Renewal Rules'!$A:$B,2,FALSE),"")</f>
        <v>36</v>
      </c>
      <c r="E494" s="47" t="str">
        <f t="shared" si="28"/>
        <v/>
      </c>
      <c r="F494" s="48" t="str">
        <f t="shared" ca="1" si="29"/>
        <v/>
      </c>
      <c r="G494" s="46" t="str">
        <f t="shared" ca="1" si="30"/>
        <v>RED</v>
      </c>
      <c r="H494" s="46" t="str">
        <f t="shared" ca="1" si="31"/>
        <v>Not Started</v>
      </c>
      <c r="I494" s="21"/>
    </row>
    <row r="495" spans="1:9" x14ac:dyDescent="0.35">
      <c r="A495" s="46" t="s">
        <v>224</v>
      </c>
      <c r="B495" s="46" t="s">
        <v>155</v>
      </c>
      <c r="C495" s="47" t="str">
        <f>Matrix!BB7</f>
        <v>NS</v>
      </c>
      <c r="D495" s="48">
        <f>IFERROR(VLOOKUP(B495,'Renewal Rules'!$A:$B,2,FALSE),"")</f>
        <v>12</v>
      </c>
      <c r="E495" s="47" t="str">
        <f t="shared" si="28"/>
        <v/>
      </c>
      <c r="F495" s="48" t="str">
        <f t="shared" ca="1" si="29"/>
        <v/>
      </c>
      <c r="G495" s="46" t="str">
        <f t="shared" ca="1" si="30"/>
        <v>RED</v>
      </c>
      <c r="H495" s="46" t="str">
        <f t="shared" ca="1" si="31"/>
        <v>Not Started</v>
      </c>
      <c r="I495" s="21"/>
    </row>
    <row r="496" spans="1:9" x14ac:dyDescent="0.35">
      <c r="A496" s="46" t="s">
        <v>224</v>
      </c>
      <c r="B496" s="46" t="s">
        <v>156</v>
      </c>
      <c r="C496" s="47" t="str">
        <f>Matrix!BC7</f>
        <v>NS</v>
      </c>
      <c r="D496" s="48">
        <f>IFERROR(VLOOKUP(B496,'Renewal Rules'!$A:$B,2,FALSE),"")</f>
        <v>12</v>
      </c>
      <c r="E496" s="47" t="str">
        <f t="shared" si="28"/>
        <v/>
      </c>
      <c r="F496" s="48" t="str">
        <f t="shared" ca="1" si="29"/>
        <v/>
      </c>
      <c r="G496" s="46" t="str">
        <f t="shared" ca="1" si="30"/>
        <v>RED</v>
      </c>
      <c r="H496" s="46" t="str">
        <f t="shared" ca="1" si="31"/>
        <v>Not Started</v>
      </c>
      <c r="I496" s="21"/>
    </row>
    <row r="497" spans="1:9" x14ac:dyDescent="0.35">
      <c r="A497" s="46" t="s">
        <v>224</v>
      </c>
      <c r="B497" s="46" t="s">
        <v>157</v>
      </c>
      <c r="C497" s="47" t="str">
        <f>Matrix!BD7</f>
        <v>NS</v>
      </c>
      <c r="D497" s="48">
        <f>IFERROR(VLOOKUP(B497,'Renewal Rules'!$A:$B,2,FALSE),"")</f>
        <v>36</v>
      </c>
      <c r="E497" s="47" t="str">
        <f t="shared" si="28"/>
        <v/>
      </c>
      <c r="F497" s="48" t="str">
        <f t="shared" ca="1" si="29"/>
        <v/>
      </c>
      <c r="G497" s="46" t="str">
        <f t="shared" ca="1" si="30"/>
        <v>RED</v>
      </c>
      <c r="H497" s="46" t="str">
        <f t="shared" ca="1" si="31"/>
        <v>Not Started</v>
      </c>
      <c r="I497" s="21"/>
    </row>
    <row r="498" spans="1:9" ht="12.9" customHeight="1" x14ac:dyDescent="0.35">
      <c r="A498" s="46" t="s">
        <v>224</v>
      </c>
      <c r="B498" s="46" t="s">
        <v>158</v>
      </c>
      <c r="C498" s="47" t="str">
        <f>Matrix!BE7</f>
        <v>NS</v>
      </c>
      <c r="D498" s="48">
        <f>IFERROR(VLOOKUP(B498,'Renewal Rules'!$A:$B,2,FALSE),"")</f>
        <v>12</v>
      </c>
      <c r="E498" s="47" t="str">
        <f t="shared" si="28"/>
        <v/>
      </c>
      <c r="F498" s="48" t="str">
        <f t="shared" ca="1" si="29"/>
        <v/>
      </c>
      <c r="G498" s="46" t="str">
        <f t="shared" ca="1" si="30"/>
        <v>RED</v>
      </c>
      <c r="H498" s="46" t="str">
        <f t="shared" ca="1" si="31"/>
        <v>Not Started</v>
      </c>
      <c r="I498" s="21"/>
    </row>
    <row r="499" spans="1:9" x14ac:dyDescent="0.35">
      <c r="A499" s="46" t="s">
        <v>224</v>
      </c>
      <c r="B499" s="46" t="s">
        <v>95</v>
      </c>
      <c r="C499" s="47">
        <f>Matrix!BF7</f>
        <v>45979</v>
      </c>
      <c r="D499" s="48">
        <f>IFERROR(VLOOKUP(B499,'Renewal Rules'!$A:$B,2,FALSE),"")</f>
        <v>12</v>
      </c>
      <c r="E499" s="47">
        <f t="shared" si="28"/>
        <v>46344</v>
      </c>
      <c r="F499" s="48">
        <f t="shared" ca="1" si="29"/>
        <v>141</v>
      </c>
      <c r="G499" s="46" t="str">
        <f t="shared" ca="1" si="30"/>
        <v>GREEN</v>
      </c>
      <c r="H499" s="46" t="str">
        <f t="shared" ca="1" si="31"/>
        <v>Current</v>
      </c>
      <c r="I499" s="21"/>
    </row>
    <row r="500" spans="1:9" x14ac:dyDescent="0.35">
      <c r="A500" s="46" t="s">
        <v>224</v>
      </c>
      <c r="B500" s="46" t="s">
        <v>93</v>
      </c>
      <c r="C500" s="47" t="str">
        <f>Matrix!BG7</f>
        <v>NS</v>
      </c>
      <c r="D500" s="48">
        <f>IFERROR(VLOOKUP(B500,'Renewal Rules'!$A:$B,2,FALSE),"")</f>
        <v>12</v>
      </c>
      <c r="E500" s="47" t="str">
        <f t="shared" si="28"/>
        <v/>
      </c>
      <c r="F500" s="48" t="str">
        <f t="shared" ca="1" si="29"/>
        <v/>
      </c>
      <c r="G500" s="46" t="str">
        <f t="shared" ca="1" si="30"/>
        <v>RED</v>
      </c>
      <c r="H500" s="46" t="str">
        <f t="shared" ca="1" si="31"/>
        <v>Not Started</v>
      </c>
      <c r="I500" s="21"/>
    </row>
    <row r="501" spans="1:9" x14ac:dyDescent="0.35">
      <c r="A501" s="46" t="s">
        <v>224</v>
      </c>
      <c r="B501" s="46" t="s">
        <v>159</v>
      </c>
      <c r="C501" s="47" t="str">
        <f>Matrix!BH7</f>
        <v>NS</v>
      </c>
      <c r="D501" s="48">
        <f>IFERROR(VLOOKUP(B501,'Renewal Rules'!$A:$B,2,FALSE),"")</f>
        <v>12</v>
      </c>
      <c r="E501" s="47" t="str">
        <f t="shared" si="28"/>
        <v/>
      </c>
      <c r="F501" s="48" t="str">
        <f t="shared" ca="1" si="29"/>
        <v/>
      </c>
      <c r="G501" s="46" t="str">
        <f t="shared" ca="1" si="30"/>
        <v>RED</v>
      </c>
      <c r="H501" s="46" t="str">
        <f t="shared" ca="1" si="31"/>
        <v>Not Started</v>
      </c>
      <c r="I501" s="21"/>
    </row>
    <row r="502" spans="1:9" x14ac:dyDescent="0.35">
      <c r="A502" s="46" t="s">
        <v>224</v>
      </c>
      <c r="B502" s="46" t="s">
        <v>160</v>
      </c>
      <c r="C502" s="47" t="str">
        <f>Matrix!BI7</f>
        <v>03/03/2026</v>
      </c>
      <c r="D502" s="48">
        <f>IFERROR(VLOOKUP(B502,'Renewal Rules'!$A:$B,2,FALSE),"")</f>
        <v>36</v>
      </c>
      <c r="E502" s="47">
        <f t="shared" si="28"/>
        <v>47180</v>
      </c>
      <c r="F502" s="48">
        <f t="shared" ca="1" si="29"/>
        <v>977</v>
      </c>
      <c r="G502" s="46" t="str">
        <f t="shared" ca="1" si="30"/>
        <v>GREEN</v>
      </c>
      <c r="H502" s="46" t="str">
        <f t="shared" ca="1" si="31"/>
        <v>Current</v>
      </c>
      <c r="I502" s="21"/>
    </row>
    <row r="503" spans="1:9" x14ac:dyDescent="0.35">
      <c r="A503" s="46" t="s">
        <v>224</v>
      </c>
      <c r="B503" s="46" t="s">
        <v>161</v>
      </c>
      <c r="C503" s="47" t="str">
        <f>Matrix!BJ7</f>
        <v>NS</v>
      </c>
      <c r="D503" s="48">
        <f>IFERROR(VLOOKUP(B503,'Renewal Rules'!$A:$B,2,FALSE),"")</f>
        <v>12</v>
      </c>
      <c r="E503" s="47" t="str">
        <f t="shared" si="28"/>
        <v/>
      </c>
      <c r="F503" s="48" t="str">
        <f t="shared" ca="1" si="29"/>
        <v/>
      </c>
      <c r="G503" s="46" t="str">
        <f t="shared" ca="1" si="30"/>
        <v>RED</v>
      </c>
      <c r="H503" s="46" t="str">
        <f t="shared" ca="1" si="31"/>
        <v>Not Started</v>
      </c>
      <c r="I503" s="21"/>
    </row>
    <row r="504" spans="1:9" x14ac:dyDescent="0.35">
      <c r="A504" s="46" t="s">
        <v>224</v>
      </c>
      <c r="B504" s="46" t="s">
        <v>162</v>
      </c>
      <c r="C504" s="47" t="str">
        <f>Matrix!BK7</f>
        <v>NS</v>
      </c>
      <c r="D504" s="48">
        <f>IFERROR(VLOOKUP(B504,'Renewal Rules'!$A:$B,2,FALSE),"")</f>
        <v>12</v>
      </c>
      <c r="E504" s="47" t="str">
        <f t="shared" si="28"/>
        <v/>
      </c>
      <c r="F504" s="48" t="str">
        <f t="shared" ca="1" si="29"/>
        <v/>
      </c>
      <c r="G504" s="46" t="str">
        <f t="shared" ca="1" si="30"/>
        <v>RED</v>
      </c>
      <c r="H504" s="46" t="str">
        <f t="shared" ca="1" si="31"/>
        <v>Not Started</v>
      </c>
      <c r="I504" s="21"/>
    </row>
    <row r="505" spans="1:9" x14ac:dyDescent="0.35">
      <c r="A505" s="46" t="s">
        <v>224</v>
      </c>
      <c r="B505" s="46" t="s">
        <v>163</v>
      </c>
      <c r="C505" s="47" t="str">
        <f>Matrix!BL7</f>
        <v>NS</v>
      </c>
      <c r="D505" s="48">
        <f>IFERROR(VLOOKUP(B505,'Renewal Rules'!$A:$B,2,FALSE),"")</f>
        <v>36</v>
      </c>
      <c r="E505" s="47" t="str">
        <f t="shared" si="28"/>
        <v/>
      </c>
      <c r="F505" s="48" t="str">
        <f t="shared" ca="1" si="29"/>
        <v/>
      </c>
      <c r="G505" s="46" t="str">
        <f t="shared" ca="1" si="30"/>
        <v>RED</v>
      </c>
      <c r="H505" s="46" t="str">
        <f t="shared" ca="1" si="31"/>
        <v>Not Started</v>
      </c>
      <c r="I505" s="21"/>
    </row>
    <row r="506" spans="1:9" x14ac:dyDescent="0.35">
      <c r="A506" s="46" t="s">
        <v>224</v>
      </c>
      <c r="B506" s="46" t="s">
        <v>164</v>
      </c>
      <c r="C506" s="47" t="str">
        <f>Matrix!BM7</f>
        <v>NS</v>
      </c>
      <c r="D506" s="48">
        <f>IFERROR(VLOOKUP(B506,'Renewal Rules'!$A:$B,2,FALSE),"")</f>
        <v>12</v>
      </c>
      <c r="E506" s="47" t="str">
        <f t="shared" si="28"/>
        <v/>
      </c>
      <c r="F506" s="48" t="str">
        <f t="shared" ca="1" si="29"/>
        <v/>
      </c>
      <c r="G506" s="46" t="str">
        <f t="shared" ca="1" si="30"/>
        <v>RED</v>
      </c>
      <c r="H506" s="46" t="str">
        <f t="shared" ca="1" si="31"/>
        <v>Not Started</v>
      </c>
      <c r="I506" s="21"/>
    </row>
    <row r="507" spans="1:9" x14ac:dyDescent="0.35">
      <c r="A507" s="46" t="s">
        <v>224</v>
      </c>
      <c r="B507" s="46" t="s">
        <v>165</v>
      </c>
      <c r="C507" s="47" t="str">
        <f>Matrix!BN7</f>
        <v>NS</v>
      </c>
      <c r="D507" s="48">
        <f>IFERROR(VLOOKUP(B507,'Renewal Rules'!$A:$B,2,FALSE),"")</f>
        <v>36</v>
      </c>
      <c r="E507" s="47" t="str">
        <f t="shared" si="28"/>
        <v/>
      </c>
      <c r="F507" s="48" t="str">
        <f t="shared" ca="1" si="29"/>
        <v/>
      </c>
      <c r="G507" s="46" t="str">
        <f t="shared" ca="1" si="30"/>
        <v>RED</v>
      </c>
      <c r="H507" s="46" t="str">
        <f t="shared" ca="1" si="31"/>
        <v>Not Started</v>
      </c>
      <c r="I507" s="21"/>
    </row>
    <row r="508" spans="1:9" x14ac:dyDescent="0.35">
      <c r="A508" s="46" t="s">
        <v>224</v>
      </c>
      <c r="B508" s="46" t="s">
        <v>166</v>
      </c>
      <c r="C508" s="47" t="str">
        <f>Matrix!BO7</f>
        <v>NS</v>
      </c>
      <c r="D508" s="48">
        <f>IFERROR(VLOOKUP(B508,'Renewal Rules'!$A:$B,2,FALSE),"")</f>
        <v>36</v>
      </c>
      <c r="E508" s="47" t="str">
        <f t="shared" si="28"/>
        <v/>
      </c>
      <c r="F508" s="48" t="str">
        <f t="shared" ca="1" si="29"/>
        <v/>
      </c>
      <c r="G508" s="46" t="str">
        <f t="shared" ca="1" si="30"/>
        <v>RED</v>
      </c>
      <c r="H508" s="46" t="str">
        <f t="shared" ca="1" si="31"/>
        <v>Not Started</v>
      </c>
      <c r="I508" s="21"/>
    </row>
    <row r="509" spans="1:9" x14ac:dyDescent="0.35">
      <c r="A509" s="46" t="s">
        <v>224</v>
      </c>
      <c r="B509" s="46" t="s">
        <v>167</v>
      </c>
      <c r="C509" s="47" t="str">
        <f>Matrix!BP7</f>
        <v>NS</v>
      </c>
      <c r="D509" s="48">
        <f>IFERROR(VLOOKUP(B509,'Renewal Rules'!$A:$B,2,FALSE),"")</f>
        <v>36</v>
      </c>
      <c r="E509" s="47" t="str">
        <f t="shared" si="28"/>
        <v/>
      </c>
      <c r="F509" s="48" t="str">
        <f t="shared" ca="1" si="29"/>
        <v/>
      </c>
      <c r="G509" s="46" t="str">
        <f t="shared" ca="1" si="30"/>
        <v>RED</v>
      </c>
      <c r="H509" s="46" t="str">
        <f t="shared" ca="1" si="31"/>
        <v>Not Started</v>
      </c>
      <c r="I509" s="21"/>
    </row>
    <row r="510" spans="1:9" x14ac:dyDescent="0.35">
      <c r="A510" s="46" t="s">
        <v>224</v>
      </c>
      <c r="B510" s="46" t="s">
        <v>168</v>
      </c>
      <c r="C510" s="47" t="str">
        <f>Matrix!BQ7</f>
        <v>NS</v>
      </c>
      <c r="D510" s="48">
        <f>IFERROR(VLOOKUP(B510,'Renewal Rules'!$A:$B,2,FALSE),"")</f>
        <v>36</v>
      </c>
      <c r="E510" s="47" t="str">
        <f t="shared" si="28"/>
        <v/>
      </c>
      <c r="F510" s="48" t="str">
        <f t="shared" ca="1" si="29"/>
        <v/>
      </c>
      <c r="G510" s="46" t="str">
        <f t="shared" ca="1" si="30"/>
        <v>RED</v>
      </c>
      <c r="H510" s="46" t="str">
        <f t="shared" ca="1" si="31"/>
        <v>Not Started</v>
      </c>
      <c r="I510" s="21"/>
    </row>
    <row r="511" spans="1:9" x14ac:dyDescent="0.35">
      <c r="A511" s="46" t="s">
        <v>224</v>
      </c>
      <c r="B511" s="46" t="s">
        <v>169</v>
      </c>
      <c r="C511" s="47" t="str">
        <f>Matrix!BR7</f>
        <v>NS</v>
      </c>
      <c r="D511" s="48">
        <f>IFERROR(VLOOKUP(B511,'Renewal Rules'!$A:$B,2,FALSE),"")</f>
        <v>36</v>
      </c>
      <c r="E511" s="47" t="str">
        <f t="shared" si="28"/>
        <v/>
      </c>
      <c r="F511" s="48" t="str">
        <f t="shared" ca="1" si="29"/>
        <v/>
      </c>
      <c r="G511" s="46" t="str">
        <f t="shared" ca="1" si="30"/>
        <v>RED</v>
      </c>
      <c r="H511" s="46" t="str">
        <f t="shared" ca="1" si="31"/>
        <v>Not Started</v>
      </c>
      <c r="I511" s="21"/>
    </row>
    <row r="512" spans="1:9" x14ac:dyDescent="0.35">
      <c r="A512" s="46" t="s">
        <v>224</v>
      </c>
      <c r="B512" s="46" t="s">
        <v>170</v>
      </c>
      <c r="C512" s="47" t="str">
        <f>Matrix!BS7</f>
        <v>NS</v>
      </c>
      <c r="D512" s="48">
        <f>IFERROR(VLOOKUP(B512,'Renewal Rules'!$A:$B,2,FALSE),"")</f>
        <v>12</v>
      </c>
      <c r="E512" s="47" t="str">
        <f t="shared" si="28"/>
        <v/>
      </c>
      <c r="F512" s="48" t="str">
        <f t="shared" ca="1" si="29"/>
        <v/>
      </c>
      <c r="G512" s="46" t="str">
        <f t="shared" ca="1" si="30"/>
        <v>RED</v>
      </c>
      <c r="H512" s="46" t="str">
        <f t="shared" ca="1" si="31"/>
        <v>Not Started</v>
      </c>
      <c r="I512" s="21"/>
    </row>
    <row r="513" spans="1:9" x14ac:dyDescent="0.35">
      <c r="A513" s="46" t="s">
        <v>224</v>
      </c>
      <c r="B513" s="46" t="s">
        <v>171</v>
      </c>
      <c r="C513" s="47" t="str">
        <f>Matrix!BT7</f>
        <v>NS</v>
      </c>
      <c r="D513" s="48">
        <f>IFERROR(VLOOKUP(B513,'Renewal Rules'!$A:$B,2,FALSE),"")</f>
        <v>12</v>
      </c>
      <c r="E513" s="47" t="str">
        <f t="shared" si="28"/>
        <v/>
      </c>
      <c r="F513" s="48" t="str">
        <f t="shared" ca="1" si="29"/>
        <v/>
      </c>
      <c r="G513" s="46" t="str">
        <f t="shared" ca="1" si="30"/>
        <v>RED</v>
      </c>
      <c r="H513" s="46" t="str">
        <f t="shared" ca="1" si="31"/>
        <v>Not Started</v>
      </c>
      <c r="I513" s="21"/>
    </row>
    <row r="514" spans="1:9" x14ac:dyDescent="0.35">
      <c r="A514" s="46" t="s">
        <v>224</v>
      </c>
      <c r="B514" s="46" t="s">
        <v>172</v>
      </c>
      <c r="C514" s="47" t="str">
        <f>Matrix!BU7</f>
        <v>NS</v>
      </c>
      <c r="D514" s="48">
        <f>IFERROR(VLOOKUP(B514,'Renewal Rules'!$A:$B,2,FALSE),"")</f>
        <v>12</v>
      </c>
      <c r="E514" s="47" t="str">
        <f t="shared" si="28"/>
        <v/>
      </c>
      <c r="F514" s="48" t="str">
        <f t="shared" ca="1" si="29"/>
        <v/>
      </c>
      <c r="G514" s="46" t="str">
        <f t="shared" ca="1" si="30"/>
        <v>RED</v>
      </c>
      <c r="H514" s="46" t="str">
        <f t="shared" ca="1" si="31"/>
        <v>Not Started</v>
      </c>
      <c r="I514" s="21"/>
    </row>
    <row r="515" spans="1:9" x14ac:dyDescent="0.35">
      <c r="A515" s="46" t="s">
        <v>224</v>
      </c>
      <c r="B515" s="46" t="s">
        <v>173</v>
      </c>
      <c r="C515" s="47" t="str">
        <f>Matrix!BV7</f>
        <v>NS</v>
      </c>
      <c r="D515" s="48">
        <f>IFERROR(VLOOKUP(B515,'Renewal Rules'!$A:$B,2,FALSE),"")</f>
        <v>12</v>
      </c>
      <c r="E515" s="47" t="str">
        <f t="shared" ref="E515:E578" si="32">IF(OR(C515="",C515="NS",C515="IP",C515="Failed"),"",IFERROR(EDATE(IF(ISNUMBER(C515),C515,IFERROR(DATEVALUE(C515),DATE(VALUE(RIGHT(C515,4)),VALUE(MID(C515,4,2)),VALUE(LEFT(C515,2))))),D515),""))</f>
        <v/>
      </c>
      <c r="F515" s="48" t="str">
        <f t="shared" ref="F515:F578" ca="1" si="33">IF(E515="","",E515-TODAY())</f>
        <v/>
      </c>
      <c r="G515" s="46" t="str">
        <f t="shared" ref="G515:G578" ca="1" si="34">IF(C515="NS","RED",IF(C515="IP","AMBER",IF(E515="","",IF(E515&lt;TODAY(),"RED",IF(E515&lt;=TODAY()+30,"AMBER","GREEN")))))</f>
        <v>RED</v>
      </c>
      <c r="H515" s="46" t="str">
        <f t="shared" ref="H515:H578" ca="1" si="35">IF(C515="NS","Not Started",IF(C515="IP","In Progress",IF(E515="","Check",IF(E515&lt;TODAY(),"Expired",IF(E515&lt;=TODAY()+30,"Expiring Soon","Current")))))</f>
        <v>Not Started</v>
      </c>
      <c r="I515" s="21"/>
    </row>
    <row r="516" spans="1:9" x14ac:dyDescent="0.35">
      <c r="A516" s="46" t="s">
        <v>224</v>
      </c>
      <c r="B516" s="46" t="s">
        <v>174</v>
      </c>
      <c r="C516" s="47" t="str">
        <f>Matrix!BW7</f>
        <v>NS</v>
      </c>
      <c r="D516" s="48">
        <f>IFERROR(VLOOKUP(B516,'Renewal Rules'!$A:$B,2,FALSE),"")</f>
        <v>12</v>
      </c>
      <c r="E516" s="47" t="str">
        <f t="shared" si="32"/>
        <v/>
      </c>
      <c r="F516" s="48" t="str">
        <f t="shared" ca="1" si="33"/>
        <v/>
      </c>
      <c r="G516" s="46" t="str">
        <f t="shared" ca="1" si="34"/>
        <v>RED</v>
      </c>
      <c r="H516" s="46" t="str">
        <f t="shared" ca="1" si="35"/>
        <v>Not Started</v>
      </c>
      <c r="I516" s="21"/>
    </row>
    <row r="517" spans="1:9" x14ac:dyDescent="0.35">
      <c r="A517" s="46" t="s">
        <v>224</v>
      </c>
      <c r="B517" s="46" t="s">
        <v>175</v>
      </c>
      <c r="C517" s="47" t="str">
        <f>Matrix!BX7</f>
        <v>NS</v>
      </c>
      <c r="D517" s="48">
        <f>IFERROR(VLOOKUP(B517,'Renewal Rules'!$A:$B,2,FALSE),"")</f>
        <v>12</v>
      </c>
      <c r="E517" s="47" t="str">
        <f t="shared" si="32"/>
        <v/>
      </c>
      <c r="F517" s="48" t="str">
        <f t="shared" ca="1" si="33"/>
        <v/>
      </c>
      <c r="G517" s="46" t="str">
        <f t="shared" ca="1" si="34"/>
        <v>RED</v>
      </c>
      <c r="H517" s="46" t="str">
        <f t="shared" ca="1" si="35"/>
        <v>Not Started</v>
      </c>
      <c r="I517" s="21"/>
    </row>
    <row r="518" spans="1:9" x14ac:dyDescent="0.35">
      <c r="A518" s="46" t="s">
        <v>224</v>
      </c>
      <c r="B518" s="46" t="s">
        <v>176</v>
      </c>
      <c r="C518" s="47" t="str">
        <f>Matrix!BY7</f>
        <v>NS</v>
      </c>
      <c r="D518" s="48">
        <f>IFERROR(VLOOKUP(B518,'Renewal Rules'!$A:$B,2,FALSE),"")</f>
        <v>36</v>
      </c>
      <c r="E518" s="47" t="str">
        <f t="shared" si="32"/>
        <v/>
      </c>
      <c r="F518" s="48" t="str">
        <f t="shared" ca="1" si="33"/>
        <v/>
      </c>
      <c r="G518" s="46" t="str">
        <f t="shared" ca="1" si="34"/>
        <v>RED</v>
      </c>
      <c r="H518" s="46" t="str">
        <f t="shared" ca="1" si="35"/>
        <v>Not Started</v>
      </c>
      <c r="I518" s="21"/>
    </row>
    <row r="519" spans="1:9" x14ac:dyDescent="0.35">
      <c r="A519" s="46" t="s">
        <v>224</v>
      </c>
      <c r="B519" s="46" t="s">
        <v>177</v>
      </c>
      <c r="C519" s="47" t="str">
        <f>Matrix!BZ7</f>
        <v>NS</v>
      </c>
      <c r="D519" s="48">
        <f>IFERROR(VLOOKUP(B519,'Renewal Rules'!$A:$B,2,FALSE),"")</f>
        <v>36</v>
      </c>
      <c r="E519" s="47" t="str">
        <f t="shared" si="32"/>
        <v/>
      </c>
      <c r="F519" s="48" t="str">
        <f t="shared" ca="1" si="33"/>
        <v/>
      </c>
      <c r="G519" s="46" t="str">
        <f t="shared" ca="1" si="34"/>
        <v>RED</v>
      </c>
      <c r="H519" s="46" t="str">
        <f t="shared" ca="1" si="35"/>
        <v>Not Started</v>
      </c>
      <c r="I519" s="21"/>
    </row>
    <row r="520" spans="1:9" x14ac:dyDescent="0.35">
      <c r="A520" s="46" t="s">
        <v>224</v>
      </c>
      <c r="B520" s="46" t="s">
        <v>178</v>
      </c>
      <c r="C520" s="47" t="str">
        <f>Matrix!CA7</f>
        <v>NS</v>
      </c>
      <c r="D520" s="48">
        <f>IFERROR(VLOOKUP(B520,'Renewal Rules'!$A:$B,2,FALSE),"")</f>
        <v>12</v>
      </c>
      <c r="E520" s="47" t="str">
        <f t="shared" si="32"/>
        <v/>
      </c>
      <c r="F520" s="48" t="str">
        <f t="shared" ca="1" si="33"/>
        <v/>
      </c>
      <c r="G520" s="46" t="str">
        <f t="shared" ca="1" si="34"/>
        <v>RED</v>
      </c>
      <c r="H520" s="46" t="str">
        <f t="shared" ca="1" si="35"/>
        <v>Not Started</v>
      </c>
      <c r="I520" s="21"/>
    </row>
    <row r="521" spans="1:9" x14ac:dyDescent="0.35">
      <c r="A521" s="46" t="s">
        <v>224</v>
      </c>
      <c r="B521" s="46" t="s">
        <v>179</v>
      </c>
      <c r="C521" s="47" t="str">
        <f>Matrix!CB7</f>
        <v>NS</v>
      </c>
      <c r="D521" s="48">
        <f>IFERROR(VLOOKUP(B521,'Renewal Rules'!$A:$B,2,FALSE),"")</f>
        <v>12</v>
      </c>
      <c r="E521" s="47" t="str">
        <f t="shared" si="32"/>
        <v/>
      </c>
      <c r="F521" s="48" t="str">
        <f t="shared" ca="1" si="33"/>
        <v/>
      </c>
      <c r="G521" s="46" t="str">
        <f t="shared" ca="1" si="34"/>
        <v>RED</v>
      </c>
      <c r="H521" s="46" t="str">
        <f t="shared" ca="1" si="35"/>
        <v>Not Started</v>
      </c>
      <c r="I521" s="21"/>
    </row>
    <row r="522" spans="1:9" x14ac:dyDescent="0.35">
      <c r="A522" s="46" t="s">
        <v>224</v>
      </c>
      <c r="B522" s="46" t="s">
        <v>180</v>
      </c>
      <c r="C522" s="47" t="str">
        <f>Matrix!CC7</f>
        <v>NS</v>
      </c>
      <c r="D522" s="48">
        <f>IFERROR(VLOOKUP(B522,'Renewal Rules'!$A:$B,2,FALSE),"")</f>
        <v>36</v>
      </c>
      <c r="E522" s="47" t="str">
        <f t="shared" si="32"/>
        <v/>
      </c>
      <c r="F522" s="48" t="str">
        <f t="shared" ca="1" si="33"/>
        <v/>
      </c>
      <c r="G522" s="46" t="str">
        <f t="shared" ca="1" si="34"/>
        <v>RED</v>
      </c>
      <c r="H522" s="46" t="str">
        <f t="shared" ca="1" si="35"/>
        <v>Not Started</v>
      </c>
      <c r="I522" s="21"/>
    </row>
    <row r="523" spans="1:9" x14ac:dyDescent="0.35">
      <c r="A523" s="46" t="s">
        <v>224</v>
      </c>
      <c r="B523" s="46" t="s">
        <v>181</v>
      </c>
      <c r="C523" s="47" t="str">
        <f>Matrix!CD7</f>
        <v>NS</v>
      </c>
      <c r="D523" s="48">
        <f>IFERROR(VLOOKUP(B523,'Renewal Rules'!$A:$B,2,FALSE),"")</f>
        <v>36</v>
      </c>
      <c r="E523" s="47" t="str">
        <f t="shared" si="32"/>
        <v/>
      </c>
      <c r="F523" s="48" t="str">
        <f t="shared" ca="1" si="33"/>
        <v/>
      </c>
      <c r="G523" s="46" t="str">
        <f t="shared" ca="1" si="34"/>
        <v>RED</v>
      </c>
      <c r="H523" s="46" t="str">
        <f t="shared" ca="1" si="35"/>
        <v>Not Started</v>
      </c>
      <c r="I523" s="21"/>
    </row>
    <row r="524" spans="1:9" x14ac:dyDescent="0.35">
      <c r="A524" s="46" t="s">
        <v>224</v>
      </c>
      <c r="B524" s="46" t="s">
        <v>182</v>
      </c>
      <c r="C524" s="47" t="str">
        <f>Matrix!CE7</f>
        <v>NS</v>
      </c>
      <c r="D524" s="48">
        <f>IFERROR(VLOOKUP(B524,'Renewal Rules'!$A:$B,2,FALSE),"")</f>
        <v>12</v>
      </c>
      <c r="E524" s="47" t="str">
        <f t="shared" si="32"/>
        <v/>
      </c>
      <c r="F524" s="48" t="str">
        <f t="shared" ca="1" si="33"/>
        <v/>
      </c>
      <c r="G524" s="46" t="str">
        <f t="shared" ca="1" si="34"/>
        <v>RED</v>
      </c>
      <c r="H524" s="46" t="str">
        <f t="shared" ca="1" si="35"/>
        <v>Not Started</v>
      </c>
      <c r="I524" s="21"/>
    </row>
    <row r="525" spans="1:9" x14ac:dyDescent="0.35">
      <c r="A525" s="46" t="s">
        <v>224</v>
      </c>
      <c r="B525" s="46" t="s">
        <v>183</v>
      </c>
      <c r="C525" s="47" t="str">
        <f>Matrix!CF7</f>
        <v>NS</v>
      </c>
      <c r="D525" s="48">
        <f>IFERROR(VLOOKUP(B525,'Renewal Rules'!$A:$B,2,FALSE),"")</f>
        <v>36</v>
      </c>
      <c r="E525" s="47" t="str">
        <f t="shared" si="32"/>
        <v/>
      </c>
      <c r="F525" s="48" t="str">
        <f t="shared" ca="1" si="33"/>
        <v/>
      </c>
      <c r="G525" s="46" t="str">
        <f t="shared" ca="1" si="34"/>
        <v>RED</v>
      </c>
      <c r="H525" s="46" t="str">
        <f t="shared" ca="1" si="35"/>
        <v>Not Started</v>
      </c>
      <c r="I525" s="21"/>
    </row>
    <row r="526" spans="1:9" x14ac:dyDescent="0.35">
      <c r="A526" s="46" t="s">
        <v>224</v>
      </c>
      <c r="B526" s="46" t="s">
        <v>184</v>
      </c>
      <c r="C526" s="47" t="str">
        <f>Matrix!CG7</f>
        <v>NS</v>
      </c>
      <c r="D526" s="48">
        <f>IFERROR(VLOOKUP(B526,'Renewal Rules'!$A:$B,2,FALSE),"")</f>
        <v>12</v>
      </c>
      <c r="E526" s="47" t="str">
        <f t="shared" si="32"/>
        <v/>
      </c>
      <c r="F526" s="48" t="str">
        <f t="shared" ca="1" si="33"/>
        <v/>
      </c>
      <c r="G526" s="46" t="str">
        <f t="shared" ca="1" si="34"/>
        <v>RED</v>
      </c>
      <c r="H526" s="46" t="str">
        <f t="shared" ca="1" si="35"/>
        <v>Not Started</v>
      </c>
      <c r="I526" s="21"/>
    </row>
    <row r="527" spans="1:9" x14ac:dyDescent="0.35">
      <c r="A527" s="46" t="s">
        <v>224</v>
      </c>
      <c r="B527" s="46" t="s">
        <v>185</v>
      </c>
      <c r="C527" s="47" t="str">
        <f>Matrix!CH7</f>
        <v>NS</v>
      </c>
      <c r="D527" s="48">
        <f>IFERROR(VLOOKUP(B527,'Renewal Rules'!$A:$B,2,FALSE),"")</f>
        <v>12</v>
      </c>
      <c r="E527" s="47" t="str">
        <f t="shared" si="32"/>
        <v/>
      </c>
      <c r="F527" s="48" t="str">
        <f t="shared" ca="1" si="33"/>
        <v/>
      </c>
      <c r="G527" s="46" t="str">
        <f t="shared" ca="1" si="34"/>
        <v>RED</v>
      </c>
      <c r="H527" s="46" t="str">
        <f t="shared" ca="1" si="35"/>
        <v>Not Started</v>
      </c>
      <c r="I527" s="21"/>
    </row>
    <row r="528" spans="1:9" x14ac:dyDescent="0.35">
      <c r="A528" s="46" t="s">
        <v>224</v>
      </c>
      <c r="B528" s="46" t="s">
        <v>186</v>
      </c>
      <c r="C528" s="47" t="str">
        <f>Matrix!CI7</f>
        <v>NS</v>
      </c>
      <c r="D528" s="48">
        <f>IFERROR(VLOOKUP(B528,'Renewal Rules'!$A:$B,2,FALSE),"")</f>
        <v>36</v>
      </c>
      <c r="E528" s="47" t="str">
        <f t="shared" si="32"/>
        <v/>
      </c>
      <c r="F528" s="48" t="str">
        <f t="shared" ca="1" si="33"/>
        <v/>
      </c>
      <c r="G528" s="46" t="str">
        <f t="shared" ca="1" si="34"/>
        <v>RED</v>
      </c>
      <c r="H528" s="46" t="str">
        <f t="shared" ca="1" si="35"/>
        <v>Not Started</v>
      </c>
      <c r="I528" s="21"/>
    </row>
    <row r="529" spans="1:9" x14ac:dyDescent="0.35">
      <c r="A529" s="46" t="s">
        <v>224</v>
      </c>
      <c r="B529" s="46" t="s">
        <v>187</v>
      </c>
      <c r="C529" s="47" t="str">
        <f>Matrix!CJ7</f>
        <v>NS</v>
      </c>
      <c r="D529" s="48">
        <f>IFERROR(VLOOKUP(B529,'Renewal Rules'!$A:$B,2,FALSE),"")</f>
        <v>12</v>
      </c>
      <c r="E529" s="47" t="str">
        <f t="shared" si="32"/>
        <v/>
      </c>
      <c r="F529" s="48" t="str">
        <f t="shared" ca="1" si="33"/>
        <v/>
      </c>
      <c r="G529" s="46" t="str">
        <f t="shared" ca="1" si="34"/>
        <v>RED</v>
      </c>
      <c r="H529" s="46" t="str">
        <f t="shared" ca="1" si="35"/>
        <v>Not Started</v>
      </c>
      <c r="I529" s="21"/>
    </row>
    <row r="530" spans="1:9" x14ac:dyDescent="0.35">
      <c r="A530" s="46" t="s">
        <v>224</v>
      </c>
      <c r="B530" s="46" t="s">
        <v>188</v>
      </c>
      <c r="C530" s="47" t="str">
        <f>Matrix!CK7</f>
        <v>NS</v>
      </c>
      <c r="D530" s="48">
        <f>IFERROR(VLOOKUP(B530,'Renewal Rules'!$A:$B,2,FALSE),"")</f>
        <v>36</v>
      </c>
      <c r="E530" s="47" t="str">
        <f t="shared" si="32"/>
        <v/>
      </c>
      <c r="F530" s="48" t="str">
        <f t="shared" ca="1" si="33"/>
        <v/>
      </c>
      <c r="G530" s="46" t="str">
        <f t="shared" ca="1" si="34"/>
        <v>RED</v>
      </c>
      <c r="H530" s="46" t="str">
        <f t="shared" ca="1" si="35"/>
        <v>Not Started</v>
      </c>
      <c r="I530" s="21"/>
    </row>
    <row r="531" spans="1:9" x14ac:dyDescent="0.35">
      <c r="A531" s="46" t="s">
        <v>224</v>
      </c>
      <c r="B531" s="46" t="s">
        <v>189</v>
      </c>
      <c r="C531" s="47" t="str">
        <f>Matrix!CL7</f>
        <v>NS</v>
      </c>
      <c r="D531" s="48">
        <f>IFERROR(VLOOKUP(B531,'Renewal Rules'!$A:$B,2,FALSE),"")</f>
        <v>36</v>
      </c>
      <c r="E531" s="47" t="str">
        <f t="shared" si="32"/>
        <v/>
      </c>
      <c r="F531" s="48" t="str">
        <f t="shared" ca="1" si="33"/>
        <v/>
      </c>
      <c r="G531" s="46" t="str">
        <f t="shared" ca="1" si="34"/>
        <v>RED</v>
      </c>
      <c r="H531" s="46" t="str">
        <f t="shared" ca="1" si="35"/>
        <v>Not Started</v>
      </c>
      <c r="I531" s="21"/>
    </row>
    <row r="532" spans="1:9" x14ac:dyDescent="0.35">
      <c r="A532" s="46" t="s">
        <v>224</v>
      </c>
      <c r="B532" s="46" t="s">
        <v>190</v>
      </c>
      <c r="C532" s="47" t="str">
        <f>Matrix!CM7</f>
        <v>NS</v>
      </c>
      <c r="D532" s="48">
        <f>IFERROR(VLOOKUP(B532,'Renewal Rules'!$A:$B,2,FALSE),"")</f>
        <v>12</v>
      </c>
      <c r="E532" s="47" t="str">
        <f t="shared" si="32"/>
        <v/>
      </c>
      <c r="F532" s="48" t="str">
        <f t="shared" ca="1" si="33"/>
        <v/>
      </c>
      <c r="G532" s="46" t="str">
        <f t="shared" ca="1" si="34"/>
        <v>RED</v>
      </c>
      <c r="H532" s="46" t="str">
        <f t="shared" ca="1" si="35"/>
        <v>Not Started</v>
      </c>
      <c r="I532" s="21"/>
    </row>
    <row r="533" spans="1:9" x14ac:dyDescent="0.35">
      <c r="A533" s="46" t="s">
        <v>224</v>
      </c>
      <c r="B533" s="46" t="s">
        <v>191</v>
      </c>
      <c r="C533" s="47" t="str">
        <f>Matrix!CN7</f>
        <v>NS</v>
      </c>
      <c r="D533" s="48">
        <f>IFERROR(VLOOKUP(B533,'Renewal Rules'!$A:$B,2,FALSE),"")</f>
        <v>36</v>
      </c>
      <c r="E533" s="47" t="str">
        <f t="shared" si="32"/>
        <v/>
      </c>
      <c r="F533" s="48" t="str">
        <f t="shared" ca="1" si="33"/>
        <v/>
      </c>
      <c r="G533" s="46" t="str">
        <f t="shared" ca="1" si="34"/>
        <v>RED</v>
      </c>
      <c r="H533" s="46" t="str">
        <f t="shared" ca="1" si="35"/>
        <v>Not Started</v>
      </c>
      <c r="I533" s="21"/>
    </row>
    <row r="534" spans="1:9" x14ac:dyDescent="0.35">
      <c r="A534" s="46" t="s">
        <v>224</v>
      </c>
      <c r="B534" s="46" t="s">
        <v>192</v>
      </c>
      <c r="C534" s="47" t="str">
        <f>Matrix!CO7</f>
        <v>NS</v>
      </c>
      <c r="D534" s="48">
        <f>IFERROR(VLOOKUP(B534,'Renewal Rules'!$A:$B,2,FALSE),"")</f>
        <v>12</v>
      </c>
      <c r="E534" s="47" t="str">
        <f t="shared" si="32"/>
        <v/>
      </c>
      <c r="F534" s="48" t="str">
        <f t="shared" ca="1" si="33"/>
        <v/>
      </c>
      <c r="G534" s="46" t="str">
        <f t="shared" ca="1" si="34"/>
        <v>RED</v>
      </c>
      <c r="H534" s="46" t="str">
        <f t="shared" ca="1" si="35"/>
        <v>Not Started</v>
      </c>
      <c r="I534" s="21"/>
    </row>
    <row r="535" spans="1:9" ht="12.9" customHeight="1" x14ac:dyDescent="0.35">
      <c r="A535" s="46" t="s">
        <v>224</v>
      </c>
      <c r="B535" s="46" t="s">
        <v>193</v>
      </c>
      <c r="C535" s="47" t="str">
        <f>Matrix!CP7</f>
        <v>NS</v>
      </c>
      <c r="D535" s="48">
        <f>IFERROR(VLOOKUP(B535,'Renewal Rules'!$A:$B,2,FALSE),"")</f>
        <v>12</v>
      </c>
      <c r="E535" s="47" t="str">
        <f t="shared" si="32"/>
        <v/>
      </c>
      <c r="F535" s="48" t="str">
        <f t="shared" ca="1" si="33"/>
        <v/>
      </c>
      <c r="G535" s="46" t="str">
        <f t="shared" ca="1" si="34"/>
        <v>RED</v>
      </c>
      <c r="H535" s="46" t="str">
        <f t="shared" ca="1" si="35"/>
        <v>Not Started</v>
      </c>
      <c r="I535" s="21"/>
    </row>
    <row r="536" spans="1:9" x14ac:dyDescent="0.35">
      <c r="A536" s="46" t="s">
        <v>224</v>
      </c>
      <c r="B536" s="46" t="s">
        <v>194</v>
      </c>
      <c r="C536" s="47" t="str">
        <f>Matrix!CQ7</f>
        <v>NS</v>
      </c>
      <c r="D536" s="48">
        <f>IFERROR(VLOOKUP(B536,'Renewal Rules'!$A:$B,2,FALSE),"")</f>
        <v>36</v>
      </c>
      <c r="E536" s="47" t="str">
        <f t="shared" si="32"/>
        <v/>
      </c>
      <c r="F536" s="48" t="str">
        <f t="shared" ca="1" si="33"/>
        <v/>
      </c>
      <c r="G536" s="46" t="str">
        <f t="shared" ca="1" si="34"/>
        <v>RED</v>
      </c>
      <c r="H536" s="46" t="str">
        <f t="shared" ca="1" si="35"/>
        <v>Not Started</v>
      </c>
      <c r="I536" s="21"/>
    </row>
    <row r="537" spans="1:9" ht="12.9" customHeight="1" x14ac:dyDescent="0.35">
      <c r="A537" s="46" t="s">
        <v>224</v>
      </c>
      <c r="B537" s="46" t="s">
        <v>195</v>
      </c>
      <c r="C537" s="47" t="str">
        <f>Matrix!CR7</f>
        <v>NS</v>
      </c>
      <c r="D537" s="48">
        <f>IFERROR(VLOOKUP(B537,'Renewal Rules'!$A:$B,2,FALSE),"")</f>
        <v>36</v>
      </c>
      <c r="E537" s="47" t="str">
        <f t="shared" si="32"/>
        <v/>
      </c>
      <c r="F537" s="48" t="str">
        <f t="shared" ca="1" si="33"/>
        <v/>
      </c>
      <c r="G537" s="46" t="str">
        <f t="shared" ca="1" si="34"/>
        <v>RED</v>
      </c>
      <c r="H537" s="46" t="str">
        <f t="shared" ca="1" si="35"/>
        <v>Not Started</v>
      </c>
      <c r="I537" s="21"/>
    </row>
    <row r="538" spans="1:9" x14ac:dyDescent="0.35">
      <c r="A538" s="46" t="s">
        <v>224</v>
      </c>
      <c r="B538" s="46" t="s">
        <v>196</v>
      </c>
      <c r="C538" s="47" t="str">
        <f>Matrix!CS7</f>
        <v>NS</v>
      </c>
      <c r="D538" s="48">
        <f>IFERROR(VLOOKUP(B538,'Renewal Rules'!$A:$B,2,FALSE),"")</f>
        <v>36</v>
      </c>
      <c r="E538" s="47" t="str">
        <f t="shared" si="32"/>
        <v/>
      </c>
      <c r="F538" s="48" t="str">
        <f t="shared" ca="1" si="33"/>
        <v/>
      </c>
      <c r="G538" s="46" t="str">
        <f t="shared" ca="1" si="34"/>
        <v>RED</v>
      </c>
      <c r="H538" s="46" t="str">
        <f t="shared" ca="1" si="35"/>
        <v>Not Started</v>
      </c>
      <c r="I538" s="21"/>
    </row>
    <row r="539" spans="1:9" x14ac:dyDescent="0.35">
      <c r="A539" s="46" t="s">
        <v>224</v>
      </c>
      <c r="B539" s="46" t="s">
        <v>197</v>
      </c>
      <c r="C539" s="47" t="str">
        <f>Matrix!CT7</f>
        <v>NS</v>
      </c>
      <c r="D539" s="48">
        <f>IFERROR(VLOOKUP(B539,'Renewal Rules'!$A:$B,2,FALSE),"")</f>
        <v>12</v>
      </c>
      <c r="E539" s="47" t="str">
        <f t="shared" si="32"/>
        <v/>
      </c>
      <c r="F539" s="48" t="str">
        <f t="shared" ca="1" si="33"/>
        <v/>
      </c>
      <c r="G539" s="46" t="str">
        <f t="shared" ca="1" si="34"/>
        <v>RED</v>
      </c>
      <c r="H539" s="46" t="str">
        <f t="shared" ca="1" si="35"/>
        <v>Not Started</v>
      </c>
      <c r="I539" s="21"/>
    </row>
    <row r="540" spans="1:9" x14ac:dyDescent="0.35">
      <c r="A540" s="46" t="s">
        <v>224</v>
      </c>
      <c r="B540" s="46" t="s">
        <v>198</v>
      </c>
      <c r="C540" s="47" t="str">
        <f>Matrix!CU7</f>
        <v>NS</v>
      </c>
      <c r="D540" s="48">
        <f>IFERROR(VLOOKUP(B540,'Renewal Rules'!$A:$B,2,FALSE),"")</f>
        <v>12</v>
      </c>
      <c r="E540" s="47" t="str">
        <f t="shared" si="32"/>
        <v/>
      </c>
      <c r="F540" s="48" t="str">
        <f t="shared" ca="1" si="33"/>
        <v/>
      </c>
      <c r="G540" s="46" t="str">
        <f t="shared" ca="1" si="34"/>
        <v>RED</v>
      </c>
      <c r="H540" s="46" t="str">
        <f t="shared" ca="1" si="35"/>
        <v>Not Started</v>
      </c>
      <c r="I540" s="21"/>
    </row>
    <row r="541" spans="1:9" x14ac:dyDescent="0.35">
      <c r="A541" s="46" t="s">
        <v>224</v>
      </c>
      <c r="B541" s="46" t="s">
        <v>199</v>
      </c>
      <c r="C541" s="47" t="str">
        <f>Matrix!CV7</f>
        <v>NS</v>
      </c>
      <c r="D541" s="48">
        <f>IFERROR(VLOOKUP(B541,'Renewal Rules'!$A:$B,2,FALSE),"")</f>
        <v>12</v>
      </c>
      <c r="E541" s="47" t="str">
        <f t="shared" si="32"/>
        <v/>
      </c>
      <c r="F541" s="48" t="str">
        <f t="shared" ca="1" si="33"/>
        <v/>
      </c>
      <c r="G541" s="46" t="str">
        <f t="shared" ca="1" si="34"/>
        <v>RED</v>
      </c>
      <c r="H541" s="46" t="str">
        <f t="shared" ca="1" si="35"/>
        <v>Not Started</v>
      </c>
      <c r="I541" s="21"/>
    </row>
    <row r="542" spans="1:9" ht="12.9" customHeight="1" x14ac:dyDescent="0.35">
      <c r="A542" s="46" t="s">
        <v>224</v>
      </c>
      <c r="B542" s="46" t="s">
        <v>200</v>
      </c>
      <c r="C542" s="47" t="str">
        <f>Matrix!CW7</f>
        <v>NS</v>
      </c>
      <c r="D542" s="48">
        <f>IFERROR(VLOOKUP(B542,'Renewal Rules'!$A:$B,2,FALSE),"")</f>
        <v>12</v>
      </c>
      <c r="E542" s="47" t="str">
        <f t="shared" si="32"/>
        <v/>
      </c>
      <c r="F542" s="48" t="str">
        <f t="shared" ca="1" si="33"/>
        <v/>
      </c>
      <c r="G542" s="46" t="str">
        <f t="shared" ca="1" si="34"/>
        <v>RED</v>
      </c>
      <c r="H542" s="46" t="str">
        <f t="shared" ca="1" si="35"/>
        <v>Not Started</v>
      </c>
      <c r="I542" s="21"/>
    </row>
    <row r="543" spans="1:9" x14ac:dyDescent="0.35">
      <c r="A543" s="46" t="s">
        <v>224</v>
      </c>
      <c r="B543" s="46" t="s">
        <v>201</v>
      </c>
      <c r="C543" s="47" t="str">
        <f>Matrix!CX7</f>
        <v>NS</v>
      </c>
      <c r="D543" s="48">
        <f>IFERROR(VLOOKUP(B543,'Renewal Rules'!$A:$B,2,FALSE),"")</f>
        <v>12</v>
      </c>
      <c r="E543" s="47" t="str">
        <f t="shared" si="32"/>
        <v/>
      </c>
      <c r="F543" s="48" t="str">
        <f t="shared" ca="1" si="33"/>
        <v/>
      </c>
      <c r="G543" s="46" t="str">
        <f t="shared" ca="1" si="34"/>
        <v>RED</v>
      </c>
      <c r="H543" s="46" t="str">
        <f t="shared" ca="1" si="35"/>
        <v>Not Started</v>
      </c>
      <c r="I543" s="21"/>
    </row>
    <row r="544" spans="1:9" x14ac:dyDescent="0.35">
      <c r="A544" s="46" t="s">
        <v>224</v>
      </c>
      <c r="B544" s="46" t="s">
        <v>202</v>
      </c>
      <c r="C544" s="47" t="str">
        <f>Matrix!CY7</f>
        <v>NS</v>
      </c>
      <c r="D544" s="48">
        <f>IFERROR(VLOOKUP(B544,'Renewal Rules'!$A:$B,2,FALSE),"")</f>
        <v>36</v>
      </c>
      <c r="E544" s="47" t="str">
        <f t="shared" si="32"/>
        <v/>
      </c>
      <c r="F544" s="48" t="str">
        <f t="shared" ca="1" si="33"/>
        <v/>
      </c>
      <c r="G544" s="46" t="str">
        <f t="shared" ca="1" si="34"/>
        <v>RED</v>
      </c>
      <c r="H544" s="46" t="str">
        <f t="shared" ca="1" si="35"/>
        <v>Not Started</v>
      </c>
      <c r="I544" s="21"/>
    </row>
    <row r="545" spans="1:9" ht="12.9" customHeight="1" x14ac:dyDescent="0.35">
      <c r="A545" s="46" t="s">
        <v>224</v>
      </c>
      <c r="B545" s="46" t="s">
        <v>203</v>
      </c>
      <c r="C545" s="47" t="str">
        <f>Matrix!CZ7</f>
        <v>NS</v>
      </c>
      <c r="D545" s="48">
        <f>IFERROR(VLOOKUP(B545,'Renewal Rules'!$A:$B,2,FALSE),"")</f>
        <v>12</v>
      </c>
      <c r="E545" s="47" t="str">
        <f t="shared" si="32"/>
        <v/>
      </c>
      <c r="F545" s="48" t="str">
        <f t="shared" ca="1" si="33"/>
        <v/>
      </c>
      <c r="G545" s="46" t="str">
        <f t="shared" ca="1" si="34"/>
        <v>RED</v>
      </c>
      <c r="H545" s="46" t="str">
        <f t="shared" ca="1" si="35"/>
        <v>Not Started</v>
      </c>
      <c r="I545" s="21"/>
    </row>
    <row r="546" spans="1:9" x14ac:dyDescent="0.35">
      <c r="A546" s="46" t="s">
        <v>224</v>
      </c>
      <c r="B546" s="46" t="s">
        <v>204</v>
      </c>
      <c r="C546" s="47" t="str">
        <f>Matrix!DA7</f>
        <v>23/02/2026</v>
      </c>
      <c r="D546" s="48">
        <f>IFERROR(VLOOKUP(B546,'Renewal Rules'!$A:$B,2,FALSE),"")</f>
        <v>12</v>
      </c>
      <c r="E546" s="47">
        <f t="shared" si="32"/>
        <v>46441</v>
      </c>
      <c r="F546" s="48">
        <f t="shared" ca="1" si="33"/>
        <v>238</v>
      </c>
      <c r="G546" s="46" t="str">
        <f t="shared" ca="1" si="34"/>
        <v>GREEN</v>
      </c>
      <c r="H546" s="46" t="str">
        <f t="shared" ca="1" si="35"/>
        <v>Current</v>
      </c>
      <c r="I546" s="21"/>
    </row>
    <row r="547" spans="1:9" x14ac:dyDescent="0.35">
      <c r="A547" s="46" t="s">
        <v>224</v>
      </c>
      <c r="B547" s="46" t="s">
        <v>205</v>
      </c>
      <c r="C547" s="47" t="str">
        <f>Matrix!DB7</f>
        <v>23/02/2026</v>
      </c>
      <c r="D547" s="48">
        <f>IFERROR(VLOOKUP(B547,'Renewal Rules'!$A:$B,2,FALSE),"")</f>
        <v>36</v>
      </c>
      <c r="E547" s="47">
        <f t="shared" si="32"/>
        <v>47172</v>
      </c>
      <c r="F547" s="48">
        <f t="shared" ca="1" si="33"/>
        <v>969</v>
      </c>
      <c r="G547" s="46" t="str">
        <f t="shared" ca="1" si="34"/>
        <v>GREEN</v>
      </c>
      <c r="H547" s="46" t="str">
        <f t="shared" ca="1" si="35"/>
        <v>Current</v>
      </c>
      <c r="I547" s="21"/>
    </row>
    <row r="548" spans="1:9" x14ac:dyDescent="0.35">
      <c r="A548" s="46" t="s">
        <v>224</v>
      </c>
      <c r="B548" s="46" t="s">
        <v>94</v>
      </c>
      <c r="C548" s="47">
        <f>Matrix!DC7</f>
        <v>46001</v>
      </c>
      <c r="D548" s="48">
        <f>IFERROR(VLOOKUP(B548,'Renewal Rules'!$A:$B,2,FALSE),"")</f>
        <v>12</v>
      </c>
      <c r="E548" s="47">
        <f t="shared" si="32"/>
        <v>46366</v>
      </c>
      <c r="F548" s="48">
        <f t="shared" ca="1" si="33"/>
        <v>163</v>
      </c>
      <c r="G548" s="46" t="str">
        <f t="shared" ca="1" si="34"/>
        <v>GREEN</v>
      </c>
      <c r="H548" s="46" t="str">
        <f t="shared" ca="1" si="35"/>
        <v>Current</v>
      </c>
      <c r="I548" s="21"/>
    </row>
    <row r="549" spans="1:9" x14ac:dyDescent="0.35">
      <c r="A549" s="46" t="s">
        <v>224</v>
      </c>
      <c r="B549" s="46" t="s">
        <v>206</v>
      </c>
      <c r="C549" s="47" t="str">
        <f>Matrix!DD7</f>
        <v>NS</v>
      </c>
      <c r="D549" s="48">
        <f>IFERROR(VLOOKUP(B549,'Renewal Rules'!$A:$B,2,FALSE),"")</f>
        <v>36</v>
      </c>
      <c r="E549" s="47" t="str">
        <f t="shared" si="32"/>
        <v/>
      </c>
      <c r="F549" s="48" t="str">
        <f t="shared" ca="1" si="33"/>
        <v/>
      </c>
      <c r="G549" s="46" t="str">
        <f t="shared" ca="1" si="34"/>
        <v>RED</v>
      </c>
      <c r="H549" s="46" t="str">
        <f t="shared" ca="1" si="35"/>
        <v>Not Started</v>
      </c>
      <c r="I549" s="21"/>
    </row>
    <row r="550" spans="1:9" x14ac:dyDescent="0.35">
      <c r="A550" s="46" t="s">
        <v>224</v>
      </c>
      <c r="B550" s="46" t="s">
        <v>207</v>
      </c>
      <c r="C550" s="47" t="str">
        <f>Matrix!DE7</f>
        <v>23/02/2026</v>
      </c>
      <c r="D550" s="48">
        <f>IFERROR(VLOOKUP(B550,'Renewal Rules'!$A:$B,2,FALSE),"")</f>
        <v>36</v>
      </c>
      <c r="E550" s="47">
        <f t="shared" si="32"/>
        <v>47172</v>
      </c>
      <c r="F550" s="48">
        <f t="shared" ca="1" si="33"/>
        <v>969</v>
      </c>
      <c r="G550" s="46" t="str">
        <f t="shared" ca="1" si="34"/>
        <v>GREEN</v>
      </c>
      <c r="H550" s="46" t="str">
        <f t="shared" ca="1" si="35"/>
        <v>Current</v>
      </c>
      <c r="I550" s="21"/>
    </row>
    <row r="551" spans="1:9" x14ac:dyDescent="0.35">
      <c r="A551" s="46" t="s">
        <v>224</v>
      </c>
      <c r="B551" s="46" t="s">
        <v>208</v>
      </c>
      <c r="C551" s="47" t="str">
        <f>Matrix!DF7</f>
        <v>NS</v>
      </c>
      <c r="D551" s="48">
        <f>IFERROR(VLOOKUP(B551,'Renewal Rules'!$A:$B,2,FALSE),"")</f>
        <v>36</v>
      </c>
      <c r="E551" s="47" t="str">
        <f t="shared" si="32"/>
        <v/>
      </c>
      <c r="F551" s="48" t="str">
        <f t="shared" ca="1" si="33"/>
        <v/>
      </c>
      <c r="G551" s="46" t="str">
        <f t="shared" ca="1" si="34"/>
        <v>RED</v>
      </c>
      <c r="H551" s="46" t="str">
        <f t="shared" ca="1" si="35"/>
        <v>Not Started</v>
      </c>
      <c r="I551" s="21"/>
    </row>
    <row r="552" spans="1:9" x14ac:dyDescent="0.35">
      <c r="A552" s="46" t="s">
        <v>224</v>
      </c>
      <c r="B552" s="46" t="s">
        <v>104</v>
      </c>
      <c r="C552" s="47" t="str">
        <f>Matrix!DG7</f>
        <v>NS</v>
      </c>
      <c r="D552" s="48">
        <f>IFERROR(VLOOKUP(B552,'Renewal Rules'!$A:$B,2,FALSE),"")</f>
        <v>12</v>
      </c>
      <c r="E552" s="47" t="str">
        <f t="shared" si="32"/>
        <v/>
      </c>
      <c r="F552" s="48" t="str">
        <f t="shared" ca="1" si="33"/>
        <v/>
      </c>
      <c r="G552" s="46" t="str">
        <f t="shared" ca="1" si="34"/>
        <v>RED</v>
      </c>
      <c r="H552" s="46" t="str">
        <f t="shared" ca="1" si="35"/>
        <v>Not Started</v>
      </c>
      <c r="I552" s="21"/>
    </row>
    <row r="553" spans="1:9" x14ac:dyDescent="0.35">
      <c r="A553" s="46" t="s">
        <v>232</v>
      </c>
      <c r="B553" s="46" t="s">
        <v>111</v>
      </c>
      <c r="C553" s="47" t="str">
        <f>Matrix!B8</f>
        <v>NS</v>
      </c>
      <c r="D553" s="48">
        <f>IFERROR(VLOOKUP(B553,'Renewal Rules'!$A:$B,2,FALSE),"")</f>
        <v>36</v>
      </c>
      <c r="E553" s="47" t="str">
        <f t="shared" si="32"/>
        <v/>
      </c>
      <c r="F553" s="48" t="str">
        <f t="shared" ca="1" si="33"/>
        <v/>
      </c>
      <c r="G553" s="46" t="str">
        <f t="shared" ca="1" si="34"/>
        <v>RED</v>
      </c>
      <c r="H553" s="46" t="str">
        <f t="shared" ca="1" si="35"/>
        <v>Not Started</v>
      </c>
      <c r="I553" s="21"/>
    </row>
    <row r="554" spans="1:9" x14ac:dyDescent="0.35">
      <c r="A554" s="46" t="s">
        <v>232</v>
      </c>
      <c r="B554" s="46" t="s">
        <v>100</v>
      </c>
      <c r="C554" s="47" t="str">
        <f>Matrix!C8</f>
        <v>22/02/2026</v>
      </c>
      <c r="D554" s="48">
        <f>IFERROR(VLOOKUP(B554,'Renewal Rules'!$A:$B,2,FALSE),"")</f>
        <v>36</v>
      </c>
      <c r="E554" s="47">
        <f t="shared" si="32"/>
        <v>47171</v>
      </c>
      <c r="F554" s="48">
        <f t="shared" ca="1" si="33"/>
        <v>968</v>
      </c>
      <c r="G554" s="46" t="str">
        <f t="shared" ca="1" si="34"/>
        <v>GREEN</v>
      </c>
      <c r="H554" s="46" t="str">
        <f t="shared" ca="1" si="35"/>
        <v>Current</v>
      </c>
      <c r="I554" s="21"/>
    </row>
    <row r="555" spans="1:9" x14ac:dyDescent="0.35">
      <c r="A555" s="46" t="s">
        <v>232</v>
      </c>
      <c r="B555" s="46" t="s">
        <v>112</v>
      </c>
      <c r="C555" s="47">
        <f>Matrix!D8</f>
        <v>46199</v>
      </c>
      <c r="D555" s="48">
        <f>IFERROR(VLOOKUP(B555,'Renewal Rules'!$A:$B,2,FALSE),"")</f>
        <v>12</v>
      </c>
      <c r="E555" s="47">
        <f t="shared" si="32"/>
        <v>46564</v>
      </c>
      <c r="F555" s="48">
        <f t="shared" ca="1" si="33"/>
        <v>361</v>
      </c>
      <c r="G555" s="46" t="str">
        <f t="shared" ca="1" si="34"/>
        <v>GREEN</v>
      </c>
      <c r="H555" s="46" t="str">
        <f t="shared" ca="1" si="35"/>
        <v>Current</v>
      </c>
      <c r="I555" s="21"/>
    </row>
    <row r="556" spans="1:9" x14ac:dyDescent="0.35">
      <c r="A556" s="46" t="s">
        <v>232</v>
      </c>
      <c r="B556" s="46" t="s">
        <v>96</v>
      </c>
      <c r="C556" s="47" t="str">
        <f>Matrix!E8</f>
        <v>22/02/2026</v>
      </c>
      <c r="D556" s="48">
        <f>IFERROR(VLOOKUP(B556,'Renewal Rules'!$A:$B,2,FALSE),"")</f>
        <v>36</v>
      </c>
      <c r="E556" s="47">
        <f t="shared" si="32"/>
        <v>47171</v>
      </c>
      <c r="F556" s="48">
        <f t="shared" ca="1" si="33"/>
        <v>968</v>
      </c>
      <c r="G556" s="46" t="str">
        <f t="shared" ca="1" si="34"/>
        <v>GREEN</v>
      </c>
      <c r="H556" s="46" t="str">
        <f t="shared" ca="1" si="35"/>
        <v>Current</v>
      </c>
      <c r="I556" s="21"/>
    </row>
    <row r="557" spans="1:9" x14ac:dyDescent="0.35">
      <c r="A557" s="46" t="s">
        <v>232</v>
      </c>
      <c r="B557" s="46" t="s">
        <v>113</v>
      </c>
      <c r="C557" s="47" t="str">
        <f>Matrix!F8</f>
        <v>NS</v>
      </c>
      <c r="D557" s="48">
        <f>IFERROR(VLOOKUP(B557,'Renewal Rules'!$A:$B,2,FALSE),"")</f>
        <v>36</v>
      </c>
      <c r="E557" s="47" t="str">
        <f t="shared" si="32"/>
        <v/>
      </c>
      <c r="F557" s="48" t="str">
        <f t="shared" ca="1" si="33"/>
        <v/>
      </c>
      <c r="G557" s="46" t="str">
        <f t="shared" ca="1" si="34"/>
        <v>RED</v>
      </c>
      <c r="H557" s="46" t="str">
        <f t="shared" ca="1" si="35"/>
        <v>Not Started</v>
      </c>
      <c r="I557" s="21"/>
    </row>
    <row r="558" spans="1:9" x14ac:dyDescent="0.35">
      <c r="A558" s="46" t="s">
        <v>232</v>
      </c>
      <c r="B558" s="46" t="s">
        <v>114</v>
      </c>
      <c r="C558" s="47">
        <f>Matrix!G8</f>
        <v>46201</v>
      </c>
      <c r="D558" s="48">
        <f>IFERROR(VLOOKUP(B558,'Renewal Rules'!$A:$B,2,FALSE),"")</f>
        <v>12</v>
      </c>
      <c r="E558" s="47">
        <f t="shared" si="32"/>
        <v>46566</v>
      </c>
      <c r="F558" s="48">
        <f t="shared" ca="1" si="33"/>
        <v>363</v>
      </c>
      <c r="G558" s="46" t="str">
        <f t="shared" ca="1" si="34"/>
        <v>GREEN</v>
      </c>
      <c r="H558" s="46" t="str">
        <f t="shared" ca="1" si="35"/>
        <v>Current</v>
      </c>
      <c r="I558" s="21"/>
    </row>
    <row r="559" spans="1:9" x14ac:dyDescent="0.35">
      <c r="A559" s="46" t="s">
        <v>232</v>
      </c>
      <c r="B559" s="46" t="s">
        <v>115</v>
      </c>
      <c r="C559" s="47" t="str">
        <f>Matrix!H8</f>
        <v>NS</v>
      </c>
      <c r="D559" s="48">
        <f>IFERROR(VLOOKUP(B559,'Renewal Rules'!$A:$B,2,FALSE),"")</f>
        <v>36</v>
      </c>
      <c r="E559" s="47" t="str">
        <f t="shared" si="32"/>
        <v/>
      </c>
      <c r="F559" s="48" t="str">
        <f t="shared" ca="1" si="33"/>
        <v/>
      </c>
      <c r="G559" s="46" t="str">
        <f t="shared" ca="1" si="34"/>
        <v>RED</v>
      </c>
      <c r="H559" s="46" t="str">
        <f t="shared" ca="1" si="35"/>
        <v>Not Started</v>
      </c>
      <c r="I559" s="21"/>
    </row>
    <row r="560" spans="1:9" x14ac:dyDescent="0.35">
      <c r="A560" s="46" t="s">
        <v>232</v>
      </c>
      <c r="B560" s="46" t="s">
        <v>116</v>
      </c>
      <c r="C560" s="47" t="str">
        <f>Matrix!I8</f>
        <v>NS</v>
      </c>
      <c r="D560" s="48">
        <f>IFERROR(VLOOKUP(B560,'Renewal Rules'!$A:$B,2,FALSE),"")</f>
        <v>36</v>
      </c>
      <c r="E560" s="47" t="str">
        <f t="shared" si="32"/>
        <v/>
      </c>
      <c r="F560" s="48" t="str">
        <f t="shared" ca="1" si="33"/>
        <v/>
      </c>
      <c r="G560" s="46" t="str">
        <f t="shared" ca="1" si="34"/>
        <v>RED</v>
      </c>
      <c r="H560" s="46" t="str">
        <f t="shared" ca="1" si="35"/>
        <v>Not Started</v>
      </c>
      <c r="I560" s="21"/>
    </row>
    <row r="561" spans="1:9" x14ac:dyDescent="0.35">
      <c r="A561" s="46" t="s">
        <v>232</v>
      </c>
      <c r="B561" s="46" t="s">
        <v>117</v>
      </c>
      <c r="C561" s="47" t="str">
        <f>Matrix!J8</f>
        <v>11/02/2026</v>
      </c>
      <c r="D561" s="48">
        <f>IFERROR(VLOOKUP(B561,'Renewal Rules'!$A:$B,2,FALSE),"")</f>
        <v>12</v>
      </c>
      <c r="E561" s="47">
        <f t="shared" si="32"/>
        <v>46429</v>
      </c>
      <c r="F561" s="48">
        <f t="shared" ca="1" si="33"/>
        <v>226</v>
      </c>
      <c r="G561" s="46" t="str">
        <f t="shared" ca="1" si="34"/>
        <v>GREEN</v>
      </c>
      <c r="H561" s="46" t="str">
        <f t="shared" ca="1" si="35"/>
        <v>Current</v>
      </c>
      <c r="I561" s="21"/>
    </row>
    <row r="562" spans="1:9" x14ac:dyDescent="0.35">
      <c r="A562" s="46" t="s">
        <v>232</v>
      </c>
      <c r="B562" s="46" t="s">
        <v>118</v>
      </c>
      <c r="C562" s="47" t="str">
        <f>Matrix!K8</f>
        <v>NS</v>
      </c>
      <c r="D562" s="48">
        <f>IFERROR(VLOOKUP(B562,'Renewal Rules'!$A:$B,2,FALSE),"")</f>
        <v>36</v>
      </c>
      <c r="E562" s="47" t="str">
        <f t="shared" si="32"/>
        <v/>
      </c>
      <c r="F562" s="48" t="str">
        <f t="shared" ca="1" si="33"/>
        <v/>
      </c>
      <c r="G562" s="46" t="str">
        <f t="shared" ca="1" si="34"/>
        <v>RED</v>
      </c>
      <c r="H562" s="46" t="str">
        <f t="shared" ca="1" si="35"/>
        <v>Not Started</v>
      </c>
      <c r="I562" s="21"/>
    </row>
    <row r="563" spans="1:9" x14ac:dyDescent="0.35">
      <c r="A563" s="46" t="s">
        <v>232</v>
      </c>
      <c r="B563" s="46" t="s">
        <v>119</v>
      </c>
      <c r="C563" s="47" t="str">
        <f>Matrix!L8</f>
        <v>NS</v>
      </c>
      <c r="D563" s="48">
        <f>IFERROR(VLOOKUP(B563,'Renewal Rules'!$A:$B,2,FALSE),"")</f>
        <v>12</v>
      </c>
      <c r="E563" s="47" t="str">
        <f t="shared" si="32"/>
        <v/>
      </c>
      <c r="F563" s="48" t="str">
        <f t="shared" ca="1" si="33"/>
        <v/>
      </c>
      <c r="G563" s="46" t="str">
        <f t="shared" ca="1" si="34"/>
        <v>RED</v>
      </c>
      <c r="H563" s="46" t="str">
        <f t="shared" ca="1" si="35"/>
        <v>Not Started</v>
      </c>
      <c r="I563" s="21"/>
    </row>
    <row r="564" spans="1:9" x14ac:dyDescent="0.35">
      <c r="A564" s="46" t="s">
        <v>232</v>
      </c>
      <c r="B564" s="46" t="s">
        <v>120</v>
      </c>
      <c r="C564" s="47">
        <f>Matrix!M8</f>
        <v>46195</v>
      </c>
      <c r="D564" s="48">
        <f>IFERROR(VLOOKUP(B564,'Renewal Rules'!$A:$B,2,FALSE),"")</f>
        <v>12</v>
      </c>
      <c r="E564" s="47">
        <f t="shared" si="32"/>
        <v>46560</v>
      </c>
      <c r="F564" s="48">
        <f t="shared" ca="1" si="33"/>
        <v>357</v>
      </c>
      <c r="G564" s="46" t="str">
        <f t="shared" ca="1" si="34"/>
        <v>GREEN</v>
      </c>
      <c r="H564" s="46" t="str">
        <f t="shared" ca="1" si="35"/>
        <v>Current</v>
      </c>
      <c r="I564" s="21"/>
    </row>
    <row r="565" spans="1:9" x14ac:dyDescent="0.35">
      <c r="A565" s="46" t="s">
        <v>232</v>
      </c>
      <c r="B565" s="46" t="s">
        <v>121</v>
      </c>
      <c r="C565" s="47" t="str">
        <f>Matrix!N8</f>
        <v>NS</v>
      </c>
      <c r="D565" s="48">
        <f>IFERROR(VLOOKUP(B565,'Renewal Rules'!$A:$B,2,FALSE),"")</f>
        <v>12</v>
      </c>
      <c r="E565" s="47" t="str">
        <f t="shared" si="32"/>
        <v/>
      </c>
      <c r="F565" s="48" t="str">
        <f t="shared" ca="1" si="33"/>
        <v/>
      </c>
      <c r="G565" s="46" t="str">
        <f t="shared" ca="1" si="34"/>
        <v>RED</v>
      </c>
      <c r="H565" s="46" t="str">
        <f t="shared" ca="1" si="35"/>
        <v>Not Started</v>
      </c>
      <c r="I565" s="21"/>
    </row>
    <row r="566" spans="1:9" ht="12.9" customHeight="1" x14ac:dyDescent="0.35">
      <c r="A566" s="46" t="s">
        <v>232</v>
      </c>
      <c r="B566" s="46" t="s">
        <v>103</v>
      </c>
      <c r="C566" s="47" t="str">
        <f>Matrix!O8</f>
        <v>22/02/2026</v>
      </c>
      <c r="D566" s="48">
        <f>IFERROR(VLOOKUP(B566,'Renewal Rules'!$A:$B,2,FALSE),"")</f>
        <v>36</v>
      </c>
      <c r="E566" s="47">
        <f t="shared" si="32"/>
        <v>47171</v>
      </c>
      <c r="F566" s="48">
        <f t="shared" ca="1" si="33"/>
        <v>968</v>
      </c>
      <c r="G566" s="46" t="str">
        <f t="shared" ca="1" si="34"/>
        <v>GREEN</v>
      </c>
      <c r="H566" s="46" t="str">
        <f t="shared" ca="1" si="35"/>
        <v>Current</v>
      </c>
      <c r="I566" s="21"/>
    </row>
    <row r="567" spans="1:9" x14ac:dyDescent="0.35">
      <c r="A567" s="46" t="s">
        <v>232</v>
      </c>
      <c r="B567" s="46" t="s">
        <v>122</v>
      </c>
      <c r="C567" s="47" t="str">
        <f>Matrix!P8</f>
        <v>NS</v>
      </c>
      <c r="D567" s="48">
        <f>IFERROR(VLOOKUP(B567,'Renewal Rules'!$A:$B,2,FALSE),"")</f>
        <v>36</v>
      </c>
      <c r="E567" s="47" t="str">
        <f t="shared" si="32"/>
        <v/>
      </c>
      <c r="F567" s="48" t="str">
        <f t="shared" ca="1" si="33"/>
        <v/>
      </c>
      <c r="G567" s="46" t="str">
        <f t="shared" ca="1" si="34"/>
        <v>RED</v>
      </c>
      <c r="H567" s="46" t="str">
        <f t="shared" ca="1" si="35"/>
        <v>Not Started</v>
      </c>
      <c r="I567" s="21"/>
    </row>
    <row r="568" spans="1:9" x14ac:dyDescent="0.35">
      <c r="A568" s="46" t="s">
        <v>232</v>
      </c>
      <c r="B568" s="46" t="s">
        <v>101</v>
      </c>
      <c r="C568" s="47" t="str">
        <f>Matrix!Q8</f>
        <v>11/02/2026</v>
      </c>
      <c r="D568" s="48">
        <f>IFERROR(VLOOKUP(B568,'Renewal Rules'!$A:$B,2,FALSE),"")</f>
        <v>36</v>
      </c>
      <c r="E568" s="47">
        <f t="shared" si="32"/>
        <v>47160</v>
      </c>
      <c r="F568" s="48">
        <f t="shared" ca="1" si="33"/>
        <v>957</v>
      </c>
      <c r="G568" s="46" t="str">
        <f t="shared" ca="1" si="34"/>
        <v>GREEN</v>
      </c>
      <c r="H568" s="46" t="str">
        <f t="shared" ca="1" si="35"/>
        <v>Current</v>
      </c>
      <c r="I568" s="21"/>
    </row>
    <row r="569" spans="1:9" x14ac:dyDescent="0.35">
      <c r="A569" s="46" t="s">
        <v>232</v>
      </c>
      <c r="B569" s="46" t="s">
        <v>123</v>
      </c>
      <c r="C569" s="47" t="str">
        <f>Matrix!R8</f>
        <v>23/01/2026</v>
      </c>
      <c r="D569" s="48">
        <f>IFERROR(VLOOKUP(B569,'Renewal Rules'!$A:$B,2,FALSE),"")</f>
        <v>12</v>
      </c>
      <c r="E569" s="47">
        <f t="shared" si="32"/>
        <v>46410</v>
      </c>
      <c r="F569" s="48">
        <f t="shared" ca="1" si="33"/>
        <v>207</v>
      </c>
      <c r="G569" s="46" t="str">
        <f t="shared" ca="1" si="34"/>
        <v>GREEN</v>
      </c>
      <c r="H569" s="46" t="str">
        <f t="shared" ca="1" si="35"/>
        <v>Current</v>
      </c>
      <c r="I569" s="21"/>
    </row>
    <row r="570" spans="1:9" x14ac:dyDescent="0.35">
      <c r="A570" s="46" t="s">
        <v>232</v>
      </c>
      <c r="B570" s="46" t="s">
        <v>124</v>
      </c>
      <c r="C570" s="47" t="str">
        <f>Matrix!S8</f>
        <v>NS</v>
      </c>
      <c r="D570" s="48">
        <f>IFERROR(VLOOKUP(B570,'Renewal Rules'!$A:$B,2,FALSE),"")</f>
        <v>12</v>
      </c>
      <c r="E570" s="47" t="str">
        <f t="shared" si="32"/>
        <v/>
      </c>
      <c r="F570" s="48" t="str">
        <f t="shared" ca="1" si="33"/>
        <v/>
      </c>
      <c r="G570" s="46" t="str">
        <f t="shared" ca="1" si="34"/>
        <v>RED</v>
      </c>
      <c r="H570" s="46" t="str">
        <f t="shared" ca="1" si="35"/>
        <v>Not Started</v>
      </c>
      <c r="I570" s="21"/>
    </row>
    <row r="571" spans="1:9" x14ac:dyDescent="0.35">
      <c r="A571" s="46" t="s">
        <v>232</v>
      </c>
      <c r="B571" s="46" t="s">
        <v>125</v>
      </c>
      <c r="C571" s="47">
        <f>Matrix!T8</f>
        <v>46195</v>
      </c>
      <c r="D571" s="48">
        <f>IFERROR(VLOOKUP(B571,'Renewal Rules'!$A:$B,2,FALSE),"")</f>
        <v>12</v>
      </c>
      <c r="E571" s="47">
        <f t="shared" si="32"/>
        <v>46560</v>
      </c>
      <c r="F571" s="48">
        <f t="shared" ca="1" si="33"/>
        <v>357</v>
      </c>
      <c r="G571" s="46" t="str">
        <f t="shared" ca="1" si="34"/>
        <v>GREEN</v>
      </c>
      <c r="H571" s="46" t="str">
        <f t="shared" ca="1" si="35"/>
        <v>Current</v>
      </c>
      <c r="I571" s="21"/>
    </row>
    <row r="572" spans="1:9" x14ac:dyDescent="0.35">
      <c r="A572" s="46" t="s">
        <v>232</v>
      </c>
      <c r="B572" s="46" t="s">
        <v>126</v>
      </c>
      <c r="C572" s="47">
        <f>Matrix!U8</f>
        <v>46193</v>
      </c>
      <c r="D572" s="48">
        <f>IFERROR(VLOOKUP(B572,'Renewal Rules'!$A:$B,2,FALSE),"")</f>
        <v>36</v>
      </c>
      <c r="E572" s="47">
        <f t="shared" si="32"/>
        <v>47289</v>
      </c>
      <c r="F572" s="48">
        <f t="shared" ca="1" si="33"/>
        <v>1086</v>
      </c>
      <c r="G572" s="46" t="str">
        <f t="shared" ca="1" si="34"/>
        <v>GREEN</v>
      </c>
      <c r="H572" s="46" t="str">
        <f t="shared" ca="1" si="35"/>
        <v>Current</v>
      </c>
      <c r="I572" s="21"/>
    </row>
    <row r="573" spans="1:9" x14ac:dyDescent="0.35">
      <c r="A573" s="46" t="s">
        <v>232</v>
      </c>
      <c r="B573" s="46" t="s">
        <v>127</v>
      </c>
      <c r="C573" s="47">
        <f>Matrix!V8</f>
        <v>46194</v>
      </c>
      <c r="D573" s="48">
        <f>IFERROR(VLOOKUP(B573,'Renewal Rules'!$A:$B,2,FALSE),"")</f>
        <v>12</v>
      </c>
      <c r="E573" s="47">
        <f t="shared" si="32"/>
        <v>46559</v>
      </c>
      <c r="F573" s="48">
        <f t="shared" ca="1" si="33"/>
        <v>356</v>
      </c>
      <c r="G573" s="46" t="str">
        <f t="shared" ca="1" si="34"/>
        <v>GREEN</v>
      </c>
      <c r="H573" s="46" t="str">
        <f t="shared" ca="1" si="35"/>
        <v>Current</v>
      </c>
      <c r="I573" s="21"/>
    </row>
    <row r="574" spans="1:9" x14ac:dyDescent="0.35">
      <c r="A574" s="46" t="s">
        <v>232</v>
      </c>
      <c r="B574" s="46" t="s">
        <v>128</v>
      </c>
      <c r="C574" s="47" t="str">
        <f>Matrix!W8</f>
        <v>22/02/2026</v>
      </c>
      <c r="D574" s="48">
        <f>IFERROR(VLOOKUP(B574,'Renewal Rules'!$A:$B,2,FALSE),"")</f>
        <v>12</v>
      </c>
      <c r="E574" s="47">
        <f t="shared" si="32"/>
        <v>46440</v>
      </c>
      <c r="F574" s="48">
        <f t="shared" ca="1" si="33"/>
        <v>237</v>
      </c>
      <c r="G574" s="46" t="str">
        <f t="shared" ca="1" si="34"/>
        <v>GREEN</v>
      </c>
      <c r="H574" s="46" t="str">
        <f t="shared" ca="1" si="35"/>
        <v>Current</v>
      </c>
      <c r="I574" s="21"/>
    </row>
    <row r="575" spans="1:9" x14ac:dyDescent="0.35">
      <c r="A575" s="46" t="s">
        <v>232</v>
      </c>
      <c r="B575" s="46" t="s">
        <v>129</v>
      </c>
      <c r="C575" s="47" t="str">
        <f>Matrix!X8</f>
        <v>NS</v>
      </c>
      <c r="D575" s="48">
        <f>IFERROR(VLOOKUP(B575,'Renewal Rules'!$A:$B,2,FALSE),"")</f>
        <v>36</v>
      </c>
      <c r="E575" s="47" t="str">
        <f t="shared" si="32"/>
        <v/>
      </c>
      <c r="F575" s="48" t="str">
        <f t="shared" ca="1" si="33"/>
        <v/>
      </c>
      <c r="G575" s="46" t="str">
        <f t="shared" ca="1" si="34"/>
        <v>RED</v>
      </c>
      <c r="H575" s="46" t="str">
        <f t="shared" ca="1" si="35"/>
        <v>Not Started</v>
      </c>
      <c r="I575" s="21"/>
    </row>
    <row r="576" spans="1:9" x14ac:dyDescent="0.35">
      <c r="A576" s="46" t="s">
        <v>232</v>
      </c>
      <c r="B576" s="46" t="s">
        <v>130</v>
      </c>
      <c r="C576" s="47">
        <f>Matrix!Y8</f>
        <v>46195</v>
      </c>
      <c r="D576" s="48">
        <f>IFERROR(VLOOKUP(B576,'Renewal Rules'!$A:$B,2,FALSE),"")</f>
        <v>36</v>
      </c>
      <c r="E576" s="47">
        <f t="shared" si="32"/>
        <v>47291</v>
      </c>
      <c r="F576" s="48">
        <f t="shared" ca="1" si="33"/>
        <v>1088</v>
      </c>
      <c r="G576" s="46" t="str">
        <f t="shared" ca="1" si="34"/>
        <v>GREEN</v>
      </c>
      <c r="H576" s="46" t="str">
        <f t="shared" ca="1" si="35"/>
        <v>Current</v>
      </c>
      <c r="I576" s="21"/>
    </row>
    <row r="577" spans="1:9" x14ac:dyDescent="0.35">
      <c r="A577" s="46" t="s">
        <v>232</v>
      </c>
      <c r="B577" s="46" t="s">
        <v>131</v>
      </c>
      <c r="C577" s="47">
        <f>Matrix!Z8</f>
        <v>46195</v>
      </c>
      <c r="D577" s="48">
        <f>IFERROR(VLOOKUP(B577,'Renewal Rules'!$A:$B,2,FALSE),"")</f>
        <v>12</v>
      </c>
      <c r="E577" s="47">
        <f t="shared" si="32"/>
        <v>46560</v>
      </c>
      <c r="F577" s="48">
        <f t="shared" ca="1" si="33"/>
        <v>357</v>
      </c>
      <c r="G577" s="46" t="str">
        <f t="shared" ca="1" si="34"/>
        <v>GREEN</v>
      </c>
      <c r="H577" s="46" t="str">
        <f t="shared" ca="1" si="35"/>
        <v>Current</v>
      </c>
      <c r="I577" s="21"/>
    </row>
    <row r="578" spans="1:9" x14ac:dyDescent="0.35">
      <c r="A578" s="46" t="s">
        <v>232</v>
      </c>
      <c r="B578" s="46" t="s">
        <v>132</v>
      </c>
      <c r="C578" s="47" t="str">
        <f>Matrix!AA8</f>
        <v>NS</v>
      </c>
      <c r="D578" s="48">
        <f>IFERROR(VLOOKUP(B578,'Renewal Rules'!$A:$B,2,FALSE),"")</f>
        <v>12</v>
      </c>
      <c r="E578" s="47" t="str">
        <f t="shared" si="32"/>
        <v/>
      </c>
      <c r="F578" s="48" t="str">
        <f t="shared" ca="1" si="33"/>
        <v/>
      </c>
      <c r="G578" s="46" t="str">
        <f t="shared" ca="1" si="34"/>
        <v>RED</v>
      </c>
      <c r="H578" s="46" t="str">
        <f t="shared" ca="1" si="35"/>
        <v>Not Started</v>
      </c>
      <c r="I578" s="21"/>
    </row>
    <row r="579" spans="1:9" x14ac:dyDescent="0.35">
      <c r="A579" s="46" t="s">
        <v>232</v>
      </c>
      <c r="B579" s="46" t="s">
        <v>92</v>
      </c>
      <c r="C579" s="47">
        <f>Matrix!AB8</f>
        <v>45994</v>
      </c>
      <c r="D579" s="48">
        <f>IFERROR(VLOOKUP(B579,'Renewal Rules'!$A:$B,2,FALSE),"")</f>
        <v>12</v>
      </c>
      <c r="E579" s="47">
        <f t="shared" ref="E579:E642" si="36">IF(OR(C579="",C579="NS",C579="IP",C579="Failed"),"",IFERROR(EDATE(IF(ISNUMBER(C579),C579,IFERROR(DATEVALUE(C579),DATE(VALUE(RIGHT(C579,4)),VALUE(MID(C579,4,2)),VALUE(LEFT(C579,2))))),D579),""))</f>
        <v>46359</v>
      </c>
      <c r="F579" s="48">
        <f t="shared" ref="F579:F642" ca="1" si="37">IF(E579="","",E579-TODAY())</f>
        <v>156</v>
      </c>
      <c r="G579" s="46" t="str">
        <f t="shared" ref="G579:G642" ca="1" si="38">IF(C579="NS","RED",IF(C579="IP","AMBER",IF(E579="","",IF(E579&lt;TODAY(),"RED",IF(E579&lt;=TODAY()+30,"AMBER","GREEN")))))</f>
        <v>GREEN</v>
      </c>
      <c r="H579" s="46" t="str">
        <f t="shared" ref="H579:H642" ca="1" si="39">IF(C579="NS","Not Started",IF(C579="IP","In Progress",IF(E579="","Check",IF(E579&lt;TODAY(),"Expired",IF(E579&lt;=TODAY()+30,"Expiring Soon","Current")))))</f>
        <v>Current</v>
      </c>
      <c r="I579" s="21"/>
    </row>
    <row r="580" spans="1:9" x14ac:dyDescent="0.35">
      <c r="A580" s="46" t="s">
        <v>232</v>
      </c>
      <c r="B580" s="46" t="s">
        <v>133</v>
      </c>
      <c r="C580" s="47" t="str">
        <f>Matrix!AC8</f>
        <v>NS</v>
      </c>
      <c r="D580" s="48">
        <f>IFERROR(VLOOKUP(B580,'Renewal Rules'!$A:$B,2,FALSE),"")</f>
        <v>36</v>
      </c>
      <c r="E580" s="47" t="str">
        <f t="shared" si="36"/>
        <v/>
      </c>
      <c r="F580" s="48" t="str">
        <f t="shared" ca="1" si="37"/>
        <v/>
      </c>
      <c r="G580" s="46" t="str">
        <f t="shared" ca="1" si="38"/>
        <v>RED</v>
      </c>
      <c r="H580" s="46" t="str">
        <f t="shared" ca="1" si="39"/>
        <v>Not Started</v>
      </c>
      <c r="I580" s="21"/>
    </row>
    <row r="581" spans="1:9" x14ac:dyDescent="0.35">
      <c r="A581" s="46" t="s">
        <v>232</v>
      </c>
      <c r="B581" s="46" t="s">
        <v>134</v>
      </c>
      <c r="C581" s="47" t="str">
        <f>Matrix!AD8</f>
        <v>NS</v>
      </c>
      <c r="D581" s="48">
        <f>IFERROR(VLOOKUP(B581,'Renewal Rules'!$A:$B,2,FALSE),"")</f>
        <v>36</v>
      </c>
      <c r="E581" s="47" t="str">
        <f t="shared" si="36"/>
        <v/>
      </c>
      <c r="F581" s="48" t="str">
        <f t="shared" ca="1" si="37"/>
        <v/>
      </c>
      <c r="G581" s="46" t="str">
        <f t="shared" ca="1" si="38"/>
        <v>RED</v>
      </c>
      <c r="H581" s="46" t="str">
        <f t="shared" ca="1" si="39"/>
        <v>Not Started</v>
      </c>
      <c r="I581" s="21"/>
    </row>
    <row r="582" spans="1:9" x14ac:dyDescent="0.35">
      <c r="A582" s="46" t="s">
        <v>232</v>
      </c>
      <c r="B582" s="46" t="s">
        <v>98</v>
      </c>
      <c r="C582" s="47" t="str">
        <f>Matrix!AE8</f>
        <v>23/01/2026</v>
      </c>
      <c r="D582" s="48">
        <f>IFERROR(VLOOKUP(B582,'Renewal Rules'!$A:$B,2,FALSE),"")</f>
        <v>36</v>
      </c>
      <c r="E582" s="47">
        <f t="shared" si="36"/>
        <v>47141</v>
      </c>
      <c r="F582" s="48">
        <f t="shared" ca="1" si="37"/>
        <v>938</v>
      </c>
      <c r="G582" s="46" t="str">
        <f t="shared" ca="1" si="38"/>
        <v>GREEN</v>
      </c>
      <c r="H582" s="46" t="str">
        <f t="shared" ca="1" si="39"/>
        <v>Current</v>
      </c>
      <c r="I582" s="21"/>
    </row>
    <row r="583" spans="1:9" x14ac:dyDescent="0.35">
      <c r="A583" s="46" t="s">
        <v>232</v>
      </c>
      <c r="B583" s="46" t="s">
        <v>135</v>
      </c>
      <c r="C583" s="47" t="str">
        <f>Matrix!AF8</f>
        <v>NS</v>
      </c>
      <c r="D583" s="48">
        <f>IFERROR(VLOOKUP(B583,'Renewal Rules'!$A:$B,2,FALSE),"")</f>
        <v>36</v>
      </c>
      <c r="E583" s="47" t="str">
        <f t="shared" si="36"/>
        <v/>
      </c>
      <c r="F583" s="48" t="str">
        <f t="shared" ca="1" si="37"/>
        <v/>
      </c>
      <c r="G583" s="46" t="str">
        <f t="shared" ca="1" si="38"/>
        <v>RED</v>
      </c>
      <c r="H583" s="46" t="str">
        <f t="shared" ca="1" si="39"/>
        <v>Not Started</v>
      </c>
      <c r="I583" s="21"/>
    </row>
    <row r="584" spans="1:9" x14ac:dyDescent="0.35">
      <c r="A584" s="46" t="s">
        <v>232</v>
      </c>
      <c r="B584" s="46" t="s">
        <v>136</v>
      </c>
      <c r="C584" s="47" t="str">
        <f>Matrix!AG8</f>
        <v>NS</v>
      </c>
      <c r="D584" s="48">
        <f>IFERROR(VLOOKUP(B584,'Renewal Rules'!$A:$B,2,FALSE),"")</f>
        <v>12</v>
      </c>
      <c r="E584" s="47" t="str">
        <f t="shared" si="36"/>
        <v/>
      </c>
      <c r="F584" s="48" t="str">
        <f t="shared" ca="1" si="37"/>
        <v/>
      </c>
      <c r="G584" s="46" t="str">
        <f t="shared" ca="1" si="38"/>
        <v>RED</v>
      </c>
      <c r="H584" s="46" t="str">
        <f t="shared" ca="1" si="39"/>
        <v>Not Started</v>
      </c>
      <c r="I584" s="21"/>
    </row>
    <row r="585" spans="1:9" x14ac:dyDescent="0.35">
      <c r="A585" s="46" t="s">
        <v>232</v>
      </c>
      <c r="B585" s="46" t="s">
        <v>137</v>
      </c>
      <c r="C585" s="47">
        <f>Matrix!AH8</f>
        <v>46200</v>
      </c>
      <c r="D585" s="48">
        <f>IFERROR(VLOOKUP(B585,'Renewal Rules'!$A:$B,2,FALSE),"")</f>
        <v>36</v>
      </c>
      <c r="E585" s="47">
        <f t="shared" si="36"/>
        <v>47296</v>
      </c>
      <c r="F585" s="48">
        <f t="shared" ca="1" si="37"/>
        <v>1093</v>
      </c>
      <c r="G585" s="46" t="str">
        <f t="shared" ca="1" si="38"/>
        <v>GREEN</v>
      </c>
      <c r="H585" s="46" t="str">
        <f t="shared" ca="1" si="39"/>
        <v>Current</v>
      </c>
      <c r="I585" s="21"/>
    </row>
    <row r="586" spans="1:9" ht="12.9" customHeight="1" x14ac:dyDescent="0.35">
      <c r="A586" s="46" t="s">
        <v>232</v>
      </c>
      <c r="B586" s="46" t="s">
        <v>138</v>
      </c>
      <c r="C586" s="47" t="str">
        <f>Matrix!AI8</f>
        <v>NS</v>
      </c>
      <c r="D586" s="48">
        <f>IFERROR(VLOOKUP(B586,'Renewal Rules'!$A:$B,2,FALSE),"")</f>
        <v>12</v>
      </c>
      <c r="E586" s="47" t="str">
        <f t="shared" si="36"/>
        <v/>
      </c>
      <c r="F586" s="48" t="str">
        <f t="shared" ca="1" si="37"/>
        <v/>
      </c>
      <c r="G586" s="46" t="str">
        <f t="shared" ca="1" si="38"/>
        <v>RED</v>
      </c>
      <c r="H586" s="46" t="str">
        <f t="shared" ca="1" si="39"/>
        <v>Not Started</v>
      </c>
      <c r="I586" s="21"/>
    </row>
    <row r="587" spans="1:9" x14ac:dyDescent="0.35">
      <c r="A587" s="46" t="s">
        <v>232</v>
      </c>
      <c r="B587" s="46" t="s">
        <v>139</v>
      </c>
      <c r="C587" s="47" t="str">
        <f>Matrix!AJ8</f>
        <v>NS</v>
      </c>
      <c r="D587" s="48">
        <f>IFERROR(VLOOKUP(B587,'Renewal Rules'!$A:$B,2,FALSE),"")</f>
        <v>12</v>
      </c>
      <c r="E587" s="47" t="str">
        <f t="shared" si="36"/>
        <v/>
      </c>
      <c r="F587" s="48" t="str">
        <f t="shared" ca="1" si="37"/>
        <v/>
      </c>
      <c r="G587" s="46" t="str">
        <f t="shared" ca="1" si="38"/>
        <v>RED</v>
      </c>
      <c r="H587" s="46" t="str">
        <f t="shared" ca="1" si="39"/>
        <v>Not Started</v>
      </c>
      <c r="I587" s="21"/>
    </row>
    <row r="588" spans="1:9" x14ac:dyDescent="0.35">
      <c r="A588" s="46" t="s">
        <v>232</v>
      </c>
      <c r="B588" s="46" t="s">
        <v>97</v>
      </c>
      <c r="C588" s="47" t="str">
        <f>Matrix!AK8</f>
        <v>11/02/2026</v>
      </c>
      <c r="D588" s="48">
        <f>IFERROR(VLOOKUP(B588,'Renewal Rules'!$A:$B,2,FALSE),"")</f>
        <v>12</v>
      </c>
      <c r="E588" s="47">
        <f t="shared" si="36"/>
        <v>46429</v>
      </c>
      <c r="F588" s="48">
        <f t="shared" ca="1" si="37"/>
        <v>226</v>
      </c>
      <c r="G588" s="46" t="str">
        <f t="shared" ca="1" si="38"/>
        <v>GREEN</v>
      </c>
      <c r="H588" s="46" t="str">
        <f t="shared" ca="1" si="39"/>
        <v>Current</v>
      </c>
      <c r="I588" s="21"/>
    </row>
    <row r="589" spans="1:9" x14ac:dyDescent="0.35">
      <c r="A589" s="46" t="s">
        <v>232</v>
      </c>
      <c r="B589" s="46" t="s">
        <v>140</v>
      </c>
      <c r="C589" s="47" t="str">
        <f>Matrix!AL8</f>
        <v>NS</v>
      </c>
      <c r="D589" s="48">
        <f>IFERROR(VLOOKUP(B589,'Renewal Rules'!$A:$B,2,FALSE),"")</f>
        <v>36</v>
      </c>
      <c r="E589" s="47" t="str">
        <f t="shared" si="36"/>
        <v/>
      </c>
      <c r="F589" s="48" t="str">
        <f t="shared" ca="1" si="37"/>
        <v/>
      </c>
      <c r="G589" s="46" t="str">
        <f t="shared" ca="1" si="38"/>
        <v>RED</v>
      </c>
      <c r="H589" s="46" t="str">
        <f t="shared" ca="1" si="39"/>
        <v>Not Started</v>
      </c>
      <c r="I589" s="21"/>
    </row>
    <row r="590" spans="1:9" x14ac:dyDescent="0.35">
      <c r="A590" s="46" t="s">
        <v>232</v>
      </c>
      <c r="B590" s="46" t="s">
        <v>141</v>
      </c>
      <c r="C590" s="47" t="str">
        <f>Matrix!AM8</f>
        <v>NS</v>
      </c>
      <c r="D590" s="48">
        <f>IFERROR(VLOOKUP(B590,'Renewal Rules'!$A:$B,2,FALSE),"")</f>
        <v>12</v>
      </c>
      <c r="E590" s="47" t="str">
        <f t="shared" si="36"/>
        <v/>
      </c>
      <c r="F590" s="48" t="str">
        <f t="shared" ca="1" si="37"/>
        <v/>
      </c>
      <c r="G590" s="46" t="str">
        <f t="shared" ca="1" si="38"/>
        <v>RED</v>
      </c>
      <c r="H590" s="46" t="str">
        <f t="shared" ca="1" si="39"/>
        <v>Not Started</v>
      </c>
      <c r="I590" s="21"/>
    </row>
    <row r="591" spans="1:9" x14ac:dyDescent="0.35">
      <c r="A591" s="46" t="s">
        <v>232</v>
      </c>
      <c r="B591" s="46" t="s">
        <v>142</v>
      </c>
      <c r="C591" s="47" t="str">
        <f>Matrix!AN8</f>
        <v>NS</v>
      </c>
      <c r="D591" s="48">
        <f>IFERROR(VLOOKUP(B591,'Renewal Rules'!$A:$B,2,FALSE),"")</f>
        <v>12</v>
      </c>
      <c r="E591" s="47" t="str">
        <f t="shared" si="36"/>
        <v/>
      </c>
      <c r="F591" s="48" t="str">
        <f t="shared" ca="1" si="37"/>
        <v/>
      </c>
      <c r="G591" s="46" t="str">
        <f t="shared" ca="1" si="38"/>
        <v>RED</v>
      </c>
      <c r="H591" s="46" t="str">
        <f t="shared" ca="1" si="39"/>
        <v>Not Started</v>
      </c>
      <c r="I591" s="21"/>
    </row>
    <row r="592" spans="1:9" x14ac:dyDescent="0.35">
      <c r="A592" s="46" t="s">
        <v>232</v>
      </c>
      <c r="B592" s="46" t="s">
        <v>143</v>
      </c>
      <c r="C592" s="47" t="str">
        <f>Matrix!AO8</f>
        <v>NS</v>
      </c>
      <c r="D592" s="48">
        <f>IFERROR(VLOOKUP(B592,'Renewal Rules'!$A:$B,2,FALSE),"")</f>
        <v>12</v>
      </c>
      <c r="E592" s="47" t="str">
        <f t="shared" si="36"/>
        <v/>
      </c>
      <c r="F592" s="48" t="str">
        <f t="shared" ca="1" si="37"/>
        <v/>
      </c>
      <c r="G592" s="46" t="str">
        <f t="shared" ca="1" si="38"/>
        <v>RED</v>
      </c>
      <c r="H592" s="46" t="str">
        <f t="shared" ca="1" si="39"/>
        <v>Not Started</v>
      </c>
      <c r="I592" s="21"/>
    </row>
    <row r="593" spans="1:9" x14ac:dyDescent="0.35">
      <c r="A593" s="46" t="s">
        <v>232</v>
      </c>
      <c r="B593" s="46" t="s">
        <v>102</v>
      </c>
      <c r="C593" s="47" t="str">
        <f>Matrix!AP8</f>
        <v>11/02/2026</v>
      </c>
      <c r="D593" s="48">
        <f>IFERROR(VLOOKUP(B593,'Renewal Rules'!$A:$B,2,FALSE),"")</f>
        <v>12</v>
      </c>
      <c r="E593" s="47">
        <f t="shared" si="36"/>
        <v>46429</v>
      </c>
      <c r="F593" s="48">
        <f t="shared" ca="1" si="37"/>
        <v>226</v>
      </c>
      <c r="G593" s="46" t="str">
        <f t="shared" ca="1" si="38"/>
        <v>GREEN</v>
      </c>
      <c r="H593" s="46" t="str">
        <f t="shared" ca="1" si="39"/>
        <v>Current</v>
      </c>
      <c r="I593" s="21"/>
    </row>
    <row r="594" spans="1:9" x14ac:dyDescent="0.35">
      <c r="A594" s="46" t="s">
        <v>232</v>
      </c>
      <c r="B594" s="46" t="s">
        <v>144</v>
      </c>
      <c r="C594" s="47" t="str">
        <f>Matrix!AQ8</f>
        <v>23/01/2026</v>
      </c>
      <c r="D594" s="48">
        <f>IFERROR(VLOOKUP(B594,'Renewal Rules'!$A:$B,2,FALSE),"")</f>
        <v>36</v>
      </c>
      <c r="E594" s="47">
        <f t="shared" si="36"/>
        <v>47141</v>
      </c>
      <c r="F594" s="48">
        <f t="shared" ca="1" si="37"/>
        <v>938</v>
      </c>
      <c r="G594" s="46" t="str">
        <f t="shared" ca="1" si="38"/>
        <v>GREEN</v>
      </c>
      <c r="H594" s="46" t="str">
        <f t="shared" ca="1" si="39"/>
        <v>Current</v>
      </c>
      <c r="I594" s="21"/>
    </row>
    <row r="595" spans="1:9" x14ac:dyDescent="0.35">
      <c r="A595" s="46" t="s">
        <v>232</v>
      </c>
      <c r="B595" s="46" t="s">
        <v>145</v>
      </c>
      <c r="C595" s="47" t="str">
        <f>Matrix!AR8</f>
        <v>NS</v>
      </c>
      <c r="D595" s="48">
        <f>IFERROR(VLOOKUP(B595,'Renewal Rules'!$A:$B,2,FALSE),"")</f>
        <v>12</v>
      </c>
      <c r="E595" s="47" t="str">
        <f t="shared" si="36"/>
        <v/>
      </c>
      <c r="F595" s="48" t="str">
        <f t="shared" ca="1" si="37"/>
        <v/>
      </c>
      <c r="G595" s="46" t="str">
        <f t="shared" ca="1" si="38"/>
        <v>RED</v>
      </c>
      <c r="H595" s="46" t="str">
        <f t="shared" ca="1" si="39"/>
        <v>Not Started</v>
      </c>
      <c r="I595" s="21"/>
    </row>
    <row r="596" spans="1:9" x14ac:dyDescent="0.35">
      <c r="A596" s="46" t="s">
        <v>232</v>
      </c>
      <c r="B596" s="46" t="s">
        <v>146</v>
      </c>
      <c r="C596" s="47" t="str">
        <f>Matrix!AS8</f>
        <v>NS</v>
      </c>
      <c r="D596" s="48">
        <f>IFERROR(VLOOKUP(B596,'Renewal Rules'!$A:$B,2,FALSE),"")</f>
        <v>12</v>
      </c>
      <c r="E596" s="47" t="str">
        <f t="shared" si="36"/>
        <v/>
      </c>
      <c r="F596" s="48" t="str">
        <f t="shared" ca="1" si="37"/>
        <v/>
      </c>
      <c r="G596" s="46" t="str">
        <f t="shared" ca="1" si="38"/>
        <v>RED</v>
      </c>
      <c r="H596" s="46" t="str">
        <f t="shared" ca="1" si="39"/>
        <v>Not Started</v>
      </c>
      <c r="I596" s="21"/>
    </row>
    <row r="597" spans="1:9" x14ac:dyDescent="0.35">
      <c r="A597" s="46" t="s">
        <v>232</v>
      </c>
      <c r="B597" s="46" t="s">
        <v>147</v>
      </c>
      <c r="C597" s="47" t="str">
        <f>Matrix!AT8</f>
        <v>NS</v>
      </c>
      <c r="D597" s="48">
        <f>IFERROR(VLOOKUP(B597,'Renewal Rules'!$A:$B,2,FALSE),"")</f>
        <v>36</v>
      </c>
      <c r="E597" s="47" t="str">
        <f t="shared" si="36"/>
        <v/>
      </c>
      <c r="F597" s="48" t="str">
        <f t="shared" ca="1" si="37"/>
        <v/>
      </c>
      <c r="G597" s="46" t="str">
        <f t="shared" ca="1" si="38"/>
        <v>RED</v>
      </c>
      <c r="H597" s="46" t="str">
        <f t="shared" ca="1" si="39"/>
        <v>Not Started</v>
      </c>
      <c r="I597" s="21"/>
    </row>
    <row r="598" spans="1:9" x14ac:dyDescent="0.35">
      <c r="A598" s="46" t="s">
        <v>232</v>
      </c>
      <c r="B598" s="46" t="s">
        <v>148</v>
      </c>
      <c r="C598" s="47" t="str">
        <f>Matrix!AU8</f>
        <v>NS</v>
      </c>
      <c r="D598" s="48">
        <f>IFERROR(VLOOKUP(B598,'Renewal Rules'!$A:$B,2,FALSE),"")</f>
        <v>36</v>
      </c>
      <c r="E598" s="47" t="str">
        <f t="shared" si="36"/>
        <v/>
      </c>
      <c r="F598" s="48" t="str">
        <f t="shared" ca="1" si="37"/>
        <v/>
      </c>
      <c r="G598" s="46" t="str">
        <f t="shared" ca="1" si="38"/>
        <v>RED</v>
      </c>
      <c r="H598" s="46" t="str">
        <f t="shared" ca="1" si="39"/>
        <v>Not Started</v>
      </c>
      <c r="I598" s="21"/>
    </row>
    <row r="599" spans="1:9" x14ac:dyDescent="0.35">
      <c r="A599" s="46" t="s">
        <v>232</v>
      </c>
      <c r="B599" s="46" t="s">
        <v>149</v>
      </c>
      <c r="C599" s="47" t="str">
        <f>Matrix!AV8</f>
        <v>NS</v>
      </c>
      <c r="D599" s="48">
        <f>IFERROR(VLOOKUP(B599,'Renewal Rules'!$A:$B,2,FALSE),"")</f>
        <v>36</v>
      </c>
      <c r="E599" s="47" t="str">
        <f t="shared" si="36"/>
        <v/>
      </c>
      <c r="F599" s="48" t="str">
        <f t="shared" ca="1" si="37"/>
        <v/>
      </c>
      <c r="G599" s="46" t="str">
        <f t="shared" ca="1" si="38"/>
        <v>RED</v>
      </c>
      <c r="H599" s="46" t="str">
        <f t="shared" ca="1" si="39"/>
        <v>Not Started</v>
      </c>
      <c r="I599" s="21"/>
    </row>
    <row r="600" spans="1:9" x14ac:dyDescent="0.35">
      <c r="A600" s="46" t="s">
        <v>232</v>
      </c>
      <c r="B600" s="46" t="s">
        <v>150</v>
      </c>
      <c r="C600" s="47" t="str">
        <f>Matrix!AW8</f>
        <v>NS</v>
      </c>
      <c r="D600" s="48">
        <f>IFERROR(VLOOKUP(B600,'Renewal Rules'!$A:$B,2,FALSE),"")</f>
        <v>36</v>
      </c>
      <c r="E600" s="47" t="str">
        <f t="shared" si="36"/>
        <v/>
      </c>
      <c r="F600" s="48" t="str">
        <f t="shared" ca="1" si="37"/>
        <v/>
      </c>
      <c r="G600" s="46" t="str">
        <f t="shared" ca="1" si="38"/>
        <v>RED</v>
      </c>
      <c r="H600" s="46" t="str">
        <f t="shared" ca="1" si="39"/>
        <v>Not Started</v>
      </c>
      <c r="I600" s="21"/>
    </row>
    <row r="601" spans="1:9" x14ac:dyDescent="0.35">
      <c r="A601" s="46" t="s">
        <v>232</v>
      </c>
      <c r="B601" s="46" t="s">
        <v>151</v>
      </c>
      <c r="C601" s="47" t="str">
        <f>Matrix!AX8</f>
        <v>NS</v>
      </c>
      <c r="D601" s="48">
        <f>IFERROR(VLOOKUP(B601,'Renewal Rules'!$A:$B,2,FALSE),"")</f>
        <v>36</v>
      </c>
      <c r="E601" s="47" t="str">
        <f t="shared" si="36"/>
        <v/>
      </c>
      <c r="F601" s="48" t="str">
        <f t="shared" ca="1" si="37"/>
        <v/>
      </c>
      <c r="G601" s="46" t="str">
        <f t="shared" ca="1" si="38"/>
        <v>RED</v>
      </c>
      <c r="H601" s="46" t="str">
        <f t="shared" ca="1" si="39"/>
        <v>Not Started</v>
      </c>
      <c r="I601" s="21"/>
    </row>
    <row r="602" spans="1:9" x14ac:dyDescent="0.35">
      <c r="A602" s="46" t="s">
        <v>232</v>
      </c>
      <c r="B602" s="46" t="s">
        <v>152</v>
      </c>
      <c r="C602" s="47" t="str">
        <f>Matrix!AY8</f>
        <v>NS</v>
      </c>
      <c r="D602" s="48">
        <f>IFERROR(VLOOKUP(B602,'Renewal Rules'!$A:$B,2,FALSE),"")</f>
        <v>36</v>
      </c>
      <c r="E602" s="47" t="str">
        <f t="shared" si="36"/>
        <v/>
      </c>
      <c r="F602" s="48" t="str">
        <f t="shared" ca="1" si="37"/>
        <v/>
      </c>
      <c r="G602" s="46" t="str">
        <f t="shared" ca="1" si="38"/>
        <v>RED</v>
      </c>
      <c r="H602" s="46" t="str">
        <f t="shared" ca="1" si="39"/>
        <v>Not Started</v>
      </c>
      <c r="I602" s="21"/>
    </row>
    <row r="603" spans="1:9" x14ac:dyDescent="0.35">
      <c r="A603" s="46" t="s">
        <v>232</v>
      </c>
      <c r="B603" s="46" t="s">
        <v>153</v>
      </c>
      <c r="C603" s="47" t="str">
        <f>Matrix!AZ8</f>
        <v>NS</v>
      </c>
      <c r="D603" s="48">
        <f>IFERROR(VLOOKUP(B603,'Renewal Rules'!$A:$B,2,FALSE),"")</f>
        <v>36</v>
      </c>
      <c r="E603" s="47" t="str">
        <f t="shared" si="36"/>
        <v/>
      </c>
      <c r="F603" s="48" t="str">
        <f t="shared" ca="1" si="37"/>
        <v/>
      </c>
      <c r="G603" s="46" t="str">
        <f t="shared" ca="1" si="38"/>
        <v>RED</v>
      </c>
      <c r="H603" s="46" t="str">
        <f t="shared" ca="1" si="39"/>
        <v>Not Started</v>
      </c>
      <c r="I603" s="21"/>
    </row>
    <row r="604" spans="1:9" x14ac:dyDescent="0.35">
      <c r="A604" s="46" t="s">
        <v>232</v>
      </c>
      <c r="B604" s="46" t="s">
        <v>154</v>
      </c>
      <c r="C604" s="47" t="str">
        <f>Matrix!BA8</f>
        <v>NS</v>
      </c>
      <c r="D604" s="48">
        <f>IFERROR(VLOOKUP(B604,'Renewal Rules'!$A:$B,2,FALSE),"")</f>
        <v>36</v>
      </c>
      <c r="E604" s="47" t="str">
        <f t="shared" si="36"/>
        <v/>
      </c>
      <c r="F604" s="48" t="str">
        <f t="shared" ca="1" si="37"/>
        <v/>
      </c>
      <c r="G604" s="46" t="str">
        <f t="shared" ca="1" si="38"/>
        <v>RED</v>
      </c>
      <c r="H604" s="46" t="str">
        <f t="shared" ca="1" si="39"/>
        <v>Not Started</v>
      </c>
      <c r="I604" s="21"/>
    </row>
    <row r="605" spans="1:9" x14ac:dyDescent="0.35">
      <c r="A605" s="46" t="s">
        <v>232</v>
      </c>
      <c r="B605" s="46" t="s">
        <v>155</v>
      </c>
      <c r="C605" s="47" t="str">
        <f>Matrix!BB8</f>
        <v>NS</v>
      </c>
      <c r="D605" s="48">
        <f>IFERROR(VLOOKUP(B605,'Renewal Rules'!$A:$B,2,FALSE),"")</f>
        <v>12</v>
      </c>
      <c r="E605" s="47" t="str">
        <f t="shared" si="36"/>
        <v/>
      </c>
      <c r="F605" s="48" t="str">
        <f t="shared" ca="1" si="37"/>
        <v/>
      </c>
      <c r="G605" s="46" t="str">
        <f t="shared" ca="1" si="38"/>
        <v>RED</v>
      </c>
      <c r="H605" s="46" t="str">
        <f t="shared" ca="1" si="39"/>
        <v>Not Started</v>
      </c>
      <c r="I605" s="21"/>
    </row>
    <row r="606" spans="1:9" x14ac:dyDescent="0.35">
      <c r="A606" s="46" t="s">
        <v>232</v>
      </c>
      <c r="B606" s="46" t="s">
        <v>156</v>
      </c>
      <c r="C606" s="47" t="str">
        <f>Matrix!BC8</f>
        <v>NS</v>
      </c>
      <c r="D606" s="48">
        <f>IFERROR(VLOOKUP(B606,'Renewal Rules'!$A:$B,2,FALSE),"")</f>
        <v>12</v>
      </c>
      <c r="E606" s="47" t="str">
        <f t="shared" si="36"/>
        <v/>
      </c>
      <c r="F606" s="48" t="str">
        <f t="shared" ca="1" si="37"/>
        <v/>
      </c>
      <c r="G606" s="46" t="str">
        <f t="shared" ca="1" si="38"/>
        <v>RED</v>
      </c>
      <c r="H606" s="46" t="str">
        <f t="shared" ca="1" si="39"/>
        <v>Not Started</v>
      </c>
      <c r="I606" s="21"/>
    </row>
    <row r="607" spans="1:9" x14ac:dyDescent="0.35">
      <c r="A607" s="46" t="s">
        <v>232</v>
      </c>
      <c r="B607" s="46" t="s">
        <v>157</v>
      </c>
      <c r="C607" s="47" t="str">
        <f>Matrix!BD8</f>
        <v>NS</v>
      </c>
      <c r="D607" s="48">
        <f>IFERROR(VLOOKUP(B607,'Renewal Rules'!$A:$B,2,FALSE),"")</f>
        <v>36</v>
      </c>
      <c r="E607" s="47" t="str">
        <f t="shared" si="36"/>
        <v/>
      </c>
      <c r="F607" s="48" t="str">
        <f t="shared" ca="1" si="37"/>
        <v/>
      </c>
      <c r="G607" s="46" t="str">
        <f t="shared" ca="1" si="38"/>
        <v>RED</v>
      </c>
      <c r="H607" s="46" t="str">
        <f t="shared" ca="1" si="39"/>
        <v>Not Started</v>
      </c>
      <c r="I607" s="21"/>
    </row>
    <row r="608" spans="1:9" ht="12.9" customHeight="1" x14ac:dyDescent="0.35">
      <c r="A608" s="46" t="s">
        <v>232</v>
      </c>
      <c r="B608" s="46" t="s">
        <v>158</v>
      </c>
      <c r="C608" s="47" t="str">
        <f>Matrix!BE8</f>
        <v>NS</v>
      </c>
      <c r="D608" s="48">
        <f>IFERROR(VLOOKUP(B608,'Renewal Rules'!$A:$B,2,FALSE),"")</f>
        <v>12</v>
      </c>
      <c r="E608" s="47" t="str">
        <f t="shared" si="36"/>
        <v/>
      </c>
      <c r="F608" s="48" t="str">
        <f t="shared" ca="1" si="37"/>
        <v/>
      </c>
      <c r="G608" s="46" t="str">
        <f t="shared" ca="1" si="38"/>
        <v>RED</v>
      </c>
      <c r="H608" s="46" t="str">
        <f t="shared" ca="1" si="39"/>
        <v>Not Started</v>
      </c>
      <c r="I608" s="21"/>
    </row>
    <row r="609" spans="1:9" x14ac:dyDescent="0.35">
      <c r="A609" s="46" t="s">
        <v>232</v>
      </c>
      <c r="B609" s="46" t="s">
        <v>95</v>
      </c>
      <c r="C609" s="47">
        <f>Matrix!BF8</f>
        <v>45979</v>
      </c>
      <c r="D609" s="48">
        <f>IFERROR(VLOOKUP(B609,'Renewal Rules'!$A:$B,2,FALSE),"")</f>
        <v>12</v>
      </c>
      <c r="E609" s="47">
        <f t="shared" si="36"/>
        <v>46344</v>
      </c>
      <c r="F609" s="48">
        <f t="shared" ca="1" si="37"/>
        <v>141</v>
      </c>
      <c r="G609" s="46" t="str">
        <f t="shared" ca="1" si="38"/>
        <v>GREEN</v>
      </c>
      <c r="H609" s="46" t="str">
        <f t="shared" ca="1" si="39"/>
        <v>Current</v>
      </c>
      <c r="I609" s="21"/>
    </row>
    <row r="610" spans="1:9" x14ac:dyDescent="0.35">
      <c r="A610" s="46" t="s">
        <v>232</v>
      </c>
      <c r="B610" s="46" t="s">
        <v>93</v>
      </c>
      <c r="C610" s="47" t="str">
        <f>Matrix!BG8</f>
        <v>NS</v>
      </c>
      <c r="D610" s="48">
        <f>IFERROR(VLOOKUP(B610,'Renewal Rules'!$A:$B,2,FALSE),"")</f>
        <v>12</v>
      </c>
      <c r="E610" s="47" t="str">
        <f t="shared" si="36"/>
        <v/>
      </c>
      <c r="F610" s="48" t="str">
        <f t="shared" ca="1" si="37"/>
        <v/>
      </c>
      <c r="G610" s="46" t="str">
        <f t="shared" ca="1" si="38"/>
        <v>RED</v>
      </c>
      <c r="H610" s="46" t="str">
        <f t="shared" ca="1" si="39"/>
        <v>Not Started</v>
      </c>
      <c r="I610" s="21"/>
    </row>
    <row r="611" spans="1:9" x14ac:dyDescent="0.35">
      <c r="A611" s="46" t="s">
        <v>232</v>
      </c>
      <c r="B611" s="46" t="s">
        <v>159</v>
      </c>
      <c r="C611" s="47" t="str">
        <f>Matrix!BH8</f>
        <v>NS</v>
      </c>
      <c r="D611" s="48">
        <f>IFERROR(VLOOKUP(B611,'Renewal Rules'!$A:$B,2,FALSE),"")</f>
        <v>12</v>
      </c>
      <c r="E611" s="47" t="str">
        <f t="shared" si="36"/>
        <v/>
      </c>
      <c r="F611" s="48" t="str">
        <f t="shared" ca="1" si="37"/>
        <v/>
      </c>
      <c r="G611" s="46" t="str">
        <f t="shared" ca="1" si="38"/>
        <v>RED</v>
      </c>
      <c r="H611" s="46" t="str">
        <f t="shared" ca="1" si="39"/>
        <v>Not Started</v>
      </c>
      <c r="I611" s="21"/>
    </row>
    <row r="612" spans="1:9" x14ac:dyDescent="0.35">
      <c r="A612" s="46" t="s">
        <v>232</v>
      </c>
      <c r="B612" s="46" t="s">
        <v>160</v>
      </c>
      <c r="C612" s="47" t="str">
        <f>Matrix!BI8</f>
        <v>22/02/2026</v>
      </c>
      <c r="D612" s="48">
        <f>IFERROR(VLOOKUP(B612,'Renewal Rules'!$A:$B,2,FALSE),"")</f>
        <v>36</v>
      </c>
      <c r="E612" s="47">
        <f t="shared" si="36"/>
        <v>47171</v>
      </c>
      <c r="F612" s="48">
        <f t="shared" ca="1" si="37"/>
        <v>968</v>
      </c>
      <c r="G612" s="46" t="str">
        <f t="shared" ca="1" si="38"/>
        <v>GREEN</v>
      </c>
      <c r="H612" s="46" t="str">
        <f t="shared" ca="1" si="39"/>
        <v>Current</v>
      </c>
      <c r="I612" s="21"/>
    </row>
    <row r="613" spans="1:9" x14ac:dyDescent="0.35">
      <c r="A613" s="46" t="s">
        <v>232</v>
      </c>
      <c r="B613" s="46" t="s">
        <v>161</v>
      </c>
      <c r="C613" s="47" t="str">
        <f>Matrix!BJ8</f>
        <v>NS</v>
      </c>
      <c r="D613" s="48">
        <f>IFERROR(VLOOKUP(B613,'Renewal Rules'!$A:$B,2,FALSE),"")</f>
        <v>12</v>
      </c>
      <c r="E613" s="47" t="str">
        <f t="shared" si="36"/>
        <v/>
      </c>
      <c r="F613" s="48" t="str">
        <f t="shared" ca="1" si="37"/>
        <v/>
      </c>
      <c r="G613" s="46" t="str">
        <f t="shared" ca="1" si="38"/>
        <v>RED</v>
      </c>
      <c r="H613" s="46" t="str">
        <f t="shared" ca="1" si="39"/>
        <v>Not Started</v>
      </c>
      <c r="I613" s="21"/>
    </row>
    <row r="614" spans="1:9" x14ac:dyDescent="0.35">
      <c r="A614" s="46" t="s">
        <v>232</v>
      </c>
      <c r="B614" s="46" t="s">
        <v>162</v>
      </c>
      <c r="C614" s="47" t="str">
        <f>Matrix!BK8</f>
        <v>NS</v>
      </c>
      <c r="D614" s="48">
        <f>IFERROR(VLOOKUP(B614,'Renewal Rules'!$A:$B,2,FALSE),"")</f>
        <v>12</v>
      </c>
      <c r="E614" s="47" t="str">
        <f t="shared" si="36"/>
        <v/>
      </c>
      <c r="F614" s="48" t="str">
        <f t="shared" ca="1" si="37"/>
        <v/>
      </c>
      <c r="G614" s="46" t="str">
        <f t="shared" ca="1" si="38"/>
        <v>RED</v>
      </c>
      <c r="H614" s="46" t="str">
        <f t="shared" ca="1" si="39"/>
        <v>Not Started</v>
      </c>
      <c r="I614" s="21"/>
    </row>
    <row r="615" spans="1:9" x14ac:dyDescent="0.35">
      <c r="A615" s="46" t="s">
        <v>232</v>
      </c>
      <c r="B615" s="46" t="s">
        <v>163</v>
      </c>
      <c r="C615" s="47" t="str">
        <f>Matrix!BL8</f>
        <v>NS</v>
      </c>
      <c r="D615" s="48">
        <f>IFERROR(VLOOKUP(B615,'Renewal Rules'!$A:$B,2,FALSE),"")</f>
        <v>36</v>
      </c>
      <c r="E615" s="47" t="str">
        <f t="shared" si="36"/>
        <v/>
      </c>
      <c r="F615" s="48" t="str">
        <f t="shared" ca="1" si="37"/>
        <v/>
      </c>
      <c r="G615" s="46" t="str">
        <f t="shared" ca="1" si="38"/>
        <v>RED</v>
      </c>
      <c r="H615" s="46" t="str">
        <f t="shared" ca="1" si="39"/>
        <v>Not Started</v>
      </c>
      <c r="I615" s="21"/>
    </row>
    <row r="616" spans="1:9" x14ac:dyDescent="0.35">
      <c r="A616" s="46" t="s">
        <v>232</v>
      </c>
      <c r="B616" s="46" t="s">
        <v>164</v>
      </c>
      <c r="C616" s="47" t="str">
        <f>Matrix!BM8</f>
        <v>NS</v>
      </c>
      <c r="D616" s="48">
        <f>IFERROR(VLOOKUP(B616,'Renewal Rules'!$A:$B,2,FALSE),"")</f>
        <v>12</v>
      </c>
      <c r="E616" s="47" t="str">
        <f t="shared" si="36"/>
        <v/>
      </c>
      <c r="F616" s="48" t="str">
        <f t="shared" ca="1" si="37"/>
        <v/>
      </c>
      <c r="G616" s="46" t="str">
        <f t="shared" ca="1" si="38"/>
        <v>RED</v>
      </c>
      <c r="H616" s="46" t="str">
        <f t="shared" ca="1" si="39"/>
        <v>Not Started</v>
      </c>
      <c r="I616" s="21"/>
    </row>
    <row r="617" spans="1:9" x14ac:dyDescent="0.35">
      <c r="A617" s="46" t="s">
        <v>232</v>
      </c>
      <c r="B617" s="46" t="s">
        <v>165</v>
      </c>
      <c r="C617" s="47" t="str">
        <f>Matrix!BN8</f>
        <v>NS</v>
      </c>
      <c r="D617" s="48">
        <f>IFERROR(VLOOKUP(B617,'Renewal Rules'!$A:$B,2,FALSE),"")</f>
        <v>36</v>
      </c>
      <c r="E617" s="47" t="str">
        <f t="shared" si="36"/>
        <v/>
      </c>
      <c r="F617" s="48" t="str">
        <f t="shared" ca="1" si="37"/>
        <v/>
      </c>
      <c r="G617" s="46" t="str">
        <f t="shared" ca="1" si="38"/>
        <v>RED</v>
      </c>
      <c r="H617" s="46" t="str">
        <f t="shared" ca="1" si="39"/>
        <v>Not Started</v>
      </c>
      <c r="I617" s="21"/>
    </row>
    <row r="618" spans="1:9" x14ac:dyDescent="0.35">
      <c r="A618" s="46" t="s">
        <v>232</v>
      </c>
      <c r="B618" s="46" t="s">
        <v>166</v>
      </c>
      <c r="C618" s="47" t="str">
        <f>Matrix!BO8</f>
        <v>NS</v>
      </c>
      <c r="D618" s="48">
        <f>IFERROR(VLOOKUP(B618,'Renewal Rules'!$A:$B,2,FALSE),"")</f>
        <v>36</v>
      </c>
      <c r="E618" s="47" t="str">
        <f t="shared" si="36"/>
        <v/>
      </c>
      <c r="F618" s="48" t="str">
        <f t="shared" ca="1" si="37"/>
        <v/>
      </c>
      <c r="G618" s="46" t="str">
        <f t="shared" ca="1" si="38"/>
        <v>RED</v>
      </c>
      <c r="H618" s="46" t="str">
        <f t="shared" ca="1" si="39"/>
        <v>Not Started</v>
      </c>
      <c r="I618" s="21"/>
    </row>
    <row r="619" spans="1:9" x14ac:dyDescent="0.35">
      <c r="A619" s="46" t="s">
        <v>232</v>
      </c>
      <c r="B619" s="46" t="s">
        <v>167</v>
      </c>
      <c r="C619" s="47" t="str">
        <f>Matrix!BP8</f>
        <v>NS</v>
      </c>
      <c r="D619" s="48">
        <f>IFERROR(VLOOKUP(B619,'Renewal Rules'!$A:$B,2,FALSE),"")</f>
        <v>36</v>
      </c>
      <c r="E619" s="47" t="str">
        <f t="shared" si="36"/>
        <v/>
      </c>
      <c r="F619" s="48" t="str">
        <f t="shared" ca="1" si="37"/>
        <v/>
      </c>
      <c r="G619" s="46" t="str">
        <f t="shared" ca="1" si="38"/>
        <v>RED</v>
      </c>
      <c r="H619" s="46" t="str">
        <f t="shared" ca="1" si="39"/>
        <v>Not Started</v>
      </c>
      <c r="I619" s="21"/>
    </row>
    <row r="620" spans="1:9" x14ac:dyDescent="0.35">
      <c r="A620" s="46" t="s">
        <v>232</v>
      </c>
      <c r="B620" s="46" t="s">
        <v>168</v>
      </c>
      <c r="C620" s="47" t="str">
        <f>Matrix!BQ8</f>
        <v>NS</v>
      </c>
      <c r="D620" s="48">
        <f>IFERROR(VLOOKUP(B620,'Renewal Rules'!$A:$B,2,FALSE),"")</f>
        <v>36</v>
      </c>
      <c r="E620" s="47" t="str">
        <f t="shared" si="36"/>
        <v/>
      </c>
      <c r="F620" s="48" t="str">
        <f t="shared" ca="1" si="37"/>
        <v/>
      </c>
      <c r="G620" s="46" t="str">
        <f t="shared" ca="1" si="38"/>
        <v>RED</v>
      </c>
      <c r="H620" s="46" t="str">
        <f t="shared" ca="1" si="39"/>
        <v>Not Started</v>
      </c>
      <c r="I620" s="21"/>
    </row>
    <row r="621" spans="1:9" x14ac:dyDescent="0.35">
      <c r="A621" s="46" t="s">
        <v>232</v>
      </c>
      <c r="B621" s="46" t="s">
        <v>169</v>
      </c>
      <c r="C621" s="47" t="str">
        <f>Matrix!BR8</f>
        <v>NS</v>
      </c>
      <c r="D621" s="48">
        <f>IFERROR(VLOOKUP(B621,'Renewal Rules'!$A:$B,2,FALSE),"")</f>
        <v>36</v>
      </c>
      <c r="E621" s="47" t="str">
        <f t="shared" si="36"/>
        <v/>
      </c>
      <c r="F621" s="48" t="str">
        <f t="shared" ca="1" si="37"/>
        <v/>
      </c>
      <c r="G621" s="46" t="str">
        <f t="shared" ca="1" si="38"/>
        <v>RED</v>
      </c>
      <c r="H621" s="46" t="str">
        <f t="shared" ca="1" si="39"/>
        <v>Not Started</v>
      </c>
      <c r="I621" s="21"/>
    </row>
    <row r="622" spans="1:9" x14ac:dyDescent="0.35">
      <c r="A622" s="46" t="s">
        <v>232</v>
      </c>
      <c r="B622" s="46" t="s">
        <v>170</v>
      </c>
      <c r="C622" s="47" t="str">
        <f>Matrix!BS8</f>
        <v>NS</v>
      </c>
      <c r="D622" s="48">
        <f>IFERROR(VLOOKUP(B622,'Renewal Rules'!$A:$B,2,FALSE),"")</f>
        <v>12</v>
      </c>
      <c r="E622" s="47" t="str">
        <f t="shared" si="36"/>
        <v/>
      </c>
      <c r="F622" s="48" t="str">
        <f t="shared" ca="1" si="37"/>
        <v/>
      </c>
      <c r="G622" s="46" t="str">
        <f t="shared" ca="1" si="38"/>
        <v>RED</v>
      </c>
      <c r="H622" s="46" t="str">
        <f t="shared" ca="1" si="39"/>
        <v>Not Started</v>
      </c>
      <c r="I622" s="21"/>
    </row>
    <row r="623" spans="1:9" x14ac:dyDescent="0.35">
      <c r="A623" s="46" t="s">
        <v>232</v>
      </c>
      <c r="B623" s="46" t="s">
        <v>171</v>
      </c>
      <c r="C623" s="47" t="str">
        <f>Matrix!BT8</f>
        <v>NS</v>
      </c>
      <c r="D623" s="48">
        <f>IFERROR(VLOOKUP(B623,'Renewal Rules'!$A:$B,2,FALSE),"")</f>
        <v>12</v>
      </c>
      <c r="E623" s="47" t="str">
        <f t="shared" si="36"/>
        <v/>
      </c>
      <c r="F623" s="48" t="str">
        <f t="shared" ca="1" si="37"/>
        <v/>
      </c>
      <c r="G623" s="46" t="str">
        <f t="shared" ca="1" si="38"/>
        <v>RED</v>
      </c>
      <c r="H623" s="46" t="str">
        <f t="shared" ca="1" si="39"/>
        <v>Not Started</v>
      </c>
      <c r="I623" s="21"/>
    </row>
    <row r="624" spans="1:9" x14ac:dyDescent="0.35">
      <c r="A624" s="46" t="s">
        <v>232</v>
      </c>
      <c r="B624" s="46" t="s">
        <v>172</v>
      </c>
      <c r="C624" s="47" t="str">
        <f>Matrix!BU8</f>
        <v>NS</v>
      </c>
      <c r="D624" s="48">
        <f>IFERROR(VLOOKUP(B624,'Renewal Rules'!$A:$B,2,FALSE),"")</f>
        <v>12</v>
      </c>
      <c r="E624" s="47" t="str">
        <f t="shared" si="36"/>
        <v/>
      </c>
      <c r="F624" s="48" t="str">
        <f t="shared" ca="1" si="37"/>
        <v/>
      </c>
      <c r="G624" s="46" t="str">
        <f t="shared" ca="1" si="38"/>
        <v>RED</v>
      </c>
      <c r="H624" s="46" t="str">
        <f t="shared" ca="1" si="39"/>
        <v>Not Started</v>
      </c>
      <c r="I624" s="21"/>
    </row>
    <row r="625" spans="1:9" x14ac:dyDescent="0.35">
      <c r="A625" s="46" t="s">
        <v>232</v>
      </c>
      <c r="B625" s="46" t="s">
        <v>173</v>
      </c>
      <c r="C625" s="47" t="str">
        <f>Matrix!BV8</f>
        <v>NS</v>
      </c>
      <c r="D625" s="48">
        <f>IFERROR(VLOOKUP(B625,'Renewal Rules'!$A:$B,2,FALSE),"")</f>
        <v>12</v>
      </c>
      <c r="E625" s="47" t="str">
        <f t="shared" si="36"/>
        <v/>
      </c>
      <c r="F625" s="48" t="str">
        <f t="shared" ca="1" si="37"/>
        <v/>
      </c>
      <c r="G625" s="46" t="str">
        <f t="shared" ca="1" si="38"/>
        <v>RED</v>
      </c>
      <c r="H625" s="46" t="str">
        <f t="shared" ca="1" si="39"/>
        <v>Not Started</v>
      </c>
      <c r="I625" s="21"/>
    </row>
    <row r="626" spans="1:9" x14ac:dyDescent="0.35">
      <c r="A626" s="46" t="s">
        <v>232</v>
      </c>
      <c r="B626" s="46" t="s">
        <v>174</v>
      </c>
      <c r="C626" s="47" t="str">
        <f>Matrix!BW8</f>
        <v>NS</v>
      </c>
      <c r="D626" s="48">
        <f>IFERROR(VLOOKUP(B626,'Renewal Rules'!$A:$B,2,FALSE),"")</f>
        <v>12</v>
      </c>
      <c r="E626" s="47" t="str">
        <f t="shared" si="36"/>
        <v/>
      </c>
      <c r="F626" s="48" t="str">
        <f t="shared" ca="1" si="37"/>
        <v/>
      </c>
      <c r="G626" s="46" t="str">
        <f t="shared" ca="1" si="38"/>
        <v>RED</v>
      </c>
      <c r="H626" s="46" t="str">
        <f t="shared" ca="1" si="39"/>
        <v>Not Started</v>
      </c>
      <c r="I626" s="21"/>
    </row>
    <row r="627" spans="1:9" x14ac:dyDescent="0.35">
      <c r="A627" s="46" t="s">
        <v>232</v>
      </c>
      <c r="B627" s="46" t="s">
        <v>175</v>
      </c>
      <c r="C627" s="47" t="str">
        <f>Matrix!BX8</f>
        <v>NS</v>
      </c>
      <c r="D627" s="48">
        <f>IFERROR(VLOOKUP(B627,'Renewal Rules'!$A:$B,2,FALSE),"")</f>
        <v>12</v>
      </c>
      <c r="E627" s="47" t="str">
        <f t="shared" si="36"/>
        <v/>
      </c>
      <c r="F627" s="48" t="str">
        <f t="shared" ca="1" si="37"/>
        <v/>
      </c>
      <c r="G627" s="46" t="str">
        <f t="shared" ca="1" si="38"/>
        <v>RED</v>
      </c>
      <c r="H627" s="46" t="str">
        <f t="shared" ca="1" si="39"/>
        <v>Not Started</v>
      </c>
      <c r="I627" s="21"/>
    </row>
    <row r="628" spans="1:9" x14ac:dyDescent="0.35">
      <c r="A628" s="46" t="s">
        <v>232</v>
      </c>
      <c r="B628" s="46" t="s">
        <v>176</v>
      </c>
      <c r="C628" s="47" t="str">
        <f>Matrix!BY8</f>
        <v>NS</v>
      </c>
      <c r="D628" s="48">
        <f>IFERROR(VLOOKUP(B628,'Renewal Rules'!$A:$B,2,FALSE),"")</f>
        <v>36</v>
      </c>
      <c r="E628" s="47" t="str">
        <f t="shared" si="36"/>
        <v/>
      </c>
      <c r="F628" s="48" t="str">
        <f t="shared" ca="1" si="37"/>
        <v/>
      </c>
      <c r="G628" s="46" t="str">
        <f t="shared" ca="1" si="38"/>
        <v>RED</v>
      </c>
      <c r="H628" s="46" t="str">
        <f t="shared" ca="1" si="39"/>
        <v>Not Started</v>
      </c>
      <c r="I628" s="21"/>
    </row>
    <row r="629" spans="1:9" x14ac:dyDescent="0.35">
      <c r="A629" s="46" t="s">
        <v>232</v>
      </c>
      <c r="B629" s="46" t="s">
        <v>177</v>
      </c>
      <c r="C629" s="47" t="str">
        <f>Matrix!BZ8</f>
        <v>NS</v>
      </c>
      <c r="D629" s="48">
        <f>IFERROR(VLOOKUP(B629,'Renewal Rules'!$A:$B,2,FALSE),"")</f>
        <v>36</v>
      </c>
      <c r="E629" s="47" t="str">
        <f t="shared" si="36"/>
        <v/>
      </c>
      <c r="F629" s="48" t="str">
        <f t="shared" ca="1" si="37"/>
        <v/>
      </c>
      <c r="G629" s="46" t="str">
        <f t="shared" ca="1" si="38"/>
        <v>RED</v>
      </c>
      <c r="H629" s="46" t="str">
        <f t="shared" ca="1" si="39"/>
        <v>Not Started</v>
      </c>
      <c r="I629" s="21"/>
    </row>
    <row r="630" spans="1:9" x14ac:dyDescent="0.35">
      <c r="A630" s="46" t="s">
        <v>232</v>
      </c>
      <c r="B630" s="46" t="s">
        <v>178</v>
      </c>
      <c r="C630" s="47" t="str">
        <f>Matrix!CA8</f>
        <v>NS</v>
      </c>
      <c r="D630" s="48">
        <f>IFERROR(VLOOKUP(B630,'Renewal Rules'!$A:$B,2,FALSE),"")</f>
        <v>12</v>
      </c>
      <c r="E630" s="47" t="str">
        <f t="shared" si="36"/>
        <v/>
      </c>
      <c r="F630" s="48" t="str">
        <f t="shared" ca="1" si="37"/>
        <v/>
      </c>
      <c r="G630" s="46" t="str">
        <f t="shared" ca="1" si="38"/>
        <v>RED</v>
      </c>
      <c r="H630" s="46" t="str">
        <f t="shared" ca="1" si="39"/>
        <v>Not Started</v>
      </c>
      <c r="I630" s="21"/>
    </row>
    <row r="631" spans="1:9" x14ac:dyDescent="0.35">
      <c r="A631" s="46" t="s">
        <v>232</v>
      </c>
      <c r="B631" s="46" t="s">
        <v>179</v>
      </c>
      <c r="C631" s="47" t="str">
        <f>Matrix!CB8</f>
        <v>NS</v>
      </c>
      <c r="D631" s="48">
        <f>IFERROR(VLOOKUP(B631,'Renewal Rules'!$A:$B,2,FALSE),"")</f>
        <v>12</v>
      </c>
      <c r="E631" s="47" t="str">
        <f t="shared" si="36"/>
        <v/>
      </c>
      <c r="F631" s="48" t="str">
        <f t="shared" ca="1" si="37"/>
        <v/>
      </c>
      <c r="G631" s="46" t="str">
        <f t="shared" ca="1" si="38"/>
        <v>RED</v>
      </c>
      <c r="H631" s="46" t="str">
        <f t="shared" ca="1" si="39"/>
        <v>Not Started</v>
      </c>
      <c r="I631" s="21"/>
    </row>
    <row r="632" spans="1:9" x14ac:dyDescent="0.35">
      <c r="A632" s="46" t="s">
        <v>232</v>
      </c>
      <c r="B632" s="46" t="s">
        <v>180</v>
      </c>
      <c r="C632" s="47" t="str">
        <f>Matrix!CC8</f>
        <v>NS</v>
      </c>
      <c r="D632" s="48">
        <f>IFERROR(VLOOKUP(B632,'Renewal Rules'!$A:$B,2,FALSE),"")</f>
        <v>36</v>
      </c>
      <c r="E632" s="47" t="str">
        <f t="shared" si="36"/>
        <v/>
      </c>
      <c r="F632" s="48" t="str">
        <f t="shared" ca="1" si="37"/>
        <v/>
      </c>
      <c r="G632" s="46" t="str">
        <f t="shared" ca="1" si="38"/>
        <v>RED</v>
      </c>
      <c r="H632" s="46" t="str">
        <f t="shared" ca="1" si="39"/>
        <v>Not Started</v>
      </c>
      <c r="I632" s="21"/>
    </row>
    <row r="633" spans="1:9" x14ac:dyDescent="0.35">
      <c r="A633" s="46" t="s">
        <v>232</v>
      </c>
      <c r="B633" s="46" t="s">
        <v>181</v>
      </c>
      <c r="C633" s="47" t="str">
        <f>Matrix!CD8</f>
        <v>NS</v>
      </c>
      <c r="D633" s="48">
        <f>IFERROR(VLOOKUP(B633,'Renewal Rules'!$A:$B,2,FALSE),"")</f>
        <v>36</v>
      </c>
      <c r="E633" s="47" t="str">
        <f t="shared" si="36"/>
        <v/>
      </c>
      <c r="F633" s="48" t="str">
        <f t="shared" ca="1" si="37"/>
        <v/>
      </c>
      <c r="G633" s="46" t="str">
        <f t="shared" ca="1" si="38"/>
        <v>RED</v>
      </c>
      <c r="H633" s="46" t="str">
        <f t="shared" ca="1" si="39"/>
        <v>Not Started</v>
      </c>
      <c r="I633" s="21"/>
    </row>
    <row r="634" spans="1:9" x14ac:dyDescent="0.35">
      <c r="A634" s="46" t="s">
        <v>232</v>
      </c>
      <c r="B634" s="46" t="s">
        <v>182</v>
      </c>
      <c r="C634" s="47" t="str">
        <f>Matrix!CE8</f>
        <v>NS</v>
      </c>
      <c r="D634" s="48">
        <f>IFERROR(VLOOKUP(B634,'Renewal Rules'!$A:$B,2,FALSE),"")</f>
        <v>12</v>
      </c>
      <c r="E634" s="47" t="str">
        <f t="shared" si="36"/>
        <v/>
      </c>
      <c r="F634" s="48" t="str">
        <f t="shared" ca="1" si="37"/>
        <v/>
      </c>
      <c r="G634" s="46" t="str">
        <f t="shared" ca="1" si="38"/>
        <v>RED</v>
      </c>
      <c r="H634" s="46" t="str">
        <f t="shared" ca="1" si="39"/>
        <v>Not Started</v>
      </c>
      <c r="I634" s="21"/>
    </row>
    <row r="635" spans="1:9" x14ac:dyDescent="0.35">
      <c r="A635" s="46" t="s">
        <v>232</v>
      </c>
      <c r="B635" s="46" t="s">
        <v>183</v>
      </c>
      <c r="C635" s="47" t="str">
        <f>Matrix!CF8</f>
        <v>NS</v>
      </c>
      <c r="D635" s="48">
        <f>IFERROR(VLOOKUP(B635,'Renewal Rules'!$A:$B,2,FALSE),"")</f>
        <v>36</v>
      </c>
      <c r="E635" s="47" t="str">
        <f t="shared" si="36"/>
        <v/>
      </c>
      <c r="F635" s="48" t="str">
        <f t="shared" ca="1" si="37"/>
        <v/>
      </c>
      <c r="G635" s="46" t="str">
        <f t="shared" ca="1" si="38"/>
        <v>RED</v>
      </c>
      <c r="H635" s="46" t="str">
        <f t="shared" ca="1" si="39"/>
        <v>Not Started</v>
      </c>
      <c r="I635" s="21"/>
    </row>
    <row r="636" spans="1:9" x14ac:dyDescent="0.35">
      <c r="A636" s="46" t="s">
        <v>232</v>
      </c>
      <c r="B636" s="46" t="s">
        <v>184</v>
      </c>
      <c r="C636" s="47" t="str">
        <f>Matrix!CG8</f>
        <v>NS</v>
      </c>
      <c r="D636" s="48">
        <f>IFERROR(VLOOKUP(B636,'Renewal Rules'!$A:$B,2,FALSE),"")</f>
        <v>12</v>
      </c>
      <c r="E636" s="47" t="str">
        <f t="shared" si="36"/>
        <v/>
      </c>
      <c r="F636" s="48" t="str">
        <f t="shared" ca="1" si="37"/>
        <v/>
      </c>
      <c r="G636" s="46" t="str">
        <f t="shared" ca="1" si="38"/>
        <v>RED</v>
      </c>
      <c r="H636" s="46" t="str">
        <f t="shared" ca="1" si="39"/>
        <v>Not Started</v>
      </c>
      <c r="I636" s="21"/>
    </row>
    <row r="637" spans="1:9" x14ac:dyDescent="0.35">
      <c r="A637" s="46" t="s">
        <v>232</v>
      </c>
      <c r="B637" s="46" t="s">
        <v>185</v>
      </c>
      <c r="C637" s="47" t="str">
        <f>Matrix!CH8</f>
        <v>NS</v>
      </c>
      <c r="D637" s="48">
        <f>IFERROR(VLOOKUP(B637,'Renewal Rules'!$A:$B,2,FALSE),"")</f>
        <v>12</v>
      </c>
      <c r="E637" s="47" t="str">
        <f t="shared" si="36"/>
        <v/>
      </c>
      <c r="F637" s="48" t="str">
        <f t="shared" ca="1" si="37"/>
        <v/>
      </c>
      <c r="G637" s="46" t="str">
        <f t="shared" ca="1" si="38"/>
        <v>RED</v>
      </c>
      <c r="H637" s="46" t="str">
        <f t="shared" ca="1" si="39"/>
        <v>Not Started</v>
      </c>
      <c r="I637" s="21"/>
    </row>
    <row r="638" spans="1:9" x14ac:dyDescent="0.35">
      <c r="A638" s="46" t="s">
        <v>232</v>
      </c>
      <c r="B638" s="46" t="s">
        <v>186</v>
      </c>
      <c r="C638" s="47" t="str">
        <f>Matrix!CI8</f>
        <v>NS</v>
      </c>
      <c r="D638" s="48">
        <f>IFERROR(VLOOKUP(B638,'Renewal Rules'!$A:$B,2,FALSE),"")</f>
        <v>36</v>
      </c>
      <c r="E638" s="47" t="str">
        <f t="shared" si="36"/>
        <v/>
      </c>
      <c r="F638" s="48" t="str">
        <f t="shared" ca="1" si="37"/>
        <v/>
      </c>
      <c r="G638" s="46" t="str">
        <f t="shared" ca="1" si="38"/>
        <v>RED</v>
      </c>
      <c r="H638" s="46" t="str">
        <f t="shared" ca="1" si="39"/>
        <v>Not Started</v>
      </c>
      <c r="I638" s="21"/>
    </row>
    <row r="639" spans="1:9" x14ac:dyDescent="0.35">
      <c r="A639" s="46" t="s">
        <v>232</v>
      </c>
      <c r="B639" s="46" t="s">
        <v>187</v>
      </c>
      <c r="C639" s="47" t="str">
        <f>Matrix!CJ8</f>
        <v>NS</v>
      </c>
      <c r="D639" s="48">
        <f>IFERROR(VLOOKUP(B639,'Renewal Rules'!$A:$B,2,FALSE),"")</f>
        <v>12</v>
      </c>
      <c r="E639" s="47" t="str">
        <f t="shared" si="36"/>
        <v/>
      </c>
      <c r="F639" s="48" t="str">
        <f t="shared" ca="1" si="37"/>
        <v/>
      </c>
      <c r="G639" s="46" t="str">
        <f t="shared" ca="1" si="38"/>
        <v>RED</v>
      </c>
      <c r="H639" s="46" t="str">
        <f t="shared" ca="1" si="39"/>
        <v>Not Started</v>
      </c>
      <c r="I639" s="21"/>
    </row>
    <row r="640" spans="1:9" x14ac:dyDescent="0.35">
      <c r="A640" s="46" t="s">
        <v>232</v>
      </c>
      <c r="B640" s="46" t="s">
        <v>188</v>
      </c>
      <c r="C640" s="47" t="str">
        <f>Matrix!CK8</f>
        <v>NS</v>
      </c>
      <c r="D640" s="48">
        <f>IFERROR(VLOOKUP(B640,'Renewal Rules'!$A:$B,2,FALSE),"")</f>
        <v>36</v>
      </c>
      <c r="E640" s="47" t="str">
        <f t="shared" si="36"/>
        <v/>
      </c>
      <c r="F640" s="48" t="str">
        <f t="shared" ca="1" si="37"/>
        <v/>
      </c>
      <c r="G640" s="46" t="str">
        <f t="shared" ca="1" si="38"/>
        <v>RED</v>
      </c>
      <c r="H640" s="46" t="str">
        <f t="shared" ca="1" si="39"/>
        <v>Not Started</v>
      </c>
      <c r="I640" s="21"/>
    </row>
    <row r="641" spans="1:9" x14ac:dyDescent="0.35">
      <c r="A641" s="46" t="s">
        <v>232</v>
      </c>
      <c r="B641" s="46" t="s">
        <v>189</v>
      </c>
      <c r="C641" s="47" t="str">
        <f>Matrix!CL8</f>
        <v>NS</v>
      </c>
      <c r="D641" s="48">
        <f>IFERROR(VLOOKUP(B641,'Renewal Rules'!$A:$B,2,FALSE),"")</f>
        <v>36</v>
      </c>
      <c r="E641" s="47" t="str">
        <f t="shared" si="36"/>
        <v/>
      </c>
      <c r="F641" s="48" t="str">
        <f t="shared" ca="1" si="37"/>
        <v/>
      </c>
      <c r="G641" s="46" t="str">
        <f t="shared" ca="1" si="38"/>
        <v>RED</v>
      </c>
      <c r="H641" s="46" t="str">
        <f t="shared" ca="1" si="39"/>
        <v>Not Started</v>
      </c>
      <c r="I641" s="21"/>
    </row>
    <row r="642" spans="1:9" x14ac:dyDescent="0.35">
      <c r="A642" s="46" t="s">
        <v>232</v>
      </c>
      <c r="B642" s="46" t="s">
        <v>190</v>
      </c>
      <c r="C642" s="47" t="str">
        <f>Matrix!CM8</f>
        <v>NS</v>
      </c>
      <c r="D642" s="48">
        <f>IFERROR(VLOOKUP(B642,'Renewal Rules'!$A:$B,2,FALSE),"")</f>
        <v>12</v>
      </c>
      <c r="E642" s="47" t="str">
        <f t="shared" si="36"/>
        <v/>
      </c>
      <c r="F642" s="48" t="str">
        <f t="shared" ca="1" si="37"/>
        <v/>
      </c>
      <c r="G642" s="46" t="str">
        <f t="shared" ca="1" si="38"/>
        <v>RED</v>
      </c>
      <c r="H642" s="46" t="str">
        <f t="shared" ca="1" si="39"/>
        <v>Not Started</v>
      </c>
      <c r="I642" s="21"/>
    </row>
    <row r="643" spans="1:9" x14ac:dyDescent="0.35">
      <c r="A643" s="46" t="s">
        <v>232</v>
      </c>
      <c r="B643" s="46" t="s">
        <v>191</v>
      </c>
      <c r="C643" s="47" t="str">
        <f>Matrix!CN8</f>
        <v>NS</v>
      </c>
      <c r="D643" s="48">
        <f>IFERROR(VLOOKUP(B643,'Renewal Rules'!$A:$B,2,FALSE),"")</f>
        <v>36</v>
      </c>
      <c r="E643" s="47" t="str">
        <f t="shared" ref="E643:E706" si="40">IF(OR(C643="",C643="NS",C643="IP",C643="Failed"),"",IFERROR(EDATE(IF(ISNUMBER(C643),C643,IFERROR(DATEVALUE(C643),DATE(VALUE(RIGHT(C643,4)),VALUE(MID(C643,4,2)),VALUE(LEFT(C643,2))))),D643),""))</f>
        <v/>
      </c>
      <c r="F643" s="48" t="str">
        <f t="shared" ref="F643:F706" ca="1" si="41">IF(E643="","",E643-TODAY())</f>
        <v/>
      </c>
      <c r="G643" s="46" t="str">
        <f t="shared" ref="G643:G706" ca="1" si="42">IF(C643="NS","RED",IF(C643="IP","AMBER",IF(E643="","",IF(E643&lt;TODAY(),"RED",IF(E643&lt;=TODAY()+30,"AMBER","GREEN")))))</f>
        <v>RED</v>
      </c>
      <c r="H643" s="46" t="str">
        <f t="shared" ref="H643:H706" ca="1" si="43">IF(C643="NS","Not Started",IF(C643="IP","In Progress",IF(E643="","Check",IF(E643&lt;TODAY(),"Expired",IF(E643&lt;=TODAY()+30,"Expiring Soon","Current")))))</f>
        <v>Not Started</v>
      </c>
      <c r="I643" s="21"/>
    </row>
    <row r="644" spans="1:9" x14ac:dyDescent="0.35">
      <c r="A644" s="46" t="s">
        <v>232</v>
      </c>
      <c r="B644" s="46" t="s">
        <v>192</v>
      </c>
      <c r="C644" s="47" t="str">
        <f>Matrix!CO8</f>
        <v>NS</v>
      </c>
      <c r="D644" s="48">
        <f>IFERROR(VLOOKUP(B644,'Renewal Rules'!$A:$B,2,FALSE),"")</f>
        <v>12</v>
      </c>
      <c r="E644" s="47" t="str">
        <f t="shared" si="40"/>
        <v/>
      </c>
      <c r="F644" s="48" t="str">
        <f t="shared" ca="1" si="41"/>
        <v/>
      </c>
      <c r="G644" s="46" t="str">
        <f t="shared" ca="1" si="42"/>
        <v>RED</v>
      </c>
      <c r="H644" s="46" t="str">
        <f t="shared" ca="1" si="43"/>
        <v>Not Started</v>
      </c>
      <c r="I644" s="21"/>
    </row>
    <row r="645" spans="1:9" ht="12.9" customHeight="1" x14ac:dyDescent="0.35">
      <c r="A645" s="46" t="s">
        <v>232</v>
      </c>
      <c r="B645" s="46" t="s">
        <v>193</v>
      </c>
      <c r="C645" s="47" t="str">
        <f>Matrix!CP8</f>
        <v>NS</v>
      </c>
      <c r="D645" s="48">
        <f>IFERROR(VLOOKUP(B645,'Renewal Rules'!$A:$B,2,FALSE),"")</f>
        <v>12</v>
      </c>
      <c r="E645" s="47" t="str">
        <f t="shared" si="40"/>
        <v/>
      </c>
      <c r="F645" s="48" t="str">
        <f t="shared" ca="1" si="41"/>
        <v/>
      </c>
      <c r="G645" s="46" t="str">
        <f t="shared" ca="1" si="42"/>
        <v>RED</v>
      </c>
      <c r="H645" s="46" t="str">
        <f t="shared" ca="1" si="43"/>
        <v>Not Started</v>
      </c>
      <c r="I645" s="21"/>
    </row>
    <row r="646" spans="1:9" x14ac:dyDescent="0.35">
      <c r="A646" s="46" t="s">
        <v>232</v>
      </c>
      <c r="B646" s="46" t="s">
        <v>194</v>
      </c>
      <c r="C646" s="47" t="str">
        <f>Matrix!CQ8</f>
        <v>NS</v>
      </c>
      <c r="D646" s="48">
        <f>IFERROR(VLOOKUP(B646,'Renewal Rules'!$A:$B,2,FALSE),"")</f>
        <v>36</v>
      </c>
      <c r="E646" s="47" t="str">
        <f t="shared" si="40"/>
        <v/>
      </c>
      <c r="F646" s="48" t="str">
        <f t="shared" ca="1" si="41"/>
        <v/>
      </c>
      <c r="G646" s="46" t="str">
        <f t="shared" ca="1" si="42"/>
        <v>RED</v>
      </c>
      <c r="H646" s="46" t="str">
        <f t="shared" ca="1" si="43"/>
        <v>Not Started</v>
      </c>
      <c r="I646" s="21"/>
    </row>
    <row r="647" spans="1:9" ht="12.9" customHeight="1" x14ac:dyDescent="0.35">
      <c r="A647" s="46" t="s">
        <v>232</v>
      </c>
      <c r="B647" s="46" t="s">
        <v>195</v>
      </c>
      <c r="C647" s="47" t="str">
        <f>Matrix!CR8</f>
        <v>NS</v>
      </c>
      <c r="D647" s="48">
        <f>IFERROR(VLOOKUP(B647,'Renewal Rules'!$A:$B,2,FALSE),"")</f>
        <v>36</v>
      </c>
      <c r="E647" s="47" t="str">
        <f t="shared" si="40"/>
        <v/>
      </c>
      <c r="F647" s="48" t="str">
        <f t="shared" ca="1" si="41"/>
        <v/>
      </c>
      <c r="G647" s="46" t="str">
        <f t="shared" ca="1" si="42"/>
        <v>RED</v>
      </c>
      <c r="H647" s="46" t="str">
        <f t="shared" ca="1" si="43"/>
        <v>Not Started</v>
      </c>
      <c r="I647" s="21"/>
    </row>
    <row r="648" spans="1:9" x14ac:dyDescent="0.35">
      <c r="A648" s="46" t="s">
        <v>232</v>
      </c>
      <c r="B648" s="46" t="s">
        <v>196</v>
      </c>
      <c r="C648" s="47" t="str">
        <f>Matrix!CS8</f>
        <v>NS</v>
      </c>
      <c r="D648" s="48">
        <f>IFERROR(VLOOKUP(B648,'Renewal Rules'!$A:$B,2,FALSE),"")</f>
        <v>36</v>
      </c>
      <c r="E648" s="47" t="str">
        <f t="shared" si="40"/>
        <v/>
      </c>
      <c r="F648" s="48" t="str">
        <f t="shared" ca="1" si="41"/>
        <v/>
      </c>
      <c r="G648" s="46" t="str">
        <f t="shared" ca="1" si="42"/>
        <v>RED</v>
      </c>
      <c r="H648" s="46" t="str">
        <f t="shared" ca="1" si="43"/>
        <v>Not Started</v>
      </c>
      <c r="I648" s="21"/>
    </row>
    <row r="649" spans="1:9" x14ac:dyDescent="0.35">
      <c r="A649" s="46" t="s">
        <v>232</v>
      </c>
      <c r="B649" s="46" t="s">
        <v>197</v>
      </c>
      <c r="C649" s="47" t="str">
        <f>Matrix!CT8</f>
        <v>NS</v>
      </c>
      <c r="D649" s="48">
        <f>IFERROR(VLOOKUP(B649,'Renewal Rules'!$A:$B,2,FALSE),"")</f>
        <v>12</v>
      </c>
      <c r="E649" s="47" t="str">
        <f t="shared" si="40"/>
        <v/>
      </c>
      <c r="F649" s="48" t="str">
        <f t="shared" ca="1" si="41"/>
        <v/>
      </c>
      <c r="G649" s="46" t="str">
        <f t="shared" ca="1" si="42"/>
        <v>RED</v>
      </c>
      <c r="H649" s="46" t="str">
        <f t="shared" ca="1" si="43"/>
        <v>Not Started</v>
      </c>
      <c r="I649" s="21"/>
    </row>
    <row r="650" spans="1:9" x14ac:dyDescent="0.35">
      <c r="A650" s="46" t="s">
        <v>232</v>
      </c>
      <c r="B650" s="46" t="s">
        <v>198</v>
      </c>
      <c r="C650" s="47" t="str">
        <f>Matrix!CU8</f>
        <v>NS</v>
      </c>
      <c r="D650" s="48">
        <f>IFERROR(VLOOKUP(B650,'Renewal Rules'!$A:$B,2,FALSE),"")</f>
        <v>12</v>
      </c>
      <c r="E650" s="47" t="str">
        <f t="shared" si="40"/>
        <v/>
      </c>
      <c r="F650" s="48" t="str">
        <f t="shared" ca="1" si="41"/>
        <v/>
      </c>
      <c r="G650" s="46" t="str">
        <f t="shared" ca="1" si="42"/>
        <v>RED</v>
      </c>
      <c r="H650" s="46" t="str">
        <f t="shared" ca="1" si="43"/>
        <v>Not Started</v>
      </c>
      <c r="I650" s="21"/>
    </row>
    <row r="651" spans="1:9" x14ac:dyDescent="0.35">
      <c r="A651" s="46" t="s">
        <v>232</v>
      </c>
      <c r="B651" s="46" t="s">
        <v>199</v>
      </c>
      <c r="C651" s="47" t="str">
        <f>Matrix!CV8</f>
        <v>NS</v>
      </c>
      <c r="D651" s="48">
        <f>IFERROR(VLOOKUP(B651,'Renewal Rules'!$A:$B,2,FALSE),"")</f>
        <v>12</v>
      </c>
      <c r="E651" s="47" t="str">
        <f t="shared" si="40"/>
        <v/>
      </c>
      <c r="F651" s="48" t="str">
        <f t="shared" ca="1" si="41"/>
        <v/>
      </c>
      <c r="G651" s="46" t="str">
        <f t="shared" ca="1" si="42"/>
        <v>RED</v>
      </c>
      <c r="H651" s="46" t="str">
        <f t="shared" ca="1" si="43"/>
        <v>Not Started</v>
      </c>
      <c r="I651" s="21"/>
    </row>
    <row r="652" spans="1:9" ht="12.9" customHeight="1" x14ac:dyDescent="0.35">
      <c r="A652" s="46" t="s">
        <v>232</v>
      </c>
      <c r="B652" s="46" t="s">
        <v>200</v>
      </c>
      <c r="C652" s="47" t="str">
        <f>Matrix!CW8</f>
        <v>NS</v>
      </c>
      <c r="D652" s="48">
        <f>IFERROR(VLOOKUP(B652,'Renewal Rules'!$A:$B,2,FALSE),"")</f>
        <v>12</v>
      </c>
      <c r="E652" s="47" t="str">
        <f t="shared" si="40"/>
        <v/>
      </c>
      <c r="F652" s="48" t="str">
        <f t="shared" ca="1" si="41"/>
        <v/>
      </c>
      <c r="G652" s="46" t="str">
        <f t="shared" ca="1" si="42"/>
        <v>RED</v>
      </c>
      <c r="H652" s="46" t="str">
        <f t="shared" ca="1" si="43"/>
        <v>Not Started</v>
      </c>
      <c r="I652" s="21"/>
    </row>
    <row r="653" spans="1:9" x14ac:dyDescent="0.35">
      <c r="A653" s="46" t="s">
        <v>232</v>
      </c>
      <c r="B653" s="46" t="s">
        <v>201</v>
      </c>
      <c r="C653" s="47" t="str">
        <f>Matrix!CX8</f>
        <v>NS</v>
      </c>
      <c r="D653" s="48">
        <f>IFERROR(VLOOKUP(B653,'Renewal Rules'!$A:$B,2,FALSE),"")</f>
        <v>12</v>
      </c>
      <c r="E653" s="47" t="str">
        <f t="shared" si="40"/>
        <v/>
      </c>
      <c r="F653" s="48" t="str">
        <f t="shared" ca="1" si="41"/>
        <v/>
      </c>
      <c r="G653" s="46" t="str">
        <f t="shared" ca="1" si="42"/>
        <v>RED</v>
      </c>
      <c r="H653" s="46" t="str">
        <f t="shared" ca="1" si="43"/>
        <v>Not Started</v>
      </c>
      <c r="I653" s="21"/>
    </row>
    <row r="654" spans="1:9" x14ac:dyDescent="0.35">
      <c r="A654" s="46" t="s">
        <v>232</v>
      </c>
      <c r="B654" s="46" t="s">
        <v>202</v>
      </c>
      <c r="C654" s="47" t="str">
        <f>Matrix!CY8</f>
        <v>NS</v>
      </c>
      <c r="D654" s="48">
        <f>IFERROR(VLOOKUP(B654,'Renewal Rules'!$A:$B,2,FALSE),"")</f>
        <v>36</v>
      </c>
      <c r="E654" s="47" t="str">
        <f t="shared" si="40"/>
        <v/>
      </c>
      <c r="F654" s="48" t="str">
        <f t="shared" ca="1" si="41"/>
        <v/>
      </c>
      <c r="G654" s="46" t="str">
        <f t="shared" ca="1" si="42"/>
        <v>RED</v>
      </c>
      <c r="H654" s="46" t="str">
        <f t="shared" ca="1" si="43"/>
        <v>Not Started</v>
      </c>
      <c r="I654" s="21"/>
    </row>
    <row r="655" spans="1:9" ht="12.9" customHeight="1" x14ac:dyDescent="0.35">
      <c r="A655" s="46" t="s">
        <v>232</v>
      </c>
      <c r="B655" s="46" t="s">
        <v>203</v>
      </c>
      <c r="C655" s="47" t="str">
        <f>Matrix!CZ8</f>
        <v>NS</v>
      </c>
      <c r="D655" s="48">
        <f>IFERROR(VLOOKUP(B655,'Renewal Rules'!$A:$B,2,FALSE),"")</f>
        <v>12</v>
      </c>
      <c r="E655" s="47" t="str">
        <f t="shared" si="40"/>
        <v/>
      </c>
      <c r="F655" s="48" t="str">
        <f t="shared" ca="1" si="41"/>
        <v/>
      </c>
      <c r="G655" s="46" t="str">
        <f t="shared" ca="1" si="42"/>
        <v>RED</v>
      </c>
      <c r="H655" s="46" t="str">
        <f t="shared" ca="1" si="43"/>
        <v>Not Started</v>
      </c>
      <c r="I655" s="21"/>
    </row>
    <row r="656" spans="1:9" x14ac:dyDescent="0.35">
      <c r="A656" s="46" t="s">
        <v>232</v>
      </c>
      <c r="B656" s="46" t="s">
        <v>204</v>
      </c>
      <c r="C656" s="47" t="str">
        <f>Matrix!DA8</f>
        <v>22/02/2026</v>
      </c>
      <c r="D656" s="48">
        <f>IFERROR(VLOOKUP(B656,'Renewal Rules'!$A:$B,2,FALSE),"")</f>
        <v>12</v>
      </c>
      <c r="E656" s="47">
        <f t="shared" si="40"/>
        <v>46440</v>
      </c>
      <c r="F656" s="48">
        <f t="shared" ca="1" si="41"/>
        <v>237</v>
      </c>
      <c r="G656" s="46" t="str">
        <f t="shared" ca="1" si="42"/>
        <v>GREEN</v>
      </c>
      <c r="H656" s="46" t="str">
        <f t="shared" ca="1" si="43"/>
        <v>Current</v>
      </c>
      <c r="I656" s="21"/>
    </row>
    <row r="657" spans="1:9" x14ac:dyDescent="0.35">
      <c r="A657" s="46" t="s">
        <v>232</v>
      </c>
      <c r="B657" s="46" t="s">
        <v>205</v>
      </c>
      <c r="C657" s="47" t="str">
        <f>Matrix!DB8</f>
        <v>22/02/2026</v>
      </c>
      <c r="D657" s="48">
        <f>IFERROR(VLOOKUP(B657,'Renewal Rules'!$A:$B,2,FALSE),"")</f>
        <v>36</v>
      </c>
      <c r="E657" s="47">
        <f t="shared" si="40"/>
        <v>47171</v>
      </c>
      <c r="F657" s="48">
        <f t="shared" ca="1" si="41"/>
        <v>968</v>
      </c>
      <c r="G657" s="46" t="str">
        <f t="shared" ca="1" si="42"/>
        <v>GREEN</v>
      </c>
      <c r="H657" s="46" t="str">
        <f t="shared" ca="1" si="43"/>
        <v>Current</v>
      </c>
      <c r="I657" s="21"/>
    </row>
    <row r="658" spans="1:9" x14ac:dyDescent="0.35">
      <c r="A658" s="46" t="s">
        <v>232</v>
      </c>
      <c r="B658" s="46" t="s">
        <v>94</v>
      </c>
      <c r="C658" s="47">
        <f>Matrix!DC8</f>
        <v>46010</v>
      </c>
      <c r="D658" s="48">
        <f>IFERROR(VLOOKUP(B658,'Renewal Rules'!$A:$B,2,FALSE),"")</f>
        <v>12</v>
      </c>
      <c r="E658" s="47">
        <f t="shared" si="40"/>
        <v>46375</v>
      </c>
      <c r="F658" s="48">
        <f t="shared" ca="1" si="41"/>
        <v>172</v>
      </c>
      <c r="G658" s="46" t="str">
        <f t="shared" ca="1" si="42"/>
        <v>GREEN</v>
      </c>
      <c r="H658" s="46" t="str">
        <f t="shared" ca="1" si="43"/>
        <v>Current</v>
      </c>
      <c r="I658" s="21"/>
    </row>
    <row r="659" spans="1:9" x14ac:dyDescent="0.35">
      <c r="A659" s="46" t="s">
        <v>232</v>
      </c>
      <c r="B659" s="46" t="s">
        <v>206</v>
      </c>
      <c r="C659" s="47" t="str">
        <f>Matrix!DD8</f>
        <v>22/02/2026</v>
      </c>
      <c r="D659" s="48">
        <f>IFERROR(VLOOKUP(B659,'Renewal Rules'!$A:$B,2,FALSE),"")</f>
        <v>36</v>
      </c>
      <c r="E659" s="47">
        <f t="shared" si="40"/>
        <v>47171</v>
      </c>
      <c r="F659" s="48">
        <f t="shared" ca="1" si="41"/>
        <v>968</v>
      </c>
      <c r="G659" s="46" t="str">
        <f t="shared" ca="1" si="42"/>
        <v>GREEN</v>
      </c>
      <c r="H659" s="46" t="str">
        <f t="shared" ca="1" si="43"/>
        <v>Current</v>
      </c>
      <c r="I659" s="21"/>
    </row>
    <row r="660" spans="1:9" x14ac:dyDescent="0.35">
      <c r="A660" s="46" t="s">
        <v>232</v>
      </c>
      <c r="B660" s="46" t="s">
        <v>207</v>
      </c>
      <c r="C660" s="47" t="str">
        <f>Matrix!DE8</f>
        <v>NS</v>
      </c>
      <c r="D660" s="48">
        <f>IFERROR(VLOOKUP(B660,'Renewal Rules'!$A:$B,2,FALSE),"")</f>
        <v>36</v>
      </c>
      <c r="E660" s="47" t="str">
        <f t="shared" si="40"/>
        <v/>
      </c>
      <c r="F660" s="48" t="str">
        <f t="shared" ca="1" si="41"/>
        <v/>
      </c>
      <c r="G660" s="46" t="str">
        <f t="shared" ca="1" si="42"/>
        <v>RED</v>
      </c>
      <c r="H660" s="46" t="str">
        <f t="shared" ca="1" si="43"/>
        <v>Not Started</v>
      </c>
      <c r="I660" s="21"/>
    </row>
    <row r="661" spans="1:9" x14ac:dyDescent="0.35">
      <c r="A661" s="46" t="s">
        <v>232</v>
      </c>
      <c r="B661" s="46" t="s">
        <v>208</v>
      </c>
      <c r="C661" s="47" t="str">
        <f>Matrix!DF8</f>
        <v>NS</v>
      </c>
      <c r="D661" s="48">
        <f>IFERROR(VLOOKUP(B661,'Renewal Rules'!$A:$B,2,FALSE),"")</f>
        <v>36</v>
      </c>
      <c r="E661" s="47" t="str">
        <f t="shared" si="40"/>
        <v/>
      </c>
      <c r="F661" s="48" t="str">
        <f t="shared" ca="1" si="41"/>
        <v/>
      </c>
      <c r="G661" s="46" t="str">
        <f t="shared" ca="1" si="42"/>
        <v>RED</v>
      </c>
      <c r="H661" s="46" t="str">
        <f t="shared" ca="1" si="43"/>
        <v>Not Started</v>
      </c>
      <c r="I661" s="21"/>
    </row>
    <row r="662" spans="1:9" x14ac:dyDescent="0.35">
      <c r="A662" s="46" t="s">
        <v>232</v>
      </c>
      <c r="B662" s="46" t="s">
        <v>104</v>
      </c>
      <c r="C662" s="47" t="str">
        <f>Matrix!DG8</f>
        <v>NS</v>
      </c>
      <c r="D662" s="48">
        <f>IFERROR(VLOOKUP(B662,'Renewal Rules'!$A:$B,2,FALSE),"")</f>
        <v>12</v>
      </c>
      <c r="E662" s="47" t="str">
        <f t="shared" si="40"/>
        <v/>
      </c>
      <c r="F662" s="48" t="str">
        <f t="shared" ca="1" si="41"/>
        <v/>
      </c>
      <c r="G662" s="46" t="str">
        <f t="shared" ca="1" si="42"/>
        <v>RED</v>
      </c>
      <c r="H662" s="46" t="str">
        <f t="shared" ca="1" si="43"/>
        <v>Not Started</v>
      </c>
      <c r="I662" s="21"/>
    </row>
    <row r="663" spans="1:9" x14ac:dyDescent="0.35">
      <c r="A663" s="46" t="s">
        <v>235</v>
      </c>
      <c r="B663" s="46" t="s">
        <v>111</v>
      </c>
      <c r="C663" s="47" t="str">
        <f>Matrix!B9</f>
        <v>NS</v>
      </c>
      <c r="D663" s="48">
        <f>IFERROR(VLOOKUP(B663,'Renewal Rules'!$A:$B,2,FALSE),"")</f>
        <v>36</v>
      </c>
      <c r="E663" s="47" t="str">
        <f t="shared" si="40"/>
        <v/>
      </c>
      <c r="F663" s="48" t="str">
        <f t="shared" ca="1" si="41"/>
        <v/>
      </c>
      <c r="G663" s="46" t="str">
        <f t="shared" ca="1" si="42"/>
        <v>RED</v>
      </c>
      <c r="H663" s="46" t="str">
        <f t="shared" ca="1" si="43"/>
        <v>Not Started</v>
      </c>
      <c r="I663" s="21"/>
    </row>
    <row r="664" spans="1:9" x14ac:dyDescent="0.35">
      <c r="A664" s="46" t="s">
        <v>235</v>
      </c>
      <c r="B664" s="46" t="s">
        <v>100</v>
      </c>
      <c r="C664" s="47" t="str">
        <f>Matrix!C9</f>
        <v>11/02/2026</v>
      </c>
      <c r="D664" s="48">
        <f>IFERROR(VLOOKUP(B664,'Renewal Rules'!$A:$B,2,FALSE),"")</f>
        <v>36</v>
      </c>
      <c r="E664" s="47">
        <f t="shared" si="40"/>
        <v>47160</v>
      </c>
      <c r="F664" s="48">
        <f t="shared" ca="1" si="41"/>
        <v>957</v>
      </c>
      <c r="G664" s="46" t="str">
        <f t="shared" ca="1" si="42"/>
        <v>GREEN</v>
      </c>
      <c r="H664" s="46" t="str">
        <f t="shared" ca="1" si="43"/>
        <v>Current</v>
      </c>
      <c r="I664" s="21"/>
    </row>
    <row r="665" spans="1:9" x14ac:dyDescent="0.35">
      <c r="A665" s="46" t="s">
        <v>235</v>
      </c>
      <c r="B665" s="46" t="s">
        <v>112</v>
      </c>
      <c r="C665" s="47">
        <f>Matrix!D9</f>
        <v>46194</v>
      </c>
      <c r="D665" s="48">
        <f>IFERROR(VLOOKUP(B665,'Renewal Rules'!$A:$B,2,FALSE),"")</f>
        <v>12</v>
      </c>
      <c r="E665" s="47">
        <f t="shared" si="40"/>
        <v>46559</v>
      </c>
      <c r="F665" s="48">
        <f t="shared" ca="1" si="41"/>
        <v>356</v>
      </c>
      <c r="G665" s="46" t="str">
        <f t="shared" ca="1" si="42"/>
        <v>GREEN</v>
      </c>
      <c r="H665" s="46" t="str">
        <f t="shared" ca="1" si="43"/>
        <v>Current</v>
      </c>
      <c r="I665" s="21"/>
    </row>
    <row r="666" spans="1:9" x14ac:dyDescent="0.35">
      <c r="A666" s="46" t="s">
        <v>235</v>
      </c>
      <c r="B666" s="46" t="s">
        <v>96</v>
      </c>
      <c r="C666" s="47" t="str">
        <f>Matrix!E9</f>
        <v>11/02/2026</v>
      </c>
      <c r="D666" s="48">
        <f>IFERROR(VLOOKUP(B666,'Renewal Rules'!$A:$B,2,FALSE),"")</f>
        <v>36</v>
      </c>
      <c r="E666" s="47">
        <f t="shared" si="40"/>
        <v>47160</v>
      </c>
      <c r="F666" s="48">
        <f t="shared" ca="1" si="41"/>
        <v>957</v>
      </c>
      <c r="G666" s="46" t="str">
        <f t="shared" ca="1" si="42"/>
        <v>GREEN</v>
      </c>
      <c r="H666" s="46" t="str">
        <f t="shared" ca="1" si="43"/>
        <v>Current</v>
      </c>
      <c r="I666" s="21"/>
    </row>
    <row r="667" spans="1:9" x14ac:dyDescent="0.35">
      <c r="A667" s="46" t="s">
        <v>235</v>
      </c>
      <c r="B667" s="46" t="s">
        <v>113</v>
      </c>
      <c r="C667" s="47">
        <f>Matrix!F9</f>
        <v>46195</v>
      </c>
      <c r="D667" s="48">
        <f>IFERROR(VLOOKUP(B667,'Renewal Rules'!$A:$B,2,FALSE),"")</f>
        <v>36</v>
      </c>
      <c r="E667" s="47">
        <f t="shared" si="40"/>
        <v>47291</v>
      </c>
      <c r="F667" s="48">
        <f t="shared" ca="1" si="41"/>
        <v>1088</v>
      </c>
      <c r="G667" s="46" t="str">
        <f t="shared" ca="1" si="42"/>
        <v>GREEN</v>
      </c>
      <c r="H667" s="46" t="str">
        <f t="shared" ca="1" si="43"/>
        <v>Current</v>
      </c>
      <c r="I667" s="21"/>
    </row>
    <row r="668" spans="1:9" x14ac:dyDescent="0.35">
      <c r="A668" s="46" t="s">
        <v>235</v>
      </c>
      <c r="B668" s="46" t="s">
        <v>114</v>
      </c>
      <c r="C668" s="47">
        <f>Matrix!G9</f>
        <v>46193</v>
      </c>
      <c r="D668" s="48">
        <f>IFERROR(VLOOKUP(B668,'Renewal Rules'!$A:$B,2,FALSE),"")</f>
        <v>12</v>
      </c>
      <c r="E668" s="47">
        <f t="shared" si="40"/>
        <v>46558</v>
      </c>
      <c r="F668" s="48">
        <f t="shared" ca="1" si="41"/>
        <v>355</v>
      </c>
      <c r="G668" s="46" t="str">
        <f t="shared" ca="1" si="42"/>
        <v>GREEN</v>
      </c>
      <c r="H668" s="46" t="str">
        <f t="shared" ca="1" si="43"/>
        <v>Current</v>
      </c>
      <c r="I668" s="21"/>
    </row>
    <row r="669" spans="1:9" x14ac:dyDescent="0.35">
      <c r="A669" s="46" t="s">
        <v>235</v>
      </c>
      <c r="B669" s="46" t="s">
        <v>115</v>
      </c>
      <c r="C669" s="47" t="str">
        <f>Matrix!H9</f>
        <v>NS</v>
      </c>
      <c r="D669" s="48">
        <f>IFERROR(VLOOKUP(B669,'Renewal Rules'!$A:$B,2,FALSE),"")</f>
        <v>36</v>
      </c>
      <c r="E669" s="47" t="str">
        <f t="shared" si="40"/>
        <v/>
      </c>
      <c r="F669" s="48" t="str">
        <f t="shared" ca="1" si="41"/>
        <v/>
      </c>
      <c r="G669" s="46" t="str">
        <f t="shared" ca="1" si="42"/>
        <v>RED</v>
      </c>
      <c r="H669" s="46" t="str">
        <f t="shared" ca="1" si="43"/>
        <v>Not Started</v>
      </c>
      <c r="I669" s="21"/>
    </row>
    <row r="670" spans="1:9" x14ac:dyDescent="0.35">
      <c r="A670" s="46" t="s">
        <v>235</v>
      </c>
      <c r="B670" s="46" t="s">
        <v>116</v>
      </c>
      <c r="C670" s="47" t="str">
        <f>Matrix!I9</f>
        <v>NS</v>
      </c>
      <c r="D670" s="48">
        <f>IFERROR(VLOOKUP(B670,'Renewal Rules'!$A:$B,2,FALSE),"")</f>
        <v>36</v>
      </c>
      <c r="E670" s="47" t="str">
        <f t="shared" si="40"/>
        <v/>
      </c>
      <c r="F670" s="48" t="str">
        <f t="shared" ca="1" si="41"/>
        <v/>
      </c>
      <c r="G670" s="46" t="str">
        <f t="shared" ca="1" si="42"/>
        <v>RED</v>
      </c>
      <c r="H670" s="46" t="str">
        <f t="shared" ca="1" si="43"/>
        <v>Not Started</v>
      </c>
      <c r="I670" s="21"/>
    </row>
    <row r="671" spans="1:9" x14ac:dyDescent="0.35">
      <c r="A671" s="46" t="s">
        <v>235</v>
      </c>
      <c r="B671" s="46" t="s">
        <v>117</v>
      </c>
      <c r="C671" s="47">
        <f>Matrix!J9</f>
        <v>46193</v>
      </c>
      <c r="D671" s="48">
        <f>IFERROR(VLOOKUP(B671,'Renewal Rules'!$A:$B,2,FALSE),"")</f>
        <v>12</v>
      </c>
      <c r="E671" s="47">
        <f t="shared" si="40"/>
        <v>46558</v>
      </c>
      <c r="F671" s="48">
        <f t="shared" ca="1" si="41"/>
        <v>355</v>
      </c>
      <c r="G671" s="46" t="str">
        <f t="shared" ca="1" si="42"/>
        <v>GREEN</v>
      </c>
      <c r="H671" s="46" t="str">
        <f t="shared" ca="1" si="43"/>
        <v>Current</v>
      </c>
      <c r="I671" s="21"/>
    </row>
    <row r="672" spans="1:9" x14ac:dyDescent="0.35">
      <c r="A672" s="46" t="s">
        <v>235</v>
      </c>
      <c r="B672" s="46" t="s">
        <v>118</v>
      </c>
      <c r="C672" s="47" t="str">
        <f>Matrix!K9</f>
        <v>21/06/2026</v>
      </c>
      <c r="D672" s="48">
        <f>IFERROR(VLOOKUP(B672,'Renewal Rules'!$A:$B,2,FALSE),"")</f>
        <v>36</v>
      </c>
      <c r="E672" s="47">
        <f t="shared" si="40"/>
        <v>47290</v>
      </c>
      <c r="F672" s="48">
        <f t="shared" ca="1" si="41"/>
        <v>1087</v>
      </c>
      <c r="G672" s="46" t="str">
        <f t="shared" ca="1" si="42"/>
        <v>GREEN</v>
      </c>
      <c r="H672" s="46" t="str">
        <f t="shared" ca="1" si="43"/>
        <v>Current</v>
      </c>
      <c r="I672" s="21"/>
    </row>
    <row r="673" spans="1:9" x14ac:dyDescent="0.35">
      <c r="A673" s="46" t="s">
        <v>235</v>
      </c>
      <c r="B673" s="46" t="s">
        <v>119</v>
      </c>
      <c r="C673" s="47">
        <f>Matrix!L9</f>
        <v>46200</v>
      </c>
      <c r="D673" s="48">
        <f>IFERROR(VLOOKUP(B673,'Renewal Rules'!$A:$B,2,FALSE),"")</f>
        <v>12</v>
      </c>
      <c r="E673" s="47">
        <f t="shared" si="40"/>
        <v>46565</v>
      </c>
      <c r="F673" s="48">
        <f t="shared" ca="1" si="41"/>
        <v>362</v>
      </c>
      <c r="G673" s="46" t="str">
        <f t="shared" ca="1" si="42"/>
        <v>GREEN</v>
      </c>
      <c r="H673" s="46" t="str">
        <f t="shared" ca="1" si="43"/>
        <v>Current</v>
      </c>
      <c r="I673" s="21"/>
    </row>
    <row r="674" spans="1:9" x14ac:dyDescent="0.35">
      <c r="A674" s="46" t="s">
        <v>235</v>
      </c>
      <c r="B674" s="46" t="s">
        <v>120</v>
      </c>
      <c r="C674" s="47">
        <f>Matrix!M9</f>
        <v>46193</v>
      </c>
      <c r="D674" s="48">
        <f>IFERROR(VLOOKUP(B674,'Renewal Rules'!$A:$B,2,FALSE),"")</f>
        <v>12</v>
      </c>
      <c r="E674" s="47">
        <f t="shared" si="40"/>
        <v>46558</v>
      </c>
      <c r="F674" s="48">
        <f t="shared" ca="1" si="41"/>
        <v>355</v>
      </c>
      <c r="G674" s="46" t="str">
        <f t="shared" ca="1" si="42"/>
        <v>GREEN</v>
      </c>
      <c r="H674" s="46" t="str">
        <f t="shared" ca="1" si="43"/>
        <v>Current</v>
      </c>
      <c r="I674" s="21"/>
    </row>
    <row r="675" spans="1:9" x14ac:dyDescent="0.35">
      <c r="A675" s="46" t="s">
        <v>235</v>
      </c>
      <c r="B675" s="46" t="s">
        <v>121</v>
      </c>
      <c r="C675" s="47" t="str">
        <f>Matrix!N9</f>
        <v>NS</v>
      </c>
      <c r="D675" s="48">
        <f>IFERROR(VLOOKUP(B675,'Renewal Rules'!$A:$B,2,FALSE),"")</f>
        <v>12</v>
      </c>
      <c r="E675" s="47" t="str">
        <f t="shared" si="40"/>
        <v/>
      </c>
      <c r="F675" s="48" t="str">
        <f t="shared" ca="1" si="41"/>
        <v/>
      </c>
      <c r="G675" s="46" t="str">
        <f t="shared" ca="1" si="42"/>
        <v>RED</v>
      </c>
      <c r="H675" s="46" t="str">
        <f t="shared" ca="1" si="43"/>
        <v>Not Started</v>
      </c>
      <c r="I675" s="21"/>
    </row>
    <row r="676" spans="1:9" ht="12.9" customHeight="1" x14ac:dyDescent="0.35">
      <c r="A676" s="46" t="s">
        <v>235</v>
      </c>
      <c r="B676" s="46" t="s">
        <v>103</v>
      </c>
      <c r="C676" s="47" t="str">
        <f>Matrix!O9</f>
        <v>22/02/2026</v>
      </c>
      <c r="D676" s="48">
        <f>IFERROR(VLOOKUP(B676,'Renewal Rules'!$A:$B,2,FALSE),"")</f>
        <v>36</v>
      </c>
      <c r="E676" s="47">
        <f t="shared" si="40"/>
        <v>47171</v>
      </c>
      <c r="F676" s="48">
        <f t="shared" ca="1" si="41"/>
        <v>968</v>
      </c>
      <c r="G676" s="46" t="str">
        <f t="shared" ca="1" si="42"/>
        <v>GREEN</v>
      </c>
      <c r="H676" s="46" t="str">
        <f t="shared" ca="1" si="43"/>
        <v>Current</v>
      </c>
      <c r="I676" s="21"/>
    </row>
    <row r="677" spans="1:9" x14ac:dyDescent="0.35">
      <c r="A677" s="46" t="s">
        <v>235</v>
      </c>
      <c r="B677" s="46" t="s">
        <v>122</v>
      </c>
      <c r="C677" s="47" t="str">
        <f>Matrix!P9</f>
        <v>NS</v>
      </c>
      <c r="D677" s="48">
        <f>IFERROR(VLOOKUP(B677,'Renewal Rules'!$A:$B,2,FALSE),"")</f>
        <v>36</v>
      </c>
      <c r="E677" s="47" t="str">
        <f t="shared" si="40"/>
        <v/>
      </c>
      <c r="F677" s="48" t="str">
        <f t="shared" ca="1" si="41"/>
        <v/>
      </c>
      <c r="G677" s="46" t="str">
        <f t="shared" ca="1" si="42"/>
        <v>RED</v>
      </c>
      <c r="H677" s="46" t="str">
        <f t="shared" ca="1" si="43"/>
        <v>Not Started</v>
      </c>
      <c r="I677" s="21"/>
    </row>
    <row r="678" spans="1:9" x14ac:dyDescent="0.35">
      <c r="A678" s="46" t="s">
        <v>235</v>
      </c>
      <c r="B678" s="46" t="s">
        <v>101</v>
      </c>
      <c r="C678" s="47" t="str">
        <f>Matrix!Q9</f>
        <v>06/02/2026</v>
      </c>
      <c r="D678" s="48">
        <f>IFERROR(VLOOKUP(B678,'Renewal Rules'!$A:$B,2,FALSE),"")</f>
        <v>36</v>
      </c>
      <c r="E678" s="47">
        <f t="shared" si="40"/>
        <v>47155</v>
      </c>
      <c r="F678" s="48">
        <f t="shared" ca="1" si="41"/>
        <v>952</v>
      </c>
      <c r="G678" s="46" t="str">
        <f t="shared" ca="1" si="42"/>
        <v>GREEN</v>
      </c>
      <c r="H678" s="46" t="str">
        <f t="shared" ca="1" si="43"/>
        <v>Current</v>
      </c>
      <c r="I678" s="21"/>
    </row>
    <row r="679" spans="1:9" x14ac:dyDescent="0.35">
      <c r="A679" s="46" t="s">
        <v>235</v>
      </c>
      <c r="B679" s="46" t="s">
        <v>123</v>
      </c>
      <c r="C679" s="47" t="str">
        <f>Matrix!R9</f>
        <v>06/02/2026</v>
      </c>
      <c r="D679" s="48">
        <f>IFERROR(VLOOKUP(B679,'Renewal Rules'!$A:$B,2,FALSE),"")</f>
        <v>12</v>
      </c>
      <c r="E679" s="47">
        <f t="shared" si="40"/>
        <v>46424</v>
      </c>
      <c r="F679" s="48">
        <f t="shared" ca="1" si="41"/>
        <v>221</v>
      </c>
      <c r="G679" s="46" t="str">
        <f t="shared" ca="1" si="42"/>
        <v>GREEN</v>
      </c>
      <c r="H679" s="46" t="str">
        <f t="shared" ca="1" si="43"/>
        <v>Current</v>
      </c>
      <c r="I679" s="21"/>
    </row>
    <row r="680" spans="1:9" x14ac:dyDescent="0.35">
      <c r="A680" s="46" t="s">
        <v>235</v>
      </c>
      <c r="B680" s="46" t="s">
        <v>124</v>
      </c>
      <c r="C680" s="47">
        <f>Matrix!S9</f>
        <v>46199</v>
      </c>
      <c r="D680" s="48">
        <f>IFERROR(VLOOKUP(B680,'Renewal Rules'!$A:$B,2,FALSE),"")</f>
        <v>12</v>
      </c>
      <c r="E680" s="47">
        <f t="shared" si="40"/>
        <v>46564</v>
      </c>
      <c r="F680" s="48">
        <f t="shared" ca="1" si="41"/>
        <v>361</v>
      </c>
      <c r="G680" s="46" t="str">
        <f t="shared" ca="1" si="42"/>
        <v>GREEN</v>
      </c>
      <c r="H680" s="46" t="str">
        <f t="shared" ca="1" si="43"/>
        <v>Current</v>
      </c>
      <c r="I680" s="21"/>
    </row>
    <row r="681" spans="1:9" x14ac:dyDescent="0.35">
      <c r="A681" s="46" t="s">
        <v>235</v>
      </c>
      <c r="B681" s="46" t="s">
        <v>125</v>
      </c>
      <c r="C681" s="47" t="str">
        <f>Matrix!T9</f>
        <v>06/02/2026</v>
      </c>
      <c r="D681" s="48">
        <f>IFERROR(VLOOKUP(B681,'Renewal Rules'!$A:$B,2,FALSE),"")</f>
        <v>12</v>
      </c>
      <c r="E681" s="47">
        <f t="shared" si="40"/>
        <v>46424</v>
      </c>
      <c r="F681" s="48">
        <f t="shared" ca="1" si="41"/>
        <v>221</v>
      </c>
      <c r="G681" s="46" t="str">
        <f t="shared" ca="1" si="42"/>
        <v>GREEN</v>
      </c>
      <c r="H681" s="46" t="str">
        <f t="shared" ca="1" si="43"/>
        <v>Current</v>
      </c>
      <c r="I681" s="21"/>
    </row>
    <row r="682" spans="1:9" x14ac:dyDescent="0.35">
      <c r="A682" s="46" t="s">
        <v>235</v>
      </c>
      <c r="B682" s="46" t="s">
        <v>126</v>
      </c>
      <c r="C682" s="47">
        <f>Matrix!U9</f>
        <v>46193</v>
      </c>
      <c r="D682" s="48">
        <f>IFERROR(VLOOKUP(B682,'Renewal Rules'!$A:$B,2,FALSE),"")</f>
        <v>36</v>
      </c>
      <c r="E682" s="47">
        <f t="shared" si="40"/>
        <v>47289</v>
      </c>
      <c r="F682" s="48">
        <f t="shared" ca="1" si="41"/>
        <v>1086</v>
      </c>
      <c r="G682" s="46" t="str">
        <f t="shared" ca="1" si="42"/>
        <v>GREEN</v>
      </c>
      <c r="H682" s="46" t="str">
        <f t="shared" ca="1" si="43"/>
        <v>Current</v>
      </c>
      <c r="I682" s="21"/>
    </row>
    <row r="683" spans="1:9" x14ac:dyDescent="0.35">
      <c r="A683" s="46" t="s">
        <v>235</v>
      </c>
      <c r="B683" s="46" t="s">
        <v>127</v>
      </c>
      <c r="C683" s="47" t="str">
        <f>Matrix!V9</f>
        <v>NS</v>
      </c>
      <c r="D683" s="48">
        <f>IFERROR(VLOOKUP(B683,'Renewal Rules'!$A:$B,2,FALSE),"")</f>
        <v>12</v>
      </c>
      <c r="E683" s="47" t="str">
        <f t="shared" si="40"/>
        <v/>
      </c>
      <c r="F683" s="48" t="str">
        <f t="shared" ca="1" si="41"/>
        <v/>
      </c>
      <c r="G683" s="46" t="str">
        <f t="shared" ca="1" si="42"/>
        <v>RED</v>
      </c>
      <c r="H683" s="46" t="str">
        <f t="shared" ca="1" si="43"/>
        <v>Not Started</v>
      </c>
      <c r="I683" s="21"/>
    </row>
    <row r="684" spans="1:9" x14ac:dyDescent="0.35">
      <c r="A684" s="46" t="s">
        <v>235</v>
      </c>
      <c r="B684" s="46" t="s">
        <v>128</v>
      </c>
      <c r="C684" s="47" t="str">
        <f>Matrix!W9</f>
        <v>11/02/2026</v>
      </c>
      <c r="D684" s="48">
        <f>IFERROR(VLOOKUP(B684,'Renewal Rules'!$A:$B,2,FALSE),"")</f>
        <v>12</v>
      </c>
      <c r="E684" s="47">
        <f t="shared" si="40"/>
        <v>46429</v>
      </c>
      <c r="F684" s="48">
        <f t="shared" ca="1" si="41"/>
        <v>226</v>
      </c>
      <c r="G684" s="46" t="str">
        <f t="shared" ca="1" si="42"/>
        <v>GREEN</v>
      </c>
      <c r="H684" s="46" t="str">
        <f t="shared" ca="1" si="43"/>
        <v>Current</v>
      </c>
      <c r="I684" s="21"/>
    </row>
    <row r="685" spans="1:9" x14ac:dyDescent="0.35">
      <c r="A685" s="46" t="s">
        <v>235</v>
      </c>
      <c r="B685" s="46" t="s">
        <v>129</v>
      </c>
      <c r="C685" s="47">
        <f>Matrix!X9</f>
        <v>46193</v>
      </c>
      <c r="D685" s="48">
        <f>IFERROR(VLOOKUP(B685,'Renewal Rules'!$A:$B,2,FALSE),"")</f>
        <v>36</v>
      </c>
      <c r="E685" s="47">
        <f t="shared" si="40"/>
        <v>47289</v>
      </c>
      <c r="F685" s="48">
        <f t="shared" ca="1" si="41"/>
        <v>1086</v>
      </c>
      <c r="G685" s="46" t="str">
        <f t="shared" ca="1" si="42"/>
        <v>GREEN</v>
      </c>
      <c r="H685" s="46" t="str">
        <f t="shared" ca="1" si="43"/>
        <v>Current</v>
      </c>
      <c r="I685" s="21"/>
    </row>
    <row r="686" spans="1:9" x14ac:dyDescent="0.35">
      <c r="A686" s="46" t="s">
        <v>235</v>
      </c>
      <c r="B686" s="46" t="s">
        <v>130</v>
      </c>
      <c r="C686" s="47" t="str">
        <f>Matrix!Y9</f>
        <v>NS</v>
      </c>
      <c r="D686" s="48">
        <f>IFERROR(VLOOKUP(B686,'Renewal Rules'!$A:$B,2,FALSE),"")</f>
        <v>36</v>
      </c>
      <c r="E686" s="47" t="str">
        <f t="shared" si="40"/>
        <v/>
      </c>
      <c r="F686" s="48" t="str">
        <f t="shared" ca="1" si="41"/>
        <v/>
      </c>
      <c r="G686" s="46" t="str">
        <f t="shared" ca="1" si="42"/>
        <v>RED</v>
      </c>
      <c r="H686" s="46" t="str">
        <f t="shared" ca="1" si="43"/>
        <v>Not Started</v>
      </c>
      <c r="I686" s="21"/>
    </row>
    <row r="687" spans="1:9" x14ac:dyDescent="0.35">
      <c r="A687" s="46" t="s">
        <v>235</v>
      </c>
      <c r="B687" s="46" t="s">
        <v>131</v>
      </c>
      <c r="C687" s="47" t="str">
        <f>Matrix!Z9</f>
        <v>09/02/2026</v>
      </c>
      <c r="D687" s="48">
        <f>IFERROR(VLOOKUP(B687,'Renewal Rules'!$A:$B,2,FALSE),"")</f>
        <v>12</v>
      </c>
      <c r="E687" s="47">
        <f t="shared" si="40"/>
        <v>46427</v>
      </c>
      <c r="F687" s="48">
        <f t="shared" ca="1" si="41"/>
        <v>224</v>
      </c>
      <c r="G687" s="46" t="str">
        <f t="shared" ca="1" si="42"/>
        <v>GREEN</v>
      </c>
      <c r="H687" s="46" t="str">
        <f t="shared" ca="1" si="43"/>
        <v>Current</v>
      </c>
      <c r="I687" s="21"/>
    </row>
    <row r="688" spans="1:9" x14ac:dyDescent="0.35">
      <c r="A688" s="46" t="s">
        <v>235</v>
      </c>
      <c r="B688" s="46" t="s">
        <v>132</v>
      </c>
      <c r="C688" s="47">
        <f>Matrix!AA9</f>
        <v>46195</v>
      </c>
      <c r="D688" s="48">
        <f>IFERROR(VLOOKUP(B688,'Renewal Rules'!$A:$B,2,FALSE),"")</f>
        <v>12</v>
      </c>
      <c r="E688" s="47">
        <f t="shared" si="40"/>
        <v>46560</v>
      </c>
      <c r="F688" s="48">
        <f t="shared" ca="1" si="41"/>
        <v>357</v>
      </c>
      <c r="G688" s="46" t="str">
        <f t="shared" ca="1" si="42"/>
        <v>GREEN</v>
      </c>
      <c r="H688" s="46" t="str">
        <f t="shared" ca="1" si="43"/>
        <v>Current</v>
      </c>
      <c r="I688" s="21"/>
    </row>
    <row r="689" spans="1:9" x14ac:dyDescent="0.35">
      <c r="A689" s="46" t="s">
        <v>235</v>
      </c>
      <c r="B689" s="46" t="s">
        <v>92</v>
      </c>
      <c r="C689" s="47" t="str">
        <f>Matrix!AB9</f>
        <v>13/07/2024</v>
      </c>
      <c r="D689" s="48">
        <f>IFERROR(VLOOKUP(B689,'Renewal Rules'!$A:$B,2,FALSE),"")</f>
        <v>12</v>
      </c>
      <c r="E689" s="47">
        <f t="shared" si="40"/>
        <v>45851</v>
      </c>
      <c r="F689" s="48">
        <f t="shared" ca="1" si="41"/>
        <v>-352</v>
      </c>
      <c r="G689" s="46" t="str">
        <f t="shared" ca="1" si="42"/>
        <v>RED</v>
      </c>
      <c r="H689" s="46" t="str">
        <f t="shared" ca="1" si="43"/>
        <v>Expired</v>
      </c>
      <c r="I689" s="21"/>
    </row>
    <row r="690" spans="1:9" x14ac:dyDescent="0.35">
      <c r="A690" s="46" t="s">
        <v>235</v>
      </c>
      <c r="B690" s="46" t="s">
        <v>133</v>
      </c>
      <c r="C690" s="47" t="str">
        <f>Matrix!AC9</f>
        <v>NS</v>
      </c>
      <c r="D690" s="48">
        <f>IFERROR(VLOOKUP(B690,'Renewal Rules'!$A:$B,2,FALSE),"")</f>
        <v>36</v>
      </c>
      <c r="E690" s="47" t="str">
        <f t="shared" si="40"/>
        <v/>
      </c>
      <c r="F690" s="48" t="str">
        <f t="shared" ca="1" si="41"/>
        <v/>
      </c>
      <c r="G690" s="46" t="str">
        <f t="shared" ca="1" si="42"/>
        <v>RED</v>
      </c>
      <c r="H690" s="46" t="str">
        <f t="shared" ca="1" si="43"/>
        <v>Not Started</v>
      </c>
      <c r="I690" s="21"/>
    </row>
    <row r="691" spans="1:9" x14ac:dyDescent="0.35">
      <c r="A691" s="46" t="s">
        <v>235</v>
      </c>
      <c r="B691" s="46" t="s">
        <v>134</v>
      </c>
      <c r="C691" s="47">
        <f>Matrix!AD9</f>
        <v>46194</v>
      </c>
      <c r="D691" s="48">
        <f>IFERROR(VLOOKUP(B691,'Renewal Rules'!$A:$B,2,FALSE),"")</f>
        <v>36</v>
      </c>
      <c r="E691" s="47">
        <f t="shared" si="40"/>
        <v>47290</v>
      </c>
      <c r="F691" s="48">
        <f t="shared" ca="1" si="41"/>
        <v>1087</v>
      </c>
      <c r="G691" s="46" t="str">
        <f t="shared" ca="1" si="42"/>
        <v>GREEN</v>
      </c>
      <c r="H691" s="46" t="str">
        <f t="shared" ca="1" si="43"/>
        <v>Current</v>
      </c>
      <c r="I691" s="21"/>
    </row>
    <row r="692" spans="1:9" x14ac:dyDescent="0.35">
      <c r="A692" s="46" t="s">
        <v>235</v>
      </c>
      <c r="B692" s="46" t="s">
        <v>98</v>
      </c>
      <c r="C692" s="47" t="str">
        <f>Matrix!AE9</f>
        <v>09/02/2026</v>
      </c>
      <c r="D692" s="48">
        <f>IFERROR(VLOOKUP(B692,'Renewal Rules'!$A:$B,2,FALSE),"")</f>
        <v>36</v>
      </c>
      <c r="E692" s="47">
        <f t="shared" si="40"/>
        <v>47158</v>
      </c>
      <c r="F692" s="48">
        <f t="shared" ca="1" si="41"/>
        <v>955</v>
      </c>
      <c r="G692" s="46" t="str">
        <f t="shared" ca="1" si="42"/>
        <v>GREEN</v>
      </c>
      <c r="H692" s="46" t="str">
        <f t="shared" ca="1" si="43"/>
        <v>Current</v>
      </c>
      <c r="I692" s="21"/>
    </row>
    <row r="693" spans="1:9" x14ac:dyDescent="0.35">
      <c r="A693" s="46" t="s">
        <v>235</v>
      </c>
      <c r="B693" s="46" t="s">
        <v>135</v>
      </c>
      <c r="C693" s="47">
        <f>Matrix!AF9</f>
        <v>46194</v>
      </c>
      <c r="D693" s="48">
        <f>IFERROR(VLOOKUP(B693,'Renewal Rules'!$A:$B,2,FALSE),"")</f>
        <v>36</v>
      </c>
      <c r="E693" s="47">
        <f t="shared" si="40"/>
        <v>47290</v>
      </c>
      <c r="F693" s="48">
        <f t="shared" ca="1" si="41"/>
        <v>1087</v>
      </c>
      <c r="G693" s="46" t="str">
        <f t="shared" ca="1" si="42"/>
        <v>GREEN</v>
      </c>
      <c r="H693" s="46" t="str">
        <f t="shared" ca="1" si="43"/>
        <v>Current</v>
      </c>
      <c r="I693" s="21"/>
    </row>
    <row r="694" spans="1:9" x14ac:dyDescent="0.35">
      <c r="A694" s="46" t="s">
        <v>235</v>
      </c>
      <c r="B694" s="46" t="s">
        <v>136</v>
      </c>
      <c r="C694" s="47">
        <f>Matrix!AG9</f>
        <v>46193</v>
      </c>
      <c r="D694" s="48">
        <f>IFERROR(VLOOKUP(B694,'Renewal Rules'!$A:$B,2,FALSE),"")</f>
        <v>12</v>
      </c>
      <c r="E694" s="47">
        <f t="shared" si="40"/>
        <v>46558</v>
      </c>
      <c r="F694" s="48">
        <f t="shared" ca="1" si="41"/>
        <v>355</v>
      </c>
      <c r="G694" s="46" t="str">
        <f t="shared" ca="1" si="42"/>
        <v>GREEN</v>
      </c>
      <c r="H694" s="46" t="str">
        <f t="shared" ca="1" si="43"/>
        <v>Current</v>
      </c>
      <c r="I694" s="21"/>
    </row>
    <row r="695" spans="1:9" x14ac:dyDescent="0.35">
      <c r="A695" s="46" t="s">
        <v>235</v>
      </c>
      <c r="B695" s="46" t="s">
        <v>137</v>
      </c>
      <c r="C695" s="47" t="str">
        <f>Matrix!AH9</f>
        <v>NS</v>
      </c>
      <c r="D695" s="48">
        <f>IFERROR(VLOOKUP(B695,'Renewal Rules'!$A:$B,2,FALSE),"")</f>
        <v>36</v>
      </c>
      <c r="E695" s="47" t="str">
        <f t="shared" si="40"/>
        <v/>
      </c>
      <c r="F695" s="48" t="str">
        <f t="shared" ca="1" si="41"/>
        <v/>
      </c>
      <c r="G695" s="46" t="str">
        <f t="shared" ca="1" si="42"/>
        <v>RED</v>
      </c>
      <c r="H695" s="46" t="str">
        <f t="shared" ca="1" si="43"/>
        <v>Not Started</v>
      </c>
      <c r="I695" s="21"/>
    </row>
    <row r="696" spans="1:9" ht="12.9" customHeight="1" x14ac:dyDescent="0.35">
      <c r="A696" s="46" t="s">
        <v>235</v>
      </c>
      <c r="B696" s="46" t="s">
        <v>138</v>
      </c>
      <c r="C696" s="47" t="str">
        <f>Matrix!AI9</f>
        <v>21/06/2026</v>
      </c>
      <c r="D696" s="48">
        <f>IFERROR(VLOOKUP(B696,'Renewal Rules'!$A:$B,2,FALSE),"")</f>
        <v>12</v>
      </c>
      <c r="E696" s="47">
        <f t="shared" si="40"/>
        <v>46559</v>
      </c>
      <c r="F696" s="48">
        <f t="shared" ca="1" si="41"/>
        <v>356</v>
      </c>
      <c r="G696" s="46" t="str">
        <f t="shared" ca="1" si="42"/>
        <v>GREEN</v>
      </c>
      <c r="H696" s="46" t="str">
        <f t="shared" ca="1" si="43"/>
        <v>Current</v>
      </c>
      <c r="I696" s="21"/>
    </row>
    <row r="697" spans="1:9" x14ac:dyDescent="0.35">
      <c r="A697" s="46" t="s">
        <v>235</v>
      </c>
      <c r="B697" s="46" t="s">
        <v>139</v>
      </c>
      <c r="C697" s="47">
        <f>Matrix!AJ9</f>
        <v>46195</v>
      </c>
      <c r="D697" s="48">
        <f>IFERROR(VLOOKUP(B697,'Renewal Rules'!$A:$B,2,FALSE),"")</f>
        <v>12</v>
      </c>
      <c r="E697" s="47">
        <f t="shared" si="40"/>
        <v>46560</v>
      </c>
      <c r="F697" s="48">
        <f t="shared" ca="1" si="41"/>
        <v>357</v>
      </c>
      <c r="G697" s="46" t="str">
        <f t="shared" ca="1" si="42"/>
        <v>GREEN</v>
      </c>
      <c r="H697" s="46" t="str">
        <f t="shared" ca="1" si="43"/>
        <v>Current</v>
      </c>
      <c r="I697" s="21"/>
    </row>
    <row r="698" spans="1:9" x14ac:dyDescent="0.35">
      <c r="A698" s="46" t="s">
        <v>235</v>
      </c>
      <c r="B698" s="46" t="s">
        <v>97</v>
      </c>
      <c r="C698" s="47">
        <f>Matrix!AK9</f>
        <v>45987</v>
      </c>
      <c r="D698" s="48">
        <f>IFERROR(VLOOKUP(B698,'Renewal Rules'!$A:$B,2,FALSE),"")</f>
        <v>12</v>
      </c>
      <c r="E698" s="47">
        <f t="shared" si="40"/>
        <v>46352</v>
      </c>
      <c r="F698" s="48">
        <f t="shared" ca="1" si="41"/>
        <v>149</v>
      </c>
      <c r="G698" s="46" t="str">
        <f t="shared" ca="1" si="42"/>
        <v>GREEN</v>
      </c>
      <c r="H698" s="46" t="str">
        <f t="shared" ca="1" si="43"/>
        <v>Current</v>
      </c>
      <c r="I698" s="21"/>
    </row>
    <row r="699" spans="1:9" x14ac:dyDescent="0.35">
      <c r="A699" s="46" t="s">
        <v>235</v>
      </c>
      <c r="B699" s="46" t="s">
        <v>140</v>
      </c>
      <c r="C699" s="47">
        <f>Matrix!AL9</f>
        <v>46200</v>
      </c>
      <c r="D699" s="48">
        <f>IFERROR(VLOOKUP(B699,'Renewal Rules'!$A:$B,2,FALSE),"")</f>
        <v>36</v>
      </c>
      <c r="E699" s="47">
        <f t="shared" si="40"/>
        <v>47296</v>
      </c>
      <c r="F699" s="48">
        <f t="shared" ca="1" si="41"/>
        <v>1093</v>
      </c>
      <c r="G699" s="46" t="str">
        <f t="shared" ca="1" si="42"/>
        <v>GREEN</v>
      </c>
      <c r="H699" s="46" t="str">
        <f t="shared" ca="1" si="43"/>
        <v>Current</v>
      </c>
      <c r="I699" s="21"/>
    </row>
    <row r="700" spans="1:9" x14ac:dyDescent="0.35">
      <c r="A700" s="46" t="s">
        <v>235</v>
      </c>
      <c r="B700" s="46" t="s">
        <v>141</v>
      </c>
      <c r="C700" s="47" t="str">
        <f>Matrix!AM9</f>
        <v>NS</v>
      </c>
      <c r="D700" s="48">
        <f>IFERROR(VLOOKUP(B700,'Renewal Rules'!$A:$B,2,FALSE),"")</f>
        <v>12</v>
      </c>
      <c r="E700" s="47" t="str">
        <f t="shared" si="40"/>
        <v/>
      </c>
      <c r="F700" s="48" t="str">
        <f t="shared" ca="1" si="41"/>
        <v/>
      </c>
      <c r="G700" s="46" t="str">
        <f t="shared" ca="1" si="42"/>
        <v>RED</v>
      </c>
      <c r="H700" s="46" t="str">
        <f t="shared" ca="1" si="43"/>
        <v>Not Started</v>
      </c>
      <c r="I700" s="21"/>
    </row>
    <row r="701" spans="1:9" x14ac:dyDescent="0.35">
      <c r="A701" s="46" t="s">
        <v>235</v>
      </c>
      <c r="B701" s="46" t="s">
        <v>142</v>
      </c>
      <c r="C701" s="47" t="str">
        <f>Matrix!AN9</f>
        <v>NS</v>
      </c>
      <c r="D701" s="48">
        <f>IFERROR(VLOOKUP(B701,'Renewal Rules'!$A:$B,2,FALSE),"")</f>
        <v>12</v>
      </c>
      <c r="E701" s="47" t="str">
        <f t="shared" si="40"/>
        <v/>
      </c>
      <c r="F701" s="48" t="str">
        <f t="shared" ca="1" si="41"/>
        <v/>
      </c>
      <c r="G701" s="46" t="str">
        <f t="shared" ca="1" si="42"/>
        <v>RED</v>
      </c>
      <c r="H701" s="46" t="str">
        <f t="shared" ca="1" si="43"/>
        <v>Not Started</v>
      </c>
      <c r="I701" s="21"/>
    </row>
    <row r="702" spans="1:9" x14ac:dyDescent="0.35">
      <c r="A702" s="46" t="s">
        <v>235</v>
      </c>
      <c r="B702" s="46" t="s">
        <v>143</v>
      </c>
      <c r="C702" s="47" t="str">
        <f>Matrix!AO9</f>
        <v>NS</v>
      </c>
      <c r="D702" s="48">
        <f>IFERROR(VLOOKUP(B702,'Renewal Rules'!$A:$B,2,FALSE),"")</f>
        <v>12</v>
      </c>
      <c r="E702" s="47" t="str">
        <f t="shared" si="40"/>
        <v/>
      </c>
      <c r="F702" s="48" t="str">
        <f t="shared" ca="1" si="41"/>
        <v/>
      </c>
      <c r="G702" s="46" t="str">
        <f t="shared" ca="1" si="42"/>
        <v>RED</v>
      </c>
      <c r="H702" s="46" t="str">
        <f t="shared" ca="1" si="43"/>
        <v>Not Started</v>
      </c>
      <c r="I702" s="21"/>
    </row>
    <row r="703" spans="1:9" x14ac:dyDescent="0.35">
      <c r="A703" s="46" t="s">
        <v>235</v>
      </c>
      <c r="B703" s="46" t="s">
        <v>102</v>
      </c>
      <c r="C703" s="47" t="str">
        <f>Matrix!AP9</f>
        <v>06/02/2026</v>
      </c>
      <c r="D703" s="48">
        <f>IFERROR(VLOOKUP(B703,'Renewal Rules'!$A:$B,2,FALSE),"")</f>
        <v>12</v>
      </c>
      <c r="E703" s="47">
        <f t="shared" si="40"/>
        <v>46424</v>
      </c>
      <c r="F703" s="48">
        <f t="shared" ca="1" si="41"/>
        <v>221</v>
      </c>
      <c r="G703" s="46" t="str">
        <f t="shared" ca="1" si="42"/>
        <v>GREEN</v>
      </c>
      <c r="H703" s="46" t="str">
        <f t="shared" ca="1" si="43"/>
        <v>Current</v>
      </c>
      <c r="I703" s="21"/>
    </row>
    <row r="704" spans="1:9" x14ac:dyDescent="0.35">
      <c r="A704" s="46" t="s">
        <v>235</v>
      </c>
      <c r="B704" s="46" t="s">
        <v>144</v>
      </c>
      <c r="C704" s="47" t="str">
        <f>Matrix!AQ9</f>
        <v>09/02/2026</v>
      </c>
      <c r="D704" s="48">
        <f>IFERROR(VLOOKUP(B704,'Renewal Rules'!$A:$B,2,FALSE),"")</f>
        <v>36</v>
      </c>
      <c r="E704" s="47">
        <f t="shared" si="40"/>
        <v>47158</v>
      </c>
      <c r="F704" s="48">
        <f t="shared" ca="1" si="41"/>
        <v>955</v>
      </c>
      <c r="G704" s="46" t="str">
        <f t="shared" ca="1" si="42"/>
        <v>GREEN</v>
      </c>
      <c r="H704" s="46" t="str">
        <f t="shared" ca="1" si="43"/>
        <v>Current</v>
      </c>
      <c r="I704" s="21"/>
    </row>
    <row r="705" spans="1:9" x14ac:dyDescent="0.35">
      <c r="A705" s="46" t="s">
        <v>235</v>
      </c>
      <c r="B705" s="46" t="s">
        <v>145</v>
      </c>
      <c r="C705" s="47">
        <f>Matrix!AR9</f>
        <v>46194</v>
      </c>
      <c r="D705" s="48">
        <f>IFERROR(VLOOKUP(B705,'Renewal Rules'!$A:$B,2,FALSE),"")</f>
        <v>12</v>
      </c>
      <c r="E705" s="47">
        <f t="shared" si="40"/>
        <v>46559</v>
      </c>
      <c r="F705" s="48">
        <f t="shared" ca="1" si="41"/>
        <v>356</v>
      </c>
      <c r="G705" s="46" t="str">
        <f t="shared" ca="1" si="42"/>
        <v>GREEN</v>
      </c>
      <c r="H705" s="46" t="str">
        <f t="shared" ca="1" si="43"/>
        <v>Current</v>
      </c>
      <c r="I705" s="21"/>
    </row>
    <row r="706" spans="1:9" x14ac:dyDescent="0.35">
      <c r="A706" s="46" t="s">
        <v>235</v>
      </c>
      <c r="B706" s="46" t="s">
        <v>146</v>
      </c>
      <c r="C706" s="47">
        <f>Matrix!AS9</f>
        <v>46194</v>
      </c>
      <c r="D706" s="48">
        <f>IFERROR(VLOOKUP(B706,'Renewal Rules'!$A:$B,2,FALSE),"")</f>
        <v>12</v>
      </c>
      <c r="E706" s="47">
        <f t="shared" si="40"/>
        <v>46559</v>
      </c>
      <c r="F706" s="48">
        <f t="shared" ca="1" si="41"/>
        <v>356</v>
      </c>
      <c r="G706" s="46" t="str">
        <f t="shared" ca="1" si="42"/>
        <v>GREEN</v>
      </c>
      <c r="H706" s="46" t="str">
        <f t="shared" ca="1" si="43"/>
        <v>Current</v>
      </c>
      <c r="I706" s="21"/>
    </row>
    <row r="707" spans="1:9" x14ac:dyDescent="0.35">
      <c r="A707" s="46" t="s">
        <v>235</v>
      </c>
      <c r="B707" s="46" t="s">
        <v>147</v>
      </c>
      <c r="C707" s="47" t="str">
        <f>Matrix!AT9</f>
        <v>NS</v>
      </c>
      <c r="D707" s="48">
        <f>IFERROR(VLOOKUP(B707,'Renewal Rules'!$A:$B,2,FALSE),"")</f>
        <v>36</v>
      </c>
      <c r="E707" s="47" t="str">
        <f t="shared" ref="E707:E770" si="44">IF(OR(C707="",C707="NS",C707="IP",C707="Failed"),"",IFERROR(EDATE(IF(ISNUMBER(C707),C707,IFERROR(DATEVALUE(C707),DATE(VALUE(RIGHT(C707,4)),VALUE(MID(C707,4,2)),VALUE(LEFT(C707,2))))),D707),""))</f>
        <v/>
      </c>
      <c r="F707" s="48" t="str">
        <f t="shared" ref="F707:F770" ca="1" si="45">IF(E707="","",E707-TODAY())</f>
        <v/>
      </c>
      <c r="G707" s="46" t="str">
        <f t="shared" ref="G707:G770" ca="1" si="46">IF(C707="NS","RED",IF(C707="IP","AMBER",IF(E707="","",IF(E707&lt;TODAY(),"RED",IF(E707&lt;=TODAY()+30,"AMBER","GREEN")))))</f>
        <v>RED</v>
      </c>
      <c r="H707" s="46" t="str">
        <f t="shared" ref="H707:H770" ca="1" si="47">IF(C707="NS","Not Started",IF(C707="IP","In Progress",IF(E707="","Check",IF(E707&lt;TODAY(),"Expired",IF(E707&lt;=TODAY()+30,"Expiring Soon","Current")))))</f>
        <v>Not Started</v>
      </c>
      <c r="I707" s="21"/>
    </row>
    <row r="708" spans="1:9" x14ac:dyDescent="0.35">
      <c r="A708" s="46" t="s">
        <v>235</v>
      </c>
      <c r="B708" s="46" t="s">
        <v>148</v>
      </c>
      <c r="C708" s="47" t="str">
        <f>Matrix!AU9</f>
        <v>NS</v>
      </c>
      <c r="D708" s="48">
        <f>IFERROR(VLOOKUP(B708,'Renewal Rules'!$A:$B,2,FALSE),"")</f>
        <v>36</v>
      </c>
      <c r="E708" s="47" t="str">
        <f t="shared" si="44"/>
        <v/>
      </c>
      <c r="F708" s="48" t="str">
        <f t="shared" ca="1" si="45"/>
        <v/>
      </c>
      <c r="G708" s="46" t="str">
        <f t="shared" ca="1" si="46"/>
        <v>RED</v>
      </c>
      <c r="H708" s="46" t="str">
        <f t="shared" ca="1" si="47"/>
        <v>Not Started</v>
      </c>
      <c r="I708" s="21"/>
    </row>
    <row r="709" spans="1:9" x14ac:dyDescent="0.35">
      <c r="A709" s="46" t="s">
        <v>235</v>
      </c>
      <c r="B709" s="46" t="s">
        <v>149</v>
      </c>
      <c r="C709" s="47" t="str">
        <f>Matrix!AV9</f>
        <v>NS</v>
      </c>
      <c r="D709" s="48">
        <f>IFERROR(VLOOKUP(B709,'Renewal Rules'!$A:$B,2,FALSE),"")</f>
        <v>36</v>
      </c>
      <c r="E709" s="47" t="str">
        <f t="shared" si="44"/>
        <v/>
      </c>
      <c r="F709" s="48" t="str">
        <f t="shared" ca="1" si="45"/>
        <v/>
      </c>
      <c r="G709" s="46" t="str">
        <f t="shared" ca="1" si="46"/>
        <v>RED</v>
      </c>
      <c r="H709" s="46" t="str">
        <f t="shared" ca="1" si="47"/>
        <v>Not Started</v>
      </c>
      <c r="I709" s="21"/>
    </row>
    <row r="710" spans="1:9" x14ac:dyDescent="0.35">
      <c r="A710" s="46" t="s">
        <v>235</v>
      </c>
      <c r="B710" s="46" t="s">
        <v>150</v>
      </c>
      <c r="C710" s="47" t="str">
        <f>Matrix!AW9</f>
        <v>NS</v>
      </c>
      <c r="D710" s="48">
        <f>IFERROR(VLOOKUP(B710,'Renewal Rules'!$A:$B,2,FALSE),"")</f>
        <v>36</v>
      </c>
      <c r="E710" s="47" t="str">
        <f t="shared" si="44"/>
        <v/>
      </c>
      <c r="F710" s="48" t="str">
        <f t="shared" ca="1" si="45"/>
        <v/>
      </c>
      <c r="G710" s="46" t="str">
        <f t="shared" ca="1" si="46"/>
        <v>RED</v>
      </c>
      <c r="H710" s="46" t="str">
        <f t="shared" ca="1" si="47"/>
        <v>Not Started</v>
      </c>
      <c r="I710" s="21"/>
    </row>
    <row r="711" spans="1:9" x14ac:dyDescent="0.35">
      <c r="A711" s="46" t="s">
        <v>235</v>
      </c>
      <c r="B711" s="46" t="s">
        <v>151</v>
      </c>
      <c r="C711" s="47" t="str">
        <f>Matrix!AX9</f>
        <v>NS</v>
      </c>
      <c r="D711" s="48">
        <f>IFERROR(VLOOKUP(B711,'Renewal Rules'!$A:$B,2,FALSE),"")</f>
        <v>36</v>
      </c>
      <c r="E711" s="47" t="str">
        <f t="shared" si="44"/>
        <v/>
      </c>
      <c r="F711" s="48" t="str">
        <f t="shared" ca="1" si="45"/>
        <v/>
      </c>
      <c r="G711" s="46" t="str">
        <f t="shared" ca="1" si="46"/>
        <v>RED</v>
      </c>
      <c r="H711" s="46" t="str">
        <f t="shared" ca="1" si="47"/>
        <v>Not Started</v>
      </c>
      <c r="I711" s="21"/>
    </row>
    <row r="712" spans="1:9" x14ac:dyDescent="0.35">
      <c r="A712" s="46" t="s">
        <v>235</v>
      </c>
      <c r="B712" s="46" t="s">
        <v>152</v>
      </c>
      <c r="C712" s="47" t="str">
        <f>Matrix!AY9</f>
        <v>NS</v>
      </c>
      <c r="D712" s="48">
        <f>IFERROR(VLOOKUP(B712,'Renewal Rules'!$A:$B,2,FALSE),"")</f>
        <v>36</v>
      </c>
      <c r="E712" s="47" t="str">
        <f t="shared" si="44"/>
        <v/>
      </c>
      <c r="F712" s="48" t="str">
        <f t="shared" ca="1" si="45"/>
        <v/>
      </c>
      <c r="G712" s="46" t="str">
        <f t="shared" ca="1" si="46"/>
        <v>RED</v>
      </c>
      <c r="H712" s="46" t="str">
        <f t="shared" ca="1" si="47"/>
        <v>Not Started</v>
      </c>
      <c r="I712" s="21"/>
    </row>
    <row r="713" spans="1:9" x14ac:dyDescent="0.35">
      <c r="A713" s="46" t="s">
        <v>235</v>
      </c>
      <c r="B713" s="46" t="s">
        <v>153</v>
      </c>
      <c r="C713" s="47" t="str">
        <f>Matrix!AZ9</f>
        <v>NS</v>
      </c>
      <c r="D713" s="48">
        <f>IFERROR(VLOOKUP(B713,'Renewal Rules'!$A:$B,2,FALSE),"")</f>
        <v>36</v>
      </c>
      <c r="E713" s="47" t="str">
        <f t="shared" si="44"/>
        <v/>
      </c>
      <c r="F713" s="48" t="str">
        <f t="shared" ca="1" si="45"/>
        <v/>
      </c>
      <c r="G713" s="46" t="str">
        <f t="shared" ca="1" si="46"/>
        <v>RED</v>
      </c>
      <c r="H713" s="46" t="str">
        <f t="shared" ca="1" si="47"/>
        <v>Not Started</v>
      </c>
      <c r="I713" s="21"/>
    </row>
    <row r="714" spans="1:9" x14ac:dyDescent="0.35">
      <c r="A714" s="46" t="s">
        <v>235</v>
      </c>
      <c r="B714" s="46" t="s">
        <v>154</v>
      </c>
      <c r="C714" s="47" t="str">
        <f>Matrix!BA9</f>
        <v>NS</v>
      </c>
      <c r="D714" s="48">
        <f>IFERROR(VLOOKUP(B714,'Renewal Rules'!$A:$B,2,FALSE),"")</f>
        <v>36</v>
      </c>
      <c r="E714" s="47" t="str">
        <f t="shared" si="44"/>
        <v/>
      </c>
      <c r="F714" s="48" t="str">
        <f t="shared" ca="1" si="45"/>
        <v/>
      </c>
      <c r="G714" s="46" t="str">
        <f t="shared" ca="1" si="46"/>
        <v>RED</v>
      </c>
      <c r="H714" s="46" t="str">
        <f t="shared" ca="1" si="47"/>
        <v>Not Started</v>
      </c>
      <c r="I714" s="21"/>
    </row>
    <row r="715" spans="1:9" x14ac:dyDescent="0.35">
      <c r="A715" s="46" t="s">
        <v>235</v>
      </c>
      <c r="B715" s="46" t="s">
        <v>155</v>
      </c>
      <c r="C715" s="47" t="str">
        <f>Matrix!BB9</f>
        <v>NS</v>
      </c>
      <c r="D715" s="48">
        <f>IFERROR(VLOOKUP(B715,'Renewal Rules'!$A:$B,2,FALSE),"")</f>
        <v>12</v>
      </c>
      <c r="E715" s="47" t="str">
        <f t="shared" si="44"/>
        <v/>
      </c>
      <c r="F715" s="48" t="str">
        <f t="shared" ca="1" si="45"/>
        <v/>
      </c>
      <c r="G715" s="46" t="str">
        <f t="shared" ca="1" si="46"/>
        <v>RED</v>
      </c>
      <c r="H715" s="46" t="str">
        <f t="shared" ca="1" si="47"/>
        <v>Not Started</v>
      </c>
      <c r="I715" s="21"/>
    </row>
    <row r="716" spans="1:9" x14ac:dyDescent="0.35">
      <c r="A716" s="46" t="s">
        <v>235</v>
      </c>
      <c r="B716" s="46" t="s">
        <v>156</v>
      </c>
      <c r="C716" s="47" t="str">
        <f>Matrix!BC9</f>
        <v>NS</v>
      </c>
      <c r="D716" s="48">
        <f>IFERROR(VLOOKUP(B716,'Renewal Rules'!$A:$B,2,FALSE),"")</f>
        <v>12</v>
      </c>
      <c r="E716" s="47" t="str">
        <f t="shared" si="44"/>
        <v/>
      </c>
      <c r="F716" s="48" t="str">
        <f t="shared" ca="1" si="45"/>
        <v/>
      </c>
      <c r="G716" s="46" t="str">
        <f t="shared" ca="1" si="46"/>
        <v>RED</v>
      </c>
      <c r="H716" s="46" t="str">
        <f t="shared" ca="1" si="47"/>
        <v>Not Started</v>
      </c>
      <c r="I716" s="21"/>
    </row>
    <row r="717" spans="1:9" x14ac:dyDescent="0.35">
      <c r="A717" s="46" t="s">
        <v>235</v>
      </c>
      <c r="B717" s="46" t="s">
        <v>157</v>
      </c>
      <c r="C717" s="47" t="str">
        <f>Matrix!BD9</f>
        <v>NS</v>
      </c>
      <c r="D717" s="48">
        <f>IFERROR(VLOOKUP(B717,'Renewal Rules'!$A:$B,2,FALSE),"")</f>
        <v>36</v>
      </c>
      <c r="E717" s="47" t="str">
        <f t="shared" si="44"/>
        <v/>
      </c>
      <c r="F717" s="48" t="str">
        <f t="shared" ca="1" si="45"/>
        <v/>
      </c>
      <c r="G717" s="46" t="str">
        <f t="shared" ca="1" si="46"/>
        <v>RED</v>
      </c>
      <c r="H717" s="46" t="str">
        <f t="shared" ca="1" si="47"/>
        <v>Not Started</v>
      </c>
      <c r="I717" s="21"/>
    </row>
    <row r="718" spans="1:9" ht="12.9" customHeight="1" x14ac:dyDescent="0.35">
      <c r="A718" s="46" t="s">
        <v>235</v>
      </c>
      <c r="B718" s="46" t="s">
        <v>158</v>
      </c>
      <c r="C718" s="47" t="str">
        <f>Matrix!BE9</f>
        <v>NS</v>
      </c>
      <c r="D718" s="48">
        <f>IFERROR(VLOOKUP(B718,'Renewal Rules'!$A:$B,2,FALSE),"")</f>
        <v>12</v>
      </c>
      <c r="E718" s="47" t="str">
        <f t="shared" si="44"/>
        <v/>
      </c>
      <c r="F718" s="48" t="str">
        <f t="shared" ca="1" si="45"/>
        <v/>
      </c>
      <c r="G718" s="46" t="str">
        <f t="shared" ca="1" si="46"/>
        <v>RED</v>
      </c>
      <c r="H718" s="46" t="str">
        <f t="shared" ca="1" si="47"/>
        <v>Not Started</v>
      </c>
      <c r="I718" s="21"/>
    </row>
    <row r="719" spans="1:9" x14ac:dyDescent="0.35">
      <c r="A719" s="46" t="s">
        <v>235</v>
      </c>
      <c r="B719" s="46" t="s">
        <v>95</v>
      </c>
      <c r="C719" s="47">
        <f>Matrix!BF9</f>
        <v>45979</v>
      </c>
      <c r="D719" s="48">
        <f>IFERROR(VLOOKUP(B719,'Renewal Rules'!$A:$B,2,FALSE),"")</f>
        <v>12</v>
      </c>
      <c r="E719" s="47">
        <f t="shared" si="44"/>
        <v>46344</v>
      </c>
      <c r="F719" s="48">
        <f t="shared" ca="1" si="45"/>
        <v>141</v>
      </c>
      <c r="G719" s="46" t="str">
        <f t="shared" ca="1" si="46"/>
        <v>GREEN</v>
      </c>
      <c r="H719" s="46" t="str">
        <f t="shared" ca="1" si="47"/>
        <v>Current</v>
      </c>
      <c r="I719" s="21"/>
    </row>
    <row r="720" spans="1:9" x14ac:dyDescent="0.35">
      <c r="A720" s="46" t="s">
        <v>235</v>
      </c>
      <c r="B720" s="46" t="s">
        <v>93</v>
      </c>
      <c r="C720" s="47" t="str">
        <f>Matrix!BG9</f>
        <v>NS</v>
      </c>
      <c r="D720" s="48">
        <f>IFERROR(VLOOKUP(B720,'Renewal Rules'!$A:$B,2,FALSE),"")</f>
        <v>12</v>
      </c>
      <c r="E720" s="47" t="str">
        <f t="shared" si="44"/>
        <v/>
      </c>
      <c r="F720" s="48" t="str">
        <f t="shared" ca="1" si="45"/>
        <v/>
      </c>
      <c r="G720" s="46" t="str">
        <f t="shared" ca="1" si="46"/>
        <v>RED</v>
      </c>
      <c r="H720" s="46" t="str">
        <f t="shared" ca="1" si="47"/>
        <v>Not Started</v>
      </c>
      <c r="I720" s="21"/>
    </row>
    <row r="721" spans="1:9" x14ac:dyDescent="0.35">
      <c r="A721" s="46" t="s">
        <v>235</v>
      </c>
      <c r="B721" s="46" t="s">
        <v>159</v>
      </c>
      <c r="C721" s="47" t="str">
        <f>Matrix!BH9</f>
        <v>NS</v>
      </c>
      <c r="D721" s="48">
        <f>IFERROR(VLOOKUP(B721,'Renewal Rules'!$A:$B,2,FALSE),"")</f>
        <v>12</v>
      </c>
      <c r="E721" s="47" t="str">
        <f t="shared" si="44"/>
        <v/>
      </c>
      <c r="F721" s="48" t="str">
        <f t="shared" ca="1" si="45"/>
        <v/>
      </c>
      <c r="G721" s="46" t="str">
        <f t="shared" ca="1" si="46"/>
        <v>RED</v>
      </c>
      <c r="H721" s="46" t="str">
        <f t="shared" ca="1" si="47"/>
        <v>Not Started</v>
      </c>
      <c r="I721" s="21"/>
    </row>
    <row r="722" spans="1:9" x14ac:dyDescent="0.35">
      <c r="A722" s="46" t="s">
        <v>235</v>
      </c>
      <c r="B722" s="46" t="s">
        <v>160</v>
      </c>
      <c r="C722" s="47" t="str">
        <f>Matrix!BI9</f>
        <v>06/03/2025</v>
      </c>
      <c r="D722" s="48">
        <f>IFERROR(VLOOKUP(B722,'Renewal Rules'!$A:$B,2,FALSE),"")</f>
        <v>36</v>
      </c>
      <c r="E722" s="47">
        <f t="shared" si="44"/>
        <v>46818</v>
      </c>
      <c r="F722" s="48">
        <f t="shared" ca="1" si="45"/>
        <v>615</v>
      </c>
      <c r="G722" s="46" t="str">
        <f t="shared" ca="1" si="46"/>
        <v>GREEN</v>
      </c>
      <c r="H722" s="46" t="str">
        <f t="shared" ca="1" si="47"/>
        <v>Current</v>
      </c>
      <c r="I722" s="21"/>
    </row>
    <row r="723" spans="1:9" x14ac:dyDescent="0.35">
      <c r="A723" s="46" t="s">
        <v>235</v>
      </c>
      <c r="B723" s="46" t="s">
        <v>161</v>
      </c>
      <c r="C723" s="47" t="str">
        <f>Matrix!BJ9</f>
        <v>NS</v>
      </c>
      <c r="D723" s="48">
        <f>IFERROR(VLOOKUP(B723,'Renewal Rules'!$A:$B,2,FALSE),"")</f>
        <v>12</v>
      </c>
      <c r="E723" s="47" t="str">
        <f t="shared" si="44"/>
        <v/>
      </c>
      <c r="F723" s="48" t="str">
        <f t="shared" ca="1" si="45"/>
        <v/>
      </c>
      <c r="G723" s="46" t="str">
        <f t="shared" ca="1" si="46"/>
        <v>RED</v>
      </c>
      <c r="H723" s="46" t="str">
        <f t="shared" ca="1" si="47"/>
        <v>Not Started</v>
      </c>
      <c r="I723" s="21"/>
    </row>
    <row r="724" spans="1:9" x14ac:dyDescent="0.35">
      <c r="A724" s="46" t="s">
        <v>235</v>
      </c>
      <c r="B724" s="46" t="s">
        <v>162</v>
      </c>
      <c r="C724" s="47">
        <f>Matrix!BK9</f>
        <v>46194</v>
      </c>
      <c r="D724" s="48">
        <f>IFERROR(VLOOKUP(B724,'Renewal Rules'!$A:$B,2,FALSE),"")</f>
        <v>12</v>
      </c>
      <c r="E724" s="47">
        <f t="shared" si="44"/>
        <v>46559</v>
      </c>
      <c r="F724" s="48">
        <f t="shared" ca="1" si="45"/>
        <v>356</v>
      </c>
      <c r="G724" s="46" t="str">
        <f t="shared" ca="1" si="46"/>
        <v>GREEN</v>
      </c>
      <c r="H724" s="46" t="str">
        <f t="shared" ca="1" si="47"/>
        <v>Current</v>
      </c>
      <c r="I724" s="21"/>
    </row>
    <row r="725" spans="1:9" x14ac:dyDescent="0.35">
      <c r="A725" s="46" t="s">
        <v>235</v>
      </c>
      <c r="B725" s="46" t="s">
        <v>163</v>
      </c>
      <c r="C725" s="47" t="str">
        <f>Matrix!BL9</f>
        <v>NS</v>
      </c>
      <c r="D725" s="48">
        <f>IFERROR(VLOOKUP(B725,'Renewal Rules'!$A:$B,2,FALSE),"")</f>
        <v>36</v>
      </c>
      <c r="E725" s="47" t="str">
        <f t="shared" si="44"/>
        <v/>
      </c>
      <c r="F725" s="48" t="str">
        <f t="shared" ca="1" si="45"/>
        <v/>
      </c>
      <c r="G725" s="46" t="str">
        <f t="shared" ca="1" si="46"/>
        <v>RED</v>
      </c>
      <c r="H725" s="46" t="str">
        <f t="shared" ca="1" si="47"/>
        <v>Not Started</v>
      </c>
      <c r="I725" s="21"/>
    </row>
    <row r="726" spans="1:9" x14ac:dyDescent="0.35">
      <c r="A726" s="46" t="s">
        <v>235</v>
      </c>
      <c r="B726" s="46" t="s">
        <v>164</v>
      </c>
      <c r="C726" s="47" t="str">
        <f>Matrix!BM9</f>
        <v>NS</v>
      </c>
      <c r="D726" s="48">
        <f>IFERROR(VLOOKUP(B726,'Renewal Rules'!$A:$B,2,FALSE),"")</f>
        <v>12</v>
      </c>
      <c r="E726" s="47" t="str">
        <f t="shared" si="44"/>
        <v/>
      </c>
      <c r="F726" s="48" t="str">
        <f t="shared" ca="1" si="45"/>
        <v/>
      </c>
      <c r="G726" s="46" t="str">
        <f t="shared" ca="1" si="46"/>
        <v>RED</v>
      </c>
      <c r="H726" s="46" t="str">
        <f t="shared" ca="1" si="47"/>
        <v>Not Started</v>
      </c>
      <c r="I726" s="21"/>
    </row>
    <row r="727" spans="1:9" x14ac:dyDescent="0.35">
      <c r="A727" s="46" t="s">
        <v>235</v>
      </c>
      <c r="B727" s="46" t="s">
        <v>165</v>
      </c>
      <c r="C727" s="47" t="str">
        <f>Matrix!BN9</f>
        <v>NS</v>
      </c>
      <c r="D727" s="48">
        <f>IFERROR(VLOOKUP(B727,'Renewal Rules'!$A:$B,2,FALSE),"")</f>
        <v>36</v>
      </c>
      <c r="E727" s="47" t="str">
        <f t="shared" si="44"/>
        <v/>
      </c>
      <c r="F727" s="48" t="str">
        <f t="shared" ca="1" si="45"/>
        <v/>
      </c>
      <c r="G727" s="46" t="str">
        <f t="shared" ca="1" si="46"/>
        <v>RED</v>
      </c>
      <c r="H727" s="46" t="str">
        <f t="shared" ca="1" si="47"/>
        <v>Not Started</v>
      </c>
      <c r="I727" s="21"/>
    </row>
    <row r="728" spans="1:9" x14ac:dyDescent="0.35">
      <c r="A728" s="46" t="s">
        <v>235</v>
      </c>
      <c r="B728" s="46" t="s">
        <v>166</v>
      </c>
      <c r="C728" s="47" t="str">
        <f>Matrix!BO9</f>
        <v>NS</v>
      </c>
      <c r="D728" s="48">
        <f>IFERROR(VLOOKUP(B728,'Renewal Rules'!$A:$B,2,FALSE),"")</f>
        <v>36</v>
      </c>
      <c r="E728" s="47" t="str">
        <f t="shared" si="44"/>
        <v/>
      </c>
      <c r="F728" s="48" t="str">
        <f t="shared" ca="1" si="45"/>
        <v/>
      </c>
      <c r="G728" s="46" t="str">
        <f t="shared" ca="1" si="46"/>
        <v>RED</v>
      </c>
      <c r="H728" s="46" t="str">
        <f t="shared" ca="1" si="47"/>
        <v>Not Started</v>
      </c>
      <c r="I728" s="21"/>
    </row>
    <row r="729" spans="1:9" x14ac:dyDescent="0.35">
      <c r="A729" s="46" t="s">
        <v>235</v>
      </c>
      <c r="B729" s="46" t="s">
        <v>167</v>
      </c>
      <c r="C729" s="47" t="str">
        <f>Matrix!BP9</f>
        <v>NS</v>
      </c>
      <c r="D729" s="48">
        <f>IFERROR(VLOOKUP(B729,'Renewal Rules'!$A:$B,2,FALSE),"")</f>
        <v>36</v>
      </c>
      <c r="E729" s="47" t="str">
        <f t="shared" si="44"/>
        <v/>
      </c>
      <c r="F729" s="48" t="str">
        <f t="shared" ca="1" si="45"/>
        <v/>
      </c>
      <c r="G729" s="46" t="str">
        <f t="shared" ca="1" si="46"/>
        <v>RED</v>
      </c>
      <c r="H729" s="46" t="str">
        <f t="shared" ca="1" si="47"/>
        <v>Not Started</v>
      </c>
      <c r="I729" s="21"/>
    </row>
    <row r="730" spans="1:9" x14ac:dyDescent="0.35">
      <c r="A730" s="46" t="s">
        <v>235</v>
      </c>
      <c r="B730" s="46" t="s">
        <v>168</v>
      </c>
      <c r="C730" s="47" t="str">
        <f>Matrix!BQ9</f>
        <v>NS</v>
      </c>
      <c r="D730" s="48">
        <f>IFERROR(VLOOKUP(B730,'Renewal Rules'!$A:$B,2,FALSE),"")</f>
        <v>36</v>
      </c>
      <c r="E730" s="47" t="str">
        <f t="shared" si="44"/>
        <v/>
      </c>
      <c r="F730" s="48" t="str">
        <f t="shared" ca="1" si="45"/>
        <v/>
      </c>
      <c r="G730" s="46" t="str">
        <f t="shared" ca="1" si="46"/>
        <v>RED</v>
      </c>
      <c r="H730" s="46" t="str">
        <f t="shared" ca="1" si="47"/>
        <v>Not Started</v>
      </c>
      <c r="I730" s="21"/>
    </row>
    <row r="731" spans="1:9" x14ac:dyDescent="0.35">
      <c r="A731" s="46" t="s">
        <v>235</v>
      </c>
      <c r="B731" s="46" t="s">
        <v>169</v>
      </c>
      <c r="C731" s="47" t="str">
        <f>Matrix!BR9</f>
        <v>NS</v>
      </c>
      <c r="D731" s="48">
        <f>IFERROR(VLOOKUP(B731,'Renewal Rules'!$A:$B,2,FALSE),"")</f>
        <v>36</v>
      </c>
      <c r="E731" s="47" t="str">
        <f t="shared" si="44"/>
        <v/>
      </c>
      <c r="F731" s="48" t="str">
        <f t="shared" ca="1" si="45"/>
        <v/>
      </c>
      <c r="G731" s="46" t="str">
        <f t="shared" ca="1" si="46"/>
        <v>RED</v>
      </c>
      <c r="H731" s="46" t="str">
        <f t="shared" ca="1" si="47"/>
        <v>Not Started</v>
      </c>
      <c r="I731" s="21"/>
    </row>
    <row r="732" spans="1:9" x14ac:dyDescent="0.35">
      <c r="A732" s="46" t="s">
        <v>235</v>
      </c>
      <c r="B732" s="46" t="s">
        <v>170</v>
      </c>
      <c r="C732" s="47" t="str">
        <f>Matrix!BS9</f>
        <v>NS</v>
      </c>
      <c r="D732" s="48">
        <f>IFERROR(VLOOKUP(B732,'Renewal Rules'!$A:$B,2,FALSE),"")</f>
        <v>12</v>
      </c>
      <c r="E732" s="47" t="str">
        <f t="shared" si="44"/>
        <v/>
      </c>
      <c r="F732" s="48" t="str">
        <f t="shared" ca="1" si="45"/>
        <v/>
      </c>
      <c r="G732" s="46" t="str">
        <f t="shared" ca="1" si="46"/>
        <v>RED</v>
      </c>
      <c r="H732" s="46" t="str">
        <f t="shared" ca="1" si="47"/>
        <v>Not Started</v>
      </c>
      <c r="I732" s="21"/>
    </row>
    <row r="733" spans="1:9" x14ac:dyDescent="0.35">
      <c r="A733" s="46" t="s">
        <v>235</v>
      </c>
      <c r="B733" s="46" t="s">
        <v>171</v>
      </c>
      <c r="C733" s="47" t="str">
        <f>Matrix!BT9</f>
        <v>NS</v>
      </c>
      <c r="D733" s="48">
        <f>IFERROR(VLOOKUP(B733,'Renewal Rules'!$A:$B,2,FALSE),"")</f>
        <v>12</v>
      </c>
      <c r="E733" s="47" t="str">
        <f t="shared" si="44"/>
        <v/>
      </c>
      <c r="F733" s="48" t="str">
        <f t="shared" ca="1" si="45"/>
        <v/>
      </c>
      <c r="G733" s="46" t="str">
        <f t="shared" ca="1" si="46"/>
        <v>RED</v>
      </c>
      <c r="H733" s="46" t="str">
        <f t="shared" ca="1" si="47"/>
        <v>Not Started</v>
      </c>
      <c r="I733" s="21"/>
    </row>
    <row r="734" spans="1:9" x14ac:dyDescent="0.35">
      <c r="A734" s="46" t="s">
        <v>235</v>
      </c>
      <c r="B734" s="46" t="s">
        <v>172</v>
      </c>
      <c r="C734" s="47">
        <f>Matrix!BU9</f>
        <v>45981</v>
      </c>
      <c r="D734" s="48">
        <f>IFERROR(VLOOKUP(B734,'Renewal Rules'!$A:$B,2,FALSE),"")</f>
        <v>12</v>
      </c>
      <c r="E734" s="47">
        <f t="shared" si="44"/>
        <v>46346</v>
      </c>
      <c r="F734" s="48">
        <f t="shared" ca="1" si="45"/>
        <v>143</v>
      </c>
      <c r="G734" s="46" t="str">
        <f t="shared" ca="1" si="46"/>
        <v>GREEN</v>
      </c>
      <c r="H734" s="46" t="str">
        <f t="shared" ca="1" si="47"/>
        <v>Current</v>
      </c>
      <c r="I734" s="21"/>
    </row>
    <row r="735" spans="1:9" x14ac:dyDescent="0.35">
      <c r="A735" s="46" t="s">
        <v>235</v>
      </c>
      <c r="B735" s="46" t="s">
        <v>173</v>
      </c>
      <c r="C735" s="47" t="str">
        <f>Matrix!BV9</f>
        <v>NS</v>
      </c>
      <c r="D735" s="48">
        <f>IFERROR(VLOOKUP(B735,'Renewal Rules'!$A:$B,2,FALSE),"")</f>
        <v>12</v>
      </c>
      <c r="E735" s="47" t="str">
        <f t="shared" si="44"/>
        <v/>
      </c>
      <c r="F735" s="48" t="str">
        <f t="shared" ca="1" si="45"/>
        <v/>
      </c>
      <c r="G735" s="46" t="str">
        <f t="shared" ca="1" si="46"/>
        <v>RED</v>
      </c>
      <c r="H735" s="46" t="str">
        <f t="shared" ca="1" si="47"/>
        <v>Not Started</v>
      </c>
      <c r="I735" s="21"/>
    </row>
    <row r="736" spans="1:9" x14ac:dyDescent="0.35">
      <c r="A736" s="46" t="s">
        <v>235</v>
      </c>
      <c r="B736" s="46" t="s">
        <v>174</v>
      </c>
      <c r="C736" s="47" t="str">
        <f>Matrix!BW9</f>
        <v>NS</v>
      </c>
      <c r="D736" s="48">
        <f>IFERROR(VLOOKUP(B736,'Renewal Rules'!$A:$B,2,FALSE),"")</f>
        <v>12</v>
      </c>
      <c r="E736" s="47" t="str">
        <f t="shared" si="44"/>
        <v/>
      </c>
      <c r="F736" s="48" t="str">
        <f t="shared" ca="1" si="45"/>
        <v/>
      </c>
      <c r="G736" s="46" t="str">
        <f t="shared" ca="1" si="46"/>
        <v>RED</v>
      </c>
      <c r="H736" s="46" t="str">
        <f t="shared" ca="1" si="47"/>
        <v>Not Started</v>
      </c>
      <c r="I736" s="21"/>
    </row>
    <row r="737" spans="1:9" x14ac:dyDescent="0.35">
      <c r="A737" s="46" t="s">
        <v>235</v>
      </c>
      <c r="B737" s="46" t="s">
        <v>175</v>
      </c>
      <c r="C737" s="47" t="str">
        <f>Matrix!BX9</f>
        <v>NS</v>
      </c>
      <c r="D737" s="48">
        <f>IFERROR(VLOOKUP(B737,'Renewal Rules'!$A:$B,2,FALSE),"")</f>
        <v>12</v>
      </c>
      <c r="E737" s="47" t="str">
        <f t="shared" si="44"/>
        <v/>
      </c>
      <c r="F737" s="48" t="str">
        <f t="shared" ca="1" si="45"/>
        <v/>
      </c>
      <c r="G737" s="46" t="str">
        <f t="shared" ca="1" si="46"/>
        <v>RED</v>
      </c>
      <c r="H737" s="46" t="str">
        <f t="shared" ca="1" si="47"/>
        <v>Not Started</v>
      </c>
      <c r="I737" s="21"/>
    </row>
    <row r="738" spans="1:9" x14ac:dyDescent="0.35">
      <c r="A738" s="46" t="s">
        <v>235</v>
      </c>
      <c r="B738" s="46" t="s">
        <v>176</v>
      </c>
      <c r="C738" s="47" t="str">
        <f>Matrix!BY9</f>
        <v>NS</v>
      </c>
      <c r="D738" s="48">
        <f>IFERROR(VLOOKUP(B738,'Renewal Rules'!$A:$B,2,FALSE),"")</f>
        <v>36</v>
      </c>
      <c r="E738" s="47" t="str">
        <f t="shared" si="44"/>
        <v/>
      </c>
      <c r="F738" s="48" t="str">
        <f t="shared" ca="1" si="45"/>
        <v/>
      </c>
      <c r="G738" s="46" t="str">
        <f t="shared" ca="1" si="46"/>
        <v>RED</v>
      </c>
      <c r="H738" s="46" t="str">
        <f t="shared" ca="1" si="47"/>
        <v>Not Started</v>
      </c>
      <c r="I738" s="21"/>
    </row>
    <row r="739" spans="1:9" x14ac:dyDescent="0.35">
      <c r="A739" s="46" t="s">
        <v>235</v>
      </c>
      <c r="B739" s="46" t="s">
        <v>177</v>
      </c>
      <c r="C739" s="47" t="str">
        <f>Matrix!BZ9</f>
        <v>NS</v>
      </c>
      <c r="D739" s="48">
        <f>IFERROR(VLOOKUP(B739,'Renewal Rules'!$A:$B,2,FALSE),"")</f>
        <v>36</v>
      </c>
      <c r="E739" s="47" t="str">
        <f t="shared" si="44"/>
        <v/>
      </c>
      <c r="F739" s="48" t="str">
        <f t="shared" ca="1" si="45"/>
        <v/>
      </c>
      <c r="G739" s="46" t="str">
        <f t="shared" ca="1" si="46"/>
        <v>RED</v>
      </c>
      <c r="H739" s="46" t="str">
        <f t="shared" ca="1" si="47"/>
        <v>Not Started</v>
      </c>
      <c r="I739" s="21"/>
    </row>
    <row r="740" spans="1:9" x14ac:dyDescent="0.35">
      <c r="A740" s="46" t="s">
        <v>235</v>
      </c>
      <c r="B740" s="46" t="s">
        <v>178</v>
      </c>
      <c r="C740" s="47" t="str">
        <f>Matrix!CA9</f>
        <v>NS</v>
      </c>
      <c r="D740" s="48">
        <f>IFERROR(VLOOKUP(B740,'Renewal Rules'!$A:$B,2,FALSE),"")</f>
        <v>12</v>
      </c>
      <c r="E740" s="47" t="str">
        <f t="shared" si="44"/>
        <v/>
      </c>
      <c r="F740" s="48" t="str">
        <f t="shared" ca="1" si="45"/>
        <v/>
      </c>
      <c r="G740" s="46" t="str">
        <f t="shared" ca="1" si="46"/>
        <v>RED</v>
      </c>
      <c r="H740" s="46" t="str">
        <f t="shared" ca="1" si="47"/>
        <v>Not Started</v>
      </c>
      <c r="I740" s="21"/>
    </row>
    <row r="741" spans="1:9" x14ac:dyDescent="0.35">
      <c r="A741" s="46" t="s">
        <v>235</v>
      </c>
      <c r="B741" s="46" t="s">
        <v>179</v>
      </c>
      <c r="C741" s="47" t="str">
        <f>Matrix!CB9</f>
        <v>NS</v>
      </c>
      <c r="D741" s="48">
        <f>IFERROR(VLOOKUP(B741,'Renewal Rules'!$A:$B,2,FALSE),"")</f>
        <v>12</v>
      </c>
      <c r="E741" s="47" t="str">
        <f t="shared" si="44"/>
        <v/>
      </c>
      <c r="F741" s="48" t="str">
        <f t="shared" ca="1" si="45"/>
        <v/>
      </c>
      <c r="G741" s="46" t="str">
        <f t="shared" ca="1" si="46"/>
        <v>RED</v>
      </c>
      <c r="H741" s="46" t="str">
        <f t="shared" ca="1" si="47"/>
        <v>Not Started</v>
      </c>
      <c r="I741" s="21"/>
    </row>
    <row r="742" spans="1:9" x14ac:dyDescent="0.35">
      <c r="A742" s="46" t="s">
        <v>235</v>
      </c>
      <c r="B742" s="46" t="s">
        <v>180</v>
      </c>
      <c r="C742" s="47" t="str">
        <f>Matrix!CC9</f>
        <v>NS</v>
      </c>
      <c r="D742" s="48">
        <f>IFERROR(VLOOKUP(B742,'Renewal Rules'!$A:$B,2,FALSE),"")</f>
        <v>36</v>
      </c>
      <c r="E742" s="47" t="str">
        <f t="shared" si="44"/>
        <v/>
      </c>
      <c r="F742" s="48" t="str">
        <f t="shared" ca="1" si="45"/>
        <v/>
      </c>
      <c r="G742" s="46" t="str">
        <f t="shared" ca="1" si="46"/>
        <v>RED</v>
      </c>
      <c r="H742" s="46" t="str">
        <f t="shared" ca="1" si="47"/>
        <v>Not Started</v>
      </c>
      <c r="I742" s="21"/>
    </row>
    <row r="743" spans="1:9" x14ac:dyDescent="0.35">
      <c r="A743" s="46" t="s">
        <v>235</v>
      </c>
      <c r="B743" s="46" t="s">
        <v>181</v>
      </c>
      <c r="C743" s="47" t="str">
        <f>Matrix!CD9</f>
        <v>NS</v>
      </c>
      <c r="D743" s="48">
        <f>IFERROR(VLOOKUP(B743,'Renewal Rules'!$A:$B,2,FALSE),"")</f>
        <v>36</v>
      </c>
      <c r="E743" s="47" t="str">
        <f t="shared" si="44"/>
        <v/>
      </c>
      <c r="F743" s="48" t="str">
        <f t="shared" ca="1" si="45"/>
        <v/>
      </c>
      <c r="G743" s="46" t="str">
        <f t="shared" ca="1" si="46"/>
        <v>RED</v>
      </c>
      <c r="H743" s="46" t="str">
        <f t="shared" ca="1" si="47"/>
        <v>Not Started</v>
      </c>
      <c r="I743" s="21"/>
    </row>
    <row r="744" spans="1:9" x14ac:dyDescent="0.35">
      <c r="A744" s="46" t="s">
        <v>235</v>
      </c>
      <c r="B744" s="46" t="s">
        <v>182</v>
      </c>
      <c r="C744" s="47" t="str">
        <f>Matrix!CE9</f>
        <v>NS</v>
      </c>
      <c r="D744" s="48">
        <f>IFERROR(VLOOKUP(B744,'Renewal Rules'!$A:$B,2,FALSE),"")</f>
        <v>12</v>
      </c>
      <c r="E744" s="47" t="str">
        <f t="shared" si="44"/>
        <v/>
      </c>
      <c r="F744" s="48" t="str">
        <f t="shared" ca="1" si="45"/>
        <v/>
      </c>
      <c r="G744" s="46" t="str">
        <f t="shared" ca="1" si="46"/>
        <v>RED</v>
      </c>
      <c r="H744" s="46" t="str">
        <f t="shared" ca="1" si="47"/>
        <v>Not Started</v>
      </c>
      <c r="I744" s="21"/>
    </row>
    <row r="745" spans="1:9" x14ac:dyDescent="0.35">
      <c r="A745" s="46" t="s">
        <v>235</v>
      </c>
      <c r="B745" s="46" t="s">
        <v>183</v>
      </c>
      <c r="C745" s="47" t="str">
        <f>Matrix!CF9</f>
        <v>NS</v>
      </c>
      <c r="D745" s="48">
        <f>IFERROR(VLOOKUP(B745,'Renewal Rules'!$A:$B,2,FALSE),"")</f>
        <v>36</v>
      </c>
      <c r="E745" s="47" t="str">
        <f t="shared" si="44"/>
        <v/>
      </c>
      <c r="F745" s="48" t="str">
        <f t="shared" ca="1" si="45"/>
        <v/>
      </c>
      <c r="G745" s="46" t="str">
        <f t="shared" ca="1" si="46"/>
        <v>RED</v>
      </c>
      <c r="H745" s="46" t="str">
        <f t="shared" ca="1" si="47"/>
        <v>Not Started</v>
      </c>
      <c r="I745" s="21"/>
    </row>
    <row r="746" spans="1:9" x14ac:dyDescent="0.35">
      <c r="A746" s="46" t="s">
        <v>235</v>
      </c>
      <c r="B746" s="46" t="s">
        <v>184</v>
      </c>
      <c r="C746" s="47" t="str">
        <f>Matrix!CG9</f>
        <v>NS</v>
      </c>
      <c r="D746" s="48">
        <f>IFERROR(VLOOKUP(B746,'Renewal Rules'!$A:$B,2,FALSE),"")</f>
        <v>12</v>
      </c>
      <c r="E746" s="47" t="str">
        <f t="shared" si="44"/>
        <v/>
      </c>
      <c r="F746" s="48" t="str">
        <f t="shared" ca="1" si="45"/>
        <v/>
      </c>
      <c r="G746" s="46" t="str">
        <f t="shared" ca="1" si="46"/>
        <v>RED</v>
      </c>
      <c r="H746" s="46" t="str">
        <f t="shared" ca="1" si="47"/>
        <v>Not Started</v>
      </c>
      <c r="I746" s="21"/>
    </row>
    <row r="747" spans="1:9" x14ac:dyDescent="0.35">
      <c r="A747" s="46" t="s">
        <v>235</v>
      </c>
      <c r="B747" s="46" t="s">
        <v>185</v>
      </c>
      <c r="C747" s="47" t="str">
        <f>Matrix!CH9</f>
        <v>NS</v>
      </c>
      <c r="D747" s="48">
        <f>IFERROR(VLOOKUP(B747,'Renewal Rules'!$A:$B,2,FALSE),"")</f>
        <v>12</v>
      </c>
      <c r="E747" s="47" t="str">
        <f t="shared" si="44"/>
        <v/>
      </c>
      <c r="F747" s="48" t="str">
        <f t="shared" ca="1" si="45"/>
        <v/>
      </c>
      <c r="G747" s="46" t="str">
        <f t="shared" ca="1" si="46"/>
        <v>RED</v>
      </c>
      <c r="H747" s="46" t="str">
        <f t="shared" ca="1" si="47"/>
        <v>Not Started</v>
      </c>
      <c r="I747" s="21"/>
    </row>
    <row r="748" spans="1:9" x14ac:dyDescent="0.35">
      <c r="A748" s="46" t="s">
        <v>235</v>
      </c>
      <c r="B748" s="46" t="s">
        <v>186</v>
      </c>
      <c r="C748" s="47" t="str">
        <f>Matrix!CI9</f>
        <v>NS</v>
      </c>
      <c r="D748" s="48">
        <f>IFERROR(VLOOKUP(B748,'Renewal Rules'!$A:$B,2,FALSE),"")</f>
        <v>36</v>
      </c>
      <c r="E748" s="47" t="str">
        <f t="shared" si="44"/>
        <v/>
      </c>
      <c r="F748" s="48" t="str">
        <f t="shared" ca="1" si="45"/>
        <v/>
      </c>
      <c r="G748" s="46" t="str">
        <f t="shared" ca="1" si="46"/>
        <v>RED</v>
      </c>
      <c r="H748" s="46" t="str">
        <f t="shared" ca="1" si="47"/>
        <v>Not Started</v>
      </c>
      <c r="I748" s="21"/>
    </row>
    <row r="749" spans="1:9" x14ac:dyDescent="0.35">
      <c r="A749" s="46" t="s">
        <v>235</v>
      </c>
      <c r="B749" s="46" t="s">
        <v>187</v>
      </c>
      <c r="C749" s="47" t="str">
        <f>Matrix!CJ9</f>
        <v>NS</v>
      </c>
      <c r="D749" s="48">
        <f>IFERROR(VLOOKUP(B749,'Renewal Rules'!$A:$B,2,FALSE),"")</f>
        <v>12</v>
      </c>
      <c r="E749" s="47" t="str">
        <f t="shared" si="44"/>
        <v/>
      </c>
      <c r="F749" s="48" t="str">
        <f t="shared" ca="1" si="45"/>
        <v/>
      </c>
      <c r="G749" s="46" t="str">
        <f t="shared" ca="1" si="46"/>
        <v>RED</v>
      </c>
      <c r="H749" s="46" t="str">
        <f t="shared" ca="1" si="47"/>
        <v>Not Started</v>
      </c>
      <c r="I749" s="21"/>
    </row>
    <row r="750" spans="1:9" x14ac:dyDescent="0.35">
      <c r="A750" s="46" t="s">
        <v>235</v>
      </c>
      <c r="B750" s="46" t="s">
        <v>188</v>
      </c>
      <c r="C750" s="47" t="str">
        <f>Matrix!CK9</f>
        <v>NS</v>
      </c>
      <c r="D750" s="48">
        <f>IFERROR(VLOOKUP(B750,'Renewal Rules'!$A:$B,2,FALSE),"")</f>
        <v>36</v>
      </c>
      <c r="E750" s="47" t="str">
        <f t="shared" si="44"/>
        <v/>
      </c>
      <c r="F750" s="48" t="str">
        <f t="shared" ca="1" si="45"/>
        <v/>
      </c>
      <c r="G750" s="46" t="str">
        <f t="shared" ca="1" si="46"/>
        <v>RED</v>
      </c>
      <c r="H750" s="46" t="str">
        <f t="shared" ca="1" si="47"/>
        <v>Not Started</v>
      </c>
      <c r="I750" s="21"/>
    </row>
    <row r="751" spans="1:9" x14ac:dyDescent="0.35">
      <c r="A751" s="46" t="s">
        <v>235</v>
      </c>
      <c r="B751" s="46" t="s">
        <v>189</v>
      </c>
      <c r="C751" s="47" t="str">
        <f>Matrix!CL9</f>
        <v>NS</v>
      </c>
      <c r="D751" s="48">
        <f>IFERROR(VLOOKUP(B751,'Renewal Rules'!$A:$B,2,FALSE),"")</f>
        <v>36</v>
      </c>
      <c r="E751" s="47" t="str">
        <f t="shared" si="44"/>
        <v/>
      </c>
      <c r="F751" s="48" t="str">
        <f t="shared" ca="1" si="45"/>
        <v/>
      </c>
      <c r="G751" s="46" t="str">
        <f t="shared" ca="1" si="46"/>
        <v>RED</v>
      </c>
      <c r="H751" s="46" t="str">
        <f t="shared" ca="1" si="47"/>
        <v>Not Started</v>
      </c>
      <c r="I751" s="21"/>
    </row>
    <row r="752" spans="1:9" x14ac:dyDescent="0.35">
      <c r="A752" s="46" t="s">
        <v>235</v>
      </c>
      <c r="B752" s="46" t="s">
        <v>190</v>
      </c>
      <c r="C752" s="47" t="str">
        <f>Matrix!CM9</f>
        <v>NS</v>
      </c>
      <c r="D752" s="48">
        <f>IFERROR(VLOOKUP(B752,'Renewal Rules'!$A:$B,2,FALSE),"")</f>
        <v>12</v>
      </c>
      <c r="E752" s="47" t="str">
        <f t="shared" si="44"/>
        <v/>
      </c>
      <c r="F752" s="48" t="str">
        <f t="shared" ca="1" si="45"/>
        <v/>
      </c>
      <c r="G752" s="46" t="str">
        <f t="shared" ca="1" si="46"/>
        <v>RED</v>
      </c>
      <c r="H752" s="46" t="str">
        <f t="shared" ca="1" si="47"/>
        <v>Not Started</v>
      </c>
      <c r="I752" s="21"/>
    </row>
    <row r="753" spans="1:9" x14ac:dyDescent="0.35">
      <c r="A753" s="46" t="s">
        <v>235</v>
      </c>
      <c r="B753" s="46" t="s">
        <v>191</v>
      </c>
      <c r="C753" s="47" t="str">
        <f>Matrix!CN9</f>
        <v>13/02/2026</v>
      </c>
      <c r="D753" s="48">
        <f>IFERROR(VLOOKUP(B753,'Renewal Rules'!$A:$B,2,FALSE),"")</f>
        <v>36</v>
      </c>
      <c r="E753" s="47">
        <f t="shared" si="44"/>
        <v>47162</v>
      </c>
      <c r="F753" s="48">
        <f t="shared" ca="1" si="45"/>
        <v>959</v>
      </c>
      <c r="G753" s="46" t="str">
        <f t="shared" ca="1" si="46"/>
        <v>GREEN</v>
      </c>
      <c r="H753" s="46" t="str">
        <f t="shared" ca="1" si="47"/>
        <v>Current</v>
      </c>
      <c r="I753" s="21"/>
    </row>
    <row r="754" spans="1:9" x14ac:dyDescent="0.35">
      <c r="A754" s="46" t="s">
        <v>235</v>
      </c>
      <c r="B754" s="46" t="s">
        <v>192</v>
      </c>
      <c r="C754" s="47" t="str">
        <f>Matrix!CO9</f>
        <v>NS</v>
      </c>
      <c r="D754" s="48">
        <f>IFERROR(VLOOKUP(B754,'Renewal Rules'!$A:$B,2,FALSE),"")</f>
        <v>12</v>
      </c>
      <c r="E754" s="47" t="str">
        <f t="shared" si="44"/>
        <v/>
      </c>
      <c r="F754" s="48" t="str">
        <f t="shared" ca="1" si="45"/>
        <v/>
      </c>
      <c r="G754" s="46" t="str">
        <f t="shared" ca="1" si="46"/>
        <v>RED</v>
      </c>
      <c r="H754" s="46" t="str">
        <f t="shared" ca="1" si="47"/>
        <v>Not Started</v>
      </c>
      <c r="I754" s="21"/>
    </row>
    <row r="755" spans="1:9" ht="12.9" customHeight="1" x14ac:dyDescent="0.35">
      <c r="A755" s="46" t="s">
        <v>235</v>
      </c>
      <c r="B755" s="46" t="s">
        <v>193</v>
      </c>
      <c r="C755" s="47" t="str">
        <f>Matrix!CP9</f>
        <v>NS</v>
      </c>
      <c r="D755" s="48">
        <f>IFERROR(VLOOKUP(B755,'Renewal Rules'!$A:$B,2,FALSE),"")</f>
        <v>12</v>
      </c>
      <c r="E755" s="47" t="str">
        <f t="shared" si="44"/>
        <v/>
      </c>
      <c r="F755" s="48" t="str">
        <f t="shared" ca="1" si="45"/>
        <v/>
      </c>
      <c r="G755" s="46" t="str">
        <f t="shared" ca="1" si="46"/>
        <v>RED</v>
      </c>
      <c r="H755" s="46" t="str">
        <f t="shared" ca="1" si="47"/>
        <v>Not Started</v>
      </c>
      <c r="I755" s="21"/>
    </row>
    <row r="756" spans="1:9" x14ac:dyDescent="0.35">
      <c r="A756" s="46" t="s">
        <v>235</v>
      </c>
      <c r="B756" s="46" t="s">
        <v>194</v>
      </c>
      <c r="C756" s="47" t="str">
        <f>Matrix!CQ9</f>
        <v>NS</v>
      </c>
      <c r="D756" s="48">
        <f>IFERROR(VLOOKUP(B756,'Renewal Rules'!$A:$B,2,FALSE),"")</f>
        <v>36</v>
      </c>
      <c r="E756" s="47" t="str">
        <f t="shared" si="44"/>
        <v/>
      </c>
      <c r="F756" s="48" t="str">
        <f t="shared" ca="1" si="45"/>
        <v/>
      </c>
      <c r="G756" s="46" t="str">
        <f t="shared" ca="1" si="46"/>
        <v>RED</v>
      </c>
      <c r="H756" s="46" t="str">
        <f t="shared" ca="1" si="47"/>
        <v>Not Started</v>
      </c>
      <c r="I756" s="21"/>
    </row>
    <row r="757" spans="1:9" ht="12.9" customHeight="1" x14ac:dyDescent="0.35">
      <c r="A757" s="46" t="s">
        <v>235</v>
      </c>
      <c r="B757" s="46" t="s">
        <v>195</v>
      </c>
      <c r="C757" s="47" t="str">
        <f>Matrix!CR9</f>
        <v>NS</v>
      </c>
      <c r="D757" s="48">
        <f>IFERROR(VLOOKUP(B757,'Renewal Rules'!$A:$B,2,FALSE),"")</f>
        <v>36</v>
      </c>
      <c r="E757" s="47" t="str">
        <f t="shared" si="44"/>
        <v/>
      </c>
      <c r="F757" s="48" t="str">
        <f t="shared" ca="1" si="45"/>
        <v/>
      </c>
      <c r="G757" s="46" t="str">
        <f t="shared" ca="1" si="46"/>
        <v>RED</v>
      </c>
      <c r="H757" s="46" t="str">
        <f t="shared" ca="1" si="47"/>
        <v>Not Started</v>
      </c>
      <c r="I757" s="21"/>
    </row>
    <row r="758" spans="1:9" x14ac:dyDescent="0.35">
      <c r="A758" s="46" t="s">
        <v>235</v>
      </c>
      <c r="B758" s="46" t="s">
        <v>196</v>
      </c>
      <c r="C758" s="47" t="str">
        <f>Matrix!CS9</f>
        <v>NS</v>
      </c>
      <c r="D758" s="48">
        <f>IFERROR(VLOOKUP(B758,'Renewal Rules'!$A:$B,2,FALSE),"")</f>
        <v>36</v>
      </c>
      <c r="E758" s="47" t="str">
        <f t="shared" si="44"/>
        <v/>
      </c>
      <c r="F758" s="48" t="str">
        <f t="shared" ca="1" si="45"/>
        <v/>
      </c>
      <c r="G758" s="46" t="str">
        <f t="shared" ca="1" si="46"/>
        <v>RED</v>
      </c>
      <c r="H758" s="46" t="str">
        <f t="shared" ca="1" si="47"/>
        <v>Not Started</v>
      </c>
      <c r="I758" s="21"/>
    </row>
    <row r="759" spans="1:9" x14ac:dyDescent="0.35">
      <c r="A759" s="46" t="s">
        <v>235</v>
      </c>
      <c r="B759" s="46" t="s">
        <v>197</v>
      </c>
      <c r="C759" s="47" t="str">
        <f>Matrix!CT9</f>
        <v>NS</v>
      </c>
      <c r="D759" s="48">
        <f>IFERROR(VLOOKUP(B759,'Renewal Rules'!$A:$B,2,FALSE),"")</f>
        <v>12</v>
      </c>
      <c r="E759" s="47" t="str">
        <f t="shared" si="44"/>
        <v/>
      </c>
      <c r="F759" s="48" t="str">
        <f t="shared" ca="1" si="45"/>
        <v/>
      </c>
      <c r="G759" s="46" t="str">
        <f t="shared" ca="1" si="46"/>
        <v>RED</v>
      </c>
      <c r="H759" s="46" t="str">
        <f t="shared" ca="1" si="47"/>
        <v>Not Started</v>
      </c>
      <c r="I759" s="21"/>
    </row>
    <row r="760" spans="1:9" x14ac:dyDescent="0.35">
      <c r="A760" s="46" t="s">
        <v>235</v>
      </c>
      <c r="B760" s="46" t="s">
        <v>198</v>
      </c>
      <c r="C760" s="47" t="str">
        <f>Matrix!CU9</f>
        <v>NS</v>
      </c>
      <c r="D760" s="48">
        <f>IFERROR(VLOOKUP(B760,'Renewal Rules'!$A:$B,2,FALSE),"")</f>
        <v>12</v>
      </c>
      <c r="E760" s="47" t="str">
        <f t="shared" si="44"/>
        <v/>
      </c>
      <c r="F760" s="48" t="str">
        <f t="shared" ca="1" si="45"/>
        <v/>
      </c>
      <c r="G760" s="46" t="str">
        <f t="shared" ca="1" si="46"/>
        <v>RED</v>
      </c>
      <c r="H760" s="46" t="str">
        <f t="shared" ca="1" si="47"/>
        <v>Not Started</v>
      </c>
      <c r="I760" s="21"/>
    </row>
    <row r="761" spans="1:9" x14ac:dyDescent="0.35">
      <c r="A761" s="46" t="s">
        <v>235</v>
      </c>
      <c r="B761" s="46" t="s">
        <v>199</v>
      </c>
      <c r="C761" s="47" t="str">
        <f>Matrix!CV9</f>
        <v>NS</v>
      </c>
      <c r="D761" s="48">
        <f>IFERROR(VLOOKUP(B761,'Renewal Rules'!$A:$B,2,FALSE),"")</f>
        <v>12</v>
      </c>
      <c r="E761" s="47" t="str">
        <f t="shared" si="44"/>
        <v/>
      </c>
      <c r="F761" s="48" t="str">
        <f t="shared" ca="1" si="45"/>
        <v/>
      </c>
      <c r="G761" s="46" t="str">
        <f t="shared" ca="1" si="46"/>
        <v>RED</v>
      </c>
      <c r="H761" s="46" t="str">
        <f t="shared" ca="1" si="47"/>
        <v>Not Started</v>
      </c>
      <c r="I761" s="21"/>
    </row>
    <row r="762" spans="1:9" ht="12.9" customHeight="1" x14ac:dyDescent="0.35">
      <c r="A762" s="46" t="s">
        <v>235</v>
      </c>
      <c r="B762" s="46" t="s">
        <v>200</v>
      </c>
      <c r="C762" s="47" t="str">
        <f>Matrix!CW9</f>
        <v>NS</v>
      </c>
      <c r="D762" s="48">
        <f>IFERROR(VLOOKUP(B762,'Renewal Rules'!$A:$B,2,FALSE),"")</f>
        <v>12</v>
      </c>
      <c r="E762" s="47" t="str">
        <f t="shared" si="44"/>
        <v/>
      </c>
      <c r="F762" s="48" t="str">
        <f t="shared" ca="1" si="45"/>
        <v/>
      </c>
      <c r="G762" s="46" t="str">
        <f t="shared" ca="1" si="46"/>
        <v>RED</v>
      </c>
      <c r="H762" s="46" t="str">
        <f t="shared" ca="1" si="47"/>
        <v>Not Started</v>
      </c>
      <c r="I762" s="21"/>
    </row>
    <row r="763" spans="1:9" x14ac:dyDescent="0.35">
      <c r="A763" s="46" t="s">
        <v>235</v>
      </c>
      <c r="B763" s="46" t="s">
        <v>201</v>
      </c>
      <c r="C763" s="47" t="str">
        <f>Matrix!CX9</f>
        <v>NS</v>
      </c>
      <c r="D763" s="48">
        <f>IFERROR(VLOOKUP(B763,'Renewal Rules'!$A:$B,2,FALSE),"")</f>
        <v>12</v>
      </c>
      <c r="E763" s="47" t="str">
        <f t="shared" si="44"/>
        <v/>
      </c>
      <c r="F763" s="48" t="str">
        <f t="shared" ca="1" si="45"/>
        <v/>
      </c>
      <c r="G763" s="46" t="str">
        <f t="shared" ca="1" si="46"/>
        <v>RED</v>
      </c>
      <c r="H763" s="46" t="str">
        <f t="shared" ca="1" si="47"/>
        <v>Not Started</v>
      </c>
      <c r="I763" s="21"/>
    </row>
    <row r="764" spans="1:9" x14ac:dyDescent="0.35">
      <c r="A764" s="46" t="s">
        <v>235</v>
      </c>
      <c r="B764" s="46" t="s">
        <v>202</v>
      </c>
      <c r="C764" s="47" t="str">
        <f>Matrix!CY9</f>
        <v>NS</v>
      </c>
      <c r="D764" s="48">
        <f>IFERROR(VLOOKUP(B764,'Renewal Rules'!$A:$B,2,FALSE),"")</f>
        <v>36</v>
      </c>
      <c r="E764" s="47" t="str">
        <f t="shared" si="44"/>
        <v/>
      </c>
      <c r="F764" s="48" t="str">
        <f t="shared" ca="1" si="45"/>
        <v/>
      </c>
      <c r="G764" s="46" t="str">
        <f t="shared" ca="1" si="46"/>
        <v>RED</v>
      </c>
      <c r="H764" s="46" t="str">
        <f t="shared" ca="1" si="47"/>
        <v>Not Started</v>
      </c>
      <c r="I764" s="21"/>
    </row>
    <row r="765" spans="1:9" ht="12.9" customHeight="1" x14ac:dyDescent="0.35">
      <c r="A765" s="46" t="s">
        <v>235</v>
      </c>
      <c r="B765" s="46" t="s">
        <v>203</v>
      </c>
      <c r="C765" s="47" t="str">
        <f>Matrix!CZ9</f>
        <v>NS</v>
      </c>
      <c r="D765" s="48">
        <f>IFERROR(VLOOKUP(B765,'Renewal Rules'!$A:$B,2,FALSE),"")</f>
        <v>12</v>
      </c>
      <c r="E765" s="47" t="str">
        <f t="shared" si="44"/>
        <v/>
      </c>
      <c r="F765" s="48" t="str">
        <f t="shared" ca="1" si="45"/>
        <v/>
      </c>
      <c r="G765" s="46" t="str">
        <f t="shared" ca="1" si="46"/>
        <v>RED</v>
      </c>
      <c r="H765" s="46" t="str">
        <f t="shared" ca="1" si="47"/>
        <v>Not Started</v>
      </c>
      <c r="I765" s="21"/>
    </row>
    <row r="766" spans="1:9" x14ac:dyDescent="0.35">
      <c r="A766" s="46" t="s">
        <v>235</v>
      </c>
      <c r="B766" s="46" t="s">
        <v>204</v>
      </c>
      <c r="C766" s="47" t="str">
        <f>Matrix!DA9</f>
        <v>11/02/2026</v>
      </c>
      <c r="D766" s="48">
        <f>IFERROR(VLOOKUP(B766,'Renewal Rules'!$A:$B,2,FALSE),"")</f>
        <v>12</v>
      </c>
      <c r="E766" s="47">
        <f t="shared" si="44"/>
        <v>46429</v>
      </c>
      <c r="F766" s="48">
        <f t="shared" ca="1" si="45"/>
        <v>226</v>
      </c>
      <c r="G766" s="46" t="str">
        <f t="shared" ca="1" si="46"/>
        <v>GREEN</v>
      </c>
      <c r="H766" s="46" t="str">
        <f t="shared" ca="1" si="47"/>
        <v>Current</v>
      </c>
      <c r="I766" s="21"/>
    </row>
    <row r="767" spans="1:9" x14ac:dyDescent="0.35">
      <c r="A767" s="46" t="s">
        <v>235</v>
      </c>
      <c r="B767" s="46" t="s">
        <v>205</v>
      </c>
      <c r="C767" s="47" t="str">
        <f>Matrix!DB9</f>
        <v>11/02/2026</v>
      </c>
      <c r="D767" s="48">
        <f>IFERROR(VLOOKUP(B767,'Renewal Rules'!$A:$B,2,FALSE),"")</f>
        <v>36</v>
      </c>
      <c r="E767" s="47">
        <f t="shared" si="44"/>
        <v>47160</v>
      </c>
      <c r="F767" s="48">
        <f t="shared" ca="1" si="45"/>
        <v>957</v>
      </c>
      <c r="G767" s="46" t="str">
        <f t="shared" ca="1" si="46"/>
        <v>GREEN</v>
      </c>
      <c r="H767" s="46" t="str">
        <f t="shared" ca="1" si="47"/>
        <v>Current</v>
      </c>
      <c r="I767" s="21"/>
    </row>
    <row r="768" spans="1:9" x14ac:dyDescent="0.35">
      <c r="A768" s="46" t="s">
        <v>235</v>
      </c>
      <c r="B768" s="46" t="s">
        <v>94</v>
      </c>
      <c r="C768" s="47">
        <f>Matrix!DC9</f>
        <v>46001</v>
      </c>
      <c r="D768" s="48">
        <f>IFERROR(VLOOKUP(B768,'Renewal Rules'!$A:$B,2,FALSE),"")</f>
        <v>12</v>
      </c>
      <c r="E768" s="47">
        <f t="shared" si="44"/>
        <v>46366</v>
      </c>
      <c r="F768" s="48">
        <f t="shared" ca="1" si="45"/>
        <v>163</v>
      </c>
      <c r="G768" s="46" t="str">
        <f t="shared" ca="1" si="46"/>
        <v>GREEN</v>
      </c>
      <c r="H768" s="46" t="str">
        <f t="shared" ca="1" si="47"/>
        <v>Current</v>
      </c>
      <c r="I768" s="21"/>
    </row>
    <row r="769" spans="1:9" x14ac:dyDescent="0.35">
      <c r="A769" s="46" t="s">
        <v>235</v>
      </c>
      <c r="B769" s="46" t="s">
        <v>206</v>
      </c>
      <c r="C769" s="47" t="str">
        <f>Matrix!DD9</f>
        <v>11/02/2026</v>
      </c>
      <c r="D769" s="48">
        <f>IFERROR(VLOOKUP(B769,'Renewal Rules'!$A:$B,2,FALSE),"")</f>
        <v>36</v>
      </c>
      <c r="E769" s="47">
        <f t="shared" si="44"/>
        <v>47160</v>
      </c>
      <c r="F769" s="48">
        <f t="shared" ca="1" si="45"/>
        <v>957</v>
      </c>
      <c r="G769" s="46" t="str">
        <f t="shared" ca="1" si="46"/>
        <v>GREEN</v>
      </c>
      <c r="H769" s="46" t="str">
        <f t="shared" ca="1" si="47"/>
        <v>Current</v>
      </c>
      <c r="I769" s="21"/>
    </row>
    <row r="770" spans="1:9" x14ac:dyDescent="0.35">
      <c r="A770" s="46" t="s">
        <v>235</v>
      </c>
      <c r="B770" s="46" t="s">
        <v>207</v>
      </c>
      <c r="C770" s="47" t="str">
        <f>Matrix!DE9</f>
        <v>11/02/2026</v>
      </c>
      <c r="D770" s="48">
        <f>IFERROR(VLOOKUP(B770,'Renewal Rules'!$A:$B,2,FALSE),"")</f>
        <v>36</v>
      </c>
      <c r="E770" s="47">
        <f t="shared" si="44"/>
        <v>47160</v>
      </c>
      <c r="F770" s="48">
        <f t="shared" ca="1" si="45"/>
        <v>957</v>
      </c>
      <c r="G770" s="46" t="str">
        <f t="shared" ca="1" si="46"/>
        <v>GREEN</v>
      </c>
      <c r="H770" s="46" t="str">
        <f t="shared" ca="1" si="47"/>
        <v>Current</v>
      </c>
      <c r="I770" s="21"/>
    </row>
    <row r="771" spans="1:9" x14ac:dyDescent="0.35">
      <c r="A771" s="46" t="s">
        <v>235</v>
      </c>
      <c r="B771" s="46" t="s">
        <v>208</v>
      </c>
      <c r="C771" s="47" t="str">
        <f>Matrix!DF9</f>
        <v>NS</v>
      </c>
      <c r="D771" s="48">
        <f>IFERROR(VLOOKUP(B771,'Renewal Rules'!$A:$B,2,FALSE),"")</f>
        <v>36</v>
      </c>
      <c r="E771" s="47" t="str">
        <f t="shared" ref="E771:E834" si="48">IF(OR(C771="",C771="NS",C771="IP",C771="Failed"),"",IFERROR(EDATE(IF(ISNUMBER(C771),C771,IFERROR(DATEVALUE(C771),DATE(VALUE(RIGHT(C771,4)),VALUE(MID(C771,4,2)),VALUE(LEFT(C771,2))))),D771),""))</f>
        <v/>
      </c>
      <c r="F771" s="48" t="str">
        <f t="shared" ref="F771:F834" ca="1" si="49">IF(E771="","",E771-TODAY())</f>
        <v/>
      </c>
      <c r="G771" s="46" t="str">
        <f t="shared" ref="G771:G834" ca="1" si="50">IF(C771="NS","RED",IF(C771="IP","AMBER",IF(E771="","",IF(E771&lt;TODAY(),"RED",IF(E771&lt;=TODAY()+30,"AMBER","GREEN")))))</f>
        <v>RED</v>
      </c>
      <c r="H771" s="46" t="str">
        <f t="shared" ref="H771:H834" ca="1" si="51">IF(C771="NS","Not Started",IF(C771="IP","In Progress",IF(E771="","Check",IF(E771&lt;TODAY(),"Expired",IF(E771&lt;=TODAY()+30,"Expiring Soon","Current")))))</f>
        <v>Not Started</v>
      </c>
      <c r="I771" s="21"/>
    </row>
    <row r="772" spans="1:9" x14ac:dyDescent="0.35">
      <c r="A772" s="46" t="s">
        <v>235</v>
      </c>
      <c r="B772" s="46" t="s">
        <v>104</v>
      </c>
      <c r="C772" s="47" t="str">
        <f>Matrix!DG9</f>
        <v>20/06/2026</v>
      </c>
      <c r="D772" s="48">
        <f>IFERROR(VLOOKUP(B772,'Renewal Rules'!$A:$B,2,FALSE),"")</f>
        <v>12</v>
      </c>
      <c r="E772" s="47">
        <f t="shared" si="48"/>
        <v>46558</v>
      </c>
      <c r="F772" s="48">
        <f t="shared" ca="1" si="49"/>
        <v>355</v>
      </c>
      <c r="G772" s="46" t="str">
        <f t="shared" ca="1" si="50"/>
        <v>GREEN</v>
      </c>
      <c r="H772" s="46" t="str">
        <f t="shared" ca="1" si="51"/>
        <v>Current</v>
      </c>
      <c r="I772" s="21"/>
    </row>
    <row r="773" spans="1:9" x14ac:dyDescent="0.35">
      <c r="A773" s="46" t="s">
        <v>241</v>
      </c>
      <c r="B773" s="46" t="s">
        <v>111</v>
      </c>
      <c r="C773" s="47" t="str">
        <f>Matrix!B10</f>
        <v>30/01/2026</v>
      </c>
      <c r="D773" s="48">
        <f>IFERROR(VLOOKUP(B773,'Renewal Rules'!$A:$B,2,FALSE),"")</f>
        <v>36</v>
      </c>
      <c r="E773" s="47">
        <f t="shared" si="48"/>
        <v>47148</v>
      </c>
      <c r="F773" s="48">
        <f t="shared" ca="1" si="49"/>
        <v>945</v>
      </c>
      <c r="G773" s="46" t="str">
        <f t="shared" ca="1" si="50"/>
        <v>GREEN</v>
      </c>
      <c r="H773" s="46" t="str">
        <f t="shared" ca="1" si="51"/>
        <v>Current</v>
      </c>
      <c r="I773" s="21"/>
    </row>
    <row r="774" spans="1:9" x14ac:dyDescent="0.35">
      <c r="A774" s="46" t="s">
        <v>241</v>
      </c>
      <c r="B774" s="46" t="s">
        <v>100</v>
      </c>
      <c r="C774" s="47" t="str">
        <f>Matrix!C10</f>
        <v>NS</v>
      </c>
      <c r="D774" s="48">
        <f>IFERROR(VLOOKUP(B774,'Renewal Rules'!$A:$B,2,FALSE),"")</f>
        <v>36</v>
      </c>
      <c r="E774" s="47" t="str">
        <f t="shared" si="48"/>
        <v/>
      </c>
      <c r="F774" s="48" t="str">
        <f t="shared" ca="1" si="49"/>
        <v/>
      </c>
      <c r="G774" s="46" t="str">
        <f t="shared" ca="1" si="50"/>
        <v>RED</v>
      </c>
      <c r="H774" s="46" t="str">
        <f t="shared" ca="1" si="51"/>
        <v>Not Started</v>
      </c>
      <c r="I774" s="21"/>
    </row>
    <row r="775" spans="1:9" x14ac:dyDescent="0.35">
      <c r="A775" s="46" t="s">
        <v>241</v>
      </c>
      <c r="B775" s="46" t="s">
        <v>112</v>
      </c>
      <c r="C775" s="47" t="str">
        <f>Matrix!D10</f>
        <v>NS</v>
      </c>
      <c r="D775" s="48">
        <f>IFERROR(VLOOKUP(B775,'Renewal Rules'!$A:$B,2,FALSE),"")</f>
        <v>12</v>
      </c>
      <c r="E775" s="47" t="str">
        <f t="shared" si="48"/>
        <v/>
      </c>
      <c r="F775" s="48" t="str">
        <f t="shared" ca="1" si="49"/>
        <v/>
      </c>
      <c r="G775" s="46" t="str">
        <f t="shared" ca="1" si="50"/>
        <v>RED</v>
      </c>
      <c r="H775" s="46" t="str">
        <f t="shared" ca="1" si="51"/>
        <v>Not Started</v>
      </c>
      <c r="I775" s="21"/>
    </row>
    <row r="776" spans="1:9" x14ac:dyDescent="0.35">
      <c r="A776" s="46" t="s">
        <v>241</v>
      </c>
      <c r="B776" s="46" t="s">
        <v>96</v>
      </c>
      <c r="C776" s="47">
        <f>Matrix!E10</f>
        <v>46192</v>
      </c>
      <c r="D776" s="48">
        <f>IFERROR(VLOOKUP(B776,'Renewal Rules'!$A:$B,2,FALSE),"")</f>
        <v>36</v>
      </c>
      <c r="E776" s="47">
        <f t="shared" si="48"/>
        <v>47288</v>
      </c>
      <c r="F776" s="48">
        <f t="shared" ca="1" si="49"/>
        <v>1085</v>
      </c>
      <c r="G776" s="46" t="str">
        <f t="shared" ca="1" si="50"/>
        <v>GREEN</v>
      </c>
      <c r="H776" s="46" t="str">
        <f t="shared" ca="1" si="51"/>
        <v>Current</v>
      </c>
      <c r="I776" s="21"/>
    </row>
    <row r="777" spans="1:9" x14ac:dyDescent="0.35">
      <c r="A777" s="46" t="s">
        <v>241</v>
      </c>
      <c r="B777" s="46" t="s">
        <v>113</v>
      </c>
      <c r="C777" s="47" t="str">
        <f>Matrix!F10</f>
        <v>NS</v>
      </c>
      <c r="D777" s="48">
        <f>IFERROR(VLOOKUP(B777,'Renewal Rules'!$A:$B,2,FALSE),"")</f>
        <v>36</v>
      </c>
      <c r="E777" s="47" t="str">
        <f t="shared" si="48"/>
        <v/>
      </c>
      <c r="F777" s="48" t="str">
        <f t="shared" ca="1" si="49"/>
        <v/>
      </c>
      <c r="G777" s="46" t="str">
        <f t="shared" ca="1" si="50"/>
        <v>RED</v>
      </c>
      <c r="H777" s="46" t="str">
        <f t="shared" ca="1" si="51"/>
        <v>Not Started</v>
      </c>
      <c r="I777" s="21"/>
    </row>
    <row r="778" spans="1:9" x14ac:dyDescent="0.35">
      <c r="A778" s="46" t="s">
        <v>241</v>
      </c>
      <c r="B778" s="46" t="s">
        <v>114</v>
      </c>
      <c r="C778" s="47" t="str">
        <f>Matrix!G10</f>
        <v>NS</v>
      </c>
      <c r="D778" s="48">
        <f>IFERROR(VLOOKUP(B778,'Renewal Rules'!$A:$B,2,FALSE),"")</f>
        <v>12</v>
      </c>
      <c r="E778" s="47" t="str">
        <f t="shared" si="48"/>
        <v/>
      </c>
      <c r="F778" s="48" t="str">
        <f t="shared" ca="1" si="49"/>
        <v/>
      </c>
      <c r="G778" s="46" t="str">
        <f t="shared" ca="1" si="50"/>
        <v>RED</v>
      </c>
      <c r="H778" s="46" t="str">
        <f t="shared" ca="1" si="51"/>
        <v>Not Started</v>
      </c>
      <c r="I778" s="21"/>
    </row>
    <row r="779" spans="1:9" x14ac:dyDescent="0.35">
      <c r="A779" s="46" t="s">
        <v>241</v>
      </c>
      <c r="B779" s="46" t="s">
        <v>115</v>
      </c>
      <c r="C779" s="47" t="str">
        <f>Matrix!H10</f>
        <v>NS</v>
      </c>
      <c r="D779" s="48">
        <f>IFERROR(VLOOKUP(B779,'Renewal Rules'!$A:$B,2,FALSE),"")</f>
        <v>36</v>
      </c>
      <c r="E779" s="47" t="str">
        <f t="shared" si="48"/>
        <v/>
      </c>
      <c r="F779" s="48" t="str">
        <f t="shared" ca="1" si="49"/>
        <v/>
      </c>
      <c r="G779" s="46" t="str">
        <f t="shared" ca="1" si="50"/>
        <v>RED</v>
      </c>
      <c r="H779" s="46" t="str">
        <f t="shared" ca="1" si="51"/>
        <v>Not Started</v>
      </c>
      <c r="I779" s="21"/>
    </row>
    <row r="780" spans="1:9" x14ac:dyDescent="0.35">
      <c r="A780" s="46" t="s">
        <v>241</v>
      </c>
      <c r="B780" s="46" t="s">
        <v>116</v>
      </c>
      <c r="C780" s="47" t="str">
        <f>Matrix!I10</f>
        <v>NS</v>
      </c>
      <c r="D780" s="48">
        <f>IFERROR(VLOOKUP(B780,'Renewal Rules'!$A:$B,2,FALSE),"")</f>
        <v>36</v>
      </c>
      <c r="E780" s="47" t="str">
        <f t="shared" si="48"/>
        <v/>
      </c>
      <c r="F780" s="48" t="str">
        <f t="shared" ca="1" si="49"/>
        <v/>
      </c>
      <c r="G780" s="46" t="str">
        <f t="shared" ca="1" si="50"/>
        <v>RED</v>
      </c>
      <c r="H780" s="46" t="str">
        <f t="shared" ca="1" si="51"/>
        <v>Not Started</v>
      </c>
      <c r="I780" s="21"/>
    </row>
    <row r="781" spans="1:9" x14ac:dyDescent="0.35">
      <c r="A781" s="46" t="s">
        <v>241</v>
      </c>
      <c r="B781" s="46" t="s">
        <v>117</v>
      </c>
      <c r="C781" s="47" t="str">
        <f>Matrix!J10</f>
        <v>NS</v>
      </c>
      <c r="D781" s="48">
        <f>IFERROR(VLOOKUP(B781,'Renewal Rules'!$A:$B,2,FALSE),"")</f>
        <v>12</v>
      </c>
      <c r="E781" s="47" t="str">
        <f t="shared" si="48"/>
        <v/>
      </c>
      <c r="F781" s="48" t="str">
        <f t="shared" ca="1" si="49"/>
        <v/>
      </c>
      <c r="G781" s="46" t="str">
        <f t="shared" ca="1" si="50"/>
        <v>RED</v>
      </c>
      <c r="H781" s="46" t="str">
        <f t="shared" ca="1" si="51"/>
        <v>Not Started</v>
      </c>
      <c r="I781" s="21"/>
    </row>
    <row r="782" spans="1:9" x14ac:dyDescent="0.35">
      <c r="A782" s="46" t="s">
        <v>241</v>
      </c>
      <c r="B782" s="46" t="s">
        <v>118</v>
      </c>
      <c r="C782" s="47" t="str">
        <f>Matrix!K10</f>
        <v>NS</v>
      </c>
      <c r="D782" s="48">
        <f>IFERROR(VLOOKUP(B782,'Renewal Rules'!$A:$B,2,FALSE),"")</f>
        <v>36</v>
      </c>
      <c r="E782" s="47" t="str">
        <f t="shared" si="48"/>
        <v/>
      </c>
      <c r="F782" s="48" t="str">
        <f t="shared" ca="1" si="49"/>
        <v/>
      </c>
      <c r="G782" s="46" t="str">
        <f t="shared" ca="1" si="50"/>
        <v>RED</v>
      </c>
      <c r="H782" s="46" t="str">
        <f t="shared" ca="1" si="51"/>
        <v>Not Started</v>
      </c>
      <c r="I782" s="21"/>
    </row>
    <row r="783" spans="1:9" x14ac:dyDescent="0.35">
      <c r="A783" s="46" t="s">
        <v>241</v>
      </c>
      <c r="B783" s="46" t="s">
        <v>119</v>
      </c>
      <c r="C783" s="47" t="str">
        <f>Matrix!L10</f>
        <v>NS</v>
      </c>
      <c r="D783" s="48">
        <f>IFERROR(VLOOKUP(B783,'Renewal Rules'!$A:$B,2,FALSE),"")</f>
        <v>12</v>
      </c>
      <c r="E783" s="47" t="str">
        <f t="shared" si="48"/>
        <v/>
      </c>
      <c r="F783" s="48" t="str">
        <f t="shared" ca="1" si="49"/>
        <v/>
      </c>
      <c r="G783" s="46" t="str">
        <f t="shared" ca="1" si="50"/>
        <v>RED</v>
      </c>
      <c r="H783" s="46" t="str">
        <f t="shared" ca="1" si="51"/>
        <v>Not Started</v>
      </c>
      <c r="I783" s="21"/>
    </row>
    <row r="784" spans="1:9" x14ac:dyDescent="0.35">
      <c r="A784" s="46" t="s">
        <v>241</v>
      </c>
      <c r="B784" s="46" t="s">
        <v>120</v>
      </c>
      <c r="C784" s="47" t="str">
        <f>Matrix!M10</f>
        <v>NS</v>
      </c>
      <c r="D784" s="48">
        <f>IFERROR(VLOOKUP(B784,'Renewal Rules'!$A:$B,2,FALSE),"")</f>
        <v>12</v>
      </c>
      <c r="E784" s="47" t="str">
        <f t="shared" si="48"/>
        <v/>
      </c>
      <c r="F784" s="48" t="str">
        <f t="shared" ca="1" si="49"/>
        <v/>
      </c>
      <c r="G784" s="46" t="str">
        <f t="shared" ca="1" si="50"/>
        <v>RED</v>
      </c>
      <c r="H784" s="46" t="str">
        <f t="shared" ca="1" si="51"/>
        <v>Not Started</v>
      </c>
      <c r="I784" s="21"/>
    </row>
    <row r="785" spans="1:9" x14ac:dyDescent="0.35">
      <c r="A785" s="46" t="s">
        <v>241</v>
      </c>
      <c r="B785" s="46" t="s">
        <v>121</v>
      </c>
      <c r="C785" s="47" t="str">
        <f>Matrix!N10</f>
        <v>NS</v>
      </c>
      <c r="D785" s="48">
        <f>IFERROR(VLOOKUP(B785,'Renewal Rules'!$A:$B,2,FALSE),"")</f>
        <v>12</v>
      </c>
      <c r="E785" s="47" t="str">
        <f t="shared" si="48"/>
        <v/>
      </c>
      <c r="F785" s="48" t="str">
        <f t="shared" ca="1" si="49"/>
        <v/>
      </c>
      <c r="G785" s="46" t="str">
        <f t="shared" ca="1" si="50"/>
        <v>RED</v>
      </c>
      <c r="H785" s="46" t="str">
        <f t="shared" ca="1" si="51"/>
        <v>Not Started</v>
      </c>
      <c r="I785" s="21"/>
    </row>
    <row r="786" spans="1:9" ht="12.9" customHeight="1" x14ac:dyDescent="0.35">
      <c r="A786" s="46" t="s">
        <v>241</v>
      </c>
      <c r="B786" s="46" t="s">
        <v>103</v>
      </c>
      <c r="C786" s="47" t="str">
        <f>Matrix!O10</f>
        <v>IP</v>
      </c>
      <c r="D786" s="48">
        <f>IFERROR(VLOOKUP(B786,'Renewal Rules'!$A:$B,2,FALSE),"")</f>
        <v>36</v>
      </c>
      <c r="E786" s="47" t="str">
        <f t="shared" si="48"/>
        <v/>
      </c>
      <c r="F786" s="48" t="str">
        <f t="shared" ca="1" si="49"/>
        <v/>
      </c>
      <c r="G786" s="46" t="str">
        <f t="shared" ca="1" si="50"/>
        <v>AMBER</v>
      </c>
      <c r="H786" s="46" t="str">
        <f t="shared" ca="1" si="51"/>
        <v>In Progress</v>
      </c>
      <c r="I786" s="21"/>
    </row>
    <row r="787" spans="1:9" x14ac:dyDescent="0.35">
      <c r="A787" s="46" t="s">
        <v>241</v>
      </c>
      <c r="B787" s="46" t="s">
        <v>122</v>
      </c>
      <c r="C787" s="47" t="str">
        <f>Matrix!P10</f>
        <v>NS</v>
      </c>
      <c r="D787" s="48">
        <f>IFERROR(VLOOKUP(B787,'Renewal Rules'!$A:$B,2,FALSE),"")</f>
        <v>36</v>
      </c>
      <c r="E787" s="47" t="str">
        <f t="shared" si="48"/>
        <v/>
      </c>
      <c r="F787" s="48" t="str">
        <f t="shared" ca="1" si="49"/>
        <v/>
      </c>
      <c r="G787" s="46" t="str">
        <f t="shared" ca="1" si="50"/>
        <v>RED</v>
      </c>
      <c r="H787" s="46" t="str">
        <f t="shared" ca="1" si="51"/>
        <v>Not Started</v>
      </c>
      <c r="I787" s="21"/>
    </row>
    <row r="788" spans="1:9" x14ac:dyDescent="0.35">
      <c r="A788" s="46" t="s">
        <v>241</v>
      </c>
      <c r="B788" s="46" t="s">
        <v>101</v>
      </c>
      <c r="C788" s="47" t="str">
        <f>Matrix!Q10</f>
        <v>NS</v>
      </c>
      <c r="D788" s="48">
        <f>IFERROR(VLOOKUP(B788,'Renewal Rules'!$A:$B,2,FALSE),"")</f>
        <v>36</v>
      </c>
      <c r="E788" s="47" t="str">
        <f t="shared" si="48"/>
        <v/>
      </c>
      <c r="F788" s="48" t="str">
        <f t="shared" ca="1" si="49"/>
        <v/>
      </c>
      <c r="G788" s="46" t="str">
        <f t="shared" ca="1" si="50"/>
        <v>RED</v>
      </c>
      <c r="H788" s="46" t="str">
        <f t="shared" ca="1" si="51"/>
        <v>Not Started</v>
      </c>
      <c r="I788" s="21"/>
    </row>
    <row r="789" spans="1:9" x14ac:dyDescent="0.35">
      <c r="A789" s="46" t="s">
        <v>241</v>
      </c>
      <c r="B789" s="46" t="s">
        <v>123</v>
      </c>
      <c r="C789" s="47" t="str">
        <f>Matrix!R10</f>
        <v>NS</v>
      </c>
      <c r="D789" s="48">
        <f>IFERROR(VLOOKUP(B789,'Renewal Rules'!$A:$B,2,FALSE),"")</f>
        <v>12</v>
      </c>
      <c r="E789" s="47" t="str">
        <f t="shared" si="48"/>
        <v/>
      </c>
      <c r="F789" s="48" t="str">
        <f t="shared" ca="1" si="49"/>
        <v/>
      </c>
      <c r="G789" s="46" t="str">
        <f t="shared" ca="1" si="50"/>
        <v>RED</v>
      </c>
      <c r="H789" s="46" t="str">
        <f t="shared" ca="1" si="51"/>
        <v>Not Started</v>
      </c>
      <c r="I789" s="21"/>
    </row>
    <row r="790" spans="1:9" x14ac:dyDescent="0.35">
      <c r="A790" s="46" t="s">
        <v>241</v>
      </c>
      <c r="B790" s="46" t="s">
        <v>124</v>
      </c>
      <c r="C790" s="47">
        <f>Matrix!S10</f>
        <v>46192</v>
      </c>
      <c r="D790" s="48">
        <f>IFERROR(VLOOKUP(B790,'Renewal Rules'!$A:$B,2,FALSE),"")</f>
        <v>12</v>
      </c>
      <c r="E790" s="47">
        <f t="shared" si="48"/>
        <v>46557</v>
      </c>
      <c r="F790" s="48">
        <f t="shared" ca="1" si="49"/>
        <v>354</v>
      </c>
      <c r="G790" s="46" t="str">
        <f t="shared" ca="1" si="50"/>
        <v>GREEN</v>
      </c>
      <c r="H790" s="46" t="str">
        <f t="shared" ca="1" si="51"/>
        <v>Current</v>
      </c>
      <c r="I790" s="21"/>
    </row>
    <row r="791" spans="1:9" x14ac:dyDescent="0.35">
      <c r="A791" s="46" t="s">
        <v>241</v>
      </c>
      <c r="B791" s="46" t="s">
        <v>125</v>
      </c>
      <c r="C791" s="47" t="str">
        <f>Matrix!T10</f>
        <v>NS</v>
      </c>
      <c r="D791" s="48">
        <f>IFERROR(VLOOKUP(B791,'Renewal Rules'!$A:$B,2,FALSE),"")</f>
        <v>12</v>
      </c>
      <c r="E791" s="47" t="str">
        <f t="shared" si="48"/>
        <v/>
      </c>
      <c r="F791" s="48" t="str">
        <f t="shared" ca="1" si="49"/>
        <v/>
      </c>
      <c r="G791" s="46" t="str">
        <f t="shared" ca="1" si="50"/>
        <v>RED</v>
      </c>
      <c r="H791" s="46" t="str">
        <f t="shared" ca="1" si="51"/>
        <v>Not Started</v>
      </c>
      <c r="I791" s="21"/>
    </row>
    <row r="792" spans="1:9" x14ac:dyDescent="0.35">
      <c r="A792" s="46" t="s">
        <v>241</v>
      </c>
      <c r="B792" s="46" t="s">
        <v>126</v>
      </c>
      <c r="C792" s="47" t="str">
        <f>Matrix!U10</f>
        <v>IP</v>
      </c>
      <c r="D792" s="48">
        <f>IFERROR(VLOOKUP(B792,'Renewal Rules'!$A:$B,2,FALSE),"")</f>
        <v>36</v>
      </c>
      <c r="E792" s="47" t="str">
        <f t="shared" si="48"/>
        <v/>
      </c>
      <c r="F792" s="48" t="str">
        <f t="shared" ca="1" si="49"/>
        <v/>
      </c>
      <c r="G792" s="46" t="str">
        <f t="shared" ca="1" si="50"/>
        <v>AMBER</v>
      </c>
      <c r="H792" s="46" t="str">
        <f t="shared" ca="1" si="51"/>
        <v>In Progress</v>
      </c>
      <c r="I792" s="21"/>
    </row>
    <row r="793" spans="1:9" x14ac:dyDescent="0.35">
      <c r="A793" s="46" t="s">
        <v>241</v>
      </c>
      <c r="B793" s="46" t="s">
        <v>127</v>
      </c>
      <c r="C793" s="47" t="str">
        <f>Matrix!V10</f>
        <v>NS</v>
      </c>
      <c r="D793" s="48">
        <f>IFERROR(VLOOKUP(B793,'Renewal Rules'!$A:$B,2,FALSE),"")</f>
        <v>12</v>
      </c>
      <c r="E793" s="47" t="str">
        <f t="shared" si="48"/>
        <v/>
      </c>
      <c r="F793" s="48" t="str">
        <f t="shared" ca="1" si="49"/>
        <v/>
      </c>
      <c r="G793" s="46" t="str">
        <f t="shared" ca="1" si="50"/>
        <v>RED</v>
      </c>
      <c r="H793" s="46" t="str">
        <f t="shared" ca="1" si="51"/>
        <v>Not Started</v>
      </c>
      <c r="I793" s="21"/>
    </row>
    <row r="794" spans="1:9" x14ac:dyDescent="0.35">
      <c r="A794" s="46" t="s">
        <v>241</v>
      </c>
      <c r="B794" s="46" t="s">
        <v>128</v>
      </c>
      <c r="C794" s="47" t="str">
        <f>Matrix!W10</f>
        <v>NS</v>
      </c>
      <c r="D794" s="48">
        <f>IFERROR(VLOOKUP(B794,'Renewal Rules'!$A:$B,2,FALSE),"")</f>
        <v>12</v>
      </c>
      <c r="E794" s="47" t="str">
        <f t="shared" si="48"/>
        <v/>
      </c>
      <c r="F794" s="48" t="str">
        <f t="shared" ca="1" si="49"/>
        <v/>
      </c>
      <c r="G794" s="46" t="str">
        <f t="shared" ca="1" si="50"/>
        <v>RED</v>
      </c>
      <c r="H794" s="46" t="str">
        <f t="shared" ca="1" si="51"/>
        <v>Not Started</v>
      </c>
      <c r="I794" s="21"/>
    </row>
    <row r="795" spans="1:9" x14ac:dyDescent="0.35">
      <c r="A795" s="46" t="s">
        <v>241</v>
      </c>
      <c r="B795" s="46" t="s">
        <v>129</v>
      </c>
      <c r="C795" s="47" t="str">
        <f>Matrix!X10</f>
        <v>NS</v>
      </c>
      <c r="D795" s="48">
        <f>IFERROR(VLOOKUP(B795,'Renewal Rules'!$A:$B,2,FALSE),"")</f>
        <v>36</v>
      </c>
      <c r="E795" s="47" t="str">
        <f t="shared" si="48"/>
        <v/>
      </c>
      <c r="F795" s="48" t="str">
        <f t="shared" ca="1" si="49"/>
        <v/>
      </c>
      <c r="G795" s="46" t="str">
        <f t="shared" ca="1" si="50"/>
        <v>RED</v>
      </c>
      <c r="H795" s="46" t="str">
        <f t="shared" ca="1" si="51"/>
        <v>Not Started</v>
      </c>
      <c r="I795" s="21"/>
    </row>
    <row r="796" spans="1:9" x14ac:dyDescent="0.35">
      <c r="A796" s="46" t="s">
        <v>241</v>
      </c>
      <c r="B796" s="46" t="s">
        <v>130</v>
      </c>
      <c r="C796" s="47" t="str">
        <f>Matrix!Y10</f>
        <v>NS</v>
      </c>
      <c r="D796" s="48">
        <f>IFERROR(VLOOKUP(B796,'Renewal Rules'!$A:$B,2,FALSE),"")</f>
        <v>36</v>
      </c>
      <c r="E796" s="47" t="str">
        <f t="shared" si="48"/>
        <v/>
      </c>
      <c r="F796" s="48" t="str">
        <f t="shared" ca="1" si="49"/>
        <v/>
      </c>
      <c r="G796" s="46" t="str">
        <f t="shared" ca="1" si="50"/>
        <v>RED</v>
      </c>
      <c r="H796" s="46" t="str">
        <f t="shared" ca="1" si="51"/>
        <v>Not Started</v>
      </c>
      <c r="I796" s="21"/>
    </row>
    <row r="797" spans="1:9" x14ac:dyDescent="0.35">
      <c r="A797" s="46" t="s">
        <v>241</v>
      </c>
      <c r="B797" s="46" t="s">
        <v>131</v>
      </c>
      <c r="C797" s="47" t="str">
        <f>Matrix!Z10</f>
        <v>NS</v>
      </c>
      <c r="D797" s="48">
        <f>IFERROR(VLOOKUP(B797,'Renewal Rules'!$A:$B,2,FALSE),"")</f>
        <v>12</v>
      </c>
      <c r="E797" s="47" t="str">
        <f t="shared" si="48"/>
        <v/>
      </c>
      <c r="F797" s="48" t="str">
        <f t="shared" ca="1" si="49"/>
        <v/>
      </c>
      <c r="G797" s="46" t="str">
        <f t="shared" ca="1" si="50"/>
        <v>RED</v>
      </c>
      <c r="H797" s="46" t="str">
        <f t="shared" ca="1" si="51"/>
        <v>Not Started</v>
      </c>
      <c r="I797" s="21"/>
    </row>
    <row r="798" spans="1:9" x14ac:dyDescent="0.35">
      <c r="A798" s="46" t="s">
        <v>241</v>
      </c>
      <c r="B798" s="46" t="s">
        <v>132</v>
      </c>
      <c r="C798" s="47" t="str">
        <f>Matrix!AA10</f>
        <v>NS</v>
      </c>
      <c r="D798" s="48">
        <f>IFERROR(VLOOKUP(B798,'Renewal Rules'!$A:$B,2,FALSE),"")</f>
        <v>12</v>
      </c>
      <c r="E798" s="47" t="str">
        <f t="shared" si="48"/>
        <v/>
      </c>
      <c r="F798" s="48" t="str">
        <f t="shared" ca="1" si="49"/>
        <v/>
      </c>
      <c r="G798" s="46" t="str">
        <f t="shared" ca="1" si="50"/>
        <v>RED</v>
      </c>
      <c r="H798" s="46" t="str">
        <f t="shared" ca="1" si="51"/>
        <v>Not Started</v>
      </c>
      <c r="I798" s="21"/>
    </row>
    <row r="799" spans="1:9" x14ac:dyDescent="0.35">
      <c r="A799" s="46" t="s">
        <v>241</v>
      </c>
      <c r="B799" s="46" t="s">
        <v>92</v>
      </c>
      <c r="C799" s="47" t="str">
        <f>Matrix!AB10</f>
        <v>NS</v>
      </c>
      <c r="D799" s="48">
        <f>IFERROR(VLOOKUP(B799,'Renewal Rules'!$A:$B,2,FALSE),"")</f>
        <v>12</v>
      </c>
      <c r="E799" s="47" t="str">
        <f t="shared" si="48"/>
        <v/>
      </c>
      <c r="F799" s="48" t="str">
        <f t="shared" ca="1" si="49"/>
        <v/>
      </c>
      <c r="G799" s="46" t="str">
        <f t="shared" ca="1" si="50"/>
        <v>RED</v>
      </c>
      <c r="H799" s="46" t="str">
        <f t="shared" ca="1" si="51"/>
        <v>Not Started</v>
      </c>
      <c r="I799" s="21"/>
    </row>
    <row r="800" spans="1:9" x14ac:dyDescent="0.35">
      <c r="A800" s="46" t="s">
        <v>241</v>
      </c>
      <c r="B800" s="46" t="s">
        <v>133</v>
      </c>
      <c r="C800" s="47" t="str">
        <f>Matrix!AC10</f>
        <v>NS</v>
      </c>
      <c r="D800" s="48">
        <f>IFERROR(VLOOKUP(B800,'Renewal Rules'!$A:$B,2,FALSE),"")</f>
        <v>36</v>
      </c>
      <c r="E800" s="47" t="str">
        <f t="shared" si="48"/>
        <v/>
      </c>
      <c r="F800" s="48" t="str">
        <f t="shared" ca="1" si="49"/>
        <v/>
      </c>
      <c r="G800" s="46" t="str">
        <f t="shared" ca="1" si="50"/>
        <v>RED</v>
      </c>
      <c r="H800" s="46" t="str">
        <f t="shared" ca="1" si="51"/>
        <v>Not Started</v>
      </c>
      <c r="I800" s="21"/>
    </row>
    <row r="801" spans="1:9" x14ac:dyDescent="0.35">
      <c r="A801" s="46" t="s">
        <v>241</v>
      </c>
      <c r="B801" s="46" t="s">
        <v>134</v>
      </c>
      <c r="C801" s="47" t="str">
        <f>Matrix!AD10</f>
        <v>NS</v>
      </c>
      <c r="D801" s="48">
        <f>IFERROR(VLOOKUP(B801,'Renewal Rules'!$A:$B,2,FALSE),"")</f>
        <v>36</v>
      </c>
      <c r="E801" s="47" t="str">
        <f t="shared" si="48"/>
        <v/>
      </c>
      <c r="F801" s="48" t="str">
        <f t="shared" ca="1" si="49"/>
        <v/>
      </c>
      <c r="G801" s="46" t="str">
        <f t="shared" ca="1" si="50"/>
        <v>RED</v>
      </c>
      <c r="H801" s="46" t="str">
        <f t="shared" ca="1" si="51"/>
        <v>Not Started</v>
      </c>
      <c r="I801" s="21"/>
    </row>
    <row r="802" spans="1:9" x14ac:dyDescent="0.35">
      <c r="A802" s="46" t="s">
        <v>241</v>
      </c>
      <c r="B802" s="46" t="s">
        <v>98</v>
      </c>
      <c r="C802" s="47" t="str">
        <f>Matrix!AE10</f>
        <v>NS</v>
      </c>
      <c r="D802" s="48">
        <f>IFERROR(VLOOKUP(B802,'Renewal Rules'!$A:$B,2,FALSE),"")</f>
        <v>36</v>
      </c>
      <c r="E802" s="47" t="str">
        <f t="shared" si="48"/>
        <v/>
      </c>
      <c r="F802" s="48" t="str">
        <f t="shared" ca="1" si="49"/>
        <v/>
      </c>
      <c r="G802" s="46" t="str">
        <f t="shared" ca="1" si="50"/>
        <v>RED</v>
      </c>
      <c r="H802" s="46" t="str">
        <f t="shared" ca="1" si="51"/>
        <v>Not Started</v>
      </c>
      <c r="I802" s="21"/>
    </row>
    <row r="803" spans="1:9" x14ac:dyDescent="0.35">
      <c r="A803" s="46" t="s">
        <v>241</v>
      </c>
      <c r="B803" s="46" t="s">
        <v>135</v>
      </c>
      <c r="C803" s="47" t="str">
        <f>Matrix!AF10</f>
        <v>NS</v>
      </c>
      <c r="D803" s="48">
        <f>IFERROR(VLOOKUP(B803,'Renewal Rules'!$A:$B,2,FALSE),"")</f>
        <v>36</v>
      </c>
      <c r="E803" s="47" t="str">
        <f t="shared" si="48"/>
        <v/>
      </c>
      <c r="F803" s="48" t="str">
        <f t="shared" ca="1" si="49"/>
        <v/>
      </c>
      <c r="G803" s="46" t="str">
        <f t="shared" ca="1" si="50"/>
        <v>RED</v>
      </c>
      <c r="H803" s="46" t="str">
        <f t="shared" ca="1" si="51"/>
        <v>Not Started</v>
      </c>
      <c r="I803" s="21"/>
    </row>
    <row r="804" spans="1:9" x14ac:dyDescent="0.35">
      <c r="A804" s="46" t="s">
        <v>241</v>
      </c>
      <c r="B804" s="46" t="s">
        <v>136</v>
      </c>
      <c r="C804" s="47">
        <f>Matrix!AG10</f>
        <v>46192</v>
      </c>
      <c r="D804" s="48">
        <f>IFERROR(VLOOKUP(B804,'Renewal Rules'!$A:$B,2,FALSE),"")</f>
        <v>12</v>
      </c>
      <c r="E804" s="47">
        <f t="shared" si="48"/>
        <v>46557</v>
      </c>
      <c r="F804" s="48">
        <f t="shared" ca="1" si="49"/>
        <v>354</v>
      </c>
      <c r="G804" s="46" t="str">
        <f t="shared" ca="1" si="50"/>
        <v>GREEN</v>
      </c>
      <c r="H804" s="46" t="str">
        <f t="shared" ca="1" si="51"/>
        <v>Current</v>
      </c>
      <c r="I804" s="21"/>
    </row>
    <row r="805" spans="1:9" x14ac:dyDescent="0.35">
      <c r="A805" s="46" t="s">
        <v>241</v>
      </c>
      <c r="B805" s="46" t="s">
        <v>137</v>
      </c>
      <c r="C805" s="47" t="str">
        <f>Matrix!AH10</f>
        <v>NS</v>
      </c>
      <c r="D805" s="48">
        <f>IFERROR(VLOOKUP(B805,'Renewal Rules'!$A:$B,2,FALSE),"")</f>
        <v>36</v>
      </c>
      <c r="E805" s="47" t="str">
        <f t="shared" si="48"/>
        <v/>
      </c>
      <c r="F805" s="48" t="str">
        <f t="shared" ca="1" si="49"/>
        <v/>
      </c>
      <c r="G805" s="46" t="str">
        <f t="shared" ca="1" si="50"/>
        <v>RED</v>
      </c>
      <c r="H805" s="46" t="str">
        <f t="shared" ca="1" si="51"/>
        <v>Not Started</v>
      </c>
      <c r="I805" s="21"/>
    </row>
    <row r="806" spans="1:9" ht="12.9" customHeight="1" x14ac:dyDescent="0.35">
      <c r="A806" s="46" t="s">
        <v>241</v>
      </c>
      <c r="B806" s="46" t="s">
        <v>138</v>
      </c>
      <c r="C806" s="47" t="str">
        <f>Matrix!AI10</f>
        <v>NS</v>
      </c>
      <c r="D806" s="48">
        <f>IFERROR(VLOOKUP(B806,'Renewal Rules'!$A:$B,2,FALSE),"")</f>
        <v>12</v>
      </c>
      <c r="E806" s="47" t="str">
        <f t="shared" si="48"/>
        <v/>
      </c>
      <c r="F806" s="48" t="str">
        <f t="shared" ca="1" si="49"/>
        <v/>
      </c>
      <c r="G806" s="46" t="str">
        <f t="shared" ca="1" si="50"/>
        <v>RED</v>
      </c>
      <c r="H806" s="46" t="str">
        <f t="shared" ca="1" si="51"/>
        <v>Not Started</v>
      </c>
      <c r="I806" s="21"/>
    </row>
    <row r="807" spans="1:9" x14ac:dyDescent="0.35">
      <c r="A807" s="46" t="s">
        <v>241</v>
      </c>
      <c r="B807" s="46" t="s">
        <v>139</v>
      </c>
      <c r="C807" s="47" t="str">
        <f>Matrix!AJ10</f>
        <v>NS</v>
      </c>
      <c r="D807" s="48">
        <f>IFERROR(VLOOKUP(B807,'Renewal Rules'!$A:$B,2,FALSE),"")</f>
        <v>12</v>
      </c>
      <c r="E807" s="47" t="str">
        <f t="shared" si="48"/>
        <v/>
      </c>
      <c r="F807" s="48" t="str">
        <f t="shared" ca="1" si="49"/>
        <v/>
      </c>
      <c r="G807" s="46" t="str">
        <f t="shared" ca="1" si="50"/>
        <v>RED</v>
      </c>
      <c r="H807" s="46" t="str">
        <f t="shared" ca="1" si="51"/>
        <v>Not Started</v>
      </c>
      <c r="I807" s="21"/>
    </row>
    <row r="808" spans="1:9" x14ac:dyDescent="0.35">
      <c r="A808" s="46" t="s">
        <v>241</v>
      </c>
      <c r="B808" s="46" t="s">
        <v>97</v>
      </c>
      <c r="C808" s="47" t="str">
        <f>Matrix!AK10</f>
        <v>NS</v>
      </c>
      <c r="D808" s="48">
        <f>IFERROR(VLOOKUP(B808,'Renewal Rules'!$A:$B,2,FALSE),"")</f>
        <v>12</v>
      </c>
      <c r="E808" s="47" t="str">
        <f t="shared" si="48"/>
        <v/>
      </c>
      <c r="F808" s="48" t="str">
        <f t="shared" ca="1" si="49"/>
        <v/>
      </c>
      <c r="G808" s="46" t="str">
        <f t="shared" ca="1" si="50"/>
        <v>RED</v>
      </c>
      <c r="H808" s="46" t="str">
        <f t="shared" ca="1" si="51"/>
        <v>Not Started</v>
      </c>
      <c r="I808" s="21"/>
    </row>
    <row r="809" spans="1:9" x14ac:dyDescent="0.35">
      <c r="A809" s="46" t="s">
        <v>241</v>
      </c>
      <c r="B809" s="46" t="s">
        <v>140</v>
      </c>
      <c r="C809" s="47" t="str">
        <f>Matrix!AL10</f>
        <v>NS</v>
      </c>
      <c r="D809" s="48">
        <f>IFERROR(VLOOKUP(B809,'Renewal Rules'!$A:$B,2,FALSE),"")</f>
        <v>36</v>
      </c>
      <c r="E809" s="47" t="str">
        <f t="shared" si="48"/>
        <v/>
      </c>
      <c r="F809" s="48" t="str">
        <f t="shared" ca="1" si="49"/>
        <v/>
      </c>
      <c r="G809" s="46" t="str">
        <f t="shared" ca="1" si="50"/>
        <v>RED</v>
      </c>
      <c r="H809" s="46" t="str">
        <f t="shared" ca="1" si="51"/>
        <v>Not Started</v>
      </c>
      <c r="I809" s="21"/>
    </row>
    <row r="810" spans="1:9" x14ac:dyDescent="0.35">
      <c r="A810" s="46" t="s">
        <v>241</v>
      </c>
      <c r="B810" s="46" t="s">
        <v>141</v>
      </c>
      <c r="C810" s="47">
        <f>Matrix!AM10</f>
        <v>46194</v>
      </c>
      <c r="D810" s="48">
        <f>IFERROR(VLOOKUP(B810,'Renewal Rules'!$A:$B,2,FALSE),"")</f>
        <v>12</v>
      </c>
      <c r="E810" s="47">
        <f t="shared" si="48"/>
        <v>46559</v>
      </c>
      <c r="F810" s="48">
        <f t="shared" ca="1" si="49"/>
        <v>356</v>
      </c>
      <c r="G810" s="46" t="str">
        <f t="shared" ca="1" si="50"/>
        <v>GREEN</v>
      </c>
      <c r="H810" s="46" t="str">
        <f t="shared" ca="1" si="51"/>
        <v>Current</v>
      </c>
      <c r="I810" s="21"/>
    </row>
    <row r="811" spans="1:9" x14ac:dyDescent="0.35">
      <c r="A811" s="46" t="s">
        <v>241</v>
      </c>
      <c r="B811" s="46" t="s">
        <v>142</v>
      </c>
      <c r="C811" s="47" t="str">
        <f>Matrix!AN10</f>
        <v>NS</v>
      </c>
      <c r="D811" s="48">
        <f>IFERROR(VLOOKUP(B811,'Renewal Rules'!$A:$B,2,FALSE),"")</f>
        <v>12</v>
      </c>
      <c r="E811" s="47" t="str">
        <f t="shared" si="48"/>
        <v/>
      </c>
      <c r="F811" s="48" t="str">
        <f t="shared" ca="1" si="49"/>
        <v/>
      </c>
      <c r="G811" s="46" t="str">
        <f t="shared" ca="1" si="50"/>
        <v>RED</v>
      </c>
      <c r="H811" s="46" t="str">
        <f t="shared" ca="1" si="51"/>
        <v>Not Started</v>
      </c>
      <c r="I811" s="21"/>
    </row>
    <row r="812" spans="1:9" x14ac:dyDescent="0.35">
      <c r="A812" s="46" t="s">
        <v>241</v>
      </c>
      <c r="B812" s="46" t="s">
        <v>143</v>
      </c>
      <c r="C812" s="47">
        <f>Matrix!AO10</f>
        <v>46194</v>
      </c>
      <c r="D812" s="48">
        <f>IFERROR(VLOOKUP(B812,'Renewal Rules'!$A:$B,2,FALSE),"")</f>
        <v>12</v>
      </c>
      <c r="E812" s="47">
        <f t="shared" si="48"/>
        <v>46559</v>
      </c>
      <c r="F812" s="48">
        <f t="shared" ca="1" si="49"/>
        <v>356</v>
      </c>
      <c r="G812" s="46" t="str">
        <f t="shared" ca="1" si="50"/>
        <v>GREEN</v>
      </c>
      <c r="H812" s="46" t="str">
        <f t="shared" ca="1" si="51"/>
        <v>Current</v>
      </c>
      <c r="I812" s="21"/>
    </row>
    <row r="813" spans="1:9" x14ac:dyDescent="0.35">
      <c r="A813" s="46" t="s">
        <v>241</v>
      </c>
      <c r="B813" s="46" t="s">
        <v>102</v>
      </c>
      <c r="C813" s="47" t="str">
        <f>Matrix!AP10</f>
        <v>NS</v>
      </c>
      <c r="D813" s="48">
        <f>IFERROR(VLOOKUP(B813,'Renewal Rules'!$A:$B,2,FALSE),"")</f>
        <v>12</v>
      </c>
      <c r="E813" s="47" t="str">
        <f t="shared" si="48"/>
        <v/>
      </c>
      <c r="F813" s="48" t="str">
        <f t="shared" ca="1" si="49"/>
        <v/>
      </c>
      <c r="G813" s="46" t="str">
        <f t="shared" ca="1" si="50"/>
        <v>RED</v>
      </c>
      <c r="H813" s="46" t="str">
        <f t="shared" ca="1" si="51"/>
        <v>Not Started</v>
      </c>
      <c r="I813" s="21"/>
    </row>
    <row r="814" spans="1:9" x14ac:dyDescent="0.35">
      <c r="A814" s="46" t="s">
        <v>241</v>
      </c>
      <c r="B814" s="46" t="s">
        <v>144</v>
      </c>
      <c r="C814" s="47" t="str">
        <f>Matrix!AQ10</f>
        <v>NS</v>
      </c>
      <c r="D814" s="48">
        <f>IFERROR(VLOOKUP(B814,'Renewal Rules'!$A:$B,2,FALSE),"")</f>
        <v>36</v>
      </c>
      <c r="E814" s="47" t="str">
        <f t="shared" si="48"/>
        <v/>
      </c>
      <c r="F814" s="48" t="str">
        <f t="shared" ca="1" si="49"/>
        <v/>
      </c>
      <c r="G814" s="46" t="str">
        <f t="shared" ca="1" si="50"/>
        <v>RED</v>
      </c>
      <c r="H814" s="46" t="str">
        <f t="shared" ca="1" si="51"/>
        <v>Not Started</v>
      </c>
      <c r="I814" s="21"/>
    </row>
    <row r="815" spans="1:9" x14ac:dyDescent="0.35">
      <c r="A815" s="46" t="s">
        <v>241</v>
      </c>
      <c r="B815" s="46" t="s">
        <v>145</v>
      </c>
      <c r="C815" s="47" t="str">
        <f>Matrix!AR10</f>
        <v>NS</v>
      </c>
      <c r="D815" s="48">
        <f>IFERROR(VLOOKUP(B815,'Renewal Rules'!$A:$B,2,FALSE),"")</f>
        <v>12</v>
      </c>
      <c r="E815" s="47" t="str">
        <f t="shared" si="48"/>
        <v/>
      </c>
      <c r="F815" s="48" t="str">
        <f t="shared" ca="1" si="49"/>
        <v/>
      </c>
      <c r="G815" s="46" t="str">
        <f t="shared" ca="1" si="50"/>
        <v>RED</v>
      </c>
      <c r="H815" s="46" t="str">
        <f t="shared" ca="1" si="51"/>
        <v>Not Started</v>
      </c>
      <c r="I815" s="21"/>
    </row>
    <row r="816" spans="1:9" x14ac:dyDescent="0.35">
      <c r="A816" s="46" t="s">
        <v>241</v>
      </c>
      <c r="B816" s="46" t="s">
        <v>146</v>
      </c>
      <c r="C816" s="47" t="str">
        <f>Matrix!AS10</f>
        <v>NS</v>
      </c>
      <c r="D816" s="48">
        <f>IFERROR(VLOOKUP(B816,'Renewal Rules'!$A:$B,2,FALSE),"")</f>
        <v>12</v>
      </c>
      <c r="E816" s="47" t="str">
        <f t="shared" si="48"/>
        <v/>
      </c>
      <c r="F816" s="48" t="str">
        <f t="shared" ca="1" si="49"/>
        <v/>
      </c>
      <c r="G816" s="46" t="str">
        <f t="shared" ca="1" si="50"/>
        <v>RED</v>
      </c>
      <c r="H816" s="46" t="str">
        <f t="shared" ca="1" si="51"/>
        <v>Not Started</v>
      </c>
      <c r="I816" s="21"/>
    </row>
    <row r="817" spans="1:9" x14ac:dyDescent="0.35">
      <c r="A817" s="46" t="s">
        <v>241</v>
      </c>
      <c r="B817" s="46" t="s">
        <v>147</v>
      </c>
      <c r="C817" s="47">
        <f>Matrix!AT10</f>
        <v>46194</v>
      </c>
      <c r="D817" s="48">
        <f>IFERROR(VLOOKUP(B817,'Renewal Rules'!$A:$B,2,FALSE),"")</f>
        <v>36</v>
      </c>
      <c r="E817" s="47">
        <f t="shared" si="48"/>
        <v>47290</v>
      </c>
      <c r="F817" s="48">
        <f t="shared" ca="1" si="49"/>
        <v>1087</v>
      </c>
      <c r="G817" s="46" t="str">
        <f t="shared" ca="1" si="50"/>
        <v>GREEN</v>
      </c>
      <c r="H817" s="46" t="str">
        <f t="shared" ca="1" si="51"/>
        <v>Current</v>
      </c>
      <c r="I817" s="21"/>
    </row>
    <row r="818" spans="1:9" x14ac:dyDescent="0.35">
      <c r="A818" s="46" t="s">
        <v>241</v>
      </c>
      <c r="B818" s="46" t="s">
        <v>148</v>
      </c>
      <c r="C818" s="47" t="str">
        <f>Matrix!AU10</f>
        <v>NS</v>
      </c>
      <c r="D818" s="48">
        <f>IFERROR(VLOOKUP(B818,'Renewal Rules'!$A:$B,2,FALSE),"")</f>
        <v>36</v>
      </c>
      <c r="E818" s="47" t="str">
        <f t="shared" si="48"/>
        <v/>
      </c>
      <c r="F818" s="48" t="str">
        <f t="shared" ca="1" si="49"/>
        <v/>
      </c>
      <c r="G818" s="46" t="str">
        <f t="shared" ca="1" si="50"/>
        <v>RED</v>
      </c>
      <c r="H818" s="46" t="str">
        <f t="shared" ca="1" si="51"/>
        <v>Not Started</v>
      </c>
      <c r="I818" s="21"/>
    </row>
    <row r="819" spans="1:9" x14ac:dyDescent="0.35">
      <c r="A819" s="46" t="s">
        <v>241</v>
      </c>
      <c r="B819" s="46" t="s">
        <v>149</v>
      </c>
      <c r="C819" s="47" t="str">
        <f>Matrix!AV10</f>
        <v>NS</v>
      </c>
      <c r="D819" s="48">
        <f>IFERROR(VLOOKUP(B819,'Renewal Rules'!$A:$B,2,FALSE),"")</f>
        <v>36</v>
      </c>
      <c r="E819" s="47" t="str">
        <f t="shared" si="48"/>
        <v/>
      </c>
      <c r="F819" s="48" t="str">
        <f t="shared" ca="1" si="49"/>
        <v/>
      </c>
      <c r="G819" s="46" t="str">
        <f t="shared" ca="1" si="50"/>
        <v>RED</v>
      </c>
      <c r="H819" s="46" t="str">
        <f t="shared" ca="1" si="51"/>
        <v>Not Started</v>
      </c>
      <c r="I819" s="21"/>
    </row>
    <row r="820" spans="1:9" x14ac:dyDescent="0.35">
      <c r="A820" s="46" t="s">
        <v>241</v>
      </c>
      <c r="B820" s="46" t="s">
        <v>150</v>
      </c>
      <c r="C820" s="47" t="str">
        <f>Matrix!AW10</f>
        <v>NS</v>
      </c>
      <c r="D820" s="48">
        <f>IFERROR(VLOOKUP(B820,'Renewal Rules'!$A:$B,2,FALSE),"")</f>
        <v>36</v>
      </c>
      <c r="E820" s="47" t="str">
        <f t="shared" si="48"/>
        <v/>
      </c>
      <c r="F820" s="48" t="str">
        <f t="shared" ca="1" si="49"/>
        <v/>
      </c>
      <c r="G820" s="46" t="str">
        <f t="shared" ca="1" si="50"/>
        <v>RED</v>
      </c>
      <c r="H820" s="46" t="str">
        <f t="shared" ca="1" si="51"/>
        <v>Not Started</v>
      </c>
      <c r="I820" s="21"/>
    </row>
    <row r="821" spans="1:9" x14ac:dyDescent="0.35">
      <c r="A821" s="46" t="s">
        <v>241</v>
      </c>
      <c r="B821" s="46" t="s">
        <v>151</v>
      </c>
      <c r="C821" s="47" t="str">
        <f>Matrix!AX10</f>
        <v>NS</v>
      </c>
      <c r="D821" s="48">
        <f>IFERROR(VLOOKUP(B821,'Renewal Rules'!$A:$B,2,FALSE),"")</f>
        <v>36</v>
      </c>
      <c r="E821" s="47" t="str">
        <f t="shared" si="48"/>
        <v/>
      </c>
      <c r="F821" s="48" t="str">
        <f t="shared" ca="1" si="49"/>
        <v/>
      </c>
      <c r="G821" s="46" t="str">
        <f t="shared" ca="1" si="50"/>
        <v>RED</v>
      </c>
      <c r="H821" s="46" t="str">
        <f t="shared" ca="1" si="51"/>
        <v>Not Started</v>
      </c>
      <c r="I821" s="21"/>
    </row>
    <row r="822" spans="1:9" x14ac:dyDescent="0.35">
      <c r="A822" s="46" t="s">
        <v>241</v>
      </c>
      <c r="B822" s="46" t="s">
        <v>152</v>
      </c>
      <c r="C822" s="47">
        <f>Matrix!AY10</f>
        <v>46192</v>
      </c>
      <c r="D822" s="48">
        <f>IFERROR(VLOOKUP(B822,'Renewal Rules'!$A:$B,2,FALSE),"")</f>
        <v>36</v>
      </c>
      <c r="E822" s="47">
        <f t="shared" si="48"/>
        <v>47288</v>
      </c>
      <c r="F822" s="48">
        <f t="shared" ca="1" si="49"/>
        <v>1085</v>
      </c>
      <c r="G822" s="46" t="str">
        <f t="shared" ca="1" si="50"/>
        <v>GREEN</v>
      </c>
      <c r="H822" s="46" t="str">
        <f t="shared" ca="1" si="51"/>
        <v>Current</v>
      </c>
      <c r="I822" s="21"/>
    </row>
    <row r="823" spans="1:9" x14ac:dyDescent="0.35">
      <c r="A823" s="46" t="s">
        <v>241</v>
      </c>
      <c r="B823" s="46" t="s">
        <v>153</v>
      </c>
      <c r="C823" s="47">
        <f>Matrix!AZ10</f>
        <v>46192</v>
      </c>
      <c r="D823" s="48">
        <f>IFERROR(VLOOKUP(B823,'Renewal Rules'!$A:$B,2,FALSE),"")</f>
        <v>36</v>
      </c>
      <c r="E823" s="47">
        <f t="shared" si="48"/>
        <v>47288</v>
      </c>
      <c r="F823" s="48">
        <f t="shared" ca="1" si="49"/>
        <v>1085</v>
      </c>
      <c r="G823" s="46" t="str">
        <f t="shared" ca="1" si="50"/>
        <v>GREEN</v>
      </c>
      <c r="H823" s="46" t="str">
        <f t="shared" ca="1" si="51"/>
        <v>Current</v>
      </c>
      <c r="I823" s="21"/>
    </row>
    <row r="824" spans="1:9" x14ac:dyDescent="0.35">
      <c r="A824" s="46" t="s">
        <v>241</v>
      </c>
      <c r="B824" s="46" t="s">
        <v>154</v>
      </c>
      <c r="C824" s="47">
        <f>Matrix!BA10</f>
        <v>46192</v>
      </c>
      <c r="D824" s="48">
        <f>IFERROR(VLOOKUP(B824,'Renewal Rules'!$A:$B,2,FALSE),"")</f>
        <v>36</v>
      </c>
      <c r="E824" s="47">
        <f t="shared" si="48"/>
        <v>47288</v>
      </c>
      <c r="F824" s="48">
        <f t="shared" ca="1" si="49"/>
        <v>1085</v>
      </c>
      <c r="G824" s="46" t="str">
        <f t="shared" ca="1" si="50"/>
        <v>GREEN</v>
      </c>
      <c r="H824" s="46" t="str">
        <f t="shared" ca="1" si="51"/>
        <v>Current</v>
      </c>
      <c r="I824" s="21"/>
    </row>
    <row r="825" spans="1:9" x14ac:dyDescent="0.35">
      <c r="A825" s="46" t="s">
        <v>241</v>
      </c>
      <c r="B825" s="46" t="s">
        <v>155</v>
      </c>
      <c r="C825" s="47" t="str">
        <f>Matrix!BB10</f>
        <v>NS</v>
      </c>
      <c r="D825" s="48">
        <f>IFERROR(VLOOKUP(B825,'Renewal Rules'!$A:$B,2,FALSE),"")</f>
        <v>12</v>
      </c>
      <c r="E825" s="47" t="str">
        <f t="shared" si="48"/>
        <v/>
      </c>
      <c r="F825" s="48" t="str">
        <f t="shared" ca="1" si="49"/>
        <v/>
      </c>
      <c r="G825" s="46" t="str">
        <f t="shared" ca="1" si="50"/>
        <v>RED</v>
      </c>
      <c r="H825" s="46" t="str">
        <f t="shared" ca="1" si="51"/>
        <v>Not Started</v>
      </c>
      <c r="I825" s="21"/>
    </row>
    <row r="826" spans="1:9" x14ac:dyDescent="0.35">
      <c r="A826" s="46" t="s">
        <v>241</v>
      </c>
      <c r="B826" s="46" t="s">
        <v>156</v>
      </c>
      <c r="C826" s="47" t="str">
        <f>Matrix!BC10</f>
        <v>NS</v>
      </c>
      <c r="D826" s="48">
        <f>IFERROR(VLOOKUP(B826,'Renewal Rules'!$A:$B,2,FALSE),"")</f>
        <v>12</v>
      </c>
      <c r="E826" s="47" t="str">
        <f t="shared" si="48"/>
        <v/>
      </c>
      <c r="F826" s="48" t="str">
        <f t="shared" ca="1" si="49"/>
        <v/>
      </c>
      <c r="G826" s="46" t="str">
        <f t="shared" ca="1" si="50"/>
        <v>RED</v>
      </c>
      <c r="H826" s="46" t="str">
        <f t="shared" ca="1" si="51"/>
        <v>Not Started</v>
      </c>
      <c r="I826" s="21"/>
    </row>
    <row r="827" spans="1:9" x14ac:dyDescent="0.35">
      <c r="A827" s="46" t="s">
        <v>241</v>
      </c>
      <c r="B827" s="46" t="s">
        <v>157</v>
      </c>
      <c r="C827" s="47" t="str">
        <f>Matrix!BD10</f>
        <v>NS</v>
      </c>
      <c r="D827" s="48">
        <f>IFERROR(VLOOKUP(B827,'Renewal Rules'!$A:$B,2,FALSE),"")</f>
        <v>36</v>
      </c>
      <c r="E827" s="47" t="str">
        <f t="shared" si="48"/>
        <v/>
      </c>
      <c r="F827" s="48" t="str">
        <f t="shared" ca="1" si="49"/>
        <v/>
      </c>
      <c r="G827" s="46" t="str">
        <f t="shared" ca="1" si="50"/>
        <v>RED</v>
      </c>
      <c r="H827" s="46" t="str">
        <f t="shared" ca="1" si="51"/>
        <v>Not Started</v>
      </c>
      <c r="I827" s="21"/>
    </row>
    <row r="828" spans="1:9" ht="12.9" customHeight="1" x14ac:dyDescent="0.35">
      <c r="A828" s="46" t="s">
        <v>241</v>
      </c>
      <c r="B828" s="46" t="s">
        <v>158</v>
      </c>
      <c r="C828" s="47" t="str">
        <f>Matrix!BE10</f>
        <v>NS</v>
      </c>
      <c r="D828" s="48">
        <f>IFERROR(VLOOKUP(B828,'Renewal Rules'!$A:$B,2,FALSE),"")</f>
        <v>12</v>
      </c>
      <c r="E828" s="47" t="str">
        <f t="shared" si="48"/>
        <v/>
      </c>
      <c r="F828" s="48" t="str">
        <f t="shared" ca="1" si="49"/>
        <v/>
      </c>
      <c r="G828" s="46" t="str">
        <f t="shared" ca="1" si="50"/>
        <v>RED</v>
      </c>
      <c r="H828" s="46" t="str">
        <f t="shared" ca="1" si="51"/>
        <v>Not Started</v>
      </c>
      <c r="I828" s="21"/>
    </row>
    <row r="829" spans="1:9" x14ac:dyDescent="0.35">
      <c r="A829" s="46" t="s">
        <v>241</v>
      </c>
      <c r="B829" s="46" t="s">
        <v>95</v>
      </c>
      <c r="C829" s="47" t="str">
        <f>Matrix!BF10</f>
        <v>NS</v>
      </c>
      <c r="D829" s="48">
        <f>IFERROR(VLOOKUP(B829,'Renewal Rules'!$A:$B,2,FALSE),"")</f>
        <v>12</v>
      </c>
      <c r="E829" s="47" t="str">
        <f t="shared" si="48"/>
        <v/>
      </c>
      <c r="F829" s="48" t="str">
        <f t="shared" ca="1" si="49"/>
        <v/>
      </c>
      <c r="G829" s="46" t="str">
        <f t="shared" ca="1" si="50"/>
        <v>RED</v>
      </c>
      <c r="H829" s="46" t="str">
        <f t="shared" ca="1" si="51"/>
        <v>Not Started</v>
      </c>
      <c r="I829" s="21"/>
    </row>
    <row r="830" spans="1:9" x14ac:dyDescent="0.35">
      <c r="A830" s="46" t="s">
        <v>241</v>
      </c>
      <c r="B830" s="46" t="s">
        <v>93</v>
      </c>
      <c r="C830" s="47" t="str">
        <f>Matrix!BG10</f>
        <v>NS</v>
      </c>
      <c r="D830" s="48">
        <f>IFERROR(VLOOKUP(B830,'Renewal Rules'!$A:$B,2,FALSE),"")</f>
        <v>12</v>
      </c>
      <c r="E830" s="47" t="str">
        <f t="shared" si="48"/>
        <v/>
      </c>
      <c r="F830" s="48" t="str">
        <f t="shared" ca="1" si="49"/>
        <v/>
      </c>
      <c r="G830" s="46" t="str">
        <f t="shared" ca="1" si="50"/>
        <v>RED</v>
      </c>
      <c r="H830" s="46" t="str">
        <f t="shared" ca="1" si="51"/>
        <v>Not Started</v>
      </c>
      <c r="I830" s="21"/>
    </row>
    <row r="831" spans="1:9" x14ac:dyDescent="0.35">
      <c r="A831" s="46" t="s">
        <v>241</v>
      </c>
      <c r="B831" s="46" t="s">
        <v>159</v>
      </c>
      <c r="C831" s="47" t="str">
        <f>Matrix!BH10</f>
        <v>NS</v>
      </c>
      <c r="D831" s="48">
        <f>IFERROR(VLOOKUP(B831,'Renewal Rules'!$A:$B,2,FALSE),"")</f>
        <v>12</v>
      </c>
      <c r="E831" s="47" t="str">
        <f t="shared" si="48"/>
        <v/>
      </c>
      <c r="F831" s="48" t="str">
        <f t="shared" ca="1" si="49"/>
        <v/>
      </c>
      <c r="G831" s="46" t="str">
        <f t="shared" ca="1" si="50"/>
        <v>RED</v>
      </c>
      <c r="H831" s="46" t="str">
        <f t="shared" ca="1" si="51"/>
        <v>Not Started</v>
      </c>
      <c r="I831" s="21"/>
    </row>
    <row r="832" spans="1:9" x14ac:dyDescent="0.35">
      <c r="A832" s="46" t="s">
        <v>241</v>
      </c>
      <c r="B832" s="46" t="s">
        <v>160</v>
      </c>
      <c r="C832" s="47" t="str">
        <f>Matrix!BI10</f>
        <v>NS</v>
      </c>
      <c r="D832" s="48">
        <f>IFERROR(VLOOKUP(B832,'Renewal Rules'!$A:$B,2,FALSE),"")</f>
        <v>36</v>
      </c>
      <c r="E832" s="47" t="str">
        <f t="shared" si="48"/>
        <v/>
      </c>
      <c r="F832" s="48" t="str">
        <f t="shared" ca="1" si="49"/>
        <v/>
      </c>
      <c r="G832" s="46" t="str">
        <f t="shared" ca="1" si="50"/>
        <v>RED</v>
      </c>
      <c r="H832" s="46" t="str">
        <f t="shared" ca="1" si="51"/>
        <v>Not Started</v>
      </c>
      <c r="I832" s="21"/>
    </row>
    <row r="833" spans="1:9" x14ac:dyDescent="0.35">
      <c r="A833" s="46" t="s">
        <v>241</v>
      </c>
      <c r="B833" s="46" t="s">
        <v>161</v>
      </c>
      <c r="C833" s="47" t="str">
        <f>Matrix!BJ10</f>
        <v>NS</v>
      </c>
      <c r="D833" s="48">
        <f>IFERROR(VLOOKUP(B833,'Renewal Rules'!$A:$B,2,FALSE),"")</f>
        <v>12</v>
      </c>
      <c r="E833" s="47" t="str">
        <f t="shared" si="48"/>
        <v/>
      </c>
      <c r="F833" s="48" t="str">
        <f t="shared" ca="1" si="49"/>
        <v/>
      </c>
      <c r="G833" s="46" t="str">
        <f t="shared" ca="1" si="50"/>
        <v>RED</v>
      </c>
      <c r="H833" s="46" t="str">
        <f t="shared" ca="1" si="51"/>
        <v>Not Started</v>
      </c>
      <c r="I833" s="21"/>
    </row>
    <row r="834" spans="1:9" x14ac:dyDescent="0.35">
      <c r="A834" s="46" t="s">
        <v>241</v>
      </c>
      <c r="B834" s="46" t="s">
        <v>162</v>
      </c>
      <c r="C834" s="47" t="str">
        <f>Matrix!BK10</f>
        <v>NS</v>
      </c>
      <c r="D834" s="48">
        <f>IFERROR(VLOOKUP(B834,'Renewal Rules'!$A:$B,2,FALSE),"")</f>
        <v>12</v>
      </c>
      <c r="E834" s="47" t="str">
        <f t="shared" si="48"/>
        <v/>
      </c>
      <c r="F834" s="48" t="str">
        <f t="shared" ca="1" si="49"/>
        <v/>
      </c>
      <c r="G834" s="46" t="str">
        <f t="shared" ca="1" si="50"/>
        <v>RED</v>
      </c>
      <c r="H834" s="46" t="str">
        <f t="shared" ca="1" si="51"/>
        <v>Not Started</v>
      </c>
      <c r="I834" s="21"/>
    </row>
    <row r="835" spans="1:9" x14ac:dyDescent="0.35">
      <c r="A835" s="46" t="s">
        <v>241</v>
      </c>
      <c r="B835" s="46" t="s">
        <v>163</v>
      </c>
      <c r="C835" s="47" t="str">
        <f>Matrix!BL10</f>
        <v>NS</v>
      </c>
      <c r="D835" s="48">
        <f>IFERROR(VLOOKUP(B835,'Renewal Rules'!$A:$B,2,FALSE),"")</f>
        <v>36</v>
      </c>
      <c r="E835" s="47" t="str">
        <f t="shared" ref="E835:E898" si="52">IF(OR(C835="",C835="NS",C835="IP",C835="Failed"),"",IFERROR(EDATE(IF(ISNUMBER(C835),C835,IFERROR(DATEVALUE(C835),DATE(VALUE(RIGHT(C835,4)),VALUE(MID(C835,4,2)),VALUE(LEFT(C835,2))))),D835),""))</f>
        <v/>
      </c>
      <c r="F835" s="48" t="str">
        <f t="shared" ref="F835:F898" ca="1" si="53">IF(E835="","",E835-TODAY())</f>
        <v/>
      </c>
      <c r="G835" s="46" t="str">
        <f t="shared" ref="G835:G898" ca="1" si="54">IF(C835="NS","RED",IF(C835="IP","AMBER",IF(E835="","",IF(E835&lt;TODAY(),"RED",IF(E835&lt;=TODAY()+30,"AMBER","GREEN")))))</f>
        <v>RED</v>
      </c>
      <c r="H835" s="46" t="str">
        <f t="shared" ref="H835:H898" ca="1" si="55">IF(C835="NS","Not Started",IF(C835="IP","In Progress",IF(E835="","Check",IF(E835&lt;TODAY(),"Expired",IF(E835&lt;=TODAY()+30,"Expiring Soon","Current")))))</f>
        <v>Not Started</v>
      </c>
      <c r="I835" s="21"/>
    </row>
    <row r="836" spans="1:9" x14ac:dyDescent="0.35">
      <c r="A836" s="46" t="s">
        <v>241</v>
      </c>
      <c r="B836" s="46" t="s">
        <v>164</v>
      </c>
      <c r="C836" s="47" t="str">
        <f>Matrix!BM10</f>
        <v>NS</v>
      </c>
      <c r="D836" s="48">
        <f>IFERROR(VLOOKUP(B836,'Renewal Rules'!$A:$B,2,FALSE),"")</f>
        <v>12</v>
      </c>
      <c r="E836" s="47" t="str">
        <f t="shared" si="52"/>
        <v/>
      </c>
      <c r="F836" s="48" t="str">
        <f t="shared" ca="1" si="53"/>
        <v/>
      </c>
      <c r="G836" s="46" t="str">
        <f t="shared" ca="1" si="54"/>
        <v>RED</v>
      </c>
      <c r="H836" s="46" t="str">
        <f t="shared" ca="1" si="55"/>
        <v>Not Started</v>
      </c>
      <c r="I836" s="21"/>
    </row>
    <row r="837" spans="1:9" x14ac:dyDescent="0.35">
      <c r="A837" s="46" t="s">
        <v>241</v>
      </c>
      <c r="B837" s="46" t="s">
        <v>165</v>
      </c>
      <c r="C837" s="47" t="str">
        <f>Matrix!BN10</f>
        <v>NS</v>
      </c>
      <c r="D837" s="48">
        <f>IFERROR(VLOOKUP(B837,'Renewal Rules'!$A:$B,2,FALSE),"")</f>
        <v>36</v>
      </c>
      <c r="E837" s="47" t="str">
        <f t="shared" si="52"/>
        <v/>
      </c>
      <c r="F837" s="48" t="str">
        <f t="shared" ca="1" si="53"/>
        <v/>
      </c>
      <c r="G837" s="46" t="str">
        <f t="shared" ca="1" si="54"/>
        <v>RED</v>
      </c>
      <c r="H837" s="46" t="str">
        <f t="shared" ca="1" si="55"/>
        <v>Not Started</v>
      </c>
      <c r="I837" s="21"/>
    </row>
    <row r="838" spans="1:9" x14ac:dyDescent="0.35">
      <c r="A838" s="46" t="s">
        <v>241</v>
      </c>
      <c r="B838" s="46" t="s">
        <v>166</v>
      </c>
      <c r="C838" s="47" t="str">
        <f>Matrix!BO10</f>
        <v>NS</v>
      </c>
      <c r="D838" s="48">
        <f>IFERROR(VLOOKUP(B838,'Renewal Rules'!$A:$B,2,FALSE),"")</f>
        <v>36</v>
      </c>
      <c r="E838" s="47" t="str">
        <f t="shared" si="52"/>
        <v/>
      </c>
      <c r="F838" s="48" t="str">
        <f t="shared" ca="1" si="53"/>
        <v/>
      </c>
      <c r="G838" s="46" t="str">
        <f t="shared" ca="1" si="54"/>
        <v>RED</v>
      </c>
      <c r="H838" s="46" t="str">
        <f t="shared" ca="1" si="55"/>
        <v>Not Started</v>
      </c>
      <c r="I838" s="21"/>
    </row>
    <row r="839" spans="1:9" x14ac:dyDescent="0.35">
      <c r="A839" s="46" t="s">
        <v>241</v>
      </c>
      <c r="B839" s="46" t="s">
        <v>167</v>
      </c>
      <c r="C839" s="47" t="str">
        <f>Matrix!BP10</f>
        <v>NS</v>
      </c>
      <c r="D839" s="48">
        <f>IFERROR(VLOOKUP(B839,'Renewal Rules'!$A:$B,2,FALSE),"")</f>
        <v>36</v>
      </c>
      <c r="E839" s="47" t="str">
        <f t="shared" si="52"/>
        <v/>
      </c>
      <c r="F839" s="48" t="str">
        <f t="shared" ca="1" si="53"/>
        <v/>
      </c>
      <c r="G839" s="46" t="str">
        <f t="shared" ca="1" si="54"/>
        <v>RED</v>
      </c>
      <c r="H839" s="46" t="str">
        <f t="shared" ca="1" si="55"/>
        <v>Not Started</v>
      </c>
      <c r="I839" s="21"/>
    </row>
    <row r="840" spans="1:9" x14ac:dyDescent="0.35">
      <c r="A840" s="46" t="s">
        <v>241</v>
      </c>
      <c r="B840" s="46" t="s">
        <v>168</v>
      </c>
      <c r="C840" s="47" t="str">
        <f>Matrix!BQ10</f>
        <v>NS</v>
      </c>
      <c r="D840" s="48">
        <f>IFERROR(VLOOKUP(B840,'Renewal Rules'!$A:$B,2,FALSE),"")</f>
        <v>36</v>
      </c>
      <c r="E840" s="47" t="str">
        <f t="shared" si="52"/>
        <v/>
      </c>
      <c r="F840" s="48" t="str">
        <f t="shared" ca="1" si="53"/>
        <v/>
      </c>
      <c r="G840" s="46" t="str">
        <f t="shared" ca="1" si="54"/>
        <v>RED</v>
      </c>
      <c r="H840" s="46" t="str">
        <f t="shared" ca="1" si="55"/>
        <v>Not Started</v>
      </c>
      <c r="I840" s="21"/>
    </row>
    <row r="841" spans="1:9" x14ac:dyDescent="0.35">
      <c r="A841" s="46" t="s">
        <v>241</v>
      </c>
      <c r="B841" s="46" t="s">
        <v>169</v>
      </c>
      <c r="C841" s="47" t="str">
        <f>Matrix!BR10</f>
        <v>NS</v>
      </c>
      <c r="D841" s="48">
        <f>IFERROR(VLOOKUP(B841,'Renewal Rules'!$A:$B,2,FALSE),"")</f>
        <v>36</v>
      </c>
      <c r="E841" s="47" t="str">
        <f t="shared" si="52"/>
        <v/>
      </c>
      <c r="F841" s="48" t="str">
        <f t="shared" ca="1" si="53"/>
        <v/>
      </c>
      <c r="G841" s="46" t="str">
        <f t="shared" ca="1" si="54"/>
        <v>RED</v>
      </c>
      <c r="H841" s="46" t="str">
        <f t="shared" ca="1" si="55"/>
        <v>Not Started</v>
      </c>
      <c r="I841" s="21"/>
    </row>
    <row r="842" spans="1:9" x14ac:dyDescent="0.35">
      <c r="A842" s="46" t="s">
        <v>241</v>
      </c>
      <c r="B842" s="46" t="s">
        <v>170</v>
      </c>
      <c r="C842" s="47" t="str">
        <f>Matrix!BS10</f>
        <v>NS</v>
      </c>
      <c r="D842" s="48">
        <f>IFERROR(VLOOKUP(B842,'Renewal Rules'!$A:$B,2,FALSE),"")</f>
        <v>12</v>
      </c>
      <c r="E842" s="47" t="str">
        <f t="shared" si="52"/>
        <v/>
      </c>
      <c r="F842" s="48" t="str">
        <f t="shared" ca="1" si="53"/>
        <v/>
      </c>
      <c r="G842" s="46" t="str">
        <f t="shared" ca="1" si="54"/>
        <v>RED</v>
      </c>
      <c r="H842" s="46" t="str">
        <f t="shared" ca="1" si="55"/>
        <v>Not Started</v>
      </c>
      <c r="I842" s="21"/>
    </row>
    <row r="843" spans="1:9" x14ac:dyDescent="0.35">
      <c r="A843" s="46" t="s">
        <v>241</v>
      </c>
      <c r="B843" s="46" t="s">
        <v>171</v>
      </c>
      <c r="C843" s="47" t="str">
        <f>Matrix!BT10</f>
        <v>NS</v>
      </c>
      <c r="D843" s="48">
        <f>IFERROR(VLOOKUP(B843,'Renewal Rules'!$A:$B,2,FALSE),"")</f>
        <v>12</v>
      </c>
      <c r="E843" s="47" t="str">
        <f t="shared" si="52"/>
        <v/>
      </c>
      <c r="F843" s="48" t="str">
        <f t="shared" ca="1" si="53"/>
        <v/>
      </c>
      <c r="G843" s="46" t="str">
        <f t="shared" ca="1" si="54"/>
        <v>RED</v>
      </c>
      <c r="H843" s="46" t="str">
        <f t="shared" ca="1" si="55"/>
        <v>Not Started</v>
      </c>
      <c r="I843" s="21"/>
    </row>
    <row r="844" spans="1:9" x14ac:dyDescent="0.35">
      <c r="A844" s="46" t="s">
        <v>241</v>
      </c>
      <c r="B844" s="46" t="s">
        <v>172</v>
      </c>
      <c r="C844" s="47" t="str">
        <f>Matrix!BU10</f>
        <v>19/04/2026</v>
      </c>
      <c r="D844" s="48">
        <f>IFERROR(VLOOKUP(B844,'Renewal Rules'!$A:$B,2,FALSE),"")</f>
        <v>12</v>
      </c>
      <c r="E844" s="47">
        <f t="shared" si="52"/>
        <v>46496</v>
      </c>
      <c r="F844" s="48">
        <f t="shared" ca="1" si="53"/>
        <v>293</v>
      </c>
      <c r="G844" s="46" t="str">
        <f t="shared" ca="1" si="54"/>
        <v>GREEN</v>
      </c>
      <c r="H844" s="46" t="str">
        <f t="shared" ca="1" si="55"/>
        <v>Current</v>
      </c>
      <c r="I844" s="21"/>
    </row>
    <row r="845" spans="1:9" x14ac:dyDescent="0.35">
      <c r="A845" s="46" t="s">
        <v>241</v>
      </c>
      <c r="B845" s="46" t="s">
        <v>173</v>
      </c>
      <c r="C845" s="47" t="str">
        <f>Matrix!BV10</f>
        <v>NS</v>
      </c>
      <c r="D845" s="48">
        <f>IFERROR(VLOOKUP(B845,'Renewal Rules'!$A:$B,2,FALSE),"")</f>
        <v>12</v>
      </c>
      <c r="E845" s="47" t="str">
        <f t="shared" si="52"/>
        <v/>
      </c>
      <c r="F845" s="48" t="str">
        <f t="shared" ca="1" si="53"/>
        <v/>
      </c>
      <c r="G845" s="46" t="str">
        <f t="shared" ca="1" si="54"/>
        <v>RED</v>
      </c>
      <c r="H845" s="46" t="str">
        <f t="shared" ca="1" si="55"/>
        <v>Not Started</v>
      </c>
      <c r="I845" s="21"/>
    </row>
    <row r="846" spans="1:9" x14ac:dyDescent="0.35">
      <c r="A846" s="46" t="s">
        <v>241</v>
      </c>
      <c r="B846" s="46" t="s">
        <v>174</v>
      </c>
      <c r="C846" s="47" t="str">
        <f>Matrix!BW10</f>
        <v>NS</v>
      </c>
      <c r="D846" s="48">
        <f>IFERROR(VLOOKUP(B846,'Renewal Rules'!$A:$B,2,FALSE),"")</f>
        <v>12</v>
      </c>
      <c r="E846" s="47" t="str">
        <f t="shared" si="52"/>
        <v/>
      </c>
      <c r="F846" s="48" t="str">
        <f t="shared" ca="1" si="53"/>
        <v/>
      </c>
      <c r="G846" s="46" t="str">
        <f t="shared" ca="1" si="54"/>
        <v>RED</v>
      </c>
      <c r="H846" s="46" t="str">
        <f t="shared" ca="1" si="55"/>
        <v>Not Started</v>
      </c>
      <c r="I846" s="21"/>
    </row>
    <row r="847" spans="1:9" x14ac:dyDescent="0.35">
      <c r="A847" s="46" t="s">
        <v>241</v>
      </c>
      <c r="B847" s="46" t="s">
        <v>175</v>
      </c>
      <c r="C847" s="47" t="str">
        <f>Matrix!BX10</f>
        <v>NS</v>
      </c>
      <c r="D847" s="48">
        <f>IFERROR(VLOOKUP(B847,'Renewal Rules'!$A:$B,2,FALSE),"")</f>
        <v>12</v>
      </c>
      <c r="E847" s="47" t="str">
        <f t="shared" si="52"/>
        <v/>
      </c>
      <c r="F847" s="48" t="str">
        <f t="shared" ca="1" si="53"/>
        <v/>
      </c>
      <c r="G847" s="46" t="str">
        <f t="shared" ca="1" si="54"/>
        <v>RED</v>
      </c>
      <c r="H847" s="46" t="str">
        <f t="shared" ca="1" si="55"/>
        <v>Not Started</v>
      </c>
      <c r="I847" s="21"/>
    </row>
    <row r="848" spans="1:9" x14ac:dyDescent="0.35">
      <c r="A848" s="46" t="s">
        <v>241</v>
      </c>
      <c r="B848" s="46" t="s">
        <v>176</v>
      </c>
      <c r="C848" s="47" t="str">
        <f>Matrix!BY10</f>
        <v>NS</v>
      </c>
      <c r="D848" s="48">
        <f>IFERROR(VLOOKUP(B848,'Renewal Rules'!$A:$B,2,FALSE),"")</f>
        <v>36</v>
      </c>
      <c r="E848" s="47" t="str">
        <f t="shared" si="52"/>
        <v/>
      </c>
      <c r="F848" s="48" t="str">
        <f t="shared" ca="1" si="53"/>
        <v/>
      </c>
      <c r="G848" s="46" t="str">
        <f t="shared" ca="1" si="54"/>
        <v>RED</v>
      </c>
      <c r="H848" s="46" t="str">
        <f t="shared" ca="1" si="55"/>
        <v>Not Started</v>
      </c>
      <c r="I848" s="21"/>
    </row>
    <row r="849" spans="1:9" x14ac:dyDescent="0.35">
      <c r="A849" s="46" t="s">
        <v>241</v>
      </c>
      <c r="B849" s="46" t="s">
        <v>177</v>
      </c>
      <c r="C849" s="47" t="str">
        <f>Matrix!BZ10</f>
        <v>NS</v>
      </c>
      <c r="D849" s="48">
        <f>IFERROR(VLOOKUP(B849,'Renewal Rules'!$A:$B,2,FALSE),"")</f>
        <v>36</v>
      </c>
      <c r="E849" s="47" t="str">
        <f t="shared" si="52"/>
        <v/>
      </c>
      <c r="F849" s="48" t="str">
        <f t="shared" ca="1" si="53"/>
        <v/>
      </c>
      <c r="G849" s="46" t="str">
        <f t="shared" ca="1" si="54"/>
        <v>RED</v>
      </c>
      <c r="H849" s="46" t="str">
        <f t="shared" ca="1" si="55"/>
        <v>Not Started</v>
      </c>
      <c r="I849" s="21"/>
    </row>
    <row r="850" spans="1:9" x14ac:dyDescent="0.35">
      <c r="A850" s="46" t="s">
        <v>241</v>
      </c>
      <c r="B850" s="46" t="s">
        <v>178</v>
      </c>
      <c r="C850" s="47" t="str">
        <f>Matrix!CA10</f>
        <v>NS</v>
      </c>
      <c r="D850" s="48">
        <f>IFERROR(VLOOKUP(B850,'Renewal Rules'!$A:$B,2,FALSE),"")</f>
        <v>12</v>
      </c>
      <c r="E850" s="47" t="str">
        <f t="shared" si="52"/>
        <v/>
      </c>
      <c r="F850" s="48" t="str">
        <f t="shared" ca="1" si="53"/>
        <v/>
      </c>
      <c r="G850" s="46" t="str">
        <f t="shared" ca="1" si="54"/>
        <v>RED</v>
      </c>
      <c r="H850" s="46" t="str">
        <f t="shared" ca="1" si="55"/>
        <v>Not Started</v>
      </c>
      <c r="I850" s="21"/>
    </row>
    <row r="851" spans="1:9" x14ac:dyDescent="0.35">
      <c r="A851" s="46" t="s">
        <v>241</v>
      </c>
      <c r="B851" s="46" t="s">
        <v>179</v>
      </c>
      <c r="C851" s="47" t="str">
        <f>Matrix!CB10</f>
        <v>NS</v>
      </c>
      <c r="D851" s="48">
        <f>IFERROR(VLOOKUP(B851,'Renewal Rules'!$A:$B,2,FALSE),"")</f>
        <v>12</v>
      </c>
      <c r="E851" s="47" t="str">
        <f t="shared" si="52"/>
        <v/>
      </c>
      <c r="F851" s="48" t="str">
        <f t="shared" ca="1" si="53"/>
        <v/>
      </c>
      <c r="G851" s="46" t="str">
        <f t="shared" ca="1" si="54"/>
        <v>RED</v>
      </c>
      <c r="H851" s="46" t="str">
        <f t="shared" ca="1" si="55"/>
        <v>Not Started</v>
      </c>
      <c r="I851" s="21"/>
    </row>
    <row r="852" spans="1:9" x14ac:dyDescent="0.35">
      <c r="A852" s="46" t="s">
        <v>241</v>
      </c>
      <c r="B852" s="46" t="s">
        <v>180</v>
      </c>
      <c r="C852" s="47" t="str">
        <f>Matrix!CC10</f>
        <v>NS</v>
      </c>
      <c r="D852" s="48">
        <f>IFERROR(VLOOKUP(B852,'Renewal Rules'!$A:$B,2,FALSE),"")</f>
        <v>36</v>
      </c>
      <c r="E852" s="47" t="str">
        <f t="shared" si="52"/>
        <v/>
      </c>
      <c r="F852" s="48" t="str">
        <f t="shared" ca="1" si="53"/>
        <v/>
      </c>
      <c r="G852" s="46" t="str">
        <f t="shared" ca="1" si="54"/>
        <v>RED</v>
      </c>
      <c r="H852" s="46" t="str">
        <f t="shared" ca="1" si="55"/>
        <v>Not Started</v>
      </c>
      <c r="I852" s="21"/>
    </row>
    <row r="853" spans="1:9" x14ac:dyDescent="0.35">
      <c r="A853" s="46" t="s">
        <v>241</v>
      </c>
      <c r="B853" s="46" t="s">
        <v>181</v>
      </c>
      <c r="C853" s="47" t="str">
        <f>Matrix!CD10</f>
        <v>NS</v>
      </c>
      <c r="D853" s="48">
        <f>IFERROR(VLOOKUP(B853,'Renewal Rules'!$A:$B,2,FALSE),"")</f>
        <v>36</v>
      </c>
      <c r="E853" s="47" t="str">
        <f t="shared" si="52"/>
        <v/>
      </c>
      <c r="F853" s="48" t="str">
        <f t="shared" ca="1" si="53"/>
        <v/>
      </c>
      <c r="G853" s="46" t="str">
        <f t="shared" ca="1" si="54"/>
        <v>RED</v>
      </c>
      <c r="H853" s="46" t="str">
        <f t="shared" ca="1" si="55"/>
        <v>Not Started</v>
      </c>
      <c r="I853" s="21"/>
    </row>
    <row r="854" spans="1:9" x14ac:dyDescent="0.35">
      <c r="A854" s="46" t="s">
        <v>241</v>
      </c>
      <c r="B854" s="46" t="s">
        <v>182</v>
      </c>
      <c r="C854" s="47" t="str">
        <f>Matrix!CE10</f>
        <v>NS</v>
      </c>
      <c r="D854" s="48">
        <f>IFERROR(VLOOKUP(B854,'Renewal Rules'!$A:$B,2,FALSE),"")</f>
        <v>12</v>
      </c>
      <c r="E854" s="47" t="str">
        <f t="shared" si="52"/>
        <v/>
      </c>
      <c r="F854" s="48" t="str">
        <f t="shared" ca="1" si="53"/>
        <v/>
      </c>
      <c r="G854" s="46" t="str">
        <f t="shared" ca="1" si="54"/>
        <v>RED</v>
      </c>
      <c r="H854" s="46" t="str">
        <f t="shared" ca="1" si="55"/>
        <v>Not Started</v>
      </c>
      <c r="I854" s="21"/>
    </row>
    <row r="855" spans="1:9" x14ac:dyDescent="0.35">
      <c r="A855" s="46" t="s">
        <v>241</v>
      </c>
      <c r="B855" s="46" t="s">
        <v>183</v>
      </c>
      <c r="C855" s="47" t="str">
        <f>Matrix!CF10</f>
        <v>NS</v>
      </c>
      <c r="D855" s="48">
        <f>IFERROR(VLOOKUP(B855,'Renewal Rules'!$A:$B,2,FALSE),"")</f>
        <v>36</v>
      </c>
      <c r="E855" s="47" t="str">
        <f t="shared" si="52"/>
        <v/>
      </c>
      <c r="F855" s="48" t="str">
        <f t="shared" ca="1" si="53"/>
        <v/>
      </c>
      <c r="G855" s="46" t="str">
        <f t="shared" ca="1" si="54"/>
        <v>RED</v>
      </c>
      <c r="H855" s="46" t="str">
        <f t="shared" ca="1" si="55"/>
        <v>Not Started</v>
      </c>
      <c r="I855" s="21"/>
    </row>
    <row r="856" spans="1:9" x14ac:dyDescent="0.35">
      <c r="A856" s="46" t="s">
        <v>241</v>
      </c>
      <c r="B856" s="46" t="s">
        <v>184</v>
      </c>
      <c r="C856" s="47" t="str">
        <f>Matrix!CG10</f>
        <v>NS</v>
      </c>
      <c r="D856" s="48">
        <f>IFERROR(VLOOKUP(B856,'Renewal Rules'!$A:$B,2,FALSE),"")</f>
        <v>12</v>
      </c>
      <c r="E856" s="47" t="str">
        <f t="shared" si="52"/>
        <v/>
      </c>
      <c r="F856" s="48" t="str">
        <f t="shared" ca="1" si="53"/>
        <v/>
      </c>
      <c r="G856" s="46" t="str">
        <f t="shared" ca="1" si="54"/>
        <v>RED</v>
      </c>
      <c r="H856" s="46" t="str">
        <f t="shared" ca="1" si="55"/>
        <v>Not Started</v>
      </c>
      <c r="I856" s="21"/>
    </row>
    <row r="857" spans="1:9" x14ac:dyDescent="0.35">
      <c r="A857" s="46" t="s">
        <v>241</v>
      </c>
      <c r="B857" s="46" t="s">
        <v>185</v>
      </c>
      <c r="C857" s="47" t="str">
        <f>Matrix!CH10</f>
        <v>NS</v>
      </c>
      <c r="D857" s="48">
        <f>IFERROR(VLOOKUP(B857,'Renewal Rules'!$A:$B,2,FALSE),"")</f>
        <v>12</v>
      </c>
      <c r="E857" s="47" t="str">
        <f t="shared" si="52"/>
        <v/>
      </c>
      <c r="F857" s="48" t="str">
        <f t="shared" ca="1" si="53"/>
        <v/>
      </c>
      <c r="G857" s="46" t="str">
        <f t="shared" ca="1" si="54"/>
        <v>RED</v>
      </c>
      <c r="H857" s="46" t="str">
        <f t="shared" ca="1" si="55"/>
        <v>Not Started</v>
      </c>
      <c r="I857" s="21"/>
    </row>
    <row r="858" spans="1:9" x14ac:dyDescent="0.35">
      <c r="A858" s="46" t="s">
        <v>241</v>
      </c>
      <c r="B858" s="46" t="s">
        <v>186</v>
      </c>
      <c r="C858" s="47" t="str">
        <f>Matrix!CI10</f>
        <v>NS</v>
      </c>
      <c r="D858" s="48">
        <f>IFERROR(VLOOKUP(B858,'Renewal Rules'!$A:$B,2,FALSE),"")</f>
        <v>36</v>
      </c>
      <c r="E858" s="47" t="str">
        <f t="shared" si="52"/>
        <v/>
      </c>
      <c r="F858" s="48" t="str">
        <f t="shared" ca="1" si="53"/>
        <v/>
      </c>
      <c r="G858" s="46" t="str">
        <f t="shared" ca="1" si="54"/>
        <v>RED</v>
      </c>
      <c r="H858" s="46" t="str">
        <f t="shared" ca="1" si="55"/>
        <v>Not Started</v>
      </c>
      <c r="I858" s="21"/>
    </row>
    <row r="859" spans="1:9" x14ac:dyDescent="0.35">
      <c r="A859" s="46" t="s">
        <v>241</v>
      </c>
      <c r="B859" s="46" t="s">
        <v>187</v>
      </c>
      <c r="C859" s="47" t="str">
        <f>Matrix!CJ10</f>
        <v>NS</v>
      </c>
      <c r="D859" s="48">
        <f>IFERROR(VLOOKUP(B859,'Renewal Rules'!$A:$B,2,FALSE),"")</f>
        <v>12</v>
      </c>
      <c r="E859" s="47" t="str">
        <f t="shared" si="52"/>
        <v/>
      </c>
      <c r="F859" s="48" t="str">
        <f t="shared" ca="1" si="53"/>
        <v/>
      </c>
      <c r="G859" s="46" t="str">
        <f t="shared" ca="1" si="54"/>
        <v>RED</v>
      </c>
      <c r="H859" s="46" t="str">
        <f t="shared" ca="1" si="55"/>
        <v>Not Started</v>
      </c>
      <c r="I859" s="21"/>
    </row>
    <row r="860" spans="1:9" x14ac:dyDescent="0.35">
      <c r="A860" s="46" t="s">
        <v>241</v>
      </c>
      <c r="B860" s="46" t="s">
        <v>188</v>
      </c>
      <c r="C860" s="47" t="str">
        <f>Matrix!CK10</f>
        <v>NS</v>
      </c>
      <c r="D860" s="48">
        <f>IFERROR(VLOOKUP(B860,'Renewal Rules'!$A:$B,2,FALSE),"")</f>
        <v>36</v>
      </c>
      <c r="E860" s="47" t="str">
        <f t="shared" si="52"/>
        <v/>
      </c>
      <c r="F860" s="48" t="str">
        <f t="shared" ca="1" si="53"/>
        <v/>
      </c>
      <c r="G860" s="46" t="str">
        <f t="shared" ca="1" si="54"/>
        <v>RED</v>
      </c>
      <c r="H860" s="46" t="str">
        <f t="shared" ca="1" si="55"/>
        <v>Not Started</v>
      </c>
      <c r="I860" s="21"/>
    </row>
    <row r="861" spans="1:9" x14ac:dyDescent="0.35">
      <c r="A861" s="46" t="s">
        <v>241</v>
      </c>
      <c r="B861" s="46" t="s">
        <v>189</v>
      </c>
      <c r="C861" s="47" t="str">
        <f>Matrix!CL10</f>
        <v>NS</v>
      </c>
      <c r="D861" s="48">
        <f>IFERROR(VLOOKUP(B861,'Renewal Rules'!$A:$B,2,FALSE),"")</f>
        <v>36</v>
      </c>
      <c r="E861" s="47" t="str">
        <f t="shared" si="52"/>
        <v/>
      </c>
      <c r="F861" s="48" t="str">
        <f t="shared" ca="1" si="53"/>
        <v/>
      </c>
      <c r="G861" s="46" t="str">
        <f t="shared" ca="1" si="54"/>
        <v>RED</v>
      </c>
      <c r="H861" s="46" t="str">
        <f t="shared" ca="1" si="55"/>
        <v>Not Started</v>
      </c>
      <c r="I861" s="21"/>
    </row>
    <row r="862" spans="1:9" x14ac:dyDescent="0.35">
      <c r="A862" s="46" t="s">
        <v>241</v>
      </c>
      <c r="B862" s="46" t="s">
        <v>190</v>
      </c>
      <c r="C862" s="47" t="str">
        <f>Matrix!CM10</f>
        <v>NS</v>
      </c>
      <c r="D862" s="48">
        <f>IFERROR(VLOOKUP(B862,'Renewal Rules'!$A:$B,2,FALSE),"")</f>
        <v>12</v>
      </c>
      <c r="E862" s="47" t="str">
        <f t="shared" si="52"/>
        <v/>
      </c>
      <c r="F862" s="48" t="str">
        <f t="shared" ca="1" si="53"/>
        <v/>
      </c>
      <c r="G862" s="46" t="str">
        <f t="shared" ca="1" si="54"/>
        <v>RED</v>
      </c>
      <c r="H862" s="46" t="str">
        <f t="shared" ca="1" si="55"/>
        <v>Not Started</v>
      </c>
      <c r="I862" s="21"/>
    </row>
    <row r="863" spans="1:9" x14ac:dyDescent="0.35">
      <c r="A863" s="46" t="s">
        <v>241</v>
      </c>
      <c r="B863" s="46" t="s">
        <v>191</v>
      </c>
      <c r="C863" s="47" t="str">
        <f>Matrix!CN10</f>
        <v>NS</v>
      </c>
      <c r="D863" s="48">
        <f>IFERROR(VLOOKUP(B863,'Renewal Rules'!$A:$B,2,FALSE),"")</f>
        <v>36</v>
      </c>
      <c r="E863" s="47" t="str">
        <f t="shared" si="52"/>
        <v/>
      </c>
      <c r="F863" s="48" t="str">
        <f t="shared" ca="1" si="53"/>
        <v/>
      </c>
      <c r="G863" s="46" t="str">
        <f t="shared" ca="1" si="54"/>
        <v>RED</v>
      </c>
      <c r="H863" s="46" t="str">
        <f t="shared" ca="1" si="55"/>
        <v>Not Started</v>
      </c>
      <c r="I863" s="21"/>
    </row>
    <row r="864" spans="1:9" x14ac:dyDescent="0.35">
      <c r="A864" s="46" t="s">
        <v>241</v>
      </c>
      <c r="B864" s="46" t="s">
        <v>192</v>
      </c>
      <c r="C864" s="47" t="str">
        <f>Matrix!CO10</f>
        <v>NS</v>
      </c>
      <c r="D864" s="48">
        <f>IFERROR(VLOOKUP(B864,'Renewal Rules'!$A:$B,2,FALSE),"")</f>
        <v>12</v>
      </c>
      <c r="E864" s="47" t="str">
        <f t="shared" si="52"/>
        <v/>
      </c>
      <c r="F864" s="48" t="str">
        <f t="shared" ca="1" si="53"/>
        <v/>
      </c>
      <c r="G864" s="46" t="str">
        <f t="shared" ca="1" si="54"/>
        <v>RED</v>
      </c>
      <c r="H864" s="46" t="str">
        <f t="shared" ca="1" si="55"/>
        <v>Not Started</v>
      </c>
      <c r="I864" s="21"/>
    </row>
    <row r="865" spans="1:9" ht="12.9" customHeight="1" x14ac:dyDescent="0.35">
      <c r="A865" s="46" t="s">
        <v>241</v>
      </c>
      <c r="B865" s="46" t="s">
        <v>193</v>
      </c>
      <c r="C865" s="47" t="str">
        <f>Matrix!CP10</f>
        <v>NS</v>
      </c>
      <c r="D865" s="48">
        <f>IFERROR(VLOOKUP(B865,'Renewal Rules'!$A:$B,2,FALSE),"")</f>
        <v>12</v>
      </c>
      <c r="E865" s="47" t="str">
        <f t="shared" si="52"/>
        <v/>
      </c>
      <c r="F865" s="48" t="str">
        <f t="shared" ca="1" si="53"/>
        <v/>
      </c>
      <c r="G865" s="46" t="str">
        <f t="shared" ca="1" si="54"/>
        <v>RED</v>
      </c>
      <c r="H865" s="46" t="str">
        <f t="shared" ca="1" si="55"/>
        <v>Not Started</v>
      </c>
      <c r="I865" s="21"/>
    </row>
    <row r="866" spans="1:9" x14ac:dyDescent="0.35">
      <c r="A866" s="46" t="s">
        <v>241</v>
      </c>
      <c r="B866" s="46" t="s">
        <v>194</v>
      </c>
      <c r="C866" s="47" t="str">
        <f>Matrix!CQ10</f>
        <v>NS</v>
      </c>
      <c r="D866" s="48">
        <f>IFERROR(VLOOKUP(B866,'Renewal Rules'!$A:$B,2,FALSE),"")</f>
        <v>36</v>
      </c>
      <c r="E866" s="47" t="str">
        <f t="shared" si="52"/>
        <v/>
      </c>
      <c r="F866" s="48" t="str">
        <f t="shared" ca="1" si="53"/>
        <v/>
      </c>
      <c r="G866" s="46" t="str">
        <f t="shared" ca="1" si="54"/>
        <v>RED</v>
      </c>
      <c r="H866" s="46" t="str">
        <f t="shared" ca="1" si="55"/>
        <v>Not Started</v>
      </c>
      <c r="I866" s="21"/>
    </row>
    <row r="867" spans="1:9" ht="12.9" customHeight="1" x14ac:dyDescent="0.35">
      <c r="A867" s="46" t="s">
        <v>241</v>
      </c>
      <c r="B867" s="46" t="s">
        <v>195</v>
      </c>
      <c r="C867" s="47" t="str">
        <f>Matrix!CR10</f>
        <v>NS</v>
      </c>
      <c r="D867" s="48">
        <f>IFERROR(VLOOKUP(B867,'Renewal Rules'!$A:$B,2,FALSE),"")</f>
        <v>36</v>
      </c>
      <c r="E867" s="47" t="str">
        <f t="shared" si="52"/>
        <v/>
      </c>
      <c r="F867" s="48" t="str">
        <f t="shared" ca="1" si="53"/>
        <v/>
      </c>
      <c r="G867" s="46" t="str">
        <f t="shared" ca="1" si="54"/>
        <v>RED</v>
      </c>
      <c r="H867" s="46" t="str">
        <f t="shared" ca="1" si="55"/>
        <v>Not Started</v>
      </c>
      <c r="I867" s="21"/>
    </row>
    <row r="868" spans="1:9" x14ac:dyDescent="0.35">
      <c r="A868" s="46" t="s">
        <v>241</v>
      </c>
      <c r="B868" s="46" t="s">
        <v>196</v>
      </c>
      <c r="C868" s="47" t="str">
        <f>Matrix!CS10</f>
        <v>NS</v>
      </c>
      <c r="D868" s="48">
        <f>IFERROR(VLOOKUP(B868,'Renewal Rules'!$A:$B,2,FALSE),"")</f>
        <v>36</v>
      </c>
      <c r="E868" s="47" t="str">
        <f t="shared" si="52"/>
        <v/>
      </c>
      <c r="F868" s="48" t="str">
        <f t="shared" ca="1" si="53"/>
        <v/>
      </c>
      <c r="G868" s="46" t="str">
        <f t="shared" ca="1" si="54"/>
        <v>RED</v>
      </c>
      <c r="H868" s="46" t="str">
        <f t="shared" ca="1" si="55"/>
        <v>Not Started</v>
      </c>
      <c r="I868" s="21"/>
    </row>
    <row r="869" spans="1:9" x14ac:dyDescent="0.35">
      <c r="A869" s="46" t="s">
        <v>241</v>
      </c>
      <c r="B869" s="46" t="s">
        <v>197</v>
      </c>
      <c r="C869" s="47" t="str">
        <f>Matrix!CT10</f>
        <v>NS</v>
      </c>
      <c r="D869" s="48">
        <f>IFERROR(VLOOKUP(B869,'Renewal Rules'!$A:$B,2,FALSE),"")</f>
        <v>12</v>
      </c>
      <c r="E869" s="47" t="str">
        <f t="shared" si="52"/>
        <v/>
      </c>
      <c r="F869" s="48" t="str">
        <f t="shared" ca="1" si="53"/>
        <v/>
      </c>
      <c r="G869" s="46" t="str">
        <f t="shared" ca="1" si="54"/>
        <v>RED</v>
      </c>
      <c r="H869" s="46" t="str">
        <f t="shared" ca="1" si="55"/>
        <v>Not Started</v>
      </c>
      <c r="I869" s="21"/>
    </row>
    <row r="870" spans="1:9" x14ac:dyDescent="0.35">
      <c r="A870" s="46" t="s">
        <v>241</v>
      </c>
      <c r="B870" s="46" t="s">
        <v>198</v>
      </c>
      <c r="C870" s="47" t="str">
        <f>Matrix!CU10</f>
        <v>NS</v>
      </c>
      <c r="D870" s="48">
        <f>IFERROR(VLOOKUP(B870,'Renewal Rules'!$A:$B,2,FALSE),"")</f>
        <v>12</v>
      </c>
      <c r="E870" s="47" t="str">
        <f t="shared" si="52"/>
        <v/>
      </c>
      <c r="F870" s="48" t="str">
        <f t="shared" ca="1" si="53"/>
        <v/>
      </c>
      <c r="G870" s="46" t="str">
        <f t="shared" ca="1" si="54"/>
        <v>RED</v>
      </c>
      <c r="H870" s="46" t="str">
        <f t="shared" ca="1" si="55"/>
        <v>Not Started</v>
      </c>
      <c r="I870" s="21"/>
    </row>
    <row r="871" spans="1:9" x14ac:dyDescent="0.35">
      <c r="A871" s="46" t="s">
        <v>241</v>
      </c>
      <c r="B871" s="46" t="s">
        <v>199</v>
      </c>
      <c r="C871" s="47" t="str">
        <f>Matrix!CV10</f>
        <v>NS</v>
      </c>
      <c r="D871" s="48">
        <f>IFERROR(VLOOKUP(B871,'Renewal Rules'!$A:$B,2,FALSE),"")</f>
        <v>12</v>
      </c>
      <c r="E871" s="47" t="str">
        <f t="shared" si="52"/>
        <v/>
      </c>
      <c r="F871" s="48" t="str">
        <f t="shared" ca="1" si="53"/>
        <v/>
      </c>
      <c r="G871" s="46" t="str">
        <f t="shared" ca="1" si="54"/>
        <v>RED</v>
      </c>
      <c r="H871" s="46" t="str">
        <f t="shared" ca="1" si="55"/>
        <v>Not Started</v>
      </c>
      <c r="I871" s="21"/>
    </row>
    <row r="872" spans="1:9" ht="12.9" customHeight="1" x14ac:dyDescent="0.35">
      <c r="A872" s="46" t="s">
        <v>241</v>
      </c>
      <c r="B872" s="46" t="s">
        <v>200</v>
      </c>
      <c r="C872" s="47" t="str">
        <f>Matrix!CW10</f>
        <v>NS</v>
      </c>
      <c r="D872" s="48">
        <f>IFERROR(VLOOKUP(B872,'Renewal Rules'!$A:$B,2,FALSE),"")</f>
        <v>12</v>
      </c>
      <c r="E872" s="47" t="str">
        <f t="shared" si="52"/>
        <v/>
      </c>
      <c r="F872" s="48" t="str">
        <f t="shared" ca="1" si="53"/>
        <v/>
      </c>
      <c r="G872" s="46" t="str">
        <f t="shared" ca="1" si="54"/>
        <v>RED</v>
      </c>
      <c r="H872" s="46" t="str">
        <f t="shared" ca="1" si="55"/>
        <v>Not Started</v>
      </c>
      <c r="I872" s="21"/>
    </row>
    <row r="873" spans="1:9" x14ac:dyDescent="0.35">
      <c r="A873" s="46" t="s">
        <v>241</v>
      </c>
      <c r="B873" s="46" t="s">
        <v>201</v>
      </c>
      <c r="C873" s="47" t="str">
        <f>Matrix!CX10</f>
        <v>NS</v>
      </c>
      <c r="D873" s="48">
        <f>IFERROR(VLOOKUP(B873,'Renewal Rules'!$A:$B,2,FALSE),"")</f>
        <v>12</v>
      </c>
      <c r="E873" s="47" t="str">
        <f t="shared" si="52"/>
        <v/>
      </c>
      <c r="F873" s="48" t="str">
        <f t="shared" ca="1" si="53"/>
        <v/>
      </c>
      <c r="G873" s="46" t="str">
        <f t="shared" ca="1" si="54"/>
        <v>RED</v>
      </c>
      <c r="H873" s="46" t="str">
        <f t="shared" ca="1" si="55"/>
        <v>Not Started</v>
      </c>
      <c r="I873" s="21"/>
    </row>
    <row r="874" spans="1:9" x14ac:dyDescent="0.35">
      <c r="A874" s="46" t="s">
        <v>241</v>
      </c>
      <c r="B874" s="46" t="s">
        <v>202</v>
      </c>
      <c r="C874" s="47" t="str">
        <f>Matrix!CY10</f>
        <v>NS</v>
      </c>
      <c r="D874" s="48">
        <f>IFERROR(VLOOKUP(B874,'Renewal Rules'!$A:$B,2,FALSE),"")</f>
        <v>36</v>
      </c>
      <c r="E874" s="47" t="str">
        <f t="shared" si="52"/>
        <v/>
      </c>
      <c r="F874" s="48" t="str">
        <f t="shared" ca="1" si="53"/>
        <v/>
      </c>
      <c r="G874" s="46" t="str">
        <f t="shared" ca="1" si="54"/>
        <v>RED</v>
      </c>
      <c r="H874" s="46" t="str">
        <f t="shared" ca="1" si="55"/>
        <v>Not Started</v>
      </c>
      <c r="I874" s="21"/>
    </row>
    <row r="875" spans="1:9" ht="12.9" customHeight="1" x14ac:dyDescent="0.35">
      <c r="A875" s="46" t="s">
        <v>241</v>
      </c>
      <c r="B875" s="46" t="s">
        <v>203</v>
      </c>
      <c r="C875" s="47" t="str">
        <f>Matrix!CZ10</f>
        <v>NS</v>
      </c>
      <c r="D875" s="48">
        <f>IFERROR(VLOOKUP(B875,'Renewal Rules'!$A:$B,2,FALSE),"")</f>
        <v>12</v>
      </c>
      <c r="E875" s="47" t="str">
        <f t="shared" si="52"/>
        <v/>
      </c>
      <c r="F875" s="48" t="str">
        <f t="shared" ca="1" si="53"/>
        <v/>
      </c>
      <c r="G875" s="46" t="str">
        <f t="shared" ca="1" si="54"/>
        <v>RED</v>
      </c>
      <c r="H875" s="46" t="str">
        <f t="shared" ca="1" si="55"/>
        <v>Not Started</v>
      </c>
      <c r="I875" s="21"/>
    </row>
    <row r="876" spans="1:9" x14ac:dyDescent="0.35">
      <c r="A876" s="46" t="s">
        <v>241</v>
      </c>
      <c r="B876" s="46" t="s">
        <v>204</v>
      </c>
      <c r="C876" s="47" t="str">
        <f>Matrix!DA10</f>
        <v>NS</v>
      </c>
      <c r="D876" s="48">
        <f>IFERROR(VLOOKUP(B876,'Renewal Rules'!$A:$B,2,FALSE),"")</f>
        <v>12</v>
      </c>
      <c r="E876" s="47" t="str">
        <f t="shared" si="52"/>
        <v/>
      </c>
      <c r="F876" s="48" t="str">
        <f t="shared" ca="1" si="53"/>
        <v/>
      </c>
      <c r="G876" s="46" t="str">
        <f t="shared" ca="1" si="54"/>
        <v>RED</v>
      </c>
      <c r="H876" s="46" t="str">
        <f t="shared" ca="1" si="55"/>
        <v>Not Started</v>
      </c>
      <c r="I876" s="21"/>
    </row>
    <row r="877" spans="1:9" x14ac:dyDescent="0.35">
      <c r="A877" s="46" t="s">
        <v>241</v>
      </c>
      <c r="B877" s="46" t="s">
        <v>205</v>
      </c>
      <c r="C877" s="47" t="str">
        <f>Matrix!DB10</f>
        <v>NS</v>
      </c>
      <c r="D877" s="48">
        <f>IFERROR(VLOOKUP(B877,'Renewal Rules'!$A:$B,2,FALSE),"")</f>
        <v>36</v>
      </c>
      <c r="E877" s="47" t="str">
        <f t="shared" si="52"/>
        <v/>
      </c>
      <c r="F877" s="48" t="str">
        <f t="shared" ca="1" si="53"/>
        <v/>
      </c>
      <c r="G877" s="46" t="str">
        <f t="shared" ca="1" si="54"/>
        <v>RED</v>
      </c>
      <c r="H877" s="46" t="str">
        <f t="shared" ca="1" si="55"/>
        <v>Not Started</v>
      </c>
      <c r="I877" s="21"/>
    </row>
    <row r="878" spans="1:9" x14ac:dyDescent="0.35">
      <c r="A878" s="46" t="s">
        <v>241</v>
      </c>
      <c r="B878" s="46" t="s">
        <v>94</v>
      </c>
      <c r="C878" s="47" t="str">
        <f>Matrix!DC10</f>
        <v>NS</v>
      </c>
      <c r="D878" s="48">
        <f>IFERROR(VLOOKUP(B878,'Renewal Rules'!$A:$B,2,FALSE),"")</f>
        <v>12</v>
      </c>
      <c r="E878" s="47" t="str">
        <f t="shared" si="52"/>
        <v/>
      </c>
      <c r="F878" s="48" t="str">
        <f t="shared" ca="1" si="53"/>
        <v/>
      </c>
      <c r="G878" s="46" t="str">
        <f t="shared" ca="1" si="54"/>
        <v>RED</v>
      </c>
      <c r="H878" s="46" t="str">
        <f t="shared" ca="1" si="55"/>
        <v>Not Started</v>
      </c>
      <c r="I878" s="21"/>
    </row>
    <row r="879" spans="1:9" x14ac:dyDescent="0.35">
      <c r="A879" s="46" t="s">
        <v>241</v>
      </c>
      <c r="B879" s="46" t="s">
        <v>206</v>
      </c>
      <c r="C879" s="47" t="str">
        <f>Matrix!DD10</f>
        <v>NS</v>
      </c>
      <c r="D879" s="48">
        <f>IFERROR(VLOOKUP(B879,'Renewal Rules'!$A:$B,2,FALSE),"")</f>
        <v>36</v>
      </c>
      <c r="E879" s="47" t="str">
        <f t="shared" si="52"/>
        <v/>
      </c>
      <c r="F879" s="48" t="str">
        <f t="shared" ca="1" si="53"/>
        <v/>
      </c>
      <c r="G879" s="46" t="str">
        <f t="shared" ca="1" si="54"/>
        <v>RED</v>
      </c>
      <c r="H879" s="46" t="str">
        <f t="shared" ca="1" si="55"/>
        <v>Not Started</v>
      </c>
      <c r="I879" s="21"/>
    </row>
    <row r="880" spans="1:9" x14ac:dyDescent="0.35">
      <c r="A880" s="46" t="s">
        <v>241</v>
      </c>
      <c r="B880" s="46" t="s">
        <v>207</v>
      </c>
      <c r="C880" s="47" t="str">
        <f>Matrix!DE10</f>
        <v>NS</v>
      </c>
      <c r="D880" s="48">
        <f>IFERROR(VLOOKUP(B880,'Renewal Rules'!$A:$B,2,FALSE),"")</f>
        <v>36</v>
      </c>
      <c r="E880" s="47" t="str">
        <f t="shared" si="52"/>
        <v/>
      </c>
      <c r="F880" s="48" t="str">
        <f t="shared" ca="1" si="53"/>
        <v/>
      </c>
      <c r="G880" s="46" t="str">
        <f t="shared" ca="1" si="54"/>
        <v>RED</v>
      </c>
      <c r="H880" s="46" t="str">
        <f t="shared" ca="1" si="55"/>
        <v>Not Started</v>
      </c>
      <c r="I880" s="21"/>
    </row>
    <row r="881" spans="1:9" x14ac:dyDescent="0.35">
      <c r="A881" s="46" t="s">
        <v>241</v>
      </c>
      <c r="B881" s="46" t="s">
        <v>208</v>
      </c>
      <c r="C881" s="47" t="str">
        <f>Matrix!DF10</f>
        <v>NS</v>
      </c>
      <c r="D881" s="48">
        <f>IFERROR(VLOOKUP(B881,'Renewal Rules'!$A:$B,2,FALSE),"")</f>
        <v>36</v>
      </c>
      <c r="E881" s="47" t="str">
        <f t="shared" si="52"/>
        <v/>
      </c>
      <c r="F881" s="48" t="str">
        <f t="shared" ca="1" si="53"/>
        <v/>
      </c>
      <c r="G881" s="46" t="str">
        <f t="shared" ca="1" si="54"/>
        <v>RED</v>
      </c>
      <c r="H881" s="46" t="str">
        <f t="shared" ca="1" si="55"/>
        <v>Not Started</v>
      </c>
      <c r="I881" s="21"/>
    </row>
    <row r="882" spans="1:9" x14ac:dyDescent="0.35">
      <c r="A882" s="46" t="s">
        <v>241</v>
      </c>
      <c r="B882" s="46" t="s">
        <v>104</v>
      </c>
      <c r="C882" s="47" t="str">
        <f>Matrix!DG10</f>
        <v>NS</v>
      </c>
      <c r="D882" s="48">
        <f>IFERROR(VLOOKUP(B882,'Renewal Rules'!$A:$B,2,FALSE),"")</f>
        <v>12</v>
      </c>
      <c r="E882" s="47" t="str">
        <f t="shared" si="52"/>
        <v/>
      </c>
      <c r="F882" s="48" t="str">
        <f t="shared" ca="1" si="53"/>
        <v/>
      </c>
      <c r="G882" s="46" t="str">
        <f t="shared" ca="1" si="54"/>
        <v>RED</v>
      </c>
      <c r="H882" s="46" t="str">
        <f t="shared" ca="1" si="55"/>
        <v>Not Started</v>
      </c>
      <c r="I882" s="21"/>
    </row>
    <row r="883" spans="1:9" x14ac:dyDescent="0.35">
      <c r="A883" s="46" t="s">
        <v>244</v>
      </c>
      <c r="B883" s="46" t="s">
        <v>111</v>
      </c>
      <c r="C883" s="47" t="str">
        <f>Matrix!B11</f>
        <v>05/10/2025</v>
      </c>
      <c r="D883" s="48">
        <f>IFERROR(VLOOKUP(B883,'Renewal Rules'!$A:$B,2,FALSE),"")</f>
        <v>36</v>
      </c>
      <c r="E883" s="47">
        <f t="shared" si="52"/>
        <v>47031</v>
      </c>
      <c r="F883" s="48">
        <f t="shared" ca="1" si="53"/>
        <v>828</v>
      </c>
      <c r="G883" s="46" t="str">
        <f t="shared" ca="1" si="54"/>
        <v>GREEN</v>
      </c>
      <c r="H883" s="46" t="str">
        <f t="shared" ca="1" si="55"/>
        <v>Current</v>
      </c>
      <c r="I883" s="21"/>
    </row>
    <row r="884" spans="1:9" x14ac:dyDescent="0.35">
      <c r="A884" s="46" t="s">
        <v>244</v>
      </c>
      <c r="B884" s="46" t="s">
        <v>100</v>
      </c>
      <c r="C884" s="47">
        <f>Matrix!C11</f>
        <v>45228</v>
      </c>
      <c r="D884" s="48">
        <f>IFERROR(VLOOKUP(B884,'Renewal Rules'!$A:$B,2,FALSE),"")</f>
        <v>36</v>
      </c>
      <c r="E884" s="47">
        <f t="shared" si="52"/>
        <v>46324</v>
      </c>
      <c r="F884" s="48">
        <f t="shared" ca="1" si="53"/>
        <v>121</v>
      </c>
      <c r="G884" s="46" t="str">
        <f t="shared" ca="1" si="54"/>
        <v>GREEN</v>
      </c>
      <c r="H884" s="46" t="str">
        <f t="shared" ca="1" si="55"/>
        <v>Current</v>
      </c>
      <c r="I884" s="21"/>
    </row>
    <row r="885" spans="1:9" x14ac:dyDescent="0.35">
      <c r="A885" s="46" t="s">
        <v>244</v>
      </c>
      <c r="B885" s="46" t="s">
        <v>112</v>
      </c>
      <c r="C885" s="47" t="str">
        <f>Matrix!D11</f>
        <v>28/10/2023</v>
      </c>
      <c r="D885" s="48">
        <f>IFERROR(VLOOKUP(B885,'Renewal Rules'!$A:$B,2,FALSE),"")</f>
        <v>12</v>
      </c>
      <c r="E885" s="47">
        <f t="shared" si="52"/>
        <v>45593</v>
      </c>
      <c r="F885" s="48">
        <f t="shared" ca="1" si="53"/>
        <v>-610</v>
      </c>
      <c r="G885" s="46" t="str">
        <f t="shared" ca="1" si="54"/>
        <v>RED</v>
      </c>
      <c r="H885" s="46" t="str">
        <f t="shared" ca="1" si="55"/>
        <v>Expired</v>
      </c>
      <c r="I885" s="21"/>
    </row>
    <row r="886" spans="1:9" x14ac:dyDescent="0.35">
      <c r="A886" s="46" t="s">
        <v>244</v>
      </c>
      <c r="B886" s="46" t="s">
        <v>96</v>
      </c>
      <c r="C886" s="47">
        <f>Matrix!E11</f>
        <v>46193</v>
      </c>
      <c r="D886" s="48">
        <f>IFERROR(VLOOKUP(B886,'Renewal Rules'!$A:$B,2,FALSE),"")</f>
        <v>36</v>
      </c>
      <c r="E886" s="47">
        <f t="shared" si="52"/>
        <v>47289</v>
      </c>
      <c r="F886" s="48">
        <f t="shared" ca="1" si="53"/>
        <v>1086</v>
      </c>
      <c r="G886" s="46" t="str">
        <f t="shared" ca="1" si="54"/>
        <v>GREEN</v>
      </c>
      <c r="H886" s="46" t="str">
        <f t="shared" ca="1" si="55"/>
        <v>Current</v>
      </c>
      <c r="I886" s="21"/>
    </row>
    <row r="887" spans="1:9" x14ac:dyDescent="0.35">
      <c r="A887" s="46" t="s">
        <v>244</v>
      </c>
      <c r="B887" s="46" t="s">
        <v>113</v>
      </c>
      <c r="C887" s="47">
        <f>Matrix!F11</f>
        <v>45227</v>
      </c>
      <c r="D887" s="48">
        <f>IFERROR(VLOOKUP(B887,'Renewal Rules'!$A:$B,2,FALSE),"")</f>
        <v>36</v>
      </c>
      <c r="E887" s="47">
        <f t="shared" si="52"/>
        <v>46323</v>
      </c>
      <c r="F887" s="48">
        <f t="shared" ca="1" si="53"/>
        <v>120</v>
      </c>
      <c r="G887" s="46" t="str">
        <f t="shared" ca="1" si="54"/>
        <v>GREEN</v>
      </c>
      <c r="H887" s="46" t="str">
        <f t="shared" ca="1" si="55"/>
        <v>Current</v>
      </c>
      <c r="I887" s="21"/>
    </row>
    <row r="888" spans="1:9" x14ac:dyDescent="0.35">
      <c r="A888" s="46" t="s">
        <v>244</v>
      </c>
      <c r="B888" s="46" t="s">
        <v>114</v>
      </c>
      <c r="C888" s="47">
        <f>Matrix!G11</f>
        <v>46194</v>
      </c>
      <c r="D888" s="48">
        <f>IFERROR(VLOOKUP(B888,'Renewal Rules'!$A:$B,2,FALSE),"")</f>
        <v>12</v>
      </c>
      <c r="E888" s="47">
        <f t="shared" si="52"/>
        <v>46559</v>
      </c>
      <c r="F888" s="48">
        <f t="shared" ca="1" si="53"/>
        <v>356</v>
      </c>
      <c r="G888" s="46" t="str">
        <f t="shared" ca="1" si="54"/>
        <v>GREEN</v>
      </c>
      <c r="H888" s="46" t="str">
        <f t="shared" ca="1" si="55"/>
        <v>Current</v>
      </c>
      <c r="I888" s="21"/>
    </row>
    <row r="889" spans="1:9" x14ac:dyDescent="0.35">
      <c r="A889" s="46" t="s">
        <v>244</v>
      </c>
      <c r="B889" s="46" t="s">
        <v>115</v>
      </c>
      <c r="C889" s="47">
        <f>Matrix!H11</f>
        <v>45228</v>
      </c>
      <c r="D889" s="48">
        <f>IFERROR(VLOOKUP(B889,'Renewal Rules'!$A:$B,2,FALSE),"")</f>
        <v>36</v>
      </c>
      <c r="E889" s="47">
        <f t="shared" si="52"/>
        <v>46324</v>
      </c>
      <c r="F889" s="48">
        <f t="shared" ca="1" si="53"/>
        <v>121</v>
      </c>
      <c r="G889" s="46" t="str">
        <f t="shared" ca="1" si="54"/>
        <v>GREEN</v>
      </c>
      <c r="H889" s="46" t="str">
        <f t="shared" ca="1" si="55"/>
        <v>Current</v>
      </c>
      <c r="I889" s="21"/>
    </row>
    <row r="890" spans="1:9" x14ac:dyDescent="0.35">
      <c r="A890" s="46" t="s">
        <v>244</v>
      </c>
      <c r="B890" s="46" t="s">
        <v>116</v>
      </c>
      <c r="C890" s="47">
        <f>Matrix!I11</f>
        <v>46193</v>
      </c>
      <c r="D890" s="48">
        <f>IFERROR(VLOOKUP(B890,'Renewal Rules'!$A:$B,2,FALSE),"")</f>
        <v>36</v>
      </c>
      <c r="E890" s="47">
        <f t="shared" si="52"/>
        <v>47289</v>
      </c>
      <c r="F890" s="48">
        <f t="shared" ca="1" si="53"/>
        <v>1086</v>
      </c>
      <c r="G890" s="46" t="str">
        <f t="shared" ca="1" si="54"/>
        <v>GREEN</v>
      </c>
      <c r="H890" s="46" t="str">
        <f t="shared" ca="1" si="55"/>
        <v>Current</v>
      </c>
      <c r="I890" s="21"/>
    </row>
    <row r="891" spans="1:9" x14ac:dyDescent="0.35">
      <c r="A891" s="46" t="s">
        <v>244</v>
      </c>
      <c r="B891" s="46" t="s">
        <v>117</v>
      </c>
      <c r="C891" s="47" t="str">
        <f>Matrix!J11</f>
        <v>29/10/2023</v>
      </c>
      <c r="D891" s="48">
        <f>IFERROR(VLOOKUP(B891,'Renewal Rules'!$A:$B,2,FALSE),"")</f>
        <v>12</v>
      </c>
      <c r="E891" s="47">
        <f t="shared" si="52"/>
        <v>45594</v>
      </c>
      <c r="F891" s="48">
        <f t="shared" ca="1" si="53"/>
        <v>-609</v>
      </c>
      <c r="G891" s="46" t="str">
        <f t="shared" ca="1" si="54"/>
        <v>RED</v>
      </c>
      <c r="H891" s="46" t="str">
        <f t="shared" ca="1" si="55"/>
        <v>Expired</v>
      </c>
      <c r="I891" s="21"/>
    </row>
    <row r="892" spans="1:9" x14ac:dyDescent="0.35">
      <c r="A892" s="46" t="s">
        <v>244</v>
      </c>
      <c r="B892" s="46" t="s">
        <v>118</v>
      </c>
      <c r="C892" s="47">
        <f>Matrix!K11</f>
        <v>46076</v>
      </c>
      <c r="D892" s="48">
        <f>IFERROR(VLOOKUP(B892,'Renewal Rules'!$A:$B,2,FALSE),"")</f>
        <v>36</v>
      </c>
      <c r="E892" s="47">
        <f t="shared" si="52"/>
        <v>47172</v>
      </c>
      <c r="F892" s="48">
        <f t="shared" ca="1" si="53"/>
        <v>969</v>
      </c>
      <c r="G892" s="46" t="str">
        <f t="shared" ca="1" si="54"/>
        <v>GREEN</v>
      </c>
      <c r="H892" s="46" t="str">
        <f t="shared" ca="1" si="55"/>
        <v>Current</v>
      </c>
      <c r="I892" s="21"/>
    </row>
    <row r="893" spans="1:9" x14ac:dyDescent="0.35">
      <c r="A893" s="46" t="s">
        <v>244</v>
      </c>
      <c r="B893" s="46" t="s">
        <v>119</v>
      </c>
      <c r="C893" s="47" t="str">
        <f>Matrix!L11</f>
        <v>20/06/2026</v>
      </c>
      <c r="D893" s="48">
        <f>IFERROR(VLOOKUP(B893,'Renewal Rules'!$A:$B,2,FALSE),"")</f>
        <v>12</v>
      </c>
      <c r="E893" s="47">
        <f t="shared" si="52"/>
        <v>46558</v>
      </c>
      <c r="F893" s="48">
        <f t="shared" ca="1" si="53"/>
        <v>355</v>
      </c>
      <c r="G893" s="46" t="str">
        <f t="shared" ca="1" si="54"/>
        <v>GREEN</v>
      </c>
      <c r="H893" s="46" t="str">
        <f t="shared" ca="1" si="55"/>
        <v>Current</v>
      </c>
      <c r="I893" s="21"/>
    </row>
    <row r="894" spans="1:9" x14ac:dyDescent="0.35">
      <c r="A894" s="46" t="s">
        <v>244</v>
      </c>
      <c r="B894" s="46" t="s">
        <v>120</v>
      </c>
      <c r="C894" s="47" t="str">
        <f>Matrix!M11</f>
        <v>NS</v>
      </c>
      <c r="D894" s="48">
        <f>IFERROR(VLOOKUP(B894,'Renewal Rules'!$A:$B,2,FALSE),"")</f>
        <v>12</v>
      </c>
      <c r="E894" s="47" t="str">
        <f t="shared" si="52"/>
        <v/>
      </c>
      <c r="F894" s="48" t="str">
        <f t="shared" ca="1" si="53"/>
        <v/>
      </c>
      <c r="G894" s="46" t="str">
        <f t="shared" ca="1" si="54"/>
        <v>RED</v>
      </c>
      <c r="H894" s="46" t="str">
        <f t="shared" ca="1" si="55"/>
        <v>Not Started</v>
      </c>
      <c r="I894" s="21"/>
    </row>
    <row r="895" spans="1:9" x14ac:dyDescent="0.35">
      <c r="A895" s="46" t="s">
        <v>244</v>
      </c>
      <c r="B895" s="46" t="s">
        <v>121</v>
      </c>
      <c r="C895" s="47" t="str">
        <f>Matrix!N11</f>
        <v>NS</v>
      </c>
      <c r="D895" s="48">
        <f>IFERROR(VLOOKUP(B895,'Renewal Rules'!$A:$B,2,FALSE),"")</f>
        <v>12</v>
      </c>
      <c r="E895" s="47" t="str">
        <f t="shared" si="52"/>
        <v/>
      </c>
      <c r="F895" s="48" t="str">
        <f t="shared" ca="1" si="53"/>
        <v/>
      </c>
      <c r="G895" s="46" t="str">
        <f t="shared" ca="1" si="54"/>
        <v>RED</v>
      </c>
      <c r="H895" s="46" t="str">
        <f t="shared" ca="1" si="55"/>
        <v>Not Started</v>
      </c>
      <c r="I895" s="21"/>
    </row>
    <row r="896" spans="1:9" ht="12.9" customHeight="1" x14ac:dyDescent="0.35">
      <c r="A896" s="46" t="s">
        <v>244</v>
      </c>
      <c r="B896" s="46" t="s">
        <v>103</v>
      </c>
      <c r="C896" s="47" t="str">
        <f>Matrix!O11</f>
        <v>23/02/2026</v>
      </c>
      <c r="D896" s="48">
        <f>IFERROR(VLOOKUP(B896,'Renewal Rules'!$A:$B,2,FALSE),"")</f>
        <v>36</v>
      </c>
      <c r="E896" s="47">
        <f t="shared" si="52"/>
        <v>47172</v>
      </c>
      <c r="F896" s="48">
        <f t="shared" ca="1" si="53"/>
        <v>969</v>
      </c>
      <c r="G896" s="46" t="str">
        <f t="shared" ca="1" si="54"/>
        <v>GREEN</v>
      </c>
      <c r="H896" s="46" t="str">
        <f t="shared" ca="1" si="55"/>
        <v>Current</v>
      </c>
      <c r="I896" s="21"/>
    </row>
    <row r="897" spans="1:9" x14ac:dyDescent="0.35">
      <c r="A897" s="46" t="s">
        <v>244</v>
      </c>
      <c r="B897" s="46" t="s">
        <v>122</v>
      </c>
      <c r="C897" s="47" t="str">
        <f>Matrix!P11</f>
        <v>NS</v>
      </c>
      <c r="D897" s="48">
        <f>IFERROR(VLOOKUP(B897,'Renewal Rules'!$A:$B,2,FALSE),"")</f>
        <v>36</v>
      </c>
      <c r="E897" s="47" t="str">
        <f t="shared" si="52"/>
        <v/>
      </c>
      <c r="F897" s="48" t="str">
        <f t="shared" ca="1" si="53"/>
        <v/>
      </c>
      <c r="G897" s="46" t="str">
        <f t="shared" ca="1" si="54"/>
        <v>RED</v>
      </c>
      <c r="H897" s="46" t="str">
        <f t="shared" ca="1" si="55"/>
        <v>Not Started</v>
      </c>
      <c r="I897" s="21"/>
    </row>
    <row r="898" spans="1:9" x14ac:dyDescent="0.35">
      <c r="A898" s="46" t="s">
        <v>244</v>
      </c>
      <c r="B898" s="46" t="s">
        <v>101</v>
      </c>
      <c r="C898" s="47">
        <f>Matrix!Q11</f>
        <v>46061</v>
      </c>
      <c r="D898" s="48">
        <f>IFERROR(VLOOKUP(B898,'Renewal Rules'!$A:$B,2,FALSE),"")</f>
        <v>36</v>
      </c>
      <c r="E898" s="47">
        <f t="shared" si="52"/>
        <v>47157</v>
      </c>
      <c r="F898" s="48">
        <f t="shared" ca="1" si="53"/>
        <v>954</v>
      </c>
      <c r="G898" s="46" t="str">
        <f t="shared" ca="1" si="54"/>
        <v>GREEN</v>
      </c>
      <c r="H898" s="46" t="str">
        <f t="shared" ca="1" si="55"/>
        <v>Current</v>
      </c>
      <c r="I898" s="21"/>
    </row>
    <row r="899" spans="1:9" x14ac:dyDescent="0.35">
      <c r="A899" s="46" t="s">
        <v>244</v>
      </c>
      <c r="B899" s="46" t="s">
        <v>123</v>
      </c>
      <c r="C899" s="47" t="str">
        <f>Matrix!R11</f>
        <v>20/01/2026</v>
      </c>
      <c r="D899" s="48">
        <f>IFERROR(VLOOKUP(B899,'Renewal Rules'!$A:$B,2,FALSE),"")</f>
        <v>12</v>
      </c>
      <c r="E899" s="47">
        <f t="shared" ref="E899:E962" si="56">IF(OR(C899="",C899="NS",C899="IP",C899="Failed"),"",IFERROR(EDATE(IF(ISNUMBER(C899),C899,IFERROR(DATEVALUE(C899),DATE(VALUE(RIGHT(C899,4)),VALUE(MID(C899,4,2)),VALUE(LEFT(C899,2))))),D899),""))</f>
        <v>46407</v>
      </c>
      <c r="F899" s="48">
        <f t="shared" ref="F899:F962" ca="1" si="57">IF(E899="","",E899-TODAY())</f>
        <v>204</v>
      </c>
      <c r="G899" s="46" t="str">
        <f t="shared" ref="G899:G962" ca="1" si="58">IF(C899="NS","RED",IF(C899="IP","AMBER",IF(E899="","",IF(E899&lt;TODAY(),"RED",IF(E899&lt;=TODAY()+30,"AMBER","GREEN")))))</f>
        <v>GREEN</v>
      </c>
      <c r="H899" s="46" t="str">
        <f t="shared" ref="H899:H962" ca="1" si="59">IF(C899="NS","Not Started",IF(C899="IP","In Progress",IF(E899="","Check",IF(E899&lt;TODAY(),"Expired",IF(E899&lt;=TODAY()+30,"Expiring Soon","Current")))))</f>
        <v>Current</v>
      </c>
      <c r="I899" s="21"/>
    </row>
    <row r="900" spans="1:9" x14ac:dyDescent="0.35">
      <c r="A900" s="46" t="s">
        <v>244</v>
      </c>
      <c r="B900" s="46" t="s">
        <v>124</v>
      </c>
      <c r="C900" s="47" t="str">
        <f>Matrix!S11</f>
        <v>NS</v>
      </c>
      <c r="D900" s="48">
        <f>IFERROR(VLOOKUP(B900,'Renewal Rules'!$A:$B,2,FALSE),"")</f>
        <v>12</v>
      </c>
      <c r="E900" s="47" t="str">
        <f t="shared" si="56"/>
        <v/>
      </c>
      <c r="F900" s="48" t="str">
        <f t="shared" ca="1" si="57"/>
        <v/>
      </c>
      <c r="G900" s="46" t="str">
        <f t="shared" ca="1" si="58"/>
        <v>RED</v>
      </c>
      <c r="H900" s="46" t="str">
        <f t="shared" ca="1" si="59"/>
        <v>Not Started</v>
      </c>
      <c r="I900" s="21"/>
    </row>
    <row r="901" spans="1:9" x14ac:dyDescent="0.35">
      <c r="A901" s="46" t="s">
        <v>244</v>
      </c>
      <c r="B901" s="46" t="s">
        <v>125</v>
      </c>
      <c r="C901" s="47" t="str">
        <f>Matrix!T11</f>
        <v>07/02/2026</v>
      </c>
      <c r="D901" s="48">
        <f>IFERROR(VLOOKUP(B901,'Renewal Rules'!$A:$B,2,FALSE),"")</f>
        <v>12</v>
      </c>
      <c r="E901" s="47">
        <f t="shared" si="56"/>
        <v>46425</v>
      </c>
      <c r="F901" s="48">
        <f t="shared" ca="1" si="57"/>
        <v>222</v>
      </c>
      <c r="G901" s="46" t="str">
        <f t="shared" ca="1" si="58"/>
        <v>GREEN</v>
      </c>
      <c r="H901" s="46" t="str">
        <f t="shared" ca="1" si="59"/>
        <v>Current</v>
      </c>
      <c r="I901" s="21"/>
    </row>
    <row r="902" spans="1:9" x14ac:dyDescent="0.35">
      <c r="A902" s="46" t="s">
        <v>244</v>
      </c>
      <c r="B902" s="46" t="s">
        <v>126</v>
      </c>
      <c r="C902" s="47" t="str">
        <f>Matrix!U11</f>
        <v>16/01/2026</v>
      </c>
      <c r="D902" s="48">
        <f>IFERROR(VLOOKUP(B902,'Renewal Rules'!$A:$B,2,FALSE),"")</f>
        <v>36</v>
      </c>
      <c r="E902" s="47">
        <f t="shared" si="56"/>
        <v>47134</v>
      </c>
      <c r="F902" s="48">
        <f t="shared" ca="1" si="57"/>
        <v>931</v>
      </c>
      <c r="G902" s="46" t="str">
        <f t="shared" ca="1" si="58"/>
        <v>GREEN</v>
      </c>
      <c r="H902" s="46" t="str">
        <f t="shared" ca="1" si="59"/>
        <v>Current</v>
      </c>
      <c r="I902" s="21"/>
    </row>
    <row r="903" spans="1:9" x14ac:dyDescent="0.35">
      <c r="A903" s="46" t="s">
        <v>244</v>
      </c>
      <c r="B903" s="46" t="s">
        <v>127</v>
      </c>
      <c r="C903" s="47" t="str">
        <f>Matrix!V11</f>
        <v>NS</v>
      </c>
      <c r="D903" s="48">
        <f>IFERROR(VLOOKUP(B903,'Renewal Rules'!$A:$B,2,FALSE),"")</f>
        <v>12</v>
      </c>
      <c r="E903" s="47" t="str">
        <f t="shared" si="56"/>
        <v/>
      </c>
      <c r="F903" s="48" t="str">
        <f t="shared" ca="1" si="57"/>
        <v/>
      </c>
      <c r="G903" s="46" t="str">
        <f t="shared" ca="1" si="58"/>
        <v>RED</v>
      </c>
      <c r="H903" s="46" t="str">
        <f t="shared" ca="1" si="59"/>
        <v>Not Started</v>
      </c>
      <c r="I903" s="21"/>
    </row>
    <row r="904" spans="1:9" x14ac:dyDescent="0.35">
      <c r="A904" s="46" t="s">
        <v>244</v>
      </c>
      <c r="B904" s="46" t="s">
        <v>128</v>
      </c>
      <c r="C904" s="47" t="str">
        <f>Matrix!W11</f>
        <v>23/02/2026</v>
      </c>
      <c r="D904" s="48">
        <f>IFERROR(VLOOKUP(B904,'Renewal Rules'!$A:$B,2,FALSE),"")</f>
        <v>12</v>
      </c>
      <c r="E904" s="47">
        <f t="shared" si="56"/>
        <v>46441</v>
      </c>
      <c r="F904" s="48">
        <f t="shared" ca="1" si="57"/>
        <v>238</v>
      </c>
      <c r="G904" s="46" t="str">
        <f t="shared" ca="1" si="58"/>
        <v>GREEN</v>
      </c>
      <c r="H904" s="46" t="str">
        <f t="shared" ca="1" si="59"/>
        <v>Current</v>
      </c>
      <c r="I904" s="21"/>
    </row>
    <row r="905" spans="1:9" x14ac:dyDescent="0.35">
      <c r="A905" s="46" t="s">
        <v>244</v>
      </c>
      <c r="B905" s="46" t="s">
        <v>129</v>
      </c>
      <c r="C905" s="47" t="str">
        <f>Matrix!X11</f>
        <v>NS</v>
      </c>
      <c r="D905" s="48">
        <f>IFERROR(VLOOKUP(B905,'Renewal Rules'!$A:$B,2,FALSE),"")</f>
        <v>36</v>
      </c>
      <c r="E905" s="47" t="str">
        <f t="shared" si="56"/>
        <v/>
      </c>
      <c r="F905" s="48" t="str">
        <f t="shared" ca="1" si="57"/>
        <v/>
      </c>
      <c r="G905" s="46" t="str">
        <f t="shared" ca="1" si="58"/>
        <v>RED</v>
      </c>
      <c r="H905" s="46" t="str">
        <f t="shared" ca="1" si="59"/>
        <v>Not Started</v>
      </c>
      <c r="I905" s="21"/>
    </row>
    <row r="906" spans="1:9" x14ac:dyDescent="0.35">
      <c r="A906" s="46" t="s">
        <v>244</v>
      </c>
      <c r="B906" s="46" t="s">
        <v>130</v>
      </c>
      <c r="C906" s="47" t="str">
        <f>Matrix!Y11</f>
        <v>NS</v>
      </c>
      <c r="D906" s="48">
        <f>IFERROR(VLOOKUP(B906,'Renewal Rules'!$A:$B,2,FALSE),"")</f>
        <v>36</v>
      </c>
      <c r="E906" s="47" t="str">
        <f t="shared" si="56"/>
        <v/>
      </c>
      <c r="F906" s="48" t="str">
        <f t="shared" ca="1" si="57"/>
        <v/>
      </c>
      <c r="G906" s="46" t="str">
        <f t="shared" ca="1" si="58"/>
        <v>RED</v>
      </c>
      <c r="H906" s="46" t="str">
        <f t="shared" ca="1" si="59"/>
        <v>Not Started</v>
      </c>
      <c r="I906" s="21"/>
    </row>
    <row r="907" spans="1:9" x14ac:dyDescent="0.35">
      <c r="A907" s="46" t="s">
        <v>244</v>
      </c>
      <c r="B907" s="46" t="s">
        <v>131</v>
      </c>
      <c r="C907" s="47" t="str">
        <f>Matrix!Z11</f>
        <v>NS</v>
      </c>
      <c r="D907" s="48">
        <f>IFERROR(VLOOKUP(B907,'Renewal Rules'!$A:$B,2,FALSE),"")</f>
        <v>12</v>
      </c>
      <c r="E907" s="47" t="str">
        <f t="shared" si="56"/>
        <v/>
      </c>
      <c r="F907" s="48" t="str">
        <f t="shared" ca="1" si="57"/>
        <v/>
      </c>
      <c r="G907" s="46" t="str">
        <f t="shared" ca="1" si="58"/>
        <v>RED</v>
      </c>
      <c r="H907" s="46" t="str">
        <f t="shared" ca="1" si="59"/>
        <v>Not Started</v>
      </c>
      <c r="I907" s="21"/>
    </row>
    <row r="908" spans="1:9" x14ac:dyDescent="0.35">
      <c r="A908" s="46" t="s">
        <v>244</v>
      </c>
      <c r="B908" s="46" t="s">
        <v>132</v>
      </c>
      <c r="C908" s="47" t="str">
        <f>Matrix!AA11</f>
        <v>NS</v>
      </c>
      <c r="D908" s="48">
        <f>IFERROR(VLOOKUP(B908,'Renewal Rules'!$A:$B,2,FALSE),"")</f>
        <v>12</v>
      </c>
      <c r="E908" s="47" t="str">
        <f t="shared" si="56"/>
        <v/>
      </c>
      <c r="F908" s="48" t="str">
        <f t="shared" ca="1" si="57"/>
        <v/>
      </c>
      <c r="G908" s="46" t="str">
        <f t="shared" ca="1" si="58"/>
        <v>RED</v>
      </c>
      <c r="H908" s="46" t="str">
        <f t="shared" ca="1" si="59"/>
        <v>Not Started</v>
      </c>
      <c r="I908" s="21"/>
    </row>
    <row r="909" spans="1:9" x14ac:dyDescent="0.35">
      <c r="A909" s="46" t="s">
        <v>244</v>
      </c>
      <c r="B909" s="46" t="s">
        <v>92</v>
      </c>
      <c r="C909" s="47">
        <f>Matrix!AB11</f>
        <v>45994</v>
      </c>
      <c r="D909" s="48">
        <f>IFERROR(VLOOKUP(B909,'Renewal Rules'!$A:$B,2,FALSE),"")</f>
        <v>12</v>
      </c>
      <c r="E909" s="47">
        <f t="shared" si="56"/>
        <v>46359</v>
      </c>
      <c r="F909" s="48">
        <f t="shared" ca="1" si="57"/>
        <v>156</v>
      </c>
      <c r="G909" s="46" t="str">
        <f t="shared" ca="1" si="58"/>
        <v>GREEN</v>
      </c>
      <c r="H909" s="46" t="str">
        <f t="shared" ca="1" si="59"/>
        <v>Current</v>
      </c>
      <c r="I909" s="21"/>
    </row>
    <row r="910" spans="1:9" x14ac:dyDescent="0.35">
      <c r="A910" s="46" t="s">
        <v>244</v>
      </c>
      <c r="B910" s="46" t="s">
        <v>133</v>
      </c>
      <c r="C910" s="47" t="str">
        <f>Matrix!AC11</f>
        <v>NS</v>
      </c>
      <c r="D910" s="48">
        <f>IFERROR(VLOOKUP(B910,'Renewal Rules'!$A:$B,2,FALSE),"")</f>
        <v>36</v>
      </c>
      <c r="E910" s="47" t="str">
        <f t="shared" si="56"/>
        <v/>
      </c>
      <c r="F910" s="48" t="str">
        <f t="shared" ca="1" si="57"/>
        <v/>
      </c>
      <c r="G910" s="46" t="str">
        <f t="shared" ca="1" si="58"/>
        <v>RED</v>
      </c>
      <c r="H910" s="46" t="str">
        <f t="shared" ca="1" si="59"/>
        <v>Not Started</v>
      </c>
      <c r="I910" s="21"/>
    </row>
    <row r="911" spans="1:9" x14ac:dyDescent="0.35">
      <c r="A911" s="46" t="s">
        <v>244</v>
      </c>
      <c r="B911" s="46" t="s">
        <v>134</v>
      </c>
      <c r="C911" s="47">
        <f>Matrix!AD11</f>
        <v>46076</v>
      </c>
      <c r="D911" s="48">
        <f>IFERROR(VLOOKUP(B911,'Renewal Rules'!$A:$B,2,FALSE),"")</f>
        <v>36</v>
      </c>
      <c r="E911" s="47">
        <f t="shared" si="56"/>
        <v>47172</v>
      </c>
      <c r="F911" s="48">
        <f t="shared" ca="1" si="57"/>
        <v>969</v>
      </c>
      <c r="G911" s="46" t="str">
        <f t="shared" ca="1" si="58"/>
        <v>GREEN</v>
      </c>
      <c r="H911" s="46" t="str">
        <f t="shared" ca="1" si="59"/>
        <v>Current</v>
      </c>
      <c r="I911" s="21"/>
    </row>
    <row r="912" spans="1:9" x14ac:dyDescent="0.35">
      <c r="A912" s="46" t="s">
        <v>244</v>
      </c>
      <c r="B912" s="46" t="s">
        <v>98</v>
      </c>
      <c r="C912" s="47">
        <f>Matrix!AE11</f>
        <v>45228</v>
      </c>
      <c r="D912" s="48">
        <f>IFERROR(VLOOKUP(B912,'Renewal Rules'!$A:$B,2,FALSE),"")</f>
        <v>36</v>
      </c>
      <c r="E912" s="47">
        <f t="shared" si="56"/>
        <v>46324</v>
      </c>
      <c r="F912" s="48">
        <f t="shared" ca="1" si="57"/>
        <v>121</v>
      </c>
      <c r="G912" s="46" t="str">
        <f t="shared" ca="1" si="58"/>
        <v>GREEN</v>
      </c>
      <c r="H912" s="46" t="str">
        <f t="shared" ca="1" si="59"/>
        <v>Current</v>
      </c>
      <c r="I912" s="21"/>
    </row>
    <row r="913" spans="1:9" x14ac:dyDescent="0.35">
      <c r="A913" s="46" t="s">
        <v>244</v>
      </c>
      <c r="B913" s="46" t="s">
        <v>135</v>
      </c>
      <c r="C913" s="47" t="str">
        <f>Matrix!AF11</f>
        <v>NS</v>
      </c>
      <c r="D913" s="48">
        <f>IFERROR(VLOOKUP(B913,'Renewal Rules'!$A:$B,2,FALSE),"")</f>
        <v>36</v>
      </c>
      <c r="E913" s="47" t="str">
        <f t="shared" si="56"/>
        <v/>
      </c>
      <c r="F913" s="48" t="str">
        <f t="shared" ca="1" si="57"/>
        <v/>
      </c>
      <c r="G913" s="46" t="str">
        <f t="shared" ca="1" si="58"/>
        <v>RED</v>
      </c>
      <c r="H913" s="46" t="str">
        <f t="shared" ca="1" si="59"/>
        <v>Not Started</v>
      </c>
      <c r="I913" s="21"/>
    </row>
    <row r="914" spans="1:9" x14ac:dyDescent="0.35">
      <c r="A914" s="46" t="s">
        <v>244</v>
      </c>
      <c r="B914" s="46" t="s">
        <v>136</v>
      </c>
      <c r="C914" s="47">
        <f>Matrix!AG11</f>
        <v>46193</v>
      </c>
      <c r="D914" s="48">
        <f>IFERROR(VLOOKUP(B914,'Renewal Rules'!$A:$B,2,FALSE),"")</f>
        <v>12</v>
      </c>
      <c r="E914" s="47">
        <f t="shared" si="56"/>
        <v>46558</v>
      </c>
      <c r="F914" s="48">
        <f t="shared" ca="1" si="57"/>
        <v>355</v>
      </c>
      <c r="G914" s="46" t="str">
        <f t="shared" ca="1" si="58"/>
        <v>GREEN</v>
      </c>
      <c r="H914" s="46" t="str">
        <f t="shared" ca="1" si="59"/>
        <v>Current</v>
      </c>
      <c r="I914" s="21"/>
    </row>
    <row r="915" spans="1:9" x14ac:dyDescent="0.35">
      <c r="A915" s="46" t="s">
        <v>244</v>
      </c>
      <c r="B915" s="46" t="s">
        <v>137</v>
      </c>
      <c r="C915" s="47">
        <f>Matrix!AH11</f>
        <v>46076</v>
      </c>
      <c r="D915" s="48">
        <f>IFERROR(VLOOKUP(B915,'Renewal Rules'!$A:$B,2,FALSE),"")</f>
        <v>36</v>
      </c>
      <c r="E915" s="47">
        <f t="shared" si="56"/>
        <v>47172</v>
      </c>
      <c r="F915" s="48">
        <f t="shared" ca="1" si="57"/>
        <v>969</v>
      </c>
      <c r="G915" s="46" t="str">
        <f t="shared" ca="1" si="58"/>
        <v>GREEN</v>
      </c>
      <c r="H915" s="46" t="str">
        <f t="shared" ca="1" si="59"/>
        <v>Current</v>
      </c>
      <c r="I915" s="21"/>
    </row>
    <row r="916" spans="1:9" ht="12.9" customHeight="1" x14ac:dyDescent="0.35">
      <c r="A916" s="46" t="s">
        <v>244</v>
      </c>
      <c r="B916" s="46" t="s">
        <v>138</v>
      </c>
      <c r="C916" s="47" t="str">
        <f>Matrix!AI11</f>
        <v>NS</v>
      </c>
      <c r="D916" s="48">
        <f>IFERROR(VLOOKUP(B916,'Renewal Rules'!$A:$B,2,FALSE),"")</f>
        <v>12</v>
      </c>
      <c r="E916" s="47" t="str">
        <f t="shared" si="56"/>
        <v/>
      </c>
      <c r="F916" s="48" t="str">
        <f t="shared" ca="1" si="57"/>
        <v/>
      </c>
      <c r="G916" s="46" t="str">
        <f t="shared" ca="1" si="58"/>
        <v>RED</v>
      </c>
      <c r="H916" s="46" t="str">
        <f t="shared" ca="1" si="59"/>
        <v>Not Started</v>
      </c>
      <c r="I916" s="21"/>
    </row>
    <row r="917" spans="1:9" x14ac:dyDescent="0.35">
      <c r="A917" s="46" t="s">
        <v>244</v>
      </c>
      <c r="B917" s="46" t="s">
        <v>139</v>
      </c>
      <c r="C917" s="47" t="str">
        <f>Matrix!AJ11</f>
        <v>20/06/2026</v>
      </c>
      <c r="D917" s="48">
        <f>IFERROR(VLOOKUP(B917,'Renewal Rules'!$A:$B,2,FALSE),"")</f>
        <v>12</v>
      </c>
      <c r="E917" s="47">
        <f t="shared" si="56"/>
        <v>46558</v>
      </c>
      <c r="F917" s="48">
        <f t="shared" ca="1" si="57"/>
        <v>355</v>
      </c>
      <c r="G917" s="46" t="str">
        <f t="shared" ca="1" si="58"/>
        <v>GREEN</v>
      </c>
      <c r="H917" s="46" t="str">
        <f t="shared" ca="1" si="59"/>
        <v>Current</v>
      </c>
      <c r="I917" s="21"/>
    </row>
    <row r="918" spans="1:9" x14ac:dyDescent="0.35">
      <c r="A918" s="46" t="s">
        <v>244</v>
      </c>
      <c r="B918" s="46" t="s">
        <v>97</v>
      </c>
      <c r="C918" s="47">
        <f>Matrix!AK11</f>
        <v>45987</v>
      </c>
      <c r="D918" s="48">
        <f>IFERROR(VLOOKUP(B918,'Renewal Rules'!$A:$B,2,FALSE),"")</f>
        <v>12</v>
      </c>
      <c r="E918" s="47">
        <f t="shared" si="56"/>
        <v>46352</v>
      </c>
      <c r="F918" s="48">
        <f t="shared" ca="1" si="57"/>
        <v>149</v>
      </c>
      <c r="G918" s="46" t="str">
        <f t="shared" ca="1" si="58"/>
        <v>GREEN</v>
      </c>
      <c r="H918" s="46" t="str">
        <f t="shared" ca="1" si="59"/>
        <v>Current</v>
      </c>
      <c r="I918" s="21"/>
    </row>
    <row r="919" spans="1:9" x14ac:dyDescent="0.35">
      <c r="A919" s="46" t="s">
        <v>244</v>
      </c>
      <c r="B919" s="46" t="s">
        <v>140</v>
      </c>
      <c r="C919" s="47" t="str">
        <f>Matrix!AL11</f>
        <v>NS</v>
      </c>
      <c r="D919" s="48">
        <f>IFERROR(VLOOKUP(B919,'Renewal Rules'!$A:$B,2,FALSE),"")</f>
        <v>36</v>
      </c>
      <c r="E919" s="47" t="str">
        <f t="shared" si="56"/>
        <v/>
      </c>
      <c r="F919" s="48" t="str">
        <f t="shared" ca="1" si="57"/>
        <v/>
      </c>
      <c r="G919" s="46" t="str">
        <f t="shared" ca="1" si="58"/>
        <v>RED</v>
      </c>
      <c r="H919" s="46" t="str">
        <f t="shared" ca="1" si="59"/>
        <v>Not Started</v>
      </c>
      <c r="I919" s="21"/>
    </row>
    <row r="920" spans="1:9" x14ac:dyDescent="0.35">
      <c r="A920" s="46" t="s">
        <v>244</v>
      </c>
      <c r="B920" s="46" t="s">
        <v>141</v>
      </c>
      <c r="C920" s="47" t="str">
        <f>Matrix!AM11</f>
        <v>NS</v>
      </c>
      <c r="D920" s="48">
        <f>IFERROR(VLOOKUP(B920,'Renewal Rules'!$A:$B,2,FALSE),"")</f>
        <v>12</v>
      </c>
      <c r="E920" s="47" t="str">
        <f t="shared" si="56"/>
        <v/>
      </c>
      <c r="F920" s="48" t="str">
        <f t="shared" ca="1" si="57"/>
        <v/>
      </c>
      <c r="G920" s="46" t="str">
        <f t="shared" ca="1" si="58"/>
        <v>RED</v>
      </c>
      <c r="H920" s="46" t="str">
        <f t="shared" ca="1" si="59"/>
        <v>Not Started</v>
      </c>
      <c r="I920" s="21"/>
    </row>
    <row r="921" spans="1:9" x14ac:dyDescent="0.35">
      <c r="A921" s="46" t="s">
        <v>244</v>
      </c>
      <c r="B921" s="46" t="s">
        <v>142</v>
      </c>
      <c r="C921" s="47" t="str">
        <f>Matrix!AN11</f>
        <v>NS</v>
      </c>
      <c r="D921" s="48">
        <f>IFERROR(VLOOKUP(B921,'Renewal Rules'!$A:$B,2,FALSE),"")</f>
        <v>12</v>
      </c>
      <c r="E921" s="47" t="str">
        <f t="shared" si="56"/>
        <v/>
      </c>
      <c r="F921" s="48" t="str">
        <f t="shared" ca="1" si="57"/>
        <v/>
      </c>
      <c r="G921" s="46" t="str">
        <f t="shared" ca="1" si="58"/>
        <v>RED</v>
      </c>
      <c r="H921" s="46" t="str">
        <f t="shared" ca="1" si="59"/>
        <v>Not Started</v>
      </c>
      <c r="I921" s="21"/>
    </row>
    <row r="922" spans="1:9" x14ac:dyDescent="0.35">
      <c r="A922" s="46" t="s">
        <v>244</v>
      </c>
      <c r="B922" s="46" t="s">
        <v>143</v>
      </c>
      <c r="C922" s="47" t="str">
        <f>Matrix!AO11</f>
        <v>NS</v>
      </c>
      <c r="D922" s="48">
        <f>IFERROR(VLOOKUP(B922,'Renewal Rules'!$A:$B,2,FALSE),"")</f>
        <v>12</v>
      </c>
      <c r="E922" s="47" t="str">
        <f t="shared" si="56"/>
        <v/>
      </c>
      <c r="F922" s="48" t="str">
        <f t="shared" ca="1" si="57"/>
        <v/>
      </c>
      <c r="G922" s="46" t="str">
        <f t="shared" ca="1" si="58"/>
        <v>RED</v>
      </c>
      <c r="H922" s="46" t="str">
        <f t="shared" ca="1" si="59"/>
        <v>Not Started</v>
      </c>
      <c r="I922" s="21"/>
    </row>
    <row r="923" spans="1:9" x14ac:dyDescent="0.35">
      <c r="A923" s="46" t="s">
        <v>244</v>
      </c>
      <c r="B923" s="46" t="s">
        <v>102</v>
      </c>
      <c r="C923" s="47" t="str">
        <f>Matrix!AP11</f>
        <v>20/06/2026</v>
      </c>
      <c r="D923" s="48">
        <f>IFERROR(VLOOKUP(B923,'Renewal Rules'!$A:$B,2,FALSE),"")</f>
        <v>12</v>
      </c>
      <c r="E923" s="47">
        <f t="shared" si="56"/>
        <v>46558</v>
      </c>
      <c r="F923" s="48">
        <f t="shared" ca="1" si="57"/>
        <v>355</v>
      </c>
      <c r="G923" s="46" t="str">
        <f t="shared" ca="1" si="58"/>
        <v>GREEN</v>
      </c>
      <c r="H923" s="46" t="str">
        <f t="shared" ca="1" si="59"/>
        <v>Current</v>
      </c>
      <c r="I923" s="21"/>
    </row>
    <row r="924" spans="1:9" x14ac:dyDescent="0.35">
      <c r="A924" s="46" t="s">
        <v>244</v>
      </c>
      <c r="B924" s="46" t="s">
        <v>144</v>
      </c>
      <c r="C924" s="47">
        <f>Matrix!AQ11</f>
        <v>46193</v>
      </c>
      <c r="D924" s="48">
        <f>IFERROR(VLOOKUP(B924,'Renewal Rules'!$A:$B,2,FALSE),"")</f>
        <v>36</v>
      </c>
      <c r="E924" s="47">
        <f t="shared" si="56"/>
        <v>47289</v>
      </c>
      <c r="F924" s="48">
        <f t="shared" ca="1" si="57"/>
        <v>1086</v>
      </c>
      <c r="G924" s="46" t="str">
        <f t="shared" ca="1" si="58"/>
        <v>GREEN</v>
      </c>
      <c r="H924" s="46" t="str">
        <f t="shared" ca="1" si="59"/>
        <v>Current</v>
      </c>
      <c r="I924" s="21"/>
    </row>
    <row r="925" spans="1:9" x14ac:dyDescent="0.35">
      <c r="A925" s="46" t="s">
        <v>244</v>
      </c>
      <c r="B925" s="46" t="s">
        <v>145</v>
      </c>
      <c r="C925" s="47" t="str">
        <f>Matrix!AR11</f>
        <v>NS</v>
      </c>
      <c r="D925" s="48">
        <f>IFERROR(VLOOKUP(B925,'Renewal Rules'!$A:$B,2,FALSE),"")</f>
        <v>12</v>
      </c>
      <c r="E925" s="47" t="str">
        <f t="shared" si="56"/>
        <v/>
      </c>
      <c r="F925" s="48" t="str">
        <f t="shared" ca="1" si="57"/>
        <v/>
      </c>
      <c r="G925" s="46" t="str">
        <f t="shared" ca="1" si="58"/>
        <v>RED</v>
      </c>
      <c r="H925" s="46" t="str">
        <f t="shared" ca="1" si="59"/>
        <v>Not Started</v>
      </c>
      <c r="I925" s="21"/>
    </row>
    <row r="926" spans="1:9" x14ac:dyDescent="0.35">
      <c r="A926" s="46" t="s">
        <v>244</v>
      </c>
      <c r="B926" s="46" t="s">
        <v>146</v>
      </c>
      <c r="C926" s="47" t="str">
        <f>Matrix!AS11</f>
        <v>NS</v>
      </c>
      <c r="D926" s="48">
        <f>IFERROR(VLOOKUP(B926,'Renewal Rules'!$A:$B,2,FALSE),"")</f>
        <v>12</v>
      </c>
      <c r="E926" s="47" t="str">
        <f t="shared" si="56"/>
        <v/>
      </c>
      <c r="F926" s="48" t="str">
        <f t="shared" ca="1" si="57"/>
        <v/>
      </c>
      <c r="G926" s="46" t="str">
        <f t="shared" ca="1" si="58"/>
        <v>RED</v>
      </c>
      <c r="H926" s="46" t="str">
        <f t="shared" ca="1" si="59"/>
        <v>Not Started</v>
      </c>
      <c r="I926" s="21"/>
    </row>
    <row r="927" spans="1:9" x14ac:dyDescent="0.35">
      <c r="A927" s="46" t="s">
        <v>244</v>
      </c>
      <c r="B927" s="46" t="s">
        <v>147</v>
      </c>
      <c r="C927" s="47" t="str">
        <f>Matrix!AT11</f>
        <v>NS</v>
      </c>
      <c r="D927" s="48">
        <f>IFERROR(VLOOKUP(B927,'Renewal Rules'!$A:$B,2,FALSE),"")</f>
        <v>36</v>
      </c>
      <c r="E927" s="47" t="str">
        <f t="shared" si="56"/>
        <v/>
      </c>
      <c r="F927" s="48" t="str">
        <f t="shared" ca="1" si="57"/>
        <v/>
      </c>
      <c r="G927" s="46" t="str">
        <f t="shared" ca="1" si="58"/>
        <v>RED</v>
      </c>
      <c r="H927" s="46" t="str">
        <f t="shared" ca="1" si="59"/>
        <v>Not Started</v>
      </c>
      <c r="I927" s="21"/>
    </row>
    <row r="928" spans="1:9" x14ac:dyDescent="0.35">
      <c r="A928" s="46" t="s">
        <v>244</v>
      </c>
      <c r="B928" s="46" t="s">
        <v>148</v>
      </c>
      <c r="C928" s="47" t="str">
        <f>Matrix!AU11</f>
        <v>NS</v>
      </c>
      <c r="D928" s="48">
        <f>IFERROR(VLOOKUP(B928,'Renewal Rules'!$A:$B,2,FALSE),"")</f>
        <v>36</v>
      </c>
      <c r="E928" s="47" t="str">
        <f t="shared" si="56"/>
        <v/>
      </c>
      <c r="F928" s="48" t="str">
        <f t="shared" ca="1" si="57"/>
        <v/>
      </c>
      <c r="G928" s="46" t="str">
        <f t="shared" ca="1" si="58"/>
        <v>RED</v>
      </c>
      <c r="H928" s="46" t="str">
        <f t="shared" ca="1" si="59"/>
        <v>Not Started</v>
      </c>
      <c r="I928" s="21"/>
    </row>
    <row r="929" spans="1:9" x14ac:dyDescent="0.35">
      <c r="A929" s="46" t="s">
        <v>244</v>
      </c>
      <c r="B929" s="46" t="s">
        <v>149</v>
      </c>
      <c r="C929" s="47" t="str">
        <f>Matrix!AV11</f>
        <v>NS</v>
      </c>
      <c r="D929" s="48">
        <f>IFERROR(VLOOKUP(B929,'Renewal Rules'!$A:$B,2,FALSE),"")</f>
        <v>36</v>
      </c>
      <c r="E929" s="47" t="str">
        <f t="shared" si="56"/>
        <v/>
      </c>
      <c r="F929" s="48" t="str">
        <f t="shared" ca="1" si="57"/>
        <v/>
      </c>
      <c r="G929" s="46" t="str">
        <f t="shared" ca="1" si="58"/>
        <v>RED</v>
      </c>
      <c r="H929" s="46" t="str">
        <f t="shared" ca="1" si="59"/>
        <v>Not Started</v>
      </c>
      <c r="I929" s="21"/>
    </row>
    <row r="930" spans="1:9" x14ac:dyDescent="0.35">
      <c r="A930" s="46" t="s">
        <v>244</v>
      </c>
      <c r="B930" s="46" t="s">
        <v>150</v>
      </c>
      <c r="C930" s="47" t="str">
        <f>Matrix!AW11</f>
        <v>NS</v>
      </c>
      <c r="D930" s="48">
        <f>IFERROR(VLOOKUP(B930,'Renewal Rules'!$A:$B,2,FALSE),"")</f>
        <v>36</v>
      </c>
      <c r="E930" s="47" t="str">
        <f t="shared" si="56"/>
        <v/>
      </c>
      <c r="F930" s="48" t="str">
        <f t="shared" ca="1" si="57"/>
        <v/>
      </c>
      <c r="G930" s="46" t="str">
        <f t="shared" ca="1" si="58"/>
        <v>RED</v>
      </c>
      <c r="H930" s="46" t="str">
        <f t="shared" ca="1" si="59"/>
        <v>Not Started</v>
      </c>
      <c r="I930" s="21"/>
    </row>
    <row r="931" spans="1:9" x14ac:dyDescent="0.35">
      <c r="A931" s="46" t="s">
        <v>244</v>
      </c>
      <c r="B931" s="46" t="s">
        <v>151</v>
      </c>
      <c r="C931" s="47" t="str">
        <f>Matrix!AX11</f>
        <v>NS</v>
      </c>
      <c r="D931" s="48">
        <f>IFERROR(VLOOKUP(B931,'Renewal Rules'!$A:$B,2,FALSE),"")</f>
        <v>36</v>
      </c>
      <c r="E931" s="47" t="str">
        <f t="shared" si="56"/>
        <v/>
      </c>
      <c r="F931" s="48" t="str">
        <f t="shared" ca="1" si="57"/>
        <v/>
      </c>
      <c r="G931" s="46" t="str">
        <f t="shared" ca="1" si="58"/>
        <v>RED</v>
      </c>
      <c r="H931" s="46" t="str">
        <f t="shared" ca="1" si="59"/>
        <v>Not Started</v>
      </c>
      <c r="I931" s="21"/>
    </row>
    <row r="932" spans="1:9" x14ac:dyDescent="0.35">
      <c r="A932" s="46" t="s">
        <v>244</v>
      </c>
      <c r="B932" s="46" t="s">
        <v>152</v>
      </c>
      <c r="C932" s="47" t="str">
        <f>Matrix!AY11</f>
        <v>NS</v>
      </c>
      <c r="D932" s="48">
        <f>IFERROR(VLOOKUP(B932,'Renewal Rules'!$A:$B,2,FALSE),"")</f>
        <v>36</v>
      </c>
      <c r="E932" s="47" t="str">
        <f t="shared" si="56"/>
        <v/>
      </c>
      <c r="F932" s="48" t="str">
        <f t="shared" ca="1" si="57"/>
        <v/>
      </c>
      <c r="G932" s="46" t="str">
        <f t="shared" ca="1" si="58"/>
        <v>RED</v>
      </c>
      <c r="H932" s="46" t="str">
        <f t="shared" ca="1" si="59"/>
        <v>Not Started</v>
      </c>
      <c r="I932" s="21"/>
    </row>
    <row r="933" spans="1:9" x14ac:dyDescent="0.35">
      <c r="A933" s="46" t="s">
        <v>244</v>
      </c>
      <c r="B933" s="46" t="s">
        <v>153</v>
      </c>
      <c r="C933" s="47" t="str">
        <f>Matrix!AZ11</f>
        <v>NS</v>
      </c>
      <c r="D933" s="48">
        <f>IFERROR(VLOOKUP(B933,'Renewal Rules'!$A:$B,2,FALSE),"")</f>
        <v>36</v>
      </c>
      <c r="E933" s="47" t="str">
        <f t="shared" si="56"/>
        <v/>
      </c>
      <c r="F933" s="48" t="str">
        <f t="shared" ca="1" si="57"/>
        <v/>
      </c>
      <c r="G933" s="46" t="str">
        <f t="shared" ca="1" si="58"/>
        <v>RED</v>
      </c>
      <c r="H933" s="46" t="str">
        <f t="shared" ca="1" si="59"/>
        <v>Not Started</v>
      </c>
      <c r="I933" s="21"/>
    </row>
    <row r="934" spans="1:9" x14ac:dyDescent="0.35">
      <c r="A934" s="46" t="s">
        <v>244</v>
      </c>
      <c r="B934" s="46" t="s">
        <v>154</v>
      </c>
      <c r="C934" s="47" t="str">
        <f>Matrix!BA11</f>
        <v>NS</v>
      </c>
      <c r="D934" s="48">
        <f>IFERROR(VLOOKUP(B934,'Renewal Rules'!$A:$B,2,FALSE),"")</f>
        <v>36</v>
      </c>
      <c r="E934" s="47" t="str">
        <f t="shared" si="56"/>
        <v/>
      </c>
      <c r="F934" s="48" t="str">
        <f t="shared" ca="1" si="57"/>
        <v/>
      </c>
      <c r="G934" s="46" t="str">
        <f t="shared" ca="1" si="58"/>
        <v>RED</v>
      </c>
      <c r="H934" s="46" t="str">
        <f t="shared" ca="1" si="59"/>
        <v>Not Started</v>
      </c>
      <c r="I934" s="21"/>
    </row>
    <row r="935" spans="1:9" x14ac:dyDescent="0.35">
      <c r="A935" s="46" t="s">
        <v>244</v>
      </c>
      <c r="B935" s="46" t="s">
        <v>155</v>
      </c>
      <c r="C935" s="47" t="str">
        <f>Matrix!BB11</f>
        <v>NS</v>
      </c>
      <c r="D935" s="48">
        <f>IFERROR(VLOOKUP(B935,'Renewal Rules'!$A:$B,2,FALSE),"")</f>
        <v>12</v>
      </c>
      <c r="E935" s="47" t="str">
        <f t="shared" si="56"/>
        <v/>
      </c>
      <c r="F935" s="48" t="str">
        <f t="shared" ca="1" si="57"/>
        <v/>
      </c>
      <c r="G935" s="46" t="str">
        <f t="shared" ca="1" si="58"/>
        <v>RED</v>
      </c>
      <c r="H935" s="46" t="str">
        <f t="shared" ca="1" si="59"/>
        <v>Not Started</v>
      </c>
      <c r="I935" s="21"/>
    </row>
    <row r="936" spans="1:9" x14ac:dyDescent="0.35">
      <c r="A936" s="46" t="s">
        <v>244</v>
      </c>
      <c r="B936" s="46" t="s">
        <v>156</v>
      </c>
      <c r="C936" s="47" t="str">
        <f>Matrix!BC11</f>
        <v>NS</v>
      </c>
      <c r="D936" s="48">
        <f>IFERROR(VLOOKUP(B936,'Renewal Rules'!$A:$B,2,FALSE),"")</f>
        <v>12</v>
      </c>
      <c r="E936" s="47" t="str">
        <f t="shared" si="56"/>
        <v/>
      </c>
      <c r="F936" s="48" t="str">
        <f t="shared" ca="1" si="57"/>
        <v/>
      </c>
      <c r="G936" s="46" t="str">
        <f t="shared" ca="1" si="58"/>
        <v>RED</v>
      </c>
      <c r="H936" s="46" t="str">
        <f t="shared" ca="1" si="59"/>
        <v>Not Started</v>
      </c>
      <c r="I936" s="21"/>
    </row>
    <row r="937" spans="1:9" x14ac:dyDescent="0.35">
      <c r="A937" s="46" t="s">
        <v>244</v>
      </c>
      <c r="B937" s="46" t="s">
        <v>157</v>
      </c>
      <c r="C937" s="47" t="str">
        <f>Matrix!BD11</f>
        <v>NS</v>
      </c>
      <c r="D937" s="48">
        <f>IFERROR(VLOOKUP(B937,'Renewal Rules'!$A:$B,2,FALSE),"")</f>
        <v>36</v>
      </c>
      <c r="E937" s="47" t="str">
        <f t="shared" si="56"/>
        <v/>
      </c>
      <c r="F937" s="48" t="str">
        <f t="shared" ca="1" si="57"/>
        <v/>
      </c>
      <c r="G937" s="46" t="str">
        <f t="shared" ca="1" si="58"/>
        <v>RED</v>
      </c>
      <c r="H937" s="46" t="str">
        <f t="shared" ca="1" si="59"/>
        <v>Not Started</v>
      </c>
      <c r="I937" s="21"/>
    </row>
    <row r="938" spans="1:9" ht="12.9" customHeight="1" x14ac:dyDescent="0.35">
      <c r="A938" s="46" t="s">
        <v>244</v>
      </c>
      <c r="B938" s="46" t="s">
        <v>158</v>
      </c>
      <c r="C938" s="47" t="str">
        <f>Matrix!BE11</f>
        <v>NS</v>
      </c>
      <c r="D938" s="48">
        <f>IFERROR(VLOOKUP(B938,'Renewal Rules'!$A:$B,2,FALSE),"")</f>
        <v>12</v>
      </c>
      <c r="E938" s="47" t="str">
        <f t="shared" si="56"/>
        <v/>
      </c>
      <c r="F938" s="48" t="str">
        <f t="shared" ca="1" si="57"/>
        <v/>
      </c>
      <c r="G938" s="46" t="str">
        <f t="shared" ca="1" si="58"/>
        <v>RED</v>
      </c>
      <c r="H938" s="46" t="str">
        <f t="shared" ca="1" si="59"/>
        <v>Not Started</v>
      </c>
      <c r="I938" s="21"/>
    </row>
    <row r="939" spans="1:9" x14ac:dyDescent="0.35">
      <c r="A939" s="46" t="s">
        <v>244</v>
      </c>
      <c r="B939" s="46" t="s">
        <v>95</v>
      </c>
      <c r="C939" s="47">
        <f>Matrix!BF11</f>
        <v>45979</v>
      </c>
      <c r="D939" s="48">
        <f>IFERROR(VLOOKUP(B939,'Renewal Rules'!$A:$B,2,FALSE),"")</f>
        <v>12</v>
      </c>
      <c r="E939" s="47">
        <f t="shared" si="56"/>
        <v>46344</v>
      </c>
      <c r="F939" s="48">
        <f t="shared" ca="1" si="57"/>
        <v>141</v>
      </c>
      <c r="G939" s="46" t="str">
        <f t="shared" ca="1" si="58"/>
        <v>GREEN</v>
      </c>
      <c r="H939" s="46" t="str">
        <f t="shared" ca="1" si="59"/>
        <v>Current</v>
      </c>
      <c r="I939" s="21"/>
    </row>
    <row r="940" spans="1:9" x14ac:dyDescent="0.35">
      <c r="A940" s="46" t="s">
        <v>244</v>
      </c>
      <c r="B940" s="46" t="s">
        <v>93</v>
      </c>
      <c r="C940" s="47" t="str">
        <f>Matrix!BG11</f>
        <v>NS</v>
      </c>
      <c r="D940" s="48">
        <f>IFERROR(VLOOKUP(B940,'Renewal Rules'!$A:$B,2,FALSE),"")</f>
        <v>12</v>
      </c>
      <c r="E940" s="47" t="str">
        <f t="shared" si="56"/>
        <v/>
      </c>
      <c r="F940" s="48" t="str">
        <f t="shared" ca="1" si="57"/>
        <v/>
      </c>
      <c r="G940" s="46" t="str">
        <f t="shared" ca="1" si="58"/>
        <v>RED</v>
      </c>
      <c r="H940" s="46" t="str">
        <f t="shared" ca="1" si="59"/>
        <v>Not Started</v>
      </c>
      <c r="I940" s="21"/>
    </row>
    <row r="941" spans="1:9" x14ac:dyDescent="0.35">
      <c r="A941" s="46" t="s">
        <v>244</v>
      </c>
      <c r="B941" s="46" t="s">
        <v>159</v>
      </c>
      <c r="C941" s="47" t="str">
        <f>Matrix!BH11</f>
        <v>NS</v>
      </c>
      <c r="D941" s="48">
        <f>IFERROR(VLOOKUP(B941,'Renewal Rules'!$A:$B,2,FALSE),"")</f>
        <v>12</v>
      </c>
      <c r="E941" s="47" t="str">
        <f t="shared" si="56"/>
        <v/>
      </c>
      <c r="F941" s="48" t="str">
        <f t="shared" ca="1" si="57"/>
        <v/>
      </c>
      <c r="G941" s="46" t="str">
        <f t="shared" ca="1" si="58"/>
        <v>RED</v>
      </c>
      <c r="H941" s="46" t="str">
        <f t="shared" ca="1" si="59"/>
        <v>Not Started</v>
      </c>
      <c r="I941" s="21"/>
    </row>
    <row r="942" spans="1:9" x14ac:dyDescent="0.35">
      <c r="A942" s="46" t="s">
        <v>244</v>
      </c>
      <c r="B942" s="46" t="s">
        <v>160</v>
      </c>
      <c r="C942" s="47">
        <f>Matrix!BI11</f>
        <v>46193</v>
      </c>
      <c r="D942" s="48">
        <f>IFERROR(VLOOKUP(B942,'Renewal Rules'!$A:$B,2,FALSE),"")</f>
        <v>36</v>
      </c>
      <c r="E942" s="47">
        <f t="shared" si="56"/>
        <v>47289</v>
      </c>
      <c r="F942" s="48">
        <f t="shared" ca="1" si="57"/>
        <v>1086</v>
      </c>
      <c r="G942" s="46" t="str">
        <f t="shared" ca="1" si="58"/>
        <v>GREEN</v>
      </c>
      <c r="H942" s="46" t="str">
        <f t="shared" ca="1" si="59"/>
        <v>Current</v>
      </c>
      <c r="I942" s="21"/>
    </row>
    <row r="943" spans="1:9" x14ac:dyDescent="0.35">
      <c r="A943" s="46" t="s">
        <v>244</v>
      </c>
      <c r="B943" s="46" t="s">
        <v>161</v>
      </c>
      <c r="C943" s="47" t="str">
        <f>Matrix!BJ11</f>
        <v>NS</v>
      </c>
      <c r="D943" s="48">
        <f>IFERROR(VLOOKUP(B943,'Renewal Rules'!$A:$B,2,FALSE),"")</f>
        <v>12</v>
      </c>
      <c r="E943" s="47" t="str">
        <f t="shared" si="56"/>
        <v/>
      </c>
      <c r="F943" s="48" t="str">
        <f t="shared" ca="1" si="57"/>
        <v/>
      </c>
      <c r="G943" s="46" t="str">
        <f t="shared" ca="1" si="58"/>
        <v>RED</v>
      </c>
      <c r="H943" s="46" t="str">
        <f t="shared" ca="1" si="59"/>
        <v>Not Started</v>
      </c>
      <c r="I943" s="21"/>
    </row>
    <row r="944" spans="1:9" x14ac:dyDescent="0.35">
      <c r="A944" s="46" t="s">
        <v>244</v>
      </c>
      <c r="B944" s="46" t="s">
        <v>162</v>
      </c>
      <c r="C944" s="47" t="str">
        <f>Matrix!BK11</f>
        <v>NS</v>
      </c>
      <c r="D944" s="48">
        <f>IFERROR(VLOOKUP(B944,'Renewal Rules'!$A:$B,2,FALSE),"")</f>
        <v>12</v>
      </c>
      <c r="E944" s="47" t="str">
        <f t="shared" si="56"/>
        <v/>
      </c>
      <c r="F944" s="48" t="str">
        <f t="shared" ca="1" si="57"/>
        <v/>
      </c>
      <c r="G944" s="46" t="str">
        <f t="shared" ca="1" si="58"/>
        <v>RED</v>
      </c>
      <c r="H944" s="46" t="str">
        <f t="shared" ca="1" si="59"/>
        <v>Not Started</v>
      </c>
      <c r="I944" s="21"/>
    </row>
    <row r="945" spans="1:9" x14ac:dyDescent="0.35">
      <c r="A945" s="46" t="s">
        <v>244</v>
      </c>
      <c r="B945" s="46" t="s">
        <v>163</v>
      </c>
      <c r="C945" s="47" t="str">
        <f>Matrix!BL11</f>
        <v>NS</v>
      </c>
      <c r="D945" s="48">
        <f>IFERROR(VLOOKUP(B945,'Renewal Rules'!$A:$B,2,FALSE),"")</f>
        <v>36</v>
      </c>
      <c r="E945" s="47" t="str">
        <f t="shared" si="56"/>
        <v/>
      </c>
      <c r="F945" s="48" t="str">
        <f t="shared" ca="1" si="57"/>
        <v/>
      </c>
      <c r="G945" s="46" t="str">
        <f t="shared" ca="1" si="58"/>
        <v>RED</v>
      </c>
      <c r="H945" s="46" t="str">
        <f t="shared" ca="1" si="59"/>
        <v>Not Started</v>
      </c>
      <c r="I945" s="21"/>
    </row>
    <row r="946" spans="1:9" x14ac:dyDescent="0.35">
      <c r="A946" s="46" t="s">
        <v>244</v>
      </c>
      <c r="B946" s="46" t="s">
        <v>164</v>
      </c>
      <c r="C946" s="47" t="str">
        <f>Matrix!BM11</f>
        <v>NS</v>
      </c>
      <c r="D946" s="48">
        <f>IFERROR(VLOOKUP(B946,'Renewal Rules'!$A:$B,2,FALSE),"")</f>
        <v>12</v>
      </c>
      <c r="E946" s="47" t="str">
        <f t="shared" si="56"/>
        <v/>
      </c>
      <c r="F946" s="48" t="str">
        <f t="shared" ca="1" si="57"/>
        <v/>
      </c>
      <c r="G946" s="46" t="str">
        <f t="shared" ca="1" si="58"/>
        <v>RED</v>
      </c>
      <c r="H946" s="46" t="str">
        <f t="shared" ca="1" si="59"/>
        <v>Not Started</v>
      </c>
      <c r="I946" s="21"/>
    </row>
    <row r="947" spans="1:9" x14ac:dyDescent="0.35">
      <c r="A947" s="46" t="s">
        <v>244</v>
      </c>
      <c r="B947" s="46" t="s">
        <v>165</v>
      </c>
      <c r="C947" s="47">
        <f>Matrix!BN11</f>
        <v>45228</v>
      </c>
      <c r="D947" s="48">
        <f>IFERROR(VLOOKUP(B947,'Renewal Rules'!$A:$B,2,FALSE),"")</f>
        <v>36</v>
      </c>
      <c r="E947" s="47">
        <f t="shared" si="56"/>
        <v>46324</v>
      </c>
      <c r="F947" s="48">
        <f t="shared" ca="1" si="57"/>
        <v>121</v>
      </c>
      <c r="G947" s="46" t="str">
        <f t="shared" ca="1" si="58"/>
        <v>GREEN</v>
      </c>
      <c r="H947" s="46" t="str">
        <f t="shared" ca="1" si="59"/>
        <v>Current</v>
      </c>
      <c r="I947" s="21"/>
    </row>
    <row r="948" spans="1:9" x14ac:dyDescent="0.35">
      <c r="A948" s="46" t="s">
        <v>244</v>
      </c>
      <c r="B948" s="46" t="s">
        <v>166</v>
      </c>
      <c r="C948" s="47">
        <f>Matrix!BO11</f>
        <v>45228</v>
      </c>
      <c r="D948" s="48">
        <f>IFERROR(VLOOKUP(B948,'Renewal Rules'!$A:$B,2,FALSE),"")</f>
        <v>36</v>
      </c>
      <c r="E948" s="47">
        <f t="shared" si="56"/>
        <v>46324</v>
      </c>
      <c r="F948" s="48">
        <f t="shared" ca="1" si="57"/>
        <v>121</v>
      </c>
      <c r="G948" s="46" t="str">
        <f t="shared" ca="1" si="58"/>
        <v>GREEN</v>
      </c>
      <c r="H948" s="46" t="str">
        <f t="shared" ca="1" si="59"/>
        <v>Current</v>
      </c>
      <c r="I948" s="21"/>
    </row>
    <row r="949" spans="1:9" x14ac:dyDescent="0.35">
      <c r="A949" s="46" t="s">
        <v>244</v>
      </c>
      <c r="B949" s="46" t="s">
        <v>167</v>
      </c>
      <c r="C949" s="47">
        <f>Matrix!BP11</f>
        <v>45228</v>
      </c>
      <c r="D949" s="48">
        <f>IFERROR(VLOOKUP(B949,'Renewal Rules'!$A:$B,2,FALSE),"")</f>
        <v>36</v>
      </c>
      <c r="E949" s="47">
        <f t="shared" si="56"/>
        <v>46324</v>
      </c>
      <c r="F949" s="48">
        <f t="shared" ca="1" si="57"/>
        <v>121</v>
      </c>
      <c r="G949" s="46" t="str">
        <f t="shared" ca="1" si="58"/>
        <v>GREEN</v>
      </c>
      <c r="H949" s="46" t="str">
        <f t="shared" ca="1" si="59"/>
        <v>Current</v>
      </c>
      <c r="I949" s="21"/>
    </row>
    <row r="950" spans="1:9" x14ac:dyDescent="0.35">
      <c r="A950" s="46" t="s">
        <v>244</v>
      </c>
      <c r="B950" s="46" t="s">
        <v>168</v>
      </c>
      <c r="C950" s="47">
        <f>Matrix!BQ11</f>
        <v>46061</v>
      </c>
      <c r="D950" s="48">
        <f>IFERROR(VLOOKUP(B950,'Renewal Rules'!$A:$B,2,FALSE),"")</f>
        <v>36</v>
      </c>
      <c r="E950" s="47">
        <f t="shared" si="56"/>
        <v>47157</v>
      </c>
      <c r="F950" s="48">
        <f t="shared" ca="1" si="57"/>
        <v>954</v>
      </c>
      <c r="G950" s="46" t="str">
        <f t="shared" ca="1" si="58"/>
        <v>GREEN</v>
      </c>
      <c r="H950" s="46" t="str">
        <f t="shared" ca="1" si="59"/>
        <v>Current</v>
      </c>
      <c r="I950" s="21"/>
    </row>
    <row r="951" spans="1:9" x14ac:dyDescent="0.35">
      <c r="A951" s="46" t="s">
        <v>244</v>
      </c>
      <c r="B951" s="46" t="s">
        <v>169</v>
      </c>
      <c r="C951" s="47" t="str">
        <f>Matrix!BR11</f>
        <v>NS</v>
      </c>
      <c r="D951" s="48">
        <f>IFERROR(VLOOKUP(B951,'Renewal Rules'!$A:$B,2,FALSE),"")</f>
        <v>36</v>
      </c>
      <c r="E951" s="47" t="str">
        <f t="shared" si="56"/>
        <v/>
      </c>
      <c r="F951" s="48" t="str">
        <f t="shared" ca="1" si="57"/>
        <v/>
      </c>
      <c r="G951" s="46" t="str">
        <f t="shared" ca="1" si="58"/>
        <v>RED</v>
      </c>
      <c r="H951" s="46" t="str">
        <f t="shared" ca="1" si="59"/>
        <v>Not Started</v>
      </c>
      <c r="I951" s="21"/>
    </row>
    <row r="952" spans="1:9" x14ac:dyDescent="0.35">
      <c r="A952" s="46" t="s">
        <v>244</v>
      </c>
      <c r="B952" s="46" t="s">
        <v>170</v>
      </c>
      <c r="C952" s="47">
        <f>Matrix!BS11</f>
        <v>45895</v>
      </c>
      <c r="D952" s="48">
        <f>IFERROR(VLOOKUP(B952,'Renewal Rules'!$A:$B,2,FALSE),"")</f>
        <v>12</v>
      </c>
      <c r="E952" s="47">
        <f t="shared" si="56"/>
        <v>46260</v>
      </c>
      <c r="F952" s="48">
        <f t="shared" ca="1" si="57"/>
        <v>57</v>
      </c>
      <c r="G952" s="46" t="str">
        <f t="shared" ca="1" si="58"/>
        <v>GREEN</v>
      </c>
      <c r="H952" s="46" t="str">
        <f t="shared" ca="1" si="59"/>
        <v>Current</v>
      </c>
      <c r="I952" s="21"/>
    </row>
    <row r="953" spans="1:9" x14ac:dyDescent="0.35">
      <c r="A953" s="46" t="s">
        <v>244</v>
      </c>
      <c r="B953" s="46" t="s">
        <v>171</v>
      </c>
      <c r="C953" s="47" t="str">
        <f>Matrix!BT11</f>
        <v>NS</v>
      </c>
      <c r="D953" s="48">
        <f>IFERROR(VLOOKUP(B953,'Renewal Rules'!$A:$B,2,FALSE),"")</f>
        <v>12</v>
      </c>
      <c r="E953" s="47" t="str">
        <f t="shared" si="56"/>
        <v/>
      </c>
      <c r="F953" s="48" t="str">
        <f t="shared" ca="1" si="57"/>
        <v/>
      </c>
      <c r="G953" s="46" t="str">
        <f t="shared" ca="1" si="58"/>
        <v>RED</v>
      </c>
      <c r="H953" s="46" t="str">
        <f t="shared" ca="1" si="59"/>
        <v>Not Started</v>
      </c>
      <c r="I953" s="21"/>
    </row>
    <row r="954" spans="1:9" x14ac:dyDescent="0.35">
      <c r="A954" s="46" t="s">
        <v>244</v>
      </c>
      <c r="B954" s="46" t="s">
        <v>172</v>
      </c>
      <c r="C954" s="47">
        <f>Matrix!BU11</f>
        <v>45981</v>
      </c>
      <c r="D954" s="48">
        <f>IFERROR(VLOOKUP(B954,'Renewal Rules'!$A:$B,2,FALSE),"")</f>
        <v>12</v>
      </c>
      <c r="E954" s="47">
        <f t="shared" si="56"/>
        <v>46346</v>
      </c>
      <c r="F954" s="48">
        <f t="shared" ca="1" si="57"/>
        <v>143</v>
      </c>
      <c r="G954" s="46" t="str">
        <f t="shared" ca="1" si="58"/>
        <v>GREEN</v>
      </c>
      <c r="H954" s="46" t="str">
        <f t="shared" ca="1" si="59"/>
        <v>Current</v>
      </c>
      <c r="I954" s="21"/>
    </row>
    <row r="955" spans="1:9" x14ac:dyDescent="0.35">
      <c r="A955" s="46" t="s">
        <v>244</v>
      </c>
      <c r="B955" s="46" t="s">
        <v>173</v>
      </c>
      <c r="C955" s="47" t="str">
        <f>Matrix!BV11</f>
        <v>NS</v>
      </c>
      <c r="D955" s="48">
        <f>IFERROR(VLOOKUP(B955,'Renewal Rules'!$A:$B,2,FALSE),"")</f>
        <v>12</v>
      </c>
      <c r="E955" s="47" t="str">
        <f t="shared" si="56"/>
        <v/>
      </c>
      <c r="F955" s="48" t="str">
        <f t="shared" ca="1" si="57"/>
        <v/>
      </c>
      <c r="G955" s="46" t="str">
        <f t="shared" ca="1" si="58"/>
        <v>RED</v>
      </c>
      <c r="H955" s="46" t="str">
        <f t="shared" ca="1" si="59"/>
        <v>Not Started</v>
      </c>
      <c r="I955" s="21"/>
    </row>
    <row r="956" spans="1:9" x14ac:dyDescent="0.35">
      <c r="A956" s="46" t="s">
        <v>244</v>
      </c>
      <c r="B956" s="46" t="s">
        <v>174</v>
      </c>
      <c r="C956" s="47" t="str">
        <f>Matrix!BW11</f>
        <v>NS</v>
      </c>
      <c r="D956" s="48">
        <f>IFERROR(VLOOKUP(B956,'Renewal Rules'!$A:$B,2,FALSE),"")</f>
        <v>12</v>
      </c>
      <c r="E956" s="47" t="str">
        <f t="shared" si="56"/>
        <v/>
      </c>
      <c r="F956" s="48" t="str">
        <f t="shared" ca="1" si="57"/>
        <v/>
      </c>
      <c r="G956" s="46" t="str">
        <f t="shared" ca="1" si="58"/>
        <v>RED</v>
      </c>
      <c r="H956" s="46" t="str">
        <f t="shared" ca="1" si="59"/>
        <v>Not Started</v>
      </c>
      <c r="I956" s="21"/>
    </row>
    <row r="957" spans="1:9" x14ac:dyDescent="0.35">
      <c r="A957" s="46" t="s">
        <v>244</v>
      </c>
      <c r="B957" s="46" t="s">
        <v>175</v>
      </c>
      <c r="C957" s="47" t="str">
        <f>Matrix!BX11</f>
        <v>NS</v>
      </c>
      <c r="D957" s="48">
        <f>IFERROR(VLOOKUP(B957,'Renewal Rules'!$A:$B,2,FALSE),"")</f>
        <v>12</v>
      </c>
      <c r="E957" s="47" t="str">
        <f t="shared" si="56"/>
        <v/>
      </c>
      <c r="F957" s="48" t="str">
        <f t="shared" ca="1" si="57"/>
        <v/>
      </c>
      <c r="G957" s="46" t="str">
        <f t="shared" ca="1" si="58"/>
        <v>RED</v>
      </c>
      <c r="H957" s="46" t="str">
        <f t="shared" ca="1" si="59"/>
        <v>Not Started</v>
      </c>
      <c r="I957" s="21"/>
    </row>
    <row r="958" spans="1:9" x14ac:dyDescent="0.35">
      <c r="A958" s="46" t="s">
        <v>244</v>
      </c>
      <c r="B958" s="46" t="s">
        <v>176</v>
      </c>
      <c r="C958" s="47" t="str">
        <f>Matrix!BY11</f>
        <v>NS</v>
      </c>
      <c r="D958" s="48">
        <f>IFERROR(VLOOKUP(B958,'Renewal Rules'!$A:$B,2,FALSE),"")</f>
        <v>36</v>
      </c>
      <c r="E958" s="47" t="str">
        <f t="shared" si="56"/>
        <v/>
      </c>
      <c r="F958" s="48" t="str">
        <f t="shared" ca="1" si="57"/>
        <v/>
      </c>
      <c r="G958" s="46" t="str">
        <f t="shared" ca="1" si="58"/>
        <v>RED</v>
      </c>
      <c r="H958" s="46" t="str">
        <f t="shared" ca="1" si="59"/>
        <v>Not Started</v>
      </c>
      <c r="I958" s="21"/>
    </row>
    <row r="959" spans="1:9" x14ac:dyDescent="0.35">
      <c r="A959" s="46" t="s">
        <v>244</v>
      </c>
      <c r="B959" s="46" t="s">
        <v>177</v>
      </c>
      <c r="C959" s="47">
        <f>Matrix!BZ11</f>
        <v>45228</v>
      </c>
      <c r="D959" s="48">
        <f>IFERROR(VLOOKUP(B959,'Renewal Rules'!$A:$B,2,FALSE),"")</f>
        <v>36</v>
      </c>
      <c r="E959" s="47">
        <f t="shared" si="56"/>
        <v>46324</v>
      </c>
      <c r="F959" s="48">
        <f t="shared" ca="1" si="57"/>
        <v>121</v>
      </c>
      <c r="G959" s="46" t="str">
        <f t="shared" ca="1" si="58"/>
        <v>GREEN</v>
      </c>
      <c r="H959" s="46" t="str">
        <f t="shared" ca="1" si="59"/>
        <v>Current</v>
      </c>
      <c r="I959" s="21"/>
    </row>
    <row r="960" spans="1:9" x14ac:dyDescent="0.35">
      <c r="A960" s="46" t="s">
        <v>244</v>
      </c>
      <c r="B960" s="46" t="s">
        <v>178</v>
      </c>
      <c r="C960" s="47" t="str">
        <f>Matrix!CA11</f>
        <v>NS</v>
      </c>
      <c r="D960" s="48">
        <f>IFERROR(VLOOKUP(B960,'Renewal Rules'!$A:$B,2,FALSE),"")</f>
        <v>12</v>
      </c>
      <c r="E960" s="47" t="str">
        <f t="shared" si="56"/>
        <v/>
      </c>
      <c r="F960" s="48" t="str">
        <f t="shared" ca="1" si="57"/>
        <v/>
      </c>
      <c r="G960" s="46" t="str">
        <f t="shared" ca="1" si="58"/>
        <v>RED</v>
      </c>
      <c r="H960" s="46" t="str">
        <f t="shared" ca="1" si="59"/>
        <v>Not Started</v>
      </c>
      <c r="I960" s="21"/>
    </row>
    <row r="961" spans="1:9" x14ac:dyDescent="0.35">
      <c r="A961" s="46" t="s">
        <v>244</v>
      </c>
      <c r="B961" s="46" t="s">
        <v>179</v>
      </c>
      <c r="C961" s="47" t="str">
        <f>Matrix!CB11</f>
        <v>NS</v>
      </c>
      <c r="D961" s="48">
        <f>IFERROR(VLOOKUP(B961,'Renewal Rules'!$A:$B,2,FALSE),"")</f>
        <v>12</v>
      </c>
      <c r="E961" s="47" t="str">
        <f t="shared" si="56"/>
        <v/>
      </c>
      <c r="F961" s="48" t="str">
        <f t="shared" ca="1" si="57"/>
        <v/>
      </c>
      <c r="G961" s="46" t="str">
        <f t="shared" ca="1" si="58"/>
        <v>RED</v>
      </c>
      <c r="H961" s="46" t="str">
        <f t="shared" ca="1" si="59"/>
        <v>Not Started</v>
      </c>
      <c r="I961" s="21"/>
    </row>
    <row r="962" spans="1:9" x14ac:dyDescent="0.35">
      <c r="A962" s="46" t="s">
        <v>244</v>
      </c>
      <c r="B962" s="46" t="s">
        <v>180</v>
      </c>
      <c r="C962" s="47" t="str">
        <f>Matrix!CC11</f>
        <v>NS</v>
      </c>
      <c r="D962" s="48">
        <f>IFERROR(VLOOKUP(B962,'Renewal Rules'!$A:$B,2,FALSE),"")</f>
        <v>36</v>
      </c>
      <c r="E962" s="47" t="str">
        <f t="shared" si="56"/>
        <v/>
      </c>
      <c r="F962" s="48" t="str">
        <f t="shared" ca="1" si="57"/>
        <v/>
      </c>
      <c r="G962" s="46" t="str">
        <f t="shared" ca="1" si="58"/>
        <v>RED</v>
      </c>
      <c r="H962" s="46" t="str">
        <f t="shared" ca="1" si="59"/>
        <v>Not Started</v>
      </c>
      <c r="I962" s="21"/>
    </row>
    <row r="963" spans="1:9" x14ac:dyDescent="0.35">
      <c r="A963" s="46" t="s">
        <v>244</v>
      </c>
      <c r="B963" s="46" t="s">
        <v>181</v>
      </c>
      <c r="C963" s="47" t="str">
        <f>Matrix!CD11</f>
        <v>NS</v>
      </c>
      <c r="D963" s="48">
        <f>IFERROR(VLOOKUP(B963,'Renewal Rules'!$A:$B,2,FALSE),"")</f>
        <v>36</v>
      </c>
      <c r="E963" s="47" t="str">
        <f t="shared" ref="E963:E1026" si="60">IF(OR(C963="",C963="NS",C963="IP",C963="Failed"),"",IFERROR(EDATE(IF(ISNUMBER(C963),C963,IFERROR(DATEVALUE(C963),DATE(VALUE(RIGHT(C963,4)),VALUE(MID(C963,4,2)),VALUE(LEFT(C963,2))))),D963),""))</f>
        <v/>
      </c>
      <c r="F963" s="48" t="str">
        <f t="shared" ref="F963:F1026" ca="1" si="61">IF(E963="","",E963-TODAY())</f>
        <v/>
      </c>
      <c r="G963" s="46" t="str">
        <f t="shared" ref="G963:G1026" ca="1" si="62">IF(C963="NS","RED",IF(C963="IP","AMBER",IF(E963="","",IF(E963&lt;TODAY(),"RED",IF(E963&lt;=TODAY()+30,"AMBER","GREEN")))))</f>
        <v>RED</v>
      </c>
      <c r="H963" s="46" t="str">
        <f t="shared" ref="H963:H1026" ca="1" si="63">IF(C963="NS","Not Started",IF(C963="IP","In Progress",IF(E963="","Check",IF(E963&lt;TODAY(),"Expired",IF(E963&lt;=TODAY()+30,"Expiring Soon","Current")))))</f>
        <v>Not Started</v>
      </c>
      <c r="I963" s="21"/>
    </row>
    <row r="964" spans="1:9" x14ac:dyDescent="0.35">
      <c r="A964" s="46" t="s">
        <v>244</v>
      </c>
      <c r="B964" s="46" t="s">
        <v>182</v>
      </c>
      <c r="C964" s="47" t="str">
        <f>Matrix!CE11</f>
        <v>NS</v>
      </c>
      <c r="D964" s="48">
        <f>IFERROR(VLOOKUP(B964,'Renewal Rules'!$A:$B,2,FALSE),"")</f>
        <v>12</v>
      </c>
      <c r="E964" s="47" t="str">
        <f t="shared" si="60"/>
        <v/>
      </c>
      <c r="F964" s="48" t="str">
        <f t="shared" ca="1" si="61"/>
        <v/>
      </c>
      <c r="G964" s="46" t="str">
        <f t="shared" ca="1" si="62"/>
        <v>RED</v>
      </c>
      <c r="H964" s="46" t="str">
        <f t="shared" ca="1" si="63"/>
        <v>Not Started</v>
      </c>
      <c r="I964" s="21"/>
    </row>
    <row r="965" spans="1:9" x14ac:dyDescent="0.35">
      <c r="A965" s="46" t="s">
        <v>244</v>
      </c>
      <c r="B965" s="46" t="s">
        <v>183</v>
      </c>
      <c r="C965" s="47">
        <f>Matrix!CF11</f>
        <v>46194</v>
      </c>
      <c r="D965" s="48">
        <f>IFERROR(VLOOKUP(B965,'Renewal Rules'!$A:$B,2,FALSE),"")</f>
        <v>36</v>
      </c>
      <c r="E965" s="47">
        <f t="shared" si="60"/>
        <v>47290</v>
      </c>
      <c r="F965" s="48">
        <f t="shared" ca="1" si="61"/>
        <v>1087</v>
      </c>
      <c r="G965" s="46" t="str">
        <f t="shared" ca="1" si="62"/>
        <v>GREEN</v>
      </c>
      <c r="H965" s="46" t="str">
        <f t="shared" ca="1" si="63"/>
        <v>Current</v>
      </c>
      <c r="I965" s="21"/>
    </row>
    <row r="966" spans="1:9" x14ac:dyDescent="0.35">
      <c r="A966" s="46" t="s">
        <v>244</v>
      </c>
      <c r="B966" s="46" t="s">
        <v>184</v>
      </c>
      <c r="C966" s="47" t="str">
        <f>Matrix!CG11</f>
        <v>NS</v>
      </c>
      <c r="D966" s="48">
        <f>IFERROR(VLOOKUP(B966,'Renewal Rules'!$A:$B,2,FALSE),"")</f>
        <v>12</v>
      </c>
      <c r="E966" s="47" t="str">
        <f t="shared" si="60"/>
        <v/>
      </c>
      <c r="F966" s="48" t="str">
        <f t="shared" ca="1" si="61"/>
        <v/>
      </c>
      <c r="G966" s="46" t="str">
        <f t="shared" ca="1" si="62"/>
        <v>RED</v>
      </c>
      <c r="H966" s="46" t="str">
        <f t="shared" ca="1" si="63"/>
        <v>Not Started</v>
      </c>
      <c r="I966" s="21"/>
    </row>
    <row r="967" spans="1:9" x14ac:dyDescent="0.35">
      <c r="A967" s="46" t="s">
        <v>244</v>
      </c>
      <c r="B967" s="46" t="s">
        <v>185</v>
      </c>
      <c r="C967" s="47" t="str">
        <f>Matrix!CH11</f>
        <v>NS</v>
      </c>
      <c r="D967" s="48">
        <f>IFERROR(VLOOKUP(B967,'Renewal Rules'!$A:$B,2,FALSE),"")</f>
        <v>12</v>
      </c>
      <c r="E967" s="47" t="str">
        <f t="shared" si="60"/>
        <v/>
      </c>
      <c r="F967" s="48" t="str">
        <f t="shared" ca="1" si="61"/>
        <v/>
      </c>
      <c r="G967" s="46" t="str">
        <f t="shared" ca="1" si="62"/>
        <v>RED</v>
      </c>
      <c r="H967" s="46" t="str">
        <f t="shared" ca="1" si="63"/>
        <v>Not Started</v>
      </c>
      <c r="I967" s="21"/>
    </row>
    <row r="968" spans="1:9" x14ac:dyDescent="0.35">
      <c r="A968" s="46" t="s">
        <v>244</v>
      </c>
      <c r="B968" s="46" t="s">
        <v>186</v>
      </c>
      <c r="C968" s="47" t="str">
        <f>Matrix!CI11</f>
        <v>NS</v>
      </c>
      <c r="D968" s="48">
        <f>IFERROR(VLOOKUP(B968,'Renewal Rules'!$A:$B,2,FALSE),"")</f>
        <v>36</v>
      </c>
      <c r="E968" s="47" t="str">
        <f t="shared" si="60"/>
        <v/>
      </c>
      <c r="F968" s="48" t="str">
        <f t="shared" ca="1" si="61"/>
        <v/>
      </c>
      <c r="G968" s="46" t="str">
        <f t="shared" ca="1" si="62"/>
        <v>RED</v>
      </c>
      <c r="H968" s="46" t="str">
        <f t="shared" ca="1" si="63"/>
        <v>Not Started</v>
      </c>
      <c r="I968" s="21"/>
    </row>
    <row r="969" spans="1:9" x14ac:dyDescent="0.35">
      <c r="A969" s="46" t="s">
        <v>244</v>
      </c>
      <c r="B969" s="46" t="s">
        <v>187</v>
      </c>
      <c r="C969" s="47" t="str">
        <f>Matrix!CJ11</f>
        <v>NS</v>
      </c>
      <c r="D969" s="48">
        <f>IFERROR(VLOOKUP(B969,'Renewal Rules'!$A:$B,2,FALSE),"")</f>
        <v>12</v>
      </c>
      <c r="E969" s="47" t="str">
        <f t="shared" si="60"/>
        <v/>
      </c>
      <c r="F969" s="48" t="str">
        <f t="shared" ca="1" si="61"/>
        <v/>
      </c>
      <c r="G969" s="46" t="str">
        <f t="shared" ca="1" si="62"/>
        <v>RED</v>
      </c>
      <c r="H969" s="46" t="str">
        <f t="shared" ca="1" si="63"/>
        <v>Not Started</v>
      </c>
      <c r="I969" s="21"/>
    </row>
    <row r="970" spans="1:9" x14ac:dyDescent="0.35">
      <c r="A970" s="46" t="s">
        <v>244</v>
      </c>
      <c r="B970" s="46" t="s">
        <v>188</v>
      </c>
      <c r="C970" s="47" t="str">
        <f>Matrix!CK11</f>
        <v>NS</v>
      </c>
      <c r="D970" s="48">
        <f>IFERROR(VLOOKUP(B970,'Renewal Rules'!$A:$B,2,FALSE),"")</f>
        <v>36</v>
      </c>
      <c r="E970" s="47" t="str">
        <f t="shared" si="60"/>
        <v/>
      </c>
      <c r="F970" s="48" t="str">
        <f t="shared" ca="1" si="61"/>
        <v/>
      </c>
      <c r="G970" s="46" t="str">
        <f t="shared" ca="1" si="62"/>
        <v>RED</v>
      </c>
      <c r="H970" s="46" t="str">
        <f t="shared" ca="1" si="63"/>
        <v>Not Started</v>
      </c>
      <c r="I970" s="21"/>
    </row>
    <row r="971" spans="1:9" x14ac:dyDescent="0.35">
      <c r="A971" s="46" t="s">
        <v>244</v>
      </c>
      <c r="B971" s="46" t="s">
        <v>189</v>
      </c>
      <c r="C971" s="47" t="str">
        <f>Matrix!CL11</f>
        <v>NS</v>
      </c>
      <c r="D971" s="48">
        <f>IFERROR(VLOOKUP(B971,'Renewal Rules'!$A:$B,2,FALSE),"")</f>
        <v>36</v>
      </c>
      <c r="E971" s="47" t="str">
        <f t="shared" si="60"/>
        <v/>
      </c>
      <c r="F971" s="48" t="str">
        <f t="shared" ca="1" si="61"/>
        <v/>
      </c>
      <c r="G971" s="46" t="str">
        <f t="shared" ca="1" si="62"/>
        <v>RED</v>
      </c>
      <c r="H971" s="46" t="str">
        <f t="shared" ca="1" si="63"/>
        <v>Not Started</v>
      </c>
      <c r="I971" s="21"/>
    </row>
    <row r="972" spans="1:9" x14ac:dyDescent="0.35">
      <c r="A972" s="46" t="s">
        <v>244</v>
      </c>
      <c r="B972" s="46" t="s">
        <v>190</v>
      </c>
      <c r="C972" s="47" t="str">
        <f>Matrix!CM11</f>
        <v>NS</v>
      </c>
      <c r="D972" s="48">
        <f>IFERROR(VLOOKUP(B972,'Renewal Rules'!$A:$B,2,FALSE),"")</f>
        <v>12</v>
      </c>
      <c r="E972" s="47" t="str">
        <f t="shared" si="60"/>
        <v/>
      </c>
      <c r="F972" s="48" t="str">
        <f t="shared" ca="1" si="61"/>
        <v/>
      </c>
      <c r="G972" s="46" t="str">
        <f t="shared" ca="1" si="62"/>
        <v>RED</v>
      </c>
      <c r="H972" s="46" t="str">
        <f t="shared" ca="1" si="63"/>
        <v>Not Started</v>
      </c>
      <c r="I972" s="21"/>
    </row>
    <row r="973" spans="1:9" x14ac:dyDescent="0.35">
      <c r="A973" s="46" t="s">
        <v>244</v>
      </c>
      <c r="B973" s="46" t="s">
        <v>191</v>
      </c>
      <c r="C973" s="47" t="str">
        <f>Matrix!CN11</f>
        <v>NS</v>
      </c>
      <c r="D973" s="48">
        <f>IFERROR(VLOOKUP(B973,'Renewal Rules'!$A:$B,2,FALSE),"")</f>
        <v>36</v>
      </c>
      <c r="E973" s="47" t="str">
        <f t="shared" si="60"/>
        <v/>
      </c>
      <c r="F973" s="48" t="str">
        <f t="shared" ca="1" si="61"/>
        <v/>
      </c>
      <c r="G973" s="46" t="str">
        <f t="shared" ca="1" si="62"/>
        <v>RED</v>
      </c>
      <c r="H973" s="46" t="str">
        <f t="shared" ca="1" si="63"/>
        <v>Not Started</v>
      </c>
      <c r="I973" s="21"/>
    </row>
    <row r="974" spans="1:9" x14ac:dyDescent="0.35">
      <c r="A974" s="46" t="s">
        <v>244</v>
      </c>
      <c r="B974" s="46" t="s">
        <v>192</v>
      </c>
      <c r="C974" s="47" t="str">
        <f>Matrix!CO11</f>
        <v>NS</v>
      </c>
      <c r="D974" s="48">
        <f>IFERROR(VLOOKUP(B974,'Renewal Rules'!$A:$B,2,FALSE),"")</f>
        <v>12</v>
      </c>
      <c r="E974" s="47" t="str">
        <f t="shared" si="60"/>
        <v/>
      </c>
      <c r="F974" s="48" t="str">
        <f t="shared" ca="1" si="61"/>
        <v/>
      </c>
      <c r="G974" s="46" t="str">
        <f t="shared" ca="1" si="62"/>
        <v>RED</v>
      </c>
      <c r="H974" s="46" t="str">
        <f t="shared" ca="1" si="63"/>
        <v>Not Started</v>
      </c>
      <c r="I974" s="21"/>
    </row>
    <row r="975" spans="1:9" ht="12.9" customHeight="1" x14ac:dyDescent="0.35">
      <c r="A975" s="46" t="s">
        <v>244</v>
      </c>
      <c r="B975" s="46" t="s">
        <v>193</v>
      </c>
      <c r="C975" s="47" t="str">
        <f>Matrix!CP11</f>
        <v>NS</v>
      </c>
      <c r="D975" s="48">
        <f>IFERROR(VLOOKUP(B975,'Renewal Rules'!$A:$B,2,FALSE),"")</f>
        <v>12</v>
      </c>
      <c r="E975" s="47" t="str">
        <f t="shared" si="60"/>
        <v/>
      </c>
      <c r="F975" s="48" t="str">
        <f t="shared" ca="1" si="61"/>
        <v/>
      </c>
      <c r="G975" s="46" t="str">
        <f t="shared" ca="1" si="62"/>
        <v>RED</v>
      </c>
      <c r="H975" s="46" t="str">
        <f t="shared" ca="1" si="63"/>
        <v>Not Started</v>
      </c>
      <c r="I975" s="21"/>
    </row>
    <row r="976" spans="1:9" x14ac:dyDescent="0.35">
      <c r="A976" s="46" t="s">
        <v>244</v>
      </c>
      <c r="B976" s="46" t="s">
        <v>194</v>
      </c>
      <c r="C976" s="47" t="str">
        <f>Matrix!CQ11</f>
        <v>NS</v>
      </c>
      <c r="D976" s="48">
        <f>IFERROR(VLOOKUP(B976,'Renewal Rules'!$A:$B,2,FALSE),"")</f>
        <v>36</v>
      </c>
      <c r="E976" s="47" t="str">
        <f t="shared" si="60"/>
        <v/>
      </c>
      <c r="F976" s="48" t="str">
        <f t="shared" ca="1" si="61"/>
        <v/>
      </c>
      <c r="G976" s="46" t="str">
        <f t="shared" ca="1" si="62"/>
        <v>RED</v>
      </c>
      <c r="H976" s="46" t="str">
        <f t="shared" ca="1" si="63"/>
        <v>Not Started</v>
      </c>
      <c r="I976" s="21"/>
    </row>
    <row r="977" spans="1:9" ht="12.9" customHeight="1" x14ac:dyDescent="0.35">
      <c r="A977" s="46" t="s">
        <v>244</v>
      </c>
      <c r="B977" s="46" t="s">
        <v>195</v>
      </c>
      <c r="C977" s="47">
        <f>Matrix!CR11</f>
        <v>45228</v>
      </c>
      <c r="D977" s="48">
        <f>IFERROR(VLOOKUP(B977,'Renewal Rules'!$A:$B,2,FALSE),"")</f>
        <v>36</v>
      </c>
      <c r="E977" s="47">
        <f t="shared" si="60"/>
        <v>46324</v>
      </c>
      <c r="F977" s="48">
        <f t="shared" ca="1" si="61"/>
        <v>121</v>
      </c>
      <c r="G977" s="46" t="str">
        <f t="shared" ca="1" si="62"/>
        <v>GREEN</v>
      </c>
      <c r="H977" s="46" t="str">
        <f t="shared" ca="1" si="63"/>
        <v>Current</v>
      </c>
      <c r="I977" s="21"/>
    </row>
    <row r="978" spans="1:9" x14ac:dyDescent="0.35">
      <c r="A978" s="46" t="s">
        <v>244</v>
      </c>
      <c r="B978" s="46" t="s">
        <v>196</v>
      </c>
      <c r="C978" s="47" t="str">
        <f>Matrix!CS11</f>
        <v>NS</v>
      </c>
      <c r="D978" s="48">
        <f>IFERROR(VLOOKUP(B978,'Renewal Rules'!$A:$B,2,FALSE),"")</f>
        <v>36</v>
      </c>
      <c r="E978" s="47" t="str">
        <f t="shared" si="60"/>
        <v/>
      </c>
      <c r="F978" s="48" t="str">
        <f t="shared" ca="1" si="61"/>
        <v/>
      </c>
      <c r="G978" s="46" t="str">
        <f t="shared" ca="1" si="62"/>
        <v>RED</v>
      </c>
      <c r="H978" s="46" t="str">
        <f t="shared" ca="1" si="63"/>
        <v>Not Started</v>
      </c>
      <c r="I978" s="21"/>
    </row>
    <row r="979" spans="1:9" x14ac:dyDescent="0.35">
      <c r="A979" s="46" t="s">
        <v>244</v>
      </c>
      <c r="B979" s="46" t="s">
        <v>197</v>
      </c>
      <c r="C979" s="47" t="str">
        <f>Matrix!CT11</f>
        <v>NS</v>
      </c>
      <c r="D979" s="48">
        <f>IFERROR(VLOOKUP(B979,'Renewal Rules'!$A:$B,2,FALSE),"")</f>
        <v>12</v>
      </c>
      <c r="E979" s="47" t="str">
        <f t="shared" si="60"/>
        <v/>
      </c>
      <c r="F979" s="48" t="str">
        <f t="shared" ca="1" si="61"/>
        <v/>
      </c>
      <c r="G979" s="46" t="str">
        <f t="shared" ca="1" si="62"/>
        <v>RED</v>
      </c>
      <c r="H979" s="46" t="str">
        <f t="shared" ca="1" si="63"/>
        <v>Not Started</v>
      </c>
      <c r="I979" s="21"/>
    </row>
    <row r="980" spans="1:9" x14ac:dyDescent="0.35">
      <c r="A980" s="46" t="s">
        <v>244</v>
      </c>
      <c r="B980" s="46" t="s">
        <v>198</v>
      </c>
      <c r="C980" s="47" t="str">
        <f>Matrix!CU11</f>
        <v>NS</v>
      </c>
      <c r="D980" s="48">
        <f>IFERROR(VLOOKUP(B980,'Renewal Rules'!$A:$B,2,FALSE),"")</f>
        <v>12</v>
      </c>
      <c r="E980" s="47" t="str">
        <f t="shared" si="60"/>
        <v/>
      </c>
      <c r="F980" s="48" t="str">
        <f t="shared" ca="1" si="61"/>
        <v/>
      </c>
      <c r="G980" s="46" t="str">
        <f t="shared" ca="1" si="62"/>
        <v>RED</v>
      </c>
      <c r="H980" s="46" t="str">
        <f t="shared" ca="1" si="63"/>
        <v>Not Started</v>
      </c>
      <c r="I980" s="21"/>
    </row>
    <row r="981" spans="1:9" x14ac:dyDescent="0.35">
      <c r="A981" s="46" t="s">
        <v>244</v>
      </c>
      <c r="B981" s="46" t="s">
        <v>199</v>
      </c>
      <c r="C981" s="47" t="str">
        <f>Matrix!CV11</f>
        <v>NS</v>
      </c>
      <c r="D981" s="48">
        <f>IFERROR(VLOOKUP(B981,'Renewal Rules'!$A:$B,2,FALSE),"")</f>
        <v>12</v>
      </c>
      <c r="E981" s="47" t="str">
        <f t="shared" si="60"/>
        <v/>
      </c>
      <c r="F981" s="48" t="str">
        <f t="shared" ca="1" si="61"/>
        <v/>
      </c>
      <c r="G981" s="46" t="str">
        <f t="shared" ca="1" si="62"/>
        <v>RED</v>
      </c>
      <c r="H981" s="46" t="str">
        <f t="shared" ca="1" si="63"/>
        <v>Not Started</v>
      </c>
      <c r="I981" s="21"/>
    </row>
    <row r="982" spans="1:9" ht="12.9" customHeight="1" x14ac:dyDescent="0.35">
      <c r="A982" s="46" t="s">
        <v>244</v>
      </c>
      <c r="B982" s="46" t="s">
        <v>200</v>
      </c>
      <c r="C982" s="47" t="str">
        <f>Matrix!CW11</f>
        <v>NS</v>
      </c>
      <c r="D982" s="48">
        <f>IFERROR(VLOOKUP(B982,'Renewal Rules'!$A:$B,2,FALSE),"")</f>
        <v>12</v>
      </c>
      <c r="E982" s="47" t="str">
        <f t="shared" si="60"/>
        <v/>
      </c>
      <c r="F982" s="48" t="str">
        <f t="shared" ca="1" si="61"/>
        <v/>
      </c>
      <c r="G982" s="46" t="str">
        <f t="shared" ca="1" si="62"/>
        <v>RED</v>
      </c>
      <c r="H982" s="46" t="str">
        <f t="shared" ca="1" si="63"/>
        <v>Not Started</v>
      </c>
      <c r="I982" s="21"/>
    </row>
    <row r="983" spans="1:9" x14ac:dyDescent="0.35">
      <c r="A983" s="46" t="s">
        <v>244</v>
      </c>
      <c r="B983" s="46" t="s">
        <v>201</v>
      </c>
      <c r="C983" s="47" t="str">
        <f>Matrix!CX11</f>
        <v>NS</v>
      </c>
      <c r="D983" s="48">
        <f>IFERROR(VLOOKUP(B983,'Renewal Rules'!$A:$B,2,FALSE),"")</f>
        <v>12</v>
      </c>
      <c r="E983" s="47" t="str">
        <f t="shared" si="60"/>
        <v/>
      </c>
      <c r="F983" s="48" t="str">
        <f t="shared" ca="1" si="61"/>
        <v/>
      </c>
      <c r="G983" s="46" t="str">
        <f t="shared" ca="1" si="62"/>
        <v>RED</v>
      </c>
      <c r="H983" s="46" t="str">
        <f t="shared" ca="1" si="63"/>
        <v>Not Started</v>
      </c>
      <c r="I983" s="21"/>
    </row>
    <row r="984" spans="1:9" x14ac:dyDescent="0.35">
      <c r="A984" s="46" t="s">
        <v>244</v>
      </c>
      <c r="B984" s="46" t="s">
        <v>202</v>
      </c>
      <c r="C984" s="47">
        <f>Matrix!CY11</f>
        <v>46061</v>
      </c>
      <c r="D984" s="48">
        <f>IFERROR(VLOOKUP(B984,'Renewal Rules'!$A:$B,2,FALSE),"")</f>
        <v>36</v>
      </c>
      <c r="E984" s="47">
        <f t="shared" si="60"/>
        <v>47157</v>
      </c>
      <c r="F984" s="48">
        <f t="shared" ca="1" si="61"/>
        <v>954</v>
      </c>
      <c r="G984" s="46" t="str">
        <f t="shared" ca="1" si="62"/>
        <v>GREEN</v>
      </c>
      <c r="H984" s="46" t="str">
        <f t="shared" ca="1" si="63"/>
        <v>Current</v>
      </c>
      <c r="I984" s="21"/>
    </row>
    <row r="985" spans="1:9" ht="12.9" customHeight="1" x14ac:dyDescent="0.35">
      <c r="A985" s="46" t="s">
        <v>244</v>
      </c>
      <c r="B985" s="46" t="s">
        <v>203</v>
      </c>
      <c r="C985" s="47">
        <f>Matrix!CZ11</f>
        <v>45894</v>
      </c>
      <c r="D985" s="48">
        <f>IFERROR(VLOOKUP(B985,'Renewal Rules'!$A:$B,2,FALSE),"")</f>
        <v>12</v>
      </c>
      <c r="E985" s="47">
        <f t="shared" si="60"/>
        <v>46259</v>
      </c>
      <c r="F985" s="48">
        <f t="shared" ca="1" si="61"/>
        <v>56</v>
      </c>
      <c r="G985" s="46" t="str">
        <f t="shared" ca="1" si="62"/>
        <v>GREEN</v>
      </c>
      <c r="H985" s="46" t="str">
        <f t="shared" ca="1" si="63"/>
        <v>Current</v>
      </c>
      <c r="I985" s="21"/>
    </row>
    <row r="986" spans="1:9" x14ac:dyDescent="0.35">
      <c r="A986" s="46" t="s">
        <v>244</v>
      </c>
      <c r="B986" s="46" t="s">
        <v>204</v>
      </c>
      <c r="C986" s="47" t="str">
        <f>Matrix!DA11</f>
        <v>23/02/2026</v>
      </c>
      <c r="D986" s="48">
        <f>IFERROR(VLOOKUP(B986,'Renewal Rules'!$A:$B,2,FALSE),"")</f>
        <v>12</v>
      </c>
      <c r="E986" s="47">
        <f t="shared" si="60"/>
        <v>46441</v>
      </c>
      <c r="F986" s="48">
        <f t="shared" ca="1" si="61"/>
        <v>238</v>
      </c>
      <c r="G986" s="46" t="str">
        <f t="shared" ca="1" si="62"/>
        <v>GREEN</v>
      </c>
      <c r="H986" s="46" t="str">
        <f t="shared" ca="1" si="63"/>
        <v>Current</v>
      </c>
      <c r="I986" s="21"/>
    </row>
    <row r="987" spans="1:9" x14ac:dyDescent="0.35">
      <c r="A987" s="46" t="s">
        <v>244</v>
      </c>
      <c r="B987" s="46" t="s">
        <v>205</v>
      </c>
      <c r="C987" s="47">
        <f>Matrix!DB11</f>
        <v>45228</v>
      </c>
      <c r="D987" s="48">
        <f>IFERROR(VLOOKUP(B987,'Renewal Rules'!$A:$B,2,FALSE),"")</f>
        <v>36</v>
      </c>
      <c r="E987" s="47">
        <f t="shared" si="60"/>
        <v>46324</v>
      </c>
      <c r="F987" s="48">
        <f t="shared" ca="1" si="61"/>
        <v>121</v>
      </c>
      <c r="G987" s="46" t="str">
        <f t="shared" ca="1" si="62"/>
        <v>GREEN</v>
      </c>
      <c r="H987" s="46" t="str">
        <f t="shared" ca="1" si="63"/>
        <v>Current</v>
      </c>
      <c r="I987" s="21"/>
    </row>
    <row r="988" spans="1:9" x14ac:dyDescent="0.35">
      <c r="A988" s="46" t="s">
        <v>244</v>
      </c>
      <c r="B988" s="46" t="s">
        <v>94</v>
      </c>
      <c r="C988" s="47">
        <f>Matrix!DC11</f>
        <v>46001</v>
      </c>
      <c r="D988" s="48">
        <f>IFERROR(VLOOKUP(B988,'Renewal Rules'!$A:$B,2,FALSE),"")</f>
        <v>12</v>
      </c>
      <c r="E988" s="47">
        <f t="shared" si="60"/>
        <v>46366</v>
      </c>
      <c r="F988" s="48">
        <f t="shared" ca="1" si="61"/>
        <v>163</v>
      </c>
      <c r="G988" s="46" t="str">
        <f t="shared" ca="1" si="62"/>
        <v>GREEN</v>
      </c>
      <c r="H988" s="46" t="str">
        <f t="shared" ca="1" si="63"/>
        <v>Current</v>
      </c>
      <c r="I988" s="21"/>
    </row>
    <row r="989" spans="1:9" x14ac:dyDescent="0.35">
      <c r="A989" s="46" t="s">
        <v>244</v>
      </c>
      <c r="B989" s="46" t="s">
        <v>206</v>
      </c>
      <c r="C989" s="47">
        <f>Matrix!DD11</f>
        <v>45228</v>
      </c>
      <c r="D989" s="48">
        <f>IFERROR(VLOOKUP(B989,'Renewal Rules'!$A:$B,2,FALSE),"")</f>
        <v>36</v>
      </c>
      <c r="E989" s="47">
        <f t="shared" si="60"/>
        <v>46324</v>
      </c>
      <c r="F989" s="48">
        <f t="shared" ca="1" si="61"/>
        <v>121</v>
      </c>
      <c r="G989" s="46" t="str">
        <f t="shared" ca="1" si="62"/>
        <v>GREEN</v>
      </c>
      <c r="H989" s="46" t="str">
        <f t="shared" ca="1" si="63"/>
        <v>Current</v>
      </c>
      <c r="I989" s="21"/>
    </row>
    <row r="990" spans="1:9" x14ac:dyDescent="0.35">
      <c r="A990" s="46" t="s">
        <v>244</v>
      </c>
      <c r="B990" s="46" t="s">
        <v>207</v>
      </c>
      <c r="C990" s="47">
        <f>Matrix!DE11</f>
        <v>46076</v>
      </c>
      <c r="D990" s="48">
        <f>IFERROR(VLOOKUP(B990,'Renewal Rules'!$A:$B,2,FALSE),"")</f>
        <v>36</v>
      </c>
      <c r="E990" s="47">
        <f t="shared" si="60"/>
        <v>47172</v>
      </c>
      <c r="F990" s="48">
        <f t="shared" ca="1" si="61"/>
        <v>969</v>
      </c>
      <c r="G990" s="46" t="str">
        <f t="shared" ca="1" si="62"/>
        <v>GREEN</v>
      </c>
      <c r="H990" s="46" t="str">
        <f t="shared" ca="1" si="63"/>
        <v>Current</v>
      </c>
      <c r="I990" s="21"/>
    </row>
    <row r="991" spans="1:9" x14ac:dyDescent="0.35">
      <c r="A991" s="46" t="s">
        <v>244</v>
      </c>
      <c r="B991" s="46" t="s">
        <v>208</v>
      </c>
      <c r="C991" s="47">
        <f>Matrix!DF11</f>
        <v>45228</v>
      </c>
      <c r="D991" s="48">
        <f>IFERROR(VLOOKUP(B991,'Renewal Rules'!$A:$B,2,FALSE),"")</f>
        <v>36</v>
      </c>
      <c r="E991" s="47">
        <f t="shared" si="60"/>
        <v>46324</v>
      </c>
      <c r="F991" s="48">
        <f t="shared" ca="1" si="61"/>
        <v>121</v>
      </c>
      <c r="G991" s="46" t="str">
        <f t="shared" ca="1" si="62"/>
        <v>GREEN</v>
      </c>
      <c r="H991" s="46" t="str">
        <f t="shared" ca="1" si="63"/>
        <v>Current</v>
      </c>
      <c r="I991" s="21"/>
    </row>
    <row r="992" spans="1:9" x14ac:dyDescent="0.35">
      <c r="A992" s="46" t="s">
        <v>244</v>
      </c>
      <c r="B992" s="46" t="s">
        <v>104</v>
      </c>
      <c r="C992" s="47" t="str">
        <f>Matrix!DG11</f>
        <v>NS</v>
      </c>
      <c r="D992" s="48">
        <f>IFERROR(VLOOKUP(B992,'Renewal Rules'!$A:$B,2,FALSE),"")</f>
        <v>12</v>
      </c>
      <c r="E992" s="47" t="str">
        <f t="shared" si="60"/>
        <v/>
      </c>
      <c r="F992" s="48" t="str">
        <f t="shared" ca="1" si="61"/>
        <v/>
      </c>
      <c r="G992" s="46" t="str">
        <f t="shared" ca="1" si="62"/>
        <v>RED</v>
      </c>
      <c r="H992" s="46" t="str">
        <f t="shared" ca="1" si="63"/>
        <v>Not Started</v>
      </c>
      <c r="I992" s="21"/>
    </row>
    <row r="993" spans="1:9" x14ac:dyDescent="0.35">
      <c r="A993" s="46" t="s">
        <v>250</v>
      </c>
      <c r="B993" s="46" t="s">
        <v>111</v>
      </c>
      <c r="C993" s="47" t="str">
        <f>Matrix!B12</f>
        <v>NS</v>
      </c>
      <c r="D993" s="48">
        <f>IFERROR(VLOOKUP(B993,'Renewal Rules'!$A:$B,2,FALSE),"")</f>
        <v>36</v>
      </c>
      <c r="E993" s="47" t="str">
        <f t="shared" si="60"/>
        <v/>
      </c>
      <c r="F993" s="48" t="str">
        <f t="shared" ca="1" si="61"/>
        <v/>
      </c>
      <c r="G993" s="46" t="str">
        <f t="shared" ca="1" si="62"/>
        <v>RED</v>
      </c>
      <c r="H993" s="46" t="str">
        <f t="shared" ca="1" si="63"/>
        <v>Not Started</v>
      </c>
      <c r="I993" s="21"/>
    </row>
    <row r="994" spans="1:9" x14ac:dyDescent="0.35">
      <c r="A994" s="46" t="s">
        <v>250</v>
      </c>
      <c r="B994" s="46" t="s">
        <v>100</v>
      </c>
      <c r="C994" s="47" t="str">
        <f>Matrix!C12</f>
        <v>29/09/2025</v>
      </c>
      <c r="D994" s="48">
        <f>IFERROR(VLOOKUP(B994,'Renewal Rules'!$A:$B,2,FALSE),"")</f>
        <v>36</v>
      </c>
      <c r="E994" s="47">
        <f t="shared" si="60"/>
        <v>47025</v>
      </c>
      <c r="F994" s="48">
        <f t="shared" ca="1" si="61"/>
        <v>822</v>
      </c>
      <c r="G994" s="46" t="str">
        <f t="shared" ca="1" si="62"/>
        <v>GREEN</v>
      </c>
      <c r="H994" s="46" t="str">
        <f t="shared" ca="1" si="63"/>
        <v>Current</v>
      </c>
      <c r="I994" s="21"/>
    </row>
    <row r="995" spans="1:9" x14ac:dyDescent="0.35">
      <c r="A995" s="46" t="s">
        <v>250</v>
      </c>
      <c r="B995" s="46" t="s">
        <v>112</v>
      </c>
      <c r="C995" s="47" t="str">
        <f>Matrix!D12</f>
        <v>NS</v>
      </c>
      <c r="D995" s="48">
        <f>IFERROR(VLOOKUP(B995,'Renewal Rules'!$A:$B,2,FALSE),"")</f>
        <v>12</v>
      </c>
      <c r="E995" s="47" t="str">
        <f t="shared" si="60"/>
        <v/>
      </c>
      <c r="F995" s="48" t="str">
        <f t="shared" ca="1" si="61"/>
        <v/>
      </c>
      <c r="G995" s="46" t="str">
        <f t="shared" ca="1" si="62"/>
        <v>RED</v>
      </c>
      <c r="H995" s="46" t="str">
        <f t="shared" ca="1" si="63"/>
        <v>Not Started</v>
      </c>
      <c r="I995" s="21"/>
    </row>
    <row r="996" spans="1:9" x14ac:dyDescent="0.35">
      <c r="A996" s="46" t="s">
        <v>250</v>
      </c>
      <c r="B996" s="46" t="s">
        <v>96</v>
      </c>
      <c r="C996" s="47" t="str">
        <f>Matrix!E12</f>
        <v>29/09/2025</v>
      </c>
      <c r="D996" s="48">
        <f>IFERROR(VLOOKUP(B996,'Renewal Rules'!$A:$B,2,FALSE),"")</f>
        <v>36</v>
      </c>
      <c r="E996" s="47">
        <f t="shared" si="60"/>
        <v>47025</v>
      </c>
      <c r="F996" s="48">
        <f t="shared" ca="1" si="61"/>
        <v>822</v>
      </c>
      <c r="G996" s="46" t="str">
        <f t="shared" ca="1" si="62"/>
        <v>GREEN</v>
      </c>
      <c r="H996" s="46" t="str">
        <f t="shared" ca="1" si="63"/>
        <v>Current</v>
      </c>
      <c r="I996" s="21"/>
    </row>
    <row r="997" spans="1:9" x14ac:dyDescent="0.35">
      <c r="A997" s="46" t="s">
        <v>250</v>
      </c>
      <c r="B997" s="46" t="s">
        <v>113</v>
      </c>
      <c r="C997" s="47" t="str">
        <f>Matrix!F12</f>
        <v>NS</v>
      </c>
      <c r="D997" s="48">
        <f>IFERROR(VLOOKUP(B997,'Renewal Rules'!$A:$B,2,FALSE),"")</f>
        <v>36</v>
      </c>
      <c r="E997" s="47" t="str">
        <f t="shared" si="60"/>
        <v/>
      </c>
      <c r="F997" s="48" t="str">
        <f t="shared" ca="1" si="61"/>
        <v/>
      </c>
      <c r="G997" s="46" t="str">
        <f t="shared" ca="1" si="62"/>
        <v>RED</v>
      </c>
      <c r="H997" s="46" t="str">
        <f t="shared" ca="1" si="63"/>
        <v>Not Started</v>
      </c>
      <c r="I997" s="21"/>
    </row>
    <row r="998" spans="1:9" x14ac:dyDescent="0.35">
      <c r="A998" s="46" t="s">
        <v>250</v>
      </c>
      <c r="B998" s="46" t="s">
        <v>114</v>
      </c>
      <c r="C998" s="47" t="str">
        <f>Matrix!G12</f>
        <v>NS</v>
      </c>
      <c r="D998" s="48">
        <f>IFERROR(VLOOKUP(B998,'Renewal Rules'!$A:$B,2,FALSE),"")</f>
        <v>12</v>
      </c>
      <c r="E998" s="47" t="str">
        <f t="shared" si="60"/>
        <v/>
      </c>
      <c r="F998" s="48" t="str">
        <f t="shared" ca="1" si="61"/>
        <v/>
      </c>
      <c r="G998" s="46" t="str">
        <f t="shared" ca="1" si="62"/>
        <v>RED</v>
      </c>
      <c r="H998" s="46" t="str">
        <f t="shared" ca="1" si="63"/>
        <v>Not Started</v>
      </c>
      <c r="I998" s="21"/>
    </row>
    <row r="999" spans="1:9" x14ac:dyDescent="0.35">
      <c r="A999" s="46" t="s">
        <v>250</v>
      </c>
      <c r="B999" s="46" t="s">
        <v>115</v>
      </c>
      <c r="C999" s="47" t="str">
        <f>Matrix!H12</f>
        <v>NS</v>
      </c>
      <c r="D999" s="48">
        <f>IFERROR(VLOOKUP(B999,'Renewal Rules'!$A:$B,2,FALSE),"")</f>
        <v>36</v>
      </c>
      <c r="E999" s="47" t="str">
        <f t="shared" si="60"/>
        <v/>
      </c>
      <c r="F999" s="48" t="str">
        <f t="shared" ca="1" si="61"/>
        <v/>
      </c>
      <c r="G999" s="46" t="str">
        <f t="shared" ca="1" si="62"/>
        <v>RED</v>
      </c>
      <c r="H999" s="46" t="str">
        <f t="shared" ca="1" si="63"/>
        <v>Not Started</v>
      </c>
      <c r="I999" s="21"/>
    </row>
    <row r="1000" spans="1:9" x14ac:dyDescent="0.35">
      <c r="A1000" s="46" t="s">
        <v>250</v>
      </c>
      <c r="B1000" s="46" t="s">
        <v>116</v>
      </c>
      <c r="C1000" s="47" t="str">
        <f>Matrix!I12</f>
        <v>NS</v>
      </c>
      <c r="D1000" s="48">
        <f>IFERROR(VLOOKUP(B1000,'Renewal Rules'!$A:$B,2,FALSE),"")</f>
        <v>36</v>
      </c>
      <c r="E1000" s="47" t="str">
        <f t="shared" si="60"/>
        <v/>
      </c>
      <c r="F1000" s="48" t="str">
        <f t="shared" ca="1" si="61"/>
        <v/>
      </c>
      <c r="G1000" s="46" t="str">
        <f t="shared" ca="1" si="62"/>
        <v>RED</v>
      </c>
      <c r="H1000" s="46" t="str">
        <f t="shared" ca="1" si="63"/>
        <v>Not Started</v>
      </c>
      <c r="I1000" s="21"/>
    </row>
    <row r="1001" spans="1:9" x14ac:dyDescent="0.35">
      <c r="A1001" s="46" t="s">
        <v>250</v>
      </c>
      <c r="B1001" s="46" t="s">
        <v>117</v>
      </c>
      <c r="C1001" s="47" t="str">
        <f>Matrix!J12</f>
        <v>20/01/2026</v>
      </c>
      <c r="D1001" s="48">
        <f>IFERROR(VLOOKUP(B1001,'Renewal Rules'!$A:$B,2,FALSE),"")</f>
        <v>12</v>
      </c>
      <c r="E1001" s="47">
        <f t="shared" si="60"/>
        <v>46407</v>
      </c>
      <c r="F1001" s="48">
        <f t="shared" ca="1" si="61"/>
        <v>204</v>
      </c>
      <c r="G1001" s="46" t="str">
        <f t="shared" ca="1" si="62"/>
        <v>GREEN</v>
      </c>
      <c r="H1001" s="46" t="str">
        <f t="shared" ca="1" si="63"/>
        <v>Current</v>
      </c>
      <c r="I1001" s="21"/>
    </row>
    <row r="1002" spans="1:9" x14ac:dyDescent="0.35">
      <c r="A1002" s="46" t="s">
        <v>250</v>
      </c>
      <c r="B1002" s="46" t="s">
        <v>118</v>
      </c>
      <c r="C1002" s="47" t="str">
        <f>Matrix!K12</f>
        <v>NS</v>
      </c>
      <c r="D1002" s="48">
        <f>IFERROR(VLOOKUP(B1002,'Renewal Rules'!$A:$B,2,FALSE),"")</f>
        <v>36</v>
      </c>
      <c r="E1002" s="47" t="str">
        <f t="shared" si="60"/>
        <v/>
      </c>
      <c r="F1002" s="48" t="str">
        <f t="shared" ca="1" si="61"/>
        <v/>
      </c>
      <c r="G1002" s="46" t="str">
        <f t="shared" ca="1" si="62"/>
        <v>RED</v>
      </c>
      <c r="H1002" s="46" t="str">
        <f t="shared" ca="1" si="63"/>
        <v>Not Started</v>
      </c>
      <c r="I1002" s="21"/>
    </row>
    <row r="1003" spans="1:9" x14ac:dyDescent="0.35">
      <c r="A1003" s="46" t="s">
        <v>250</v>
      </c>
      <c r="B1003" s="46" t="s">
        <v>119</v>
      </c>
      <c r="C1003" s="47" t="str">
        <f>Matrix!L12</f>
        <v>NS</v>
      </c>
      <c r="D1003" s="48">
        <f>IFERROR(VLOOKUP(B1003,'Renewal Rules'!$A:$B,2,FALSE),"")</f>
        <v>12</v>
      </c>
      <c r="E1003" s="47" t="str">
        <f t="shared" si="60"/>
        <v/>
      </c>
      <c r="F1003" s="48" t="str">
        <f t="shared" ca="1" si="61"/>
        <v/>
      </c>
      <c r="G1003" s="46" t="str">
        <f t="shared" ca="1" si="62"/>
        <v>RED</v>
      </c>
      <c r="H1003" s="46" t="str">
        <f t="shared" ca="1" si="63"/>
        <v>Not Started</v>
      </c>
      <c r="I1003" s="21"/>
    </row>
    <row r="1004" spans="1:9" x14ac:dyDescent="0.35">
      <c r="A1004" s="46" t="s">
        <v>250</v>
      </c>
      <c r="B1004" s="46" t="s">
        <v>120</v>
      </c>
      <c r="C1004" s="47" t="str">
        <f>Matrix!M12</f>
        <v>NS</v>
      </c>
      <c r="D1004" s="48">
        <f>IFERROR(VLOOKUP(B1004,'Renewal Rules'!$A:$B,2,FALSE),"")</f>
        <v>12</v>
      </c>
      <c r="E1004" s="47" t="str">
        <f t="shared" si="60"/>
        <v/>
      </c>
      <c r="F1004" s="48" t="str">
        <f t="shared" ca="1" si="61"/>
        <v/>
      </c>
      <c r="G1004" s="46" t="str">
        <f t="shared" ca="1" si="62"/>
        <v>RED</v>
      </c>
      <c r="H1004" s="46" t="str">
        <f t="shared" ca="1" si="63"/>
        <v>Not Started</v>
      </c>
      <c r="I1004" s="21"/>
    </row>
    <row r="1005" spans="1:9" x14ac:dyDescent="0.35">
      <c r="A1005" s="46" t="s">
        <v>250</v>
      </c>
      <c r="B1005" s="46" t="s">
        <v>121</v>
      </c>
      <c r="C1005" s="47" t="str">
        <f>Matrix!N12</f>
        <v>NS</v>
      </c>
      <c r="D1005" s="48">
        <f>IFERROR(VLOOKUP(B1005,'Renewal Rules'!$A:$B,2,FALSE),"")</f>
        <v>12</v>
      </c>
      <c r="E1005" s="47" t="str">
        <f t="shared" si="60"/>
        <v/>
      </c>
      <c r="F1005" s="48" t="str">
        <f t="shared" ca="1" si="61"/>
        <v/>
      </c>
      <c r="G1005" s="46" t="str">
        <f t="shared" ca="1" si="62"/>
        <v>RED</v>
      </c>
      <c r="H1005" s="46" t="str">
        <f t="shared" ca="1" si="63"/>
        <v>Not Started</v>
      </c>
      <c r="I1005" s="21"/>
    </row>
    <row r="1006" spans="1:9" ht="12.9" customHeight="1" x14ac:dyDescent="0.35">
      <c r="A1006" s="46" t="s">
        <v>250</v>
      </c>
      <c r="B1006" s="46" t="s">
        <v>103</v>
      </c>
      <c r="C1006" s="47" t="str">
        <f>Matrix!O12</f>
        <v>18/02/2026</v>
      </c>
      <c r="D1006" s="48">
        <f>IFERROR(VLOOKUP(B1006,'Renewal Rules'!$A:$B,2,FALSE),"")</f>
        <v>36</v>
      </c>
      <c r="E1006" s="47">
        <f t="shared" si="60"/>
        <v>47167</v>
      </c>
      <c r="F1006" s="48">
        <f t="shared" ca="1" si="61"/>
        <v>964</v>
      </c>
      <c r="G1006" s="46" t="str">
        <f t="shared" ca="1" si="62"/>
        <v>GREEN</v>
      </c>
      <c r="H1006" s="46" t="str">
        <f t="shared" ca="1" si="63"/>
        <v>Current</v>
      </c>
      <c r="I1006" s="21"/>
    </row>
    <row r="1007" spans="1:9" x14ac:dyDescent="0.35">
      <c r="A1007" s="46" t="s">
        <v>250</v>
      </c>
      <c r="B1007" s="46" t="s">
        <v>122</v>
      </c>
      <c r="C1007" s="47" t="str">
        <f>Matrix!P12</f>
        <v>NS</v>
      </c>
      <c r="D1007" s="48">
        <f>IFERROR(VLOOKUP(B1007,'Renewal Rules'!$A:$B,2,FALSE),"")</f>
        <v>36</v>
      </c>
      <c r="E1007" s="47" t="str">
        <f t="shared" si="60"/>
        <v/>
      </c>
      <c r="F1007" s="48" t="str">
        <f t="shared" ca="1" si="61"/>
        <v/>
      </c>
      <c r="G1007" s="46" t="str">
        <f t="shared" ca="1" si="62"/>
        <v>RED</v>
      </c>
      <c r="H1007" s="46" t="str">
        <f t="shared" ca="1" si="63"/>
        <v>Not Started</v>
      </c>
      <c r="I1007" s="21"/>
    </row>
    <row r="1008" spans="1:9" x14ac:dyDescent="0.35">
      <c r="A1008" s="46" t="s">
        <v>250</v>
      </c>
      <c r="B1008" s="46" t="s">
        <v>101</v>
      </c>
      <c r="C1008" s="47" t="str">
        <f>Matrix!Q12</f>
        <v>07/02/2026</v>
      </c>
      <c r="D1008" s="48">
        <f>IFERROR(VLOOKUP(B1008,'Renewal Rules'!$A:$B,2,FALSE),"")</f>
        <v>36</v>
      </c>
      <c r="E1008" s="47">
        <f t="shared" si="60"/>
        <v>47156</v>
      </c>
      <c r="F1008" s="48">
        <f t="shared" ca="1" si="61"/>
        <v>953</v>
      </c>
      <c r="G1008" s="46" t="str">
        <f t="shared" ca="1" si="62"/>
        <v>GREEN</v>
      </c>
      <c r="H1008" s="46" t="str">
        <f t="shared" ca="1" si="63"/>
        <v>Current</v>
      </c>
      <c r="I1008" s="21"/>
    </row>
    <row r="1009" spans="1:9" x14ac:dyDescent="0.35">
      <c r="A1009" s="46" t="s">
        <v>250</v>
      </c>
      <c r="B1009" s="46" t="s">
        <v>123</v>
      </c>
      <c r="C1009" s="47" t="str">
        <f>Matrix!R12</f>
        <v>20/01/2026</v>
      </c>
      <c r="D1009" s="48">
        <f>IFERROR(VLOOKUP(B1009,'Renewal Rules'!$A:$B,2,FALSE),"")</f>
        <v>12</v>
      </c>
      <c r="E1009" s="47">
        <f t="shared" si="60"/>
        <v>46407</v>
      </c>
      <c r="F1009" s="48">
        <f t="shared" ca="1" si="61"/>
        <v>204</v>
      </c>
      <c r="G1009" s="46" t="str">
        <f t="shared" ca="1" si="62"/>
        <v>GREEN</v>
      </c>
      <c r="H1009" s="46" t="str">
        <f t="shared" ca="1" si="63"/>
        <v>Current</v>
      </c>
      <c r="I1009" s="21"/>
    </row>
    <row r="1010" spans="1:9" x14ac:dyDescent="0.35">
      <c r="A1010" s="46" t="s">
        <v>250</v>
      </c>
      <c r="B1010" s="46" t="s">
        <v>124</v>
      </c>
      <c r="C1010" s="47" t="str">
        <f>Matrix!S12</f>
        <v>NS</v>
      </c>
      <c r="D1010" s="48">
        <f>IFERROR(VLOOKUP(B1010,'Renewal Rules'!$A:$B,2,FALSE),"")</f>
        <v>12</v>
      </c>
      <c r="E1010" s="47" t="str">
        <f t="shared" si="60"/>
        <v/>
      </c>
      <c r="F1010" s="48" t="str">
        <f t="shared" ca="1" si="61"/>
        <v/>
      </c>
      <c r="G1010" s="46" t="str">
        <f t="shared" ca="1" si="62"/>
        <v>RED</v>
      </c>
      <c r="H1010" s="46" t="str">
        <f t="shared" ca="1" si="63"/>
        <v>Not Started</v>
      </c>
      <c r="I1010" s="21"/>
    </row>
    <row r="1011" spans="1:9" x14ac:dyDescent="0.35">
      <c r="A1011" s="46" t="s">
        <v>250</v>
      </c>
      <c r="B1011" s="46" t="s">
        <v>125</v>
      </c>
      <c r="C1011" s="47" t="str">
        <f>Matrix!T12</f>
        <v>07/02/2026</v>
      </c>
      <c r="D1011" s="48">
        <f>IFERROR(VLOOKUP(B1011,'Renewal Rules'!$A:$B,2,FALSE),"")</f>
        <v>12</v>
      </c>
      <c r="E1011" s="47">
        <f t="shared" si="60"/>
        <v>46425</v>
      </c>
      <c r="F1011" s="48">
        <f t="shared" ca="1" si="61"/>
        <v>222</v>
      </c>
      <c r="G1011" s="46" t="str">
        <f t="shared" ca="1" si="62"/>
        <v>GREEN</v>
      </c>
      <c r="H1011" s="46" t="str">
        <f t="shared" ca="1" si="63"/>
        <v>Current</v>
      </c>
      <c r="I1011" s="21"/>
    </row>
    <row r="1012" spans="1:9" x14ac:dyDescent="0.35">
      <c r="A1012" s="46" t="s">
        <v>250</v>
      </c>
      <c r="B1012" s="46" t="s">
        <v>126</v>
      </c>
      <c r="C1012" s="47" t="str">
        <f>Matrix!U12</f>
        <v>NS</v>
      </c>
      <c r="D1012" s="48">
        <f>IFERROR(VLOOKUP(B1012,'Renewal Rules'!$A:$B,2,FALSE),"")</f>
        <v>36</v>
      </c>
      <c r="E1012" s="47" t="str">
        <f t="shared" si="60"/>
        <v/>
      </c>
      <c r="F1012" s="48" t="str">
        <f t="shared" ca="1" si="61"/>
        <v/>
      </c>
      <c r="G1012" s="46" t="str">
        <f t="shared" ca="1" si="62"/>
        <v>RED</v>
      </c>
      <c r="H1012" s="46" t="str">
        <f t="shared" ca="1" si="63"/>
        <v>Not Started</v>
      </c>
      <c r="I1012" s="21"/>
    </row>
    <row r="1013" spans="1:9" x14ac:dyDescent="0.35">
      <c r="A1013" s="46" t="s">
        <v>250</v>
      </c>
      <c r="B1013" s="46" t="s">
        <v>127</v>
      </c>
      <c r="C1013" s="47" t="str">
        <f>Matrix!V12</f>
        <v>NS</v>
      </c>
      <c r="D1013" s="48">
        <f>IFERROR(VLOOKUP(B1013,'Renewal Rules'!$A:$B,2,FALSE),"")</f>
        <v>12</v>
      </c>
      <c r="E1013" s="47" t="str">
        <f t="shared" si="60"/>
        <v/>
      </c>
      <c r="F1013" s="48" t="str">
        <f t="shared" ca="1" si="61"/>
        <v/>
      </c>
      <c r="G1013" s="46" t="str">
        <f t="shared" ca="1" si="62"/>
        <v>RED</v>
      </c>
      <c r="H1013" s="46" t="str">
        <f t="shared" ca="1" si="63"/>
        <v>Not Started</v>
      </c>
      <c r="I1013" s="21"/>
    </row>
    <row r="1014" spans="1:9" x14ac:dyDescent="0.35">
      <c r="A1014" s="46" t="s">
        <v>250</v>
      </c>
      <c r="B1014" s="46" t="s">
        <v>128</v>
      </c>
      <c r="C1014" s="47" t="str">
        <f>Matrix!W12</f>
        <v>17/02/2026</v>
      </c>
      <c r="D1014" s="48">
        <f>IFERROR(VLOOKUP(B1014,'Renewal Rules'!$A:$B,2,FALSE),"")</f>
        <v>12</v>
      </c>
      <c r="E1014" s="47">
        <f t="shared" si="60"/>
        <v>46435</v>
      </c>
      <c r="F1014" s="48">
        <f t="shared" ca="1" si="61"/>
        <v>232</v>
      </c>
      <c r="G1014" s="46" t="str">
        <f t="shared" ca="1" si="62"/>
        <v>GREEN</v>
      </c>
      <c r="H1014" s="46" t="str">
        <f t="shared" ca="1" si="63"/>
        <v>Current</v>
      </c>
      <c r="I1014" s="21"/>
    </row>
    <row r="1015" spans="1:9" x14ac:dyDescent="0.35">
      <c r="A1015" s="46" t="s">
        <v>250</v>
      </c>
      <c r="B1015" s="46" t="s">
        <v>129</v>
      </c>
      <c r="C1015" s="47" t="str">
        <f>Matrix!X12</f>
        <v>NS</v>
      </c>
      <c r="D1015" s="48">
        <f>IFERROR(VLOOKUP(B1015,'Renewal Rules'!$A:$B,2,FALSE),"")</f>
        <v>36</v>
      </c>
      <c r="E1015" s="47" t="str">
        <f t="shared" si="60"/>
        <v/>
      </c>
      <c r="F1015" s="48" t="str">
        <f t="shared" ca="1" si="61"/>
        <v/>
      </c>
      <c r="G1015" s="46" t="str">
        <f t="shared" ca="1" si="62"/>
        <v>RED</v>
      </c>
      <c r="H1015" s="46" t="str">
        <f t="shared" ca="1" si="63"/>
        <v>Not Started</v>
      </c>
      <c r="I1015" s="21"/>
    </row>
    <row r="1016" spans="1:9" x14ac:dyDescent="0.35">
      <c r="A1016" s="46" t="s">
        <v>250</v>
      </c>
      <c r="B1016" s="46" t="s">
        <v>130</v>
      </c>
      <c r="C1016" s="47" t="str">
        <f>Matrix!Y12</f>
        <v>NS</v>
      </c>
      <c r="D1016" s="48">
        <f>IFERROR(VLOOKUP(B1016,'Renewal Rules'!$A:$B,2,FALSE),"")</f>
        <v>36</v>
      </c>
      <c r="E1016" s="47" t="str">
        <f t="shared" si="60"/>
        <v/>
      </c>
      <c r="F1016" s="48" t="str">
        <f t="shared" ca="1" si="61"/>
        <v/>
      </c>
      <c r="G1016" s="46" t="str">
        <f t="shared" ca="1" si="62"/>
        <v>RED</v>
      </c>
      <c r="H1016" s="46" t="str">
        <f t="shared" ca="1" si="63"/>
        <v>Not Started</v>
      </c>
      <c r="I1016" s="21"/>
    </row>
    <row r="1017" spans="1:9" x14ac:dyDescent="0.35">
      <c r="A1017" s="46" t="s">
        <v>250</v>
      </c>
      <c r="B1017" s="46" t="s">
        <v>131</v>
      </c>
      <c r="C1017" s="47" t="str">
        <f>Matrix!Z12</f>
        <v>NS</v>
      </c>
      <c r="D1017" s="48">
        <f>IFERROR(VLOOKUP(B1017,'Renewal Rules'!$A:$B,2,FALSE),"")</f>
        <v>12</v>
      </c>
      <c r="E1017" s="47" t="str">
        <f t="shared" si="60"/>
        <v/>
      </c>
      <c r="F1017" s="48" t="str">
        <f t="shared" ca="1" si="61"/>
        <v/>
      </c>
      <c r="G1017" s="46" t="str">
        <f t="shared" ca="1" si="62"/>
        <v>RED</v>
      </c>
      <c r="H1017" s="46" t="str">
        <f t="shared" ca="1" si="63"/>
        <v>Not Started</v>
      </c>
      <c r="I1017" s="21"/>
    </row>
    <row r="1018" spans="1:9" x14ac:dyDescent="0.35">
      <c r="A1018" s="46" t="s">
        <v>250</v>
      </c>
      <c r="B1018" s="46" t="s">
        <v>132</v>
      </c>
      <c r="C1018" s="47" t="str">
        <f>Matrix!AA12</f>
        <v>NS</v>
      </c>
      <c r="D1018" s="48">
        <f>IFERROR(VLOOKUP(B1018,'Renewal Rules'!$A:$B,2,FALSE),"")</f>
        <v>12</v>
      </c>
      <c r="E1018" s="47" t="str">
        <f t="shared" si="60"/>
        <v/>
      </c>
      <c r="F1018" s="48" t="str">
        <f t="shared" ca="1" si="61"/>
        <v/>
      </c>
      <c r="G1018" s="46" t="str">
        <f t="shared" ca="1" si="62"/>
        <v>RED</v>
      </c>
      <c r="H1018" s="46" t="str">
        <f t="shared" ca="1" si="63"/>
        <v>Not Started</v>
      </c>
      <c r="I1018" s="21"/>
    </row>
    <row r="1019" spans="1:9" x14ac:dyDescent="0.35">
      <c r="A1019" s="46" t="s">
        <v>250</v>
      </c>
      <c r="B1019" s="46" t="s">
        <v>92</v>
      </c>
      <c r="C1019" s="47">
        <f>Matrix!AB12</f>
        <v>45985</v>
      </c>
      <c r="D1019" s="48">
        <f>IFERROR(VLOOKUP(B1019,'Renewal Rules'!$A:$B,2,FALSE),"")</f>
        <v>12</v>
      </c>
      <c r="E1019" s="47">
        <f t="shared" si="60"/>
        <v>46350</v>
      </c>
      <c r="F1019" s="48">
        <f t="shared" ca="1" si="61"/>
        <v>147</v>
      </c>
      <c r="G1019" s="46" t="str">
        <f t="shared" ca="1" si="62"/>
        <v>GREEN</v>
      </c>
      <c r="H1019" s="46" t="str">
        <f t="shared" ca="1" si="63"/>
        <v>Current</v>
      </c>
      <c r="I1019" s="21"/>
    </row>
    <row r="1020" spans="1:9" x14ac:dyDescent="0.35">
      <c r="A1020" s="46" t="s">
        <v>250</v>
      </c>
      <c r="B1020" s="46" t="s">
        <v>133</v>
      </c>
      <c r="C1020" s="47" t="str">
        <f>Matrix!AC12</f>
        <v>NS</v>
      </c>
      <c r="D1020" s="48">
        <f>IFERROR(VLOOKUP(B1020,'Renewal Rules'!$A:$B,2,FALSE),"")</f>
        <v>36</v>
      </c>
      <c r="E1020" s="47" t="str">
        <f t="shared" si="60"/>
        <v/>
      </c>
      <c r="F1020" s="48" t="str">
        <f t="shared" ca="1" si="61"/>
        <v/>
      </c>
      <c r="G1020" s="46" t="str">
        <f t="shared" ca="1" si="62"/>
        <v>RED</v>
      </c>
      <c r="H1020" s="46" t="str">
        <f t="shared" ca="1" si="63"/>
        <v>Not Started</v>
      </c>
      <c r="I1020" s="21"/>
    </row>
    <row r="1021" spans="1:9" x14ac:dyDescent="0.35">
      <c r="A1021" s="46" t="s">
        <v>250</v>
      </c>
      <c r="B1021" s="46" t="s">
        <v>134</v>
      </c>
      <c r="C1021" s="47" t="str">
        <f>Matrix!AD12</f>
        <v>NS</v>
      </c>
      <c r="D1021" s="48">
        <f>IFERROR(VLOOKUP(B1021,'Renewal Rules'!$A:$B,2,FALSE),"")</f>
        <v>36</v>
      </c>
      <c r="E1021" s="47" t="str">
        <f t="shared" si="60"/>
        <v/>
      </c>
      <c r="F1021" s="48" t="str">
        <f t="shared" ca="1" si="61"/>
        <v/>
      </c>
      <c r="G1021" s="46" t="str">
        <f t="shared" ca="1" si="62"/>
        <v>RED</v>
      </c>
      <c r="H1021" s="46" t="str">
        <f t="shared" ca="1" si="63"/>
        <v>Not Started</v>
      </c>
      <c r="I1021" s="21"/>
    </row>
    <row r="1022" spans="1:9" x14ac:dyDescent="0.35">
      <c r="A1022" s="46" t="s">
        <v>250</v>
      </c>
      <c r="B1022" s="46" t="s">
        <v>98</v>
      </c>
      <c r="C1022" s="47" t="str">
        <f>Matrix!AE12</f>
        <v>20/01/2026</v>
      </c>
      <c r="D1022" s="48">
        <f>IFERROR(VLOOKUP(B1022,'Renewal Rules'!$A:$B,2,FALSE),"")</f>
        <v>36</v>
      </c>
      <c r="E1022" s="47">
        <f t="shared" si="60"/>
        <v>47138</v>
      </c>
      <c r="F1022" s="48">
        <f t="shared" ca="1" si="61"/>
        <v>935</v>
      </c>
      <c r="G1022" s="46" t="str">
        <f t="shared" ca="1" si="62"/>
        <v>GREEN</v>
      </c>
      <c r="H1022" s="46" t="str">
        <f t="shared" ca="1" si="63"/>
        <v>Current</v>
      </c>
      <c r="I1022" s="21"/>
    </row>
    <row r="1023" spans="1:9" x14ac:dyDescent="0.35">
      <c r="A1023" s="46" t="s">
        <v>250</v>
      </c>
      <c r="B1023" s="46" t="s">
        <v>135</v>
      </c>
      <c r="C1023" s="47" t="str">
        <f>Matrix!AF12</f>
        <v>NS</v>
      </c>
      <c r="D1023" s="48">
        <f>IFERROR(VLOOKUP(B1023,'Renewal Rules'!$A:$B,2,FALSE),"")</f>
        <v>36</v>
      </c>
      <c r="E1023" s="47" t="str">
        <f t="shared" si="60"/>
        <v/>
      </c>
      <c r="F1023" s="48" t="str">
        <f t="shared" ca="1" si="61"/>
        <v/>
      </c>
      <c r="G1023" s="46" t="str">
        <f t="shared" ca="1" si="62"/>
        <v>RED</v>
      </c>
      <c r="H1023" s="46" t="str">
        <f t="shared" ca="1" si="63"/>
        <v>Not Started</v>
      </c>
      <c r="I1023" s="21"/>
    </row>
    <row r="1024" spans="1:9" x14ac:dyDescent="0.35">
      <c r="A1024" s="46" t="s">
        <v>250</v>
      </c>
      <c r="B1024" s="46" t="s">
        <v>136</v>
      </c>
      <c r="C1024" s="47" t="str">
        <f>Matrix!AG12</f>
        <v>NS</v>
      </c>
      <c r="D1024" s="48">
        <f>IFERROR(VLOOKUP(B1024,'Renewal Rules'!$A:$B,2,FALSE),"")</f>
        <v>12</v>
      </c>
      <c r="E1024" s="47" t="str">
        <f t="shared" si="60"/>
        <v/>
      </c>
      <c r="F1024" s="48" t="str">
        <f t="shared" ca="1" si="61"/>
        <v/>
      </c>
      <c r="G1024" s="46" t="str">
        <f t="shared" ca="1" si="62"/>
        <v>RED</v>
      </c>
      <c r="H1024" s="46" t="str">
        <f t="shared" ca="1" si="63"/>
        <v>Not Started</v>
      </c>
      <c r="I1024" s="21"/>
    </row>
    <row r="1025" spans="1:9" x14ac:dyDescent="0.35">
      <c r="A1025" s="46" t="s">
        <v>250</v>
      </c>
      <c r="B1025" s="46" t="s">
        <v>137</v>
      </c>
      <c r="C1025" s="47" t="str">
        <f>Matrix!AH12</f>
        <v>NS</v>
      </c>
      <c r="D1025" s="48">
        <f>IFERROR(VLOOKUP(B1025,'Renewal Rules'!$A:$B,2,FALSE),"")</f>
        <v>36</v>
      </c>
      <c r="E1025" s="47" t="str">
        <f t="shared" si="60"/>
        <v/>
      </c>
      <c r="F1025" s="48" t="str">
        <f t="shared" ca="1" si="61"/>
        <v/>
      </c>
      <c r="G1025" s="46" t="str">
        <f t="shared" ca="1" si="62"/>
        <v>RED</v>
      </c>
      <c r="H1025" s="46" t="str">
        <f t="shared" ca="1" si="63"/>
        <v>Not Started</v>
      </c>
      <c r="I1025" s="21"/>
    </row>
    <row r="1026" spans="1:9" ht="12.9" customHeight="1" x14ac:dyDescent="0.35">
      <c r="A1026" s="46" t="s">
        <v>250</v>
      </c>
      <c r="B1026" s="46" t="s">
        <v>138</v>
      </c>
      <c r="C1026" s="47" t="str">
        <f>Matrix!AI12</f>
        <v>NS</v>
      </c>
      <c r="D1026" s="48">
        <f>IFERROR(VLOOKUP(B1026,'Renewal Rules'!$A:$B,2,FALSE),"")</f>
        <v>12</v>
      </c>
      <c r="E1026" s="47" t="str">
        <f t="shared" si="60"/>
        <v/>
      </c>
      <c r="F1026" s="48" t="str">
        <f t="shared" ca="1" si="61"/>
        <v/>
      </c>
      <c r="G1026" s="46" t="str">
        <f t="shared" ca="1" si="62"/>
        <v>RED</v>
      </c>
      <c r="H1026" s="46" t="str">
        <f t="shared" ca="1" si="63"/>
        <v>Not Started</v>
      </c>
      <c r="I1026" s="21"/>
    </row>
    <row r="1027" spans="1:9" x14ac:dyDescent="0.35">
      <c r="A1027" s="46" t="s">
        <v>250</v>
      </c>
      <c r="B1027" s="46" t="s">
        <v>139</v>
      </c>
      <c r="C1027" s="47" t="str">
        <f>Matrix!AJ12</f>
        <v>NS</v>
      </c>
      <c r="D1027" s="48">
        <f>IFERROR(VLOOKUP(B1027,'Renewal Rules'!$A:$B,2,FALSE),"")</f>
        <v>12</v>
      </c>
      <c r="E1027" s="47" t="str">
        <f t="shared" ref="E1027:E1090" si="64">IF(OR(C1027="",C1027="NS",C1027="IP",C1027="Failed"),"",IFERROR(EDATE(IF(ISNUMBER(C1027),C1027,IFERROR(DATEVALUE(C1027),DATE(VALUE(RIGHT(C1027,4)),VALUE(MID(C1027,4,2)),VALUE(LEFT(C1027,2))))),D1027),""))</f>
        <v/>
      </c>
      <c r="F1027" s="48" t="str">
        <f t="shared" ref="F1027:F1090" ca="1" si="65">IF(E1027="","",E1027-TODAY())</f>
        <v/>
      </c>
      <c r="G1027" s="46" t="str">
        <f t="shared" ref="G1027:G1090" ca="1" si="66">IF(C1027="NS","RED",IF(C1027="IP","AMBER",IF(E1027="","",IF(E1027&lt;TODAY(),"RED",IF(E1027&lt;=TODAY()+30,"AMBER","GREEN")))))</f>
        <v>RED</v>
      </c>
      <c r="H1027" s="46" t="str">
        <f t="shared" ref="H1027:H1090" ca="1" si="67">IF(C1027="NS","Not Started",IF(C1027="IP","In Progress",IF(E1027="","Check",IF(E1027&lt;TODAY(),"Expired",IF(E1027&lt;=TODAY()+30,"Expiring Soon","Current")))))</f>
        <v>Not Started</v>
      </c>
      <c r="I1027" s="21"/>
    </row>
    <row r="1028" spans="1:9" x14ac:dyDescent="0.35">
      <c r="A1028" s="46" t="s">
        <v>250</v>
      </c>
      <c r="B1028" s="46" t="s">
        <v>97</v>
      </c>
      <c r="C1028" s="47">
        <f>Matrix!AK12</f>
        <v>45987</v>
      </c>
      <c r="D1028" s="48">
        <f>IFERROR(VLOOKUP(B1028,'Renewal Rules'!$A:$B,2,FALSE),"")</f>
        <v>12</v>
      </c>
      <c r="E1028" s="47">
        <f t="shared" si="64"/>
        <v>46352</v>
      </c>
      <c r="F1028" s="48">
        <f t="shared" ca="1" si="65"/>
        <v>149</v>
      </c>
      <c r="G1028" s="46" t="str">
        <f t="shared" ca="1" si="66"/>
        <v>GREEN</v>
      </c>
      <c r="H1028" s="46" t="str">
        <f t="shared" ca="1" si="67"/>
        <v>Current</v>
      </c>
      <c r="I1028" s="21"/>
    </row>
    <row r="1029" spans="1:9" x14ac:dyDescent="0.35">
      <c r="A1029" s="46" t="s">
        <v>250</v>
      </c>
      <c r="B1029" s="46" t="s">
        <v>140</v>
      </c>
      <c r="C1029" s="47" t="str">
        <f>Matrix!AL12</f>
        <v>NS</v>
      </c>
      <c r="D1029" s="48">
        <f>IFERROR(VLOOKUP(B1029,'Renewal Rules'!$A:$B,2,FALSE),"")</f>
        <v>36</v>
      </c>
      <c r="E1029" s="47" t="str">
        <f t="shared" si="64"/>
        <v/>
      </c>
      <c r="F1029" s="48" t="str">
        <f t="shared" ca="1" si="65"/>
        <v/>
      </c>
      <c r="G1029" s="46" t="str">
        <f t="shared" ca="1" si="66"/>
        <v>RED</v>
      </c>
      <c r="H1029" s="46" t="str">
        <f t="shared" ca="1" si="67"/>
        <v>Not Started</v>
      </c>
      <c r="I1029" s="21"/>
    </row>
    <row r="1030" spans="1:9" x14ac:dyDescent="0.35">
      <c r="A1030" s="46" t="s">
        <v>250</v>
      </c>
      <c r="B1030" s="46" t="s">
        <v>141</v>
      </c>
      <c r="C1030" s="47" t="str">
        <f>Matrix!AM12</f>
        <v>NS</v>
      </c>
      <c r="D1030" s="48">
        <f>IFERROR(VLOOKUP(B1030,'Renewal Rules'!$A:$B,2,FALSE),"")</f>
        <v>12</v>
      </c>
      <c r="E1030" s="47" t="str">
        <f t="shared" si="64"/>
        <v/>
      </c>
      <c r="F1030" s="48" t="str">
        <f t="shared" ca="1" si="65"/>
        <v/>
      </c>
      <c r="G1030" s="46" t="str">
        <f t="shared" ca="1" si="66"/>
        <v>RED</v>
      </c>
      <c r="H1030" s="46" t="str">
        <f t="shared" ca="1" si="67"/>
        <v>Not Started</v>
      </c>
      <c r="I1030" s="21"/>
    </row>
    <row r="1031" spans="1:9" x14ac:dyDescent="0.35">
      <c r="A1031" s="46" t="s">
        <v>250</v>
      </c>
      <c r="B1031" s="46" t="s">
        <v>142</v>
      </c>
      <c r="C1031" s="47" t="str">
        <f>Matrix!AN12</f>
        <v>NS</v>
      </c>
      <c r="D1031" s="48">
        <f>IFERROR(VLOOKUP(B1031,'Renewal Rules'!$A:$B,2,FALSE),"")</f>
        <v>12</v>
      </c>
      <c r="E1031" s="47" t="str">
        <f t="shared" si="64"/>
        <v/>
      </c>
      <c r="F1031" s="48" t="str">
        <f t="shared" ca="1" si="65"/>
        <v/>
      </c>
      <c r="G1031" s="46" t="str">
        <f t="shared" ca="1" si="66"/>
        <v>RED</v>
      </c>
      <c r="H1031" s="46" t="str">
        <f t="shared" ca="1" si="67"/>
        <v>Not Started</v>
      </c>
      <c r="I1031" s="21"/>
    </row>
    <row r="1032" spans="1:9" x14ac:dyDescent="0.35">
      <c r="A1032" s="46" t="s">
        <v>250</v>
      </c>
      <c r="B1032" s="46" t="s">
        <v>143</v>
      </c>
      <c r="C1032" s="47" t="str">
        <f>Matrix!AO12</f>
        <v>NS</v>
      </c>
      <c r="D1032" s="48">
        <f>IFERROR(VLOOKUP(B1032,'Renewal Rules'!$A:$B,2,FALSE),"")</f>
        <v>12</v>
      </c>
      <c r="E1032" s="47" t="str">
        <f t="shared" si="64"/>
        <v/>
      </c>
      <c r="F1032" s="48" t="str">
        <f t="shared" ca="1" si="65"/>
        <v/>
      </c>
      <c r="G1032" s="46" t="str">
        <f t="shared" ca="1" si="66"/>
        <v>RED</v>
      </c>
      <c r="H1032" s="46" t="str">
        <f t="shared" ca="1" si="67"/>
        <v>Not Started</v>
      </c>
      <c r="I1032" s="21"/>
    </row>
    <row r="1033" spans="1:9" x14ac:dyDescent="0.35">
      <c r="A1033" s="46" t="s">
        <v>250</v>
      </c>
      <c r="B1033" s="46" t="s">
        <v>102</v>
      </c>
      <c r="C1033" s="47" t="str">
        <f>Matrix!AP12</f>
        <v>07/02/2026</v>
      </c>
      <c r="D1033" s="48">
        <f>IFERROR(VLOOKUP(B1033,'Renewal Rules'!$A:$B,2,FALSE),"")</f>
        <v>12</v>
      </c>
      <c r="E1033" s="47">
        <f t="shared" si="64"/>
        <v>46425</v>
      </c>
      <c r="F1033" s="48">
        <f t="shared" ca="1" si="65"/>
        <v>222</v>
      </c>
      <c r="G1033" s="46" t="str">
        <f t="shared" ca="1" si="66"/>
        <v>GREEN</v>
      </c>
      <c r="H1033" s="46" t="str">
        <f t="shared" ca="1" si="67"/>
        <v>Current</v>
      </c>
      <c r="I1033" s="21"/>
    </row>
    <row r="1034" spans="1:9" x14ac:dyDescent="0.35">
      <c r="A1034" s="46" t="s">
        <v>250</v>
      </c>
      <c r="B1034" s="46" t="s">
        <v>144</v>
      </c>
      <c r="C1034" s="47" t="str">
        <f>Matrix!AQ12</f>
        <v>27/09/2025</v>
      </c>
      <c r="D1034" s="48">
        <f>IFERROR(VLOOKUP(B1034,'Renewal Rules'!$A:$B,2,FALSE),"")</f>
        <v>36</v>
      </c>
      <c r="E1034" s="47">
        <f t="shared" si="64"/>
        <v>47023</v>
      </c>
      <c r="F1034" s="48">
        <f t="shared" ca="1" si="65"/>
        <v>820</v>
      </c>
      <c r="G1034" s="46" t="str">
        <f t="shared" ca="1" si="66"/>
        <v>GREEN</v>
      </c>
      <c r="H1034" s="46" t="str">
        <f t="shared" ca="1" si="67"/>
        <v>Current</v>
      </c>
      <c r="I1034" s="21"/>
    </row>
    <row r="1035" spans="1:9" x14ac:dyDescent="0.35">
      <c r="A1035" s="46" t="s">
        <v>250</v>
      </c>
      <c r="B1035" s="46" t="s">
        <v>145</v>
      </c>
      <c r="C1035" s="47" t="str">
        <f>Matrix!AR12</f>
        <v>NS</v>
      </c>
      <c r="D1035" s="48">
        <f>IFERROR(VLOOKUP(B1035,'Renewal Rules'!$A:$B,2,FALSE),"")</f>
        <v>12</v>
      </c>
      <c r="E1035" s="47" t="str">
        <f t="shared" si="64"/>
        <v/>
      </c>
      <c r="F1035" s="48" t="str">
        <f t="shared" ca="1" si="65"/>
        <v/>
      </c>
      <c r="G1035" s="46" t="str">
        <f t="shared" ca="1" si="66"/>
        <v>RED</v>
      </c>
      <c r="H1035" s="46" t="str">
        <f t="shared" ca="1" si="67"/>
        <v>Not Started</v>
      </c>
      <c r="I1035" s="21"/>
    </row>
    <row r="1036" spans="1:9" x14ac:dyDescent="0.35">
      <c r="A1036" s="46" t="s">
        <v>250</v>
      </c>
      <c r="B1036" s="46" t="s">
        <v>146</v>
      </c>
      <c r="C1036" s="47" t="str">
        <f>Matrix!AS12</f>
        <v>NS</v>
      </c>
      <c r="D1036" s="48">
        <f>IFERROR(VLOOKUP(B1036,'Renewal Rules'!$A:$B,2,FALSE),"")</f>
        <v>12</v>
      </c>
      <c r="E1036" s="47" t="str">
        <f t="shared" si="64"/>
        <v/>
      </c>
      <c r="F1036" s="48" t="str">
        <f t="shared" ca="1" si="65"/>
        <v/>
      </c>
      <c r="G1036" s="46" t="str">
        <f t="shared" ca="1" si="66"/>
        <v>RED</v>
      </c>
      <c r="H1036" s="46" t="str">
        <f t="shared" ca="1" si="67"/>
        <v>Not Started</v>
      </c>
      <c r="I1036" s="21"/>
    </row>
    <row r="1037" spans="1:9" x14ac:dyDescent="0.35">
      <c r="A1037" s="46" t="s">
        <v>250</v>
      </c>
      <c r="B1037" s="46" t="s">
        <v>147</v>
      </c>
      <c r="C1037" s="47" t="str">
        <f>Matrix!AT12</f>
        <v>NS</v>
      </c>
      <c r="D1037" s="48">
        <f>IFERROR(VLOOKUP(B1037,'Renewal Rules'!$A:$B,2,FALSE),"")</f>
        <v>36</v>
      </c>
      <c r="E1037" s="47" t="str">
        <f t="shared" si="64"/>
        <v/>
      </c>
      <c r="F1037" s="48" t="str">
        <f t="shared" ca="1" si="65"/>
        <v/>
      </c>
      <c r="G1037" s="46" t="str">
        <f t="shared" ca="1" si="66"/>
        <v>RED</v>
      </c>
      <c r="H1037" s="46" t="str">
        <f t="shared" ca="1" si="67"/>
        <v>Not Started</v>
      </c>
      <c r="I1037" s="21"/>
    </row>
    <row r="1038" spans="1:9" x14ac:dyDescent="0.35">
      <c r="A1038" s="46" t="s">
        <v>250</v>
      </c>
      <c r="B1038" s="46" t="s">
        <v>148</v>
      </c>
      <c r="C1038" s="47" t="str">
        <f>Matrix!AU12</f>
        <v>NS</v>
      </c>
      <c r="D1038" s="48">
        <f>IFERROR(VLOOKUP(B1038,'Renewal Rules'!$A:$B,2,FALSE),"")</f>
        <v>36</v>
      </c>
      <c r="E1038" s="47" t="str">
        <f t="shared" si="64"/>
        <v/>
      </c>
      <c r="F1038" s="48" t="str">
        <f t="shared" ca="1" si="65"/>
        <v/>
      </c>
      <c r="G1038" s="46" t="str">
        <f t="shared" ca="1" si="66"/>
        <v>RED</v>
      </c>
      <c r="H1038" s="46" t="str">
        <f t="shared" ca="1" si="67"/>
        <v>Not Started</v>
      </c>
      <c r="I1038" s="21"/>
    </row>
    <row r="1039" spans="1:9" x14ac:dyDescent="0.35">
      <c r="A1039" s="46" t="s">
        <v>250</v>
      </c>
      <c r="B1039" s="46" t="s">
        <v>149</v>
      </c>
      <c r="C1039" s="47" t="str">
        <f>Matrix!AV12</f>
        <v>NS</v>
      </c>
      <c r="D1039" s="48">
        <f>IFERROR(VLOOKUP(B1039,'Renewal Rules'!$A:$B,2,FALSE),"")</f>
        <v>36</v>
      </c>
      <c r="E1039" s="47" t="str">
        <f t="shared" si="64"/>
        <v/>
      </c>
      <c r="F1039" s="48" t="str">
        <f t="shared" ca="1" si="65"/>
        <v/>
      </c>
      <c r="G1039" s="46" t="str">
        <f t="shared" ca="1" si="66"/>
        <v>RED</v>
      </c>
      <c r="H1039" s="46" t="str">
        <f t="shared" ca="1" si="67"/>
        <v>Not Started</v>
      </c>
      <c r="I1039" s="21"/>
    </row>
    <row r="1040" spans="1:9" x14ac:dyDescent="0.35">
      <c r="A1040" s="46" t="s">
        <v>250</v>
      </c>
      <c r="B1040" s="46" t="s">
        <v>150</v>
      </c>
      <c r="C1040" s="47" t="str">
        <f>Matrix!AW12</f>
        <v>NS</v>
      </c>
      <c r="D1040" s="48">
        <f>IFERROR(VLOOKUP(B1040,'Renewal Rules'!$A:$B,2,FALSE),"")</f>
        <v>36</v>
      </c>
      <c r="E1040" s="47" t="str">
        <f t="shared" si="64"/>
        <v/>
      </c>
      <c r="F1040" s="48" t="str">
        <f t="shared" ca="1" si="65"/>
        <v/>
      </c>
      <c r="G1040" s="46" t="str">
        <f t="shared" ca="1" si="66"/>
        <v>RED</v>
      </c>
      <c r="H1040" s="46" t="str">
        <f t="shared" ca="1" si="67"/>
        <v>Not Started</v>
      </c>
      <c r="I1040" s="21"/>
    </row>
    <row r="1041" spans="1:9" x14ac:dyDescent="0.35">
      <c r="A1041" s="46" t="s">
        <v>250</v>
      </c>
      <c r="B1041" s="46" t="s">
        <v>151</v>
      </c>
      <c r="C1041" s="47" t="str">
        <f>Matrix!AX12</f>
        <v>NS</v>
      </c>
      <c r="D1041" s="48">
        <f>IFERROR(VLOOKUP(B1041,'Renewal Rules'!$A:$B,2,FALSE),"")</f>
        <v>36</v>
      </c>
      <c r="E1041" s="47" t="str">
        <f t="shared" si="64"/>
        <v/>
      </c>
      <c r="F1041" s="48" t="str">
        <f t="shared" ca="1" si="65"/>
        <v/>
      </c>
      <c r="G1041" s="46" t="str">
        <f t="shared" ca="1" si="66"/>
        <v>RED</v>
      </c>
      <c r="H1041" s="46" t="str">
        <f t="shared" ca="1" si="67"/>
        <v>Not Started</v>
      </c>
      <c r="I1041" s="21"/>
    </row>
    <row r="1042" spans="1:9" x14ac:dyDescent="0.35">
      <c r="A1042" s="46" t="s">
        <v>250</v>
      </c>
      <c r="B1042" s="46" t="s">
        <v>152</v>
      </c>
      <c r="C1042" s="47" t="str">
        <f>Matrix!AY12</f>
        <v>NS</v>
      </c>
      <c r="D1042" s="48">
        <f>IFERROR(VLOOKUP(B1042,'Renewal Rules'!$A:$B,2,FALSE),"")</f>
        <v>36</v>
      </c>
      <c r="E1042" s="47" t="str">
        <f t="shared" si="64"/>
        <v/>
      </c>
      <c r="F1042" s="48" t="str">
        <f t="shared" ca="1" si="65"/>
        <v/>
      </c>
      <c r="G1042" s="46" t="str">
        <f t="shared" ca="1" si="66"/>
        <v>RED</v>
      </c>
      <c r="H1042" s="46" t="str">
        <f t="shared" ca="1" si="67"/>
        <v>Not Started</v>
      </c>
      <c r="I1042" s="21"/>
    </row>
    <row r="1043" spans="1:9" x14ac:dyDescent="0.35">
      <c r="A1043" s="46" t="s">
        <v>250</v>
      </c>
      <c r="B1043" s="46" t="s">
        <v>153</v>
      </c>
      <c r="C1043" s="47" t="str">
        <f>Matrix!AZ12</f>
        <v>NS</v>
      </c>
      <c r="D1043" s="48">
        <f>IFERROR(VLOOKUP(B1043,'Renewal Rules'!$A:$B,2,FALSE),"")</f>
        <v>36</v>
      </c>
      <c r="E1043" s="47" t="str">
        <f t="shared" si="64"/>
        <v/>
      </c>
      <c r="F1043" s="48" t="str">
        <f t="shared" ca="1" si="65"/>
        <v/>
      </c>
      <c r="G1043" s="46" t="str">
        <f t="shared" ca="1" si="66"/>
        <v>RED</v>
      </c>
      <c r="H1043" s="46" t="str">
        <f t="shared" ca="1" si="67"/>
        <v>Not Started</v>
      </c>
      <c r="I1043" s="21"/>
    </row>
    <row r="1044" spans="1:9" x14ac:dyDescent="0.35">
      <c r="A1044" s="46" t="s">
        <v>250</v>
      </c>
      <c r="B1044" s="46" t="s">
        <v>154</v>
      </c>
      <c r="C1044" s="47" t="str">
        <f>Matrix!BA12</f>
        <v>NS</v>
      </c>
      <c r="D1044" s="48">
        <f>IFERROR(VLOOKUP(B1044,'Renewal Rules'!$A:$B,2,FALSE),"")</f>
        <v>36</v>
      </c>
      <c r="E1044" s="47" t="str">
        <f t="shared" si="64"/>
        <v/>
      </c>
      <c r="F1044" s="48" t="str">
        <f t="shared" ca="1" si="65"/>
        <v/>
      </c>
      <c r="G1044" s="46" t="str">
        <f t="shared" ca="1" si="66"/>
        <v>RED</v>
      </c>
      <c r="H1044" s="46" t="str">
        <f t="shared" ca="1" si="67"/>
        <v>Not Started</v>
      </c>
      <c r="I1044" s="21"/>
    </row>
    <row r="1045" spans="1:9" x14ac:dyDescent="0.35">
      <c r="A1045" s="46" t="s">
        <v>250</v>
      </c>
      <c r="B1045" s="46" t="s">
        <v>155</v>
      </c>
      <c r="C1045" s="47" t="str">
        <f>Matrix!BB12</f>
        <v>NS</v>
      </c>
      <c r="D1045" s="48">
        <f>IFERROR(VLOOKUP(B1045,'Renewal Rules'!$A:$B,2,FALSE),"")</f>
        <v>12</v>
      </c>
      <c r="E1045" s="47" t="str">
        <f t="shared" si="64"/>
        <v/>
      </c>
      <c r="F1045" s="48" t="str">
        <f t="shared" ca="1" si="65"/>
        <v/>
      </c>
      <c r="G1045" s="46" t="str">
        <f t="shared" ca="1" si="66"/>
        <v>RED</v>
      </c>
      <c r="H1045" s="46" t="str">
        <f t="shared" ca="1" si="67"/>
        <v>Not Started</v>
      </c>
      <c r="I1045" s="21"/>
    </row>
    <row r="1046" spans="1:9" x14ac:dyDescent="0.35">
      <c r="A1046" s="46" t="s">
        <v>250</v>
      </c>
      <c r="B1046" s="46" t="s">
        <v>156</v>
      </c>
      <c r="C1046" s="47" t="str">
        <f>Matrix!BC12</f>
        <v>NS</v>
      </c>
      <c r="D1046" s="48">
        <f>IFERROR(VLOOKUP(B1046,'Renewal Rules'!$A:$B,2,FALSE),"")</f>
        <v>12</v>
      </c>
      <c r="E1046" s="47" t="str">
        <f t="shared" si="64"/>
        <v/>
      </c>
      <c r="F1046" s="48" t="str">
        <f t="shared" ca="1" si="65"/>
        <v/>
      </c>
      <c r="G1046" s="46" t="str">
        <f t="shared" ca="1" si="66"/>
        <v>RED</v>
      </c>
      <c r="H1046" s="46" t="str">
        <f t="shared" ca="1" si="67"/>
        <v>Not Started</v>
      </c>
      <c r="I1046" s="21"/>
    </row>
    <row r="1047" spans="1:9" x14ac:dyDescent="0.35">
      <c r="A1047" s="46" t="s">
        <v>250</v>
      </c>
      <c r="B1047" s="46" t="s">
        <v>157</v>
      </c>
      <c r="C1047" s="47" t="str">
        <f>Matrix!BD12</f>
        <v>NS</v>
      </c>
      <c r="D1047" s="48">
        <f>IFERROR(VLOOKUP(B1047,'Renewal Rules'!$A:$B,2,FALSE),"")</f>
        <v>36</v>
      </c>
      <c r="E1047" s="47" t="str">
        <f t="shared" si="64"/>
        <v/>
      </c>
      <c r="F1047" s="48" t="str">
        <f t="shared" ca="1" si="65"/>
        <v/>
      </c>
      <c r="G1047" s="46" t="str">
        <f t="shared" ca="1" si="66"/>
        <v>RED</v>
      </c>
      <c r="H1047" s="46" t="str">
        <f t="shared" ca="1" si="67"/>
        <v>Not Started</v>
      </c>
      <c r="I1047" s="21"/>
    </row>
    <row r="1048" spans="1:9" ht="12.9" customHeight="1" x14ac:dyDescent="0.35">
      <c r="A1048" s="46" t="s">
        <v>250</v>
      </c>
      <c r="B1048" s="46" t="s">
        <v>158</v>
      </c>
      <c r="C1048" s="47" t="str">
        <f>Matrix!BE12</f>
        <v>NS</v>
      </c>
      <c r="D1048" s="48">
        <f>IFERROR(VLOOKUP(B1048,'Renewal Rules'!$A:$B,2,FALSE),"")</f>
        <v>12</v>
      </c>
      <c r="E1048" s="47" t="str">
        <f t="shared" si="64"/>
        <v/>
      </c>
      <c r="F1048" s="48" t="str">
        <f t="shared" ca="1" si="65"/>
        <v/>
      </c>
      <c r="G1048" s="46" t="str">
        <f t="shared" ca="1" si="66"/>
        <v>RED</v>
      </c>
      <c r="H1048" s="46" t="str">
        <f t="shared" ca="1" si="67"/>
        <v>Not Started</v>
      </c>
      <c r="I1048" s="21"/>
    </row>
    <row r="1049" spans="1:9" x14ac:dyDescent="0.35">
      <c r="A1049" s="46" t="s">
        <v>250</v>
      </c>
      <c r="B1049" s="46" t="s">
        <v>95</v>
      </c>
      <c r="C1049" s="47">
        <f>Matrix!BF12</f>
        <v>45979</v>
      </c>
      <c r="D1049" s="48">
        <f>IFERROR(VLOOKUP(B1049,'Renewal Rules'!$A:$B,2,FALSE),"")</f>
        <v>12</v>
      </c>
      <c r="E1049" s="47">
        <f t="shared" si="64"/>
        <v>46344</v>
      </c>
      <c r="F1049" s="48">
        <f t="shared" ca="1" si="65"/>
        <v>141</v>
      </c>
      <c r="G1049" s="46" t="str">
        <f t="shared" ca="1" si="66"/>
        <v>GREEN</v>
      </c>
      <c r="H1049" s="46" t="str">
        <f t="shared" ca="1" si="67"/>
        <v>Current</v>
      </c>
      <c r="I1049" s="21"/>
    </row>
    <row r="1050" spans="1:9" x14ac:dyDescent="0.35">
      <c r="A1050" s="46" t="s">
        <v>250</v>
      </c>
      <c r="B1050" s="46" t="s">
        <v>93</v>
      </c>
      <c r="C1050" s="47" t="str">
        <f>Matrix!BG12</f>
        <v>26/09/2025</v>
      </c>
      <c r="D1050" s="48">
        <f>IFERROR(VLOOKUP(B1050,'Renewal Rules'!$A:$B,2,FALSE),"")</f>
        <v>12</v>
      </c>
      <c r="E1050" s="47">
        <f t="shared" si="64"/>
        <v>46291</v>
      </c>
      <c r="F1050" s="48">
        <f t="shared" ca="1" si="65"/>
        <v>88</v>
      </c>
      <c r="G1050" s="46" t="str">
        <f t="shared" ca="1" si="66"/>
        <v>GREEN</v>
      </c>
      <c r="H1050" s="46" t="str">
        <f t="shared" ca="1" si="67"/>
        <v>Current</v>
      </c>
      <c r="I1050" s="21"/>
    </row>
    <row r="1051" spans="1:9" x14ac:dyDescent="0.35">
      <c r="A1051" s="46" t="s">
        <v>250</v>
      </c>
      <c r="B1051" s="46" t="s">
        <v>159</v>
      </c>
      <c r="C1051" s="47" t="str">
        <f>Matrix!BH12</f>
        <v>NS</v>
      </c>
      <c r="D1051" s="48">
        <f>IFERROR(VLOOKUP(B1051,'Renewal Rules'!$A:$B,2,FALSE),"")</f>
        <v>12</v>
      </c>
      <c r="E1051" s="47" t="str">
        <f t="shared" si="64"/>
        <v/>
      </c>
      <c r="F1051" s="48" t="str">
        <f t="shared" ca="1" si="65"/>
        <v/>
      </c>
      <c r="G1051" s="46" t="str">
        <f t="shared" ca="1" si="66"/>
        <v>RED</v>
      </c>
      <c r="H1051" s="46" t="str">
        <f t="shared" ca="1" si="67"/>
        <v>Not Started</v>
      </c>
      <c r="I1051" s="21"/>
    </row>
    <row r="1052" spans="1:9" x14ac:dyDescent="0.35">
      <c r="A1052" s="46" t="s">
        <v>250</v>
      </c>
      <c r="B1052" s="46" t="s">
        <v>160</v>
      </c>
      <c r="C1052" s="47" t="str">
        <f>Matrix!BI12</f>
        <v>26/09/2025</v>
      </c>
      <c r="D1052" s="48">
        <f>IFERROR(VLOOKUP(B1052,'Renewal Rules'!$A:$B,2,FALSE),"")</f>
        <v>36</v>
      </c>
      <c r="E1052" s="47">
        <f t="shared" si="64"/>
        <v>47022</v>
      </c>
      <c r="F1052" s="48">
        <f t="shared" ca="1" si="65"/>
        <v>819</v>
      </c>
      <c r="G1052" s="46" t="str">
        <f t="shared" ca="1" si="66"/>
        <v>GREEN</v>
      </c>
      <c r="H1052" s="46" t="str">
        <f t="shared" ca="1" si="67"/>
        <v>Current</v>
      </c>
      <c r="I1052" s="21"/>
    </row>
    <row r="1053" spans="1:9" x14ac:dyDescent="0.35">
      <c r="A1053" s="46" t="s">
        <v>250</v>
      </c>
      <c r="B1053" s="46" t="s">
        <v>161</v>
      </c>
      <c r="C1053" s="47" t="str">
        <f>Matrix!BJ12</f>
        <v>NS</v>
      </c>
      <c r="D1053" s="48">
        <f>IFERROR(VLOOKUP(B1053,'Renewal Rules'!$A:$B,2,FALSE),"")</f>
        <v>12</v>
      </c>
      <c r="E1053" s="47" t="str">
        <f t="shared" si="64"/>
        <v/>
      </c>
      <c r="F1053" s="48" t="str">
        <f t="shared" ca="1" si="65"/>
        <v/>
      </c>
      <c r="G1053" s="46" t="str">
        <f t="shared" ca="1" si="66"/>
        <v>RED</v>
      </c>
      <c r="H1053" s="46" t="str">
        <f t="shared" ca="1" si="67"/>
        <v>Not Started</v>
      </c>
      <c r="I1053" s="21"/>
    </row>
    <row r="1054" spans="1:9" x14ac:dyDescent="0.35">
      <c r="A1054" s="46" t="s">
        <v>250</v>
      </c>
      <c r="B1054" s="46" t="s">
        <v>162</v>
      </c>
      <c r="C1054" s="47" t="str">
        <f>Matrix!BK12</f>
        <v>NS</v>
      </c>
      <c r="D1054" s="48">
        <f>IFERROR(VLOOKUP(B1054,'Renewal Rules'!$A:$B,2,FALSE),"")</f>
        <v>12</v>
      </c>
      <c r="E1054" s="47" t="str">
        <f t="shared" si="64"/>
        <v/>
      </c>
      <c r="F1054" s="48" t="str">
        <f t="shared" ca="1" si="65"/>
        <v/>
      </c>
      <c r="G1054" s="46" t="str">
        <f t="shared" ca="1" si="66"/>
        <v>RED</v>
      </c>
      <c r="H1054" s="46" t="str">
        <f t="shared" ca="1" si="67"/>
        <v>Not Started</v>
      </c>
      <c r="I1054" s="21"/>
    </row>
    <row r="1055" spans="1:9" x14ac:dyDescent="0.35">
      <c r="A1055" s="46" t="s">
        <v>250</v>
      </c>
      <c r="B1055" s="46" t="s">
        <v>163</v>
      </c>
      <c r="C1055" s="47" t="str">
        <f>Matrix!BL12</f>
        <v>NS</v>
      </c>
      <c r="D1055" s="48">
        <f>IFERROR(VLOOKUP(B1055,'Renewal Rules'!$A:$B,2,FALSE),"")</f>
        <v>36</v>
      </c>
      <c r="E1055" s="47" t="str">
        <f t="shared" si="64"/>
        <v/>
      </c>
      <c r="F1055" s="48" t="str">
        <f t="shared" ca="1" si="65"/>
        <v/>
      </c>
      <c r="G1055" s="46" t="str">
        <f t="shared" ca="1" si="66"/>
        <v>RED</v>
      </c>
      <c r="H1055" s="46" t="str">
        <f t="shared" ca="1" si="67"/>
        <v>Not Started</v>
      </c>
      <c r="I1055" s="21"/>
    </row>
    <row r="1056" spans="1:9" x14ac:dyDescent="0.35">
      <c r="A1056" s="46" t="s">
        <v>250</v>
      </c>
      <c r="B1056" s="46" t="s">
        <v>164</v>
      </c>
      <c r="C1056" s="47" t="str">
        <f>Matrix!BM12</f>
        <v>NS</v>
      </c>
      <c r="D1056" s="48">
        <f>IFERROR(VLOOKUP(B1056,'Renewal Rules'!$A:$B,2,FALSE),"")</f>
        <v>12</v>
      </c>
      <c r="E1056" s="47" t="str">
        <f t="shared" si="64"/>
        <v/>
      </c>
      <c r="F1056" s="48" t="str">
        <f t="shared" ca="1" si="65"/>
        <v/>
      </c>
      <c r="G1056" s="46" t="str">
        <f t="shared" ca="1" si="66"/>
        <v>RED</v>
      </c>
      <c r="H1056" s="46" t="str">
        <f t="shared" ca="1" si="67"/>
        <v>Not Started</v>
      </c>
      <c r="I1056" s="21"/>
    </row>
    <row r="1057" spans="1:9" x14ac:dyDescent="0.35">
      <c r="A1057" s="46" t="s">
        <v>250</v>
      </c>
      <c r="B1057" s="46" t="s">
        <v>165</v>
      </c>
      <c r="C1057" s="47" t="str">
        <f>Matrix!BN12</f>
        <v>NS</v>
      </c>
      <c r="D1057" s="48">
        <f>IFERROR(VLOOKUP(B1057,'Renewal Rules'!$A:$B,2,FALSE),"")</f>
        <v>36</v>
      </c>
      <c r="E1057" s="47" t="str">
        <f t="shared" si="64"/>
        <v/>
      </c>
      <c r="F1057" s="48" t="str">
        <f t="shared" ca="1" si="65"/>
        <v/>
      </c>
      <c r="G1057" s="46" t="str">
        <f t="shared" ca="1" si="66"/>
        <v>RED</v>
      </c>
      <c r="H1057" s="46" t="str">
        <f t="shared" ca="1" si="67"/>
        <v>Not Started</v>
      </c>
      <c r="I1057" s="21"/>
    </row>
    <row r="1058" spans="1:9" x14ac:dyDescent="0.35">
      <c r="A1058" s="46" t="s">
        <v>250</v>
      </c>
      <c r="B1058" s="46" t="s">
        <v>166</v>
      </c>
      <c r="C1058" s="47" t="str">
        <f>Matrix!BO12</f>
        <v>NS</v>
      </c>
      <c r="D1058" s="48">
        <f>IFERROR(VLOOKUP(B1058,'Renewal Rules'!$A:$B,2,FALSE),"")</f>
        <v>36</v>
      </c>
      <c r="E1058" s="47" t="str">
        <f t="shared" si="64"/>
        <v/>
      </c>
      <c r="F1058" s="48" t="str">
        <f t="shared" ca="1" si="65"/>
        <v/>
      </c>
      <c r="G1058" s="46" t="str">
        <f t="shared" ca="1" si="66"/>
        <v>RED</v>
      </c>
      <c r="H1058" s="46" t="str">
        <f t="shared" ca="1" si="67"/>
        <v>Not Started</v>
      </c>
      <c r="I1058" s="21"/>
    </row>
    <row r="1059" spans="1:9" x14ac:dyDescent="0.35">
      <c r="A1059" s="46" t="s">
        <v>250</v>
      </c>
      <c r="B1059" s="46" t="s">
        <v>167</v>
      </c>
      <c r="C1059" s="47" t="str">
        <f>Matrix!BP12</f>
        <v>NS</v>
      </c>
      <c r="D1059" s="48">
        <f>IFERROR(VLOOKUP(B1059,'Renewal Rules'!$A:$B,2,FALSE),"")</f>
        <v>36</v>
      </c>
      <c r="E1059" s="47" t="str">
        <f t="shared" si="64"/>
        <v/>
      </c>
      <c r="F1059" s="48" t="str">
        <f t="shared" ca="1" si="65"/>
        <v/>
      </c>
      <c r="G1059" s="46" t="str">
        <f t="shared" ca="1" si="66"/>
        <v>RED</v>
      </c>
      <c r="H1059" s="46" t="str">
        <f t="shared" ca="1" si="67"/>
        <v>Not Started</v>
      </c>
      <c r="I1059" s="21"/>
    </row>
    <row r="1060" spans="1:9" x14ac:dyDescent="0.35">
      <c r="A1060" s="46" t="s">
        <v>250</v>
      </c>
      <c r="B1060" s="46" t="s">
        <v>168</v>
      </c>
      <c r="C1060" s="47" t="str">
        <f>Matrix!BQ12</f>
        <v>NS</v>
      </c>
      <c r="D1060" s="48">
        <f>IFERROR(VLOOKUP(B1060,'Renewal Rules'!$A:$B,2,FALSE),"")</f>
        <v>36</v>
      </c>
      <c r="E1060" s="47" t="str">
        <f t="shared" si="64"/>
        <v/>
      </c>
      <c r="F1060" s="48" t="str">
        <f t="shared" ca="1" si="65"/>
        <v/>
      </c>
      <c r="G1060" s="46" t="str">
        <f t="shared" ca="1" si="66"/>
        <v>RED</v>
      </c>
      <c r="H1060" s="46" t="str">
        <f t="shared" ca="1" si="67"/>
        <v>Not Started</v>
      </c>
      <c r="I1060" s="21"/>
    </row>
    <row r="1061" spans="1:9" x14ac:dyDescent="0.35">
      <c r="A1061" s="46" t="s">
        <v>250</v>
      </c>
      <c r="B1061" s="46" t="s">
        <v>169</v>
      </c>
      <c r="C1061" s="47" t="str">
        <f>Matrix!BR12</f>
        <v>NS</v>
      </c>
      <c r="D1061" s="48">
        <f>IFERROR(VLOOKUP(B1061,'Renewal Rules'!$A:$B,2,FALSE),"")</f>
        <v>36</v>
      </c>
      <c r="E1061" s="47" t="str">
        <f t="shared" si="64"/>
        <v/>
      </c>
      <c r="F1061" s="48" t="str">
        <f t="shared" ca="1" si="65"/>
        <v/>
      </c>
      <c r="G1061" s="46" t="str">
        <f t="shared" ca="1" si="66"/>
        <v>RED</v>
      </c>
      <c r="H1061" s="46" t="str">
        <f t="shared" ca="1" si="67"/>
        <v>Not Started</v>
      </c>
      <c r="I1061" s="21"/>
    </row>
    <row r="1062" spans="1:9" x14ac:dyDescent="0.35">
      <c r="A1062" s="46" t="s">
        <v>250</v>
      </c>
      <c r="B1062" s="46" t="s">
        <v>170</v>
      </c>
      <c r="C1062" s="47" t="str">
        <f>Matrix!BS12</f>
        <v>NS</v>
      </c>
      <c r="D1062" s="48">
        <f>IFERROR(VLOOKUP(B1062,'Renewal Rules'!$A:$B,2,FALSE),"")</f>
        <v>12</v>
      </c>
      <c r="E1062" s="47" t="str">
        <f t="shared" si="64"/>
        <v/>
      </c>
      <c r="F1062" s="48" t="str">
        <f t="shared" ca="1" si="65"/>
        <v/>
      </c>
      <c r="G1062" s="46" t="str">
        <f t="shared" ca="1" si="66"/>
        <v>RED</v>
      </c>
      <c r="H1062" s="46" t="str">
        <f t="shared" ca="1" si="67"/>
        <v>Not Started</v>
      </c>
      <c r="I1062" s="21"/>
    </row>
    <row r="1063" spans="1:9" x14ac:dyDescent="0.35">
      <c r="A1063" s="46" t="s">
        <v>250</v>
      </c>
      <c r="B1063" s="46" t="s">
        <v>171</v>
      </c>
      <c r="C1063" s="47" t="str">
        <f>Matrix!BT12</f>
        <v>NS</v>
      </c>
      <c r="D1063" s="48">
        <f>IFERROR(VLOOKUP(B1063,'Renewal Rules'!$A:$B,2,FALSE),"")</f>
        <v>12</v>
      </c>
      <c r="E1063" s="47" t="str">
        <f t="shared" si="64"/>
        <v/>
      </c>
      <c r="F1063" s="48" t="str">
        <f t="shared" ca="1" si="65"/>
        <v/>
      </c>
      <c r="G1063" s="46" t="str">
        <f t="shared" ca="1" si="66"/>
        <v>RED</v>
      </c>
      <c r="H1063" s="46" t="str">
        <f t="shared" ca="1" si="67"/>
        <v>Not Started</v>
      </c>
      <c r="I1063" s="21"/>
    </row>
    <row r="1064" spans="1:9" x14ac:dyDescent="0.35">
      <c r="A1064" s="46" t="s">
        <v>250</v>
      </c>
      <c r="B1064" s="46" t="s">
        <v>172</v>
      </c>
      <c r="C1064" s="47">
        <f>Matrix!BU12</f>
        <v>45981</v>
      </c>
      <c r="D1064" s="48">
        <f>IFERROR(VLOOKUP(B1064,'Renewal Rules'!$A:$B,2,FALSE),"")</f>
        <v>12</v>
      </c>
      <c r="E1064" s="47">
        <f t="shared" si="64"/>
        <v>46346</v>
      </c>
      <c r="F1064" s="48">
        <f t="shared" ca="1" si="65"/>
        <v>143</v>
      </c>
      <c r="G1064" s="46" t="str">
        <f t="shared" ca="1" si="66"/>
        <v>GREEN</v>
      </c>
      <c r="H1064" s="46" t="str">
        <f t="shared" ca="1" si="67"/>
        <v>Current</v>
      </c>
      <c r="I1064" s="21"/>
    </row>
    <row r="1065" spans="1:9" x14ac:dyDescent="0.35">
      <c r="A1065" s="46" t="s">
        <v>250</v>
      </c>
      <c r="B1065" s="46" t="s">
        <v>173</v>
      </c>
      <c r="C1065" s="47" t="str">
        <f>Matrix!BV12</f>
        <v>NS</v>
      </c>
      <c r="D1065" s="48">
        <f>IFERROR(VLOOKUP(B1065,'Renewal Rules'!$A:$B,2,FALSE),"")</f>
        <v>12</v>
      </c>
      <c r="E1065" s="47" t="str">
        <f t="shared" si="64"/>
        <v/>
      </c>
      <c r="F1065" s="48" t="str">
        <f t="shared" ca="1" si="65"/>
        <v/>
      </c>
      <c r="G1065" s="46" t="str">
        <f t="shared" ca="1" si="66"/>
        <v>RED</v>
      </c>
      <c r="H1065" s="46" t="str">
        <f t="shared" ca="1" si="67"/>
        <v>Not Started</v>
      </c>
      <c r="I1065" s="21"/>
    </row>
    <row r="1066" spans="1:9" x14ac:dyDescent="0.35">
      <c r="A1066" s="46" t="s">
        <v>250</v>
      </c>
      <c r="B1066" s="46" t="s">
        <v>174</v>
      </c>
      <c r="C1066" s="47" t="str">
        <f>Matrix!BW12</f>
        <v>NS</v>
      </c>
      <c r="D1066" s="48">
        <f>IFERROR(VLOOKUP(B1066,'Renewal Rules'!$A:$B,2,FALSE),"")</f>
        <v>12</v>
      </c>
      <c r="E1066" s="47" t="str">
        <f t="shared" si="64"/>
        <v/>
      </c>
      <c r="F1066" s="48" t="str">
        <f t="shared" ca="1" si="65"/>
        <v/>
      </c>
      <c r="G1066" s="46" t="str">
        <f t="shared" ca="1" si="66"/>
        <v>RED</v>
      </c>
      <c r="H1066" s="46" t="str">
        <f t="shared" ca="1" si="67"/>
        <v>Not Started</v>
      </c>
      <c r="I1066" s="21"/>
    </row>
    <row r="1067" spans="1:9" x14ac:dyDescent="0.35">
      <c r="A1067" s="46" t="s">
        <v>250</v>
      </c>
      <c r="B1067" s="46" t="s">
        <v>175</v>
      </c>
      <c r="C1067" s="47" t="str">
        <f>Matrix!BX12</f>
        <v>NS</v>
      </c>
      <c r="D1067" s="48">
        <f>IFERROR(VLOOKUP(B1067,'Renewal Rules'!$A:$B,2,FALSE),"")</f>
        <v>12</v>
      </c>
      <c r="E1067" s="47" t="str">
        <f t="shared" si="64"/>
        <v/>
      </c>
      <c r="F1067" s="48" t="str">
        <f t="shared" ca="1" si="65"/>
        <v/>
      </c>
      <c r="G1067" s="46" t="str">
        <f t="shared" ca="1" si="66"/>
        <v>RED</v>
      </c>
      <c r="H1067" s="46" t="str">
        <f t="shared" ca="1" si="67"/>
        <v>Not Started</v>
      </c>
      <c r="I1067" s="21"/>
    </row>
    <row r="1068" spans="1:9" x14ac:dyDescent="0.35">
      <c r="A1068" s="46" t="s">
        <v>250</v>
      </c>
      <c r="B1068" s="46" t="s">
        <v>176</v>
      </c>
      <c r="C1068" s="47" t="str">
        <f>Matrix!BY12</f>
        <v>NS</v>
      </c>
      <c r="D1068" s="48">
        <f>IFERROR(VLOOKUP(B1068,'Renewal Rules'!$A:$B,2,FALSE),"")</f>
        <v>36</v>
      </c>
      <c r="E1068" s="47" t="str">
        <f t="shared" si="64"/>
        <v/>
      </c>
      <c r="F1068" s="48" t="str">
        <f t="shared" ca="1" si="65"/>
        <v/>
      </c>
      <c r="G1068" s="46" t="str">
        <f t="shared" ca="1" si="66"/>
        <v>RED</v>
      </c>
      <c r="H1068" s="46" t="str">
        <f t="shared" ca="1" si="67"/>
        <v>Not Started</v>
      </c>
      <c r="I1068" s="21"/>
    </row>
    <row r="1069" spans="1:9" x14ac:dyDescent="0.35">
      <c r="A1069" s="46" t="s">
        <v>250</v>
      </c>
      <c r="B1069" s="46" t="s">
        <v>177</v>
      </c>
      <c r="C1069" s="47" t="str">
        <f>Matrix!BZ12</f>
        <v>NS</v>
      </c>
      <c r="D1069" s="48">
        <f>IFERROR(VLOOKUP(B1069,'Renewal Rules'!$A:$B,2,FALSE),"")</f>
        <v>36</v>
      </c>
      <c r="E1069" s="47" t="str">
        <f t="shared" si="64"/>
        <v/>
      </c>
      <c r="F1069" s="48" t="str">
        <f t="shared" ca="1" si="65"/>
        <v/>
      </c>
      <c r="G1069" s="46" t="str">
        <f t="shared" ca="1" si="66"/>
        <v>RED</v>
      </c>
      <c r="H1069" s="46" t="str">
        <f t="shared" ca="1" si="67"/>
        <v>Not Started</v>
      </c>
      <c r="I1069" s="21"/>
    </row>
    <row r="1070" spans="1:9" x14ac:dyDescent="0.35">
      <c r="A1070" s="46" t="s">
        <v>250</v>
      </c>
      <c r="B1070" s="46" t="s">
        <v>178</v>
      </c>
      <c r="C1070" s="47" t="str">
        <f>Matrix!CA12</f>
        <v>NS</v>
      </c>
      <c r="D1070" s="48">
        <f>IFERROR(VLOOKUP(B1070,'Renewal Rules'!$A:$B,2,FALSE),"")</f>
        <v>12</v>
      </c>
      <c r="E1070" s="47" t="str">
        <f t="shared" si="64"/>
        <v/>
      </c>
      <c r="F1070" s="48" t="str">
        <f t="shared" ca="1" si="65"/>
        <v/>
      </c>
      <c r="G1070" s="46" t="str">
        <f t="shared" ca="1" si="66"/>
        <v>RED</v>
      </c>
      <c r="H1070" s="46" t="str">
        <f t="shared" ca="1" si="67"/>
        <v>Not Started</v>
      </c>
      <c r="I1070" s="21"/>
    </row>
    <row r="1071" spans="1:9" x14ac:dyDescent="0.35">
      <c r="A1071" s="46" t="s">
        <v>250</v>
      </c>
      <c r="B1071" s="46" t="s">
        <v>179</v>
      </c>
      <c r="C1071" s="47" t="str">
        <f>Matrix!CB12</f>
        <v>NS</v>
      </c>
      <c r="D1071" s="48">
        <f>IFERROR(VLOOKUP(B1071,'Renewal Rules'!$A:$B,2,FALSE),"")</f>
        <v>12</v>
      </c>
      <c r="E1071" s="47" t="str">
        <f t="shared" si="64"/>
        <v/>
      </c>
      <c r="F1071" s="48" t="str">
        <f t="shared" ca="1" si="65"/>
        <v/>
      </c>
      <c r="G1071" s="46" t="str">
        <f t="shared" ca="1" si="66"/>
        <v>RED</v>
      </c>
      <c r="H1071" s="46" t="str">
        <f t="shared" ca="1" si="67"/>
        <v>Not Started</v>
      </c>
      <c r="I1071" s="21"/>
    </row>
    <row r="1072" spans="1:9" x14ac:dyDescent="0.35">
      <c r="A1072" s="46" t="s">
        <v>250</v>
      </c>
      <c r="B1072" s="46" t="s">
        <v>180</v>
      </c>
      <c r="C1072" s="47" t="str">
        <f>Matrix!CC12</f>
        <v>NS</v>
      </c>
      <c r="D1072" s="48">
        <f>IFERROR(VLOOKUP(B1072,'Renewal Rules'!$A:$B,2,FALSE),"")</f>
        <v>36</v>
      </c>
      <c r="E1072" s="47" t="str">
        <f t="shared" si="64"/>
        <v/>
      </c>
      <c r="F1072" s="48" t="str">
        <f t="shared" ca="1" si="65"/>
        <v/>
      </c>
      <c r="G1072" s="46" t="str">
        <f t="shared" ca="1" si="66"/>
        <v>RED</v>
      </c>
      <c r="H1072" s="46" t="str">
        <f t="shared" ca="1" si="67"/>
        <v>Not Started</v>
      </c>
      <c r="I1072" s="21"/>
    </row>
    <row r="1073" spans="1:9" x14ac:dyDescent="0.35">
      <c r="A1073" s="46" t="s">
        <v>250</v>
      </c>
      <c r="B1073" s="46" t="s">
        <v>181</v>
      </c>
      <c r="C1073" s="47" t="str">
        <f>Matrix!CD12</f>
        <v>NS</v>
      </c>
      <c r="D1073" s="48">
        <f>IFERROR(VLOOKUP(B1073,'Renewal Rules'!$A:$B,2,FALSE),"")</f>
        <v>36</v>
      </c>
      <c r="E1073" s="47" t="str">
        <f t="shared" si="64"/>
        <v/>
      </c>
      <c r="F1073" s="48" t="str">
        <f t="shared" ca="1" si="65"/>
        <v/>
      </c>
      <c r="G1073" s="46" t="str">
        <f t="shared" ca="1" si="66"/>
        <v>RED</v>
      </c>
      <c r="H1073" s="46" t="str">
        <f t="shared" ca="1" si="67"/>
        <v>Not Started</v>
      </c>
      <c r="I1073" s="21"/>
    </row>
    <row r="1074" spans="1:9" x14ac:dyDescent="0.35">
      <c r="A1074" s="46" t="s">
        <v>250</v>
      </c>
      <c r="B1074" s="46" t="s">
        <v>182</v>
      </c>
      <c r="C1074" s="47" t="str">
        <f>Matrix!CE12</f>
        <v>NS</v>
      </c>
      <c r="D1074" s="48">
        <f>IFERROR(VLOOKUP(B1074,'Renewal Rules'!$A:$B,2,FALSE),"")</f>
        <v>12</v>
      </c>
      <c r="E1074" s="47" t="str">
        <f t="shared" si="64"/>
        <v/>
      </c>
      <c r="F1074" s="48" t="str">
        <f t="shared" ca="1" si="65"/>
        <v/>
      </c>
      <c r="G1074" s="46" t="str">
        <f t="shared" ca="1" si="66"/>
        <v>RED</v>
      </c>
      <c r="H1074" s="46" t="str">
        <f t="shared" ca="1" si="67"/>
        <v>Not Started</v>
      </c>
      <c r="I1074" s="21"/>
    </row>
    <row r="1075" spans="1:9" x14ac:dyDescent="0.35">
      <c r="A1075" s="46" t="s">
        <v>250</v>
      </c>
      <c r="B1075" s="46" t="s">
        <v>183</v>
      </c>
      <c r="C1075" s="47" t="str">
        <f>Matrix!CF12</f>
        <v>NS</v>
      </c>
      <c r="D1075" s="48">
        <f>IFERROR(VLOOKUP(B1075,'Renewal Rules'!$A:$B,2,FALSE),"")</f>
        <v>36</v>
      </c>
      <c r="E1075" s="47" t="str">
        <f t="shared" si="64"/>
        <v/>
      </c>
      <c r="F1075" s="48" t="str">
        <f t="shared" ca="1" si="65"/>
        <v/>
      </c>
      <c r="G1075" s="46" t="str">
        <f t="shared" ca="1" si="66"/>
        <v>RED</v>
      </c>
      <c r="H1075" s="46" t="str">
        <f t="shared" ca="1" si="67"/>
        <v>Not Started</v>
      </c>
      <c r="I1075" s="21"/>
    </row>
    <row r="1076" spans="1:9" x14ac:dyDescent="0.35">
      <c r="A1076" s="46" t="s">
        <v>250</v>
      </c>
      <c r="B1076" s="46" t="s">
        <v>184</v>
      </c>
      <c r="C1076" s="47" t="str">
        <f>Matrix!CG12</f>
        <v>NS</v>
      </c>
      <c r="D1076" s="48">
        <f>IFERROR(VLOOKUP(B1076,'Renewal Rules'!$A:$B,2,FALSE),"")</f>
        <v>12</v>
      </c>
      <c r="E1076" s="47" t="str">
        <f t="shared" si="64"/>
        <v/>
      </c>
      <c r="F1076" s="48" t="str">
        <f t="shared" ca="1" si="65"/>
        <v/>
      </c>
      <c r="G1076" s="46" t="str">
        <f t="shared" ca="1" si="66"/>
        <v>RED</v>
      </c>
      <c r="H1076" s="46" t="str">
        <f t="shared" ca="1" si="67"/>
        <v>Not Started</v>
      </c>
      <c r="I1076" s="21"/>
    </row>
    <row r="1077" spans="1:9" x14ac:dyDescent="0.35">
      <c r="A1077" s="46" t="s">
        <v>250</v>
      </c>
      <c r="B1077" s="46" t="s">
        <v>185</v>
      </c>
      <c r="C1077" s="47" t="str">
        <f>Matrix!CH12</f>
        <v>NS</v>
      </c>
      <c r="D1077" s="48">
        <f>IFERROR(VLOOKUP(B1077,'Renewal Rules'!$A:$B,2,FALSE),"")</f>
        <v>12</v>
      </c>
      <c r="E1077" s="47" t="str">
        <f t="shared" si="64"/>
        <v/>
      </c>
      <c r="F1077" s="48" t="str">
        <f t="shared" ca="1" si="65"/>
        <v/>
      </c>
      <c r="G1077" s="46" t="str">
        <f t="shared" ca="1" si="66"/>
        <v>RED</v>
      </c>
      <c r="H1077" s="46" t="str">
        <f t="shared" ca="1" si="67"/>
        <v>Not Started</v>
      </c>
      <c r="I1077" s="21"/>
    </row>
    <row r="1078" spans="1:9" x14ac:dyDescent="0.35">
      <c r="A1078" s="46" t="s">
        <v>250</v>
      </c>
      <c r="B1078" s="46" t="s">
        <v>186</v>
      </c>
      <c r="C1078" s="47" t="str">
        <f>Matrix!CI12</f>
        <v>NS</v>
      </c>
      <c r="D1078" s="48">
        <f>IFERROR(VLOOKUP(B1078,'Renewal Rules'!$A:$B,2,FALSE),"")</f>
        <v>36</v>
      </c>
      <c r="E1078" s="47" t="str">
        <f t="shared" si="64"/>
        <v/>
      </c>
      <c r="F1078" s="48" t="str">
        <f t="shared" ca="1" si="65"/>
        <v/>
      </c>
      <c r="G1078" s="46" t="str">
        <f t="shared" ca="1" si="66"/>
        <v>RED</v>
      </c>
      <c r="H1078" s="46" t="str">
        <f t="shared" ca="1" si="67"/>
        <v>Not Started</v>
      </c>
      <c r="I1078" s="21"/>
    </row>
    <row r="1079" spans="1:9" x14ac:dyDescent="0.35">
      <c r="A1079" s="46" t="s">
        <v>250</v>
      </c>
      <c r="B1079" s="46" t="s">
        <v>187</v>
      </c>
      <c r="C1079" s="47" t="str">
        <f>Matrix!CJ12</f>
        <v>NS</v>
      </c>
      <c r="D1079" s="48">
        <f>IFERROR(VLOOKUP(B1079,'Renewal Rules'!$A:$B,2,FALSE),"")</f>
        <v>12</v>
      </c>
      <c r="E1079" s="47" t="str">
        <f t="shared" si="64"/>
        <v/>
      </c>
      <c r="F1079" s="48" t="str">
        <f t="shared" ca="1" si="65"/>
        <v/>
      </c>
      <c r="G1079" s="46" t="str">
        <f t="shared" ca="1" si="66"/>
        <v>RED</v>
      </c>
      <c r="H1079" s="46" t="str">
        <f t="shared" ca="1" si="67"/>
        <v>Not Started</v>
      </c>
      <c r="I1079" s="21"/>
    </row>
    <row r="1080" spans="1:9" x14ac:dyDescent="0.35">
      <c r="A1080" s="46" t="s">
        <v>250</v>
      </c>
      <c r="B1080" s="46" t="s">
        <v>188</v>
      </c>
      <c r="C1080" s="47" t="str">
        <f>Matrix!CK12</f>
        <v>NS</v>
      </c>
      <c r="D1080" s="48">
        <f>IFERROR(VLOOKUP(B1080,'Renewal Rules'!$A:$B,2,FALSE),"")</f>
        <v>36</v>
      </c>
      <c r="E1080" s="47" t="str">
        <f t="shared" si="64"/>
        <v/>
      </c>
      <c r="F1080" s="48" t="str">
        <f t="shared" ca="1" si="65"/>
        <v/>
      </c>
      <c r="G1080" s="46" t="str">
        <f t="shared" ca="1" si="66"/>
        <v>RED</v>
      </c>
      <c r="H1080" s="46" t="str">
        <f t="shared" ca="1" si="67"/>
        <v>Not Started</v>
      </c>
      <c r="I1080" s="21"/>
    </row>
    <row r="1081" spans="1:9" x14ac:dyDescent="0.35">
      <c r="A1081" s="46" t="s">
        <v>250</v>
      </c>
      <c r="B1081" s="46" t="s">
        <v>189</v>
      </c>
      <c r="C1081" s="47" t="str">
        <f>Matrix!CL12</f>
        <v>NS</v>
      </c>
      <c r="D1081" s="48">
        <f>IFERROR(VLOOKUP(B1081,'Renewal Rules'!$A:$B,2,FALSE),"")</f>
        <v>36</v>
      </c>
      <c r="E1081" s="47" t="str">
        <f t="shared" si="64"/>
        <v/>
      </c>
      <c r="F1081" s="48" t="str">
        <f t="shared" ca="1" si="65"/>
        <v/>
      </c>
      <c r="G1081" s="46" t="str">
        <f t="shared" ca="1" si="66"/>
        <v>RED</v>
      </c>
      <c r="H1081" s="46" t="str">
        <f t="shared" ca="1" si="67"/>
        <v>Not Started</v>
      </c>
      <c r="I1081" s="21"/>
    </row>
    <row r="1082" spans="1:9" x14ac:dyDescent="0.35">
      <c r="A1082" s="46" t="s">
        <v>250</v>
      </c>
      <c r="B1082" s="46" t="s">
        <v>190</v>
      </c>
      <c r="C1082" s="47" t="str">
        <f>Matrix!CM12</f>
        <v>NS</v>
      </c>
      <c r="D1082" s="48">
        <f>IFERROR(VLOOKUP(B1082,'Renewal Rules'!$A:$B,2,FALSE),"")</f>
        <v>12</v>
      </c>
      <c r="E1082" s="47" t="str">
        <f t="shared" si="64"/>
        <v/>
      </c>
      <c r="F1082" s="48" t="str">
        <f t="shared" ca="1" si="65"/>
        <v/>
      </c>
      <c r="G1082" s="46" t="str">
        <f t="shared" ca="1" si="66"/>
        <v>RED</v>
      </c>
      <c r="H1082" s="46" t="str">
        <f t="shared" ca="1" si="67"/>
        <v>Not Started</v>
      </c>
      <c r="I1082" s="21"/>
    </row>
    <row r="1083" spans="1:9" x14ac:dyDescent="0.35">
      <c r="A1083" s="46" t="s">
        <v>250</v>
      </c>
      <c r="B1083" s="46" t="s">
        <v>191</v>
      </c>
      <c r="C1083" s="47" t="str">
        <f>Matrix!CN12</f>
        <v>NS</v>
      </c>
      <c r="D1083" s="48">
        <f>IFERROR(VLOOKUP(B1083,'Renewal Rules'!$A:$B,2,FALSE),"")</f>
        <v>36</v>
      </c>
      <c r="E1083" s="47" t="str">
        <f t="shared" si="64"/>
        <v/>
      </c>
      <c r="F1083" s="48" t="str">
        <f t="shared" ca="1" si="65"/>
        <v/>
      </c>
      <c r="G1083" s="46" t="str">
        <f t="shared" ca="1" si="66"/>
        <v>RED</v>
      </c>
      <c r="H1083" s="46" t="str">
        <f t="shared" ca="1" si="67"/>
        <v>Not Started</v>
      </c>
      <c r="I1083" s="21"/>
    </row>
    <row r="1084" spans="1:9" x14ac:dyDescent="0.35">
      <c r="A1084" s="46" t="s">
        <v>250</v>
      </c>
      <c r="B1084" s="46" t="s">
        <v>192</v>
      </c>
      <c r="C1084" s="47" t="str">
        <f>Matrix!CO12</f>
        <v>NS</v>
      </c>
      <c r="D1084" s="48">
        <f>IFERROR(VLOOKUP(B1084,'Renewal Rules'!$A:$B,2,FALSE),"")</f>
        <v>12</v>
      </c>
      <c r="E1084" s="47" t="str">
        <f t="shared" si="64"/>
        <v/>
      </c>
      <c r="F1084" s="48" t="str">
        <f t="shared" ca="1" si="65"/>
        <v/>
      </c>
      <c r="G1084" s="46" t="str">
        <f t="shared" ca="1" si="66"/>
        <v>RED</v>
      </c>
      <c r="H1084" s="46" t="str">
        <f t="shared" ca="1" si="67"/>
        <v>Not Started</v>
      </c>
      <c r="I1084" s="21"/>
    </row>
    <row r="1085" spans="1:9" ht="12.9" customHeight="1" x14ac:dyDescent="0.35">
      <c r="A1085" s="46" t="s">
        <v>250</v>
      </c>
      <c r="B1085" s="46" t="s">
        <v>193</v>
      </c>
      <c r="C1085" s="47" t="str">
        <f>Matrix!CP12</f>
        <v>NS</v>
      </c>
      <c r="D1085" s="48">
        <f>IFERROR(VLOOKUP(B1085,'Renewal Rules'!$A:$B,2,FALSE),"")</f>
        <v>12</v>
      </c>
      <c r="E1085" s="47" t="str">
        <f t="shared" si="64"/>
        <v/>
      </c>
      <c r="F1085" s="48" t="str">
        <f t="shared" ca="1" si="65"/>
        <v/>
      </c>
      <c r="G1085" s="46" t="str">
        <f t="shared" ca="1" si="66"/>
        <v>RED</v>
      </c>
      <c r="H1085" s="46" t="str">
        <f t="shared" ca="1" si="67"/>
        <v>Not Started</v>
      </c>
      <c r="I1085" s="21"/>
    </row>
    <row r="1086" spans="1:9" x14ac:dyDescent="0.35">
      <c r="A1086" s="46" t="s">
        <v>250</v>
      </c>
      <c r="B1086" s="46" t="s">
        <v>194</v>
      </c>
      <c r="C1086" s="47" t="str">
        <f>Matrix!CQ12</f>
        <v>NS</v>
      </c>
      <c r="D1086" s="48">
        <f>IFERROR(VLOOKUP(B1086,'Renewal Rules'!$A:$B,2,FALSE),"")</f>
        <v>36</v>
      </c>
      <c r="E1086" s="47" t="str">
        <f t="shared" si="64"/>
        <v/>
      </c>
      <c r="F1086" s="48" t="str">
        <f t="shared" ca="1" si="65"/>
        <v/>
      </c>
      <c r="G1086" s="46" t="str">
        <f t="shared" ca="1" si="66"/>
        <v>RED</v>
      </c>
      <c r="H1086" s="46" t="str">
        <f t="shared" ca="1" si="67"/>
        <v>Not Started</v>
      </c>
      <c r="I1086" s="21"/>
    </row>
    <row r="1087" spans="1:9" ht="12.9" customHeight="1" x14ac:dyDescent="0.35">
      <c r="A1087" s="46" t="s">
        <v>250</v>
      </c>
      <c r="B1087" s="46" t="s">
        <v>195</v>
      </c>
      <c r="C1087" s="47" t="str">
        <f>Matrix!CR12</f>
        <v>NS</v>
      </c>
      <c r="D1087" s="48">
        <f>IFERROR(VLOOKUP(B1087,'Renewal Rules'!$A:$B,2,FALSE),"")</f>
        <v>36</v>
      </c>
      <c r="E1087" s="47" t="str">
        <f t="shared" si="64"/>
        <v/>
      </c>
      <c r="F1087" s="48" t="str">
        <f t="shared" ca="1" si="65"/>
        <v/>
      </c>
      <c r="G1087" s="46" t="str">
        <f t="shared" ca="1" si="66"/>
        <v>RED</v>
      </c>
      <c r="H1087" s="46" t="str">
        <f t="shared" ca="1" si="67"/>
        <v>Not Started</v>
      </c>
      <c r="I1087" s="21"/>
    </row>
    <row r="1088" spans="1:9" x14ac:dyDescent="0.35">
      <c r="A1088" s="46" t="s">
        <v>250</v>
      </c>
      <c r="B1088" s="46" t="s">
        <v>196</v>
      </c>
      <c r="C1088" s="47" t="str">
        <f>Matrix!CS12</f>
        <v>NS</v>
      </c>
      <c r="D1088" s="48">
        <f>IFERROR(VLOOKUP(B1088,'Renewal Rules'!$A:$B,2,FALSE),"")</f>
        <v>36</v>
      </c>
      <c r="E1088" s="47" t="str">
        <f t="shared" si="64"/>
        <v/>
      </c>
      <c r="F1088" s="48" t="str">
        <f t="shared" ca="1" si="65"/>
        <v/>
      </c>
      <c r="G1088" s="46" t="str">
        <f t="shared" ca="1" si="66"/>
        <v>RED</v>
      </c>
      <c r="H1088" s="46" t="str">
        <f t="shared" ca="1" si="67"/>
        <v>Not Started</v>
      </c>
      <c r="I1088" s="21"/>
    </row>
    <row r="1089" spans="1:9" x14ac:dyDescent="0.35">
      <c r="A1089" s="46" t="s">
        <v>250</v>
      </c>
      <c r="B1089" s="46" t="s">
        <v>197</v>
      </c>
      <c r="C1089" s="47" t="str">
        <f>Matrix!CT12</f>
        <v>NS</v>
      </c>
      <c r="D1089" s="48">
        <f>IFERROR(VLOOKUP(B1089,'Renewal Rules'!$A:$B,2,FALSE),"")</f>
        <v>12</v>
      </c>
      <c r="E1089" s="47" t="str">
        <f t="shared" si="64"/>
        <v/>
      </c>
      <c r="F1089" s="48" t="str">
        <f t="shared" ca="1" si="65"/>
        <v/>
      </c>
      <c r="G1089" s="46" t="str">
        <f t="shared" ca="1" si="66"/>
        <v>RED</v>
      </c>
      <c r="H1089" s="46" t="str">
        <f t="shared" ca="1" si="67"/>
        <v>Not Started</v>
      </c>
      <c r="I1089" s="21"/>
    </row>
    <row r="1090" spans="1:9" x14ac:dyDescent="0.35">
      <c r="A1090" s="46" t="s">
        <v>250</v>
      </c>
      <c r="B1090" s="46" t="s">
        <v>198</v>
      </c>
      <c r="C1090" s="47" t="str">
        <f>Matrix!CU12</f>
        <v>NS</v>
      </c>
      <c r="D1090" s="48">
        <f>IFERROR(VLOOKUP(B1090,'Renewal Rules'!$A:$B,2,FALSE),"")</f>
        <v>12</v>
      </c>
      <c r="E1090" s="47" t="str">
        <f t="shared" si="64"/>
        <v/>
      </c>
      <c r="F1090" s="48" t="str">
        <f t="shared" ca="1" si="65"/>
        <v/>
      </c>
      <c r="G1090" s="46" t="str">
        <f t="shared" ca="1" si="66"/>
        <v>RED</v>
      </c>
      <c r="H1090" s="46" t="str">
        <f t="shared" ca="1" si="67"/>
        <v>Not Started</v>
      </c>
      <c r="I1090" s="21"/>
    </row>
    <row r="1091" spans="1:9" x14ac:dyDescent="0.35">
      <c r="A1091" s="46" t="s">
        <v>250</v>
      </c>
      <c r="B1091" s="46" t="s">
        <v>199</v>
      </c>
      <c r="C1091" s="47" t="str">
        <f>Matrix!CV12</f>
        <v>NS</v>
      </c>
      <c r="D1091" s="48">
        <f>IFERROR(VLOOKUP(B1091,'Renewal Rules'!$A:$B,2,FALSE),"")</f>
        <v>12</v>
      </c>
      <c r="E1091" s="47" t="str">
        <f t="shared" ref="E1091:E1154" si="68">IF(OR(C1091="",C1091="NS",C1091="IP",C1091="Failed"),"",IFERROR(EDATE(IF(ISNUMBER(C1091),C1091,IFERROR(DATEVALUE(C1091),DATE(VALUE(RIGHT(C1091,4)),VALUE(MID(C1091,4,2)),VALUE(LEFT(C1091,2))))),D1091),""))</f>
        <v/>
      </c>
      <c r="F1091" s="48" t="str">
        <f t="shared" ref="F1091:F1154" ca="1" si="69">IF(E1091="","",E1091-TODAY())</f>
        <v/>
      </c>
      <c r="G1091" s="46" t="str">
        <f t="shared" ref="G1091:G1154" ca="1" si="70">IF(C1091="NS","RED",IF(C1091="IP","AMBER",IF(E1091="","",IF(E1091&lt;TODAY(),"RED",IF(E1091&lt;=TODAY()+30,"AMBER","GREEN")))))</f>
        <v>RED</v>
      </c>
      <c r="H1091" s="46" t="str">
        <f t="shared" ref="H1091:H1154" ca="1" si="71">IF(C1091="NS","Not Started",IF(C1091="IP","In Progress",IF(E1091="","Check",IF(E1091&lt;TODAY(),"Expired",IF(E1091&lt;=TODAY()+30,"Expiring Soon","Current")))))</f>
        <v>Not Started</v>
      </c>
      <c r="I1091" s="21"/>
    </row>
    <row r="1092" spans="1:9" ht="12.9" customHeight="1" x14ac:dyDescent="0.35">
      <c r="A1092" s="46" t="s">
        <v>250</v>
      </c>
      <c r="B1092" s="46" t="s">
        <v>200</v>
      </c>
      <c r="C1092" s="47" t="str">
        <f>Matrix!CW12</f>
        <v>NS</v>
      </c>
      <c r="D1092" s="48">
        <f>IFERROR(VLOOKUP(B1092,'Renewal Rules'!$A:$B,2,FALSE),"")</f>
        <v>12</v>
      </c>
      <c r="E1092" s="47" t="str">
        <f t="shared" si="68"/>
        <v/>
      </c>
      <c r="F1092" s="48" t="str">
        <f t="shared" ca="1" si="69"/>
        <v/>
      </c>
      <c r="G1092" s="46" t="str">
        <f t="shared" ca="1" si="70"/>
        <v>RED</v>
      </c>
      <c r="H1092" s="46" t="str">
        <f t="shared" ca="1" si="71"/>
        <v>Not Started</v>
      </c>
      <c r="I1092" s="21"/>
    </row>
    <row r="1093" spans="1:9" x14ac:dyDescent="0.35">
      <c r="A1093" s="46" t="s">
        <v>250</v>
      </c>
      <c r="B1093" s="46" t="s">
        <v>201</v>
      </c>
      <c r="C1093" s="47" t="str">
        <f>Matrix!CX12</f>
        <v>NS</v>
      </c>
      <c r="D1093" s="48">
        <f>IFERROR(VLOOKUP(B1093,'Renewal Rules'!$A:$B,2,FALSE),"")</f>
        <v>12</v>
      </c>
      <c r="E1093" s="47" t="str">
        <f t="shared" si="68"/>
        <v/>
      </c>
      <c r="F1093" s="48" t="str">
        <f t="shared" ca="1" si="69"/>
        <v/>
      </c>
      <c r="G1093" s="46" t="str">
        <f t="shared" ca="1" si="70"/>
        <v>RED</v>
      </c>
      <c r="H1093" s="46" t="str">
        <f t="shared" ca="1" si="71"/>
        <v>Not Started</v>
      </c>
      <c r="I1093" s="21"/>
    </row>
    <row r="1094" spans="1:9" x14ac:dyDescent="0.35">
      <c r="A1094" s="46" t="s">
        <v>250</v>
      </c>
      <c r="B1094" s="46" t="s">
        <v>202</v>
      </c>
      <c r="C1094" s="47" t="str">
        <f>Matrix!CY12</f>
        <v>NS</v>
      </c>
      <c r="D1094" s="48">
        <f>IFERROR(VLOOKUP(B1094,'Renewal Rules'!$A:$B,2,FALSE),"")</f>
        <v>36</v>
      </c>
      <c r="E1094" s="47" t="str">
        <f t="shared" si="68"/>
        <v/>
      </c>
      <c r="F1094" s="48" t="str">
        <f t="shared" ca="1" si="69"/>
        <v/>
      </c>
      <c r="G1094" s="46" t="str">
        <f t="shared" ca="1" si="70"/>
        <v>RED</v>
      </c>
      <c r="H1094" s="46" t="str">
        <f t="shared" ca="1" si="71"/>
        <v>Not Started</v>
      </c>
      <c r="I1094" s="21"/>
    </row>
    <row r="1095" spans="1:9" ht="12.9" customHeight="1" x14ac:dyDescent="0.35">
      <c r="A1095" s="46" t="s">
        <v>250</v>
      </c>
      <c r="B1095" s="46" t="s">
        <v>203</v>
      </c>
      <c r="C1095" s="47" t="str">
        <f>Matrix!CZ12</f>
        <v>NS</v>
      </c>
      <c r="D1095" s="48">
        <f>IFERROR(VLOOKUP(B1095,'Renewal Rules'!$A:$B,2,FALSE),"")</f>
        <v>12</v>
      </c>
      <c r="E1095" s="47" t="str">
        <f t="shared" si="68"/>
        <v/>
      </c>
      <c r="F1095" s="48" t="str">
        <f t="shared" ca="1" si="69"/>
        <v/>
      </c>
      <c r="G1095" s="46" t="str">
        <f t="shared" ca="1" si="70"/>
        <v>RED</v>
      </c>
      <c r="H1095" s="46" t="str">
        <f t="shared" ca="1" si="71"/>
        <v>Not Started</v>
      </c>
      <c r="I1095" s="21"/>
    </row>
    <row r="1096" spans="1:9" x14ac:dyDescent="0.35">
      <c r="A1096" s="46" t="s">
        <v>250</v>
      </c>
      <c r="B1096" s="46" t="s">
        <v>204</v>
      </c>
      <c r="C1096" s="47" t="str">
        <f>Matrix!DA12</f>
        <v>16/02/2026</v>
      </c>
      <c r="D1096" s="48">
        <f>IFERROR(VLOOKUP(B1096,'Renewal Rules'!$A:$B,2,FALSE),"")</f>
        <v>12</v>
      </c>
      <c r="E1096" s="47">
        <f t="shared" si="68"/>
        <v>46434</v>
      </c>
      <c r="F1096" s="48">
        <f t="shared" ca="1" si="69"/>
        <v>231</v>
      </c>
      <c r="G1096" s="46" t="str">
        <f t="shared" ca="1" si="70"/>
        <v>GREEN</v>
      </c>
      <c r="H1096" s="46" t="str">
        <f t="shared" ca="1" si="71"/>
        <v>Current</v>
      </c>
      <c r="I1096" s="21"/>
    </row>
    <row r="1097" spans="1:9" x14ac:dyDescent="0.35">
      <c r="A1097" s="46" t="s">
        <v>250</v>
      </c>
      <c r="B1097" s="46" t="s">
        <v>205</v>
      </c>
      <c r="C1097" s="47" t="str">
        <f>Matrix!DB12</f>
        <v>16/02/2026</v>
      </c>
      <c r="D1097" s="48">
        <f>IFERROR(VLOOKUP(B1097,'Renewal Rules'!$A:$B,2,FALSE),"")</f>
        <v>36</v>
      </c>
      <c r="E1097" s="47">
        <f t="shared" si="68"/>
        <v>47165</v>
      </c>
      <c r="F1097" s="48">
        <f t="shared" ca="1" si="69"/>
        <v>962</v>
      </c>
      <c r="G1097" s="46" t="str">
        <f t="shared" ca="1" si="70"/>
        <v>GREEN</v>
      </c>
      <c r="H1097" s="46" t="str">
        <f t="shared" ca="1" si="71"/>
        <v>Current</v>
      </c>
      <c r="I1097" s="21"/>
    </row>
    <row r="1098" spans="1:9" x14ac:dyDescent="0.35">
      <c r="A1098" s="46" t="s">
        <v>250</v>
      </c>
      <c r="B1098" s="46" t="s">
        <v>94</v>
      </c>
      <c r="C1098" s="47" t="str">
        <f>Matrix!DC12</f>
        <v>05/12/2025</v>
      </c>
      <c r="D1098" s="48">
        <f>IFERROR(VLOOKUP(B1098,'Renewal Rules'!$A:$B,2,FALSE),"")</f>
        <v>12</v>
      </c>
      <c r="E1098" s="47">
        <f t="shared" si="68"/>
        <v>46361</v>
      </c>
      <c r="F1098" s="48">
        <f t="shared" ca="1" si="69"/>
        <v>158</v>
      </c>
      <c r="G1098" s="46" t="str">
        <f t="shared" ca="1" si="70"/>
        <v>GREEN</v>
      </c>
      <c r="H1098" s="46" t="str">
        <f t="shared" ca="1" si="71"/>
        <v>Current</v>
      </c>
      <c r="I1098" s="21"/>
    </row>
    <row r="1099" spans="1:9" x14ac:dyDescent="0.35">
      <c r="A1099" s="46" t="s">
        <v>250</v>
      </c>
      <c r="B1099" s="46" t="s">
        <v>206</v>
      </c>
      <c r="C1099" s="47" t="str">
        <f>Matrix!DD12</f>
        <v>16/02/2026</v>
      </c>
      <c r="D1099" s="48">
        <f>IFERROR(VLOOKUP(B1099,'Renewal Rules'!$A:$B,2,FALSE),"")</f>
        <v>36</v>
      </c>
      <c r="E1099" s="47">
        <f t="shared" si="68"/>
        <v>47165</v>
      </c>
      <c r="F1099" s="48">
        <f t="shared" ca="1" si="69"/>
        <v>962</v>
      </c>
      <c r="G1099" s="46" t="str">
        <f t="shared" ca="1" si="70"/>
        <v>GREEN</v>
      </c>
      <c r="H1099" s="46" t="str">
        <f t="shared" ca="1" si="71"/>
        <v>Current</v>
      </c>
      <c r="I1099" s="21"/>
    </row>
    <row r="1100" spans="1:9" x14ac:dyDescent="0.35">
      <c r="A1100" s="46" t="s">
        <v>250</v>
      </c>
      <c r="B1100" s="46" t="s">
        <v>207</v>
      </c>
      <c r="C1100" s="47" t="str">
        <f>Matrix!DE12</f>
        <v>17/02/2026</v>
      </c>
      <c r="D1100" s="48">
        <f>IFERROR(VLOOKUP(B1100,'Renewal Rules'!$A:$B,2,FALSE),"")</f>
        <v>36</v>
      </c>
      <c r="E1100" s="47">
        <f t="shared" si="68"/>
        <v>47166</v>
      </c>
      <c r="F1100" s="48">
        <f t="shared" ca="1" si="69"/>
        <v>963</v>
      </c>
      <c r="G1100" s="46" t="str">
        <f t="shared" ca="1" si="70"/>
        <v>GREEN</v>
      </c>
      <c r="H1100" s="46" t="str">
        <f t="shared" ca="1" si="71"/>
        <v>Current</v>
      </c>
      <c r="I1100" s="21"/>
    </row>
    <row r="1101" spans="1:9" x14ac:dyDescent="0.35">
      <c r="A1101" s="46" t="s">
        <v>250</v>
      </c>
      <c r="B1101" s="46" t="s">
        <v>208</v>
      </c>
      <c r="C1101" s="47" t="str">
        <f>Matrix!DF12</f>
        <v>NS</v>
      </c>
      <c r="D1101" s="48">
        <f>IFERROR(VLOOKUP(B1101,'Renewal Rules'!$A:$B,2,FALSE),"")</f>
        <v>36</v>
      </c>
      <c r="E1101" s="47" t="str">
        <f t="shared" si="68"/>
        <v/>
      </c>
      <c r="F1101" s="48" t="str">
        <f t="shared" ca="1" si="69"/>
        <v/>
      </c>
      <c r="G1101" s="46" t="str">
        <f t="shared" ca="1" si="70"/>
        <v>RED</v>
      </c>
      <c r="H1101" s="46" t="str">
        <f t="shared" ca="1" si="71"/>
        <v>Not Started</v>
      </c>
      <c r="I1101" s="21"/>
    </row>
    <row r="1102" spans="1:9" x14ac:dyDescent="0.35">
      <c r="A1102" s="46" t="s">
        <v>250</v>
      </c>
      <c r="B1102" s="46" t="s">
        <v>104</v>
      </c>
      <c r="C1102" s="47" t="str">
        <f>Matrix!DG12</f>
        <v>NS</v>
      </c>
      <c r="D1102" s="48">
        <f>IFERROR(VLOOKUP(B1102,'Renewal Rules'!$A:$B,2,FALSE),"")</f>
        <v>12</v>
      </c>
      <c r="E1102" s="47" t="str">
        <f t="shared" si="68"/>
        <v/>
      </c>
      <c r="F1102" s="48" t="str">
        <f t="shared" ca="1" si="69"/>
        <v/>
      </c>
      <c r="G1102" s="46" t="str">
        <f t="shared" ca="1" si="70"/>
        <v>RED</v>
      </c>
      <c r="H1102" s="46" t="str">
        <f t="shared" ca="1" si="71"/>
        <v>Not Started</v>
      </c>
      <c r="I1102" s="21"/>
    </row>
    <row r="1103" spans="1:9" x14ac:dyDescent="0.35">
      <c r="A1103" s="46" t="s">
        <v>99</v>
      </c>
      <c r="B1103" s="46" t="s">
        <v>111</v>
      </c>
      <c r="C1103" s="47" t="str">
        <f>Matrix!B13</f>
        <v>NS</v>
      </c>
      <c r="D1103" s="48">
        <f>IFERROR(VLOOKUP(B1103,'Renewal Rules'!$A:$B,2,FALSE),"")</f>
        <v>36</v>
      </c>
      <c r="E1103" s="47" t="str">
        <f t="shared" si="68"/>
        <v/>
      </c>
      <c r="F1103" s="48" t="str">
        <f t="shared" ca="1" si="69"/>
        <v/>
      </c>
      <c r="G1103" s="46" t="str">
        <f t="shared" ca="1" si="70"/>
        <v>RED</v>
      </c>
      <c r="H1103" s="46" t="str">
        <f t="shared" ca="1" si="71"/>
        <v>Not Started</v>
      </c>
      <c r="I1103" s="21"/>
    </row>
    <row r="1104" spans="1:9" x14ac:dyDescent="0.35">
      <c r="A1104" s="46" t="s">
        <v>99</v>
      </c>
      <c r="B1104" s="46" t="s">
        <v>100</v>
      </c>
      <c r="C1104" s="47" t="str">
        <f>Matrix!C13</f>
        <v>NS</v>
      </c>
      <c r="D1104" s="48">
        <f>IFERROR(VLOOKUP(B1104,'Renewal Rules'!$A:$B,2,FALSE),"")</f>
        <v>36</v>
      </c>
      <c r="E1104" s="47" t="str">
        <f t="shared" si="68"/>
        <v/>
      </c>
      <c r="F1104" s="48" t="str">
        <f t="shared" ca="1" si="69"/>
        <v/>
      </c>
      <c r="G1104" s="46" t="str">
        <f t="shared" ca="1" si="70"/>
        <v>RED</v>
      </c>
      <c r="H1104" s="46" t="str">
        <f t="shared" ca="1" si="71"/>
        <v>Not Started</v>
      </c>
      <c r="I1104" s="21"/>
    </row>
    <row r="1105" spans="1:9" x14ac:dyDescent="0.35">
      <c r="A1105" s="46" t="s">
        <v>99</v>
      </c>
      <c r="B1105" s="46" t="s">
        <v>112</v>
      </c>
      <c r="C1105" s="47" t="str">
        <f>Matrix!D13</f>
        <v>NS</v>
      </c>
      <c r="D1105" s="48">
        <f>IFERROR(VLOOKUP(B1105,'Renewal Rules'!$A:$B,2,FALSE),"")</f>
        <v>12</v>
      </c>
      <c r="E1105" s="47" t="str">
        <f t="shared" si="68"/>
        <v/>
      </c>
      <c r="F1105" s="48" t="str">
        <f t="shared" ca="1" si="69"/>
        <v/>
      </c>
      <c r="G1105" s="46" t="str">
        <f t="shared" ca="1" si="70"/>
        <v>RED</v>
      </c>
      <c r="H1105" s="46" t="str">
        <f t="shared" ca="1" si="71"/>
        <v>Not Started</v>
      </c>
      <c r="I1105" s="21"/>
    </row>
    <row r="1106" spans="1:9" x14ac:dyDescent="0.35">
      <c r="A1106" s="46" t="s">
        <v>99</v>
      </c>
      <c r="B1106" s="46" t="s">
        <v>96</v>
      </c>
      <c r="C1106" s="47" t="str">
        <f>Matrix!E13</f>
        <v>11/02/2026</v>
      </c>
      <c r="D1106" s="48">
        <f>IFERROR(VLOOKUP(B1106,'Renewal Rules'!$A:$B,2,FALSE),"")</f>
        <v>36</v>
      </c>
      <c r="E1106" s="47">
        <f t="shared" si="68"/>
        <v>47160</v>
      </c>
      <c r="F1106" s="48">
        <f t="shared" ca="1" si="69"/>
        <v>957</v>
      </c>
      <c r="G1106" s="46" t="str">
        <f t="shared" ca="1" si="70"/>
        <v>GREEN</v>
      </c>
      <c r="H1106" s="46" t="str">
        <f t="shared" ca="1" si="71"/>
        <v>Current</v>
      </c>
      <c r="I1106" s="21"/>
    </row>
    <row r="1107" spans="1:9" x14ac:dyDescent="0.35">
      <c r="A1107" s="46" t="s">
        <v>99</v>
      </c>
      <c r="B1107" s="46" t="s">
        <v>113</v>
      </c>
      <c r="C1107" s="47" t="str">
        <f>Matrix!F13</f>
        <v>15/07/2024</v>
      </c>
      <c r="D1107" s="48">
        <f>IFERROR(VLOOKUP(B1107,'Renewal Rules'!$A:$B,2,FALSE),"")</f>
        <v>36</v>
      </c>
      <c r="E1107" s="47">
        <f t="shared" si="68"/>
        <v>46583</v>
      </c>
      <c r="F1107" s="48">
        <f t="shared" ca="1" si="69"/>
        <v>380</v>
      </c>
      <c r="G1107" s="46" t="str">
        <f t="shared" ca="1" si="70"/>
        <v>GREEN</v>
      </c>
      <c r="H1107" s="46" t="str">
        <f t="shared" ca="1" si="71"/>
        <v>Current</v>
      </c>
      <c r="I1107" s="21"/>
    </row>
    <row r="1108" spans="1:9" x14ac:dyDescent="0.35">
      <c r="A1108" s="46" t="s">
        <v>99</v>
      </c>
      <c r="B1108" s="46" t="s">
        <v>114</v>
      </c>
      <c r="C1108" s="47" t="str">
        <f>Matrix!G13</f>
        <v>NS</v>
      </c>
      <c r="D1108" s="48">
        <f>IFERROR(VLOOKUP(B1108,'Renewal Rules'!$A:$B,2,FALSE),"")</f>
        <v>12</v>
      </c>
      <c r="E1108" s="47" t="str">
        <f t="shared" si="68"/>
        <v/>
      </c>
      <c r="F1108" s="48" t="str">
        <f t="shared" ca="1" si="69"/>
        <v/>
      </c>
      <c r="G1108" s="46" t="str">
        <f t="shared" ca="1" si="70"/>
        <v>RED</v>
      </c>
      <c r="H1108" s="46" t="str">
        <f t="shared" ca="1" si="71"/>
        <v>Not Started</v>
      </c>
      <c r="I1108" s="21"/>
    </row>
    <row r="1109" spans="1:9" x14ac:dyDescent="0.35">
      <c r="A1109" s="46" t="s">
        <v>99</v>
      </c>
      <c r="B1109" s="46" t="s">
        <v>115</v>
      </c>
      <c r="C1109" s="47" t="str">
        <f>Matrix!H13</f>
        <v>NS</v>
      </c>
      <c r="D1109" s="48">
        <f>IFERROR(VLOOKUP(B1109,'Renewal Rules'!$A:$B,2,FALSE),"")</f>
        <v>36</v>
      </c>
      <c r="E1109" s="47" t="str">
        <f t="shared" si="68"/>
        <v/>
      </c>
      <c r="F1109" s="48" t="str">
        <f t="shared" ca="1" si="69"/>
        <v/>
      </c>
      <c r="G1109" s="46" t="str">
        <f t="shared" ca="1" si="70"/>
        <v>RED</v>
      </c>
      <c r="H1109" s="46" t="str">
        <f t="shared" ca="1" si="71"/>
        <v>Not Started</v>
      </c>
      <c r="I1109" s="21"/>
    </row>
    <row r="1110" spans="1:9" x14ac:dyDescent="0.35">
      <c r="A1110" s="46" t="s">
        <v>99</v>
      </c>
      <c r="B1110" s="46" t="s">
        <v>116</v>
      </c>
      <c r="C1110" s="47" t="str">
        <f>Matrix!I13</f>
        <v>NS</v>
      </c>
      <c r="D1110" s="48">
        <f>IFERROR(VLOOKUP(B1110,'Renewal Rules'!$A:$B,2,FALSE),"")</f>
        <v>36</v>
      </c>
      <c r="E1110" s="47" t="str">
        <f t="shared" si="68"/>
        <v/>
      </c>
      <c r="F1110" s="48" t="str">
        <f t="shared" ca="1" si="69"/>
        <v/>
      </c>
      <c r="G1110" s="46" t="str">
        <f t="shared" ca="1" si="70"/>
        <v>RED</v>
      </c>
      <c r="H1110" s="46" t="str">
        <f t="shared" ca="1" si="71"/>
        <v>Not Started</v>
      </c>
      <c r="I1110" s="21"/>
    </row>
    <row r="1111" spans="1:9" x14ac:dyDescent="0.35">
      <c r="A1111" s="46" t="s">
        <v>99</v>
      </c>
      <c r="B1111" s="46" t="s">
        <v>117</v>
      </c>
      <c r="C1111" s="47" t="str">
        <f>Matrix!J13</f>
        <v>06/02/2026</v>
      </c>
      <c r="D1111" s="48">
        <f>IFERROR(VLOOKUP(B1111,'Renewal Rules'!$A:$B,2,FALSE),"")</f>
        <v>12</v>
      </c>
      <c r="E1111" s="47">
        <f t="shared" si="68"/>
        <v>46424</v>
      </c>
      <c r="F1111" s="48">
        <f t="shared" ca="1" si="69"/>
        <v>221</v>
      </c>
      <c r="G1111" s="46" t="str">
        <f t="shared" ca="1" si="70"/>
        <v>GREEN</v>
      </c>
      <c r="H1111" s="46" t="str">
        <f t="shared" ca="1" si="71"/>
        <v>Current</v>
      </c>
      <c r="I1111" s="21"/>
    </row>
    <row r="1112" spans="1:9" x14ac:dyDescent="0.35">
      <c r="A1112" s="46" t="s">
        <v>99</v>
      </c>
      <c r="B1112" s="46" t="s">
        <v>118</v>
      </c>
      <c r="C1112" s="47" t="str">
        <f>Matrix!K13</f>
        <v>NS</v>
      </c>
      <c r="D1112" s="48">
        <f>IFERROR(VLOOKUP(B1112,'Renewal Rules'!$A:$B,2,FALSE),"")</f>
        <v>36</v>
      </c>
      <c r="E1112" s="47" t="str">
        <f t="shared" si="68"/>
        <v/>
      </c>
      <c r="F1112" s="48" t="str">
        <f t="shared" ca="1" si="69"/>
        <v/>
      </c>
      <c r="G1112" s="46" t="str">
        <f t="shared" ca="1" si="70"/>
        <v>RED</v>
      </c>
      <c r="H1112" s="46" t="str">
        <f t="shared" ca="1" si="71"/>
        <v>Not Started</v>
      </c>
      <c r="I1112" s="21"/>
    </row>
    <row r="1113" spans="1:9" x14ac:dyDescent="0.35">
      <c r="A1113" s="46" t="s">
        <v>99</v>
      </c>
      <c r="B1113" s="46" t="s">
        <v>119</v>
      </c>
      <c r="C1113" s="47" t="str">
        <f>Matrix!L13</f>
        <v>NS</v>
      </c>
      <c r="D1113" s="48">
        <f>IFERROR(VLOOKUP(B1113,'Renewal Rules'!$A:$B,2,FALSE),"")</f>
        <v>12</v>
      </c>
      <c r="E1113" s="47" t="str">
        <f t="shared" si="68"/>
        <v/>
      </c>
      <c r="F1113" s="48" t="str">
        <f t="shared" ca="1" si="69"/>
        <v/>
      </c>
      <c r="G1113" s="46" t="str">
        <f t="shared" ca="1" si="70"/>
        <v>RED</v>
      </c>
      <c r="H1113" s="46" t="str">
        <f t="shared" ca="1" si="71"/>
        <v>Not Started</v>
      </c>
      <c r="I1113" s="21"/>
    </row>
    <row r="1114" spans="1:9" x14ac:dyDescent="0.35">
      <c r="A1114" s="46" t="s">
        <v>99</v>
      </c>
      <c r="B1114" s="46" t="s">
        <v>120</v>
      </c>
      <c r="C1114" s="47" t="str">
        <f>Matrix!M13</f>
        <v>NS</v>
      </c>
      <c r="D1114" s="48">
        <f>IFERROR(VLOOKUP(B1114,'Renewal Rules'!$A:$B,2,FALSE),"")</f>
        <v>12</v>
      </c>
      <c r="E1114" s="47" t="str">
        <f t="shared" si="68"/>
        <v/>
      </c>
      <c r="F1114" s="48" t="str">
        <f t="shared" ca="1" si="69"/>
        <v/>
      </c>
      <c r="G1114" s="46" t="str">
        <f t="shared" ca="1" si="70"/>
        <v>RED</v>
      </c>
      <c r="H1114" s="46" t="str">
        <f t="shared" ca="1" si="71"/>
        <v>Not Started</v>
      </c>
      <c r="I1114" s="21"/>
    </row>
    <row r="1115" spans="1:9" x14ac:dyDescent="0.35">
      <c r="A1115" s="46" t="s">
        <v>99</v>
      </c>
      <c r="B1115" s="46" t="s">
        <v>121</v>
      </c>
      <c r="C1115" s="47" t="str">
        <f>Matrix!N13</f>
        <v>NS</v>
      </c>
      <c r="D1115" s="48">
        <f>IFERROR(VLOOKUP(B1115,'Renewal Rules'!$A:$B,2,FALSE),"")</f>
        <v>12</v>
      </c>
      <c r="E1115" s="47" t="str">
        <f t="shared" si="68"/>
        <v/>
      </c>
      <c r="F1115" s="48" t="str">
        <f t="shared" ca="1" si="69"/>
        <v/>
      </c>
      <c r="G1115" s="46" t="str">
        <f t="shared" ca="1" si="70"/>
        <v>RED</v>
      </c>
      <c r="H1115" s="46" t="str">
        <f t="shared" ca="1" si="71"/>
        <v>Not Started</v>
      </c>
      <c r="I1115" s="21"/>
    </row>
    <row r="1116" spans="1:9" ht="12.9" customHeight="1" x14ac:dyDescent="0.35">
      <c r="A1116" s="46" t="s">
        <v>99</v>
      </c>
      <c r="B1116" s="46" t="s">
        <v>103</v>
      </c>
      <c r="C1116" s="47" t="str">
        <f>Matrix!O13</f>
        <v>NS</v>
      </c>
      <c r="D1116" s="48">
        <f>IFERROR(VLOOKUP(B1116,'Renewal Rules'!$A:$B,2,FALSE),"")</f>
        <v>36</v>
      </c>
      <c r="E1116" s="47" t="str">
        <f t="shared" si="68"/>
        <v/>
      </c>
      <c r="F1116" s="48" t="str">
        <f t="shared" ca="1" si="69"/>
        <v/>
      </c>
      <c r="G1116" s="46" t="str">
        <f t="shared" ca="1" si="70"/>
        <v>RED</v>
      </c>
      <c r="H1116" s="46" t="str">
        <f t="shared" ca="1" si="71"/>
        <v>Not Started</v>
      </c>
      <c r="I1116" s="21"/>
    </row>
    <row r="1117" spans="1:9" x14ac:dyDescent="0.35">
      <c r="A1117" s="46" t="s">
        <v>99</v>
      </c>
      <c r="B1117" s="46" t="s">
        <v>122</v>
      </c>
      <c r="C1117" s="47" t="str">
        <f>Matrix!P13</f>
        <v>NS</v>
      </c>
      <c r="D1117" s="48">
        <f>IFERROR(VLOOKUP(B1117,'Renewal Rules'!$A:$B,2,FALSE),"")</f>
        <v>36</v>
      </c>
      <c r="E1117" s="47" t="str">
        <f t="shared" si="68"/>
        <v/>
      </c>
      <c r="F1117" s="48" t="str">
        <f t="shared" ca="1" si="69"/>
        <v/>
      </c>
      <c r="G1117" s="46" t="str">
        <f t="shared" ca="1" si="70"/>
        <v>RED</v>
      </c>
      <c r="H1117" s="46" t="str">
        <f t="shared" ca="1" si="71"/>
        <v>Not Started</v>
      </c>
      <c r="I1117" s="21"/>
    </row>
    <row r="1118" spans="1:9" x14ac:dyDescent="0.35">
      <c r="A1118" s="46" t="s">
        <v>99</v>
      </c>
      <c r="B1118" s="46" t="s">
        <v>101</v>
      </c>
      <c r="C1118" s="47" t="str">
        <f>Matrix!Q13</f>
        <v>06/02/2026</v>
      </c>
      <c r="D1118" s="48">
        <f>IFERROR(VLOOKUP(B1118,'Renewal Rules'!$A:$B,2,FALSE),"")</f>
        <v>36</v>
      </c>
      <c r="E1118" s="47">
        <f t="shared" si="68"/>
        <v>47155</v>
      </c>
      <c r="F1118" s="48">
        <f t="shared" ca="1" si="69"/>
        <v>952</v>
      </c>
      <c r="G1118" s="46" t="str">
        <f t="shared" ca="1" si="70"/>
        <v>GREEN</v>
      </c>
      <c r="H1118" s="46" t="str">
        <f t="shared" ca="1" si="71"/>
        <v>Current</v>
      </c>
      <c r="I1118" s="21"/>
    </row>
    <row r="1119" spans="1:9" x14ac:dyDescent="0.35">
      <c r="A1119" s="46" t="s">
        <v>99</v>
      </c>
      <c r="B1119" s="46" t="s">
        <v>123</v>
      </c>
      <c r="C1119" s="47" t="str">
        <f>Matrix!R13</f>
        <v>08/02/2026</v>
      </c>
      <c r="D1119" s="48">
        <f>IFERROR(VLOOKUP(B1119,'Renewal Rules'!$A:$B,2,FALSE),"")</f>
        <v>12</v>
      </c>
      <c r="E1119" s="47">
        <f t="shared" si="68"/>
        <v>46426</v>
      </c>
      <c r="F1119" s="48">
        <f t="shared" ca="1" si="69"/>
        <v>223</v>
      </c>
      <c r="G1119" s="46" t="str">
        <f t="shared" ca="1" si="70"/>
        <v>GREEN</v>
      </c>
      <c r="H1119" s="46" t="str">
        <f t="shared" ca="1" si="71"/>
        <v>Current</v>
      </c>
      <c r="I1119" s="21"/>
    </row>
    <row r="1120" spans="1:9" x14ac:dyDescent="0.35">
      <c r="A1120" s="46" t="s">
        <v>99</v>
      </c>
      <c r="B1120" s="46" t="s">
        <v>124</v>
      </c>
      <c r="C1120" s="47" t="str">
        <f>Matrix!S13</f>
        <v>NS</v>
      </c>
      <c r="D1120" s="48">
        <f>IFERROR(VLOOKUP(B1120,'Renewal Rules'!$A:$B,2,FALSE),"")</f>
        <v>12</v>
      </c>
      <c r="E1120" s="47" t="str">
        <f t="shared" si="68"/>
        <v/>
      </c>
      <c r="F1120" s="48" t="str">
        <f t="shared" ca="1" si="69"/>
        <v/>
      </c>
      <c r="G1120" s="46" t="str">
        <f t="shared" ca="1" si="70"/>
        <v>RED</v>
      </c>
      <c r="H1120" s="46" t="str">
        <f t="shared" ca="1" si="71"/>
        <v>Not Started</v>
      </c>
      <c r="I1120" s="21"/>
    </row>
    <row r="1121" spans="1:9" x14ac:dyDescent="0.35">
      <c r="A1121" s="46" t="s">
        <v>99</v>
      </c>
      <c r="B1121" s="46" t="s">
        <v>125</v>
      </c>
      <c r="C1121" s="47" t="str">
        <f>Matrix!T13</f>
        <v>06/02/2026</v>
      </c>
      <c r="D1121" s="48">
        <f>IFERROR(VLOOKUP(B1121,'Renewal Rules'!$A:$B,2,FALSE),"")</f>
        <v>12</v>
      </c>
      <c r="E1121" s="47">
        <f t="shared" si="68"/>
        <v>46424</v>
      </c>
      <c r="F1121" s="48">
        <f t="shared" ca="1" si="69"/>
        <v>221</v>
      </c>
      <c r="G1121" s="46" t="str">
        <f t="shared" ca="1" si="70"/>
        <v>GREEN</v>
      </c>
      <c r="H1121" s="46" t="str">
        <f t="shared" ca="1" si="71"/>
        <v>Current</v>
      </c>
      <c r="I1121" s="21"/>
    </row>
    <row r="1122" spans="1:9" x14ac:dyDescent="0.35">
      <c r="A1122" s="46" t="s">
        <v>99</v>
      </c>
      <c r="B1122" s="46" t="s">
        <v>126</v>
      </c>
      <c r="C1122" s="47" t="str">
        <f>Matrix!U13</f>
        <v>NS</v>
      </c>
      <c r="D1122" s="48">
        <f>IFERROR(VLOOKUP(B1122,'Renewal Rules'!$A:$B,2,FALSE),"")</f>
        <v>36</v>
      </c>
      <c r="E1122" s="47" t="str">
        <f t="shared" si="68"/>
        <v/>
      </c>
      <c r="F1122" s="48" t="str">
        <f t="shared" ca="1" si="69"/>
        <v/>
      </c>
      <c r="G1122" s="46" t="str">
        <f t="shared" ca="1" si="70"/>
        <v>RED</v>
      </c>
      <c r="H1122" s="46" t="str">
        <f t="shared" ca="1" si="71"/>
        <v>Not Started</v>
      </c>
      <c r="I1122" s="21"/>
    </row>
    <row r="1123" spans="1:9" x14ac:dyDescent="0.35">
      <c r="A1123" s="46" t="s">
        <v>99</v>
      </c>
      <c r="B1123" s="46" t="s">
        <v>127</v>
      </c>
      <c r="C1123" s="47" t="str">
        <f>Matrix!V13</f>
        <v>NS</v>
      </c>
      <c r="D1123" s="48">
        <f>IFERROR(VLOOKUP(B1123,'Renewal Rules'!$A:$B,2,FALSE),"")</f>
        <v>12</v>
      </c>
      <c r="E1123" s="47" t="str">
        <f t="shared" si="68"/>
        <v/>
      </c>
      <c r="F1123" s="48" t="str">
        <f t="shared" ca="1" si="69"/>
        <v/>
      </c>
      <c r="G1123" s="46" t="str">
        <f t="shared" ca="1" si="70"/>
        <v>RED</v>
      </c>
      <c r="H1123" s="46" t="str">
        <f t="shared" ca="1" si="71"/>
        <v>Not Started</v>
      </c>
      <c r="I1123" s="21"/>
    </row>
    <row r="1124" spans="1:9" x14ac:dyDescent="0.35">
      <c r="A1124" s="46" t="s">
        <v>99</v>
      </c>
      <c r="B1124" s="46" t="s">
        <v>128</v>
      </c>
      <c r="C1124" s="47" t="str">
        <f>Matrix!W13</f>
        <v>11/02/2026</v>
      </c>
      <c r="D1124" s="48">
        <f>IFERROR(VLOOKUP(B1124,'Renewal Rules'!$A:$B,2,FALSE),"")</f>
        <v>12</v>
      </c>
      <c r="E1124" s="47">
        <f t="shared" si="68"/>
        <v>46429</v>
      </c>
      <c r="F1124" s="48">
        <f t="shared" ca="1" si="69"/>
        <v>226</v>
      </c>
      <c r="G1124" s="46" t="str">
        <f t="shared" ca="1" si="70"/>
        <v>GREEN</v>
      </c>
      <c r="H1124" s="46" t="str">
        <f t="shared" ca="1" si="71"/>
        <v>Current</v>
      </c>
      <c r="I1124" s="21"/>
    </row>
    <row r="1125" spans="1:9" x14ac:dyDescent="0.35">
      <c r="A1125" s="46" t="s">
        <v>99</v>
      </c>
      <c r="B1125" s="46" t="s">
        <v>129</v>
      </c>
      <c r="C1125" s="47" t="str">
        <f>Matrix!X13</f>
        <v>NS</v>
      </c>
      <c r="D1125" s="48">
        <f>IFERROR(VLOOKUP(B1125,'Renewal Rules'!$A:$B,2,FALSE),"")</f>
        <v>36</v>
      </c>
      <c r="E1125" s="47" t="str">
        <f t="shared" si="68"/>
        <v/>
      </c>
      <c r="F1125" s="48" t="str">
        <f t="shared" ca="1" si="69"/>
        <v/>
      </c>
      <c r="G1125" s="46" t="str">
        <f t="shared" ca="1" si="70"/>
        <v>RED</v>
      </c>
      <c r="H1125" s="46" t="str">
        <f t="shared" ca="1" si="71"/>
        <v>Not Started</v>
      </c>
      <c r="I1125" s="21"/>
    </row>
    <row r="1126" spans="1:9" x14ac:dyDescent="0.35">
      <c r="A1126" s="46" t="s">
        <v>99</v>
      </c>
      <c r="B1126" s="46" t="s">
        <v>130</v>
      </c>
      <c r="C1126" s="47" t="str">
        <f>Matrix!Y13</f>
        <v>05/11/2024</v>
      </c>
      <c r="D1126" s="48">
        <f>IFERROR(VLOOKUP(B1126,'Renewal Rules'!$A:$B,2,FALSE),"")</f>
        <v>36</v>
      </c>
      <c r="E1126" s="47">
        <f t="shared" si="68"/>
        <v>46696</v>
      </c>
      <c r="F1126" s="48">
        <f t="shared" ca="1" si="69"/>
        <v>493</v>
      </c>
      <c r="G1126" s="46" t="str">
        <f t="shared" ca="1" si="70"/>
        <v>GREEN</v>
      </c>
      <c r="H1126" s="46" t="str">
        <f t="shared" ca="1" si="71"/>
        <v>Current</v>
      </c>
      <c r="I1126" s="21"/>
    </row>
    <row r="1127" spans="1:9" x14ac:dyDescent="0.35">
      <c r="A1127" s="46" t="s">
        <v>99</v>
      </c>
      <c r="B1127" s="46" t="s">
        <v>131</v>
      </c>
      <c r="C1127" s="47" t="str">
        <f>Matrix!Z13</f>
        <v>02/02/2026</v>
      </c>
      <c r="D1127" s="48">
        <f>IFERROR(VLOOKUP(B1127,'Renewal Rules'!$A:$B,2,FALSE),"")</f>
        <v>12</v>
      </c>
      <c r="E1127" s="47">
        <f t="shared" si="68"/>
        <v>46420</v>
      </c>
      <c r="F1127" s="48">
        <f t="shared" ca="1" si="69"/>
        <v>217</v>
      </c>
      <c r="G1127" s="46" t="str">
        <f t="shared" ca="1" si="70"/>
        <v>GREEN</v>
      </c>
      <c r="H1127" s="46" t="str">
        <f t="shared" ca="1" si="71"/>
        <v>Current</v>
      </c>
      <c r="I1127" s="21"/>
    </row>
    <row r="1128" spans="1:9" x14ac:dyDescent="0.35">
      <c r="A1128" s="46" t="s">
        <v>99</v>
      </c>
      <c r="B1128" s="46" t="s">
        <v>132</v>
      </c>
      <c r="C1128" s="47" t="str">
        <f>Matrix!AA13</f>
        <v>NS</v>
      </c>
      <c r="D1128" s="48">
        <f>IFERROR(VLOOKUP(B1128,'Renewal Rules'!$A:$B,2,FALSE),"")</f>
        <v>12</v>
      </c>
      <c r="E1128" s="47" t="str">
        <f t="shared" si="68"/>
        <v/>
      </c>
      <c r="F1128" s="48" t="str">
        <f t="shared" ca="1" si="69"/>
        <v/>
      </c>
      <c r="G1128" s="46" t="str">
        <f t="shared" ca="1" si="70"/>
        <v>RED</v>
      </c>
      <c r="H1128" s="46" t="str">
        <f t="shared" ca="1" si="71"/>
        <v>Not Started</v>
      </c>
      <c r="I1128" s="21"/>
    </row>
    <row r="1129" spans="1:9" x14ac:dyDescent="0.35">
      <c r="A1129" s="46" t="s">
        <v>99</v>
      </c>
      <c r="B1129" s="46" t="s">
        <v>92</v>
      </c>
      <c r="C1129" s="47">
        <f>Matrix!AB13</f>
        <v>45985</v>
      </c>
      <c r="D1129" s="48">
        <f>IFERROR(VLOOKUP(B1129,'Renewal Rules'!$A:$B,2,FALSE),"")</f>
        <v>12</v>
      </c>
      <c r="E1129" s="47">
        <f t="shared" si="68"/>
        <v>46350</v>
      </c>
      <c r="F1129" s="48">
        <f t="shared" ca="1" si="69"/>
        <v>147</v>
      </c>
      <c r="G1129" s="46" t="str">
        <f t="shared" ca="1" si="70"/>
        <v>GREEN</v>
      </c>
      <c r="H1129" s="46" t="str">
        <f t="shared" ca="1" si="71"/>
        <v>Current</v>
      </c>
      <c r="I1129" s="21"/>
    </row>
    <row r="1130" spans="1:9" x14ac:dyDescent="0.35">
      <c r="A1130" s="46" t="s">
        <v>99</v>
      </c>
      <c r="B1130" s="46" t="s">
        <v>133</v>
      </c>
      <c r="C1130" s="47" t="str">
        <f>Matrix!AC13</f>
        <v>NS</v>
      </c>
      <c r="D1130" s="48">
        <f>IFERROR(VLOOKUP(B1130,'Renewal Rules'!$A:$B,2,FALSE),"")</f>
        <v>36</v>
      </c>
      <c r="E1130" s="47" t="str">
        <f t="shared" si="68"/>
        <v/>
      </c>
      <c r="F1130" s="48" t="str">
        <f t="shared" ca="1" si="69"/>
        <v/>
      </c>
      <c r="G1130" s="46" t="str">
        <f t="shared" ca="1" si="70"/>
        <v>RED</v>
      </c>
      <c r="H1130" s="46" t="str">
        <f t="shared" ca="1" si="71"/>
        <v>Not Started</v>
      </c>
      <c r="I1130" s="21"/>
    </row>
    <row r="1131" spans="1:9" x14ac:dyDescent="0.35">
      <c r="A1131" s="46" t="s">
        <v>99</v>
      </c>
      <c r="B1131" s="46" t="s">
        <v>134</v>
      </c>
      <c r="C1131" s="47" t="str">
        <f>Matrix!AD13</f>
        <v>NS</v>
      </c>
      <c r="D1131" s="48">
        <f>IFERROR(VLOOKUP(B1131,'Renewal Rules'!$A:$B,2,FALSE),"")</f>
        <v>36</v>
      </c>
      <c r="E1131" s="47" t="str">
        <f t="shared" si="68"/>
        <v/>
      </c>
      <c r="F1131" s="48" t="str">
        <f t="shared" ca="1" si="69"/>
        <v/>
      </c>
      <c r="G1131" s="46" t="str">
        <f t="shared" ca="1" si="70"/>
        <v>RED</v>
      </c>
      <c r="H1131" s="46" t="str">
        <f t="shared" ca="1" si="71"/>
        <v>Not Started</v>
      </c>
      <c r="I1131" s="21"/>
    </row>
    <row r="1132" spans="1:9" x14ac:dyDescent="0.35">
      <c r="A1132" s="46" t="s">
        <v>99</v>
      </c>
      <c r="B1132" s="46" t="s">
        <v>98</v>
      </c>
      <c r="C1132" s="47" t="str">
        <f>Matrix!AE13</f>
        <v>07/02/2026</v>
      </c>
      <c r="D1132" s="48">
        <f>IFERROR(VLOOKUP(B1132,'Renewal Rules'!$A:$B,2,FALSE),"")</f>
        <v>36</v>
      </c>
      <c r="E1132" s="47">
        <f t="shared" si="68"/>
        <v>47156</v>
      </c>
      <c r="F1132" s="48">
        <f t="shared" ca="1" si="69"/>
        <v>953</v>
      </c>
      <c r="G1132" s="46" t="str">
        <f t="shared" ca="1" si="70"/>
        <v>GREEN</v>
      </c>
      <c r="H1132" s="46" t="str">
        <f t="shared" ca="1" si="71"/>
        <v>Current</v>
      </c>
      <c r="I1132" s="21"/>
    </row>
    <row r="1133" spans="1:9" x14ac:dyDescent="0.35">
      <c r="A1133" s="46" t="s">
        <v>99</v>
      </c>
      <c r="B1133" s="46" t="s">
        <v>135</v>
      </c>
      <c r="C1133" s="47" t="str">
        <f>Matrix!AF13</f>
        <v>NS</v>
      </c>
      <c r="D1133" s="48">
        <f>IFERROR(VLOOKUP(B1133,'Renewal Rules'!$A:$B,2,FALSE),"")</f>
        <v>36</v>
      </c>
      <c r="E1133" s="47" t="str">
        <f t="shared" si="68"/>
        <v/>
      </c>
      <c r="F1133" s="48" t="str">
        <f t="shared" ca="1" si="69"/>
        <v/>
      </c>
      <c r="G1133" s="46" t="str">
        <f t="shared" ca="1" si="70"/>
        <v>RED</v>
      </c>
      <c r="H1133" s="46" t="str">
        <f t="shared" ca="1" si="71"/>
        <v>Not Started</v>
      </c>
      <c r="I1133" s="21"/>
    </row>
    <row r="1134" spans="1:9" x14ac:dyDescent="0.35">
      <c r="A1134" s="46" t="s">
        <v>99</v>
      </c>
      <c r="B1134" s="46" t="s">
        <v>136</v>
      </c>
      <c r="C1134" s="47" t="str">
        <f>Matrix!AG13</f>
        <v>15/02/2026</v>
      </c>
      <c r="D1134" s="48">
        <f>IFERROR(VLOOKUP(B1134,'Renewal Rules'!$A:$B,2,FALSE),"")</f>
        <v>12</v>
      </c>
      <c r="E1134" s="47">
        <f t="shared" si="68"/>
        <v>46433</v>
      </c>
      <c r="F1134" s="48">
        <f t="shared" ca="1" si="69"/>
        <v>230</v>
      </c>
      <c r="G1134" s="46" t="str">
        <f t="shared" ca="1" si="70"/>
        <v>GREEN</v>
      </c>
      <c r="H1134" s="46" t="str">
        <f t="shared" ca="1" si="71"/>
        <v>Current</v>
      </c>
      <c r="I1134" s="21"/>
    </row>
    <row r="1135" spans="1:9" x14ac:dyDescent="0.35">
      <c r="A1135" s="46" t="s">
        <v>99</v>
      </c>
      <c r="B1135" s="46" t="s">
        <v>137</v>
      </c>
      <c r="C1135" s="47" t="str">
        <f>Matrix!AH13</f>
        <v>NS</v>
      </c>
      <c r="D1135" s="48">
        <f>IFERROR(VLOOKUP(B1135,'Renewal Rules'!$A:$B,2,FALSE),"")</f>
        <v>36</v>
      </c>
      <c r="E1135" s="47" t="str">
        <f t="shared" si="68"/>
        <v/>
      </c>
      <c r="F1135" s="48" t="str">
        <f t="shared" ca="1" si="69"/>
        <v/>
      </c>
      <c r="G1135" s="46" t="str">
        <f t="shared" ca="1" si="70"/>
        <v>RED</v>
      </c>
      <c r="H1135" s="46" t="str">
        <f t="shared" ca="1" si="71"/>
        <v>Not Started</v>
      </c>
      <c r="I1135" s="21"/>
    </row>
    <row r="1136" spans="1:9" ht="12.9" customHeight="1" x14ac:dyDescent="0.35">
      <c r="A1136" s="46" t="s">
        <v>99</v>
      </c>
      <c r="B1136" s="46" t="s">
        <v>138</v>
      </c>
      <c r="C1136" s="47" t="str">
        <f>Matrix!AI13</f>
        <v>NS</v>
      </c>
      <c r="D1136" s="48">
        <f>IFERROR(VLOOKUP(B1136,'Renewal Rules'!$A:$B,2,FALSE),"")</f>
        <v>12</v>
      </c>
      <c r="E1136" s="47" t="str">
        <f t="shared" si="68"/>
        <v/>
      </c>
      <c r="F1136" s="48" t="str">
        <f t="shared" ca="1" si="69"/>
        <v/>
      </c>
      <c r="G1136" s="46" t="str">
        <f t="shared" ca="1" si="70"/>
        <v>RED</v>
      </c>
      <c r="H1136" s="46" t="str">
        <f t="shared" ca="1" si="71"/>
        <v>Not Started</v>
      </c>
      <c r="I1136" s="21"/>
    </row>
    <row r="1137" spans="1:9" x14ac:dyDescent="0.35">
      <c r="A1137" s="46" t="s">
        <v>99</v>
      </c>
      <c r="B1137" s="46" t="s">
        <v>139</v>
      </c>
      <c r="C1137" s="47" t="str">
        <f>Matrix!AJ13</f>
        <v>NS</v>
      </c>
      <c r="D1137" s="48">
        <f>IFERROR(VLOOKUP(B1137,'Renewal Rules'!$A:$B,2,FALSE),"")</f>
        <v>12</v>
      </c>
      <c r="E1137" s="47" t="str">
        <f t="shared" si="68"/>
        <v/>
      </c>
      <c r="F1137" s="48" t="str">
        <f t="shared" ca="1" si="69"/>
        <v/>
      </c>
      <c r="G1137" s="46" t="str">
        <f t="shared" ca="1" si="70"/>
        <v>RED</v>
      </c>
      <c r="H1137" s="46" t="str">
        <f t="shared" ca="1" si="71"/>
        <v>Not Started</v>
      </c>
      <c r="I1137" s="21"/>
    </row>
    <row r="1138" spans="1:9" x14ac:dyDescent="0.35">
      <c r="A1138" s="46" t="s">
        <v>99</v>
      </c>
      <c r="B1138" s="46" t="s">
        <v>97</v>
      </c>
      <c r="C1138" s="47">
        <f>Matrix!AK13</f>
        <v>45987</v>
      </c>
      <c r="D1138" s="48">
        <f>IFERROR(VLOOKUP(B1138,'Renewal Rules'!$A:$B,2,FALSE),"")</f>
        <v>12</v>
      </c>
      <c r="E1138" s="47">
        <f t="shared" si="68"/>
        <v>46352</v>
      </c>
      <c r="F1138" s="48">
        <f t="shared" ca="1" si="69"/>
        <v>149</v>
      </c>
      <c r="G1138" s="46" t="str">
        <f t="shared" ca="1" si="70"/>
        <v>GREEN</v>
      </c>
      <c r="H1138" s="46" t="str">
        <f t="shared" ca="1" si="71"/>
        <v>Current</v>
      </c>
      <c r="I1138" s="21"/>
    </row>
    <row r="1139" spans="1:9" x14ac:dyDescent="0.35">
      <c r="A1139" s="46" t="s">
        <v>99</v>
      </c>
      <c r="B1139" s="46" t="s">
        <v>140</v>
      </c>
      <c r="C1139" s="47" t="str">
        <f>Matrix!AL13</f>
        <v>NS</v>
      </c>
      <c r="D1139" s="48">
        <f>IFERROR(VLOOKUP(B1139,'Renewal Rules'!$A:$B,2,FALSE),"")</f>
        <v>36</v>
      </c>
      <c r="E1139" s="47" t="str">
        <f t="shared" si="68"/>
        <v/>
      </c>
      <c r="F1139" s="48" t="str">
        <f t="shared" ca="1" si="69"/>
        <v/>
      </c>
      <c r="G1139" s="46" t="str">
        <f t="shared" ca="1" si="70"/>
        <v>RED</v>
      </c>
      <c r="H1139" s="46" t="str">
        <f t="shared" ca="1" si="71"/>
        <v>Not Started</v>
      </c>
      <c r="I1139" s="21"/>
    </row>
    <row r="1140" spans="1:9" x14ac:dyDescent="0.35">
      <c r="A1140" s="46" t="s">
        <v>99</v>
      </c>
      <c r="B1140" s="46" t="s">
        <v>141</v>
      </c>
      <c r="C1140" s="47" t="str">
        <f>Matrix!AM13</f>
        <v>NS</v>
      </c>
      <c r="D1140" s="48">
        <f>IFERROR(VLOOKUP(B1140,'Renewal Rules'!$A:$B,2,FALSE),"")</f>
        <v>12</v>
      </c>
      <c r="E1140" s="47" t="str">
        <f t="shared" si="68"/>
        <v/>
      </c>
      <c r="F1140" s="48" t="str">
        <f t="shared" ca="1" si="69"/>
        <v/>
      </c>
      <c r="G1140" s="46" t="str">
        <f t="shared" ca="1" si="70"/>
        <v>RED</v>
      </c>
      <c r="H1140" s="46" t="str">
        <f t="shared" ca="1" si="71"/>
        <v>Not Started</v>
      </c>
      <c r="I1140" s="21"/>
    </row>
    <row r="1141" spans="1:9" x14ac:dyDescent="0.35">
      <c r="A1141" s="46" t="s">
        <v>99</v>
      </c>
      <c r="B1141" s="46" t="s">
        <v>142</v>
      </c>
      <c r="C1141" s="47" t="str">
        <f>Matrix!AN13</f>
        <v>NS</v>
      </c>
      <c r="D1141" s="48">
        <f>IFERROR(VLOOKUP(B1141,'Renewal Rules'!$A:$B,2,FALSE),"")</f>
        <v>12</v>
      </c>
      <c r="E1141" s="47" t="str">
        <f t="shared" si="68"/>
        <v/>
      </c>
      <c r="F1141" s="48" t="str">
        <f t="shared" ca="1" si="69"/>
        <v/>
      </c>
      <c r="G1141" s="46" t="str">
        <f t="shared" ca="1" si="70"/>
        <v>RED</v>
      </c>
      <c r="H1141" s="46" t="str">
        <f t="shared" ca="1" si="71"/>
        <v>Not Started</v>
      </c>
      <c r="I1141" s="21"/>
    </row>
    <row r="1142" spans="1:9" x14ac:dyDescent="0.35">
      <c r="A1142" s="46" t="s">
        <v>99</v>
      </c>
      <c r="B1142" s="46" t="s">
        <v>143</v>
      </c>
      <c r="C1142" s="47" t="str">
        <f>Matrix!AO13</f>
        <v>NS</v>
      </c>
      <c r="D1142" s="48">
        <f>IFERROR(VLOOKUP(B1142,'Renewal Rules'!$A:$B,2,FALSE),"")</f>
        <v>12</v>
      </c>
      <c r="E1142" s="47" t="str">
        <f t="shared" si="68"/>
        <v/>
      </c>
      <c r="F1142" s="48" t="str">
        <f t="shared" ca="1" si="69"/>
        <v/>
      </c>
      <c r="G1142" s="46" t="str">
        <f t="shared" ca="1" si="70"/>
        <v>RED</v>
      </c>
      <c r="H1142" s="46" t="str">
        <f t="shared" ca="1" si="71"/>
        <v>Not Started</v>
      </c>
      <c r="I1142" s="21"/>
    </row>
    <row r="1143" spans="1:9" x14ac:dyDescent="0.35">
      <c r="A1143" s="46" t="s">
        <v>99</v>
      </c>
      <c r="B1143" s="46" t="s">
        <v>102</v>
      </c>
      <c r="C1143" s="47" t="str">
        <f>Matrix!AP13</f>
        <v>06/02/2026</v>
      </c>
      <c r="D1143" s="48">
        <f>IFERROR(VLOOKUP(B1143,'Renewal Rules'!$A:$B,2,FALSE),"")</f>
        <v>12</v>
      </c>
      <c r="E1143" s="47">
        <f t="shared" si="68"/>
        <v>46424</v>
      </c>
      <c r="F1143" s="48">
        <f t="shared" ca="1" si="69"/>
        <v>221</v>
      </c>
      <c r="G1143" s="46" t="str">
        <f t="shared" ca="1" si="70"/>
        <v>GREEN</v>
      </c>
      <c r="H1143" s="46" t="str">
        <f t="shared" ca="1" si="71"/>
        <v>Current</v>
      </c>
      <c r="I1143" s="21"/>
    </row>
    <row r="1144" spans="1:9" x14ac:dyDescent="0.35">
      <c r="A1144" s="46" t="s">
        <v>99</v>
      </c>
      <c r="B1144" s="46" t="s">
        <v>144</v>
      </c>
      <c r="C1144" s="47" t="str">
        <f>Matrix!AQ13</f>
        <v>26/02/2026</v>
      </c>
      <c r="D1144" s="48">
        <f>IFERROR(VLOOKUP(B1144,'Renewal Rules'!$A:$B,2,FALSE),"")</f>
        <v>36</v>
      </c>
      <c r="E1144" s="47">
        <f t="shared" si="68"/>
        <v>47175</v>
      </c>
      <c r="F1144" s="48">
        <f t="shared" ca="1" si="69"/>
        <v>972</v>
      </c>
      <c r="G1144" s="46" t="str">
        <f t="shared" ca="1" si="70"/>
        <v>GREEN</v>
      </c>
      <c r="H1144" s="46" t="str">
        <f t="shared" ca="1" si="71"/>
        <v>Current</v>
      </c>
      <c r="I1144" s="21"/>
    </row>
    <row r="1145" spans="1:9" x14ac:dyDescent="0.35">
      <c r="A1145" s="46" t="s">
        <v>99</v>
      </c>
      <c r="B1145" s="46" t="s">
        <v>145</v>
      </c>
      <c r="C1145" s="47" t="str">
        <f>Matrix!AR13</f>
        <v>NS</v>
      </c>
      <c r="D1145" s="48">
        <f>IFERROR(VLOOKUP(B1145,'Renewal Rules'!$A:$B,2,FALSE),"")</f>
        <v>12</v>
      </c>
      <c r="E1145" s="47" t="str">
        <f t="shared" si="68"/>
        <v/>
      </c>
      <c r="F1145" s="48" t="str">
        <f t="shared" ca="1" si="69"/>
        <v/>
      </c>
      <c r="G1145" s="46" t="str">
        <f t="shared" ca="1" si="70"/>
        <v>RED</v>
      </c>
      <c r="H1145" s="46" t="str">
        <f t="shared" ca="1" si="71"/>
        <v>Not Started</v>
      </c>
      <c r="I1145" s="21"/>
    </row>
    <row r="1146" spans="1:9" x14ac:dyDescent="0.35">
      <c r="A1146" s="46" t="s">
        <v>99</v>
      </c>
      <c r="B1146" s="46" t="s">
        <v>146</v>
      </c>
      <c r="C1146" s="47" t="str">
        <f>Matrix!AS13</f>
        <v>NS</v>
      </c>
      <c r="D1146" s="48">
        <f>IFERROR(VLOOKUP(B1146,'Renewal Rules'!$A:$B,2,FALSE),"")</f>
        <v>12</v>
      </c>
      <c r="E1146" s="47" t="str">
        <f t="shared" si="68"/>
        <v/>
      </c>
      <c r="F1146" s="48" t="str">
        <f t="shared" ca="1" si="69"/>
        <v/>
      </c>
      <c r="G1146" s="46" t="str">
        <f t="shared" ca="1" si="70"/>
        <v>RED</v>
      </c>
      <c r="H1146" s="46" t="str">
        <f t="shared" ca="1" si="71"/>
        <v>Not Started</v>
      </c>
      <c r="I1146" s="21"/>
    </row>
    <row r="1147" spans="1:9" x14ac:dyDescent="0.35">
      <c r="A1147" s="46" t="s">
        <v>99</v>
      </c>
      <c r="B1147" s="46" t="s">
        <v>147</v>
      </c>
      <c r="C1147" s="47" t="str">
        <f>Matrix!AT13</f>
        <v>NS</v>
      </c>
      <c r="D1147" s="48">
        <f>IFERROR(VLOOKUP(B1147,'Renewal Rules'!$A:$B,2,FALSE),"")</f>
        <v>36</v>
      </c>
      <c r="E1147" s="47" t="str">
        <f t="shared" si="68"/>
        <v/>
      </c>
      <c r="F1147" s="48" t="str">
        <f t="shared" ca="1" si="69"/>
        <v/>
      </c>
      <c r="G1147" s="46" t="str">
        <f t="shared" ca="1" si="70"/>
        <v>RED</v>
      </c>
      <c r="H1147" s="46" t="str">
        <f t="shared" ca="1" si="71"/>
        <v>Not Started</v>
      </c>
      <c r="I1147" s="21"/>
    </row>
    <row r="1148" spans="1:9" x14ac:dyDescent="0.35">
      <c r="A1148" s="46" t="s">
        <v>99</v>
      </c>
      <c r="B1148" s="46" t="s">
        <v>148</v>
      </c>
      <c r="C1148" s="47" t="str">
        <f>Matrix!AU13</f>
        <v>NS</v>
      </c>
      <c r="D1148" s="48">
        <f>IFERROR(VLOOKUP(B1148,'Renewal Rules'!$A:$B,2,FALSE),"")</f>
        <v>36</v>
      </c>
      <c r="E1148" s="47" t="str">
        <f t="shared" si="68"/>
        <v/>
      </c>
      <c r="F1148" s="48" t="str">
        <f t="shared" ca="1" si="69"/>
        <v/>
      </c>
      <c r="G1148" s="46" t="str">
        <f t="shared" ca="1" si="70"/>
        <v>RED</v>
      </c>
      <c r="H1148" s="46" t="str">
        <f t="shared" ca="1" si="71"/>
        <v>Not Started</v>
      </c>
      <c r="I1148" s="21"/>
    </row>
    <row r="1149" spans="1:9" x14ac:dyDescent="0.35">
      <c r="A1149" s="46" t="s">
        <v>99</v>
      </c>
      <c r="B1149" s="46" t="s">
        <v>149</v>
      </c>
      <c r="C1149" s="47" t="str">
        <f>Matrix!AV13</f>
        <v>NS</v>
      </c>
      <c r="D1149" s="48">
        <f>IFERROR(VLOOKUP(B1149,'Renewal Rules'!$A:$B,2,FALSE),"")</f>
        <v>36</v>
      </c>
      <c r="E1149" s="47" t="str">
        <f t="shared" si="68"/>
        <v/>
      </c>
      <c r="F1149" s="48" t="str">
        <f t="shared" ca="1" si="69"/>
        <v/>
      </c>
      <c r="G1149" s="46" t="str">
        <f t="shared" ca="1" si="70"/>
        <v>RED</v>
      </c>
      <c r="H1149" s="46" t="str">
        <f t="shared" ca="1" si="71"/>
        <v>Not Started</v>
      </c>
      <c r="I1149" s="21"/>
    </row>
    <row r="1150" spans="1:9" x14ac:dyDescent="0.35">
      <c r="A1150" s="46" t="s">
        <v>99</v>
      </c>
      <c r="B1150" s="46" t="s">
        <v>150</v>
      </c>
      <c r="C1150" s="47" t="str">
        <f>Matrix!AW13</f>
        <v>NS</v>
      </c>
      <c r="D1150" s="48">
        <f>IFERROR(VLOOKUP(B1150,'Renewal Rules'!$A:$B,2,FALSE),"")</f>
        <v>36</v>
      </c>
      <c r="E1150" s="47" t="str">
        <f t="shared" si="68"/>
        <v/>
      </c>
      <c r="F1150" s="48" t="str">
        <f t="shared" ca="1" si="69"/>
        <v/>
      </c>
      <c r="G1150" s="46" t="str">
        <f t="shared" ca="1" si="70"/>
        <v>RED</v>
      </c>
      <c r="H1150" s="46" t="str">
        <f t="shared" ca="1" si="71"/>
        <v>Not Started</v>
      </c>
      <c r="I1150" s="21"/>
    </row>
    <row r="1151" spans="1:9" x14ac:dyDescent="0.35">
      <c r="A1151" s="46" t="s">
        <v>99</v>
      </c>
      <c r="B1151" s="46" t="s">
        <v>151</v>
      </c>
      <c r="C1151" s="47" t="str">
        <f>Matrix!AX13</f>
        <v>NS</v>
      </c>
      <c r="D1151" s="48">
        <f>IFERROR(VLOOKUP(B1151,'Renewal Rules'!$A:$B,2,FALSE),"")</f>
        <v>36</v>
      </c>
      <c r="E1151" s="47" t="str">
        <f t="shared" si="68"/>
        <v/>
      </c>
      <c r="F1151" s="48" t="str">
        <f t="shared" ca="1" si="69"/>
        <v/>
      </c>
      <c r="G1151" s="46" t="str">
        <f t="shared" ca="1" si="70"/>
        <v>RED</v>
      </c>
      <c r="H1151" s="46" t="str">
        <f t="shared" ca="1" si="71"/>
        <v>Not Started</v>
      </c>
      <c r="I1151" s="21"/>
    </row>
    <row r="1152" spans="1:9" x14ac:dyDescent="0.35">
      <c r="A1152" s="46" t="s">
        <v>99</v>
      </c>
      <c r="B1152" s="46" t="s">
        <v>152</v>
      </c>
      <c r="C1152" s="47" t="str">
        <f>Matrix!AY13</f>
        <v>NS</v>
      </c>
      <c r="D1152" s="48">
        <f>IFERROR(VLOOKUP(B1152,'Renewal Rules'!$A:$B,2,FALSE),"")</f>
        <v>36</v>
      </c>
      <c r="E1152" s="47" t="str">
        <f t="shared" si="68"/>
        <v/>
      </c>
      <c r="F1152" s="48" t="str">
        <f t="shared" ca="1" si="69"/>
        <v/>
      </c>
      <c r="G1152" s="46" t="str">
        <f t="shared" ca="1" si="70"/>
        <v>RED</v>
      </c>
      <c r="H1152" s="46" t="str">
        <f t="shared" ca="1" si="71"/>
        <v>Not Started</v>
      </c>
      <c r="I1152" s="21"/>
    </row>
    <row r="1153" spans="1:9" x14ac:dyDescent="0.35">
      <c r="A1153" s="46" t="s">
        <v>99</v>
      </c>
      <c r="B1153" s="46" t="s">
        <v>153</v>
      </c>
      <c r="C1153" s="47" t="str">
        <f>Matrix!AZ13</f>
        <v>NS</v>
      </c>
      <c r="D1153" s="48">
        <f>IFERROR(VLOOKUP(B1153,'Renewal Rules'!$A:$B,2,FALSE),"")</f>
        <v>36</v>
      </c>
      <c r="E1153" s="47" t="str">
        <f t="shared" si="68"/>
        <v/>
      </c>
      <c r="F1153" s="48" t="str">
        <f t="shared" ca="1" si="69"/>
        <v/>
      </c>
      <c r="G1153" s="46" t="str">
        <f t="shared" ca="1" si="70"/>
        <v>RED</v>
      </c>
      <c r="H1153" s="46" t="str">
        <f t="shared" ca="1" si="71"/>
        <v>Not Started</v>
      </c>
      <c r="I1153" s="21"/>
    </row>
    <row r="1154" spans="1:9" x14ac:dyDescent="0.35">
      <c r="A1154" s="46" t="s">
        <v>99</v>
      </c>
      <c r="B1154" s="46" t="s">
        <v>154</v>
      </c>
      <c r="C1154" s="47" t="str">
        <f>Matrix!BA13</f>
        <v>NS</v>
      </c>
      <c r="D1154" s="48">
        <f>IFERROR(VLOOKUP(B1154,'Renewal Rules'!$A:$B,2,FALSE),"")</f>
        <v>36</v>
      </c>
      <c r="E1154" s="47" t="str">
        <f t="shared" si="68"/>
        <v/>
      </c>
      <c r="F1154" s="48" t="str">
        <f t="shared" ca="1" si="69"/>
        <v/>
      </c>
      <c r="G1154" s="46" t="str">
        <f t="shared" ca="1" si="70"/>
        <v>RED</v>
      </c>
      <c r="H1154" s="46" t="str">
        <f t="shared" ca="1" si="71"/>
        <v>Not Started</v>
      </c>
      <c r="I1154" s="21"/>
    </row>
    <row r="1155" spans="1:9" x14ac:dyDescent="0.35">
      <c r="A1155" s="46" t="s">
        <v>99</v>
      </c>
      <c r="B1155" s="46" t="s">
        <v>155</v>
      </c>
      <c r="C1155" s="47" t="str">
        <f>Matrix!BB13</f>
        <v>NS</v>
      </c>
      <c r="D1155" s="48">
        <f>IFERROR(VLOOKUP(B1155,'Renewal Rules'!$A:$B,2,FALSE),"")</f>
        <v>12</v>
      </c>
      <c r="E1155" s="47" t="str">
        <f t="shared" ref="E1155:E1218" si="72">IF(OR(C1155="",C1155="NS",C1155="IP",C1155="Failed"),"",IFERROR(EDATE(IF(ISNUMBER(C1155),C1155,IFERROR(DATEVALUE(C1155),DATE(VALUE(RIGHT(C1155,4)),VALUE(MID(C1155,4,2)),VALUE(LEFT(C1155,2))))),D1155),""))</f>
        <v/>
      </c>
      <c r="F1155" s="48" t="str">
        <f t="shared" ref="F1155:F1218" ca="1" si="73">IF(E1155="","",E1155-TODAY())</f>
        <v/>
      </c>
      <c r="G1155" s="46" t="str">
        <f t="shared" ref="G1155:G1218" ca="1" si="74">IF(C1155="NS","RED",IF(C1155="IP","AMBER",IF(E1155="","",IF(E1155&lt;TODAY(),"RED",IF(E1155&lt;=TODAY()+30,"AMBER","GREEN")))))</f>
        <v>RED</v>
      </c>
      <c r="H1155" s="46" t="str">
        <f t="shared" ref="H1155:H1218" ca="1" si="75">IF(C1155="NS","Not Started",IF(C1155="IP","In Progress",IF(E1155="","Check",IF(E1155&lt;TODAY(),"Expired",IF(E1155&lt;=TODAY()+30,"Expiring Soon","Current")))))</f>
        <v>Not Started</v>
      </c>
      <c r="I1155" s="21"/>
    </row>
    <row r="1156" spans="1:9" x14ac:dyDescent="0.35">
      <c r="A1156" s="46" t="s">
        <v>99</v>
      </c>
      <c r="B1156" s="46" t="s">
        <v>156</v>
      </c>
      <c r="C1156" s="47" t="str">
        <f>Matrix!BC13</f>
        <v>NS</v>
      </c>
      <c r="D1156" s="48">
        <f>IFERROR(VLOOKUP(B1156,'Renewal Rules'!$A:$B,2,FALSE),"")</f>
        <v>12</v>
      </c>
      <c r="E1156" s="47" t="str">
        <f t="shared" si="72"/>
        <v/>
      </c>
      <c r="F1156" s="48" t="str">
        <f t="shared" ca="1" si="73"/>
        <v/>
      </c>
      <c r="G1156" s="46" t="str">
        <f t="shared" ca="1" si="74"/>
        <v>RED</v>
      </c>
      <c r="H1156" s="46" t="str">
        <f t="shared" ca="1" si="75"/>
        <v>Not Started</v>
      </c>
      <c r="I1156" s="21"/>
    </row>
    <row r="1157" spans="1:9" x14ac:dyDescent="0.35">
      <c r="A1157" s="46" t="s">
        <v>99</v>
      </c>
      <c r="B1157" s="46" t="s">
        <v>157</v>
      </c>
      <c r="C1157" s="47" t="str">
        <f>Matrix!BD13</f>
        <v>NS</v>
      </c>
      <c r="D1157" s="48">
        <f>IFERROR(VLOOKUP(B1157,'Renewal Rules'!$A:$B,2,FALSE),"")</f>
        <v>36</v>
      </c>
      <c r="E1157" s="47" t="str">
        <f t="shared" si="72"/>
        <v/>
      </c>
      <c r="F1157" s="48" t="str">
        <f t="shared" ca="1" si="73"/>
        <v/>
      </c>
      <c r="G1157" s="46" t="str">
        <f t="shared" ca="1" si="74"/>
        <v>RED</v>
      </c>
      <c r="H1157" s="46" t="str">
        <f t="shared" ca="1" si="75"/>
        <v>Not Started</v>
      </c>
      <c r="I1157" s="21"/>
    </row>
    <row r="1158" spans="1:9" ht="12.9" customHeight="1" x14ac:dyDescent="0.35">
      <c r="A1158" s="46" t="s">
        <v>99</v>
      </c>
      <c r="B1158" s="46" t="s">
        <v>158</v>
      </c>
      <c r="C1158" s="47" t="str">
        <f>Matrix!BE13</f>
        <v>NS</v>
      </c>
      <c r="D1158" s="48">
        <f>IFERROR(VLOOKUP(B1158,'Renewal Rules'!$A:$B,2,FALSE),"")</f>
        <v>12</v>
      </c>
      <c r="E1158" s="47" t="str">
        <f t="shared" si="72"/>
        <v/>
      </c>
      <c r="F1158" s="48" t="str">
        <f t="shared" ca="1" si="73"/>
        <v/>
      </c>
      <c r="G1158" s="46" t="str">
        <f t="shared" ca="1" si="74"/>
        <v>RED</v>
      </c>
      <c r="H1158" s="46" t="str">
        <f t="shared" ca="1" si="75"/>
        <v>Not Started</v>
      </c>
      <c r="I1158" s="21"/>
    </row>
    <row r="1159" spans="1:9" x14ac:dyDescent="0.35">
      <c r="A1159" s="46" t="s">
        <v>99</v>
      </c>
      <c r="B1159" s="46" t="s">
        <v>95</v>
      </c>
      <c r="C1159" s="47">
        <f>Matrix!BF13</f>
        <v>45979</v>
      </c>
      <c r="D1159" s="48">
        <f>IFERROR(VLOOKUP(B1159,'Renewal Rules'!$A:$B,2,FALSE),"")</f>
        <v>12</v>
      </c>
      <c r="E1159" s="47">
        <f t="shared" si="72"/>
        <v>46344</v>
      </c>
      <c r="F1159" s="48">
        <f t="shared" ca="1" si="73"/>
        <v>141</v>
      </c>
      <c r="G1159" s="46" t="str">
        <f t="shared" ca="1" si="74"/>
        <v>GREEN</v>
      </c>
      <c r="H1159" s="46" t="str">
        <f t="shared" ca="1" si="75"/>
        <v>Current</v>
      </c>
      <c r="I1159" s="21"/>
    </row>
    <row r="1160" spans="1:9" x14ac:dyDescent="0.35">
      <c r="A1160" s="46" t="s">
        <v>99</v>
      </c>
      <c r="B1160" s="46" t="s">
        <v>93</v>
      </c>
      <c r="C1160" s="47" t="str">
        <f>Matrix!BG13</f>
        <v>NS</v>
      </c>
      <c r="D1160" s="48">
        <f>IFERROR(VLOOKUP(B1160,'Renewal Rules'!$A:$B,2,FALSE),"")</f>
        <v>12</v>
      </c>
      <c r="E1160" s="47" t="str">
        <f t="shared" si="72"/>
        <v/>
      </c>
      <c r="F1160" s="48" t="str">
        <f t="shared" ca="1" si="73"/>
        <v/>
      </c>
      <c r="G1160" s="46" t="str">
        <f t="shared" ca="1" si="74"/>
        <v>RED</v>
      </c>
      <c r="H1160" s="46" t="str">
        <f t="shared" ca="1" si="75"/>
        <v>Not Started</v>
      </c>
      <c r="I1160" s="21"/>
    </row>
    <row r="1161" spans="1:9" x14ac:dyDescent="0.35">
      <c r="A1161" s="46" t="s">
        <v>99</v>
      </c>
      <c r="B1161" s="46" t="s">
        <v>159</v>
      </c>
      <c r="C1161" s="47" t="str">
        <f>Matrix!BH13</f>
        <v>NS</v>
      </c>
      <c r="D1161" s="48">
        <f>IFERROR(VLOOKUP(B1161,'Renewal Rules'!$A:$B,2,FALSE),"")</f>
        <v>12</v>
      </c>
      <c r="E1161" s="47" t="str">
        <f t="shared" si="72"/>
        <v/>
      </c>
      <c r="F1161" s="48" t="str">
        <f t="shared" ca="1" si="73"/>
        <v/>
      </c>
      <c r="G1161" s="46" t="str">
        <f t="shared" ca="1" si="74"/>
        <v>RED</v>
      </c>
      <c r="H1161" s="46" t="str">
        <f t="shared" ca="1" si="75"/>
        <v>Not Started</v>
      </c>
      <c r="I1161" s="21"/>
    </row>
    <row r="1162" spans="1:9" x14ac:dyDescent="0.35">
      <c r="A1162" s="46" t="s">
        <v>99</v>
      </c>
      <c r="B1162" s="46" t="s">
        <v>160</v>
      </c>
      <c r="C1162" s="47" t="str">
        <f>Matrix!BI13</f>
        <v>26/02/2025</v>
      </c>
      <c r="D1162" s="48">
        <f>IFERROR(VLOOKUP(B1162,'Renewal Rules'!$A:$B,2,FALSE),"")</f>
        <v>36</v>
      </c>
      <c r="E1162" s="47">
        <f t="shared" si="72"/>
        <v>46809</v>
      </c>
      <c r="F1162" s="48">
        <f t="shared" ca="1" si="73"/>
        <v>606</v>
      </c>
      <c r="G1162" s="46" t="str">
        <f t="shared" ca="1" si="74"/>
        <v>GREEN</v>
      </c>
      <c r="H1162" s="46" t="str">
        <f t="shared" ca="1" si="75"/>
        <v>Current</v>
      </c>
      <c r="I1162" s="21"/>
    </row>
    <row r="1163" spans="1:9" x14ac:dyDescent="0.35">
      <c r="A1163" s="46" t="s">
        <v>99</v>
      </c>
      <c r="B1163" s="46" t="s">
        <v>161</v>
      </c>
      <c r="C1163" s="47" t="str">
        <f>Matrix!BJ13</f>
        <v>NS</v>
      </c>
      <c r="D1163" s="48">
        <f>IFERROR(VLOOKUP(B1163,'Renewal Rules'!$A:$B,2,FALSE),"")</f>
        <v>12</v>
      </c>
      <c r="E1163" s="47" t="str">
        <f t="shared" si="72"/>
        <v/>
      </c>
      <c r="F1163" s="48" t="str">
        <f t="shared" ca="1" si="73"/>
        <v/>
      </c>
      <c r="G1163" s="46" t="str">
        <f t="shared" ca="1" si="74"/>
        <v>RED</v>
      </c>
      <c r="H1163" s="46" t="str">
        <f t="shared" ca="1" si="75"/>
        <v>Not Started</v>
      </c>
      <c r="I1163" s="21"/>
    </row>
    <row r="1164" spans="1:9" x14ac:dyDescent="0.35">
      <c r="A1164" s="46" t="s">
        <v>99</v>
      </c>
      <c r="B1164" s="46" t="s">
        <v>162</v>
      </c>
      <c r="C1164" s="47" t="str">
        <f>Matrix!BK13</f>
        <v>NS</v>
      </c>
      <c r="D1164" s="48">
        <f>IFERROR(VLOOKUP(B1164,'Renewal Rules'!$A:$B,2,FALSE),"")</f>
        <v>12</v>
      </c>
      <c r="E1164" s="47" t="str">
        <f t="shared" si="72"/>
        <v/>
      </c>
      <c r="F1164" s="48" t="str">
        <f t="shared" ca="1" si="73"/>
        <v/>
      </c>
      <c r="G1164" s="46" t="str">
        <f t="shared" ca="1" si="74"/>
        <v>RED</v>
      </c>
      <c r="H1164" s="46" t="str">
        <f t="shared" ca="1" si="75"/>
        <v>Not Started</v>
      </c>
      <c r="I1164" s="21"/>
    </row>
    <row r="1165" spans="1:9" x14ac:dyDescent="0.35">
      <c r="A1165" s="46" t="s">
        <v>99</v>
      </c>
      <c r="B1165" s="46" t="s">
        <v>163</v>
      </c>
      <c r="C1165" s="47" t="str">
        <f>Matrix!BL13</f>
        <v>NS</v>
      </c>
      <c r="D1165" s="48">
        <f>IFERROR(VLOOKUP(B1165,'Renewal Rules'!$A:$B,2,FALSE),"")</f>
        <v>36</v>
      </c>
      <c r="E1165" s="47" t="str">
        <f t="shared" si="72"/>
        <v/>
      </c>
      <c r="F1165" s="48" t="str">
        <f t="shared" ca="1" si="73"/>
        <v/>
      </c>
      <c r="G1165" s="46" t="str">
        <f t="shared" ca="1" si="74"/>
        <v>RED</v>
      </c>
      <c r="H1165" s="46" t="str">
        <f t="shared" ca="1" si="75"/>
        <v>Not Started</v>
      </c>
      <c r="I1165" s="21"/>
    </row>
    <row r="1166" spans="1:9" x14ac:dyDescent="0.35">
      <c r="A1166" s="46" t="s">
        <v>99</v>
      </c>
      <c r="B1166" s="46" t="s">
        <v>164</v>
      </c>
      <c r="C1166" s="47" t="str">
        <f>Matrix!BM13</f>
        <v>NS</v>
      </c>
      <c r="D1166" s="48">
        <f>IFERROR(VLOOKUP(B1166,'Renewal Rules'!$A:$B,2,FALSE),"")</f>
        <v>12</v>
      </c>
      <c r="E1166" s="47" t="str">
        <f t="shared" si="72"/>
        <v/>
      </c>
      <c r="F1166" s="48" t="str">
        <f t="shared" ca="1" si="73"/>
        <v/>
      </c>
      <c r="G1166" s="46" t="str">
        <f t="shared" ca="1" si="74"/>
        <v>RED</v>
      </c>
      <c r="H1166" s="46" t="str">
        <f t="shared" ca="1" si="75"/>
        <v>Not Started</v>
      </c>
      <c r="I1166" s="21"/>
    </row>
    <row r="1167" spans="1:9" x14ac:dyDescent="0.35">
      <c r="A1167" s="46" t="s">
        <v>99</v>
      </c>
      <c r="B1167" s="46" t="s">
        <v>165</v>
      </c>
      <c r="C1167" s="47" t="str">
        <f>Matrix!BN13</f>
        <v>NS</v>
      </c>
      <c r="D1167" s="48">
        <f>IFERROR(VLOOKUP(B1167,'Renewal Rules'!$A:$B,2,FALSE),"")</f>
        <v>36</v>
      </c>
      <c r="E1167" s="47" t="str">
        <f t="shared" si="72"/>
        <v/>
      </c>
      <c r="F1167" s="48" t="str">
        <f t="shared" ca="1" si="73"/>
        <v/>
      </c>
      <c r="G1167" s="46" t="str">
        <f t="shared" ca="1" si="74"/>
        <v>RED</v>
      </c>
      <c r="H1167" s="46" t="str">
        <f t="shared" ca="1" si="75"/>
        <v>Not Started</v>
      </c>
      <c r="I1167" s="21"/>
    </row>
    <row r="1168" spans="1:9" x14ac:dyDescent="0.35">
      <c r="A1168" s="46" t="s">
        <v>99</v>
      </c>
      <c r="B1168" s="46" t="s">
        <v>166</v>
      </c>
      <c r="C1168" s="47" t="str">
        <f>Matrix!BO13</f>
        <v>NS</v>
      </c>
      <c r="D1168" s="48">
        <f>IFERROR(VLOOKUP(B1168,'Renewal Rules'!$A:$B,2,FALSE),"")</f>
        <v>36</v>
      </c>
      <c r="E1168" s="47" t="str">
        <f t="shared" si="72"/>
        <v/>
      </c>
      <c r="F1168" s="48" t="str">
        <f t="shared" ca="1" si="73"/>
        <v/>
      </c>
      <c r="G1168" s="46" t="str">
        <f t="shared" ca="1" si="74"/>
        <v>RED</v>
      </c>
      <c r="H1168" s="46" t="str">
        <f t="shared" ca="1" si="75"/>
        <v>Not Started</v>
      </c>
      <c r="I1168" s="21"/>
    </row>
    <row r="1169" spans="1:9" x14ac:dyDescent="0.35">
      <c r="A1169" s="46" t="s">
        <v>99</v>
      </c>
      <c r="B1169" s="46" t="s">
        <v>167</v>
      </c>
      <c r="C1169" s="47" t="str">
        <f>Matrix!BP13</f>
        <v>NS</v>
      </c>
      <c r="D1169" s="48">
        <f>IFERROR(VLOOKUP(B1169,'Renewal Rules'!$A:$B,2,FALSE),"")</f>
        <v>36</v>
      </c>
      <c r="E1169" s="47" t="str">
        <f t="shared" si="72"/>
        <v/>
      </c>
      <c r="F1169" s="48" t="str">
        <f t="shared" ca="1" si="73"/>
        <v/>
      </c>
      <c r="G1169" s="46" t="str">
        <f t="shared" ca="1" si="74"/>
        <v>RED</v>
      </c>
      <c r="H1169" s="46" t="str">
        <f t="shared" ca="1" si="75"/>
        <v>Not Started</v>
      </c>
      <c r="I1169" s="21"/>
    </row>
    <row r="1170" spans="1:9" x14ac:dyDescent="0.35">
      <c r="A1170" s="46" t="s">
        <v>99</v>
      </c>
      <c r="B1170" s="46" t="s">
        <v>168</v>
      </c>
      <c r="C1170" s="47" t="str">
        <f>Matrix!BQ13</f>
        <v>NS</v>
      </c>
      <c r="D1170" s="48">
        <f>IFERROR(VLOOKUP(B1170,'Renewal Rules'!$A:$B,2,FALSE),"")</f>
        <v>36</v>
      </c>
      <c r="E1170" s="47" t="str">
        <f t="shared" si="72"/>
        <v/>
      </c>
      <c r="F1170" s="48" t="str">
        <f t="shared" ca="1" si="73"/>
        <v/>
      </c>
      <c r="G1170" s="46" t="str">
        <f t="shared" ca="1" si="74"/>
        <v>RED</v>
      </c>
      <c r="H1170" s="46" t="str">
        <f t="shared" ca="1" si="75"/>
        <v>Not Started</v>
      </c>
      <c r="I1170" s="21"/>
    </row>
    <row r="1171" spans="1:9" x14ac:dyDescent="0.35">
      <c r="A1171" s="46" t="s">
        <v>99</v>
      </c>
      <c r="B1171" s="46" t="s">
        <v>169</v>
      </c>
      <c r="C1171" s="47" t="str">
        <f>Matrix!BR13</f>
        <v>NS</v>
      </c>
      <c r="D1171" s="48">
        <f>IFERROR(VLOOKUP(B1171,'Renewal Rules'!$A:$B,2,FALSE),"")</f>
        <v>36</v>
      </c>
      <c r="E1171" s="47" t="str">
        <f t="shared" si="72"/>
        <v/>
      </c>
      <c r="F1171" s="48" t="str">
        <f t="shared" ca="1" si="73"/>
        <v/>
      </c>
      <c r="G1171" s="46" t="str">
        <f t="shared" ca="1" si="74"/>
        <v>RED</v>
      </c>
      <c r="H1171" s="46" t="str">
        <f t="shared" ca="1" si="75"/>
        <v>Not Started</v>
      </c>
      <c r="I1171" s="21"/>
    </row>
    <row r="1172" spans="1:9" x14ac:dyDescent="0.35">
      <c r="A1172" s="46" t="s">
        <v>99</v>
      </c>
      <c r="B1172" s="46" t="s">
        <v>170</v>
      </c>
      <c r="C1172" s="47" t="str">
        <f>Matrix!BS13</f>
        <v>NS</v>
      </c>
      <c r="D1172" s="48">
        <f>IFERROR(VLOOKUP(B1172,'Renewal Rules'!$A:$B,2,FALSE),"")</f>
        <v>12</v>
      </c>
      <c r="E1172" s="47" t="str">
        <f t="shared" si="72"/>
        <v/>
      </c>
      <c r="F1172" s="48" t="str">
        <f t="shared" ca="1" si="73"/>
        <v/>
      </c>
      <c r="G1172" s="46" t="str">
        <f t="shared" ca="1" si="74"/>
        <v>RED</v>
      </c>
      <c r="H1172" s="46" t="str">
        <f t="shared" ca="1" si="75"/>
        <v>Not Started</v>
      </c>
      <c r="I1172" s="21"/>
    </row>
    <row r="1173" spans="1:9" x14ac:dyDescent="0.35">
      <c r="A1173" s="46" t="s">
        <v>99</v>
      </c>
      <c r="B1173" s="46" t="s">
        <v>171</v>
      </c>
      <c r="C1173" s="47" t="str">
        <f>Matrix!BT13</f>
        <v>NS</v>
      </c>
      <c r="D1173" s="48">
        <f>IFERROR(VLOOKUP(B1173,'Renewal Rules'!$A:$B,2,FALSE),"")</f>
        <v>12</v>
      </c>
      <c r="E1173" s="47" t="str">
        <f t="shared" si="72"/>
        <v/>
      </c>
      <c r="F1173" s="48" t="str">
        <f t="shared" ca="1" si="73"/>
        <v/>
      </c>
      <c r="G1173" s="46" t="str">
        <f t="shared" ca="1" si="74"/>
        <v>RED</v>
      </c>
      <c r="H1173" s="46" t="str">
        <f t="shared" ca="1" si="75"/>
        <v>Not Started</v>
      </c>
      <c r="I1173" s="21"/>
    </row>
    <row r="1174" spans="1:9" x14ac:dyDescent="0.35">
      <c r="A1174" s="46" t="s">
        <v>99</v>
      </c>
      <c r="B1174" s="46" t="s">
        <v>172</v>
      </c>
      <c r="C1174" s="47" t="str">
        <f>Matrix!BU13</f>
        <v>NS</v>
      </c>
      <c r="D1174" s="48">
        <f>IFERROR(VLOOKUP(B1174,'Renewal Rules'!$A:$B,2,FALSE),"")</f>
        <v>12</v>
      </c>
      <c r="E1174" s="47" t="str">
        <f t="shared" si="72"/>
        <v/>
      </c>
      <c r="F1174" s="48" t="str">
        <f t="shared" ca="1" si="73"/>
        <v/>
      </c>
      <c r="G1174" s="46" t="str">
        <f t="shared" ca="1" si="74"/>
        <v>RED</v>
      </c>
      <c r="H1174" s="46" t="str">
        <f t="shared" ca="1" si="75"/>
        <v>Not Started</v>
      </c>
      <c r="I1174" s="21"/>
    </row>
    <row r="1175" spans="1:9" x14ac:dyDescent="0.35">
      <c r="A1175" s="46" t="s">
        <v>99</v>
      </c>
      <c r="B1175" s="46" t="s">
        <v>173</v>
      </c>
      <c r="C1175" s="47" t="str">
        <f>Matrix!BV13</f>
        <v>NS</v>
      </c>
      <c r="D1175" s="48">
        <f>IFERROR(VLOOKUP(B1175,'Renewal Rules'!$A:$B,2,FALSE),"")</f>
        <v>12</v>
      </c>
      <c r="E1175" s="47" t="str">
        <f t="shared" si="72"/>
        <v/>
      </c>
      <c r="F1175" s="48" t="str">
        <f t="shared" ca="1" si="73"/>
        <v/>
      </c>
      <c r="G1175" s="46" t="str">
        <f t="shared" ca="1" si="74"/>
        <v>RED</v>
      </c>
      <c r="H1175" s="46" t="str">
        <f t="shared" ca="1" si="75"/>
        <v>Not Started</v>
      </c>
      <c r="I1175" s="21"/>
    </row>
    <row r="1176" spans="1:9" x14ac:dyDescent="0.35">
      <c r="A1176" s="46" t="s">
        <v>99</v>
      </c>
      <c r="B1176" s="46" t="s">
        <v>174</v>
      </c>
      <c r="C1176" s="47" t="str">
        <f>Matrix!BW13</f>
        <v>NS</v>
      </c>
      <c r="D1176" s="48">
        <f>IFERROR(VLOOKUP(B1176,'Renewal Rules'!$A:$B,2,FALSE),"")</f>
        <v>12</v>
      </c>
      <c r="E1176" s="47" t="str">
        <f t="shared" si="72"/>
        <v/>
      </c>
      <c r="F1176" s="48" t="str">
        <f t="shared" ca="1" si="73"/>
        <v/>
      </c>
      <c r="G1176" s="46" t="str">
        <f t="shared" ca="1" si="74"/>
        <v>RED</v>
      </c>
      <c r="H1176" s="46" t="str">
        <f t="shared" ca="1" si="75"/>
        <v>Not Started</v>
      </c>
      <c r="I1176" s="21"/>
    </row>
    <row r="1177" spans="1:9" x14ac:dyDescent="0.35">
      <c r="A1177" s="46" t="s">
        <v>99</v>
      </c>
      <c r="B1177" s="46" t="s">
        <v>175</v>
      </c>
      <c r="C1177" s="47" t="str">
        <f>Matrix!BX13</f>
        <v>NS</v>
      </c>
      <c r="D1177" s="48">
        <f>IFERROR(VLOOKUP(B1177,'Renewal Rules'!$A:$B,2,FALSE),"")</f>
        <v>12</v>
      </c>
      <c r="E1177" s="47" t="str">
        <f t="shared" si="72"/>
        <v/>
      </c>
      <c r="F1177" s="48" t="str">
        <f t="shared" ca="1" si="73"/>
        <v/>
      </c>
      <c r="G1177" s="46" t="str">
        <f t="shared" ca="1" si="74"/>
        <v>RED</v>
      </c>
      <c r="H1177" s="46" t="str">
        <f t="shared" ca="1" si="75"/>
        <v>Not Started</v>
      </c>
      <c r="I1177" s="21"/>
    </row>
    <row r="1178" spans="1:9" x14ac:dyDescent="0.35">
      <c r="A1178" s="46" t="s">
        <v>99</v>
      </c>
      <c r="B1178" s="46" t="s">
        <v>176</v>
      </c>
      <c r="C1178" s="47" t="str">
        <f>Matrix!BY13</f>
        <v>NS</v>
      </c>
      <c r="D1178" s="48">
        <f>IFERROR(VLOOKUP(B1178,'Renewal Rules'!$A:$B,2,FALSE),"")</f>
        <v>36</v>
      </c>
      <c r="E1178" s="47" t="str">
        <f t="shared" si="72"/>
        <v/>
      </c>
      <c r="F1178" s="48" t="str">
        <f t="shared" ca="1" si="73"/>
        <v/>
      </c>
      <c r="G1178" s="46" t="str">
        <f t="shared" ca="1" si="74"/>
        <v>RED</v>
      </c>
      <c r="H1178" s="46" t="str">
        <f t="shared" ca="1" si="75"/>
        <v>Not Started</v>
      </c>
      <c r="I1178" s="21"/>
    </row>
    <row r="1179" spans="1:9" x14ac:dyDescent="0.35">
      <c r="A1179" s="46" t="s">
        <v>99</v>
      </c>
      <c r="B1179" s="46" t="s">
        <v>177</v>
      </c>
      <c r="C1179" s="47" t="str">
        <f>Matrix!BZ13</f>
        <v>NS</v>
      </c>
      <c r="D1179" s="48">
        <f>IFERROR(VLOOKUP(B1179,'Renewal Rules'!$A:$B,2,FALSE),"")</f>
        <v>36</v>
      </c>
      <c r="E1179" s="47" t="str">
        <f t="shared" si="72"/>
        <v/>
      </c>
      <c r="F1179" s="48" t="str">
        <f t="shared" ca="1" si="73"/>
        <v/>
      </c>
      <c r="G1179" s="46" t="str">
        <f t="shared" ca="1" si="74"/>
        <v>RED</v>
      </c>
      <c r="H1179" s="46" t="str">
        <f t="shared" ca="1" si="75"/>
        <v>Not Started</v>
      </c>
      <c r="I1179" s="21"/>
    </row>
    <row r="1180" spans="1:9" x14ac:dyDescent="0.35">
      <c r="A1180" s="46" t="s">
        <v>99</v>
      </c>
      <c r="B1180" s="46" t="s">
        <v>178</v>
      </c>
      <c r="C1180" s="47" t="str">
        <f>Matrix!CA13</f>
        <v>NS</v>
      </c>
      <c r="D1180" s="48">
        <f>IFERROR(VLOOKUP(B1180,'Renewal Rules'!$A:$B,2,FALSE),"")</f>
        <v>12</v>
      </c>
      <c r="E1180" s="47" t="str">
        <f t="shared" si="72"/>
        <v/>
      </c>
      <c r="F1180" s="48" t="str">
        <f t="shared" ca="1" si="73"/>
        <v/>
      </c>
      <c r="G1180" s="46" t="str">
        <f t="shared" ca="1" si="74"/>
        <v>RED</v>
      </c>
      <c r="H1180" s="46" t="str">
        <f t="shared" ca="1" si="75"/>
        <v>Not Started</v>
      </c>
      <c r="I1180" s="21"/>
    </row>
    <row r="1181" spans="1:9" x14ac:dyDescent="0.35">
      <c r="A1181" s="46" t="s">
        <v>99</v>
      </c>
      <c r="B1181" s="46" t="s">
        <v>179</v>
      </c>
      <c r="C1181" s="47" t="str">
        <f>Matrix!CB13</f>
        <v>NS</v>
      </c>
      <c r="D1181" s="48">
        <f>IFERROR(VLOOKUP(B1181,'Renewal Rules'!$A:$B,2,FALSE),"")</f>
        <v>12</v>
      </c>
      <c r="E1181" s="47" t="str">
        <f t="shared" si="72"/>
        <v/>
      </c>
      <c r="F1181" s="48" t="str">
        <f t="shared" ca="1" si="73"/>
        <v/>
      </c>
      <c r="G1181" s="46" t="str">
        <f t="shared" ca="1" si="74"/>
        <v>RED</v>
      </c>
      <c r="H1181" s="46" t="str">
        <f t="shared" ca="1" si="75"/>
        <v>Not Started</v>
      </c>
      <c r="I1181" s="21"/>
    </row>
    <row r="1182" spans="1:9" x14ac:dyDescent="0.35">
      <c r="A1182" s="46" t="s">
        <v>99</v>
      </c>
      <c r="B1182" s="46" t="s">
        <v>180</v>
      </c>
      <c r="C1182" s="47" t="str">
        <f>Matrix!CC13</f>
        <v>08/02/2026</v>
      </c>
      <c r="D1182" s="48">
        <f>IFERROR(VLOOKUP(B1182,'Renewal Rules'!$A:$B,2,FALSE),"")</f>
        <v>36</v>
      </c>
      <c r="E1182" s="47">
        <f t="shared" si="72"/>
        <v>47157</v>
      </c>
      <c r="F1182" s="48">
        <f t="shared" ca="1" si="73"/>
        <v>954</v>
      </c>
      <c r="G1182" s="46" t="str">
        <f t="shared" ca="1" si="74"/>
        <v>GREEN</v>
      </c>
      <c r="H1182" s="46" t="str">
        <f t="shared" ca="1" si="75"/>
        <v>Current</v>
      </c>
      <c r="I1182" s="21"/>
    </row>
    <row r="1183" spans="1:9" x14ac:dyDescent="0.35">
      <c r="A1183" s="46" t="s">
        <v>99</v>
      </c>
      <c r="B1183" s="46" t="s">
        <v>181</v>
      </c>
      <c r="C1183" s="47" t="str">
        <f>Matrix!CD13</f>
        <v>NS</v>
      </c>
      <c r="D1183" s="48">
        <f>IFERROR(VLOOKUP(B1183,'Renewal Rules'!$A:$B,2,FALSE),"")</f>
        <v>36</v>
      </c>
      <c r="E1183" s="47" t="str">
        <f t="shared" si="72"/>
        <v/>
      </c>
      <c r="F1183" s="48" t="str">
        <f t="shared" ca="1" si="73"/>
        <v/>
      </c>
      <c r="G1183" s="46" t="str">
        <f t="shared" ca="1" si="74"/>
        <v>RED</v>
      </c>
      <c r="H1183" s="46" t="str">
        <f t="shared" ca="1" si="75"/>
        <v>Not Started</v>
      </c>
      <c r="I1183" s="21"/>
    </row>
    <row r="1184" spans="1:9" x14ac:dyDescent="0.35">
      <c r="A1184" s="46" t="s">
        <v>99</v>
      </c>
      <c r="B1184" s="46" t="s">
        <v>182</v>
      </c>
      <c r="C1184" s="47" t="str">
        <f>Matrix!CE13</f>
        <v>NS</v>
      </c>
      <c r="D1184" s="48">
        <f>IFERROR(VLOOKUP(B1184,'Renewal Rules'!$A:$B,2,FALSE),"")</f>
        <v>12</v>
      </c>
      <c r="E1184" s="47" t="str">
        <f t="shared" si="72"/>
        <v/>
      </c>
      <c r="F1184" s="48" t="str">
        <f t="shared" ca="1" si="73"/>
        <v/>
      </c>
      <c r="G1184" s="46" t="str">
        <f t="shared" ca="1" si="74"/>
        <v>RED</v>
      </c>
      <c r="H1184" s="46" t="str">
        <f t="shared" ca="1" si="75"/>
        <v>Not Started</v>
      </c>
      <c r="I1184" s="21"/>
    </row>
    <row r="1185" spans="1:9" x14ac:dyDescent="0.35">
      <c r="A1185" s="46" t="s">
        <v>99</v>
      </c>
      <c r="B1185" s="46" t="s">
        <v>183</v>
      </c>
      <c r="C1185" s="47" t="str">
        <f>Matrix!CF13</f>
        <v>NS</v>
      </c>
      <c r="D1185" s="48">
        <f>IFERROR(VLOOKUP(B1185,'Renewal Rules'!$A:$B,2,FALSE),"")</f>
        <v>36</v>
      </c>
      <c r="E1185" s="47" t="str">
        <f t="shared" si="72"/>
        <v/>
      </c>
      <c r="F1185" s="48" t="str">
        <f t="shared" ca="1" si="73"/>
        <v/>
      </c>
      <c r="G1185" s="46" t="str">
        <f t="shared" ca="1" si="74"/>
        <v>RED</v>
      </c>
      <c r="H1185" s="46" t="str">
        <f t="shared" ca="1" si="75"/>
        <v>Not Started</v>
      </c>
      <c r="I1185" s="21"/>
    </row>
    <row r="1186" spans="1:9" x14ac:dyDescent="0.35">
      <c r="A1186" s="46" t="s">
        <v>99</v>
      </c>
      <c r="B1186" s="46" t="s">
        <v>184</v>
      </c>
      <c r="C1186" s="47" t="str">
        <f>Matrix!CG13</f>
        <v>NS</v>
      </c>
      <c r="D1186" s="48">
        <f>IFERROR(VLOOKUP(B1186,'Renewal Rules'!$A:$B,2,FALSE),"")</f>
        <v>12</v>
      </c>
      <c r="E1186" s="47" t="str">
        <f t="shared" si="72"/>
        <v/>
      </c>
      <c r="F1186" s="48" t="str">
        <f t="shared" ca="1" si="73"/>
        <v/>
      </c>
      <c r="G1186" s="46" t="str">
        <f t="shared" ca="1" si="74"/>
        <v>RED</v>
      </c>
      <c r="H1186" s="46" t="str">
        <f t="shared" ca="1" si="75"/>
        <v>Not Started</v>
      </c>
      <c r="I1186" s="21"/>
    </row>
    <row r="1187" spans="1:9" x14ac:dyDescent="0.35">
      <c r="A1187" s="46" t="s">
        <v>99</v>
      </c>
      <c r="B1187" s="46" t="s">
        <v>185</v>
      </c>
      <c r="C1187" s="47" t="str">
        <f>Matrix!CH13</f>
        <v>NS</v>
      </c>
      <c r="D1187" s="48">
        <f>IFERROR(VLOOKUP(B1187,'Renewal Rules'!$A:$B,2,FALSE),"")</f>
        <v>12</v>
      </c>
      <c r="E1187" s="47" t="str">
        <f t="shared" si="72"/>
        <v/>
      </c>
      <c r="F1187" s="48" t="str">
        <f t="shared" ca="1" si="73"/>
        <v/>
      </c>
      <c r="G1187" s="46" t="str">
        <f t="shared" ca="1" si="74"/>
        <v>RED</v>
      </c>
      <c r="H1187" s="46" t="str">
        <f t="shared" ca="1" si="75"/>
        <v>Not Started</v>
      </c>
      <c r="I1187" s="21"/>
    </row>
    <row r="1188" spans="1:9" x14ac:dyDescent="0.35">
      <c r="A1188" s="46" t="s">
        <v>99</v>
      </c>
      <c r="B1188" s="46" t="s">
        <v>186</v>
      </c>
      <c r="C1188" s="47" t="str">
        <f>Matrix!CI13</f>
        <v>NS</v>
      </c>
      <c r="D1188" s="48">
        <f>IFERROR(VLOOKUP(B1188,'Renewal Rules'!$A:$B,2,FALSE),"")</f>
        <v>36</v>
      </c>
      <c r="E1188" s="47" t="str">
        <f t="shared" si="72"/>
        <v/>
      </c>
      <c r="F1188" s="48" t="str">
        <f t="shared" ca="1" si="73"/>
        <v/>
      </c>
      <c r="G1188" s="46" t="str">
        <f t="shared" ca="1" si="74"/>
        <v>RED</v>
      </c>
      <c r="H1188" s="46" t="str">
        <f t="shared" ca="1" si="75"/>
        <v>Not Started</v>
      </c>
      <c r="I1188" s="21"/>
    </row>
    <row r="1189" spans="1:9" x14ac:dyDescent="0.35">
      <c r="A1189" s="46" t="s">
        <v>99</v>
      </c>
      <c r="B1189" s="46" t="s">
        <v>187</v>
      </c>
      <c r="C1189" s="47" t="str">
        <f>Matrix!CJ13</f>
        <v>NS</v>
      </c>
      <c r="D1189" s="48">
        <f>IFERROR(VLOOKUP(B1189,'Renewal Rules'!$A:$B,2,FALSE),"")</f>
        <v>12</v>
      </c>
      <c r="E1189" s="47" t="str">
        <f t="shared" si="72"/>
        <v/>
      </c>
      <c r="F1189" s="48" t="str">
        <f t="shared" ca="1" si="73"/>
        <v/>
      </c>
      <c r="G1189" s="46" t="str">
        <f t="shared" ca="1" si="74"/>
        <v>RED</v>
      </c>
      <c r="H1189" s="46" t="str">
        <f t="shared" ca="1" si="75"/>
        <v>Not Started</v>
      </c>
      <c r="I1189" s="21"/>
    </row>
    <row r="1190" spans="1:9" x14ac:dyDescent="0.35">
      <c r="A1190" s="46" t="s">
        <v>99</v>
      </c>
      <c r="B1190" s="46" t="s">
        <v>188</v>
      </c>
      <c r="C1190" s="47" t="str">
        <f>Matrix!CK13</f>
        <v>NS</v>
      </c>
      <c r="D1190" s="48">
        <f>IFERROR(VLOOKUP(B1190,'Renewal Rules'!$A:$B,2,FALSE),"")</f>
        <v>36</v>
      </c>
      <c r="E1190" s="47" t="str">
        <f t="shared" si="72"/>
        <v/>
      </c>
      <c r="F1190" s="48" t="str">
        <f t="shared" ca="1" si="73"/>
        <v/>
      </c>
      <c r="G1190" s="46" t="str">
        <f t="shared" ca="1" si="74"/>
        <v>RED</v>
      </c>
      <c r="H1190" s="46" t="str">
        <f t="shared" ca="1" si="75"/>
        <v>Not Started</v>
      </c>
      <c r="I1190" s="21"/>
    </row>
    <row r="1191" spans="1:9" x14ac:dyDescent="0.35">
      <c r="A1191" s="46" t="s">
        <v>99</v>
      </c>
      <c r="B1191" s="46" t="s">
        <v>189</v>
      </c>
      <c r="C1191" s="47" t="str">
        <f>Matrix!CL13</f>
        <v>NS</v>
      </c>
      <c r="D1191" s="48">
        <f>IFERROR(VLOOKUP(B1191,'Renewal Rules'!$A:$B,2,FALSE),"")</f>
        <v>36</v>
      </c>
      <c r="E1191" s="47" t="str">
        <f t="shared" si="72"/>
        <v/>
      </c>
      <c r="F1191" s="48" t="str">
        <f t="shared" ca="1" si="73"/>
        <v/>
      </c>
      <c r="G1191" s="46" t="str">
        <f t="shared" ca="1" si="74"/>
        <v>RED</v>
      </c>
      <c r="H1191" s="46" t="str">
        <f t="shared" ca="1" si="75"/>
        <v>Not Started</v>
      </c>
      <c r="I1191" s="21"/>
    </row>
    <row r="1192" spans="1:9" x14ac:dyDescent="0.35">
      <c r="A1192" s="46" t="s">
        <v>99</v>
      </c>
      <c r="B1192" s="46" t="s">
        <v>190</v>
      </c>
      <c r="C1192" s="47" t="str">
        <f>Matrix!CM13</f>
        <v>NS</v>
      </c>
      <c r="D1192" s="48">
        <f>IFERROR(VLOOKUP(B1192,'Renewal Rules'!$A:$B,2,FALSE),"")</f>
        <v>12</v>
      </c>
      <c r="E1192" s="47" t="str">
        <f t="shared" si="72"/>
        <v/>
      </c>
      <c r="F1192" s="48" t="str">
        <f t="shared" ca="1" si="73"/>
        <v/>
      </c>
      <c r="G1192" s="46" t="str">
        <f t="shared" ca="1" si="74"/>
        <v>RED</v>
      </c>
      <c r="H1192" s="46" t="str">
        <f t="shared" ca="1" si="75"/>
        <v>Not Started</v>
      </c>
      <c r="I1192" s="21"/>
    </row>
    <row r="1193" spans="1:9" x14ac:dyDescent="0.35">
      <c r="A1193" s="46" t="s">
        <v>99</v>
      </c>
      <c r="B1193" s="46" t="s">
        <v>191</v>
      </c>
      <c r="C1193" s="47" t="str">
        <f>Matrix!CN13</f>
        <v>NS</v>
      </c>
      <c r="D1193" s="48">
        <f>IFERROR(VLOOKUP(B1193,'Renewal Rules'!$A:$B,2,FALSE),"")</f>
        <v>36</v>
      </c>
      <c r="E1193" s="47" t="str">
        <f t="shared" si="72"/>
        <v/>
      </c>
      <c r="F1193" s="48" t="str">
        <f t="shared" ca="1" si="73"/>
        <v/>
      </c>
      <c r="G1193" s="46" t="str">
        <f t="shared" ca="1" si="74"/>
        <v>RED</v>
      </c>
      <c r="H1193" s="46" t="str">
        <f t="shared" ca="1" si="75"/>
        <v>Not Started</v>
      </c>
      <c r="I1193" s="21"/>
    </row>
    <row r="1194" spans="1:9" x14ac:dyDescent="0.35">
      <c r="A1194" s="46" t="s">
        <v>99</v>
      </c>
      <c r="B1194" s="46" t="s">
        <v>192</v>
      </c>
      <c r="C1194" s="47" t="str">
        <f>Matrix!CO13</f>
        <v>NS</v>
      </c>
      <c r="D1194" s="48">
        <f>IFERROR(VLOOKUP(B1194,'Renewal Rules'!$A:$B,2,FALSE),"")</f>
        <v>12</v>
      </c>
      <c r="E1194" s="47" t="str">
        <f t="shared" si="72"/>
        <v/>
      </c>
      <c r="F1194" s="48" t="str">
        <f t="shared" ca="1" si="73"/>
        <v/>
      </c>
      <c r="G1194" s="46" t="str">
        <f t="shared" ca="1" si="74"/>
        <v>RED</v>
      </c>
      <c r="H1194" s="46" t="str">
        <f t="shared" ca="1" si="75"/>
        <v>Not Started</v>
      </c>
      <c r="I1194" s="21"/>
    </row>
    <row r="1195" spans="1:9" ht="12.9" customHeight="1" x14ac:dyDescent="0.35">
      <c r="A1195" s="46" t="s">
        <v>99</v>
      </c>
      <c r="B1195" s="46" t="s">
        <v>193</v>
      </c>
      <c r="C1195" s="47" t="str">
        <f>Matrix!CP13</f>
        <v>NS</v>
      </c>
      <c r="D1195" s="48">
        <f>IFERROR(VLOOKUP(B1195,'Renewal Rules'!$A:$B,2,FALSE),"")</f>
        <v>12</v>
      </c>
      <c r="E1195" s="47" t="str">
        <f t="shared" si="72"/>
        <v/>
      </c>
      <c r="F1195" s="48" t="str">
        <f t="shared" ca="1" si="73"/>
        <v/>
      </c>
      <c r="G1195" s="46" t="str">
        <f t="shared" ca="1" si="74"/>
        <v>RED</v>
      </c>
      <c r="H1195" s="46" t="str">
        <f t="shared" ca="1" si="75"/>
        <v>Not Started</v>
      </c>
      <c r="I1195" s="21"/>
    </row>
    <row r="1196" spans="1:9" x14ac:dyDescent="0.35">
      <c r="A1196" s="46" t="s">
        <v>99</v>
      </c>
      <c r="B1196" s="46" t="s">
        <v>194</v>
      </c>
      <c r="C1196" s="47" t="str">
        <f>Matrix!CQ13</f>
        <v>NS</v>
      </c>
      <c r="D1196" s="48">
        <f>IFERROR(VLOOKUP(B1196,'Renewal Rules'!$A:$B,2,FALSE),"")</f>
        <v>36</v>
      </c>
      <c r="E1196" s="47" t="str">
        <f t="shared" si="72"/>
        <v/>
      </c>
      <c r="F1196" s="48" t="str">
        <f t="shared" ca="1" si="73"/>
        <v/>
      </c>
      <c r="G1196" s="46" t="str">
        <f t="shared" ca="1" si="74"/>
        <v>RED</v>
      </c>
      <c r="H1196" s="46" t="str">
        <f t="shared" ca="1" si="75"/>
        <v>Not Started</v>
      </c>
      <c r="I1196" s="21"/>
    </row>
    <row r="1197" spans="1:9" ht="12.9" customHeight="1" x14ac:dyDescent="0.35">
      <c r="A1197" s="46" t="s">
        <v>99</v>
      </c>
      <c r="B1197" s="46" t="s">
        <v>195</v>
      </c>
      <c r="C1197" s="47" t="str">
        <f>Matrix!CR13</f>
        <v>NS</v>
      </c>
      <c r="D1197" s="48">
        <f>IFERROR(VLOOKUP(B1197,'Renewal Rules'!$A:$B,2,FALSE),"")</f>
        <v>36</v>
      </c>
      <c r="E1197" s="47" t="str">
        <f t="shared" si="72"/>
        <v/>
      </c>
      <c r="F1197" s="48" t="str">
        <f t="shared" ca="1" si="73"/>
        <v/>
      </c>
      <c r="G1197" s="46" t="str">
        <f t="shared" ca="1" si="74"/>
        <v>RED</v>
      </c>
      <c r="H1197" s="46" t="str">
        <f t="shared" ca="1" si="75"/>
        <v>Not Started</v>
      </c>
      <c r="I1197" s="21"/>
    </row>
    <row r="1198" spans="1:9" x14ac:dyDescent="0.35">
      <c r="A1198" s="46" t="s">
        <v>99</v>
      </c>
      <c r="B1198" s="46" t="s">
        <v>196</v>
      </c>
      <c r="C1198" s="47" t="str">
        <f>Matrix!CS13</f>
        <v>NS</v>
      </c>
      <c r="D1198" s="48">
        <f>IFERROR(VLOOKUP(B1198,'Renewal Rules'!$A:$B,2,FALSE),"")</f>
        <v>36</v>
      </c>
      <c r="E1198" s="47" t="str">
        <f t="shared" si="72"/>
        <v/>
      </c>
      <c r="F1198" s="48" t="str">
        <f t="shared" ca="1" si="73"/>
        <v/>
      </c>
      <c r="G1198" s="46" t="str">
        <f t="shared" ca="1" si="74"/>
        <v>RED</v>
      </c>
      <c r="H1198" s="46" t="str">
        <f t="shared" ca="1" si="75"/>
        <v>Not Started</v>
      </c>
      <c r="I1198" s="21"/>
    </row>
    <row r="1199" spans="1:9" x14ac:dyDescent="0.35">
      <c r="A1199" s="46" t="s">
        <v>99</v>
      </c>
      <c r="B1199" s="46" t="s">
        <v>197</v>
      </c>
      <c r="C1199" s="47" t="str">
        <f>Matrix!CT13</f>
        <v>NS</v>
      </c>
      <c r="D1199" s="48">
        <f>IFERROR(VLOOKUP(B1199,'Renewal Rules'!$A:$B,2,FALSE),"")</f>
        <v>12</v>
      </c>
      <c r="E1199" s="47" t="str">
        <f t="shared" si="72"/>
        <v/>
      </c>
      <c r="F1199" s="48" t="str">
        <f t="shared" ca="1" si="73"/>
        <v/>
      </c>
      <c r="G1199" s="46" t="str">
        <f t="shared" ca="1" si="74"/>
        <v>RED</v>
      </c>
      <c r="H1199" s="46" t="str">
        <f t="shared" ca="1" si="75"/>
        <v>Not Started</v>
      </c>
      <c r="I1199" s="21"/>
    </row>
    <row r="1200" spans="1:9" x14ac:dyDescent="0.35">
      <c r="A1200" s="46" t="s">
        <v>99</v>
      </c>
      <c r="B1200" s="46" t="s">
        <v>198</v>
      </c>
      <c r="C1200" s="47" t="str">
        <f>Matrix!CU13</f>
        <v>NS</v>
      </c>
      <c r="D1200" s="48">
        <f>IFERROR(VLOOKUP(B1200,'Renewal Rules'!$A:$B,2,FALSE),"")</f>
        <v>12</v>
      </c>
      <c r="E1200" s="47" t="str">
        <f t="shared" si="72"/>
        <v/>
      </c>
      <c r="F1200" s="48" t="str">
        <f t="shared" ca="1" si="73"/>
        <v/>
      </c>
      <c r="G1200" s="46" t="str">
        <f t="shared" ca="1" si="74"/>
        <v>RED</v>
      </c>
      <c r="H1200" s="46" t="str">
        <f t="shared" ca="1" si="75"/>
        <v>Not Started</v>
      </c>
      <c r="I1200" s="21"/>
    </row>
    <row r="1201" spans="1:9" x14ac:dyDescent="0.35">
      <c r="A1201" s="46" t="s">
        <v>99</v>
      </c>
      <c r="B1201" s="46" t="s">
        <v>199</v>
      </c>
      <c r="C1201" s="47" t="str">
        <f>Matrix!CV13</f>
        <v>NS</v>
      </c>
      <c r="D1201" s="48">
        <f>IFERROR(VLOOKUP(B1201,'Renewal Rules'!$A:$B,2,FALSE),"")</f>
        <v>12</v>
      </c>
      <c r="E1201" s="47" t="str">
        <f t="shared" si="72"/>
        <v/>
      </c>
      <c r="F1201" s="48" t="str">
        <f t="shared" ca="1" si="73"/>
        <v/>
      </c>
      <c r="G1201" s="46" t="str">
        <f t="shared" ca="1" si="74"/>
        <v>RED</v>
      </c>
      <c r="H1201" s="46" t="str">
        <f t="shared" ca="1" si="75"/>
        <v>Not Started</v>
      </c>
      <c r="I1201" s="21"/>
    </row>
    <row r="1202" spans="1:9" ht="12.9" customHeight="1" x14ac:dyDescent="0.35">
      <c r="A1202" s="46" t="s">
        <v>99</v>
      </c>
      <c r="B1202" s="46" t="s">
        <v>200</v>
      </c>
      <c r="C1202" s="47" t="str">
        <f>Matrix!CW13</f>
        <v>NS</v>
      </c>
      <c r="D1202" s="48">
        <f>IFERROR(VLOOKUP(B1202,'Renewal Rules'!$A:$B,2,FALSE),"")</f>
        <v>12</v>
      </c>
      <c r="E1202" s="47" t="str">
        <f t="shared" si="72"/>
        <v/>
      </c>
      <c r="F1202" s="48" t="str">
        <f t="shared" ca="1" si="73"/>
        <v/>
      </c>
      <c r="G1202" s="46" t="str">
        <f t="shared" ca="1" si="74"/>
        <v>RED</v>
      </c>
      <c r="H1202" s="46" t="str">
        <f t="shared" ca="1" si="75"/>
        <v>Not Started</v>
      </c>
      <c r="I1202" s="21"/>
    </row>
    <row r="1203" spans="1:9" x14ac:dyDescent="0.35">
      <c r="A1203" s="46" t="s">
        <v>99</v>
      </c>
      <c r="B1203" s="46" t="s">
        <v>201</v>
      </c>
      <c r="C1203" s="47" t="str">
        <f>Matrix!CX13</f>
        <v>NS</v>
      </c>
      <c r="D1203" s="48">
        <f>IFERROR(VLOOKUP(B1203,'Renewal Rules'!$A:$B,2,FALSE),"")</f>
        <v>12</v>
      </c>
      <c r="E1203" s="47" t="str">
        <f t="shared" si="72"/>
        <v/>
      </c>
      <c r="F1203" s="48" t="str">
        <f t="shared" ca="1" si="73"/>
        <v/>
      </c>
      <c r="G1203" s="46" t="str">
        <f t="shared" ca="1" si="74"/>
        <v>RED</v>
      </c>
      <c r="H1203" s="46" t="str">
        <f t="shared" ca="1" si="75"/>
        <v>Not Started</v>
      </c>
      <c r="I1203" s="21"/>
    </row>
    <row r="1204" spans="1:9" x14ac:dyDescent="0.35">
      <c r="A1204" s="46" t="s">
        <v>99</v>
      </c>
      <c r="B1204" s="46" t="s">
        <v>202</v>
      </c>
      <c r="C1204" s="47" t="str">
        <f>Matrix!CY13</f>
        <v>NS</v>
      </c>
      <c r="D1204" s="48">
        <f>IFERROR(VLOOKUP(B1204,'Renewal Rules'!$A:$B,2,FALSE),"")</f>
        <v>36</v>
      </c>
      <c r="E1204" s="47" t="str">
        <f t="shared" si="72"/>
        <v/>
      </c>
      <c r="F1204" s="48" t="str">
        <f t="shared" ca="1" si="73"/>
        <v/>
      </c>
      <c r="G1204" s="46" t="str">
        <f t="shared" ca="1" si="74"/>
        <v>RED</v>
      </c>
      <c r="H1204" s="46" t="str">
        <f t="shared" ca="1" si="75"/>
        <v>Not Started</v>
      </c>
      <c r="I1204" s="21"/>
    </row>
    <row r="1205" spans="1:9" ht="12.9" customHeight="1" x14ac:dyDescent="0.35">
      <c r="A1205" s="46" t="s">
        <v>99</v>
      </c>
      <c r="B1205" s="46" t="s">
        <v>203</v>
      </c>
      <c r="C1205" s="47" t="str">
        <f>Matrix!CZ13</f>
        <v>NS</v>
      </c>
      <c r="D1205" s="48">
        <f>IFERROR(VLOOKUP(B1205,'Renewal Rules'!$A:$B,2,FALSE),"")</f>
        <v>12</v>
      </c>
      <c r="E1205" s="47" t="str">
        <f t="shared" si="72"/>
        <v/>
      </c>
      <c r="F1205" s="48" t="str">
        <f t="shared" ca="1" si="73"/>
        <v/>
      </c>
      <c r="G1205" s="46" t="str">
        <f t="shared" ca="1" si="74"/>
        <v>RED</v>
      </c>
      <c r="H1205" s="46" t="str">
        <f t="shared" ca="1" si="75"/>
        <v>Not Started</v>
      </c>
      <c r="I1205" s="21"/>
    </row>
    <row r="1206" spans="1:9" x14ac:dyDescent="0.35">
      <c r="A1206" s="46" t="s">
        <v>99</v>
      </c>
      <c r="B1206" s="46" t="s">
        <v>204</v>
      </c>
      <c r="C1206" s="47" t="str">
        <f>Matrix!DA13</f>
        <v>NS</v>
      </c>
      <c r="D1206" s="48">
        <f>IFERROR(VLOOKUP(B1206,'Renewal Rules'!$A:$B,2,FALSE),"")</f>
        <v>12</v>
      </c>
      <c r="E1206" s="47" t="str">
        <f t="shared" si="72"/>
        <v/>
      </c>
      <c r="F1206" s="48" t="str">
        <f t="shared" ca="1" si="73"/>
        <v/>
      </c>
      <c r="G1206" s="46" t="str">
        <f t="shared" ca="1" si="74"/>
        <v>RED</v>
      </c>
      <c r="H1206" s="46" t="str">
        <f t="shared" ca="1" si="75"/>
        <v>Not Started</v>
      </c>
      <c r="I1206" s="21"/>
    </row>
    <row r="1207" spans="1:9" x14ac:dyDescent="0.35">
      <c r="A1207" s="46" t="s">
        <v>99</v>
      </c>
      <c r="B1207" s="46" t="s">
        <v>205</v>
      </c>
      <c r="C1207" s="47" t="str">
        <f>Matrix!DB13</f>
        <v>11/02/2026</v>
      </c>
      <c r="D1207" s="48">
        <f>IFERROR(VLOOKUP(B1207,'Renewal Rules'!$A:$B,2,FALSE),"")</f>
        <v>36</v>
      </c>
      <c r="E1207" s="47">
        <f t="shared" si="72"/>
        <v>47160</v>
      </c>
      <c r="F1207" s="48">
        <f t="shared" ca="1" si="73"/>
        <v>957</v>
      </c>
      <c r="G1207" s="46" t="str">
        <f t="shared" ca="1" si="74"/>
        <v>GREEN</v>
      </c>
      <c r="H1207" s="46" t="str">
        <f t="shared" ca="1" si="75"/>
        <v>Current</v>
      </c>
      <c r="I1207" s="21"/>
    </row>
    <row r="1208" spans="1:9" x14ac:dyDescent="0.35">
      <c r="A1208" s="46" t="s">
        <v>99</v>
      </c>
      <c r="B1208" s="46" t="s">
        <v>94</v>
      </c>
      <c r="C1208" s="47" t="str">
        <f>Matrix!DC13</f>
        <v>05/12/2025</v>
      </c>
      <c r="D1208" s="48">
        <f>IFERROR(VLOOKUP(B1208,'Renewal Rules'!$A:$B,2,FALSE),"")</f>
        <v>12</v>
      </c>
      <c r="E1208" s="47">
        <f t="shared" si="72"/>
        <v>46361</v>
      </c>
      <c r="F1208" s="48">
        <f t="shared" ca="1" si="73"/>
        <v>158</v>
      </c>
      <c r="G1208" s="46" t="str">
        <f t="shared" ca="1" si="74"/>
        <v>GREEN</v>
      </c>
      <c r="H1208" s="46" t="str">
        <f t="shared" ca="1" si="75"/>
        <v>Current</v>
      </c>
      <c r="I1208" s="21"/>
    </row>
    <row r="1209" spans="1:9" x14ac:dyDescent="0.35">
      <c r="A1209" s="46" t="s">
        <v>99</v>
      </c>
      <c r="B1209" s="46" t="s">
        <v>206</v>
      </c>
      <c r="C1209" s="47" t="str">
        <f>Matrix!DD13</f>
        <v>NS</v>
      </c>
      <c r="D1209" s="48">
        <f>IFERROR(VLOOKUP(B1209,'Renewal Rules'!$A:$B,2,FALSE),"")</f>
        <v>36</v>
      </c>
      <c r="E1209" s="47" t="str">
        <f t="shared" si="72"/>
        <v/>
      </c>
      <c r="F1209" s="48" t="str">
        <f t="shared" ca="1" si="73"/>
        <v/>
      </c>
      <c r="G1209" s="46" t="str">
        <f t="shared" ca="1" si="74"/>
        <v>RED</v>
      </c>
      <c r="H1209" s="46" t="str">
        <f t="shared" ca="1" si="75"/>
        <v>Not Started</v>
      </c>
      <c r="I1209" s="21"/>
    </row>
    <row r="1210" spans="1:9" x14ac:dyDescent="0.35">
      <c r="A1210" s="46" t="s">
        <v>99</v>
      </c>
      <c r="B1210" s="46" t="s">
        <v>207</v>
      </c>
      <c r="C1210" s="47" t="str">
        <f>Matrix!DE13</f>
        <v>11/02/2026</v>
      </c>
      <c r="D1210" s="48">
        <f>IFERROR(VLOOKUP(B1210,'Renewal Rules'!$A:$B,2,FALSE),"")</f>
        <v>36</v>
      </c>
      <c r="E1210" s="47">
        <f t="shared" si="72"/>
        <v>47160</v>
      </c>
      <c r="F1210" s="48">
        <f t="shared" ca="1" si="73"/>
        <v>957</v>
      </c>
      <c r="G1210" s="46" t="str">
        <f t="shared" ca="1" si="74"/>
        <v>GREEN</v>
      </c>
      <c r="H1210" s="46" t="str">
        <f t="shared" ca="1" si="75"/>
        <v>Current</v>
      </c>
      <c r="I1210" s="21"/>
    </row>
    <row r="1211" spans="1:9" x14ac:dyDescent="0.35">
      <c r="A1211" s="46" t="s">
        <v>99</v>
      </c>
      <c r="B1211" s="46" t="s">
        <v>208</v>
      </c>
      <c r="C1211" s="47" t="str">
        <f>Matrix!DF13</f>
        <v>NS</v>
      </c>
      <c r="D1211" s="48">
        <f>IFERROR(VLOOKUP(B1211,'Renewal Rules'!$A:$B,2,FALSE),"")</f>
        <v>36</v>
      </c>
      <c r="E1211" s="47" t="str">
        <f t="shared" si="72"/>
        <v/>
      </c>
      <c r="F1211" s="48" t="str">
        <f t="shared" ca="1" si="73"/>
        <v/>
      </c>
      <c r="G1211" s="46" t="str">
        <f t="shared" ca="1" si="74"/>
        <v>RED</v>
      </c>
      <c r="H1211" s="46" t="str">
        <f t="shared" ca="1" si="75"/>
        <v>Not Started</v>
      </c>
      <c r="I1211" s="21"/>
    </row>
    <row r="1212" spans="1:9" x14ac:dyDescent="0.35">
      <c r="A1212" s="46" t="s">
        <v>99</v>
      </c>
      <c r="B1212" s="46" t="s">
        <v>104</v>
      </c>
      <c r="C1212" s="47" t="str">
        <f>Matrix!DG13</f>
        <v>NS</v>
      </c>
      <c r="D1212" s="48">
        <f>IFERROR(VLOOKUP(B1212,'Renewal Rules'!$A:$B,2,FALSE),"")</f>
        <v>12</v>
      </c>
      <c r="E1212" s="47" t="str">
        <f t="shared" si="72"/>
        <v/>
      </c>
      <c r="F1212" s="48" t="str">
        <f t="shared" ca="1" si="73"/>
        <v/>
      </c>
      <c r="G1212" s="46" t="str">
        <f t="shared" ca="1" si="74"/>
        <v>RED</v>
      </c>
      <c r="H1212" s="46" t="str">
        <f t="shared" ca="1" si="75"/>
        <v>Not Started</v>
      </c>
      <c r="I1212" s="21"/>
    </row>
    <row r="1213" spans="1:9" x14ac:dyDescent="0.35">
      <c r="A1213" s="46" t="s">
        <v>265</v>
      </c>
      <c r="B1213" s="46" t="s">
        <v>111</v>
      </c>
      <c r="C1213" s="47" t="str">
        <f>Matrix!B14</f>
        <v>20/01/2026</v>
      </c>
      <c r="D1213" s="48">
        <f>IFERROR(VLOOKUP(B1213,'Renewal Rules'!$A:$B,2,FALSE),"")</f>
        <v>36</v>
      </c>
      <c r="E1213" s="47">
        <f t="shared" si="72"/>
        <v>47138</v>
      </c>
      <c r="F1213" s="48">
        <f t="shared" ca="1" si="73"/>
        <v>935</v>
      </c>
      <c r="G1213" s="46" t="str">
        <f t="shared" ca="1" si="74"/>
        <v>GREEN</v>
      </c>
      <c r="H1213" s="46" t="str">
        <f t="shared" ca="1" si="75"/>
        <v>Current</v>
      </c>
      <c r="I1213" s="21"/>
    </row>
    <row r="1214" spans="1:9" x14ac:dyDescent="0.35">
      <c r="A1214" s="46" t="s">
        <v>265</v>
      </c>
      <c r="B1214" s="46" t="s">
        <v>100</v>
      </c>
      <c r="C1214" s="47" t="str">
        <f>Matrix!C14</f>
        <v>12/10/2025</v>
      </c>
      <c r="D1214" s="48">
        <f>IFERROR(VLOOKUP(B1214,'Renewal Rules'!$A:$B,2,FALSE),"")</f>
        <v>36</v>
      </c>
      <c r="E1214" s="47">
        <f t="shared" si="72"/>
        <v>47038</v>
      </c>
      <c r="F1214" s="48">
        <f t="shared" ca="1" si="73"/>
        <v>835</v>
      </c>
      <c r="G1214" s="46" t="str">
        <f t="shared" ca="1" si="74"/>
        <v>GREEN</v>
      </c>
      <c r="H1214" s="46" t="str">
        <f t="shared" ca="1" si="75"/>
        <v>Current</v>
      </c>
      <c r="I1214" s="21"/>
    </row>
    <row r="1215" spans="1:9" x14ac:dyDescent="0.35">
      <c r="A1215" s="46" t="s">
        <v>265</v>
      </c>
      <c r="B1215" s="46" t="s">
        <v>112</v>
      </c>
      <c r="C1215" s="47" t="str">
        <f>Matrix!D14</f>
        <v>NS</v>
      </c>
      <c r="D1215" s="48">
        <f>IFERROR(VLOOKUP(B1215,'Renewal Rules'!$A:$B,2,FALSE),"")</f>
        <v>12</v>
      </c>
      <c r="E1215" s="47" t="str">
        <f t="shared" si="72"/>
        <v/>
      </c>
      <c r="F1215" s="48" t="str">
        <f t="shared" ca="1" si="73"/>
        <v/>
      </c>
      <c r="G1215" s="46" t="str">
        <f t="shared" ca="1" si="74"/>
        <v>RED</v>
      </c>
      <c r="H1215" s="46" t="str">
        <f t="shared" ca="1" si="75"/>
        <v>Not Started</v>
      </c>
      <c r="I1215" s="21"/>
    </row>
    <row r="1216" spans="1:9" x14ac:dyDescent="0.35">
      <c r="A1216" s="46" t="s">
        <v>265</v>
      </c>
      <c r="B1216" s="46" t="s">
        <v>96</v>
      </c>
      <c r="C1216" s="47" t="str">
        <f>Matrix!E14</f>
        <v>25/09/2025</v>
      </c>
      <c r="D1216" s="48">
        <f>IFERROR(VLOOKUP(B1216,'Renewal Rules'!$A:$B,2,FALSE),"")</f>
        <v>36</v>
      </c>
      <c r="E1216" s="47">
        <f t="shared" si="72"/>
        <v>47021</v>
      </c>
      <c r="F1216" s="48">
        <f t="shared" ca="1" si="73"/>
        <v>818</v>
      </c>
      <c r="G1216" s="46" t="str">
        <f t="shared" ca="1" si="74"/>
        <v>GREEN</v>
      </c>
      <c r="H1216" s="46" t="str">
        <f t="shared" ca="1" si="75"/>
        <v>Current</v>
      </c>
      <c r="I1216" s="21"/>
    </row>
    <row r="1217" spans="1:9" x14ac:dyDescent="0.35">
      <c r="A1217" s="46" t="s">
        <v>265</v>
      </c>
      <c r="B1217" s="46" t="s">
        <v>113</v>
      </c>
      <c r="C1217" s="47" t="str">
        <f>Matrix!F14</f>
        <v>NS</v>
      </c>
      <c r="D1217" s="48">
        <f>IFERROR(VLOOKUP(B1217,'Renewal Rules'!$A:$B,2,FALSE),"")</f>
        <v>36</v>
      </c>
      <c r="E1217" s="47" t="str">
        <f t="shared" si="72"/>
        <v/>
      </c>
      <c r="F1217" s="48" t="str">
        <f t="shared" ca="1" si="73"/>
        <v/>
      </c>
      <c r="G1217" s="46" t="str">
        <f t="shared" ca="1" si="74"/>
        <v>RED</v>
      </c>
      <c r="H1217" s="46" t="str">
        <f t="shared" ca="1" si="75"/>
        <v>Not Started</v>
      </c>
      <c r="I1217" s="21"/>
    </row>
    <row r="1218" spans="1:9" x14ac:dyDescent="0.35">
      <c r="A1218" s="46" t="s">
        <v>265</v>
      </c>
      <c r="B1218" s="46" t="s">
        <v>114</v>
      </c>
      <c r="C1218" s="47" t="str">
        <f>Matrix!G14</f>
        <v>NS</v>
      </c>
      <c r="D1218" s="48">
        <f>IFERROR(VLOOKUP(B1218,'Renewal Rules'!$A:$B,2,FALSE),"")</f>
        <v>12</v>
      </c>
      <c r="E1218" s="47" t="str">
        <f t="shared" si="72"/>
        <v/>
      </c>
      <c r="F1218" s="48" t="str">
        <f t="shared" ca="1" si="73"/>
        <v/>
      </c>
      <c r="G1218" s="46" t="str">
        <f t="shared" ca="1" si="74"/>
        <v>RED</v>
      </c>
      <c r="H1218" s="46" t="str">
        <f t="shared" ca="1" si="75"/>
        <v>Not Started</v>
      </c>
      <c r="I1218" s="21"/>
    </row>
    <row r="1219" spans="1:9" x14ac:dyDescent="0.35">
      <c r="A1219" s="46" t="s">
        <v>265</v>
      </c>
      <c r="B1219" s="46" t="s">
        <v>115</v>
      </c>
      <c r="C1219" s="47" t="str">
        <f>Matrix!H14</f>
        <v>NS</v>
      </c>
      <c r="D1219" s="48">
        <f>IFERROR(VLOOKUP(B1219,'Renewal Rules'!$A:$B,2,FALSE),"")</f>
        <v>36</v>
      </c>
      <c r="E1219" s="47" t="str">
        <f t="shared" ref="E1219:E1282" si="76">IF(OR(C1219="",C1219="NS",C1219="IP",C1219="Failed"),"",IFERROR(EDATE(IF(ISNUMBER(C1219),C1219,IFERROR(DATEVALUE(C1219),DATE(VALUE(RIGHT(C1219,4)),VALUE(MID(C1219,4,2)),VALUE(LEFT(C1219,2))))),D1219),""))</f>
        <v/>
      </c>
      <c r="F1219" s="48" t="str">
        <f t="shared" ref="F1219:F1282" ca="1" si="77">IF(E1219="","",E1219-TODAY())</f>
        <v/>
      </c>
      <c r="G1219" s="46" t="str">
        <f t="shared" ref="G1219:G1282" ca="1" si="78">IF(C1219="NS","RED",IF(C1219="IP","AMBER",IF(E1219="","",IF(E1219&lt;TODAY(),"RED",IF(E1219&lt;=TODAY()+30,"AMBER","GREEN")))))</f>
        <v>RED</v>
      </c>
      <c r="H1219" s="46" t="str">
        <f t="shared" ref="H1219:H1282" ca="1" si="79">IF(C1219="NS","Not Started",IF(C1219="IP","In Progress",IF(E1219="","Check",IF(E1219&lt;TODAY(),"Expired",IF(E1219&lt;=TODAY()+30,"Expiring Soon","Current")))))</f>
        <v>Not Started</v>
      </c>
      <c r="I1219" s="21"/>
    </row>
    <row r="1220" spans="1:9" x14ac:dyDescent="0.35">
      <c r="A1220" s="46" t="s">
        <v>265</v>
      </c>
      <c r="B1220" s="46" t="s">
        <v>116</v>
      </c>
      <c r="C1220" s="47" t="str">
        <f>Matrix!I14</f>
        <v>NS</v>
      </c>
      <c r="D1220" s="48">
        <f>IFERROR(VLOOKUP(B1220,'Renewal Rules'!$A:$B,2,FALSE),"")</f>
        <v>36</v>
      </c>
      <c r="E1220" s="47" t="str">
        <f t="shared" si="76"/>
        <v/>
      </c>
      <c r="F1220" s="48" t="str">
        <f t="shared" ca="1" si="77"/>
        <v/>
      </c>
      <c r="G1220" s="46" t="str">
        <f t="shared" ca="1" si="78"/>
        <v>RED</v>
      </c>
      <c r="H1220" s="46" t="str">
        <f t="shared" ca="1" si="79"/>
        <v>Not Started</v>
      </c>
      <c r="I1220" s="21"/>
    </row>
    <row r="1221" spans="1:9" x14ac:dyDescent="0.35">
      <c r="A1221" s="46" t="s">
        <v>265</v>
      </c>
      <c r="B1221" s="46" t="s">
        <v>117</v>
      </c>
      <c r="C1221" s="47" t="str">
        <f>Matrix!J14</f>
        <v>20/01/2026</v>
      </c>
      <c r="D1221" s="48">
        <f>IFERROR(VLOOKUP(B1221,'Renewal Rules'!$A:$B,2,FALSE),"")</f>
        <v>12</v>
      </c>
      <c r="E1221" s="47">
        <f t="shared" si="76"/>
        <v>46407</v>
      </c>
      <c r="F1221" s="48">
        <f t="shared" ca="1" si="77"/>
        <v>204</v>
      </c>
      <c r="G1221" s="46" t="str">
        <f t="shared" ca="1" si="78"/>
        <v>GREEN</v>
      </c>
      <c r="H1221" s="46" t="str">
        <f t="shared" ca="1" si="79"/>
        <v>Current</v>
      </c>
      <c r="I1221" s="21"/>
    </row>
    <row r="1222" spans="1:9" x14ac:dyDescent="0.35">
      <c r="A1222" s="46" t="s">
        <v>265</v>
      </c>
      <c r="B1222" s="46" t="s">
        <v>118</v>
      </c>
      <c r="C1222" s="47" t="str">
        <f>Matrix!K14</f>
        <v>NS</v>
      </c>
      <c r="D1222" s="48">
        <f>IFERROR(VLOOKUP(B1222,'Renewal Rules'!$A:$B,2,FALSE),"")</f>
        <v>36</v>
      </c>
      <c r="E1222" s="47" t="str">
        <f t="shared" si="76"/>
        <v/>
      </c>
      <c r="F1222" s="48" t="str">
        <f t="shared" ca="1" si="77"/>
        <v/>
      </c>
      <c r="G1222" s="46" t="str">
        <f t="shared" ca="1" si="78"/>
        <v>RED</v>
      </c>
      <c r="H1222" s="46" t="str">
        <f t="shared" ca="1" si="79"/>
        <v>Not Started</v>
      </c>
      <c r="I1222" s="21"/>
    </row>
    <row r="1223" spans="1:9" x14ac:dyDescent="0.35">
      <c r="A1223" s="46" t="s">
        <v>265</v>
      </c>
      <c r="B1223" s="46" t="s">
        <v>119</v>
      </c>
      <c r="C1223" s="47" t="str">
        <f>Matrix!L14</f>
        <v>NS</v>
      </c>
      <c r="D1223" s="48">
        <f>IFERROR(VLOOKUP(B1223,'Renewal Rules'!$A:$B,2,FALSE),"")</f>
        <v>12</v>
      </c>
      <c r="E1223" s="47" t="str">
        <f t="shared" si="76"/>
        <v/>
      </c>
      <c r="F1223" s="48" t="str">
        <f t="shared" ca="1" si="77"/>
        <v/>
      </c>
      <c r="G1223" s="46" t="str">
        <f t="shared" ca="1" si="78"/>
        <v>RED</v>
      </c>
      <c r="H1223" s="46" t="str">
        <f t="shared" ca="1" si="79"/>
        <v>Not Started</v>
      </c>
      <c r="I1223" s="21"/>
    </row>
    <row r="1224" spans="1:9" x14ac:dyDescent="0.35">
      <c r="A1224" s="46" t="s">
        <v>265</v>
      </c>
      <c r="B1224" s="46" t="s">
        <v>120</v>
      </c>
      <c r="C1224" s="47" t="str">
        <f>Matrix!M14</f>
        <v>NS</v>
      </c>
      <c r="D1224" s="48">
        <f>IFERROR(VLOOKUP(B1224,'Renewal Rules'!$A:$B,2,FALSE),"")</f>
        <v>12</v>
      </c>
      <c r="E1224" s="47" t="str">
        <f t="shared" si="76"/>
        <v/>
      </c>
      <c r="F1224" s="48" t="str">
        <f t="shared" ca="1" si="77"/>
        <v/>
      </c>
      <c r="G1224" s="46" t="str">
        <f t="shared" ca="1" si="78"/>
        <v>RED</v>
      </c>
      <c r="H1224" s="46" t="str">
        <f t="shared" ca="1" si="79"/>
        <v>Not Started</v>
      </c>
      <c r="I1224" s="21"/>
    </row>
    <row r="1225" spans="1:9" x14ac:dyDescent="0.35">
      <c r="A1225" s="46" t="s">
        <v>265</v>
      </c>
      <c r="B1225" s="46" t="s">
        <v>121</v>
      </c>
      <c r="C1225" s="47" t="str">
        <f>Matrix!N14</f>
        <v>NS</v>
      </c>
      <c r="D1225" s="48">
        <f>IFERROR(VLOOKUP(B1225,'Renewal Rules'!$A:$B,2,FALSE),"")</f>
        <v>12</v>
      </c>
      <c r="E1225" s="47" t="str">
        <f t="shared" si="76"/>
        <v/>
      </c>
      <c r="F1225" s="48" t="str">
        <f t="shared" ca="1" si="77"/>
        <v/>
      </c>
      <c r="G1225" s="46" t="str">
        <f t="shared" ca="1" si="78"/>
        <v>RED</v>
      </c>
      <c r="H1225" s="46" t="str">
        <f t="shared" ca="1" si="79"/>
        <v>Not Started</v>
      </c>
      <c r="I1225" s="21"/>
    </row>
    <row r="1226" spans="1:9" ht="12.9" customHeight="1" x14ac:dyDescent="0.35">
      <c r="A1226" s="46" t="s">
        <v>265</v>
      </c>
      <c r="B1226" s="46" t="s">
        <v>103</v>
      </c>
      <c r="C1226" s="47" t="str">
        <f>Matrix!O14</f>
        <v>18/02/2026</v>
      </c>
      <c r="D1226" s="48">
        <f>IFERROR(VLOOKUP(B1226,'Renewal Rules'!$A:$B,2,FALSE),"")</f>
        <v>36</v>
      </c>
      <c r="E1226" s="47">
        <f t="shared" si="76"/>
        <v>47167</v>
      </c>
      <c r="F1226" s="48">
        <f t="shared" ca="1" si="77"/>
        <v>964</v>
      </c>
      <c r="G1226" s="46" t="str">
        <f t="shared" ca="1" si="78"/>
        <v>GREEN</v>
      </c>
      <c r="H1226" s="46" t="str">
        <f t="shared" ca="1" si="79"/>
        <v>Current</v>
      </c>
      <c r="I1226" s="21"/>
    </row>
    <row r="1227" spans="1:9" x14ac:dyDescent="0.35">
      <c r="A1227" s="46" t="s">
        <v>265</v>
      </c>
      <c r="B1227" s="46" t="s">
        <v>122</v>
      </c>
      <c r="C1227" s="47" t="str">
        <f>Matrix!P14</f>
        <v>NS</v>
      </c>
      <c r="D1227" s="48">
        <f>IFERROR(VLOOKUP(B1227,'Renewal Rules'!$A:$B,2,FALSE),"")</f>
        <v>36</v>
      </c>
      <c r="E1227" s="47" t="str">
        <f t="shared" si="76"/>
        <v/>
      </c>
      <c r="F1227" s="48" t="str">
        <f t="shared" ca="1" si="77"/>
        <v/>
      </c>
      <c r="G1227" s="46" t="str">
        <f t="shared" ca="1" si="78"/>
        <v>RED</v>
      </c>
      <c r="H1227" s="46" t="str">
        <f t="shared" ca="1" si="79"/>
        <v>Not Started</v>
      </c>
      <c r="I1227" s="21"/>
    </row>
    <row r="1228" spans="1:9" x14ac:dyDescent="0.35">
      <c r="A1228" s="46" t="s">
        <v>265</v>
      </c>
      <c r="B1228" s="46" t="s">
        <v>101</v>
      </c>
      <c r="C1228" s="47" t="str">
        <f>Matrix!Q14</f>
        <v>07/02/2026</v>
      </c>
      <c r="D1228" s="48">
        <f>IFERROR(VLOOKUP(B1228,'Renewal Rules'!$A:$B,2,FALSE),"")</f>
        <v>36</v>
      </c>
      <c r="E1228" s="47">
        <f t="shared" si="76"/>
        <v>47156</v>
      </c>
      <c r="F1228" s="48">
        <f t="shared" ca="1" si="77"/>
        <v>953</v>
      </c>
      <c r="G1228" s="46" t="str">
        <f t="shared" ca="1" si="78"/>
        <v>GREEN</v>
      </c>
      <c r="H1228" s="46" t="str">
        <f t="shared" ca="1" si="79"/>
        <v>Current</v>
      </c>
      <c r="I1228" s="21"/>
    </row>
    <row r="1229" spans="1:9" x14ac:dyDescent="0.35">
      <c r="A1229" s="46" t="s">
        <v>265</v>
      </c>
      <c r="B1229" s="46" t="s">
        <v>123</v>
      </c>
      <c r="C1229" s="47" t="str">
        <f>Matrix!R14</f>
        <v>20/01/2026</v>
      </c>
      <c r="D1229" s="48">
        <f>IFERROR(VLOOKUP(B1229,'Renewal Rules'!$A:$B,2,FALSE),"")</f>
        <v>12</v>
      </c>
      <c r="E1229" s="47">
        <f t="shared" si="76"/>
        <v>46407</v>
      </c>
      <c r="F1229" s="48">
        <f t="shared" ca="1" si="77"/>
        <v>204</v>
      </c>
      <c r="G1229" s="46" t="str">
        <f t="shared" ca="1" si="78"/>
        <v>GREEN</v>
      </c>
      <c r="H1229" s="46" t="str">
        <f t="shared" ca="1" si="79"/>
        <v>Current</v>
      </c>
      <c r="I1229" s="21"/>
    </row>
    <row r="1230" spans="1:9" x14ac:dyDescent="0.35">
      <c r="A1230" s="46" t="s">
        <v>265</v>
      </c>
      <c r="B1230" s="46" t="s">
        <v>124</v>
      </c>
      <c r="C1230" s="47" t="str">
        <f>Matrix!S14</f>
        <v>NS</v>
      </c>
      <c r="D1230" s="48">
        <f>IFERROR(VLOOKUP(B1230,'Renewal Rules'!$A:$B,2,FALSE),"")</f>
        <v>12</v>
      </c>
      <c r="E1230" s="47" t="str">
        <f t="shared" si="76"/>
        <v/>
      </c>
      <c r="F1230" s="48" t="str">
        <f t="shared" ca="1" si="77"/>
        <v/>
      </c>
      <c r="G1230" s="46" t="str">
        <f t="shared" ca="1" si="78"/>
        <v>RED</v>
      </c>
      <c r="H1230" s="46" t="str">
        <f t="shared" ca="1" si="79"/>
        <v>Not Started</v>
      </c>
      <c r="I1230" s="21"/>
    </row>
    <row r="1231" spans="1:9" x14ac:dyDescent="0.35">
      <c r="A1231" s="46" t="s">
        <v>265</v>
      </c>
      <c r="B1231" s="46" t="s">
        <v>125</v>
      </c>
      <c r="C1231" s="47" t="str">
        <f>Matrix!T14</f>
        <v>07/02/2026</v>
      </c>
      <c r="D1231" s="48">
        <f>IFERROR(VLOOKUP(B1231,'Renewal Rules'!$A:$B,2,FALSE),"")</f>
        <v>12</v>
      </c>
      <c r="E1231" s="47">
        <f t="shared" si="76"/>
        <v>46425</v>
      </c>
      <c r="F1231" s="48">
        <f t="shared" ca="1" si="77"/>
        <v>222</v>
      </c>
      <c r="G1231" s="46" t="str">
        <f t="shared" ca="1" si="78"/>
        <v>GREEN</v>
      </c>
      <c r="H1231" s="46" t="str">
        <f t="shared" ca="1" si="79"/>
        <v>Current</v>
      </c>
      <c r="I1231" s="21"/>
    </row>
    <row r="1232" spans="1:9" x14ac:dyDescent="0.35">
      <c r="A1232" s="46" t="s">
        <v>265</v>
      </c>
      <c r="B1232" s="46" t="s">
        <v>126</v>
      </c>
      <c r="C1232" s="47" t="str">
        <f>Matrix!U14</f>
        <v>NS</v>
      </c>
      <c r="D1232" s="48">
        <f>IFERROR(VLOOKUP(B1232,'Renewal Rules'!$A:$B,2,FALSE),"")</f>
        <v>36</v>
      </c>
      <c r="E1232" s="47" t="str">
        <f t="shared" si="76"/>
        <v/>
      </c>
      <c r="F1232" s="48" t="str">
        <f t="shared" ca="1" si="77"/>
        <v/>
      </c>
      <c r="G1232" s="46" t="str">
        <f t="shared" ca="1" si="78"/>
        <v>RED</v>
      </c>
      <c r="H1232" s="46" t="str">
        <f t="shared" ca="1" si="79"/>
        <v>Not Started</v>
      </c>
      <c r="I1232" s="21"/>
    </row>
    <row r="1233" spans="1:9" x14ac:dyDescent="0.35">
      <c r="A1233" s="46" t="s">
        <v>265</v>
      </c>
      <c r="B1233" s="46" t="s">
        <v>127</v>
      </c>
      <c r="C1233" s="47" t="str">
        <f>Matrix!V14</f>
        <v>NS</v>
      </c>
      <c r="D1233" s="48">
        <f>IFERROR(VLOOKUP(B1233,'Renewal Rules'!$A:$B,2,FALSE),"")</f>
        <v>12</v>
      </c>
      <c r="E1233" s="47" t="str">
        <f t="shared" si="76"/>
        <v/>
      </c>
      <c r="F1233" s="48" t="str">
        <f t="shared" ca="1" si="77"/>
        <v/>
      </c>
      <c r="G1233" s="46" t="str">
        <f t="shared" ca="1" si="78"/>
        <v>RED</v>
      </c>
      <c r="H1233" s="46" t="str">
        <f t="shared" ca="1" si="79"/>
        <v>Not Started</v>
      </c>
      <c r="I1233" s="21"/>
    </row>
    <row r="1234" spans="1:9" x14ac:dyDescent="0.35">
      <c r="A1234" s="46" t="s">
        <v>265</v>
      </c>
      <c r="B1234" s="46" t="s">
        <v>128</v>
      </c>
      <c r="C1234" s="47" t="str">
        <f>Matrix!W14</f>
        <v>18/02/2026</v>
      </c>
      <c r="D1234" s="48">
        <f>IFERROR(VLOOKUP(B1234,'Renewal Rules'!$A:$B,2,FALSE),"")</f>
        <v>12</v>
      </c>
      <c r="E1234" s="47">
        <f t="shared" si="76"/>
        <v>46436</v>
      </c>
      <c r="F1234" s="48">
        <f t="shared" ca="1" si="77"/>
        <v>233</v>
      </c>
      <c r="G1234" s="46" t="str">
        <f t="shared" ca="1" si="78"/>
        <v>GREEN</v>
      </c>
      <c r="H1234" s="46" t="str">
        <f t="shared" ca="1" si="79"/>
        <v>Current</v>
      </c>
      <c r="I1234" s="21"/>
    </row>
    <row r="1235" spans="1:9" x14ac:dyDescent="0.35">
      <c r="A1235" s="46" t="s">
        <v>265</v>
      </c>
      <c r="B1235" s="46" t="s">
        <v>129</v>
      </c>
      <c r="C1235" s="47" t="str">
        <f>Matrix!X14</f>
        <v>NS</v>
      </c>
      <c r="D1235" s="48">
        <f>IFERROR(VLOOKUP(B1235,'Renewal Rules'!$A:$B,2,FALSE),"")</f>
        <v>36</v>
      </c>
      <c r="E1235" s="47" t="str">
        <f t="shared" si="76"/>
        <v/>
      </c>
      <c r="F1235" s="48" t="str">
        <f t="shared" ca="1" si="77"/>
        <v/>
      </c>
      <c r="G1235" s="46" t="str">
        <f t="shared" ca="1" si="78"/>
        <v>RED</v>
      </c>
      <c r="H1235" s="46" t="str">
        <f t="shared" ca="1" si="79"/>
        <v>Not Started</v>
      </c>
      <c r="I1235" s="21"/>
    </row>
    <row r="1236" spans="1:9" x14ac:dyDescent="0.35">
      <c r="A1236" s="46" t="s">
        <v>265</v>
      </c>
      <c r="B1236" s="46" t="s">
        <v>130</v>
      </c>
      <c r="C1236" s="47" t="str">
        <f>Matrix!Y14</f>
        <v>NS</v>
      </c>
      <c r="D1236" s="48">
        <f>IFERROR(VLOOKUP(B1236,'Renewal Rules'!$A:$B,2,FALSE),"")</f>
        <v>36</v>
      </c>
      <c r="E1236" s="47" t="str">
        <f t="shared" si="76"/>
        <v/>
      </c>
      <c r="F1236" s="48" t="str">
        <f t="shared" ca="1" si="77"/>
        <v/>
      </c>
      <c r="G1236" s="46" t="str">
        <f t="shared" ca="1" si="78"/>
        <v>RED</v>
      </c>
      <c r="H1236" s="46" t="str">
        <f t="shared" ca="1" si="79"/>
        <v>Not Started</v>
      </c>
      <c r="I1236" s="21"/>
    </row>
    <row r="1237" spans="1:9" x14ac:dyDescent="0.35">
      <c r="A1237" s="46" t="s">
        <v>265</v>
      </c>
      <c r="B1237" s="46" t="s">
        <v>131</v>
      </c>
      <c r="C1237" s="47" t="str">
        <f>Matrix!Z14</f>
        <v>NS</v>
      </c>
      <c r="D1237" s="48">
        <f>IFERROR(VLOOKUP(B1237,'Renewal Rules'!$A:$B,2,FALSE),"")</f>
        <v>12</v>
      </c>
      <c r="E1237" s="47" t="str">
        <f t="shared" si="76"/>
        <v/>
      </c>
      <c r="F1237" s="48" t="str">
        <f t="shared" ca="1" si="77"/>
        <v/>
      </c>
      <c r="G1237" s="46" t="str">
        <f t="shared" ca="1" si="78"/>
        <v>RED</v>
      </c>
      <c r="H1237" s="46" t="str">
        <f t="shared" ca="1" si="79"/>
        <v>Not Started</v>
      </c>
      <c r="I1237" s="21"/>
    </row>
    <row r="1238" spans="1:9" x14ac:dyDescent="0.35">
      <c r="A1238" s="46" t="s">
        <v>265</v>
      </c>
      <c r="B1238" s="46" t="s">
        <v>132</v>
      </c>
      <c r="C1238" s="47" t="str">
        <f>Matrix!AA14</f>
        <v>NS</v>
      </c>
      <c r="D1238" s="48">
        <f>IFERROR(VLOOKUP(B1238,'Renewal Rules'!$A:$B,2,FALSE),"")</f>
        <v>12</v>
      </c>
      <c r="E1238" s="47" t="str">
        <f t="shared" si="76"/>
        <v/>
      </c>
      <c r="F1238" s="48" t="str">
        <f t="shared" ca="1" si="77"/>
        <v/>
      </c>
      <c r="G1238" s="46" t="str">
        <f t="shared" ca="1" si="78"/>
        <v>RED</v>
      </c>
      <c r="H1238" s="46" t="str">
        <f t="shared" ca="1" si="79"/>
        <v>Not Started</v>
      </c>
      <c r="I1238" s="21"/>
    </row>
    <row r="1239" spans="1:9" x14ac:dyDescent="0.35">
      <c r="A1239" s="46" t="s">
        <v>265</v>
      </c>
      <c r="B1239" s="46" t="s">
        <v>92</v>
      </c>
      <c r="C1239" s="47">
        <f>Matrix!AB14</f>
        <v>45985</v>
      </c>
      <c r="D1239" s="48">
        <f>IFERROR(VLOOKUP(B1239,'Renewal Rules'!$A:$B,2,FALSE),"")</f>
        <v>12</v>
      </c>
      <c r="E1239" s="47">
        <f t="shared" si="76"/>
        <v>46350</v>
      </c>
      <c r="F1239" s="48">
        <f t="shared" ca="1" si="77"/>
        <v>147</v>
      </c>
      <c r="G1239" s="46" t="str">
        <f t="shared" ca="1" si="78"/>
        <v>GREEN</v>
      </c>
      <c r="H1239" s="46" t="str">
        <f t="shared" ca="1" si="79"/>
        <v>Current</v>
      </c>
      <c r="I1239" s="21"/>
    </row>
    <row r="1240" spans="1:9" x14ac:dyDescent="0.35">
      <c r="A1240" s="46" t="s">
        <v>265</v>
      </c>
      <c r="B1240" s="46" t="s">
        <v>133</v>
      </c>
      <c r="C1240" s="47" t="str">
        <f>Matrix!AC14</f>
        <v>NS</v>
      </c>
      <c r="D1240" s="48">
        <f>IFERROR(VLOOKUP(B1240,'Renewal Rules'!$A:$B,2,FALSE),"")</f>
        <v>36</v>
      </c>
      <c r="E1240" s="47" t="str">
        <f t="shared" si="76"/>
        <v/>
      </c>
      <c r="F1240" s="48" t="str">
        <f t="shared" ca="1" si="77"/>
        <v/>
      </c>
      <c r="G1240" s="46" t="str">
        <f t="shared" ca="1" si="78"/>
        <v>RED</v>
      </c>
      <c r="H1240" s="46" t="str">
        <f t="shared" ca="1" si="79"/>
        <v>Not Started</v>
      </c>
      <c r="I1240" s="21"/>
    </row>
    <row r="1241" spans="1:9" x14ac:dyDescent="0.35">
      <c r="A1241" s="46" t="s">
        <v>265</v>
      </c>
      <c r="B1241" s="46" t="s">
        <v>134</v>
      </c>
      <c r="C1241" s="47" t="str">
        <f>Matrix!AD14</f>
        <v>NS</v>
      </c>
      <c r="D1241" s="48">
        <f>IFERROR(VLOOKUP(B1241,'Renewal Rules'!$A:$B,2,FALSE),"")</f>
        <v>36</v>
      </c>
      <c r="E1241" s="47" t="str">
        <f t="shared" si="76"/>
        <v/>
      </c>
      <c r="F1241" s="48" t="str">
        <f t="shared" ca="1" si="77"/>
        <v/>
      </c>
      <c r="G1241" s="46" t="str">
        <f t="shared" ca="1" si="78"/>
        <v>RED</v>
      </c>
      <c r="H1241" s="46" t="str">
        <f t="shared" ca="1" si="79"/>
        <v>Not Started</v>
      </c>
      <c r="I1241" s="21"/>
    </row>
    <row r="1242" spans="1:9" x14ac:dyDescent="0.35">
      <c r="A1242" s="46" t="s">
        <v>265</v>
      </c>
      <c r="B1242" s="46" t="s">
        <v>98</v>
      </c>
      <c r="C1242" s="47" t="str">
        <f>Matrix!AE14</f>
        <v>NS</v>
      </c>
      <c r="D1242" s="48">
        <f>IFERROR(VLOOKUP(B1242,'Renewal Rules'!$A:$B,2,FALSE),"")</f>
        <v>36</v>
      </c>
      <c r="E1242" s="47" t="str">
        <f t="shared" si="76"/>
        <v/>
      </c>
      <c r="F1242" s="48" t="str">
        <f t="shared" ca="1" si="77"/>
        <v/>
      </c>
      <c r="G1242" s="46" t="str">
        <f t="shared" ca="1" si="78"/>
        <v>RED</v>
      </c>
      <c r="H1242" s="46" t="str">
        <f t="shared" ca="1" si="79"/>
        <v>Not Started</v>
      </c>
      <c r="I1242" s="21"/>
    </row>
    <row r="1243" spans="1:9" x14ac:dyDescent="0.35">
      <c r="A1243" s="46" t="s">
        <v>265</v>
      </c>
      <c r="B1243" s="46" t="s">
        <v>135</v>
      </c>
      <c r="C1243" s="47" t="str">
        <f>Matrix!AF14</f>
        <v>NS</v>
      </c>
      <c r="D1243" s="48">
        <f>IFERROR(VLOOKUP(B1243,'Renewal Rules'!$A:$B,2,FALSE),"")</f>
        <v>36</v>
      </c>
      <c r="E1243" s="47" t="str">
        <f t="shared" si="76"/>
        <v/>
      </c>
      <c r="F1243" s="48" t="str">
        <f t="shared" ca="1" si="77"/>
        <v/>
      </c>
      <c r="G1243" s="46" t="str">
        <f t="shared" ca="1" si="78"/>
        <v>RED</v>
      </c>
      <c r="H1243" s="46" t="str">
        <f t="shared" ca="1" si="79"/>
        <v>Not Started</v>
      </c>
      <c r="I1243" s="21"/>
    </row>
    <row r="1244" spans="1:9" x14ac:dyDescent="0.35">
      <c r="A1244" s="46" t="s">
        <v>265</v>
      </c>
      <c r="B1244" s="46" t="s">
        <v>136</v>
      </c>
      <c r="C1244" s="47" t="str">
        <f>Matrix!AG14</f>
        <v>20/01/2026</v>
      </c>
      <c r="D1244" s="48">
        <f>IFERROR(VLOOKUP(B1244,'Renewal Rules'!$A:$B,2,FALSE),"")</f>
        <v>12</v>
      </c>
      <c r="E1244" s="47">
        <f t="shared" si="76"/>
        <v>46407</v>
      </c>
      <c r="F1244" s="48">
        <f t="shared" ca="1" si="77"/>
        <v>204</v>
      </c>
      <c r="G1244" s="46" t="str">
        <f t="shared" ca="1" si="78"/>
        <v>GREEN</v>
      </c>
      <c r="H1244" s="46" t="str">
        <f t="shared" ca="1" si="79"/>
        <v>Current</v>
      </c>
      <c r="I1244" s="21"/>
    </row>
    <row r="1245" spans="1:9" x14ac:dyDescent="0.35">
      <c r="A1245" s="46" t="s">
        <v>265</v>
      </c>
      <c r="B1245" s="46" t="s">
        <v>137</v>
      </c>
      <c r="C1245" s="47" t="str">
        <f>Matrix!AH14</f>
        <v>NS</v>
      </c>
      <c r="D1245" s="48">
        <f>IFERROR(VLOOKUP(B1245,'Renewal Rules'!$A:$B,2,FALSE),"")</f>
        <v>36</v>
      </c>
      <c r="E1245" s="47" t="str">
        <f t="shared" si="76"/>
        <v/>
      </c>
      <c r="F1245" s="48" t="str">
        <f t="shared" ca="1" si="77"/>
        <v/>
      </c>
      <c r="G1245" s="46" t="str">
        <f t="shared" ca="1" si="78"/>
        <v>RED</v>
      </c>
      <c r="H1245" s="46" t="str">
        <f t="shared" ca="1" si="79"/>
        <v>Not Started</v>
      </c>
      <c r="I1245" s="21"/>
    </row>
    <row r="1246" spans="1:9" ht="12.9" customHeight="1" x14ac:dyDescent="0.35">
      <c r="A1246" s="46" t="s">
        <v>265</v>
      </c>
      <c r="B1246" s="46" t="s">
        <v>138</v>
      </c>
      <c r="C1246" s="47" t="str">
        <f>Matrix!AI14</f>
        <v>NS</v>
      </c>
      <c r="D1246" s="48">
        <f>IFERROR(VLOOKUP(B1246,'Renewal Rules'!$A:$B,2,FALSE),"")</f>
        <v>12</v>
      </c>
      <c r="E1246" s="47" t="str">
        <f t="shared" si="76"/>
        <v/>
      </c>
      <c r="F1246" s="48" t="str">
        <f t="shared" ca="1" si="77"/>
        <v/>
      </c>
      <c r="G1246" s="46" t="str">
        <f t="shared" ca="1" si="78"/>
        <v>RED</v>
      </c>
      <c r="H1246" s="46" t="str">
        <f t="shared" ca="1" si="79"/>
        <v>Not Started</v>
      </c>
      <c r="I1246" s="21"/>
    </row>
    <row r="1247" spans="1:9" x14ac:dyDescent="0.35">
      <c r="A1247" s="46" t="s">
        <v>265</v>
      </c>
      <c r="B1247" s="46" t="s">
        <v>139</v>
      </c>
      <c r="C1247" s="47" t="str">
        <f>Matrix!AJ14</f>
        <v>NS</v>
      </c>
      <c r="D1247" s="48">
        <f>IFERROR(VLOOKUP(B1247,'Renewal Rules'!$A:$B,2,FALSE),"")</f>
        <v>12</v>
      </c>
      <c r="E1247" s="47" t="str">
        <f t="shared" si="76"/>
        <v/>
      </c>
      <c r="F1247" s="48" t="str">
        <f t="shared" ca="1" si="77"/>
        <v/>
      </c>
      <c r="G1247" s="46" t="str">
        <f t="shared" ca="1" si="78"/>
        <v>RED</v>
      </c>
      <c r="H1247" s="46" t="str">
        <f t="shared" ca="1" si="79"/>
        <v>Not Started</v>
      </c>
      <c r="I1247" s="21"/>
    </row>
    <row r="1248" spans="1:9" x14ac:dyDescent="0.35">
      <c r="A1248" s="46" t="s">
        <v>265</v>
      </c>
      <c r="B1248" s="46" t="s">
        <v>97</v>
      </c>
      <c r="C1248" s="47" t="str">
        <f>Matrix!AK14</f>
        <v>11/10/2025</v>
      </c>
      <c r="D1248" s="48">
        <f>IFERROR(VLOOKUP(B1248,'Renewal Rules'!$A:$B,2,FALSE),"")</f>
        <v>12</v>
      </c>
      <c r="E1248" s="47">
        <f t="shared" si="76"/>
        <v>46306</v>
      </c>
      <c r="F1248" s="48">
        <f t="shared" ca="1" si="77"/>
        <v>103</v>
      </c>
      <c r="G1248" s="46" t="str">
        <f t="shared" ca="1" si="78"/>
        <v>GREEN</v>
      </c>
      <c r="H1248" s="46" t="str">
        <f t="shared" ca="1" si="79"/>
        <v>Current</v>
      </c>
      <c r="I1248" s="21"/>
    </row>
    <row r="1249" spans="1:9" x14ac:dyDescent="0.35">
      <c r="A1249" s="46" t="s">
        <v>265</v>
      </c>
      <c r="B1249" s="46" t="s">
        <v>140</v>
      </c>
      <c r="C1249" s="47" t="str">
        <f>Matrix!AL14</f>
        <v>NS</v>
      </c>
      <c r="D1249" s="48">
        <f>IFERROR(VLOOKUP(B1249,'Renewal Rules'!$A:$B,2,FALSE),"")</f>
        <v>36</v>
      </c>
      <c r="E1249" s="47" t="str">
        <f t="shared" si="76"/>
        <v/>
      </c>
      <c r="F1249" s="48" t="str">
        <f t="shared" ca="1" si="77"/>
        <v/>
      </c>
      <c r="G1249" s="46" t="str">
        <f t="shared" ca="1" si="78"/>
        <v>RED</v>
      </c>
      <c r="H1249" s="46" t="str">
        <f t="shared" ca="1" si="79"/>
        <v>Not Started</v>
      </c>
      <c r="I1249" s="21"/>
    </row>
    <row r="1250" spans="1:9" x14ac:dyDescent="0.35">
      <c r="A1250" s="46" t="s">
        <v>265</v>
      </c>
      <c r="B1250" s="46" t="s">
        <v>141</v>
      </c>
      <c r="C1250" s="47" t="str">
        <f>Matrix!AM14</f>
        <v>NS</v>
      </c>
      <c r="D1250" s="48">
        <f>IFERROR(VLOOKUP(B1250,'Renewal Rules'!$A:$B,2,FALSE),"")</f>
        <v>12</v>
      </c>
      <c r="E1250" s="47" t="str">
        <f t="shared" si="76"/>
        <v/>
      </c>
      <c r="F1250" s="48" t="str">
        <f t="shared" ca="1" si="77"/>
        <v/>
      </c>
      <c r="G1250" s="46" t="str">
        <f t="shared" ca="1" si="78"/>
        <v>RED</v>
      </c>
      <c r="H1250" s="46" t="str">
        <f t="shared" ca="1" si="79"/>
        <v>Not Started</v>
      </c>
      <c r="I1250" s="21"/>
    </row>
    <row r="1251" spans="1:9" x14ac:dyDescent="0.35">
      <c r="A1251" s="46" t="s">
        <v>265</v>
      </c>
      <c r="B1251" s="46" t="s">
        <v>142</v>
      </c>
      <c r="C1251" s="47" t="str">
        <f>Matrix!AN14</f>
        <v>NS</v>
      </c>
      <c r="D1251" s="48">
        <f>IFERROR(VLOOKUP(B1251,'Renewal Rules'!$A:$B,2,FALSE),"")</f>
        <v>12</v>
      </c>
      <c r="E1251" s="47" t="str">
        <f t="shared" si="76"/>
        <v/>
      </c>
      <c r="F1251" s="48" t="str">
        <f t="shared" ca="1" si="77"/>
        <v/>
      </c>
      <c r="G1251" s="46" t="str">
        <f t="shared" ca="1" si="78"/>
        <v>RED</v>
      </c>
      <c r="H1251" s="46" t="str">
        <f t="shared" ca="1" si="79"/>
        <v>Not Started</v>
      </c>
      <c r="I1251" s="21"/>
    </row>
    <row r="1252" spans="1:9" x14ac:dyDescent="0.35">
      <c r="A1252" s="46" t="s">
        <v>265</v>
      </c>
      <c r="B1252" s="46" t="s">
        <v>143</v>
      </c>
      <c r="C1252" s="47" t="str">
        <f>Matrix!AO14</f>
        <v>NS</v>
      </c>
      <c r="D1252" s="48">
        <f>IFERROR(VLOOKUP(B1252,'Renewal Rules'!$A:$B,2,FALSE),"")</f>
        <v>12</v>
      </c>
      <c r="E1252" s="47" t="str">
        <f t="shared" si="76"/>
        <v/>
      </c>
      <c r="F1252" s="48" t="str">
        <f t="shared" ca="1" si="77"/>
        <v/>
      </c>
      <c r="G1252" s="46" t="str">
        <f t="shared" ca="1" si="78"/>
        <v>RED</v>
      </c>
      <c r="H1252" s="46" t="str">
        <f t="shared" ca="1" si="79"/>
        <v>Not Started</v>
      </c>
      <c r="I1252" s="21"/>
    </row>
    <row r="1253" spans="1:9" x14ac:dyDescent="0.35">
      <c r="A1253" s="46" t="s">
        <v>265</v>
      </c>
      <c r="B1253" s="46" t="s">
        <v>102</v>
      </c>
      <c r="C1253" s="47" t="str">
        <f>Matrix!AP14</f>
        <v>07/02/2026</v>
      </c>
      <c r="D1253" s="48">
        <f>IFERROR(VLOOKUP(B1253,'Renewal Rules'!$A:$B,2,FALSE),"")</f>
        <v>12</v>
      </c>
      <c r="E1253" s="47">
        <f t="shared" si="76"/>
        <v>46425</v>
      </c>
      <c r="F1253" s="48">
        <f t="shared" ca="1" si="77"/>
        <v>222</v>
      </c>
      <c r="G1253" s="46" t="str">
        <f t="shared" ca="1" si="78"/>
        <v>GREEN</v>
      </c>
      <c r="H1253" s="46" t="str">
        <f t="shared" ca="1" si="79"/>
        <v>Current</v>
      </c>
      <c r="I1253" s="21"/>
    </row>
    <row r="1254" spans="1:9" x14ac:dyDescent="0.35">
      <c r="A1254" s="46" t="s">
        <v>265</v>
      </c>
      <c r="B1254" s="46" t="s">
        <v>144</v>
      </c>
      <c r="C1254" s="47" t="str">
        <f>Matrix!AQ14</f>
        <v>03/11/2025</v>
      </c>
      <c r="D1254" s="48">
        <f>IFERROR(VLOOKUP(B1254,'Renewal Rules'!$A:$B,2,FALSE),"")</f>
        <v>36</v>
      </c>
      <c r="E1254" s="47">
        <f t="shared" si="76"/>
        <v>47060</v>
      </c>
      <c r="F1254" s="48">
        <f t="shared" ca="1" si="77"/>
        <v>857</v>
      </c>
      <c r="G1254" s="46" t="str">
        <f t="shared" ca="1" si="78"/>
        <v>GREEN</v>
      </c>
      <c r="H1254" s="46" t="str">
        <f t="shared" ca="1" si="79"/>
        <v>Current</v>
      </c>
      <c r="I1254" s="21"/>
    </row>
    <row r="1255" spans="1:9" x14ac:dyDescent="0.35">
      <c r="A1255" s="46" t="s">
        <v>265</v>
      </c>
      <c r="B1255" s="46" t="s">
        <v>145</v>
      </c>
      <c r="C1255" s="47" t="str">
        <f>Matrix!AR14</f>
        <v>NS</v>
      </c>
      <c r="D1255" s="48">
        <f>IFERROR(VLOOKUP(B1255,'Renewal Rules'!$A:$B,2,FALSE),"")</f>
        <v>12</v>
      </c>
      <c r="E1255" s="47" t="str">
        <f t="shared" si="76"/>
        <v/>
      </c>
      <c r="F1255" s="48" t="str">
        <f t="shared" ca="1" si="77"/>
        <v/>
      </c>
      <c r="G1255" s="46" t="str">
        <f t="shared" ca="1" si="78"/>
        <v>RED</v>
      </c>
      <c r="H1255" s="46" t="str">
        <f t="shared" ca="1" si="79"/>
        <v>Not Started</v>
      </c>
      <c r="I1255" s="21"/>
    </row>
    <row r="1256" spans="1:9" x14ac:dyDescent="0.35">
      <c r="A1256" s="46" t="s">
        <v>265</v>
      </c>
      <c r="B1256" s="46" t="s">
        <v>146</v>
      </c>
      <c r="C1256" s="47" t="str">
        <f>Matrix!AS14</f>
        <v>NS</v>
      </c>
      <c r="D1256" s="48">
        <f>IFERROR(VLOOKUP(B1256,'Renewal Rules'!$A:$B,2,FALSE),"")</f>
        <v>12</v>
      </c>
      <c r="E1256" s="47" t="str">
        <f t="shared" si="76"/>
        <v/>
      </c>
      <c r="F1256" s="48" t="str">
        <f t="shared" ca="1" si="77"/>
        <v/>
      </c>
      <c r="G1256" s="46" t="str">
        <f t="shared" ca="1" si="78"/>
        <v>RED</v>
      </c>
      <c r="H1256" s="46" t="str">
        <f t="shared" ca="1" si="79"/>
        <v>Not Started</v>
      </c>
      <c r="I1256" s="21"/>
    </row>
    <row r="1257" spans="1:9" x14ac:dyDescent="0.35">
      <c r="A1257" s="46" t="s">
        <v>265</v>
      </c>
      <c r="B1257" s="46" t="s">
        <v>147</v>
      </c>
      <c r="C1257" s="47" t="str">
        <f>Matrix!AT14</f>
        <v>NS</v>
      </c>
      <c r="D1257" s="48">
        <f>IFERROR(VLOOKUP(B1257,'Renewal Rules'!$A:$B,2,FALSE),"")</f>
        <v>36</v>
      </c>
      <c r="E1257" s="47" t="str">
        <f t="shared" si="76"/>
        <v/>
      </c>
      <c r="F1257" s="48" t="str">
        <f t="shared" ca="1" si="77"/>
        <v/>
      </c>
      <c r="G1257" s="46" t="str">
        <f t="shared" ca="1" si="78"/>
        <v>RED</v>
      </c>
      <c r="H1257" s="46" t="str">
        <f t="shared" ca="1" si="79"/>
        <v>Not Started</v>
      </c>
      <c r="I1257" s="21"/>
    </row>
    <row r="1258" spans="1:9" x14ac:dyDescent="0.35">
      <c r="A1258" s="46" t="s">
        <v>265</v>
      </c>
      <c r="B1258" s="46" t="s">
        <v>148</v>
      </c>
      <c r="C1258" s="47" t="str">
        <f>Matrix!AU14</f>
        <v>NS</v>
      </c>
      <c r="D1258" s="48">
        <f>IFERROR(VLOOKUP(B1258,'Renewal Rules'!$A:$B,2,FALSE),"")</f>
        <v>36</v>
      </c>
      <c r="E1258" s="47" t="str">
        <f t="shared" si="76"/>
        <v/>
      </c>
      <c r="F1258" s="48" t="str">
        <f t="shared" ca="1" si="77"/>
        <v/>
      </c>
      <c r="G1258" s="46" t="str">
        <f t="shared" ca="1" si="78"/>
        <v>RED</v>
      </c>
      <c r="H1258" s="46" t="str">
        <f t="shared" ca="1" si="79"/>
        <v>Not Started</v>
      </c>
      <c r="I1258" s="21"/>
    </row>
    <row r="1259" spans="1:9" x14ac:dyDescent="0.35">
      <c r="A1259" s="46" t="s">
        <v>265</v>
      </c>
      <c r="B1259" s="46" t="s">
        <v>149</v>
      </c>
      <c r="C1259" s="47" t="str">
        <f>Matrix!AV14</f>
        <v>NS</v>
      </c>
      <c r="D1259" s="48">
        <f>IFERROR(VLOOKUP(B1259,'Renewal Rules'!$A:$B,2,FALSE),"")</f>
        <v>36</v>
      </c>
      <c r="E1259" s="47" t="str">
        <f t="shared" si="76"/>
        <v/>
      </c>
      <c r="F1259" s="48" t="str">
        <f t="shared" ca="1" si="77"/>
        <v/>
      </c>
      <c r="G1259" s="46" t="str">
        <f t="shared" ca="1" si="78"/>
        <v>RED</v>
      </c>
      <c r="H1259" s="46" t="str">
        <f t="shared" ca="1" si="79"/>
        <v>Not Started</v>
      </c>
      <c r="I1259" s="21"/>
    </row>
    <row r="1260" spans="1:9" x14ac:dyDescent="0.35">
      <c r="A1260" s="46" t="s">
        <v>265</v>
      </c>
      <c r="B1260" s="46" t="s">
        <v>150</v>
      </c>
      <c r="C1260" s="47" t="str">
        <f>Matrix!AW14</f>
        <v>NS</v>
      </c>
      <c r="D1260" s="48">
        <f>IFERROR(VLOOKUP(B1260,'Renewal Rules'!$A:$B,2,FALSE),"")</f>
        <v>36</v>
      </c>
      <c r="E1260" s="47" t="str">
        <f t="shared" si="76"/>
        <v/>
      </c>
      <c r="F1260" s="48" t="str">
        <f t="shared" ca="1" si="77"/>
        <v/>
      </c>
      <c r="G1260" s="46" t="str">
        <f t="shared" ca="1" si="78"/>
        <v>RED</v>
      </c>
      <c r="H1260" s="46" t="str">
        <f t="shared" ca="1" si="79"/>
        <v>Not Started</v>
      </c>
      <c r="I1260" s="21"/>
    </row>
    <row r="1261" spans="1:9" x14ac:dyDescent="0.35">
      <c r="A1261" s="46" t="s">
        <v>265</v>
      </c>
      <c r="B1261" s="46" t="s">
        <v>151</v>
      </c>
      <c r="C1261" s="47" t="str">
        <f>Matrix!AX14</f>
        <v>NS</v>
      </c>
      <c r="D1261" s="48">
        <f>IFERROR(VLOOKUP(B1261,'Renewal Rules'!$A:$B,2,FALSE),"")</f>
        <v>36</v>
      </c>
      <c r="E1261" s="47" t="str">
        <f t="shared" si="76"/>
        <v/>
      </c>
      <c r="F1261" s="48" t="str">
        <f t="shared" ca="1" si="77"/>
        <v/>
      </c>
      <c r="G1261" s="46" t="str">
        <f t="shared" ca="1" si="78"/>
        <v>RED</v>
      </c>
      <c r="H1261" s="46" t="str">
        <f t="shared" ca="1" si="79"/>
        <v>Not Started</v>
      </c>
      <c r="I1261" s="21"/>
    </row>
    <row r="1262" spans="1:9" x14ac:dyDescent="0.35">
      <c r="A1262" s="46" t="s">
        <v>265</v>
      </c>
      <c r="B1262" s="46" t="s">
        <v>152</v>
      </c>
      <c r="C1262" s="47" t="str">
        <f>Matrix!AY14</f>
        <v>NS</v>
      </c>
      <c r="D1262" s="48">
        <f>IFERROR(VLOOKUP(B1262,'Renewal Rules'!$A:$B,2,FALSE),"")</f>
        <v>36</v>
      </c>
      <c r="E1262" s="47" t="str">
        <f t="shared" si="76"/>
        <v/>
      </c>
      <c r="F1262" s="48" t="str">
        <f t="shared" ca="1" si="77"/>
        <v/>
      </c>
      <c r="G1262" s="46" t="str">
        <f t="shared" ca="1" si="78"/>
        <v>RED</v>
      </c>
      <c r="H1262" s="46" t="str">
        <f t="shared" ca="1" si="79"/>
        <v>Not Started</v>
      </c>
      <c r="I1262" s="21"/>
    </row>
    <row r="1263" spans="1:9" x14ac:dyDescent="0.35">
      <c r="A1263" s="46" t="s">
        <v>265</v>
      </c>
      <c r="B1263" s="46" t="s">
        <v>153</v>
      </c>
      <c r="C1263" s="47" t="str">
        <f>Matrix!AZ14</f>
        <v>NS</v>
      </c>
      <c r="D1263" s="48">
        <f>IFERROR(VLOOKUP(B1263,'Renewal Rules'!$A:$B,2,FALSE),"")</f>
        <v>36</v>
      </c>
      <c r="E1263" s="47" t="str">
        <f t="shared" si="76"/>
        <v/>
      </c>
      <c r="F1263" s="48" t="str">
        <f t="shared" ca="1" si="77"/>
        <v/>
      </c>
      <c r="G1263" s="46" t="str">
        <f t="shared" ca="1" si="78"/>
        <v>RED</v>
      </c>
      <c r="H1263" s="46" t="str">
        <f t="shared" ca="1" si="79"/>
        <v>Not Started</v>
      </c>
      <c r="I1263" s="21"/>
    </row>
    <row r="1264" spans="1:9" x14ac:dyDescent="0.35">
      <c r="A1264" s="46" t="s">
        <v>265</v>
      </c>
      <c r="B1264" s="46" t="s">
        <v>154</v>
      </c>
      <c r="C1264" s="47" t="str">
        <f>Matrix!BA14</f>
        <v>NS</v>
      </c>
      <c r="D1264" s="48">
        <f>IFERROR(VLOOKUP(B1264,'Renewal Rules'!$A:$B,2,FALSE),"")</f>
        <v>36</v>
      </c>
      <c r="E1264" s="47" t="str">
        <f t="shared" si="76"/>
        <v/>
      </c>
      <c r="F1264" s="48" t="str">
        <f t="shared" ca="1" si="77"/>
        <v/>
      </c>
      <c r="G1264" s="46" t="str">
        <f t="shared" ca="1" si="78"/>
        <v>RED</v>
      </c>
      <c r="H1264" s="46" t="str">
        <f t="shared" ca="1" si="79"/>
        <v>Not Started</v>
      </c>
      <c r="I1264" s="21"/>
    </row>
    <row r="1265" spans="1:9" x14ac:dyDescent="0.35">
      <c r="A1265" s="46" t="s">
        <v>265</v>
      </c>
      <c r="B1265" s="46" t="s">
        <v>155</v>
      </c>
      <c r="C1265" s="47" t="str">
        <f>Matrix!BB14</f>
        <v>NS</v>
      </c>
      <c r="D1265" s="48">
        <f>IFERROR(VLOOKUP(B1265,'Renewal Rules'!$A:$B,2,FALSE),"")</f>
        <v>12</v>
      </c>
      <c r="E1265" s="47" t="str">
        <f t="shared" si="76"/>
        <v/>
      </c>
      <c r="F1265" s="48" t="str">
        <f t="shared" ca="1" si="77"/>
        <v/>
      </c>
      <c r="G1265" s="46" t="str">
        <f t="shared" ca="1" si="78"/>
        <v>RED</v>
      </c>
      <c r="H1265" s="46" t="str">
        <f t="shared" ca="1" si="79"/>
        <v>Not Started</v>
      </c>
      <c r="I1265" s="21"/>
    </row>
    <row r="1266" spans="1:9" x14ac:dyDescent="0.35">
      <c r="A1266" s="46" t="s">
        <v>265</v>
      </c>
      <c r="B1266" s="46" t="s">
        <v>156</v>
      </c>
      <c r="C1266" s="47" t="str">
        <f>Matrix!BC14</f>
        <v>NS</v>
      </c>
      <c r="D1266" s="48">
        <f>IFERROR(VLOOKUP(B1266,'Renewal Rules'!$A:$B,2,FALSE),"")</f>
        <v>12</v>
      </c>
      <c r="E1266" s="47" t="str">
        <f t="shared" si="76"/>
        <v/>
      </c>
      <c r="F1266" s="48" t="str">
        <f t="shared" ca="1" si="77"/>
        <v/>
      </c>
      <c r="G1266" s="46" t="str">
        <f t="shared" ca="1" si="78"/>
        <v>RED</v>
      </c>
      <c r="H1266" s="46" t="str">
        <f t="shared" ca="1" si="79"/>
        <v>Not Started</v>
      </c>
      <c r="I1266" s="21"/>
    </row>
    <row r="1267" spans="1:9" x14ac:dyDescent="0.35">
      <c r="A1267" s="46" t="s">
        <v>265</v>
      </c>
      <c r="B1267" s="46" t="s">
        <v>157</v>
      </c>
      <c r="C1267" s="47" t="str">
        <f>Matrix!BD14</f>
        <v>NS</v>
      </c>
      <c r="D1267" s="48">
        <f>IFERROR(VLOOKUP(B1267,'Renewal Rules'!$A:$B,2,FALSE),"")</f>
        <v>36</v>
      </c>
      <c r="E1267" s="47" t="str">
        <f t="shared" si="76"/>
        <v/>
      </c>
      <c r="F1267" s="48" t="str">
        <f t="shared" ca="1" si="77"/>
        <v/>
      </c>
      <c r="G1267" s="46" t="str">
        <f t="shared" ca="1" si="78"/>
        <v>RED</v>
      </c>
      <c r="H1267" s="46" t="str">
        <f t="shared" ca="1" si="79"/>
        <v>Not Started</v>
      </c>
      <c r="I1267" s="21"/>
    </row>
    <row r="1268" spans="1:9" ht="12.9" customHeight="1" x14ac:dyDescent="0.35">
      <c r="A1268" s="46" t="s">
        <v>265</v>
      </c>
      <c r="B1268" s="46" t="s">
        <v>158</v>
      </c>
      <c r="C1268" s="47" t="str">
        <f>Matrix!BE14</f>
        <v>NS</v>
      </c>
      <c r="D1268" s="48">
        <f>IFERROR(VLOOKUP(B1268,'Renewal Rules'!$A:$B,2,FALSE),"")</f>
        <v>12</v>
      </c>
      <c r="E1268" s="47" t="str">
        <f t="shared" si="76"/>
        <v/>
      </c>
      <c r="F1268" s="48" t="str">
        <f t="shared" ca="1" si="77"/>
        <v/>
      </c>
      <c r="G1268" s="46" t="str">
        <f t="shared" ca="1" si="78"/>
        <v>RED</v>
      </c>
      <c r="H1268" s="46" t="str">
        <f t="shared" ca="1" si="79"/>
        <v>Not Started</v>
      </c>
      <c r="I1268" s="21"/>
    </row>
    <row r="1269" spans="1:9" x14ac:dyDescent="0.35">
      <c r="A1269" s="46" t="s">
        <v>265</v>
      </c>
      <c r="B1269" s="46" t="s">
        <v>95</v>
      </c>
      <c r="C1269" s="47">
        <f>Matrix!BF14</f>
        <v>45979</v>
      </c>
      <c r="D1269" s="48">
        <f>IFERROR(VLOOKUP(B1269,'Renewal Rules'!$A:$B,2,FALSE),"")</f>
        <v>12</v>
      </c>
      <c r="E1269" s="47">
        <f t="shared" si="76"/>
        <v>46344</v>
      </c>
      <c r="F1269" s="48">
        <f t="shared" ca="1" si="77"/>
        <v>141</v>
      </c>
      <c r="G1269" s="46" t="str">
        <f t="shared" ca="1" si="78"/>
        <v>GREEN</v>
      </c>
      <c r="H1269" s="46" t="str">
        <f t="shared" ca="1" si="79"/>
        <v>Current</v>
      </c>
      <c r="I1269" s="21"/>
    </row>
    <row r="1270" spans="1:9" x14ac:dyDescent="0.35">
      <c r="A1270" s="46" t="s">
        <v>265</v>
      </c>
      <c r="B1270" s="46" t="s">
        <v>93</v>
      </c>
      <c r="C1270" s="47" t="str">
        <f>Matrix!BG14</f>
        <v>11/10/2025</v>
      </c>
      <c r="D1270" s="48">
        <f>IFERROR(VLOOKUP(B1270,'Renewal Rules'!$A:$B,2,FALSE),"")</f>
        <v>12</v>
      </c>
      <c r="E1270" s="47">
        <f t="shared" si="76"/>
        <v>46306</v>
      </c>
      <c r="F1270" s="48">
        <f t="shared" ca="1" si="77"/>
        <v>103</v>
      </c>
      <c r="G1270" s="46" t="str">
        <f t="shared" ca="1" si="78"/>
        <v>GREEN</v>
      </c>
      <c r="H1270" s="46" t="str">
        <f t="shared" ca="1" si="79"/>
        <v>Current</v>
      </c>
      <c r="I1270" s="21"/>
    </row>
    <row r="1271" spans="1:9" x14ac:dyDescent="0.35">
      <c r="A1271" s="46" t="s">
        <v>265</v>
      </c>
      <c r="B1271" s="46" t="s">
        <v>159</v>
      </c>
      <c r="C1271" s="47" t="str">
        <f>Matrix!BH14</f>
        <v>NS</v>
      </c>
      <c r="D1271" s="48">
        <f>IFERROR(VLOOKUP(B1271,'Renewal Rules'!$A:$B,2,FALSE),"")</f>
        <v>12</v>
      </c>
      <c r="E1271" s="47" t="str">
        <f t="shared" si="76"/>
        <v/>
      </c>
      <c r="F1271" s="48" t="str">
        <f t="shared" ca="1" si="77"/>
        <v/>
      </c>
      <c r="G1271" s="46" t="str">
        <f t="shared" ca="1" si="78"/>
        <v>RED</v>
      </c>
      <c r="H1271" s="46" t="str">
        <f t="shared" ca="1" si="79"/>
        <v>Not Started</v>
      </c>
      <c r="I1271" s="21"/>
    </row>
    <row r="1272" spans="1:9" x14ac:dyDescent="0.35">
      <c r="A1272" s="46" t="s">
        <v>265</v>
      </c>
      <c r="B1272" s="46" t="s">
        <v>160</v>
      </c>
      <c r="C1272" s="47" t="str">
        <f>Matrix!BI14</f>
        <v>07/10/2025</v>
      </c>
      <c r="D1272" s="48">
        <f>IFERROR(VLOOKUP(B1272,'Renewal Rules'!$A:$B,2,FALSE),"")</f>
        <v>36</v>
      </c>
      <c r="E1272" s="47">
        <f t="shared" si="76"/>
        <v>47033</v>
      </c>
      <c r="F1272" s="48">
        <f t="shared" ca="1" si="77"/>
        <v>830</v>
      </c>
      <c r="G1272" s="46" t="str">
        <f t="shared" ca="1" si="78"/>
        <v>GREEN</v>
      </c>
      <c r="H1272" s="46" t="str">
        <f t="shared" ca="1" si="79"/>
        <v>Current</v>
      </c>
      <c r="I1272" s="21"/>
    </row>
    <row r="1273" spans="1:9" x14ac:dyDescent="0.35">
      <c r="A1273" s="46" t="s">
        <v>265</v>
      </c>
      <c r="B1273" s="46" t="s">
        <v>161</v>
      </c>
      <c r="C1273" s="47" t="str">
        <f>Matrix!BJ14</f>
        <v>NS</v>
      </c>
      <c r="D1273" s="48">
        <f>IFERROR(VLOOKUP(B1273,'Renewal Rules'!$A:$B,2,FALSE),"")</f>
        <v>12</v>
      </c>
      <c r="E1273" s="47" t="str">
        <f t="shared" si="76"/>
        <v/>
      </c>
      <c r="F1273" s="48" t="str">
        <f t="shared" ca="1" si="77"/>
        <v/>
      </c>
      <c r="G1273" s="46" t="str">
        <f t="shared" ca="1" si="78"/>
        <v>RED</v>
      </c>
      <c r="H1273" s="46" t="str">
        <f t="shared" ca="1" si="79"/>
        <v>Not Started</v>
      </c>
      <c r="I1273" s="21"/>
    </row>
    <row r="1274" spans="1:9" x14ac:dyDescent="0.35">
      <c r="A1274" s="46" t="s">
        <v>265</v>
      </c>
      <c r="B1274" s="46" t="s">
        <v>162</v>
      </c>
      <c r="C1274" s="47" t="str">
        <f>Matrix!BK14</f>
        <v>NS</v>
      </c>
      <c r="D1274" s="48">
        <f>IFERROR(VLOOKUP(B1274,'Renewal Rules'!$A:$B,2,FALSE),"")</f>
        <v>12</v>
      </c>
      <c r="E1274" s="47" t="str">
        <f t="shared" si="76"/>
        <v/>
      </c>
      <c r="F1274" s="48" t="str">
        <f t="shared" ca="1" si="77"/>
        <v/>
      </c>
      <c r="G1274" s="46" t="str">
        <f t="shared" ca="1" si="78"/>
        <v>RED</v>
      </c>
      <c r="H1274" s="46" t="str">
        <f t="shared" ca="1" si="79"/>
        <v>Not Started</v>
      </c>
      <c r="I1274" s="21"/>
    </row>
    <row r="1275" spans="1:9" x14ac:dyDescent="0.35">
      <c r="A1275" s="46" t="s">
        <v>265</v>
      </c>
      <c r="B1275" s="46" t="s">
        <v>163</v>
      </c>
      <c r="C1275" s="47" t="str">
        <f>Matrix!BL14</f>
        <v>NS</v>
      </c>
      <c r="D1275" s="48">
        <f>IFERROR(VLOOKUP(B1275,'Renewal Rules'!$A:$B,2,FALSE),"")</f>
        <v>36</v>
      </c>
      <c r="E1275" s="47" t="str">
        <f t="shared" si="76"/>
        <v/>
      </c>
      <c r="F1275" s="48" t="str">
        <f t="shared" ca="1" si="77"/>
        <v/>
      </c>
      <c r="G1275" s="46" t="str">
        <f t="shared" ca="1" si="78"/>
        <v>RED</v>
      </c>
      <c r="H1275" s="46" t="str">
        <f t="shared" ca="1" si="79"/>
        <v>Not Started</v>
      </c>
      <c r="I1275" s="21"/>
    </row>
    <row r="1276" spans="1:9" x14ac:dyDescent="0.35">
      <c r="A1276" s="46" t="s">
        <v>265</v>
      </c>
      <c r="B1276" s="46" t="s">
        <v>164</v>
      </c>
      <c r="C1276" s="47" t="str">
        <f>Matrix!BM14</f>
        <v>NS</v>
      </c>
      <c r="D1276" s="48">
        <f>IFERROR(VLOOKUP(B1276,'Renewal Rules'!$A:$B,2,FALSE),"")</f>
        <v>12</v>
      </c>
      <c r="E1276" s="47" t="str">
        <f t="shared" si="76"/>
        <v/>
      </c>
      <c r="F1276" s="48" t="str">
        <f t="shared" ca="1" si="77"/>
        <v/>
      </c>
      <c r="G1276" s="46" t="str">
        <f t="shared" ca="1" si="78"/>
        <v>RED</v>
      </c>
      <c r="H1276" s="46" t="str">
        <f t="shared" ca="1" si="79"/>
        <v>Not Started</v>
      </c>
      <c r="I1276" s="21"/>
    </row>
    <row r="1277" spans="1:9" x14ac:dyDescent="0.35">
      <c r="A1277" s="46" t="s">
        <v>265</v>
      </c>
      <c r="B1277" s="46" t="s">
        <v>165</v>
      </c>
      <c r="C1277" s="47" t="str">
        <f>Matrix!BN14</f>
        <v>NS</v>
      </c>
      <c r="D1277" s="48">
        <f>IFERROR(VLOOKUP(B1277,'Renewal Rules'!$A:$B,2,FALSE),"")</f>
        <v>36</v>
      </c>
      <c r="E1277" s="47" t="str">
        <f t="shared" si="76"/>
        <v/>
      </c>
      <c r="F1277" s="48" t="str">
        <f t="shared" ca="1" si="77"/>
        <v/>
      </c>
      <c r="G1277" s="46" t="str">
        <f t="shared" ca="1" si="78"/>
        <v>RED</v>
      </c>
      <c r="H1277" s="46" t="str">
        <f t="shared" ca="1" si="79"/>
        <v>Not Started</v>
      </c>
      <c r="I1277" s="21"/>
    </row>
    <row r="1278" spans="1:9" x14ac:dyDescent="0.35">
      <c r="A1278" s="46" t="s">
        <v>265</v>
      </c>
      <c r="B1278" s="46" t="s">
        <v>166</v>
      </c>
      <c r="C1278" s="47" t="str">
        <f>Matrix!BO14</f>
        <v>NS</v>
      </c>
      <c r="D1278" s="48">
        <f>IFERROR(VLOOKUP(B1278,'Renewal Rules'!$A:$B,2,FALSE),"")</f>
        <v>36</v>
      </c>
      <c r="E1278" s="47" t="str">
        <f t="shared" si="76"/>
        <v/>
      </c>
      <c r="F1278" s="48" t="str">
        <f t="shared" ca="1" si="77"/>
        <v/>
      </c>
      <c r="G1278" s="46" t="str">
        <f t="shared" ca="1" si="78"/>
        <v>RED</v>
      </c>
      <c r="H1278" s="46" t="str">
        <f t="shared" ca="1" si="79"/>
        <v>Not Started</v>
      </c>
      <c r="I1278" s="21"/>
    </row>
    <row r="1279" spans="1:9" x14ac:dyDescent="0.35">
      <c r="A1279" s="46" t="s">
        <v>265</v>
      </c>
      <c r="B1279" s="46" t="s">
        <v>167</v>
      </c>
      <c r="C1279" s="47" t="str">
        <f>Matrix!BP14</f>
        <v>NS</v>
      </c>
      <c r="D1279" s="48">
        <f>IFERROR(VLOOKUP(B1279,'Renewal Rules'!$A:$B,2,FALSE),"")</f>
        <v>36</v>
      </c>
      <c r="E1279" s="47" t="str">
        <f t="shared" si="76"/>
        <v/>
      </c>
      <c r="F1279" s="48" t="str">
        <f t="shared" ca="1" si="77"/>
        <v/>
      </c>
      <c r="G1279" s="46" t="str">
        <f t="shared" ca="1" si="78"/>
        <v>RED</v>
      </c>
      <c r="H1279" s="46" t="str">
        <f t="shared" ca="1" si="79"/>
        <v>Not Started</v>
      </c>
      <c r="I1279" s="21"/>
    </row>
    <row r="1280" spans="1:9" x14ac:dyDescent="0.35">
      <c r="A1280" s="46" t="s">
        <v>265</v>
      </c>
      <c r="B1280" s="46" t="s">
        <v>168</v>
      </c>
      <c r="C1280" s="47" t="str">
        <f>Matrix!BQ14</f>
        <v>NS</v>
      </c>
      <c r="D1280" s="48">
        <f>IFERROR(VLOOKUP(B1280,'Renewal Rules'!$A:$B,2,FALSE),"")</f>
        <v>36</v>
      </c>
      <c r="E1280" s="47" t="str">
        <f t="shared" si="76"/>
        <v/>
      </c>
      <c r="F1280" s="48" t="str">
        <f t="shared" ca="1" si="77"/>
        <v/>
      </c>
      <c r="G1280" s="46" t="str">
        <f t="shared" ca="1" si="78"/>
        <v>RED</v>
      </c>
      <c r="H1280" s="46" t="str">
        <f t="shared" ca="1" si="79"/>
        <v>Not Started</v>
      </c>
      <c r="I1280" s="21"/>
    </row>
    <row r="1281" spans="1:9" x14ac:dyDescent="0.35">
      <c r="A1281" s="46" t="s">
        <v>265</v>
      </c>
      <c r="B1281" s="46" t="s">
        <v>169</v>
      </c>
      <c r="C1281" s="47" t="str">
        <f>Matrix!BR14</f>
        <v>NS</v>
      </c>
      <c r="D1281" s="48">
        <f>IFERROR(VLOOKUP(B1281,'Renewal Rules'!$A:$B,2,FALSE),"")</f>
        <v>36</v>
      </c>
      <c r="E1281" s="47" t="str">
        <f t="shared" si="76"/>
        <v/>
      </c>
      <c r="F1281" s="48" t="str">
        <f t="shared" ca="1" si="77"/>
        <v/>
      </c>
      <c r="G1281" s="46" t="str">
        <f t="shared" ca="1" si="78"/>
        <v>RED</v>
      </c>
      <c r="H1281" s="46" t="str">
        <f t="shared" ca="1" si="79"/>
        <v>Not Started</v>
      </c>
      <c r="I1281" s="21"/>
    </row>
    <row r="1282" spans="1:9" x14ac:dyDescent="0.35">
      <c r="A1282" s="46" t="s">
        <v>265</v>
      </c>
      <c r="B1282" s="46" t="s">
        <v>170</v>
      </c>
      <c r="C1282" s="47" t="str">
        <f>Matrix!BS14</f>
        <v>NS</v>
      </c>
      <c r="D1282" s="48">
        <f>IFERROR(VLOOKUP(B1282,'Renewal Rules'!$A:$B,2,FALSE),"")</f>
        <v>12</v>
      </c>
      <c r="E1282" s="47" t="str">
        <f t="shared" si="76"/>
        <v/>
      </c>
      <c r="F1282" s="48" t="str">
        <f t="shared" ca="1" si="77"/>
        <v/>
      </c>
      <c r="G1282" s="46" t="str">
        <f t="shared" ca="1" si="78"/>
        <v>RED</v>
      </c>
      <c r="H1282" s="46" t="str">
        <f t="shared" ca="1" si="79"/>
        <v>Not Started</v>
      </c>
      <c r="I1282" s="21"/>
    </row>
    <row r="1283" spans="1:9" x14ac:dyDescent="0.35">
      <c r="A1283" s="46" t="s">
        <v>265</v>
      </c>
      <c r="B1283" s="46" t="s">
        <v>171</v>
      </c>
      <c r="C1283" s="47" t="str">
        <f>Matrix!BT14</f>
        <v>NS</v>
      </c>
      <c r="D1283" s="48">
        <f>IFERROR(VLOOKUP(B1283,'Renewal Rules'!$A:$B,2,FALSE),"")</f>
        <v>12</v>
      </c>
      <c r="E1283" s="47" t="str">
        <f t="shared" ref="E1283:E1322" si="80">IF(OR(C1283="",C1283="NS",C1283="IP",C1283="Failed"),"",IFERROR(EDATE(IF(ISNUMBER(C1283),C1283,IFERROR(DATEVALUE(C1283),DATE(VALUE(RIGHT(C1283,4)),VALUE(MID(C1283,4,2)),VALUE(LEFT(C1283,2))))),D1283),""))</f>
        <v/>
      </c>
      <c r="F1283" s="48" t="str">
        <f t="shared" ref="F1283:F1322" ca="1" si="81">IF(E1283="","",E1283-TODAY())</f>
        <v/>
      </c>
      <c r="G1283" s="46" t="str">
        <f t="shared" ref="G1283:G1322" ca="1" si="82">IF(C1283="NS","RED",IF(C1283="IP","AMBER",IF(E1283="","",IF(E1283&lt;TODAY(),"RED",IF(E1283&lt;=TODAY()+30,"AMBER","GREEN")))))</f>
        <v>RED</v>
      </c>
      <c r="H1283" s="46" t="str">
        <f t="shared" ref="H1283:H1322" ca="1" si="83">IF(C1283="NS","Not Started",IF(C1283="IP","In Progress",IF(E1283="","Check",IF(E1283&lt;TODAY(),"Expired",IF(E1283&lt;=TODAY()+30,"Expiring Soon","Current")))))</f>
        <v>Not Started</v>
      </c>
      <c r="I1283" s="21"/>
    </row>
    <row r="1284" spans="1:9" x14ac:dyDescent="0.35">
      <c r="A1284" s="46" t="s">
        <v>265</v>
      </c>
      <c r="B1284" s="46" t="s">
        <v>172</v>
      </c>
      <c r="C1284" s="47">
        <f>Matrix!BU14</f>
        <v>45981</v>
      </c>
      <c r="D1284" s="48">
        <f>IFERROR(VLOOKUP(B1284,'Renewal Rules'!$A:$B,2,FALSE),"")</f>
        <v>12</v>
      </c>
      <c r="E1284" s="47">
        <f t="shared" si="80"/>
        <v>46346</v>
      </c>
      <c r="F1284" s="48">
        <f t="shared" ca="1" si="81"/>
        <v>143</v>
      </c>
      <c r="G1284" s="46" t="str">
        <f t="shared" ca="1" si="82"/>
        <v>GREEN</v>
      </c>
      <c r="H1284" s="46" t="str">
        <f t="shared" ca="1" si="83"/>
        <v>Current</v>
      </c>
      <c r="I1284" s="21"/>
    </row>
    <row r="1285" spans="1:9" x14ac:dyDescent="0.35">
      <c r="A1285" s="46" t="s">
        <v>265</v>
      </c>
      <c r="B1285" s="46" t="s">
        <v>173</v>
      </c>
      <c r="C1285" s="47" t="str">
        <f>Matrix!BV14</f>
        <v>NS</v>
      </c>
      <c r="D1285" s="48">
        <f>IFERROR(VLOOKUP(B1285,'Renewal Rules'!$A:$B,2,FALSE),"")</f>
        <v>12</v>
      </c>
      <c r="E1285" s="47" t="str">
        <f t="shared" si="80"/>
        <v/>
      </c>
      <c r="F1285" s="48" t="str">
        <f t="shared" ca="1" si="81"/>
        <v/>
      </c>
      <c r="G1285" s="46" t="str">
        <f t="shared" ca="1" si="82"/>
        <v>RED</v>
      </c>
      <c r="H1285" s="46" t="str">
        <f t="shared" ca="1" si="83"/>
        <v>Not Started</v>
      </c>
      <c r="I1285" s="21"/>
    </row>
    <row r="1286" spans="1:9" x14ac:dyDescent="0.35">
      <c r="A1286" s="46" t="s">
        <v>265</v>
      </c>
      <c r="B1286" s="46" t="s">
        <v>174</v>
      </c>
      <c r="C1286" s="47" t="str">
        <f>Matrix!BW14</f>
        <v>NS</v>
      </c>
      <c r="D1286" s="48">
        <f>IFERROR(VLOOKUP(B1286,'Renewal Rules'!$A:$B,2,FALSE),"")</f>
        <v>12</v>
      </c>
      <c r="E1286" s="47" t="str">
        <f t="shared" si="80"/>
        <v/>
      </c>
      <c r="F1286" s="48" t="str">
        <f t="shared" ca="1" si="81"/>
        <v/>
      </c>
      <c r="G1286" s="46" t="str">
        <f t="shared" ca="1" si="82"/>
        <v>RED</v>
      </c>
      <c r="H1286" s="46" t="str">
        <f t="shared" ca="1" si="83"/>
        <v>Not Started</v>
      </c>
      <c r="I1286" s="21"/>
    </row>
    <row r="1287" spans="1:9" x14ac:dyDescent="0.35">
      <c r="A1287" s="46" t="s">
        <v>265</v>
      </c>
      <c r="B1287" s="46" t="s">
        <v>175</v>
      </c>
      <c r="C1287" s="47" t="str">
        <f>Matrix!BX14</f>
        <v>NS</v>
      </c>
      <c r="D1287" s="48">
        <f>IFERROR(VLOOKUP(B1287,'Renewal Rules'!$A:$B,2,FALSE),"")</f>
        <v>12</v>
      </c>
      <c r="E1287" s="47" t="str">
        <f t="shared" si="80"/>
        <v/>
      </c>
      <c r="F1287" s="48" t="str">
        <f t="shared" ca="1" si="81"/>
        <v/>
      </c>
      <c r="G1287" s="46" t="str">
        <f t="shared" ca="1" si="82"/>
        <v>RED</v>
      </c>
      <c r="H1287" s="46" t="str">
        <f t="shared" ca="1" si="83"/>
        <v>Not Started</v>
      </c>
      <c r="I1287" s="21"/>
    </row>
    <row r="1288" spans="1:9" x14ac:dyDescent="0.35">
      <c r="A1288" s="46" t="s">
        <v>265</v>
      </c>
      <c r="B1288" s="46" t="s">
        <v>176</v>
      </c>
      <c r="C1288" s="47" t="str">
        <f>Matrix!BY14</f>
        <v>NS</v>
      </c>
      <c r="D1288" s="48">
        <f>IFERROR(VLOOKUP(B1288,'Renewal Rules'!$A:$B,2,FALSE),"")</f>
        <v>36</v>
      </c>
      <c r="E1288" s="47" t="str">
        <f t="shared" si="80"/>
        <v/>
      </c>
      <c r="F1288" s="48" t="str">
        <f t="shared" ca="1" si="81"/>
        <v/>
      </c>
      <c r="G1288" s="46" t="str">
        <f t="shared" ca="1" si="82"/>
        <v>RED</v>
      </c>
      <c r="H1288" s="46" t="str">
        <f t="shared" ca="1" si="83"/>
        <v>Not Started</v>
      </c>
      <c r="I1288" s="21"/>
    </row>
    <row r="1289" spans="1:9" x14ac:dyDescent="0.35">
      <c r="A1289" s="46" t="s">
        <v>265</v>
      </c>
      <c r="B1289" s="46" t="s">
        <v>177</v>
      </c>
      <c r="C1289" s="47" t="str">
        <f>Matrix!BZ14</f>
        <v>NS</v>
      </c>
      <c r="D1289" s="48">
        <f>IFERROR(VLOOKUP(B1289,'Renewal Rules'!$A:$B,2,FALSE),"")</f>
        <v>36</v>
      </c>
      <c r="E1289" s="47" t="str">
        <f t="shared" si="80"/>
        <v/>
      </c>
      <c r="F1289" s="48" t="str">
        <f t="shared" ca="1" si="81"/>
        <v/>
      </c>
      <c r="G1289" s="46" t="str">
        <f t="shared" ca="1" si="82"/>
        <v>RED</v>
      </c>
      <c r="H1289" s="46" t="str">
        <f t="shared" ca="1" si="83"/>
        <v>Not Started</v>
      </c>
      <c r="I1289" s="21"/>
    </row>
    <row r="1290" spans="1:9" x14ac:dyDescent="0.35">
      <c r="A1290" s="46" t="s">
        <v>265</v>
      </c>
      <c r="B1290" s="46" t="s">
        <v>178</v>
      </c>
      <c r="C1290" s="47" t="str">
        <f>Matrix!CA14</f>
        <v>NS</v>
      </c>
      <c r="D1290" s="48">
        <f>IFERROR(VLOOKUP(B1290,'Renewal Rules'!$A:$B,2,FALSE),"")</f>
        <v>12</v>
      </c>
      <c r="E1290" s="47" t="str">
        <f t="shared" si="80"/>
        <v/>
      </c>
      <c r="F1290" s="48" t="str">
        <f t="shared" ca="1" si="81"/>
        <v/>
      </c>
      <c r="G1290" s="46" t="str">
        <f t="shared" ca="1" si="82"/>
        <v>RED</v>
      </c>
      <c r="H1290" s="46" t="str">
        <f t="shared" ca="1" si="83"/>
        <v>Not Started</v>
      </c>
      <c r="I1290" s="21"/>
    </row>
    <row r="1291" spans="1:9" x14ac:dyDescent="0.35">
      <c r="A1291" s="46" t="s">
        <v>265</v>
      </c>
      <c r="B1291" s="46" t="s">
        <v>179</v>
      </c>
      <c r="C1291" s="47" t="str">
        <f>Matrix!CB14</f>
        <v>NS</v>
      </c>
      <c r="D1291" s="48">
        <f>IFERROR(VLOOKUP(B1291,'Renewal Rules'!$A:$B,2,FALSE),"")</f>
        <v>12</v>
      </c>
      <c r="E1291" s="47" t="str">
        <f t="shared" si="80"/>
        <v/>
      </c>
      <c r="F1291" s="48" t="str">
        <f t="shared" ca="1" si="81"/>
        <v/>
      </c>
      <c r="G1291" s="46" t="str">
        <f t="shared" ca="1" si="82"/>
        <v>RED</v>
      </c>
      <c r="H1291" s="46" t="str">
        <f t="shared" ca="1" si="83"/>
        <v>Not Started</v>
      </c>
      <c r="I1291" s="21"/>
    </row>
    <row r="1292" spans="1:9" x14ac:dyDescent="0.35">
      <c r="A1292" s="46" t="s">
        <v>265</v>
      </c>
      <c r="B1292" s="46" t="s">
        <v>180</v>
      </c>
      <c r="C1292" s="47" t="str">
        <f>Matrix!CC14</f>
        <v>NS</v>
      </c>
      <c r="D1292" s="48">
        <f>IFERROR(VLOOKUP(B1292,'Renewal Rules'!$A:$B,2,FALSE),"")</f>
        <v>36</v>
      </c>
      <c r="E1292" s="47" t="str">
        <f t="shared" si="80"/>
        <v/>
      </c>
      <c r="F1292" s="48" t="str">
        <f t="shared" ca="1" si="81"/>
        <v/>
      </c>
      <c r="G1292" s="46" t="str">
        <f t="shared" ca="1" si="82"/>
        <v>RED</v>
      </c>
      <c r="H1292" s="46" t="str">
        <f t="shared" ca="1" si="83"/>
        <v>Not Started</v>
      </c>
      <c r="I1292" s="21"/>
    </row>
    <row r="1293" spans="1:9" x14ac:dyDescent="0.35">
      <c r="A1293" s="46" t="s">
        <v>265</v>
      </c>
      <c r="B1293" s="46" t="s">
        <v>181</v>
      </c>
      <c r="C1293" s="47" t="str">
        <f>Matrix!CD14</f>
        <v>NS</v>
      </c>
      <c r="D1293" s="48">
        <f>IFERROR(VLOOKUP(B1293,'Renewal Rules'!$A:$B,2,FALSE),"")</f>
        <v>36</v>
      </c>
      <c r="E1293" s="47" t="str">
        <f t="shared" si="80"/>
        <v/>
      </c>
      <c r="F1293" s="48" t="str">
        <f t="shared" ca="1" si="81"/>
        <v/>
      </c>
      <c r="G1293" s="46" t="str">
        <f t="shared" ca="1" si="82"/>
        <v>RED</v>
      </c>
      <c r="H1293" s="46" t="str">
        <f t="shared" ca="1" si="83"/>
        <v>Not Started</v>
      </c>
      <c r="I1293" s="21"/>
    </row>
    <row r="1294" spans="1:9" x14ac:dyDescent="0.35">
      <c r="A1294" s="46" t="s">
        <v>265</v>
      </c>
      <c r="B1294" s="46" t="s">
        <v>182</v>
      </c>
      <c r="C1294" s="47" t="str">
        <f>Matrix!CE14</f>
        <v>NS</v>
      </c>
      <c r="D1294" s="48">
        <f>IFERROR(VLOOKUP(B1294,'Renewal Rules'!$A:$B,2,FALSE),"")</f>
        <v>12</v>
      </c>
      <c r="E1294" s="47" t="str">
        <f t="shared" si="80"/>
        <v/>
      </c>
      <c r="F1294" s="48" t="str">
        <f t="shared" ca="1" si="81"/>
        <v/>
      </c>
      <c r="G1294" s="46" t="str">
        <f t="shared" ca="1" si="82"/>
        <v>RED</v>
      </c>
      <c r="H1294" s="46" t="str">
        <f t="shared" ca="1" si="83"/>
        <v>Not Started</v>
      </c>
      <c r="I1294" s="21"/>
    </row>
    <row r="1295" spans="1:9" x14ac:dyDescent="0.35">
      <c r="A1295" s="46" t="s">
        <v>265</v>
      </c>
      <c r="B1295" s="46" t="s">
        <v>183</v>
      </c>
      <c r="C1295" s="47" t="str">
        <f>Matrix!CF14</f>
        <v>NS</v>
      </c>
      <c r="D1295" s="48">
        <f>IFERROR(VLOOKUP(B1295,'Renewal Rules'!$A:$B,2,FALSE),"")</f>
        <v>36</v>
      </c>
      <c r="E1295" s="47" t="str">
        <f t="shared" si="80"/>
        <v/>
      </c>
      <c r="F1295" s="48" t="str">
        <f t="shared" ca="1" si="81"/>
        <v/>
      </c>
      <c r="G1295" s="46" t="str">
        <f t="shared" ca="1" si="82"/>
        <v>RED</v>
      </c>
      <c r="H1295" s="46" t="str">
        <f t="shared" ca="1" si="83"/>
        <v>Not Started</v>
      </c>
      <c r="I1295" s="21"/>
    </row>
    <row r="1296" spans="1:9" x14ac:dyDescent="0.35">
      <c r="A1296" s="46" t="s">
        <v>265</v>
      </c>
      <c r="B1296" s="46" t="s">
        <v>184</v>
      </c>
      <c r="C1296" s="47" t="str">
        <f>Matrix!CG14</f>
        <v>NS</v>
      </c>
      <c r="D1296" s="48">
        <f>IFERROR(VLOOKUP(B1296,'Renewal Rules'!$A:$B,2,FALSE),"")</f>
        <v>12</v>
      </c>
      <c r="E1296" s="47" t="str">
        <f t="shared" si="80"/>
        <v/>
      </c>
      <c r="F1296" s="48" t="str">
        <f t="shared" ca="1" si="81"/>
        <v/>
      </c>
      <c r="G1296" s="46" t="str">
        <f t="shared" ca="1" si="82"/>
        <v>RED</v>
      </c>
      <c r="H1296" s="46" t="str">
        <f t="shared" ca="1" si="83"/>
        <v>Not Started</v>
      </c>
      <c r="I1296" s="21"/>
    </row>
    <row r="1297" spans="1:9" x14ac:dyDescent="0.35">
      <c r="A1297" s="46" t="s">
        <v>265</v>
      </c>
      <c r="B1297" s="46" t="s">
        <v>185</v>
      </c>
      <c r="C1297" s="47" t="str">
        <f>Matrix!CH14</f>
        <v>NS</v>
      </c>
      <c r="D1297" s="48">
        <f>IFERROR(VLOOKUP(B1297,'Renewal Rules'!$A:$B,2,FALSE),"")</f>
        <v>12</v>
      </c>
      <c r="E1297" s="47" t="str">
        <f t="shared" si="80"/>
        <v/>
      </c>
      <c r="F1297" s="48" t="str">
        <f t="shared" ca="1" si="81"/>
        <v/>
      </c>
      <c r="G1297" s="46" t="str">
        <f t="shared" ca="1" si="82"/>
        <v>RED</v>
      </c>
      <c r="H1297" s="46" t="str">
        <f t="shared" ca="1" si="83"/>
        <v>Not Started</v>
      </c>
      <c r="I1297" s="21"/>
    </row>
    <row r="1298" spans="1:9" x14ac:dyDescent="0.35">
      <c r="A1298" s="46" t="s">
        <v>265</v>
      </c>
      <c r="B1298" s="46" t="s">
        <v>186</v>
      </c>
      <c r="C1298" s="47" t="str">
        <f>Matrix!CI14</f>
        <v>NS</v>
      </c>
      <c r="D1298" s="48">
        <f>IFERROR(VLOOKUP(B1298,'Renewal Rules'!$A:$B,2,FALSE),"")</f>
        <v>36</v>
      </c>
      <c r="E1298" s="47" t="str">
        <f t="shared" si="80"/>
        <v/>
      </c>
      <c r="F1298" s="48" t="str">
        <f t="shared" ca="1" si="81"/>
        <v/>
      </c>
      <c r="G1298" s="46" t="str">
        <f t="shared" ca="1" si="82"/>
        <v>RED</v>
      </c>
      <c r="H1298" s="46" t="str">
        <f t="shared" ca="1" si="83"/>
        <v>Not Started</v>
      </c>
      <c r="I1298" s="21"/>
    </row>
    <row r="1299" spans="1:9" x14ac:dyDescent="0.35">
      <c r="A1299" s="46" t="s">
        <v>265</v>
      </c>
      <c r="B1299" s="46" t="s">
        <v>187</v>
      </c>
      <c r="C1299" s="47" t="str">
        <f>Matrix!CJ14</f>
        <v>NS</v>
      </c>
      <c r="D1299" s="48">
        <f>IFERROR(VLOOKUP(B1299,'Renewal Rules'!$A:$B,2,FALSE),"")</f>
        <v>12</v>
      </c>
      <c r="E1299" s="47" t="str">
        <f t="shared" si="80"/>
        <v/>
      </c>
      <c r="F1299" s="48" t="str">
        <f t="shared" ca="1" si="81"/>
        <v/>
      </c>
      <c r="G1299" s="46" t="str">
        <f t="shared" ca="1" si="82"/>
        <v>RED</v>
      </c>
      <c r="H1299" s="46" t="str">
        <f t="shared" ca="1" si="83"/>
        <v>Not Started</v>
      </c>
      <c r="I1299" s="21"/>
    </row>
    <row r="1300" spans="1:9" x14ac:dyDescent="0.35">
      <c r="A1300" s="46" t="s">
        <v>265</v>
      </c>
      <c r="B1300" s="46" t="s">
        <v>188</v>
      </c>
      <c r="C1300" s="47" t="str">
        <f>Matrix!CK14</f>
        <v>NS</v>
      </c>
      <c r="D1300" s="48">
        <f>IFERROR(VLOOKUP(B1300,'Renewal Rules'!$A:$B,2,FALSE),"")</f>
        <v>36</v>
      </c>
      <c r="E1300" s="47" t="str">
        <f t="shared" si="80"/>
        <v/>
      </c>
      <c r="F1300" s="48" t="str">
        <f t="shared" ca="1" si="81"/>
        <v/>
      </c>
      <c r="G1300" s="46" t="str">
        <f t="shared" ca="1" si="82"/>
        <v>RED</v>
      </c>
      <c r="H1300" s="46" t="str">
        <f t="shared" ca="1" si="83"/>
        <v>Not Started</v>
      </c>
      <c r="I1300" s="21"/>
    </row>
    <row r="1301" spans="1:9" x14ac:dyDescent="0.35">
      <c r="A1301" s="46" t="s">
        <v>265</v>
      </c>
      <c r="B1301" s="46" t="s">
        <v>189</v>
      </c>
      <c r="C1301" s="47" t="str">
        <f>Matrix!CL14</f>
        <v>NS</v>
      </c>
      <c r="D1301" s="48">
        <f>IFERROR(VLOOKUP(B1301,'Renewal Rules'!$A:$B,2,FALSE),"")</f>
        <v>36</v>
      </c>
      <c r="E1301" s="47" t="str">
        <f t="shared" si="80"/>
        <v/>
      </c>
      <c r="F1301" s="48" t="str">
        <f t="shared" ca="1" si="81"/>
        <v/>
      </c>
      <c r="G1301" s="46" t="str">
        <f t="shared" ca="1" si="82"/>
        <v>RED</v>
      </c>
      <c r="H1301" s="46" t="str">
        <f t="shared" ca="1" si="83"/>
        <v>Not Started</v>
      </c>
      <c r="I1301" s="21"/>
    </row>
    <row r="1302" spans="1:9" x14ac:dyDescent="0.35">
      <c r="A1302" s="46" t="s">
        <v>265</v>
      </c>
      <c r="B1302" s="46" t="s">
        <v>190</v>
      </c>
      <c r="C1302" s="47" t="str">
        <f>Matrix!CM14</f>
        <v>NS</v>
      </c>
      <c r="D1302" s="48">
        <f>IFERROR(VLOOKUP(B1302,'Renewal Rules'!$A:$B,2,FALSE),"")</f>
        <v>12</v>
      </c>
      <c r="E1302" s="47" t="str">
        <f t="shared" si="80"/>
        <v/>
      </c>
      <c r="F1302" s="48" t="str">
        <f t="shared" ca="1" si="81"/>
        <v/>
      </c>
      <c r="G1302" s="46" t="str">
        <f t="shared" ca="1" si="82"/>
        <v>RED</v>
      </c>
      <c r="H1302" s="46" t="str">
        <f t="shared" ca="1" si="83"/>
        <v>Not Started</v>
      </c>
      <c r="I1302" s="21"/>
    </row>
    <row r="1303" spans="1:9" x14ac:dyDescent="0.35">
      <c r="A1303" s="46" t="s">
        <v>265</v>
      </c>
      <c r="B1303" s="46" t="s">
        <v>191</v>
      </c>
      <c r="C1303" s="47" t="str">
        <f>Matrix!CN14</f>
        <v>NS</v>
      </c>
      <c r="D1303" s="48">
        <f>IFERROR(VLOOKUP(B1303,'Renewal Rules'!$A:$B,2,FALSE),"")</f>
        <v>36</v>
      </c>
      <c r="E1303" s="47" t="str">
        <f t="shared" si="80"/>
        <v/>
      </c>
      <c r="F1303" s="48" t="str">
        <f t="shared" ca="1" si="81"/>
        <v/>
      </c>
      <c r="G1303" s="46" t="str">
        <f t="shared" ca="1" si="82"/>
        <v>RED</v>
      </c>
      <c r="H1303" s="46" t="str">
        <f t="shared" ca="1" si="83"/>
        <v>Not Started</v>
      </c>
      <c r="I1303" s="21"/>
    </row>
    <row r="1304" spans="1:9" x14ac:dyDescent="0.35">
      <c r="A1304" s="46" t="s">
        <v>265</v>
      </c>
      <c r="B1304" s="46" t="s">
        <v>192</v>
      </c>
      <c r="C1304" s="47" t="str">
        <f>Matrix!CO14</f>
        <v>NS</v>
      </c>
      <c r="D1304" s="48">
        <f>IFERROR(VLOOKUP(B1304,'Renewal Rules'!$A:$B,2,FALSE),"")</f>
        <v>12</v>
      </c>
      <c r="E1304" s="47" t="str">
        <f t="shared" si="80"/>
        <v/>
      </c>
      <c r="F1304" s="48" t="str">
        <f t="shared" ca="1" si="81"/>
        <v/>
      </c>
      <c r="G1304" s="46" t="str">
        <f t="shared" ca="1" si="82"/>
        <v>RED</v>
      </c>
      <c r="H1304" s="46" t="str">
        <f t="shared" ca="1" si="83"/>
        <v>Not Started</v>
      </c>
      <c r="I1304" s="21"/>
    </row>
    <row r="1305" spans="1:9" ht="12.9" customHeight="1" x14ac:dyDescent="0.35">
      <c r="A1305" s="46" t="s">
        <v>265</v>
      </c>
      <c r="B1305" s="46" t="s">
        <v>193</v>
      </c>
      <c r="C1305" s="47" t="str">
        <f>Matrix!CP14</f>
        <v>NS</v>
      </c>
      <c r="D1305" s="48">
        <f>IFERROR(VLOOKUP(B1305,'Renewal Rules'!$A:$B,2,FALSE),"")</f>
        <v>12</v>
      </c>
      <c r="E1305" s="47" t="str">
        <f t="shared" si="80"/>
        <v/>
      </c>
      <c r="F1305" s="48" t="str">
        <f t="shared" ca="1" si="81"/>
        <v/>
      </c>
      <c r="G1305" s="46" t="str">
        <f t="shared" ca="1" si="82"/>
        <v>RED</v>
      </c>
      <c r="H1305" s="46" t="str">
        <f t="shared" ca="1" si="83"/>
        <v>Not Started</v>
      </c>
      <c r="I1305" s="21"/>
    </row>
    <row r="1306" spans="1:9" x14ac:dyDescent="0.35">
      <c r="A1306" s="46" t="s">
        <v>265</v>
      </c>
      <c r="B1306" s="46" t="s">
        <v>194</v>
      </c>
      <c r="C1306" s="47" t="str">
        <f>Matrix!CQ14</f>
        <v>NS</v>
      </c>
      <c r="D1306" s="48">
        <f>IFERROR(VLOOKUP(B1306,'Renewal Rules'!$A:$B,2,FALSE),"")</f>
        <v>36</v>
      </c>
      <c r="E1306" s="47" t="str">
        <f t="shared" si="80"/>
        <v/>
      </c>
      <c r="F1306" s="48" t="str">
        <f t="shared" ca="1" si="81"/>
        <v/>
      </c>
      <c r="G1306" s="46" t="str">
        <f t="shared" ca="1" si="82"/>
        <v>RED</v>
      </c>
      <c r="H1306" s="46" t="str">
        <f t="shared" ca="1" si="83"/>
        <v>Not Started</v>
      </c>
      <c r="I1306" s="21"/>
    </row>
    <row r="1307" spans="1:9" ht="12.9" customHeight="1" x14ac:dyDescent="0.35">
      <c r="A1307" s="46" t="s">
        <v>265</v>
      </c>
      <c r="B1307" s="46" t="s">
        <v>195</v>
      </c>
      <c r="C1307" s="47" t="str">
        <f>Matrix!CR14</f>
        <v>NS</v>
      </c>
      <c r="D1307" s="48">
        <f>IFERROR(VLOOKUP(B1307,'Renewal Rules'!$A:$B,2,FALSE),"")</f>
        <v>36</v>
      </c>
      <c r="E1307" s="47" t="str">
        <f t="shared" si="80"/>
        <v/>
      </c>
      <c r="F1307" s="48" t="str">
        <f t="shared" ca="1" si="81"/>
        <v/>
      </c>
      <c r="G1307" s="46" t="str">
        <f t="shared" ca="1" si="82"/>
        <v>RED</v>
      </c>
      <c r="H1307" s="46" t="str">
        <f t="shared" ca="1" si="83"/>
        <v>Not Started</v>
      </c>
      <c r="I1307" s="21"/>
    </row>
    <row r="1308" spans="1:9" x14ac:dyDescent="0.35">
      <c r="A1308" s="46" t="s">
        <v>265</v>
      </c>
      <c r="B1308" s="46" t="s">
        <v>196</v>
      </c>
      <c r="C1308" s="47" t="str">
        <f>Matrix!CS14</f>
        <v>NS</v>
      </c>
      <c r="D1308" s="48">
        <f>IFERROR(VLOOKUP(B1308,'Renewal Rules'!$A:$B,2,FALSE),"")</f>
        <v>36</v>
      </c>
      <c r="E1308" s="47" t="str">
        <f t="shared" si="80"/>
        <v/>
      </c>
      <c r="F1308" s="48" t="str">
        <f t="shared" ca="1" si="81"/>
        <v/>
      </c>
      <c r="G1308" s="46" t="str">
        <f t="shared" ca="1" si="82"/>
        <v>RED</v>
      </c>
      <c r="H1308" s="46" t="str">
        <f t="shared" ca="1" si="83"/>
        <v>Not Started</v>
      </c>
      <c r="I1308" s="21"/>
    </row>
    <row r="1309" spans="1:9" x14ac:dyDescent="0.35">
      <c r="A1309" s="46" t="s">
        <v>265</v>
      </c>
      <c r="B1309" s="46" t="s">
        <v>197</v>
      </c>
      <c r="C1309" s="47" t="str">
        <f>Matrix!CT14</f>
        <v>NS</v>
      </c>
      <c r="D1309" s="48">
        <f>IFERROR(VLOOKUP(B1309,'Renewal Rules'!$A:$B,2,FALSE),"")</f>
        <v>12</v>
      </c>
      <c r="E1309" s="47" t="str">
        <f t="shared" si="80"/>
        <v/>
      </c>
      <c r="F1309" s="48" t="str">
        <f t="shared" ca="1" si="81"/>
        <v/>
      </c>
      <c r="G1309" s="46" t="str">
        <f t="shared" ca="1" si="82"/>
        <v>RED</v>
      </c>
      <c r="H1309" s="46" t="str">
        <f t="shared" ca="1" si="83"/>
        <v>Not Started</v>
      </c>
      <c r="I1309" s="21"/>
    </row>
    <row r="1310" spans="1:9" x14ac:dyDescent="0.35">
      <c r="A1310" s="46" t="s">
        <v>265</v>
      </c>
      <c r="B1310" s="46" t="s">
        <v>198</v>
      </c>
      <c r="C1310" s="47" t="str">
        <f>Matrix!CU14</f>
        <v>NS</v>
      </c>
      <c r="D1310" s="48">
        <f>IFERROR(VLOOKUP(B1310,'Renewal Rules'!$A:$B,2,FALSE),"")</f>
        <v>12</v>
      </c>
      <c r="E1310" s="47" t="str">
        <f t="shared" si="80"/>
        <v/>
      </c>
      <c r="F1310" s="48" t="str">
        <f t="shared" ca="1" si="81"/>
        <v/>
      </c>
      <c r="G1310" s="46" t="str">
        <f t="shared" ca="1" si="82"/>
        <v>RED</v>
      </c>
      <c r="H1310" s="46" t="str">
        <f t="shared" ca="1" si="83"/>
        <v>Not Started</v>
      </c>
      <c r="I1310" s="21"/>
    </row>
    <row r="1311" spans="1:9" x14ac:dyDescent="0.35">
      <c r="A1311" s="46" t="s">
        <v>265</v>
      </c>
      <c r="B1311" s="46" t="s">
        <v>199</v>
      </c>
      <c r="C1311" s="47" t="str">
        <f>Matrix!CV14</f>
        <v>NS</v>
      </c>
      <c r="D1311" s="48">
        <f>IFERROR(VLOOKUP(B1311,'Renewal Rules'!$A:$B,2,FALSE),"")</f>
        <v>12</v>
      </c>
      <c r="E1311" s="47" t="str">
        <f t="shared" si="80"/>
        <v/>
      </c>
      <c r="F1311" s="48" t="str">
        <f t="shared" ca="1" si="81"/>
        <v/>
      </c>
      <c r="G1311" s="46" t="str">
        <f t="shared" ca="1" si="82"/>
        <v>RED</v>
      </c>
      <c r="H1311" s="46" t="str">
        <f t="shared" ca="1" si="83"/>
        <v>Not Started</v>
      </c>
      <c r="I1311" s="21"/>
    </row>
    <row r="1312" spans="1:9" ht="12.9" customHeight="1" x14ac:dyDescent="0.35">
      <c r="A1312" s="46" t="s">
        <v>265</v>
      </c>
      <c r="B1312" s="46" t="s">
        <v>200</v>
      </c>
      <c r="C1312" s="47" t="str">
        <f>Matrix!CW14</f>
        <v>NS</v>
      </c>
      <c r="D1312" s="48">
        <f>IFERROR(VLOOKUP(B1312,'Renewal Rules'!$A:$B,2,FALSE),"")</f>
        <v>12</v>
      </c>
      <c r="E1312" s="47" t="str">
        <f t="shared" si="80"/>
        <v/>
      </c>
      <c r="F1312" s="48" t="str">
        <f t="shared" ca="1" si="81"/>
        <v/>
      </c>
      <c r="G1312" s="46" t="str">
        <f t="shared" ca="1" si="82"/>
        <v>RED</v>
      </c>
      <c r="H1312" s="46" t="str">
        <f t="shared" ca="1" si="83"/>
        <v>Not Started</v>
      </c>
      <c r="I1312" s="21"/>
    </row>
    <row r="1313" spans="1:9" x14ac:dyDescent="0.35">
      <c r="A1313" s="46" t="s">
        <v>265</v>
      </c>
      <c r="B1313" s="46" t="s">
        <v>201</v>
      </c>
      <c r="C1313" s="47" t="str">
        <f>Matrix!CX14</f>
        <v>NS</v>
      </c>
      <c r="D1313" s="48">
        <f>IFERROR(VLOOKUP(B1313,'Renewal Rules'!$A:$B,2,FALSE),"")</f>
        <v>12</v>
      </c>
      <c r="E1313" s="47" t="str">
        <f t="shared" si="80"/>
        <v/>
      </c>
      <c r="F1313" s="48" t="str">
        <f t="shared" ca="1" si="81"/>
        <v/>
      </c>
      <c r="G1313" s="46" t="str">
        <f t="shared" ca="1" si="82"/>
        <v>RED</v>
      </c>
      <c r="H1313" s="46" t="str">
        <f t="shared" ca="1" si="83"/>
        <v>Not Started</v>
      </c>
      <c r="I1313" s="21"/>
    </row>
    <row r="1314" spans="1:9" x14ac:dyDescent="0.35">
      <c r="A1314" s="46" t="s">
        <v>265</v>
      </c>
      <c r="B1314" s="46" t="s">
        <v>202</v>
      </c>
      <c r="C1314" s="47" t="str">
        <f>Matrix!CY14</f>
        <v>NS</v>
      </c>
      <c r="D1314" s="48">
        <f>IFERROR(VLOOKUP(B1314,'Renewal Rules'!$A:$B,2,FALSE),"")</f>
        <v>36</v>
      </c>
      <c r="E1314" s="47" t="str">
        <f t="shared" si="80"/>
        <v/>
      </c>
      <c r="F1314" s="48" t="str">
        <f t="shared" ca="1" si="81"/>
        <v/>
      </c>
      <c r="G1314" s="46" t="str">
        <f t="shared" ca="1" si="82"/>
        <v>RED</v>
      </c>
      <c r="H1314" s="46" t="str">
        <f t="shared" ca="1" si="83"/>
        <v>Not Started</v>
      </c>
      <c r="I1314" s="21"/>
    </row>
    <row r="1315" spans="1:9" ht="12.9" customHeight="1" x14ac:dyDescent="0.35">
      <c r="A1315" s="46" t="s">
        <v>265</v>
      </c>
      <c r="B1315" s="46" t="s">
        <v>203</v>
      </c>
      <c r="C1315" s="47" t="str">
        <f>Matrix!CZ14</f>
        <v>NS</v>
      </c>
      <c r="D1315" s="48">
        <f>IFERROR(VLOOKUP(B1315,'Renewal Rules'!$A:$B,2,FALSE),"")</f>
        <v>12</v>
      </c>
      <c r="E1315" s="47" t="str">
        <f t="shared" si="80"/>
        <v/>
      </c>
      <c r="F1315" s="48" t="str">
        <f t="shared" ca="1" si="81"/>
        <v/>
      </c>
      <c r="G1315" s="46" t="str">
        <f t="shared" ca="1" si="82"/>
        <v>RED</v>
      </c>
      <c r="H1315" s="46" t="str">
        <f t="shared" ca="1" si="83"/>
        <v>Not Started</v>
      </c>
      <c r="I1315" s="21"/>
    </row>
    <row r="1316" spans="1:9" x14ac:dyDescent="0.35">
      <c r="A1316" s="46" t="s">
        <v>265</v>
      </c>
      <c r="B1316" s="46" t="s">
        <v>204</v>
      </c>
      <c r="C1316" s="47" t="str">
        <f>Matrix!DA14</f>
        <v>18/02/2026</v>
      </c>
      <c r="D1316" s="48">
        <f>IFERROR(VLOOKUP(B1316,'Renewal Rules'!$A:$B,2,FALSE),"")</f>
        <v>12</v>
      </c>
      <c r="E1316" s="47">
        <f t="shared" si="80"/>
        <v>46436</v>
      </c>
      <c r="F1316" s="48">
        <f t="shared" ca="1" si="81"/>
        <v>233</v>
      </c>
      <c r="G1316" s="46" t="str">
        <f t="shared" ca="1" si="82"/>
        <v>GREEN</v>
      </c>
      <c r="H1316" s="46" t="str">
        <f t="shared" ca="1" si="83"/>
        <v>Current</v>
      </c>
      <c r="I1316" s="21"/>
    </row>
    <row r="1317" spans="1:9" x14ac:dyDescent="0.35">
      <c r="A1317" s="46" t="s">
        <v>265</v>
      </c>
      <c r="B1317" s="46" t="s">
        <v>205</v>
      </c>
      <c r="C1317" s="47" t="str">
        <f>Matrix!DB14</f>
        <v>18/02/2026</v>
      </c>
      <c r="D1317" s="48">
        <f>IFERROR(VLOOKUP(B1317,'Renewal Rules'!$A:$B,2,FALSE),"")</f>
        <v>36</v>
      </c>
      <c r="E1317" s="47">
        <f t="shared" si="80"/>
        <v>47167</v>
      </c>
      <c r="F1317" s="48">
        <f t="shared" ca="1" si="81"/>
        <v>964</v>
      </c>
      <c r="G1317" s="46" t="str">
        <f t="shared" ca="1" si="82"/>
        <v>GREEN</v>
      </c>
      <c r="H1317" s="46" t="str">
        <f t="shared" ca="1" si="83"/>
        <v>Current</v>
      </c>
      <c r="I1317" s="21"/>
    </row>
    <row r="1318" spans="1:9" x14ac:dyDescent="0.35">
      <c r="A1318" s="46" t="s">
        <v>265</v>
      </c>
      <c r="B1318" s="46" t="s">
        <v>94</v>
      </c>
      <c r="C1318" s="47">
        <f>Matrix!DC14</f>
        <v>46010</v>
      </c>
      <c r="D1318" s="48">
        <f>IFERROR(VLOOKUP(B1318,'Renewal Rules'!$A:$B,2,FALSE),"")</f>
        <v>12</v>
      </c>
      <c r="E1318" s="47">
        <f t="shared" si="80"/>
        <v>46375</v>
      </c>
      <c r="F1318" s="48">
        <f t="shared" ca="1" si="81"/>
        <v>172</v>
      </c>
      <c r="G1318" s="46" t="str">
        <f t="shared" ca="1" si="82"/>
        <v>GREEN</v>
      </c>
      <c r="H1318" s="46" t="str">
        <f t="shared" ca="1" si="83"/>
        <v>Current</v>
      </c>
      <c r="I1318" s="21"/>
    </row>
    <row r="1319" spans="1:9" x14ac:dyDescent="0.35">
      <c r="A1319" s="46" t="s">
        <v>265</v>
      </c>
      <c r="B1319" s="46" t="s">
        <v>206</v>
      </c>
      <c r="C1319" s="47" t="str">
        <f>Matrix!DD14</f>
        <v>17/02/2026</v>
      </c>
      <c r="D1319" s="48">
        <f>IFERROR(VLOOKUP(B1319,'Renewal Rules'!$A:$B,2,FALSE),"")</f>
        <v>36</v>
      </c>
      <c r="E1319" s="47">
        <f t="shared" si="80"/>
        <v>47166</v>
      </c>
      <c r="F1319" s="48">
        <f t="shared" ca="1" si="81"/>
        <v>963</v>
      </c>
      <c r="G1319" s="46" t="str">
        <f t="shared" ca="1" si="82"/>
        <v>GREEN</v>
      </c>
      <c r="H1319" s="46" t="str">
        <f t="shared" ca="1" si="83"/>
        <v>Current</v>
      </c>
      <c r="I1319" s="21"/>
    </row>
    <row r="1320" spans="1:9" x14ac:dyDescent="0.35">
      <c r="A1320" s="46" t="s">
        <v>265</v>
      </c>
      <c r="B1320" s="46" t="s">
        <v>207</v>
      </c>
      <c r="C1320" s="47" t="str">
        <f>Matrix!DE14</f>
        <v>18/02/2026</v>
      </c>
      <c r="D1320" s="48">
        <f>IFERROR(VLOOKUP(B1320,'Renewal Rules'!$A:$B,2,FALSE),"")</f>
        <v>36</v>
      </c>
      <c r="E1320" s="47">
        <f t="shared" si="80"/>
        <v>47167</v>
      </c>
      <c r="F1320" s="48">
        <f t="shared" ca="1" si="81"/>
        <v>964</v>
      </c>
      <c r="G1320" s="46" t="str">
        <f t="shared" ca="1" si="82"/>
        <v>GREEN</v>
      </c>
      <c r="H1320" s="46" t="str">
        <f t="shared" ca="1" si="83"/>
        <v>Current</v>
      </c>
      <c r="I1320" s="21"/>
    </row>
    <row r="1321" spans="1:9" x14ac:dyDescent="0.35">
      <c r="A1321" s="46" t="s">
        <v>265</v>
      </c>
      <c r="B1321" s="46" t="s">
        <v>208</v>
      </c>
      <c r="C1321" s="47" t="str">
        <f>Matrix!DF14</f>
        <v>NS</v>
      </c>
      <c r="D1321" s="48">
        <f>IFERROR(VLOOKUP(B1321,'Renewal Rules'!$A:$B,2,FALSE),"")</f>
        <v>36</v>
      </c>
      <c r="E1321" s="47" t="str">
        <f t="shared" si="80"/>
        <v/>
      </c>
      <c r="F1321" s="48" t="str">
        <f t="shared" ca="1" si="81"/>
        <v/>
      </c>
      <c r="G1321" s="46" t="str">
        <f t="shared" ca="1" si="82"/>
        <v>RED</v>
      </c>
      <c r="H1321" s="46" t="str">
        <f t="shared" ca="1" si="83"/>
        <v>Not Started</v>
      </c>
      <c r="I1321" s="21"/>
    </row>
    <row r="1322" spans="1:9" x14ac:dyDescent="0.35">
      <c r="A1322" s="46" t="s">
        <v>265</v>
      </c>
      <c r="B1322" s="46" t="s">
        <v>104</v>
      </c>
      <c r="C1322" s="47" t="str">
        <f>Matrix!DG14</f>
        <v>NS</v>
      </c>
      <c r="D1322" s="48">
        <f>IFERROR(VLOOKUP(B1322,'Renewal Rules'!$A:$B,2,FALSE),"")</f>
        <v>12</v>
      </c>
      <c r="E1322" s="47" t="str">
        <f t="shared" si="80"/>
        <v/>
      </c>
      <c r="F1322" s="48" t="str">
        <f t="shared" ca="1" si="81"/>
        <v/>
      </c>
      <c r="G1322" s="46" t="str">
        <f t="shared" ca="1" si="82"/>
        <v>RED</v>
      </c>
      <c r="H1322" s="46" t="str">
        <f t="shared" ca="1" si="83"/>
        <v>Not Started</v>
      </c>
      <c r="I1322" s="21"/>
    </row>
  </sheetData>
  <mergeCells count="1">
    <mergeCell ref="A1:I1"/>
  </mergeCells>
  <conditionalFormatting sqref="G3:G1322">
    <cfRule type="expression" dxfId="424" priority="1">
      <formula>G3="GREEN"</formula>
    </cfRule>
    <cfRule type="expression" dxfId="423" priority="2">
      <formula>G3="AMBER"</formula>
    </cfRule>
    <cfRule type="expression" dxfId="422" priority="3">
      <formula>G3="RED"</formula>
    </cfRule>
  </conditionalFormatting>
  <conditionalFormatting sqref="H3:H1322">
    <cfRule type="expression" dxfId="421" priority="4">
      <formula>OR(H3="Expired",H3="Not Started")</formula>
    </cfRule>
    <cfRule type="expression" dxfId="420" priority="5">
      <formula>OR(H3="Expiring Soon",H3="In Progress")</formula>
    </cfRule>
    <cfRule type="expression" dxfId="419" priority="6">
      <formula>H3="Current"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60"/>
  <sheetViews>
    <sheetView showGridLines="0" workbookViewId="0"/>
  </sheetViews>
  <sheetFormatPr defaultRowHeight="14.5" x14ac:dyDescent="0.35"/>
  <cols>
    <col min="1" max="1" width="24" customWidth="1"/>
    <col min="2" max="2" width="18" customWidth="1"/>
    <col min="3" max="3" width="20" customWidth="1"/>
    <col min="4" max="6" width="18" customWidth="1"/>
    <col min="7" max="7" width="20" customWidth="1"/>
    <col min="8" max="11" width="18" customWidth="1"/>
  </cols>
  <sheetData>
    <row r="1" spans="1:11" ht="34" customHeight="1" x14ac:dyDescent="0.35">
      <c r="A1" s="139" t="s">
        <v>298</v>
      </c>
      <c r="B1" s="137"/>
      <c r="C1" s="137"/>
      <c r="D1" s="137"/>
      <c r="E1" s="137"/>
      <c r="F1" s="137"/>
      <c r="G1" s="137"/>
      <c r="H1" s="137"/>
      <c r="I1" s="137"/>
      <c r="J1" s="137"/>
      <c r="K1" s="138"/>
    </row>
    <row r="2" spans="1:11" ht="22" customHeight="1" x14ac:dyDescent="0.3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1" ht="22" customHeight="1" x14ac:dyDescent="0.35">
      <c r="A3" s="71" t="s">
        <v>299</v>
      </c>
      <c r="B3" s="71" t="s">
        <v>300</v>
      </c>
      <c r="C3" s="50"/>
      <c r="D3" s="50"/>
      <c r="E3" s="50"/>
      <c r="F3" s="50"/>
      <c r="G3" s="50"/>
      <c r="H3" s="50"/>
      <c r="I3" s="50"/>
      <c r="J3" s="50"/>
      <c r="K3" s="50"/>
    </row>
    <row r="4" spans="1:11" ht="22" customHeight="1" x14ac:dyDescent="0.35">
      <c r="A4" s="52" t="s">
        <v>301</v>
      </c>
      <c r="B4" s="52">
        <f ca="1">COUNTIF('Training Due &amp; RAG'!$G$3:$G$1322,"GREEN")</f>
        <v>335</v>
      </c>
      <c r="C4" s="54"/>
      <c r="D4" s="54"/>
      <c r="E4" s="54"/>
      <c r="F4" s="54"/>
      <c r="G4" s="54"/>
      <c r="H4" s="54"/>
      <c r="I4" s="54"/>
      <c r="J4" s="54"/>
      <c r="K4" s="54"/>
    </row>
    <row r="5" spans="1:11" ht="22" customHeight="1" x14ac:dyDescent="0.35">
      <c r="A5" s="55" t="s">
        <v>302</v>
      </c>
      <c r="B5" s="72">
        <f ca="1">COUNTIF('Training Due &amp; RAG'!$G$3:$G$1322,"AMBER")</f>
        <v>3</v>
      </c>
      <c r="C5" s="50"/>
      <c r="D5" s="50"/>
      <c r="E5" s="50"/>
      <c r="F5" s="50"/>
      <c r="G5" s="50"/>
      <c r="H5" s="50"/>
      <c r="I5" s="50"/>
      <c r="J5" s="50"/>
      <c r="K5" s="50"/>
    </row>
    <row r="6" spans="1:11" ht="22" customHeight="1" x14ac:dyDescent="0.35">
      <c r="A6" s="52" t="s">
        <v>303</v>
      </c>
      <c r="B6" s="52">
        <f ca="1">COUNTIF('Training Due &amp; RAG'!$G$3:$G$1322,"RED")</f>
        <v>982</v>
      </c>
      <c r="C6" s="54"/>
      <c r="D6" s="54"/>
      <c r="E6" s="54"/>
      <c r="F6" s="54"/>
      <c r="G6" s="54"/>
      <c r="H6" s="54"/>
      <c r="I6" s="54"/>
      <c r="J6" s="54"/>
      <c r="K6" s="54"/>
    </row>
    <row r="7" spans="1:11" ht="22" customHeight="1" x14ac:dyDescent="0.35">
      <c r="A7" s="55" t="s">
        <v>33</v>
      </c>
      <c r="B7" s="55">
        <f ca="1">COUNTIF('Training Due &amp; RAG'!$H$3:$H$1322,"In Progress")</f>
        <v>3</v>
      </c>
      <c r="C7" s="50"/>
      <c r="D7" s="50"/>
      <c r="E7" s="50"/>
      <c r="F7" s="50"/>
      <c r="G7" s="50"/>
      <c r="H7" s="50"/>
      <c r="I7" s="50"/>
      <c r="J7" s="50"/>
      <c r="K7" s="50"/>
    </row>
    <row r="8" spans="1:11" ht="22" customHeight="1" x14ac:dyDescent="0.35">
      <c r="A8" s="55" t="s">
        <v>304</v>
      </c>
      <c r="B8" s="57">
        <f ca="1">IFERROR(B4/(B4+B5+B6),0)</f>
        <v>0.25378787878787878</v>
      </c>
      <c r="C8" s="50"/>
      <c r="D8" s="50"/>
      <c r="E8" s="50"/>
      <c r="F8" s="50"/>
      <c r="G8" s="50"/>
      <c r="H8" s="50"/>
      <c r="I8" s="50"/>
      <c r="J8" s="50"/>
      <c r="K8" s="50"/>
    </row>
    <row r="9" spans="1:11" ht="22" customHeight="1" x14ac:dyDescent="0.35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</row>
    <row r="10" spans="1:11" ht="22" customHeight="1" x14ac:dyDescent="0.35">
      <c r="A10" s="71" t="s">
        <v>31</v>
      </c>
      <c r="B10" s="71" t="s">
        <v>305</v>
      </c>
      <c r="C10" s="71" t="s">
        <v>306</v>
      </c>
      <c r="D10" s="71" t="s">
        <v>307</v>
      </c>
      <c r="E10" s="71" t="s">
        <v>5</v>
      </c>
      <c r="F10" s="50"/>
      <c r="G10" s="50"/>
      <c r="H10" s="50"/>
      <c r="I10" s="50"/>
      <c r="J10" s="50"/>
      <c r="K10" s="50"/>
    </row>
    <row r="11" spans="1:11" ht="22" customHeight="1" x14ac:dyDescent="0.35">
      <c r="A11" s="55" t="s">
        <v>211</v>
      </c>
      <c r="B11" s="55">
        <f ca="1">COUNTIFS('Training Due &amp; RAG'!$A:$A,A11,'Training Due &amp; RAG'!$G:$G,"GREEN")</f>
        <v>30</v>
      </c>
      <c r="C11" s="55">
        <f ca="1">COUNTIFS('Training Due &amp; RAG'!$A:$A,A11,'Training Due &amp; RAG'!$G:$G,"AMBER")</f>
        <v>0</v>
      </c>
      <c r="D11" s="55">
        <f ca="1">COUNTIFS('Training Due &amp; RAG'!$A:$A,A11,'Training Due &amp; RAG'!$G:$G,"RED")</f>
        <v>80</v>
      </c>
      <c r="E11" s="57">
        <f t="shared" ref="E11:E22" ca="1" si="0">IFERROR(B11/(B11+C11+D11),0)</f>
        <v>0.27272727272727271</v>
      </c>
      <c r="F11" s="50"/>
      <c r="G11" s="50"/>
      <c r="H11" s="50"/>
      <c r="I11" s="50"/>
      <c r="J11" s="50"/>
      <c r="K11" s="50"/>
    </row>
    <row r="12" spans="1:11" ht="22" customHeight="1" x14ac:dyDescent="0.35">
      <c r="A12" s="52" t="s">
        <v>216</v>
      </c>
      <c r="B12" s="52">
        <f ca="1">COUNTIFS('Training Due &amp; RAG'!$A:$A,A12,'Training Due &amp; RAG'!$G:$G,"GREEN")</f>
        <v>19</v>
      </c>
      <c r="C12" s="52">
        <f ca="1">COUNTIFS('Training Due &amp; RAG'!$A:$A,A12,'Training Due &amp; RAG'!$G:$G,"AMBER")</f>
        <v>1</v>
      </c>
      <c r="D12" s="52">
        <f ca="1">COUNTIFS('Training Due &amp; RAG'!$A:$A,A12,'Training Due &amp; RAG'!$G:$G,"RED")</f>
        <v>90</v>
      </c>
      <c r="E12" s="58">
        <f t="shared" ca="1" si="0"/>
        <v>0.17272727272727273</v>
      </c>
      <c r="F12" s="54"/>
      <c r="G12" s="54"/>
      <c r="H12" s="54"/>
      <c r="I12" s="54"/>
      <c r="J12" s="54"/>
      <c r="K12" s="54"/>
    </row>
    <row r="13" spans="1:11" ht="22" customHeight="1" x14ac:dyDescent="0.35">
      <c r="A13" s="55" t="s">
        <v>218</v>
      </c>
      <c r="B13" s="55">
        <f ca="1">COUNTIFS('Training Due &amp; RAG'!$A:$A,A13,'Training Due &amp; RAG'!$G:$G,"GREEN")</f>
        <v>44</v>
      </c>
      <c r="C13" s="55">
        <f ca="1">COUNTIFS('Training Due &amp; RAG'!$A:$A,A13,'Training Due &amp; RAG'!$G:$G,"AMBER")</f>
        <v>0</v>
      </c>
      <c r="D13" s="55">
        <f ca="1">COUNTIFS('Training Due &amp; RAG'!$A:$A,A13,'Training Due &amp; RAG'!$G:$G,"RED")</f>
        <v>66</v>
      </c>
      <c r="E13" s="57">
        <f t="shared" ca="1" si="0"/>
        <v>0.4</v>
      </c>
      <c r="F13" s="50"/>
      <c r="G13" s="50"/>
      <c r="H13" s="50"/>
      <c r="I13" s="50"/>
      <c r="J13" s="50"/>
      <c r="K13" s="50"/>
    </row>
    <row r="14" spans="1:11" ht="22" customHeight="1" x14ac:dyDescent="0.35">
      <c r="A14" s="55" t="s">
        <v>221</v>
      </c>
      <c r="B14" s="55">
        <f ca="1">COUNTIFS('Training Due &amp; RAG'!$A:$A,A14,'Training Due &amp; RAG'!$G:$G,"GREEN")</f>
        <v>34</v>
      </c>
      <c r="C14" s="55">
        <f ca="1">COUNTIFS('Training Due &amp; RAG'!$A:$A,A14,'Training Due &amp; RAG'!$G:$G,"AMBER")</f>
        <v>0</v>
      </c>
      <c r="D14" s="55">
        <f ca="1">COUNTIFS('Training Due &amp; RAG'!$A:$A,A14,'Training Due &amp; RAG'!$G:$G,"RED")</f>
        <v>76</v>
      </c>
      <c r="E14" s="57">
        <f t="shared" ca="1" si="0"/>
        <v>0.30909090909090908</v>
      </c>
      <c r="F14" s="50"/>
      <c r="G14" s="50"/>
      <c r="H14" s="50"/>
      <c r="I14" s="50"/>
      <c r="J14" s="50"/>
      <c r="K14" s="50"/>
    </row>
    <row r="15" spans="1:11" ht="22" customHeight="1" x14ac:dyDescent="0.35">
      <c r="A15" s="55" t="s">
        <v>224</v>
      </c>
      <c r="B15" s="55">
        <f ca="1">COUNTIFS('Training Due &amp; RAG'!$A:$A,A15,'Training Due &amp; RAG'!$G:$G,"GREEN")</f>
        <v>19</v>
      </c>
      <c r="C15" s="55">
        <f ca="1">COUNTIFS('Training Due &amp; RAG'!$A:$A,A15,'Training Due &amp; RAG'!$G:$G,"AMBER")</f>
        <v>0</v>
      </c>
      <c r="D15" s="55">
        <f ca="1">COUNTIFS('Training Due &amp; RAG'!$A:$A,A15,'Training Due &amp; RAG'!$G:$G,"RED")</f>
        <v>91</v>
      </c>
      <c r="E15" s="57">
        <f t="shared" ca="1" si="0"/>
        <v>0.17272727272727273</v>
      </c>
      <c r="F15" s="50"/>
      <c r="G15" s="50"/>
      <c r="H15" s="50"/>
      <c r="I15" s="50"/>
      <c r="J15" s="50"/>
      <c r="K15" s="50"/>
    </row>
    <row r="16" spans="1:11" ht="22" customHeight="1" x14ac:dyDescent="0.35">
      <c r="A16" s="55" t="s">
        <v>232</v>
      </c>
      <c r="B16" s="55">
        <f ca="1">COUNTIFS('Training Due &amp; RAG'!$A:$A,A16,'Training Due &amp; RAG'!$G:$G,"GREEN")</f>
        <v>27</v>
      </c>
      <c r="C16" s="55">
        <f ca="1">COUNTIFS('Training Due &amp; RAG'!$A:$A,A16,'Training Due &amp; RAG'!$G:$G,"AMBER")</f>
        <v>0</v>
      </c>
      <c r="D16" s="55">
        <f ca="1">COUNTIFS('Training Due &amp; RAG'!$A:$A,A16,'Training Due &amp; RAG'!$G:$G,"RED")</f>
        <v>83</v>
      </c>
      <c r="E16" s="57">
        <f t="shared" ca="1" si="0"/>
        <v>0.24545454545454545</v>
      </c>
      <c r="F16" s="50"/>
      <c r="G16" s="50"/>
      <c r="H16" s="50"/>
      <c r="I16" s="50"/>
      <c r="J16" s="50"/>
      <c r="K16" s="50"/>
    </row>
    <row r="17" spans="1:11" ht="22" customHeight="1" x14ac:dyDescent="0.35">
      <c r="A17" s="55" t="s">
        <v>235</v>
      </c>
      <c r="B17" s="55">
        <f ca="1">COUNTIFS('Training Due &amp; RAG'!$A:$A,A17,'Training Due &amp; RAG'!$G:$G,"GREEN")</f>
        <v>42</v>
      </c>
      <c r="C17" s="55">
        <f ca="1">COUNTIFS('Training Due &amp; RAG'!$A:$A,A17,'Training Due &amp; RAG'!$G:$G,"AMBER")</f>
        <v>0</v>
      </c>
      <c r="D17" s="55">
        <f ca="1">COUNTIFS('Training Due &amp; RAG'!$A:$A,A17,'Training Due &amp; RAG'!$G:$G,"RED")</f>
        <v>68</v>
      </c>
      <c r="E17" s="57">
        <f t="shared" ca="1" si="0"/>
        <v>0.38181818181818183</v>
      </c>
      <c r="F17" s="50"/>
      <c r="G17" s="50"/>
      <c r="H17" s="50"/>
      <c r="I17" s="50"/>
      <c r="J17" s="50"/>
      <c r="K17" s="50"/>
    </row>
    <row r="18" spans="1:11" ht="22" customHeight="1" x14ac:dyDescent="0.35">
      <c r="A18" s="52" t="s">
        <v>241</v>
      </c>
      <c r="B18" s="52">
        <f ca="1">COUNTIFS('Training Due &amp; RAG'!$A:$A,A18,'Training Due &amp; RAG'!$G:$G,"GREEN")</f>
        <v>11</v>
      </c>
      <c r="C18" s="52">
        <f ca="1">COUNTIFS('Training Due &amp; RAG'!$A:$A,A18,'Training Due &amp; RAG'!$G:$G,"AMBER")</f>
        <v>2</v>
      </c>
      <c r="D18" s="52">
        <f ca="1">COUNTIFS('Training Due &amp; RAG'!$A:$A,A18,'Training Due &amp; RAG'!$G:$G,"RED")</f>
        <v>97</v>
      </c>
      <c r="E18" s="58">
        <f t="shared" ca="1" si="0"/>
        <v>0.1</v>
      </c>
      <c r="F18" s="54"/>
      <c r="G18" s="54"/>
      <c r="H18" s="54"/>
      <c r="I18" s="54"/>
      <c r="J18" s="54"/>
      <c r="K18" s="54"/>
    </row>
    <row r="19" spans="1:11" ht="22" customHeight="1" x14ac:dyDescent="0.35">
      <c r="A19" s="52" t="s">
        <v>244</v>
      </c>
      <c r="B19" s="52">
        <f ca="1">COUNTIFS('Training Due &amp; RAG'!$A:$A,A19,'Training Due &amp; RAG'!$G:$G,"GREEN")</f>
        <v>43</v>
      </c>
      <c r="C19" s="52">
        <f ca="1">COUNTIFS('Training Due &amp; RAG'!$A:$A,A19,'Training Due &amp; RAG'!$G:$G,"AMBER")</f>
        <v>0</v>
      </c>
      <c r="D19" s="52">
        <f ca="1">COUNTIFS('Training Due &amp; RAG'!$A:$A,A19,'Training Due &amp; RAG'!$G:$G,"RED")</f>
        <v>67</v>
      </c>
      <c r="E19" s="58">
        <f t="shared" ca="1" si="0"/>
        <v>0.39090909090909093</v>
      </c>
      <c r="F19" s="54"/>
      <c r="G19" s="54"/>
      <c r="H19" s="54"/>
      <c r="I19" s="54"/>
      <c r="J19" s="54"/>
      <c r="K19" s="54"/>
    </row>
    <row r="20" spans="1:11" ht="22" customHeight="1" x14ac:dyDescent="0.35">
      <c r="A20" s="55" t="s">
        <v>250</v>
      </c>
      <c r="B20" s="55">
        <f ca="1">COUNTIFS('Training Due &amp; RAG'!$A:$A,A20,'Training Due &amp; RAG'!$G:$G,"GREEN")</f>
        <v>22</v>
      </c>
      <c r="C20" s="55">
        <f ca="1">COUNTIFS('Training Due &amp; RAG'!$A:$A,A20,'Training Due &amp; RAG'!$G:$G,"AMBER")</f>
        <v>0</v>
      </c>
      <c r="D20" s="55">
        <f ca="1">COUNTIFS('Training Due &amp; RAG'!$A:$A,A20,'Training Due &amp; RAG'!$G:$G,"RED")</f>
        <v>88</v>
      </c>
      <c r="E20" s="57">
        <f t="shared" ca="1" si="0"/>
        <v>0.2</v>
      </c>
      <c r="F20" s="50"/>
      <c r="G20" s="50"/>
      <c r="H20" s="50"/>
      <c r="I20" s="50"/>
      <c r="J20" s="50"/>
      <c r="K20" s="50"/>
    </row>
    <row r="21" spans="1:11" ht="22" customHeight="1" x14ac:dyDescent="0.35">
      <c r="A21" s="55" t="s">
        <v>99</v>
      </c>
      <c r="B21" s="55">
        <f ca="1">COUNTIFS('Training Due &amp; RAG'!$A:$A,A21,'Training Due &amp; RAG'!$G:$G,"GREEN")</f>
        <v>21</v>
      </c>
      <c r="C21" s="55">
        <f ca="1">COUNTIFS('Training Due &amp; RAG'!$A:$A,A21,'Training Due &amp; RAG'!$G:$G,"AMBER")</f>
        <v>0</v>
      </c>
      <c r="D21" s="55">
        <f ca="1">COUNTIFS('Training Due &amp; RAG'!$A:$A,A21,'Training Due &amp; RAG'!$G:$G,"RED")</f>
        <v>89</v>
      </c>
      <c r="E21" s="57">
        <f t="shared" ca="1" si="0"/>
        <v>0.19090909090909092</v>
      </c>
      <c r="F21" s="50"/>
      <c r="G21" s="50"/>
      <c r="H21" s="50"/>
      <c r="I21" s="50"/>
      <c r="J21" s="50"/>
      <c r="K21" s="50"/>
    </row>
    <row r="22" spans="1:11" ht="22" customHeight="1" x14ac:dyDescent="0.35">
      <c r="A22" s="55" t="s">
        <v>265</v>
      </c>
      <c r="B22" s="55">
        <f ca="1">COUNTIFS('Training Due &amp; RAG'!$A:$A,A22,'Training Due &amp; RAG'!$G:$G,"GREEN")</f>
        <v>23</v>
      </c>
      <c r="C22" s="55">
        <f ca="1">COUNTIFS('Training Due &amp; RAG'!$A:$A,A22,'Training Due &amp; RAG'!$G:$G,"AMBER")</f>
        <v>0</v>
      </c>
      <c r="D22" s="55">
        <f ca="1">COUNTIFS('Training Due &amp; RAG'!$A:$A,A22,'Training Due &amp; RAG'!$G:$G,"RED")</f>
        <v>87</v>
      </c>
      <c r="E22" s="57">
        <f t="shared" ca="1" si="0"/>
        <v>0.20909090909090908</v>
      </c>
      <c r="F22" s="50"/>
      <c r="G22" s="50"/>
      <c r="H22" s="50"/>
      <c r="I22" s="50"/>
      <c r="J22" s="50"/>
      <c r="K22" s="50"/>
    </row>
    <row r="23" spans="1:11" ht="22" customHeight="1" x14ac:dyDescent="0.35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</row>
    <row r="24" spans="1:11" ht="22" customHeight="1" x14ac:dyDescent="0.35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</row>
    <row r="25" spans="1:11" ht="22" customHeight="1" x14ac:dyDescent="0.35">
      <c r="A25" s="148" t="s">
        <v>308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1"/>
    </row>
    <row r="26" spans="1:11" ht="22" customHeight="1" x14ac:dyDescent="0.35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1"/>
    </row>
    <row r="27" spans="1:11" ht="22" customHeight="1" x14ac:dyDescent="0.35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1"/>
    </row>
    <row r="28" spans="1:11" ht="22" customHeight="1" x14ac:dyDescent="0.35">
      <c r="A28" s="142"/>
      <c r="B28" s="143"/>
      <c r="C28" s="143"/>
      <c r="D28" s="143"/>
      <c r="E28" s="143"/>
      <c r="F28" s="143"/>
      <c r="G28" s="143"/>
      <c r="H28" s="143"/>
      <c r="I28" s="143"/>
      <c r="J28" s="143"/>
      <c r="K28" s="144"/>
    </row>
    <row r="29" spans="1:11" ht="22" customHeight="1" x14ac:dyDescent="0.35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</row>
    <row r="30" spans="1:11" ht="22" customHeight="1" x14ac:dyDescent="0.35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spans="1:11" ht="22" customHeight="1" x14ac:dyDescent="0.3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</row>
    <row r="32" spans="1:11" ht="22" customHeight="1" x14ac:dyDescent="0.3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</row>
    <row r="33" spans="1:11" ht="22" customHeight="1" x14ac:dyDescent="0.3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</row>
    <row r="34" spans="1:11" ht="22" customHeight="1" x14ac:dyDescent="0.35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</row>
    <row r="35" spans="1:11" ht="22" customHeight="1" x14ac:dyDescent="0.3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</row>
    <row r="36" spans="1:11" ht="22" customHeight="1" x14ac:dyDescent="0.35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</row>
    <row r="37" spans="1:11" ht="22" customHeight="1" x14ac:dyDescent="0.35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</row>
    <row r="38" spans="1:11" ht="22" customHeight="1" x14ac:dyDescent="0.35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</row>
    <row r="39" spans="1:11" ht="22" customHeight="1" x14ac:dyDescent="0.35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spans="1:11" ht="22" customHeight="1" x14ac:dyDescent="0.35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</row>
    <row r="41" spans="1:11" ht="22" customHeight="1" x14ac:dyDescent="0.35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</row>
    <row r="42" spans="1:11" ht="22" customHeight="1" x14ac:dyDescent="0.3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</row>
    <row r="43" spans="1:11" ht="22" customHeight="1" x14ac:dyDescent="0.3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</row>
    <row r="44" spans="1:11" ht="22" customHeight="1" x14ac:dyDescent="0.35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</row>
    <row r="45" spans="1:11" ht="22" customHeight="1" x14ac:dyDescent="0.3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</row>
    <row r="46" spans="1:11" ht="22" customHeight="1" x14ac:dyDescent="0.35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</row>
    <row r="47" spans="1:11" ht="22" customHeight="1" x14ac:dyDescent="0.35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</row>
    <row r="48" spans="1:11" ht="22" customHeight="1" x14ac:dyDescent="0.35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</row>
    <row r="49" spans="1:11" ht="22" customHeight="1" x14ac:dyDescent="0.3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spans="1:11" ht="22" customHeight="1" x14ac:dyDescent="0.35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</row>
    <row r="51" spans="1:11" ht="22" customHeight="1" x14ac:dyDescent="0.35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</row>
    <row r="52" spans="1:11" ht="22" customHeight="1" x14ac:dyDescent="0.3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</row>
    <row r="53" spans="1:11" ht="22" customHeight="1" x14ac:dyDescent="0.3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</row>
    <row r="54" spans="1:11" ht="22" customHeight="1" x14ac:dyDescent="0.3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</row>
    <row r="55" spans="1:11" ht="22" customHeight="1" x14ac:dyDescent="0.3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</row>
    <row r="56" spans="1:11" ht="22" customHeight="1" x14ac:dyDescent="0.35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spans="1:11" ht="22" customHeight="1" x14ac:dyDescent="0.35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</row>
    <row r="58" spans="1:11" ht="22" customHeight="1" x14ac:dyDescent="0.35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</row>
    <row r="59" spans="1:11" ht="22" customHeight="1" x14ac:dyDescent="0.35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</row>
    <row r="60" spans="1:11" ht="22" customHeight="1" x14ac:dyDescent="0.35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</row>
  </sheetData>
  <mergeCells count="2">
    <mergeCell ref="A1:K1"/>
    <mergeCell ref="A25:K28"/>
  </mergeCells>
  <conditionalFormatting sqref="E11:E22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124"/>
  <sheetViews>
    <sheetView workbookViewId="0"/>
  </sheetViews>
  <sheetFormatPr defaultRowHeight="14.5" x14ac:dyDescent="0.35"/>
  <cols>
    <col min="1" max="1" width="22" customWidth="1"/>
    <col min="2" max="17" width="16" customWidth="1"/>
    <col min="18" max="18" width="30" customWidth="1"/>
    <col min="19" max="21" width="16" customWidth="1"/>
    <col min="22" max="22" width="30" customWidth="1"/>
    <col min="23" max="32" width="22" customWidth="1"/>
    <col min="33" max="33" width="30" customWidth="1"/>
  </cols>
  <sheetData>
    <row r="1" spans="1:33" ht="29" x14ac:dyDescent="0.35">
      <c r="A1" s="152" t="s">
        <v>309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07" t="s">
        <v>310</v>
      </c>
      <c r="X1" s="107" t="s">
        <v>311</v>
      </c>
      <c r="Y1" s="107" t="s">
        <v>312</v>
      </c>
      <c r="Z1" s="107" t="s">
        <v>313</v>
      </c>
      <c r="AA1" s="107" t="s">
        <v>314</v>
      </c>
      <c r="AB1" s="107" t="s">
        <v>315</v>
      </c>
      <c r="AC1" s="107" t="s">
        <v>316</v>
      </c>
      <c r="AD1" s="107" t="s">
        <v>317</v>
      </c>
      <c r="AE1" s="107" t="s">
        <v>318</v>
      </c>
      <c r="AF1" s="107" t="s">
        <v>319</v>
      </c>
      <c r="AG1" s="107" t="s">
        <v>320</v>
      </c>
    </row>
    <row r="2" spans="1:33" ht="32.25" customHeight="1" x14ac:dyDescent="0.35">
      <c r="A2" s="21" t="s">
        <v>321</v>
      </c>
    </row>
    <row r="4" spans="1:33" ht="12.9" customHeight="1" x14ac:dyDescent="0.35">
      <c r="A4" s="24" t="s">
        <v>31</v>
      </c>
      <c r="B4" s="24" t="s">
        <v>322</v>
      </c>
      <c r="C4" s="24" t="s">
        <v>323</v>
      </c>
      <c r="D4" s="24" t="s">
        <v>50</v>
      </c>
      <c r="E4" s="24" t="s">
        <v>324</v>
      </c>
      <c r="F4" s="24" t="s">
        <v>52</v>
      </c>
      <c r="G4" s="24" t="s">
        <v>325</v>
      </c>
      <c r="H4" s="24" t="s">
        <v>326</v>
      </c>
      <c r="I4" s="24" t="s">
        <v>327</v>
      </c>
      <c r="J4" s="24" t="s">
        <v>328</v>
      </c>
      <c r="K4" s="24" t="s">
        <v>329</v>
      </c>
      <c r="L4" s="24" t="s">
        <v>330</v>
      </c>
      <c r="M4" s="24" t="s">
        <v>46</v>
      </c>
      <c r="N4" s="24" t="s">
        <v>331</v>
      </c>
      <c r="O4" s="24" t="s">
        <v>332</v>
      </c>
      <c r="P4" s="24" t="s">
        <v>333</v>
      </c>
      <c r="Q4" s="24" t="s">
        <v>334</v>
      </c>
      <c r="R4" s="24" t="s">
        <v>335</v>
      </c>
      <c r="S4" s="24" t="s">
        <v>336</v>
      </c>
      <c r="T4" s="24" t="s">
        <v>337</v>
      </c>
      <c r="U4" s="24" t="s">
        <v>6</v>
      </c>
      <c r="V4" s="24" t="s">
        <v>338</v>
      </c>
    </row>
    <row r="5" spans="1:33" x14ac:dyDescent="0.35">
      <c r="A5" s="25" t="str">
        <f>IF('Induction Employee Register'!B4="","",'Induction Employee Register'!B4)</f>
        <v/>
      </c>
      <c r="B5" s="25" t="str">
        <f>IF('Induction Employee Register'!C4="","",'Induction Employee Register'!C4)</f>
        <v/>
      </c>
      <c r="C5" s="26" t="str">
        <f>IF('Induction Employee Register'!D4="","",'Induction Employee Register'!D4)</f>
        <v/>
      </c>
      <c r="D5" s="25">
        <f>IFERROR(INDEX('SW001'!$C$20:$C$45,MATCH("DBS",'SW001'!$A$20:$A$45,0)),"")</f>
        <v>0</v>
      </c>
      <c r="E5" s="26" t="str">
        <f>""</f>
        <v/>
      </c>
      <c r="F5" s="25">
        <f>IFERROR(INDEX('SW001'!$C$20:$C$45,MATCH("Right to Work",'SW001'!$A$20:$A$45,0)),"")</f>
        <v>0</v>
      </c>
      <c r="G5" s="25">
        <f>IFERROR(INDEX('SW001'!$C$20:$C$45,MATCH("Proof of address 1",'SW001'!$A$20:$A$45,0)),"")</f>
        <v>0</v>
      </c>
      <c r="H5" s="25">
        <f>IFERROR(INDEX('SW001'!$C$20:$C$45,MATCH("Two references",'SW001'!$A$20:$A$45,0)),"")</f>
        <v>0</v>
      </c>
      <c r="I5" s="25">
        <f>IFERROR(INDEX('SW001'!$C$20:$C$45,MATCH("Application form",'SW001'!$A$20:$A$45,0)),"")</f>
        <v>0</v>
      </c>
      <c r="J5" s="25">
        <f>IFERROR(INDEX('SW001'!$C$20:$C$45,MATCH("Interview notes",'SW001'!$A$20:$A$45,0)),"")</f>
        <v>0</v>
      </c>
      <c r="K5" s="25">
        <f>IFERROR(INDEX('SW001'!$C$20:$C$45,MATCH("Contract",'SW001'!$A$20:$A$45,0)),"")</f>
        <v>0</v>
      </c>
      <c r="L5" s="25">
        <f>IFERROR(INDEX('SW001'!$C$20:$C$45,MATCH("Job description",'SW001'!$A$20:$A$45,0)),"")</f>
        <v>0</v>
      </c>
      <c r="M5" s="25" t="str">
        <f>IF('Induction Employee Register'!I4&gt;=0.9,"Green",IF('Induction Employee Register'!I4&gt;=0.75,"Amber",IF('Induction Employee Register'!I4&gt;0,"Red","")))</f>
        <v/>
      </c>
      <c r="N5" s="25" t="str">
        <f>""</f>
        <v/>
      </c>
      <c r="O5" s="25">
        <f>IFERROR(INDEX('SW001'!$C$20:$C$45,MATCH("Occupational health/fitness declaration",'SW001'!$A$20:$A$45,0)),"")</f>
        <v>0</v>
      </c>
      <c r="P5" s="25"/>
      <c r="Q5" s="25" t="str">
        <f t="shared" ref="Q5:Q29" si="0">IF(A5="","",IF(COUNTIF(D5:P5,"Red")+COUNTIF(D5:P5,"Amber")&gt;0,"No",IF(COUNTIF(D5:P5,"Green")+COUNTIF(D5:P5,"N/A")=COUNTA(D5:P5),"Yes","In Progress")))</f>
        <v/>
      </c>
      <c r="R5" s="25"/>
      <c r="S5" s="25"/>
      <c r="T5" s="26"/>
      <c r="U5" s="25" t="str">
        <f t="shared" ref="U5:U29" si="1">IF(Q5="Yes","Green",IF(Q5="No","Red",IF(Q5="In Progress","Amber","")))</f>
        <v/>
      </c>
      <c r="V5" s="25"/>
      <c r="W5" t="str">
        <f>IF('Induction Employee Register'!W4="","",'Induction Employee Register'!W4)</f>
        <v/>
      </c>
      <c r="X5" t="str">
        <f>IF('Induction Employee Register'!X4="","",'Induction Employee Register'!X4)</f>
        <v/>
      </c>
      <c r="Y5" t="str">
        <f>IF('Induction Employee Register'!Y4="","",'Induction Employee Register'!Y4)</f>
        <v/>
      </c>
      <c r="Z5" t="str">
        <f>IF('Induction Employee Register'!Z4="","",'Induction Employee Register'!Z4)</f>
        <v/>
      </c>
      <c r="AA5" t="str">
        <f>IF('Induction Employee Register'!AA4="","",'Induction Employee Register'!AA4)</f>
        <v/>
      </c>
      <c r="AB5" t="str">
        <f>IF('Induction Employee Register'!AB4="","",'Induction Employee Register'!AB4)</f>
        <v/>
      </c>
      <c r="AC5" t="str">
        <f>IF('Induction Employee Register'!AC4="","",'Induction Employee Register'!AC4)</f>
        <v/>
      </c>
      <c r="AD5" t="str">
        <f>IF('Induction Employee Register'!AD4="","",'Induction Employee Register'!AD4)</f>
        <v/>
      </c>
      <c r="AE5" t="str">
        <f>IF('Induction Employee Register'!AE4="","",'Induction Employee Register'!AE4)</f>
        <v/>
      </c>
      <c r="AF5" t="str">
        <f>IF('Induction Employee Register'!AF4="","",'Induction Employee Register'!AF4)</f>
        <v/>
      </c>
      <c r="AG5" t="str">
        <f>IF('Induction Employee Register'!AG4="","",'Induction Employee Register'!AG4)</f>
        <v/>
      </c>
    </row>
    <row r="6" spans="1:33" x14ac:dyDescent="0.35">
      <c r="A6" s="25" t="str">
        <f>IF('Induction Employee Register'!B5="","",'Induction Employee Register'!B5)</f>
        <v/>
      </c>
      <c r="B6" s="25" t="str">
        <f>IF('Induction Employee Register'!C5="","",'Induction Employee Register'!C5)</f>
        <v/>
      </c>
      <c r="C6" s="26" t="str">
        <f>IF('Induction Employee Register'!D5="","",'Induction Employee Register'!D5)</f>
        <v/>
      </c>
      <c r="D6" s="25">
        <f>IFERROR(INDEX('SW002'!$C$20:$C$45,MATCH("DBS",'SW002'!$A$20:$A$45,0)),"")</f>
        <v>0</v>
      </c>
      <c r="E6" s="26" t="str">
        <f>""</f>
        <v/>
      </c>
      <c r="F6" s="25">
        <f>IFERROR(INDEX('SW002'!$C$20:$C$45,MATCH("Right to Work",'SW002'!$A$20:$A$45,0)),"")</f>
        <v>0</v>
      </c>
      <c r="G6" s="25">
        <f>IFERROR(INDEX('SW002'!$C$20:$C$45,MATCH("Proof of address 1",'SW002'!$A$20:$A$45,0)),"")</f>
        <v>0</v>
      </c>
      <c r="H6" s="25">
        <f>IFERROR(INDEX('SW002'!$C$20:$C$45,MATCH("Two references",'SW002'!$A$20:$A$45,0)),"")</f>
        <v>0</v>
      </c>
      <c r="I6" s="25">
        <f>IFERROR(INDEX('SW002'!$C$20:$C$45,MATCH("Application form",'SW002'!$A$20:$A$45,0)),"")</f>
        <v>0</v>
      </c>
      <c r="J6" s="25">
        <f>IFERROR(INDEX('SW002'!$C$20:$C$45,MATCH("Interview notes",'SW002'!$A$20:$A$45,0)),"")</f>
        <v>0</v>
      </c>
      <c r="K6" s="25">
        <f>IFERROR(INDEX('SW002'!$C$20:$C$45,MATCH("Contract",'SW002'!$A$20:$A$45,0)),"")</f>
        <v>0</v>
      </c>
      <c r="L6" s="25">
        <f>IFERROR(INDEX('SW002'!$C$20:$C$45,MATCH("Job description",'SW002'!$A$20:$A$45,0)),"")</f>
        <v>0</v>
      </c>
      <c r="M6" s="25" t="str">
        <f>IF('Induction Employee Register'!I5&gt;=0.9,"Green",IF('Induction Employee Register'!I5&gt;=0.75,"Amber",IF('Induction Employee Register'!I5&gt;0,"Red","")))</f>
        <v/>
      </c>
      <c r="N6" s="25" t="str">
        <f>""</f>
        <v/>
      </c>
      <c r="O6" s="25">
        <f>IFERROR(INDEX('SW002'!$C$20:$C$45,MATCH("Occupational health/fitness declaration",'SW002'!$A$20:$A$45,0)),"")</f>
        <v>0</v>
      </c>
      <c r="P6" s="25"/>
      <c r="Q6" s="25" t="str">
        <f t="shared" si="0"/>
        <v/>
      </c>
      <c r="R6" s="25"/>
      <c r="S6" s="25"/>
      <c r="T6" s="26"/>
      <c r="U6" s="25" t="str">
        <f t="shared" si="1"/>
        <v/>
      </c>
      <c r="V6" s="25"/>
      <c r="W6" t="str">
        <f>IF('Induction Employee Register'!W5="","",'Induction Employee Register'!W5)</f>
        <v/>
      </c>
      <c r="X6" t="str">
        <f>IF('Induction Employee Register'!X5="","",'Induction Employee Register'!X5)</f>
        <v/>
      </c>
      <c r="Y6" t="str">
        <f>IF('Induction Employee Register'!Y5="","",'Induction Employee Register'!Y5)</f>
        <v/>
      </c>
      <c r="Z6" t="str">
        <f>IF('Induction Employee Register'!Z5="","",'Induction Employee Register'!Z5)</f>
        <v/>
      </c>
      <c r="AA6" t="str">
        <f>IF('Induction Employee Register'!AA5="","",'Induction Employee Register'!AA5)</f>
        <v/>
      </c>
      <c r="AB6" t="str">
        <f>IF('Induction Employee Register'!AB5="","",'Induction Employee Register'!AB5)</f>
        <v/>
      </c>
      <c r="AC6" t="str">
        <f>IF('Induction Employee Register'!AC5="","",'Induction Employee Register'!AC5)</f>
        <v/>
      </c>
      <c r="AD6" t="str">
        <f>IF('Induction Employee Register'!AD5="","",'Induction Employee Register'!AD5)</f>
        <v/>
      </c>
      <c r="AE6" t="str">
        <f>IF('Induction Employee Register'!AE5="","",'Induction Employee Register'!AE5)</f>
        <v/>
      </c>
      <c r="AF6" t="str">
        <f>IF('Induction Employee Register'!AF5="","",'Induction Employee Register'!AF5)</f>
        <v/>
      </c>
      <c r="AG6" t="str">
        <f>IF('Induction Employee Register'!AG5="","",'Induction Employee Register'!AG5)</f>
        <v/>
      </c>
    </row>
    <row r="7" spans="1:33" x14ac:dyDescent="0.35">
      <c r="A7" s="25" t="str">
        <f>IF('Induction Employee Register'!B6="","",'Induction Employee Register'!B6)</f>
        <v/>
      </c>
      <c r="B7" s="25" t="str">
        <f>IF('Induction Employee Register'!C6="","",'Induction Employee Register'!C6)</f>
        <v/>
      </c>
      <c r="C7" s="26" t="str">
        <f>IF('Induction Employee Register'!D6="","",'Induction Employee Register'!D6)</f>
        <v/>
      </c>
      <c r="D7" s="25">
        <f>IFERROR(INDEX('SW003'!$C$20:$C$45,MATCH("DBS",'SW003'!$A$20:$A$45,0)),"")</f>
        <v>0</v>
      </c>
      <c r="E7" s="26" t="str">
        <f>""</f>
        <v/>
      </c>
      <c r="F7" s="25">
        <f>IFERROR(INDEX('SW003'!$C$20:$C$45,MATCH("Right to Work",'SW003'!$A$20:$A$45,0)),"")</f>
        <v>0</v>
      </c>
      <c r="G7" s="25">
        <f>IFERROR(INDEX('SW003'!$C$20:$C$45,MATCH("Proof of address 1",'SW003'!$A$20:$A$45,0)),"")</f>
        <v>0</v>
      </c>
      <c r="H7" s="25">
        <f>IFERROR(INDEX('SW003'!$C$20:$C$45,MATCH("Two references",'SW003'!$A$20:$A$45,0)),"")</f>
        <v>0</v>
      </c>
      <c r="I7" s="25">
        <f>IFERROR(INDEX('SW003'!$C$20:$C$45,MATCH("Application form",'SW003'!$A$20:$A$45,0)),"")</f>
        <v>0</v>
      </c>
      <c r="J7" s="25">
        <f>IFERROR(INDEX('SW003'!$C$20:$C$45,MATCH("Interview notes",'SW003'!$A$20:$A$45,0)),"")</f>
        <v>0</v>
      </c>
      <c r="K7" s="25">
        <f>IFERROR(INDEX('SW003'!$C$20:$C$45,MATCH("Contract",'SW003'!$A$20:$A$45,0)),"")</f>
        <v>0</v>
      </c>
      <c r="L7" s="25">
        <f>IFERROR(INDEX('SW003'!$C$20:$C$45,MATCH("Job description",'SW003'!$A$20:$A$45,0)),"")</f>
        <v>0</v>
      </c>
      <c r="M7" s="25" t="str">
        <f>IF('Induction Employee Register'!I6&gt;=0.9,"Green",IF('Induction Employee Register'!I6&gt;=0.75,"Amber",IF('Induction Employee Register'!I6&gt;0,"Red","")))</f>
        <v/>
      </c>
      <c r="N7" s="25" t="str">
        <f>""</f>
        <v/>
      </c>
      <c r="O7" s="25">
        <f>IFERROR(INDEX('SW003'!$C$20:$C$45,MATCH("Occupational health/fitness declaration",'SW003'!$A$20:$A$45,0)),"")</f>
        <v>0</v>
      </c>
      <c r="P7" s="25"/>
      <c r="Q7" s="25" t="str">
        <f t="shared" si="0"/>
        <v/>
      </c>
      <c r="R7" s="25"/>
      <c r="S7" s="25"/>
      <c r="T7" s="26"/>
      <c r="U7" s="25" t="str">
        <f t="shared" si="1"/>
        <v/>
      </c>
      <c r="V7" s="25"/>
      <c r="W7" t="str">
        <f>IF('Induction Employee Register'!W6="","",'Induction Employee Register'!W6)</f>
        <v/>
      </c>
      <c r="X7" t="str">
        <f>IF('Induction Employee Register'!X6="","",'Induction Employee Register'!X6)</f>
        <v/>
      </c>
      <c r="Y7" t="str">
        <f>IF('Induction Employee Register'!Y6="","",'Induction Employee Register'!Y6)</f>
        <v/>
      </c>
      <c r="Z7" t="str">
        <f>IF('Induction Employee Register'!Z6="","",'Induction Employee Register'!Z6)</f>
        <v/>
      </c>
      <c r="AA7" t="str">
        <f>IF('Induction Employee Register'!AA6="","",'Induction Employee Register'!AA6)</f>
        <v/>
      </c>
      <c r="AB7" t="str">
        <f>IF('Induction Employee Register'!AB6="","",'Induction Employee Register'!AB6)</f>
        <v/>
      </c>
      <c r="AC7" t="str">
        <f>IF('Induction Employee Register'!AC6="","",'Induction Employee Register'!AC6)</f>
        <v/>
      </c>
      <c r="AD7" t="str">
        <f>IF('Induction Employee Register'!AD6="","",'Induction Employee Register'!AD6)</f>
        <v/>
      </c>
      <c r="AE7" t="str">
        <f>IF('Induction Employee Register'!AE6="","",'Induction Employee Register'!AE6)</f>
        <v/>
      </c>
      <c r="AF7" t="str">
        <f>IF('Induction Employee Register'!AF6="","",'Induction Employee Register'!AF6)</f>
        <v/>
      </c>
      <c r="AG7" t="str">
        <f>IF('Induction Employee Register'!AG6="","",'Induction Employee Register'!AG6)</f>
        <v/>
      </c>
    </row>
    <row r="8" spans="1:33" x14ac:dyDescent="0.35">
      <c r="A8" s="25" t="str">
        <f>IF('Induction Employee Register'!B7="","",'Induction Employee Register'!B7)</f>
        <v/>
      </c>
      <c r="B8" s="25" t="str">
        <f>IF('Induction Employee Register'!C7="","",'Induction Employee Register'!C7)</f>
        <v/>
      </c>
      <c r="C8" s="26" t="str">
        <f>IF('Induction Employee Register'!D7="","",'Induction Employee Register'!D7)</f>
        <v/>
      </c>
      <c r="D8" s="25">
        <f>IFERROR(INDEX('SW004'!$C$20:$C$45,MATCH("DBS",'SW004'!$A$20:$A$45,0)),"")</f>
        <v>0</v>
      </c>
      <c r="E8" s="26" t="str">
        <f>""</f>
        <v/>
      </c>
      <c r="F8" s="25">
        <f>IFERROR(INDEX('SW004'!$C$20:$C$45,MATCH("Right to Work",'SW004'!$A$20:$A$45,0)),"")</f>
        <v>0</v>
      </c>
      <c r="G8" s="25">
        <f>IFERROR(INDEX('SW004'!$C$20:$C$45,MATCH("Proof of address 1",'SW004'!$A$20:$A$45,0)),"")</f>
        <v>0</v>
      </c>
      <c r="H8" s="25">
        <f>IFERROR(INDEX('SW004'!$C$20:$C$45,MATCH("Two references",'SW004'!$A$20:$A$45,0)),"")</f>
        <v>0</v>
      </c>
      <c r="I8" s="25">
        <f>IFERROR(INDEX('SW004'!$C$20:$C$45,MATCH("Application form",'SW004'!$A$20:$A$45,0)),"")</f>
        <v>0</v>
      </c>
      <c r="J8" s="25">
        <f>IFERROR(INDEX('SW004'!$C$20:$C$45,MATCH("Interview notes",'SW004'!$A$20:$A$45,0)),"")</f>
        <v>0</v>
      </c>
      <c r="K8" s="25">
        <f>IFERROR(INDEX('SW004'!$C$20:$C$45,MATCH("Contract",'SW004'!$A$20:$A$45,0)),"")</f>
        <v>0</v>
      </c>
      <c r="L8" s="25">
        <f>IFERROR(INDEX('SW004'!$C$20:$C$45,MATCH("Job description",'SW004'!$A$20:$A$45,0)),"")</f>
        <v>0</v>
      </c>
      <c r="M8" s="25" t="str">
        <f>IF('Induction Employee Register'!I7&gt;=0.9,"Green",IF('Induction Employee Register'!I7&gt;=0.75,"Amber",IF('Induction Employee Register'!I7&gt;0,"Red","")))</f>
        <v/>
      </c>
      <c r="N8" s="25" t="str">
        <f>""</f>
        <v/>
      </c>
      <c r="O8" s="25">
        <f>IFERROR(INDEX('SW004'!$C$20:$C$45,MATCH("Occupational health/fitness declaration",'SW004'!$A$20:$A$45,0)),"")</f>
        <v>0</v>
      </c>
      <c r="P8" s="25"/>
      <c r="Q8" s="25" t="str">
        <f t="shared" si="0"/>
        <v/>
      </c>
      <c r="R8" s="25"/>
      <c r="S8" s="25"/>
      <c r="T8" s="26"/>
      <c r="U8" s="25" t="str">
        <f t="shared" si="1"/>
        <v/>
      </c>
      <c r="V8" s="25"/>
      <c r="W8" t="str">
        <f>IF('Induction Employee Register'!W7="","",'Induction Employee Register'!W7)</f>
        <v/>
      </c>
      <c r="X8" t="str">
        <f>IF('Induction Employee Register'!X7="","",'Induction Employee Register'!X7)</f>
        <v/>
      </c>
      <c r="Y8" t="str">
        <f>IF('Induction Employee Register'!Y7="","",'Induction Employee Register'!Y7)</f>
        <v/>
      </c>
      <c r="Z8" t="str">
        <f>IF('Induction Employee Register'!Z7="","",'Induction Employee Register'!Z7)</f>
        <v/>
      </c>
      <c r="AA8" t="str">
        <f>IF('Induction Employee Register'!AA7="","",'Induction Employee Register'!AA7)</f>
        <v/>
      </c>
      <c r="AB8" t="str">
        <f>IF('Induction Employee Register'!AB7="","",'Induction Employee Register'!AB7)</f>
        <v/>
      </c>
      <c r="AC8" t="str">
        <f>IF('Induction Employee Register'!AC7="","",'Induction Employee Register'!AC7)</f>
        <v/>
      </c>
      <c r="AD8" t="str">
        <f>IF('Induction Employee Register'!AD7="","",'Induction Employee Register'!AD7)</f>
        <v/>
      </c>
      <c r="AE8" t="str">
        <f>IF('Induction Employee Register'!AE7="","",'Induction Employee Register'!AE7)</f>
        <v/>
      </c>
      <c r="AF8" t="str">
        <f>IF('Induction Employee Register'!AF7="","",'Induction Employee Register'!AF7)</f>
        <v/>
      </c>
      <c r="AG8" t="str">
        <f>IF('Induction Employee Register'!AG7="","",'Induction Employee Register'!AG7)</f>
        <v/>
      </c>
    </row>
    <row r="9" spans="1:33" x14ac:dyDescent="0.35">
      <c r="A9" s="25" t="str">
        <f>IF('Induction Employee Register'!B8="","",'Induction Employee Register'!B8)</f>
        <v/>
      </c>
      <c r="B9" s="25" t="str">
        <f>IF('Induction Employee Register'!C8="","",'Induction Employee Register'!C8)</f>
        <v/>
      </c>
      <c r="C9" s="26" t="str">
        <f>IF('Induction Employee Register'!D8="","",'Induction Employee Register'!D8)</f>
        <v/>
      </c>
      <c r="D9" s="25">
        <f>IFERROR(INDEX('SW005'!$C$20:$C$45,MATCH("DBS",'SW005'!$A$20:$A$45,0)),"")</f>
        <v>0</v>
      </c>
      <c r="E9" s="26" t="str">
        <f>""</f>
        <v/>
      </c>
      <c r="F9" s="25">
        <f>IFERROR(INDEX('SW005'!$C$20:$C$45,MATCH("Right to Work",'SW005'!$A$20:$A$45,0)),"")</f>
        <v>0</v>
      </c>
      <c r="G9" s="25">
        <f>IFERROR(INDEX('SW005'!$C$20:$C$45,MATCH("Proof of address 1",'SW005'!$A$20:$A$45,0)),"")</f>
        <v>0</v>
      </c>
      <c r="H9" s="25">
        <f>IFERROR(INDEX('SW005'!$C$20:$C$45,MATCH("Two references",'SW005'!$A$20:$A$45,0)),"")</f>
        <v>0</v>
      </c>
      <c r="I9" s="25">
        <f>IFERROR(INDEX('SW005'!$C$20:$C$45,MATCH("Application form",'SW005'!$A$20:$A$45,0)),"")</f>
        <v>0</v>
      </c>
      <c r="J9" s="25">
        <f>IFERROR(INDEX('SW005'!$C$20:$C$45,MATCH("Interview notes",'SW005'!$A$20:$A$45,0)),"")</f>
        <v>0</v>
      </c>
      <c r="K9" s="25">
        <f>IFERROR(INDEX('SW005'!$C$20:$C$45,MATCH("Contract",'SW005'!$A$20:$A$45,0)),"")</f>
        <v>0</v>
      </c>
      <c r="L9" s="25">
        <f>IFERROR(INDEX('SW005'!$C$20:$C$45,MATCH("Job description",'SW005'!$A$20:$A$45,0)),"")</f>
        <v>0</v>
      </c>
      <c r="M9" s="25" t="str">
        <f>IF('Induction Employee Register'!I8&gt;=0.9,"Green",IF('Induction Employee Register'!I8&gt;=0.75,"Amber",IF('Induction Employee Register'!I8&gt;0,"Red","")))</f>
        <v/>
      </c>
      <c r="N9" s="25" t="str">
        <f>""</f>
        <v/>
      </c>
      <c r="O9" s="25">
        <f>IFERROR(INDEX('SW005'!$C$20:$C$45,MATCH("Occupational health/fitness declaration",'SW005'!$A$20:$A$45,0)),"")</f>
        <v>0</v>
      </c>
      <c r="P9" s="25"/>
      <c r="Q9" s="25" t="str">
        <f t="shared" si="0"/>
        <v/>
      </c>
      <c r="R9" s="25"/>
      <c r="S9" s="25"/>
      <c r="T9" s="26"/>
      <c r="U9" s="25" t="str">
        <f t="shared" si="1"/>
        <v/>
      </c>
      <c r="V9" s="25"/>
      <c r="W9" t="str">
        <f>IF('Induction Employee Register'!W8="","",'Induction Employee Register'!W8)</f>
        <v/>
      </c>
      <c r="X9" t="str">
        <f>IF('Induction Employee Register'!X8="","",'Induction Employee Register'!X8)</f>
        <v/>
      </c>
      <c r="Y9" t="str">
        <f>IF('Induction Employee Register'!Y8="","",'Induction Employee Register'!Y8)</f>
        <v/>
      </c>
      <c r="Z9" t="str">
        <f>IF('Induction Employee Register'!Z8="","",'Induction Employee Register'!Z8)</f>
        <v/>
      </c>
      <c r="AA9" t="str">
        <f>IF('Induction Employee Register'!AA8="","",'Induction Employee Register'!AA8)</f>
        <v/>
      </c>
      <c r="AB9" t="str">
        <f>IF('Induction Employee Register'!AB8="","",'Induction Employee Register'!AB8)</f>
        <v/>
      </c>
      <c r="AC9" t="str">
        <f>IF('Induction Employee Register'!AC8="","",'Induction Employee Register'!AC8)</f>
        <v/>
      </c>
      <c r="AD9" t="str">
        <f>IF('Induction Employee Register'!AD8="","",'Induction Employee Register'!AD8)</f>
        <v/>
      </c>
      <c r="AE9" t="str">
        <f>IF('Induction Employee Register'!AE8="","",'Induction Employee Register'!AE8)</f>
        <v/>
      </c>
      <c r="AF9" t="str">
        <f>IF('Induction Employee Register'!AF8="","",'Induction Employee Register'!AF8)</f>
        <v/>
      </c>
      <c r="AG9" t="str">
        <f>IF('Induction Employee Register'!AG8="","",'Induction Employee Register'!AG8)</f>
        <v/>
      </c>
    </row>
    <row r="10" spans="1:33" x14ac:dyDescent="0.35">
      <c r="A10" s="25" t="str">
        <f>IF('Induction Employee Register'!B9="","",'Induction Employee Register'!B9)</f>
        <v/>
      </c>
      <c r="B10" s="25" t="str">
        <f>IF('Induction Employee Register'!C9="","",'Induction Employee Register'!C9)</f>
        <v/>
      </c>
      <c r="C10" s="26" t="str">
        <f>IF('Induction Employee Register'!D9="","",'Induction Employee Register'!D9)</f>
        <v/>
      </c>
      <c r="D10" s="25">
        <f>IFERROR(INDEX('SW006'!$C$20:$C$45,MATCH("DBS",'SW006'!$A$20:$A$45,0)),"")</f>
        <v>0</v>
      </c>
      <c r="E10" s="26" t="str">
        <f>""</f>
        <v/>
      </c>
      <c r="F10" s="25">
        <f>IFERROR(INDEX('SW006'!$C$20:$C$45,MATCH("Right to Work",'SW006'!$A$20:$A$45,0)),"")</f>
        <v>0</v>
      </c>
      <c r="G10" s="25">
        <f>IFERROR(INDEX('SW006'!$C$20:$C$45,MATCH("Proof of address 1",'SW006'!$A$20:$A$45,0)),"")</f>
        <v>0</v>
      </c>
      <c r="H10" s="25">
        <f>IFERROR(INDEX('SW006'!$C$20:$C$45,MATCH("Two references",'SW006'!$A$20:$A$45,0)),"")</f>
        <v>0</v>
      </c>
      <c r="I10" s="25">
        <f>IFERROR(INDEX('SW006'!$C$20:$C$45,MATCH("Application form",'SW006'!$A$20:$A$45,0)),"")</f>
        <v>0</v>
      </c>
      <c r="J10" s="25">
        <f>IFERROR(INDEX('SW006'!$C$20:$C$45,MATCH("Interview notes",'SW006'!$A$20:$A$45,0)),"")</f>
        <v>0</v>
      </c>
      <c r="K10" s="25">
        <f>IFERROR(INDEX('SW006'!$C$20:$C$45,MATCH("Contract",'SW006'!$A$20:$A$45,0)),"")</f>
        <v>0</v>
      </c>
      <c r="L10" s="25">
        <f>IFERROR(INDEX('SW006'!$C$20:$C$45,MATCH("Job description",'SW006'!$A$20:$A$45,0)),"")</f>
        <v>0</v>
      </c>
      <c r="M10" s="25" t="str">
        <f>IF('Induction Employee Register'!I9&gt;=0.9,"Green",IF('Induction Employee Register'!I9&gt;=0.75,"Amber",IF('Induction Employee Register'!I9&gt;0,"Red","")))</f>
        <v/>
      </c>
      <c r="N10" s="25" t="str">
        <f>""</f>
        <v/>
      </c>
      <c r="O10" s="25">
        <f>IFERROR(INDEX('SW006'!$C$20:$C$45,MATCH("Occupational health/fitness declaration",'SW006'!$A$20:$A$45,0)),"")</f>
        <v>0</v>
      </c>
      <c r="P10" s="25"/>
      <c r="Q10" s="25" t="str">
        <f t="shared" si="0"/>
        <v/>
      </c>
      <c r="R10" s="25"/>
      <c r="S10" s="25"/>
      <c r="T10" s="26"/>
      <c r="U10" s="25" t="str">
        <f t="shared" si="1"/>
        <v/>
      </c>
      <c r="V10" s="25"/>
      <c r="W10" t="str">
        <f>IF('Induction Employee Register'!W9="","",'Induction Employee Register'!W9)</f>
        <v/>
      </c>
      <c r="X10" t="str">
        <f>IF('Induction Employee Register'!X9="","",'Induction Employee Register'!X9)</f>
        <v/>
      </c>
      <c r="Y10" t="str">
        <f>IF('Induction Employee Register'!Y9="","",'Induction Employee Register'!Y9)</f>
        <v/>
      </c>
      <c r="Z10" t="str">
        <f>IF('Induction Employee Register'!Z9="","",'Induction Employee Register'!Z9)</f>
        <v/>
      </c>
      <c r="AA10" t="str">
        <f>IF('Induction Employee Register'!AA9="","",'Induction Employee Register'!AA9)</f>
        <v/>
      </c>
      <c r="AB10" t="str">
        <f>IF('Induction Employee Register'!AB9="","",'Induction Employee Register'!AB9)</f>
        <v/>
      </c>
      <c r="AC10" t="str">
        <f>IF('Induction Employee Register'!AC9="","",'Induction Employee Register'!AC9)</f>
        <v/>
      </c>
      <c r="AD10" t="str">
        <f>IF('Induction Employee Register'!AD9="","",'Induction Employee Register'!AD9)</f>
        <v/>
      </c>
      <c r="AE10" t="str">
        <f>IF('Induction Employee Register'!AE9="","",'Induction Employee Register'!AE9)</f>
        <v/>
      </c>
      <c r="AF10" t="str">
        <f>IF('Induction Employee Register'!AF9="","",'Induction Employee Register'!AF9)</f>
        <v/>
      </c>
      <c r="AG10" t="str">
        <f>IF('Induction Employee Register'!AG9="","",'Induction Employee Register'!AG9)</f>
        <v/>
      </c>
    </row>
    <row r="11" spans="1:33" x14ac:dyDescent="0.35">
      <c r="A11" s="25" t="str">
        <f>IF('Induction Employee Register'!B10="","",'Induction Employee Register'!B10)</f>
        <v/>
      </c>
      <c r="B11" s="25" t="str">
        <f>IF('Induction Employee Register'!C10="","",'Induction Employee Register'!C10)</f>
        <v/>
      </c>
      <c r="C11" s="26" t="str">
        <f>IF('Induction Employee Register'!D10="","",'Induction Employee Register'!D10)</f>
        <v/>
      </c>
      <c r="D11" s="25">
        <f>IFERROR(INDEX('SW007'!$C$20:$C$45,MATCH("DBS",'SW007'!$A$20:$A$45,0)),"")</f>
        <v>0</v>
      </c>
      <c r="E11" s="26" t="str">
        <f>""</f>
        <v/>
      </c>
      <c r="F11" s="25">
        <f>IFERROR(INDEX('SW007'!$C$20:$C$45,MATCH("Right to Work",'SW007'!$A$20:$A$45,0)),"")</f>
        <v>0</v>
      </c>
      <c r="G11" s="25">
        <f>IFERROR(INDEX('SW007'!$C$20:$C$45,MATCH("Proof of address 1",'SW007'!$A$20:$A$45,0)),"")</f>
        <v>0</v>
      </c>
      <c r="H11" s="25">
        <f>IFERROR(INDEX('SW007'!$C$20:$C$45,MATCH("Two references",'SW007'!$A$20:$A$45,0)),"")</f>
        <v>0</v>
      </c>
      <c r="I11" s="25">
        <f>IFERROR(INDEX('SW007'!$C$20:$C$45,MATCH("Application form",'SW007'!$A$20:$A$45,0)),"")</f>
        <v>0</v>
      </c>
      <c r="J11" s="25">
        <f>IFERROR(INDEX('SW007'!$C$20:$C$45,MATCH("Interview notes",'SW007'!$A$20:$A$45,0)),"")</f>
        <v>0</v>
      </c>
      <c r="K11" s="25">
        <f>IFERROR(INDEX('SW007'!$C$20:$C$45,MATCH("Contract",'SW007'!$A$20:$A$45,0)),"")</f>
        <v>0</v>
      </c>
      <c r="L11" s="25">
        <f>IFERROR(INDEX('SW007'!$C$20:$C$45,MATCH("Job description",'SW007'!$A$20:$A$45,0)),"")</f>
        <v>0</v>
      </c>
      <c r="M11" s="25" t="str">
        <f>IF('Induction Employee Register'!I10&gt;=0.9,"Green",IF('Induction Employee Register'!I10&gt;=0.75,"Amber",IF('Induction Employee Register'!I10&gt;0,"Red","")))</f>
        <v/>
      </c>
      <c r="N11" s="25" t="str">
        <f>""</f>
        <v/>
      </c>
      <c r="O11" s="25">
        <f>IFERROR(INDEX('SW007'!$C$20:$C$45,MATCH("Occupational health/fitness declaration",'SW007'!$A$20:$A$45,0)),"")</f>
        <v>0</v>
      </c>
      <c r="P11" s="25"/>
      <c r="Q11" s="25" t="str">
        <f t="shared" si="0"/>
        <v/>
      </c>
      <c r="R11" s="25"/>
      <c r="S11" s="25"/>
      <c r="T11" s="26"/>
      <c r="U11" s="25" t="str">
        <f t="shared" si="1"/>
        <v/>
      </c>
      <c r="V11" s="25"/>
      <c r="W11" t="str">
        <f>IF('Induction Employee Register'!W10="","",'Induction Employee Register'!W10)</f>
        <v/>
      </c>
      <c r="X11" t="str">
        <f>IF('Induction Employee Register'!X10="","",'Induction Employee Register'!X10)</f>
        <v/>
      </c>
      <c r="Y11" t="str">
        <f>IF('Induction Employee Register'!Y10="","",'Induction Employee Register'!Y10)</f>
        <v/>
      </c>
      <c r="Z11" t="str">
        <f>IF('Induction Employee Register'!Z10="","",'Induction Employee Register'!Z10)</f>
        <v/>
      </c>
      <c r="AA11" t="str">
        <f>IF('Induction Employee Register'!AA10="","",'Induction Employee Register'!AA10)</f>
        <v/>
      </c>
      <c r="AB11" t="str">
        <f>IF('Induction Employee Register'!AB10="","",'Induction Employee Register'!AB10)</f>
        <v/>
      </c>
      <c r="AC11" t="str">
        <f>IF('Induction Employee Register'!AC10="","",'Induction Employee Register'!AC10)</f>
        <v/>
      </c>
      <c r="AD11" t="str">
        <f>IF('Induction Employee Register'!AD10="","",'Induction Employee Register'!AD10)</f>
        <v/>
      </c>
      <c r="AE11" t="str">
        <f>IF('Induction Employee Register'!AE10="","",'Induction Employee Register'!AE10)</f>
        <v/>
      </c>
      <c r="AF11" t="str">
        <f>IF('Induction Employee Register'!AF10="","",'Induction Employee Register'!AF10)</f>
        <v/>
      </c>
      <c r="AG11" t="str">
        <f>IF('Induction Employee Register'!AG10="","",'Induction Employee Register'!AG10)</f>
        <v/>
      </c>
    </row>
    <row r="12" spans="1:33" x14ac:dyDescent="0.35">
      <c r="A12" s="25" t="str">
        <f>IF('Induction Employee Register'!B11="","",'Induction Employee Register'!B11)</f>
        <v/>
      </c>
      <c r="B12" s="25" t="str">
        <f>IF('Induction Employee Register'!C11="","",'Induction Employee Register'!C11)</f>
        <v/>
      </c>
      <c r="C12" s="26" t="str">
        <f>IF('Induction Employee Register'!D11="","",'Induction Employee Register'!D11)</f>
        <v/>
      </c>
      <c r="D12" s="25">
        <f>IFERROR(INDEX('SW008'!$C$20:$C$45,MATCH("DBS",'SW008'!$A$20:$A$45,0)),"")</f>
        <v>0</v>
      </c>
      <c r="E12" s="26" t="str">
        <f>""</f>
        <v/>
      </c>
      <c r="F12" s="25">
        <f>IFERROR(INDEX('SW008'!$C$20:$C$45,MATCH("Right to Work",'SW008'!$A$20:$A$45,0)),"")</f>
        <v>0</v>
      </c>
      <c r="G12" s="25">
        <f>IFERROR(INDEX('SW008'!$C$20:$C$45,MATCH("Proof of address 1",'SW008'!$A$20:$A$45,0)),"")</f>
        <v>0</v>
      </c>
      <c r="H12" s="25">
        <f>IFERROR(INDEX('SW008'!$C$20:$C$45,MATCH("Two references",'SW008'!$A$20:$A$45,0)),"")</f>
        <v>0</v>
      </c>
      <c r="I12" s="25">
        <f>IFERROR(INDEX('SW008'!$C$20:$C$45,MATCH("Application form",'SW008'!$A$20:$A$45,0)),"")</f>
        <v>0</v>
      </c>
      <c r="J12" s="25">
        <f>IFERROR(INDEX('SW008'!$C$20:$C$45,MATCH("Interview notes",'SW008'!$A$20:$A$45,0)),"")</f>
        <v>0</v>
      </c>
      <c r="K12" s="25">
        <f>IFERROR(INDEX('SW008'!$C$20:$C$45,MATCH("Contract",'SW008'!$A$20:$A$45,0)),"")</f>
        <v>0</v>
      </c>
      <c r="L12" s="25">
        <f>IFERROR(INDEX('SW008'!$C$20:$C$45,MATCH("Job description",'SW008'!$A$20:$A$45,0)),"")</f>
        <v>0</v>
      </c>
      <c r="M12" s="25" t="str">
        <f>IF('Induction Employee Register'!I11&gt;=0.9,"Green",IF('Induction Employee Register'!I11&gt;=0.75,"Amber",IF('Induction Employee Register'!I11&gt;0,"Red","")))</f>
        <v/>
      </c>
      <c r="N12" s="25" t="str">
        <f>""</f>
        <v/>
      </c>
      <c r="O12" s="25">
        <f>IFERROR(INDEX('SW008'!$C$20:$C$45,MATCH("Occupational health/fitness declaration",'SW008'!$A$20:$A$45,0)),"")</f>
        <v>0</v>
      </c>
      <c r="P12" s="25"/>
      <c r="Q12" s="25" t="str">
        <f t="shared" si="0"/>
        <v/>
      </c>
      <c r="R12" s="25"/>
      <c r="S12" s="25"/>
      <c r="T12" s="26"/>
      <c r="U12" s="25" t="str">
        <f t="shared" si="1"/>
        <v/>
      </c>
      <c r="V12" s="25"/>
      <c r="W12" t="str">
        <f>IF('Induction Employee Register'!W11="","",'Induction Employee Register'!W11)</f>
        <v/>
      </c>
      <c r="X12" t="str">
        <f>IF('Induction Employee Register'!X11="","",'Induction Employee Register'!X11)</f>
        <v/>
      </c>
      <c r="Y12" t="str">
        <f>IF('Induction Employee Register'!Y11="","",'Induction Employee Register'!Y11)</f>
        <v/>
      </c>
      <c r="Z12" t="str">
        <f>IF('Induction Employee Register'!Z11="","",'Induction Employee Register'!Z11)</f>
        <v/>
      </c>
      <c r="AA12" t="str">
        <f>IF('Induction Employee Register'!AA11="","",'Induction Employee Register'!AA11)</f>
        <v/>
      </c>
      <c r="AB12" t="str">
        <f>IF('Induction Employee Register'!AB11="","",'Induction Employee Register'!AB11)</f>
        <v/>
      </c>
      <c r="AC12" t="str">
        <f>IF('Induction Employee Register'!AC11="","",'Induction Employee Register'!AC11)</f>
        <v/>
      </c>
      <c r="AD12" t="str">
        <f>IF('Induction Employee Register'!AD11="","",'Induction Employee Register'!AD11)</f>
        <v/>
      </c>
      <c r="AE12" t="str">
        <f>IF('Induction Employee Register'!AE11="","",'Induction Employee Register'!AE11)</f>
        <v/>
      </c>
      <c r="AF12" t="str">
        <f>IF('Induction Employee Register'!AF11="","",'Induction Employee Register'!AF11)</f>
        <v/>
      </c>
      <c r="AG12" t="str">
        <f>IF('Induction Employee Register'!AG11="","",'Induction Employee Register'!AG11)</f>
        <v/>
      </c>
    </row>
    <row r="13" spans="1:33" x14ac:dyDescent="0.35">
      <c r="A13" s="25" t="str">
        <f>IF('Induction Employee Register'!B12="","",'Induction Employee Register'!B12)</f>
        <v/>
      </c>
      <c r="B13" s="25" t="str">
        <f>IF('Induction Employee Register'!C12="","",'Induction Employee Register'!C12)</f>
        <v/>
      </c>
      <c r="C13" s="26" t="str">
        <f>IF('Induction Employee Register'!D12="","",'Induction Employee Register'!D12)</f>
        <v/>
      </c>
      <c r="D13" s="25">
        <f>IFERROR(INDEX('SW009'!$C$20:$C$45,MATCH("DBS",'SW009'!$A$20:$A$45,0)),"")</f>
        <v>0</v>
      </c>
      <c r="E13" s="26" t="str">
        <f>""</f>
        <v/>
      </c>
      <c r="F13" s="25">
        <f>IFERROR(INDEX('SW009'!$C$20:$C$45,MATCH("Right to Work",'SW009'!$A$20:$A$45,0)),"")</f>
        <v>0</v>
      </c>
      <c r="G13" s="25">
        <f>IFERROR(INDEX('SW009'!$C$20:$C$45,MATCH("Proof of address 1",'SW009'!$A$20:$A$45,0)),"")</f>
        <v>0</v>
      </c>
      <c r="H13" s="25">
        <f>IFERROR(INDEX('SW009'!$C$20:$C$45,MATCH("Two references",'SW009'!$A$20:$A$45,0)),"")</f>
        <v>0</v>
      </c>
      <c r="I13" s="25">
        <f>IFERROR(INDEX('SW009'!$C$20:$C$45,MATCH("Application form",'SW009'!$A$20:$A$45,0)),"")</f>
        <v>0</v>
      </c>
      <c r="J13" s="25">
        <f>IFERROR(INDEX('SW009'!$C$20:$C$45,MATCH("Interview notes",'SW009'!$A$20:$A$45,0)),"")</f>
        <v>0</v>
      </c>
      <c r="K13" s="25">
        <f>IFERROR(INDEX('SW009'!$C$20:$C$45,MATCH("Contract",'SW009'!$A$20:$A$45,0)),"")</f>
        <v>0</v>
      </c>
      <c r="L13" s="25">
        <f>IFERROR(INDEX('SW009'!$C$20:$C$45,MATCH("Job description",'SW009'!$A$20:$A$45,0)),"")</f>
        <v>0</v>
      </c>
      <c r="M13" s="25" t="str">
        <f>IF('Induction Employee Register'!I12&gt;=0.9,"Green",IF('Induction Employee Register'!I12&gt;=0.75,"Amber",IF('Induction Employee Register'!I12&gt;0,"Red","")))</f>
        <v/>
      </c>
      <c r="N13" s="25" t="str">
        <f>""</f>
        <v/>
      </c>
      <c r="O13" s="25">
        <f>IFERROR(INDEX('SW009'!$C$20:$C$45,MATCH("Occupational health/fitness declaration",'SW009'!$A$20:$A$45,0)),"")</f>
        <v>0</v>
      </c>
      <c r="P13" s="25"/>
      <c r="Q13" s="25" t="str">
        <f t="shared" si="0"/>
        <v/>
      </c>
      <c r="R13" s="25"/>
      <c r="S13" s="25"/>
      <c r="T13" s="26"/>
      <c r="U13" s="25" t="str">
        <f t="shared" si="1"/>
        <v/>
      </c>
      <c r="V13" s="25"/>
      <c r="W13" t="str">
        <f>IF('Induction Employee Register'!W12="","",'Induction Employee Register'!W12)</f>
        <v/>
      </c>
      <c r="X13" t="str">
        <f>IF('Induction Employee Register'!X12="","",'Induction Employee Register'!X12)</f>
        <v/>
      </c>
      <c r="Y13" t="str">
        <f>IF('Induction Employee Register'!Y12="","",'Induction Employee Register'!Y12)</f>
        <v/>
      </c>
      <c r="Z13" t="str">
        <f>IF('Induction Employee Register'!Z12="","",'Induction Employee Register'!Z12)</f>
        <v/>
      </c>
      <c r="AA13" t="str">
        <f>IF('Induction Employee Register'!AA12="","",'Induction Employee Register'!AA12)</f>
        <v/>
      </c>
      <c r="AB13" t="str">
        <f>IF('Induction Employee Register'!AB12="","",'Induction Employee Register'!AB12)</f>
        <v/>
      </c>
      <c r="AC13" t="str">
        <f>IF('Induction Employee Register'!AC12="","",'Induction Employee Register'!AC12)</f>
        <v/>
      </c>
      <c r="AD13" t="str">
        <f>IF('Induction Employee Register'!AD12="","",'Induction Employee Register'!AD12)</f>
        <v/>
      </c>
      <c r="AE13" t="str">
        <f>IF('Induction Employee Register'!AE12="","",'Induction Employee Register'!AE12)</f>
        <v/>
      </c>
      <c r="AF13" t="str">
        <f>IF('Induction Employee Register'!AF12="","",'Induction Employee Register'!AF12)</f>
        <v/>
      </c>
      <c r="AG13" t="str">
        <f>IF('Induction Employee Register'!AG12="","",'Induction Employee Register'!AG12)</f>
        <v/>
      </c>
    </row>
    <row r="14" spans="1:33" x14ac:dyDescent="0.35">
      <c r="A14" s="25" t="str">
        <f>IF('Induction Employee Register'!B13="","",'Induction Employee Register'!B13)</f>
        <v/>
      </c>
      <c r="B14" s="25" t="str">
        <f>IF('Induction Employee Register'!C13="","",'Induction Employee Register'!C13)</f>
        <v/>
      </c>
      <c r="C14" s="26" t="str">
        <f>IF('Induction Employee Register'!D13="","",'Induction Employee Register'!D13)</f>
        <v/>
      </c>
      <c r="D14" s="25">
        <f>IFERROR(INDEX('SW010'!$C$20:$C$45,MATCH("DBS",'SW010'!$A$20:$A$45,0)),"")</f>
        <v>0</v>
      </c>
      <c r="E14" s="26" t="str">
        <f>""</f>
        <v/>
      </c>
      <c r="F14" s="25">
        <f>IFERROR(INDEX('SW010'!$C$20:$C$45,MATCH("Right to Work",'SW010'!$A$20:$A$45,0)),"")</f>
        <v>0</v>
      </c>
      <c r="G14" s="25">
        <f>IFERROR(INDEX('SW010'!$C$20:$C$45,MATCH("Proof of address 1",'SW010'!$A$20:$A$45,0)),"")</f>
        <v>0</v>
      </c>
      <c r="H14" s="25">
        <f>IFERROR(INDEX('SW010'!$C$20:$C$45,MATCH("Two references",'SW010'!$A$20:$A$45,0)),"")</f>
        <v>0</v>
      </c>
      <c r="I14" s="25">
        <f>IFERROR(INDEX('SW010'!$C$20:$C$45,MATCH("Application form",'SW010'!$A$20:$A$45,0)),"")</f>
        <v>0</v>
      </c>
      <c r="J14" s="25">
        <f>IFERROR(INDEX('SW010'!$C$20:$C$45,MATCH("Interview notes",'SW010'!$A$20:$A$45,0)),"")</f>
        <v>0</v>
      </c>
      <c r="K14" s="25">
        <f>IFERROR(INDEX('SW010'!$C$20:$C$45,MATCH("Contract",'SW010'!$A$20:$A$45,0)),"")</f>
        <v>0</v>
      </c>
      <c r="L14" s="25">
        <f>IFERROR(INDEX('SW010'!$C$20:$C$45,MATCH("Job description",'SW010'!$A$20:$A$45,0)),"")</f>
        <v>0</v>
      </c>
      <c r="M14" s="25" t="str">
        <f>IF('Induction Employee Register'!I13&gt;=0.9,"Green",IF('Induction Employee Register'!I13&gt;=0.75,"Amber",IF('Induction Employee Register'!I13&gt;0,"Red","")))</f>
        <v/>
      </c>
      <c r="N14" s="25" t="str">
        <f>""</f>
        <v/>
      </c>
      <c r="O14" s="25">
        <f>IFERROR(INDEX('SW010'!$C$20:$C$45,MATCH("Occupational health/fitness declaration",'SW010'!$A$20:$A$45,0)),"")</f>
        <v>0</v>
      </c>
      <c r="P14" s="25"/>
      <c r="Q14" s="25" t="str">
        <f t="shared" si="0"/>
        <v/>
      </c>
      <c r="R14" s="25"/>
      <c r="S14" s="25"/>
      <c r="T14" s="26"/>
      <c r="U14" s="25" t="str">
        <f t="shared" si="1"/>
        <v/>
      </c>
      <c r="V14" s="25"/>
      <c r="W14" t="str">
        <f>IF('Induction Employee Register'!W13="","",'Induction Employee Register'!W13)</f>
        <v/>
      </c>
      <c r="X14" t="str">
        <f>IF('Induction Employee Register'!X13="","",'Induction Employee Register'!X13)</f>
        <v/>
      </c>
      <c r="Y14" t="str">
        <f>IF('Induction Employee Register'!Y13="","",'Induction Employee Register'!Y13)</f>
        <v/>
      </c>
      <c r="Z14" t="str">
        <f>IF('Induction Employee Register'!Z13="","",'Induction Employee Register'!Z13)</f>
        <v/>
      </c>
      <c r="AA14" t="str">
        <f>IF('Induction Employee Register'!AA13="","",'Induction Employee Register'!AA13)</f>
        <v/>
      </c>
      <c r="AB14" t="str">
        <f>IF('Induction Employee Register'!AB13="","",'Induction Employee Register'!AB13)</f>
        <v/>
      </c>
      <c r="AC14" t="str">
        <f>IF('Induction Employee Register'!AC13="","",'Induction Employee Register'!AC13)</f>
        <v/>
      </c>
      <c r="AD14" t="str">
        <f>IF('Induction Employee Register'!AD13="","",'Induction Employee Register'!AD13)</f>
        <v/>
      </c>
      <c r="AE14" t="str">
        <f>IF('Induction Employee Register'!AE13="","",'Induction Employee Register'!AE13)</f>
        <v/>
      </c>
      <c r="AF14" t="str">
        <f>IF('Induction Employee Register'!AF13="","",'Induction Employee Register'!AF13)</f>
        <v/>
      </c>
      <c r="AG14" t="str">
        <f>IF('Induction Employee Register'!AG13="","",'Induction Employee Register'!AG13)</f>
        <v/>
      </c>
    </row>
    <row r="15" spans="1:33" x14ac:dyDescent="0.35">
      <c r="A15" s="25" t="str">
        <f>IF('Induction Employee Register'!B14="","",'Induction Employee Register'!B14)</f>
        <v/>
      </c>
      <c r="B15" s="25" t="str">
        <f>IF('Induction Employee Register'!C14="","",'Induction Employee Register'!C14)</f>
        <v/>
      </c>
      <c r="C15" s="26" t="str">
        <f>IF('Induction Employee Register'!D14="","",'Induction Employee Register'!D14)</f>
        <v/>
      </c>
      <c r="D15" s="25">
        <f>IFERROR(INDEX('SW011'!$C$20:$C$45,MATCH("DBS",'SW011'!$A$20:$A$45,0)),"")</f>
        <v>0</v>
      </c>
      <c r="E15" s="26" t="str">
        <f>""</f>
        <v/>
      </c>
      <c r="F15" s="25">
        <f>IFERROR(INDEX('SW011'!$C$20:$C$45,MATCH("Right to Work",'SW011'!$A$20:$A$45,0)),"")</f>
        <v>0</v>
      </c>
      <c r="G15" s="25">
        <f>IFERROR(INDEX('SW011'!$C$20:$C$45,MATCH("Proof of address 1",'SW011'!$A$20:$A$45,0)),"")</f>
        <v>0</v>
      </c>
      <c r="H15" s="25">
        <f>IFERROR(INDEX('SW011'!$C$20:$C$45,MATCH("Two references",'SW011'!$A$20:$A$45,0)),"")</f>
        <v>0</v>
      </c>
      <c r="I15" s="25">
        <f>IFERROR(INDEX('SW011'!$C$20:$C$45,MATCH("Application form",'SW011'!$A$20:$A$45,0)),"")</f>
        <v>0</v>
      </c>
      <c r="J15" s="25">
        <f>IFERROR(INDEX('SW011'!$C$20:$C$45,MATCH("Interview notes",'SW011'!$A$20:$A$45,0)),"")</f>
        <v>0</v>
      </c>
      <c r="K15" s="25">
        <f>IFERROR(INDEX('SW011'!$C$20:$C$45,MATCH("Contract",'SW011'!$A$20:$A$45,0)),"")</f>
        <v>0</v>
      </c>
      <c r="L15" s="25">
        <f>IFERROR(INDEX('SW011'!$C$20:$C$45,MATCH("Job description",'SW011'!$A$20:$A$45,0)),"")</f>
        <v>0</v>
      </c>
      <c r="M15" s="25" t="str">
        <f>IF('Induction Employee Register'!I14&gt;=0.9,"Green",IF('Induction Employee Register'!I14&gt;=0.75,"Amber",IF('Induction Employee Register'!I14&gt;0,"Red","")))</f>
        <v/>
      </c>
      <c r="N15" s="25" t="str">
        <f>""</f>
        <v/>
      </c>
      <c r="O15" s="25">
        <f>IFERROR(INDEX('SW011'!$C$20:$C$45,MATCH("Occupational health/fitness declaration",'SW011'!$A$20:$A$45,0)),"")</f>
        <v>0</v>
      </c>
      <c r="P15" s="25"/>
      <c r="Q15" s="25" t="str">
        <f t="shared" si="0"/>
        <v/>
      </c>
      <c r="R15" s="25"/>
      <c r="S15" s="25"/>
      <c r="T15" s="26"/>
      <c r="U15" s="25" t="str">
        <f t="shared" si="1"/>
        <v/>
      </c>
      <c r="V15" s="25"/>
      <c r="W15" t="str">
        <f>IF('Induction Employee Register'!W14="","",'Induction Employee Register'!W14)</f>
        <v/>
      </c>
      <c r="X15" t="str">
        <f>IF('Induction Employee Register'!X14="","",'Induction Employee Register'!X14)</f>
        <v/>
      </c>
      <c r="Y15" t="str">
        <f>IF('Induction Employee Register'!Y14="","",'Induction Employee Register'!Y14)</f>
        <v/>
      </c>
      <c r="Z15" t="str">
        <f>IF('Induction Employee Register'!Z14="","",'Induction Employee Register'!Z14)</f>
        <v/>
      </c>
      <c r="AA15" t="str">
        <f>IF('Induction Employee Register'!AA14="","",'Induction Employee Register'!AA14)</f>
        <v/>
      </c>
      <c r="AB15" t="str">
        <f>IF('Induction Employee Register'!AB14="","",'Induction Employee Register'!AB14)</f>
        <v/>
      </c>
      <c r="AC15" t="str">
        <f>IF('Induction Employee Register'!AC14="","",'Induction Employee Register'!AC14)</f>
        <v/>
      </c>
      <c r="AD15" t="str">
        <f>IF('Induction Employee Register'!AD14="","",'Induction Employee Register'!AD14)</f>
        <v/>
      </c>
      <c r="AE15" t="str">
        <f>IF('Induction Employee Register'!AE14="","",'Induction Employee Register'!AE14)</f>
        <v/>
      </c>
      <c r="AF15" t="str">
        <f>IF('Induction Employee Register'!AF14="","",'Induction Employee Register'!AF14)</f>
        <v/>
      </c>
      <c r="AG15" t="str">
        <f>IF('Induction Employee Register'!AG14="","",'Induction Employee Register'!AG14)</f>
        <v/>
      </c>
    </row>
    <row r="16" spans="1:33" x14ac:dyDescent="0.35">
      <c r="A16" s="25" t="str">
        <f>IF('Induction Employee Register'!B15="","",'Induction Employee Register'!B15)</f>
        <v/>
      </c>
      <c r="B16" s="25" t="str">
        <f>IF('Induction Employee Register'!C15="","",'Induction Employee Register'!C15)</f>
        <v/>
      </c>
      <c r="C16" s="26" t="str">
        <f>IF('Induction Employee Register'!D15="","",'Induction Employee Register'!D15)</f>
        <v/>
      </c>
      <c r="D16" s="25">
        <f>IFERROR(INDEX('SW012'!$C$20:$C$45,MATCH("DBS",'SW012'!$A$20:$A$45,0)),"")</f>
        <v>0</v>
      </c>
      <c r="E16" s="26" t="str">
        <f>""</f>
        <v/>
      </c>
      <c r="F16" s="25">
        <f>IFERROR(INDEX('SW012'!$C$20:$C$45,MATCH("Right to Work",'SW012'!$A$20:$A$45,0)),"")</f>
        <v>0</v>
      </c>
      <c r="G16" s="25">
        <f>IFERROR(INDEX('SW012'!$C$20:$C$45,MATCH("Proof of address 1",'SW012'!$A$20:$A$45,0)),"")</f>
        <v>0</v>
      </c>
      <c r="H16" s="25">
        <f>IFERROR(INDEX('SW012'!$C$20:$C$45,MATCH("Two references",'SW012'!$A$20:$A$45,0)),"")</f>
        <v>0</v>
      </c>
      <c r="I16" s="25">
        <f>IFERROR(INDEX('SW012'!$C$20:$C$45,MATCH("Application form",'SW012'!$A$20:$A$45,0)),"")</f>
        <v>0</v>
      </c>
      <c r="J16" s="25">
        <f>IFERROR(INDEX('SW012'!$C$20:$C$45,MATCH("Interview notes",'SW012'!$A$20:$A$45,0)),"")</f>
        <v>0</v>
      </c>
      <c r="K16" s="25">
        <f>IFERROR(INDEX('SW012'!$C$20:$C$45,MATCH("Contract",'SW012'!$A$20:$A$45,0)),"")</f>
        <v>0</v>
      </c>
      <c r="L16" s="25">
        <f>IFERROR(INDEX('SW012'!$C$20:$C$45,MATCH("Job description",'SW012'!$A$20:$A$45,0)),"")</f>
        <v>0</v>
      </c>
      <c r="M16" s="25" t="str">
        <f>IF('Induction Employee Register'!I15&gt;=0.9,"Green",IF('Induction Employee Register'!I15&gt;=0.75,"Amber",IF('Induction Employee Register'!I15&gt;0,"Red","")))</f>
        <v/>
      </c>
      <c r="N16" s="25" t="str">
        <f>""</f>
        <v/>
      </c>
      <c r="O16" s="25">
        <f>IFERROR(INDEX('SW012'!$C$20:$C$45,MATCH("Occupational health/fitness declaration",'SW012'!$A$20:$A$45,0)),"")</f>
        <v>0</v>
      </c>
      <c r="P16" s="25"/>
      <c r="Q16" s="25" t="str">
        <f t="shared" si="0"/>
        <v/>
      </c>
      <c r="R16" s="25"/>
      <c r="S16" s="25"/>
      <c r="T16" s="26"/>
      <c r="U16" s="25" t="str">
        <f t="shared" si="1"/>
        <v/>
      </c>
      <c r="V16" s="25"/>
      <c r="W16" t="str">
        <f>IF('Induction Employee Register'!W15="","",'Induction Employee Register'!W15)</f>
        <v/>
      </c>
      <c r="X16" t="str">
        <f>IF('Induction Employee Register'!X15="","",'Induction Employee Register'!X15)</f>
        <v/>
      </c>
      <c r="Y16" t="str">
        <f>IF('Induction Employee Register'!Y15="","",'Induction Employee Register'!Y15)</f>
        <v/>
      </c>
      <c r="Z16" t="str">
        <f>IF('Induction Employee Register'!Z15="","",'Induction Employee Register'!Z15)</f>
        <v/>
      </c>
      <c r="AA16" t="str">
        <f>IF('Induction Employee Register'!AA15="","",'Induction Employee Register'!AA15)</f>
        <v/>
      </c>
      <c r="AB16" t="str">
        <f>IF('Induction Employee Register'!AB15="","",'Induction Employee Register'!AB15)</f>
        <v/>
      </c>
      <c r="AC16" t="str">
        <f>IF('Induction Employee Register'!AC15="","",'Induction Employee Register'!AC15)</f>
        <v/>
      </c>
      <c r="AD16" t="str">
        <f>IF('Induction Employee Register'!AD15="","",'Induction Employee Register'!AD15)</f>
        <v/>
      </c>
      <c r="AE16" t="str">
        <f>IF('Induction Employee Register'!AE15="","",'Induction Employee Register'!AE15)</f>
        <v/>
      </c>
      <c r="AF16" t="str">
        <f>IF('Induction Employee Register'!AF15="","",'Induction Employee Register'!AF15)</f>
        <v/>
      </c>
      <c r="AG16" t="str">
        <f>IF('Induction Employee Register'!AG15="","",'Induction Employee Register'!AG15)</f>
        <v/>
      </c>
    </row>
    <row r="17" spans="1:33" x14ac:dyDescent="0.35">
      <c r="A17" s="25" t="str">
        <f>IF('Induction Employee Register'!B16="","",'Induction Employee Register'!B16)</f>
        <v/>
      </c>
      <c r="B17" s="25" t="str">
        <f>IF('Induction Employee Register'!C16="","",'Induction Employee Register'!C16)</f>
        <v/>
      </c>
      <c r="C17" s="26" t="str">
        <f>IF('Induction Employee Register'!D16="","",'Induction Employee Register'!D16)</f>
        <v/>
      </c>
      <c r="D17" s="25">
        <f>IFERROR(INDEX('SW013'!$C$20:$C$45,MATCH("DBS",'SW013'!$A$20:$A$45,0)),"")</f>
        <v>0</v>
      </c>
      <c r="E17" s="26" t="str">
        <f>""</f>
        <v/>
      </c>
      <c r="F17" s="25">
        <f>IFERROR(INDEX('SW013'!$C$20:$C$45,MATCH("Right to Work",'SW013'!$A$20:$A$45,0)),"")</f>
        <v>0</v>
      </c>
      <c r="G17" s="25">
        <f>IFERROR(INDEX('SW013'!$C$20:$C$45,MATCH("Proof of address 1",'SW013'!$A$20:$A$45,0)),"")</f>
        <v>0</v>
      </c>
      <c r="H17" s="25">
        <f>IFERROR(INDEX('SW013'!$C$20:$C$45,MATCH("Two references",'SW013'!$A$20:$A$45,0)),"")</f>
        <v>0</v>
      </c>
      <c r="I17" s="25">
        <f>IFERROR(INDEX('SW013'!$C$20:$C$45,MATCH("Application form",'SW013'!$A$20:$A$45,0)),"")</f>
        <v>0</v>
      </c>
      <c r="J17" s="25">
        <f>IFERROR(INDEX('SW013'!$C$20:$C$45,MATCH("Interview notes",'SW013'!$A$20:$A$45,0)),"")</f>
        <v>0</v>
      </c>
      <c r="K17" s="25">
        <f>IFERROR(INDEX('SW013'!$C$20:$C$45,MATCH("Contract",'SW013'!$A$20:$A$45,0)),"")</f>
        <v>0</v>
      </c>
      <c r="L17" s="25">
        <f>IFERROR(INDEX('SW013'!$C$20:$C$45,MATCH("Job description",'SW013'!$A$20:$A$45,0)),"")</f>
        <v>0</v>
      </c>
      <c r="M17" s="25" t="str">
        <f>IF('Induction Employee Register'!I16&gt;=0.9,"Green",IF('Induction Employee Register'!I16&gt;=0.75,"Amber",IF('Induction Employee Register'!I16&gt;0,"Red","")))</f>
        <v/>
      </c>
      <c r="N17" s="25" t="str">
        <f>""</f>
        <v/>
      </c>
      <c r="O17" s="25">
        <f>IFERROR(INDEX('SW013'!$C$20:$C$45,MATCH("Occupational health/fitness declaration",'SW013'!$A$20:$A$45,0)),"")</f>
        <v>0</v>
      </c>
      <c r="P17" s="25"/>
      <c r="Q17" s="25" t="str">
        <f t="shared" si="0"/>
        <v/>
      </c>
      <c r="R17" s="25"/>
      <c r="S17" s="25"/>
      <c r="T17" s="26"/>
      <c r="U17" s="25" t="str">
        <f t="shared" si="1"/>
        <v/>
      </c>
      <c r="V17" s="25"/>
      <c r="W17" t="str">
        <f>IF('Induction Employee Register'!W16="","",'Induction Employee Register'!W16)</f>
        <v/>
      </c>
      <c r="X17" t="str">
        <f>IF('Induction Employee Register'!X16="","",'Induction Employee Register'!X16)</f>
        <v/>
      </c>
      <c r="Y17" t="str">
        <f>IF('Induction Employee Register'!Y16="","",'Induction Employee Register'!Y16)</f>
        <v/>
      </c>
      <c r="Z17" t="str">
        <f>IF('Induction Employee Register'!Z16="","",'Induction Employee Register'!Z16)</f>
        <v/>
      </c>
      <c r="AA17" t="str">
        <f>IF('Induction Employee Register'!AA16="","",'Induction Employee Register'!AA16)</f>
        <v/>
      </c>
      <c r="AB17" t="str">
        <f>IF('Induction Employee Register'!AB16="","",'Induction Employee Register'!AB16)</f>
        <v/>
      </c>
      <c r="AC17" t="str">
        <f>IF('Induction Employee Register'!AC16="","",'Induction Employee Register'!AC16)</f>
        <v/>
      </c>
      <c r="AD17" t="str">
        <f>IF('Induction Employee Register'!AD16="","",'Induction Employee Register'!AD16)</f>
        <v/>
      </c>
      <c r="AE17" t="str">
        <f>IF('Induction Employee Register'!AE16="","",'Induction Employee Register'!AE16)</f>
        <v/>
      </c>
      <c r="AF17" t="str">
        <f>IF('Induction Employee Register'!AF16="","",'Induction Employee Register'!AF16)</f>
        <v/>
      </c>
      <c r="AG17" t="str">
        <f>IF('Induction Employee Register'!AG16="","",'Induction Employee Register'!AG16)</f>
        <v/>
      </c>
    </row>
    <row r="18" spans="1:33" x14ac:dyDescent="0.35">
      <c r="A18" s="25" t="str">
        <f>IF('Induction Employee Register'!B17="","",'Induction Employee Register'!B17)</f>
        <v/>
      </c>
      <c r="B18" s="25" t="str">
        <f>IF('Induction Employee Register'!C17="","",'Induction Employee Register'!C17)</f>
        <v/>
      </c>
      <c r="C18" s="26" t="str">
        <f>IF('Induction Employee Register'!D17="","",'Induction Employee Register'!D17)</f>
        <v/>
      </c>
      <c r="D18" s="25">
        <f>IFERROR(INDEX('SW014'!$C$20:$C$45,MATCH("DBS",'SW014'!$A$20:$A$45,0)),"")</f>
        <v>0</v>
      </c>
      <c r="E18" s="26" t="str">
        <f>""</f>
        <v/>
      </c>
      <c r="F18" s="25">
        <f>IFERROR(INDEX('SW014'!$C$20:$C$45,MATCH("Right to Work",'SW014'!$A$20:$A$45,0)),"")</f>
        <v>0</v>
      </c>
      <c r="G18" s="25">
        <f>IFERROR(INDEX('SW014'!$C$20:$C$45,MATCH("Proof of address 1",'SW014'!$A$20:$A$45,0)),"")</f>
        <v>0</v>
      </c>
      <c r="H18" s="25">
        <f>IFERROR(INDEX('SW014'!$C$20:$C$45,MATCH("Two references",'SW014'!$A$20:$A$45,0)),"")</f>
        <v>0</v>
      </c>
      <c r="I18" s="25">
        <f>IFERROR(INDEX('SW014'!$C$20:$C$45,MATCH("Application form",'SW014'!$A$20:$A$45,0)),"")</f>
        <v>0</v>
      </c>
      <c r="J18" s="25">
        <f>IFERROR(INDEX('SW014'!$C$20:$C$45,MATCH("Interview notes",'SW014'!$A$20:$A$45,0)),"")</f>
        <v>0</v>
      </c>
      <c r="K18" s="25">
        <f>IFERROR(INDEX('SW014'!$C$20:$C$45,MATCH("Contract",'SW014'!$A$20:$A$45,0)),"")</f>
        <v>0</v>
      </c>
      <c r="L18" s="25">
        <f>IFERROR(INDEX('SW014'!$C$20:$C$45,MATCH("Job description",'SW014'!$A$20:$A$45,0)),"")</f>
        <v>0</v>
      </c>
      <c r="M18" s="25" t="str">
        <f>IF('Induction Employee Register'!I17&gt;=0.9,"Green",IF('Induction Employee Register'!I17&gt;=0.75,"Amber",IF('Induction Employee Register'!I17&gt;0,"Red","")))</f>
        <v/>
      </c>
      <c r="N18" s="25" t="str">
        <f>""</f>
        <v/>
      </c>
      <c r="O18" s="25">
        <f>IFERROR(INDEX('SW014'!$C$20:$C$45,MATCH("Occupational health/fitness declaration",'SW014'!$A$20:$A$45,0)),"")</f>
        <v>0</v>
      </c>
      <c r="P18" s="25"/>
      <c r="Q18" s="25" t="str">
        <f t="shared" si="0"/>
        <v/>
      </c>
      <c r="R18" s="25"/>
      <c r="S18" s="25"/>
      <c r="T18" s="26"/>
      <c r="U18" s="25" t="str">
        <f t="shared" si="1"/>
        <v/>
      </c>
      <c r="V18" s="25"/>
      <c r="W18" t="str">
        <f>IF('Induction Employee Register'!W17="","",'Induction Employee Register'!W17)</f>
        <v/>
      </c>
      <c r="X18" t="str">
        <f>IF('Induction Employee Register'!X17="","",'Induction Employee Register'!X17)</f>
        <v/>
      </c>
      <c r="Y18" t="str">
        <f>IF('Induction Employee Register'!Y17="","",'Induction Employee Register'!Y17)</f>
        <v/>
      </c>
      <c r="Z18" t="str">
        <f>IF('Induction Employee Register'!Z17="","",'Induction Employee Register'!Z17)</f>
        <v/>
      </c>
      <c r="AA18" t="str">
        <f>IF('Induction Employee Register'!AA17="","",'Induction Employee Register'!AA17)</f>
        <v/>
      </c>
      <c r="AB18" t="str">
        <f>IF('Induction Employee Register'!AB17="","",'Induction Employee Register'!AB17)</f>
        <v/>
      </c>
      <c r="AC18" t="str">
        <f>IF('Induction Employee Register'!AC17="","",'Induction Employee Register'!AC17)</f>
        <v/>
      </c>
      <c r="AD18" t="str">
        <f>IF('Induction Employee Register'!AD17="","",'Induction Employee Register'!AD17)</f>
        <v/>
      </c>
      <c r="AE18" t="str">
        <f>IF('Induction Employee Register'!AE17="","",'Induction Employee Register'!AE17)</f>
        <v/>
      </c>
      <c r="AF18" t="str">
        <f>IF('Induction Employee Register'!AF17="","",'Induction Employee Register'!AF17)</f>
        <v/>
      </c>
      <c r="AG18" t="str">
        <f>IF('Induction Employee Register'!AG17="","",'Induction Employee Register'!AG17)</f>
        <v/>
      </c>
    </row>
    <row r="19" spans="1:33" x14ac:dyDescent="0.35">
      <c r="A19" s="25" t="str">
        <f>IF('Induction Employee Register'!B18="","",'Induction Employee Register'!B18)</f>
        <v/>
      </c>
      <c r="B19" s="25" t="str">
        <f>IF('Induction Employee Register'!C18="","",'Induction Employee Register'!C18)</f>
        <v/>
      </c>
      <c r="C19" s="26" t="str">
        <f>IF('Induction Employee Register'!D18="","",'Induction Employee Register'!D18)</f>
        <v/>
      </c>
      <c r="D19" s="25">
        <f>IFERROR(INDEX('SW015'!$C$20:$C$45,MATCH("DBS",'SW015'!$A$20:$A$45,0)),"")</f>
        <v>0</v>
      </c>
      <c r="E19" s="26" t="str">
        <f>""</f>
        <v/>
      </c>
      <c r="F19" s="25">
        <f>IFERROR(INDEX('SW015'!$C$20:$C$45,MATCH("Right to Work",'SW015'!$A$20:$A$45,0)),"")</f>
        <v>0</v>
      </c>
      <c r="G19" s="25">
        <f>IFERROR(INDEX('SW015'!$C$20:$C$45,MATCH("Proof of address 1",'SW015'!$A$20:$A$45,0)),"")</f>
        <v>0</v>
      </c>
      <c r="H19" s="25">
        <f>IFERROR(INDEX('SW015'!$C$20:$C$45,MATCH("Two references",'SW015'!$A$20:$A$45,0)),"")</f>
        <v>0</v>
      </c>
      <c r="I19" s="25">
        <f>IFERROR(INDEX('SW015'!$C$20:$C$45,MATCH("Application form",'SW015'!$A$20:$A$45,0)),"")</f>
        <v>0</v>
      </c>
      <c r="J19" s="25">
        <f>IFERROR(INDEX('SW015'!$C$20:$C$45,MATCH("Interview notes",'SW015'!$A$20:$A$45,0)),"")</f>
        <v>0</v>
      </c>
      <c r="K19" s="25">
        <f>IFERROR(INDEX('SW015'!$C$20:$C$45,MATCH("Contract",'SW015'!$A$20:$A$45,0)),"")</f>
        <v>0</v>
      </c>
      <c r="L19" s="25">
        <f>IFERROR(INDEX('SW015'!$C$20:$C$45,MATCH("Job description",'SW015'!$A$20:$A$45,0)),"")</f>
        <v>0</v>
      </c>
      <c r="M19" s="25" t="str">
        <f>IF('Induction Employee Register'!I18&gt;=0.9,"Green",IF('Induction Employee Register'!I18&gt;=0.75,"Amber",IF('Induction Employee Register'!I18&gt;0,"Red","")))</f>
        <v/>
      </c>
      <c r="N19" s="25" t="str">
        <f>""</f>
        <v/>
      </c>
      <c r="O19" s="25">
        <f>IFERROR(INDEX('SW015'!$C$20:$C$45,MATCH("Occupational health/fitness declaration",'SW015'!$A$20:$A$45,0)),"")</f>
        <v>0</v>
      </c>
      <c r="P19" s="25"/>
      <c r="Q19" s="25" t="str">
        <f t="shared" si="0"/>
        <v/>
      </c>
      <c r="R19" s="25"/>
      <c r="S19" s="25"/>
      <c r="T19" s="26"/>
      <c r="U19" s="25" t="str">
        <f t="shared" si="1"/>
        <v/>
      </c>
      <c r="V19" s="25"/>
      <c r="W19" t="str">
        <f>IF('Induction Employee Register'!W18="","",'Induction Employee Register'!W18)</f>
        <v/>
      </c>
      <c r="X19" t="str">
        <f>IF('Induction Employee Register'!X18="","",'Induction Employee Register'!X18)</f>
        <v/>
      </c>
      <c r="Y19" t="str">
        <f>IF('Induction Employee Register'!Y18="","",'Induction Employee Register'!Y18)</f>
        <v/>
      </c>
      <c r="Z19" t="str">
        <f>IF('Induction Employee Register'!Z18="","",'Induction Employee Register'!Z18)</f>
        <v/>
      </c>
      <c r="AA19" t="str">
        <f>IF('Induction Employee Register'!AA18="","",'Induction Employee Register'!AA18)</f>
        <v/>
      </c>
      <c r="AB19" t="str">
        <f>IF('Induction Employee Register'!AB18="","",'Induction Employee Register'!AB18)</f>
        <v/>
      </c>
      <c r="AC19" t="str">
        <f>IF('Induction Employee Register'!AC18="","",'Induction Employee Register'!AC18)</f>
        <v/>
      </c>
      <c r="AD19" t="str">
        <f>IF('Induction Employee Register'!AD18="","",'Induction Employee Register'!AD18)</f>
        <v/>
      </c>
      <c r="AE19" t="str">
        <f>IF('Induction Employee Register'!AE18="","",'Induction Employee Register'!AE18)</f>
        <v/>
      </c>
      <c r="AF19" t="str">
        <f>IF('Induction Employee Register'!AF18="","",'Induction Employee Register'!AF18)</f>
        <v/>
      </c>
      <c r="AG19" t="str">
        <f>IF('Induction Employee Register'!AG18="","",'Induction Employee Register'!AG18)</f>
        <v/>
      </c>
    </row>
    <row r="20" spans="1:33" x14ac:dyDescent="0.35">
      <c r="A20" s="25" t="str">
        <f>IF('Induction Employee Register'!B19="","",'Induction Employee Register'!B19)</f>
        <v/>
      </c>
      <c r="B20" s="25" t="str">
        <f>IF('Induction Employee Register'!C19="","",'Induction Employee Register'!C19)</f>
        <v/>
      </c>
      <c r="C20" s="26" t="str">
        <f>IF('Induction Employee Register'!D19="","",'Induction Employee Register'!D19)</f>
        <v/>
      </c>
      <c r="D20" s="25">
        <f>IFERROR(INDEX('SW016'!$C$20:$C$45,MATCH("DBS",'SW016'!$A$20:$A$45,0)),"")</f>
        <v>0</v>
      </c>
      <c r="E20" s="26" t="str">
        <f>""</f>
        <v/>
      </c>
      <c r="F20" s="25">
        <f>IFERROR(INDEX('SW016'!$C$20:$C$45,MATCH("Right to Work",'SW016'!$A$20:$A$45,0)),"")</f>
        <v>0</v>
      </c>
      <c r="G20" s="25">
        <f>IFERROR(INDEX('SW016'!$C$20:$C$45,MATCH("Proof of address 1",'SW016'!$A$20:$A$45,0)),"")</f>
        <v>0</v>
      </c>
      <c r="H20" s="25">
        <f>IFERROR(INDEX('SW016'!$C$20:$C$45,MATCH("Two references",'SW016'!$A$20:$A$45,0)),"")</f>
        <v>0</v>
      </c>
      <c r="I20" s="25">
        <f>IFERROR(INDEX('SW016'!$C$20:$C$45,MATCH("Application form",'SW016'!$A$20:$A$45,0)),"")</f>
        <v>0</v>
      </c>
      <c r="J20" s="25">
        <f>IFERROR(INDEX('SW016'!$C$20:$C$45,MATCH("Interview notes",'SW016'!$A$20:$A$45,0)),"")</f>
        <v>0</v>
      </c>
      <c r="K20" s="25">
        <f>IFERROR(INDEX('SW016'!$C$20:$C$45,MATCH("Contract",'SW016'!$A$20:$A$45,0)),"")</f>
        <v>0</v>
      </c>
      <c r="L20" s="25">
        <f>IFERROR(INDEX('SW016'!$C$20:$C$45,MATCH("Job description",'SW016'!$A$20:$A$45,0)),"")</f>
        <v>0</v>
      </c>
      <c r="M20" s="25" t="str">
        <f>IF('Induction Employee Register'!I19&gt;=0.9,"Green",IF('Induction Employee Register'!I19&gt;=0.75,"Amber",IF('Induction Employee Register'!I19&gt;0,"Red","")))</f>
        <v/>
      </c>
      <c r="N20" s="25" t="str">
        <f>""</f>
        <v/>
      </c>
      <c r="O20" s="25">
        <f>IFERROR(INDEX('SW016'!$C$20:$C$45,MATCH("Occupational health/fitness declaration",'SW016'!$A$20:$A$45,0)),"")</f>
        <v>0</v>
      </c>
      <c r="P20" s="25"/>
      <c r="Q20" s="25" t="str">
        <f t="shared" si="0"/>
        <v/>
      </c>
      <c r="R20" s="25"/>
      <c r="S20" s="25"/>
      <c r="T20" s="26"/>
      <c r="U20" s="25" t="str">
        <f t="shared" si="1"/>
        <v/>
      </c>
      <c r="V20" s="25"/>
      <c r="W20" t="str">
        <f>IF('Induction Employee Register'!W19="","",'Induction Employee Register'!W19)</f>
        <v/>
      </c>
      <c r="X20" t="str">
        <f>IF('Induction Employee Register'!X19="","",'Induction Employee Register'!X19)</f>
        <v/>
      </c>
      <c r="Y20" t="str">
        <f>IF('Induction Employee Register'!Y19="","",'Induction Employee Register'!Y19)</f>
        <v/>
      </c>
      <c r="Z20" t="str">
        <f>IF('Induction Employee Register'!Z19="","",'Induction Employee Register'!Z19)</f>
        <v/>
      </c>
      <c r="AA20" t="str">
        <f>IF('Induction Employee Register'!AA19="","",'Induction Employee Register'!AA19)</f>
        <v/>
      </c>
      <c r="AB20" t="str">
        <f>IF('Induction Employee Register'!AB19="","",'Induction Employee Register'!AB19)</f>
        <v/>
      </c>
      <c r="AC20" t="str">
        <f>IF('Induction Employee Register'!AC19="","",'Induction Employee Register'!AC19)</f>
        <v/>
      </c>
      <c r="AD20" t="str">
        <f>IF('Induction Employee Register'!AD19="","",'Induction Employee Register'!AD19)</f>
        <v/>
      </c>
      <c r="AE20" t="str">
        <f>IF('Induction Employee Register'!AE19="","",'Induction Employee Register'!AE19)</f>
        <v/>
      </c>
      <c r="AF20" t="str">
        <f>IF('Induction Employee Register'!AF19="","",'Induction Employee Register'!AF19)</f>
        <v/>
      </c>
      <c r="AG20" t="str">
        <f>IF('Induction Employee Register'!AG19="","",'Induction Employee Register'!AG19)</f>
        <v/>
      </c>
    </row>
    <row r="21" spans="1:33" x14ac:dyDescent="0.35">
      <c r="A21" s="25" t="str">
        <f>IF('Induction Employee Register'!B20="","",'Induction Employee Register'!B20)</f>
        <v/>
      </c>
      <c r="B21" s="25" t="str">
        <f>IF('Induction Employee Register'!C20="","",'Induction Employee Register'!C20)</f>
        <v/>
      </c>
      <c r="C21" s="26" t="str">
        <f>IF('Induction Employee Register'!D20="","",'Induction Employee Register'!D20)</f>
        <v/>
      </c>
      <c r="D21" s="25">
        <f>IFERROR(INDEX('SW017'!$C$20:$C$45,MATCH("DBS",'SW017'!$A$20:$A$45,0)),"")</f>
        <v>0</v>
      </c>
      <c r="E21" s="26" t="str">
        <f>""</f>
        <v/>
      </c>
      <c r="F21" s="25">
        <f>IFERROR(INDEX('SW017'!$C$20:$C$45,MATCH("Right to Work",'SW017'!$A$20:$A$45,0)),"")</f>
        <v>0</v>
      </c>
      <c r="G21" s="25">
        <f>IFERROR(INDEX('SW017'!$C$20:$C$45,MATCH("Proof of address 1",'SW017'!$A$20:$A$45,0)),"")</f>
        <v>0</v>
      </c>
      <c r="H21" s="25">
        <f>IFERROR(INDEX('SW017'!$C$20:$C$45,MATCH("Two references",'SW017'!$A$20:$A$45,0)),"")</f>
        <v>0</v>
      </c>
      <c r="I21" s="25">
        <f>IFERROR(INDEX('SW017'!$C$20:$C$45,MATCH("Application form",'SW017'!$A$20:$A$45,0)),"")</f>
        <v>0</v>
      </c>
      <c r="J21" s="25">
        <f>IFERROR(INDEX('SW017'!$C$20:$C$45,MATCH("Interview notes",'SW017'!$A$20:$A$45,0)),"")</f>
        <v>0</v>
      </c>
      <c r="K21" s="25">
        <f>IFERROR(INDEX('SW017'!$C$20:$C$45,MATCH("Contract",'SW017'!$A$20:$A$45,0)),"")</f>
        <v>0</v>
      </c>
      <c r="L21" s="25">
        <f>IFERROR(INDEX('SW017'!$C$20:$C$45,MATCH("Job description",'SW017'!$A$20:$A$45,0)),"")</f>
        <v>0</v>
      </c>
      <c r="M21" s="25" t="str">
        <f>IF('Induction Employee Register'!I20&gt;=0.9,"Green",IF('Induction Employee Register'!I20&gt;=0.75,"Amber",IF('Induction Employee Register'!I20&gt;0,"Red","")))</f>
        <v/>
      </c>
      <c r="N21" s="25" t="str">
        <f>""</f>
        <v/>
      </c>
      <c r="O21" s="25">
        <f>IFERROR(INDEX('SW017'!$C$20:$C$45,MATCH("Occupational health/fitness declaration",'SW017'!$A$20:$A$45,0)),"")</f>
        <v>0</v>
      </c>
      <c r="P21" s="25"/>
      <c r="Q21" s="25" t="str">
        <f t="shared" si="0"/>
        <v/>
      </c>
      <c r="R21" s="25"/>
      <c r="S21" s="25"/>
      <c r="T21" s="26"/>
      <c r="U21" s="25" t="str">
        <f t="shared" si="1"/>
        <v/>
      </c>
      <c r="V21" s="25"/>
      <c r="W21" t="str">
        <f>IF('Induction Employee Register'!W20="","",'Induction Employee Register'!W20)</f>
        <v/>
      </c>
      <c r="X21" t="str">
        <f>IF('Induction Employee Register'!X20="","",'Induction Employee Register'!X20)</f>
        <v/>
      </c>
      <c r="Y21" t="str">
        <f>IF('Induction Employee Register'!Y20="","",'Induction Employee Register'!Y20)</f>
        <v/>
      </c>
      <c r="Z21" t="str">
        <f>IF('Induction Employee Register'!Z20="","",'Induction Employee Register'!Z20)</f>
        <v/>
      </c>
      <c r="AA21" t="str">
        <f>IF('Induction Employee Register'!AA20="","",'Induction Employee Register'!AA20)</f>
        <v/>
      </c>
      <c r="AB21" t="str">
        <f>IF('Induction Employee Register'!AB20="","",'Induction Employee Register'!AB20)</f>
        <v/>
      </c>
      <c r="AC21" t="str">
        <f>IF('Induction Employee Register'!AC20="","",'Induction Employee Register'!AC20)</f>
        <v/>
      </c>
      <c r="AD21" t="str">
        <f>IF('Induction Employee Register'!AD20="","",'Induction Employee Register'!AD20)</f>
        <v/>
      </c>
      <c r="AE21" t="str">
        <f>IF('Induction Employee Register'!AE20="","",'Induction Employee Register'!AE20)</f>
        <v/>
      </c>
      <c r="AF21" t="str">
        <f>IF('Induction Employee Register'!AF20="","",'Induction Employee Register'!AF20)</f>
        <v/>
      </c>
      <c r="AG21" t="str">
        <f>IF('Induction Employee Register'!AG20="","",'Induction Employee Register'!AG20)</f>
        <v/>
      </c>
    </row>
    <row r="22" spans="1:33" x14ac:dyDescent="0.35">
      <c r="A22" s="25" t="str">
        <f>IF('Induction Employee Register'!B21="","",'Induction Employee Register'!B21)</f>
        <v/>
      </c>
      <c r="B22" s="25" t="str">
        <f>IF('Induction Employee Register'!C21="","",'Induction Employee Register'!C21)</f>
        <v/>
      </c>
      <c r="C22" s="26" t="str">
        <f>IF('Induction Employee Register'!D21="","",'Induction Employee Register'!D21)</f>
        <v/>
      </c>
      <c r="D22" s="25">
        <f>IFERROR(INDEX('SW018'!$C$20:$C$45,MATCH("DBS",'SW018'!$A$20:$A$45,0)),"")</f>
        <v>0</v>
      </c>
      <c r="E22" s="26" t="str">
        <f>""</f>
        <v/>
      </c>
      <c r="F22" s="25">
        <f>IFERROR(INDEX('SW018'!$C$20:$C$45,MATCH("Right to Work",'SW018'!$A$20:$A$45,0)),"")</f>
        <v>0</v>
      </c>
      <c r="G22" s="25">
        <f>IFERROR(INDEX('SW018'!$C$20:$C$45,MATCH("Proof of address 1",'SW018'!$A$20:$A$45,0)),"")</f>
        <v>0</v>
      </c>
      <c r="H22" s="25">
        <f>IFERROR(INDEX('SW018'!$C$20:$C$45,MATCH("Two references",'SW018'!$A$20:$A$45,0)),"")</f>
        <v>0</v>
      </c>
      <c r="I22" s="25">
        <f>IFERROR(INDEX('SW018'!$C$20:$C$45,MATCH("Application form",'SW018'!$A$20:$A$45,0)),"")</f>
        <v>0</v>
      </c>
      <c r="J22" s="25">
        <f>IFERROR(INDEX('SW018'!$C$20:$C$45,MATCH("Interview notes",'SW018'!$A$20:$A$45,0)),"")</f>
        <v>0</v>
      </c>
      <c r="K22" s="25">
        <f>IFERROR(INDEX('SW018'!$C$20:$C$45,MATCH("Contract",'SW018'!$A$20:$A$45,0)),"")</f>
        <v>0</v>
      </c>
      <c r="L22" s="25">
        <f>IFERROR(INDEX('SW018'!$C$20:$C$45,MATCH("Job description",'SW018'!$A$20:$A$45,0)),"")</f>
        <v>0</v>
      </c>
      <c r="M22" s="25" t="str">
        <f>IF('Induction Employee Register'!I21&gt;=0.9,"Green",IF('Induction Employee Register'!I21&gt;=0.75,"Amber",IF('Induction Employee Register'!I21&gt;0,"Red","")))</f>
        <v/>
      </c>
      <c r="N22" s="25" t="str">
        <f>""</f>
        <v/>
      </c>
      <c r="O22" s="25">
        <f>IFERROR(INDEX('SW018'!$C$20:$C$45,MATCH("Occupational health/fitness declaration",'SW018'!$A$20:$A$45,0)),"")</f>
        <v>0</v>
      </c>
      <c r="P22" s="25"/>
      <c r="Q22" s="25" t="str">
        <f t="shared" si="0"/>
        <v/>
      </c>
      <c r="R22" s="25"/>
      <c r="S22" s="25"/>
      <c r="T22" s="26"/>
      <c r="U22" s="25" t="str">
        <f t="shared" si="1"/>
        <v/>
      </c>
      <c r="V22" s="25"/>
      <c r="W22" t="str">
        <f>IF('Induction Employee Register'!W21="","",'Induction Employee Register'!W21)</f>
        <v/>
      </c>
      <c r="X22" t="str">
        <f>IF('Induction Employee Register'!X21="","",'Induction Employee Register'!X21)</f>
        <v/>
      </c>
      <c r="Y22" t="str">
        <f>IF('Induction Employee Register'!Y21="","",'Induction Employee Register'!Y21)</f>
        <v/>
      </c>
      <c r="Z22" t="str">
        <f>IF('Induction Employee Register'!Z21="","",'Induction Employee Register'!Z21)</f>
        <v/>
      </c>
      <c r="AA22" t="str">
        <f>IF('Induction Employee Register'!AA21="","",'Induction Employee Register'!AA21)</f>
        <v/>
      </c>
      <c r="AB22" t="str">
        <f>IF('Induction Employee Register'!AB21="","",'Induction Employee Register'!AB21)</f>
        <v/>
      </c>
      <c r="AC22" t="str">
        <f>IF('Induction Employee Register'!AC21="","",'Induction Employee Register'!AC21)</f>
        <v/>
      </c>
      <c r="AD22" t="str">
        <f>IF('Induction Employee Register'!AD21="","",'Induction Employee Register'!AD21)</f>
        <v/>
      </c>
      <c r="AE22" t="str">
        <f>IF('Induction Employee Register'!AE21="","",'Induction Employee Register'!AE21)</f>
        <v/>
      </c>
      <c r="AF22" t="str">
        <f>IF('Induction Employee Register'!AF21="","",'Induction Employee Register'!AF21)</f>
        <v/>
      </c>
      <c r="AG22" t="str">
        <f>IF('Induction Employee Register'!AG21="","",'Induction Employee Register'!AG21)</f>
        <v/>
      </c>
    </row>
    <row r="23" spans="1:33" x14ac:dyDescent="0.35">
      <c r="A23" s="25" t="str">
        <f>IF('Induction Employee Register'!B22="","",'Induction Employee Register'!B22)</f>
        <v/>
      </c>
      <c r="B23" s="25" t="str">
        <f>IF('Induction Employee Register'!C22="","",'Induction Employee Register'!C22)</f>
        <v/>
      </c>
      <c r="C23" s="26" t="str">
        <f>IF('Induction Employee Register'!D22="","",'Induction Employee Register'!D22)</f>
        <v/>
      </c>
      <c r="D23" s="25">
        <f>IFERROR(INDEX('SW019'!$C$20:$C$45,MATCH("DBS",'SW019'!$A$20:$A$45,0)),"")</f>
        <v>0</v>
      </c>
      <c r="E23" s="26" t="str">
        <f>""</f>
        <v/>
      </c>
      <c r="F23" s="25">
        <f>IFERROR(INDEX('SW019'!$C$20:$C$45,MATCH("Right to Work",'SW019'!$A$20:$A$45,0)),"")</f>
        <v>0</v>
      </c>
      <c r="G23" s="25">
        <f>IFERROR(INDEX('SW019'!$C$20:$C$45,MATCH("Proof of address 1",'SW019'!$A$20:$A$45,0)),"")</f>
        <v>0</v>
      </c>
      <c r="H23" s="25">
        <f>IFERROR(INDEX('SW019'!$C$20:$C$45,MATCH("Two references",'SW019'!$A$20:$A$45,0)),"")</f>
        <v>0</v>
      </c>
      <c r="I23" s="25">
        <f>IFERROR(INDEX('SW019'!$C$20:$C$45,MATCH("Application form",'SW019'!$A$20:$A$45,0)),"")</f>
        <v>0</v>
      </c>
      <c r="J23" s="25">
        <f>IFERROR(INDEX('SW019'!$C$20:$C$45,MATCH("Interview notes",'SW019'!$A$20:$A$45,0)),"")</f>
        <v>0</v>
      </c>
      <c r="K23" s="25">
        <f>IFERROR(INDEX('SW019'!$C$20:$C$45,MATCH("Contract",'SW019'!$A$20:$A$45,0)),"")</f>
        <v>0</v>
      </c>
      <c r="L23" s="25">
        <f>IFERROR(INDEX('SW019'!$C$20:$C$45,MATCH("Job description",'SW019'!$A$20:$A$45,0)),"")</f>
        <v>0</v>
      </c>
      <c r="M23" s="25" t="str">
        <f>IF('Induction Employee Register'!I22&gt;=0.9,"Green",IF('Induction Employee Register'!I22&gt;=0.75,"Amber",IF('Induction Employee Register'!I22&gt;0,"Red","")))</f>
        <v/>
      </c>
      <c r="N23" s="25" t="str">
        <f>""</f>
        <v/>
      </c>
      <c r="O23" s="25">
        <f>IFERROR(INDEX('SW019'!$C$20:$C$45,MATCH("Occupational health/fitness declaration",'SW019'!$A$20:$A$45,0)),"")</f>
        <v>0</v>
      </c>
      <c r="P23" s="25"/>
      <c r="Q23" s="25" t="str">
        <f t="shared" si="0"/>
        <v/>
      </c>
      <c r="R23" s="25"/>
      <c r="S23" s="25"/>
      <c r="T23" s="26"/>
      <c r="U23" s="25" t="str">
        <f t="shared" si="1"/>
        <v/>
      </c>
      <c r="V23" s="25"/>
      <c r="W23" t="str">
        <f>IF('Induction Employee Register'!W22="","",'Induction Employee Register'!W22)</f>
        <v/>
      </c>
      <c r="X23" t="str">
        <f>IF('Induction Employee Register'!X22="","",'Induction Employee Register'!X22)</f>
        <v/>
      </c>
      <c r="Y23" t="str">
        <f>IF('Induction Employee Register'!Y22="","",'Induction Employee Register'!Y22)</f>
        <v/>
      </c>
      <c r="Z23" t="str">
        <f>IF('Induction Employee Register'!Z22="","",'Induction Employee Register'!Z22)</f>
        <v/>
      </c>
      <c r="AA23" t="str">
        <f>IF('Induction Employee Register'!AA22="","",'Induction Employee Register'!AA22)</f>
        <v/>
      </c>
      <c r="AB23" t="str">
        <f>IF('Induction Employee Register'!AB22="","",'Induction Employee Register'!AB22)</f>
        <v/>
      </c>
      <c r="AC23" t="str">
        <f>IF('Induction Employee Register'!AC22="","",'Induction Employee Register'!AC22)</f>
        <v/>
      </c>
      <c r="AD23" t="str">
        <f>IF('Induction Employee Register'!AD22="","",'Induction Employee Register'!AD22)</f>
        <v/>
      </c>
      <c r="AE23" t="str">
        <f>IF('Induction Employee Register'!AE22="","",'Induction Employee Register'!AE22)</f>
        <v/>
      </c>
      <c r="AF23" t="str">
        <f>IF('Induction Employee Register'!AF22="","",'Induction Employee Register'!AF22)</f>
        <v/>
      </c>
      <c r="AG23" t="str">
        <f>IF('Induction Employee Register'!AG22="","",'Induction Employee Register'!AG22)</f>
        <v/>
      </c>
    </row>
    <row r="24" spans="1:33" x14ac:dyDescent="0.35">
      <c r="A24" s="25" t="str">
        <f>IF('Induction Employee Register'!B23="","",'Induction Employee Register'!B23)</f>
        <v/>
      </c>
      <c r="B24" s="25" t="str">
        <f>IF('Induction Employee Register'!C23="","",'Induction Employee Register'!C23)</f>
        <v/>
      </c>
      <c r="C24" s="26" t="str">
        <f>IF('Induction Employee Register'!D23="","",'Induction Employee Register'!D23)</f>
        <v/>
      </c>
      <c r="D24" s="25">
        <f>IFERROR(INDEX('SW020'!$C$20:$C$45,MATCH("DBS",'SW020'!$A$20:$A$45,0)),"")</f>
        <v>0</v>
      </c>
      <c r="E24" s="26" t="str">
        <f>""</f>
        <v/>
      </c>
      <c r="F24" s="25">
        <f>IFERROR(INDEX('SW020'!$C$20:$C$45,MATCH("Right to Work",'SW020'!$A$20:$A$45,0)),"")</f>
        <v>0</v>
      </c>
      <c r="G24" s="25">
        <f>IFERROR(INDEX('SW020'!$C$20:$C$45,MATCH("Proof of address 1",'SW020'!$A$20:$A$45,0)),"")</f>
        <v>0</v>
      </c>
      <c r="H24" s="25">
        <f>IFERROR(INDEX('SW020'!$C$20:$C$45,MATCH("Two references",'SW020'!$A$20:$A$45,0)),"")</f>
        <v>0</v>
      </c>
      <c r="I24" s="25">
        <f>IFERROR(INDEX('SW020'!$C$20:$C$45,MATCH("Application form",'SW020'!$A$20:$A$45,0)),"")</f>
        <v>0</v>
      </c>
      <c r="J24" s="25">
        <f>IFERROR(INDEX('SW020'!$C$20:$C$45,MATCH("Interview notes",'SW020'!$A$20:$A$45,0)),"")</f>
        <v>0</v>
      </c>
      <c r="K24" s="25">
        <f>IFERROR(INDEX('SW020'!$C$20:$C$45,MATCH("Contract",'SW020'!$A$20:$A$45,0)),"")</f>
        <v>0</v>
      </c>
      <c r="L24" s="25">
        <f>IFERROR(INDEX('SW020'!$C$20:$C$45,MATCH("Job description",'SW020'!$A$20:$A$45,0)),"")</f>
        <v>0</v>
      </c>
      <c r="M24" s="25" t="str">
        <f>IF('Induction Employee Register'!I23&gt;=0.9,"Green",IF('Induction Employee Register'!I23&gt;=0.75,"Amber",IF('Induction Employee Register'!I23&gt;0,"Red","")))</f>
        <v/>
      </c>
      <c r="N24" s="25" t="str">
        <f>""</f>
        <v/>
      </c>
      <c r="O24" s="25">
        <f>IFERROR(INDEX('SW020'!$C$20:$C$45,MATCH("Occupational health/fitness declaration",'SW020'!$A$20:$A$45,0)),"")</f>
        <v>0</v>
      </c>
      <c r="P24" s="25"/>
      <c r="Q24" s="25" t="str">
        <f t="shared" si="0"/>
        <v/>
      </c>
      <c r="R24" s="25"/>
      <c r="S24" s="25"/>
      <c r="T24" s="26"/>
      <c r="U24" s="25" t="str">
        <f t="shared" si="1"/>
        <v/>
      </c>
      <c r="V24" s="25"/>
      <c r="W24" t="str">
        <f>IF('Induction Employee Register'!W23="","",'Induction Employee Register'!W23)</f>
        <v/>
      </c>
      <c r="X24" t="str">
        <f>IF('Induction Employee Register'!X23="","",'Induction Employee Register'!X23)</f>
        <v/>
      </c>
      <c r="Y24" t="str">
        <f>IF('Induction Employee Register'!Y23="","",'Induction Employee Register'!Y23)</f>
        <v/>
      </c>
      <c r="Z24" t="str">
        <f>IF('Induction Employee Register'!Z23="","",'Induction Employee Register'!Z23)</f>
        <v/>
      </c>
      <c r="AA24" t="str">
        <f>IF('Induction Employee Register'!AA23="","",'Induction Employee Register'!AA23)</f>
        <v/>
      </c>
      <c r="AB24" t="str">
        <f>IF('Induction Employee Register'!AB23="","",'Induction Employee Register'!AB23)</f>
        <v/>
      </c>
      <c r="AC24" t="str">
        <f>IF('Induction Employee Register'!AC23="","",'Induction Employee Register'!AC23)</f>
        <v/>
      </c>
      <c r="AD24" t="str">
        <f>IF('Induction Employee Register'!AD23="","",'Induction Employee Register'!AD23)</f>
        <v/>
      </c>
      <c r="AE24" t="str">
        <f>IF('Induction Employee Register'!AE23="","",'Induction Employee Register'!AE23)</f>
        <v/>
      </c>
      <c r="AF24" t="str">
        <f>IF('Induction Employee Register'!AF23="","",'Induction Employee Register'!AF23)</f>
        <v/>
      </c>
      <c r="AG24" t="str">
        <f>IF('Induction Employee Register'!AG23="","",'Induction Employee Register'!AG23)</f>
        <v/>
      </c>
    </row>
    <row r="25" spans="1:33" x14ac:dyDescent="0.35">
      <c r="A25" s="25" t="str">
        <f>IF('Induction Employee Register'!B24="","",'Induction Employee Register'!B24)</f>
        <v/>
      </c>
      <c r="B25" s="25" t="str">
        <f>IF('Induction Employee Register'!C24="","",'Induction Employee Register'!C24)</f>
        <v/>
      </c>
      <c r="C25" s="26" t="str">
        <f>IF('Induction Employee Register'!D24="","",'Induction Employee Register'!D24)</f>
        <v/>
      </c>
      <c r="D25" s="25">
        <f>IFERROR(INDEX('SW021'!$C$20:$C$45,MATCH("DBS",'SW021'!$A$20:$A$45,0)),"")</f>
        <v>0</v>
      </c>
      <c r="E25" s="26" t="str">
        <f>""</f>
        <v/>
      </c>
      <c r="F25" s="25">
        <f>IFERROR(INDEX('SW021'!$C$20:$C$45,MATCH("Right to Work",'SW021'!$A$20:$A$45,0)),"")</f>
        <v>0</v>
      </c>
      <c r="G25" s="25">
        <f>IFERROR(INDEX('SW021'!$C$20:$C$45,MATCH("Proof of address 1",'SW021'!$A$20:$A$45,0)),"")</f>
        <v>0</v>
      </c>
      <c r="H25" s="25">
        <f>IFERROR(INDEX('SW021'!$C$20:$C$45,MATCH("Two references",'SW021'!$A$20:$A$45,0)),"")</f>
        <v>0</v>
      </c>
      <c r="I25" s="25">
        <f>IFERROR(INDEX('SW021'!$C$20:$C$45,MATCH("Application form",'SW021'!$A$20:$A$45,0)),"")</f>
        <v>0</v>
      </c>
      <c r="J25" s="25">
        <f>IFERROR(INDEX('SW021'!$C$20:$C$45,MATCH("Interview notes",'SW021'!$A$20:$A$45,0)),"")</f>
        <v>0</v>
      </c>
      <c r="K25" s="25">
        <f>IFERROR(INDEX('SW021'!$C$20:$C$45,MATCH("Contract",'SW021'!$A$20:$A$45,0)),"")</f>
        <v>0</v>
      </c>
      <c r="L25" s="25">
        <f>IFERROR(INDEX('SW021'!$C$20:$C$45,MATCH("Job description",'SW021'!$A$20:$A$45,0)),"")</f>
        <v>0</v>
      </c>
      <c r="M25" s="25" t="str">
        <f>IF('Induction Employee Register'!I24&gt;=0.9,"Green",IF('Induction Employee Register'!I24&gt;=0.75,"Amber",IF('Induction Employee Register'!I24&gt;0,"Red","")))</f>
        <v/>
      </c>
      <c r="N25" s="25" t="str">
        <f>""</f>
        <v/>
      </c>
      <c r="O25" s="25">
        <f>IFERROR(INDEX('SW021'!$C$20:$C$45,MATCH("Occupational health/fitness declaration",'SW021'!$A$20:$A$45,0)),"")</f>
        <v>0</v>
      </c>
      <c r="P25" s="25"/>
      <c r="Q25" s="25" t="str">
        <f t="shared" si="0"/>
        <v/>
      </c>
      <c r="R25" s="25"/>
      <c r="S25" s="25"/>
      <c r="T25" s="26"/>
      <c r="U25" s="25" t="str">
        <f t="shared" si="1"/>
        <v/>
      </c>
      <c r="V25" s="25"/>
      <c r="W25" t="str">
        <f>IF('Induction Employee Register'!W24="","",'Induction Employee Register'!W24)</f>
        <v/>
      </c>
      <c r="X25" t="str">
        <f>IF('Induction Employee Register'!X24="","",'Induction Employee Register'!X24)</f>
        <v/>
      </c>
      <c r="Y25" t="str">
        <f>IF('Induction Employee Register'!Y24="","",'Induction Employee Register'!Y24)</f>
        <v/>
      </c>
      <c r="Z25" t="str">
        <f>IF('Induction Employee Register'!Z24="","",'Induction Employee Register'!Z24)</f>
        <v/>
      </c>
      <c r="AA25" t="str">
        <f>IF('Induction Employee Register'!AA24="","",'Induction Employee Register'!AA24)</f>
        <v/>
      </c>
      <c r="AB25" t="str">
        <f>IF('Induction Employee Register'!AB24="","",'Induction Employee Register'!AB24)</f>
        <v/>
      </c>
      <c r="AC25" t="str">
        <f>IF('Induction Employee Register'!AC24="","",'Induction Employee Register'!AC24)</f>
        <v/>
      </c>
      <c r="AD25" t="str">
        <f>IF('Induction Employee Register'!AD24="","",'Induction Employee Register'!AD24)</f>
        <v/>
      </c>
      <c r="AE25" t="str">
        <f>IF('Induction Employee Register'!AE24="","",'Induction Employee Register'!AE24)</f>
        <v/>
      </c>
      <c r="AF25" t="str">
        <f>IF('Induction Employee Register'!AF24="","",'Induction Employee Register'!AF24)</f>
        <v/>
      </c>
      <c r="AG25" t="str">
        <f>IF('Induction Employee Register'!AG24="","",'Induction Employee Register'!AG24)</f>
        <v/>
      </c>
    </row>
    <row r="26" spans="1:33" x14ac:dyDescent="0.35">
      <c r="A26" s="25" t="str">
        <f>IF('Induction Employee Register'!B25="","",'Induction Employee Register'!B25)</f>
        <v/>
      </c>
      <c r="B26" s="25" t="str">
        <f>IF('Induction Employee Register'!C25="","",'Induction Employee Register'!C25)</f>
        <v/>
      </c>
      <c r="C26" s="26" t="str">
        <f>IF('Induction Employee Register'!D25="","",'Induction Employee Register'!D25)</f>
        <v/>
      </c>
      <c r="D26" s="25">
        <f>IFERROR(INDEX('SW022'!$C$20:$C$45,MATCH("DBS",'SW022'!$A$20:$A$45,0)),"")</f>
        <v>0</v>
      </c>
      <c r="E26" s="26" t="str">
        <f>""</f>
        <v/>
      </c>
      <c r="F26" s="25">
        <f>IFERROR(INDEX('SW022'!$C$20:$C$45,MATCH("Right to Work",'SW022'!$A$20:$A$45,0)),"")</f>
        <v>0</v>
      </c>
      <c r="G26" s="25">
        <f>IFERROR(INDEX('SW022'!$C$20:$C$45,MATCH("Proof of address 1",'SW022'!$A$20:$A$45,0)),"")</f>
        <v>0</v>
      </c>
      <c r="H26" s="25">
        <f>IFERROR(INDEX('SW022'!$C$20:$C$45,MATCH("Two references",'SW022'!$A$20:$A$45,0)),"")</f>
        <v>0</v>
      </c>
      <c r="I26" s="25">
        <f>IFERROR(INDEX('SW022'!$C$20:$C$45,MATCH("Application form",'SW022'!$A$20:$A$45,0)),"")</f>
        <v>0</v>
      </c>
      <c r="J26" s="25">
        <f>IFERROR(INDEX('SW022'!$C$20:$C$45,MATCH("Interview notes",'SW022'!$A$20:$A$45,0)),"")</f>
        <v>0</v>
      </c>
      <c r="K26" s="25">
        <f>IFERROR(INDEX('SW022'!$C$20:$C$45,MATCH("Contract",'SW022'!$A$20:$A$45,0)),"")</f>
        <v>0</v>
      </c>
      <c r="L26" s="25">
        <f>IFERROR(INDEX('SW022'!$C$20:$C$45,MATCH("Job description",'SW022'!$A$20:$A$45,0)),"")</f>
        <v>0</v>
      </c>
      <c r="M26" s="25" t="str">
        <f>IF('Induction Employee Register'!I25&gt;=0.9,"Green",IF('Induction Employee Register'!I25&gt;=0.75,"Amber",IF('Induction Employee Register'!I25&gt;0,"Red","")))</f>
        <v/>
      </c>
      <c r="N26" s="25" t="str">
        <f>""</f>
        <v/>
      </c>
      <c r="O26" s="25">
        <f>IFERROR(INDEX('SW022'!$C$20:$C$45,MATCH("Occupational health/fitness declaration",'SW022'!$A$20:$A$45,0)),"")</f>
        <v>0</v>
      </c>
      <c r="P26" s="25"/>
      <c r="Q26" s="25" t="str">
        <f t="shared" si="0"/>
        <v/>
      </c>
      <c r="R26" s="25"/>
      <c r="S26" s="25"/>
      <c r="T26" s="26"/>
      <c r="U26" s="25" t="str">
        <f t="shared" si="1"/>
        <v/>
      </c>
      <c r="V26" s="25"/>
      <c r="W26" t="str">
        <f>IF('Induction Employee Register'!W25="","",'Induction Employee Register'!W25)</f>
        <v/>
      </c>
      <c r="X26" t="str">
        <f>IF('Induction Employee Register'!X25="","",'Induction Employee Register'!X25)</f>
        <v/>
      </c>
      <c r="Y26" t="str">
        <f>IF('Induction Employee Register'!Y25="","",'Induction Employee Register'!Y25)</f>
        <v/>
      </c>
      <c r="Z26" t="str">
        <f>IF('Induction Employee Register'!Z25="","",'Induction Employee Register'!Z25)</f>
        <v/>
      </c>
      <c r="AA26" t="str">
        <f>IF('Induction Employee Register'!AA25="","",'Induction Employee Register'!AA25)</f>
        <v/>
      </c>
      <c r="AB26" t="str">
        <f>IF('Induction Employee Register'!AB25="","",'Induction Employee Register'!AB25)</f>
        <v/>
      </c>
      <c r="AC26" t="str">
        <f>IF('Induction Employee Register'!AC25="","",'Induction Employee Register'!AC25)</f>
        <v/>
      </c>
      <c r="AD26" t="str">
        <f>IF('Induction Employee Register'!AD25="","",'Induction Employee Register'!AD25)</f>
        <v/>
      </c>
      <c r="AE26" t="str">
        <f>IF('Induction Employee Register'!AE25="","",'Induction Employee Register'!AE25)</f>
        <v/>
      </c>
      <c r="AF26" t="str">
        <f>IF('Induction Employee Register'!AF25="","",'Induction Employee Register'!AF25)</f>
        <v/>
      </c>
      <c r="AG26" t="str">
        <f>IF('Induction Employee Register'!AG25="","",'Induction Employee Register'!AG25)</f>
        <v/>
      </c>
    </row>
    <row r="27" spans="1:33" x14ac:dyDescent="0.35">
      <c r="A27" s="25" t="str">
        <f>IF('Induction Employee Register'!B26="","",'Induction Employee Register'!B26)</f>
        <v/>
      </c>
      <c r="B27" s="25" t="str">
        <f>IF('Induction Employee Register'!C26="","",'Induction Employee Register'!C26)</f>
        <v/>
      </c>
      <c r="C27" s="26" t="str">
        <f>IF('Induction Employee Register'!D26="","",'Induction Employee Register'!D26)</f>
        <v/>
      </c>
      <c r="D27" s="25">
        <f>IFERROR(INDEX('SW023'!$C$20:$C$45,MATCH("DBS",'SW023'!$A$20:$A$45,0)),"")</f>
        <v>0</v>
      </c>
      <c r="E27" s="26" t="str">
        <f>""</f>
        <v/>
      </c>
      <c r="F27" s="25">
        <f>IFERROR(INDEX('SW023'!$C$20:$C$45,MATCH("Right to Work",'SW023'!$A$20:$A$45,0)),"")</f>
        <v>0</v>
      </c>
      <c r="G27" s="25">
        <f>IFERROR(INDEX('SW023'!$C$20:$C$45,MATCH("Proof of address 1",'SW023'!$A$20:$A$45,0)),"")</f>
        <v>0</v>
      </c>
      <c r="H27" s="25">
        <f>IFERROR(INDEX('SW023'!$C$20:$C$45,MATCH("Two references",'SW023'!$A$20:$A$45,0)),"")</f>
        <v>0</v>
      </c>
      <c r="I27" s="25">
        <f>IFERROR(INDEX('SW023'!$C$20:$C$45,MATCH("Application form",'SW023'!$A$20:$A$45,0)),"")</f>
        <v>0</v>
      </c>
      <c r="J27" s="25">
        <f>IFERROR(INDEX('SW023'!$C$20:$C$45,MATCH("Interview notes",'SW023'!$A$20:$A$45,0)),"")</f>
        <v>0</v>
      </c>
      <c r="K27" s="25">
        <f>IFERROR(INDEX('SW023'!$C$20:$C$45,MATCH("Contract",'SW023'!$A$20:$A$45,0)),"")</f>
        <v>0</v>
      </c>
      <c r="L27" s="25">
        <f>IFERROR(INDEX('SW023'!$C$20:$C$45,MATCH("Job description",'SW023'!$A$20:$A$45,0)),"")</f>
        <v>0</v>
      </c>
      <c r="M27" s="25" t="str">
        <f>IF('Induction Employee Register'!I26&gt;=0.9,"Green",IF('Induction Employee Register'!I26&gt;=0.75,"Amber",IF('Induction Employee Register'!I26&gt;0,"Red","")))</f>
        <v/>
      </c>
      <c r="N27" s="25" t="str">
        <f>""</f>
        <v/>
      </c>
      <c r="O27" s="25">
        <f>IFERROR(INDEX('SW023'!$C$20:$C$45,MATCH("Occupational health/fitness declaration",'SW023'!$A$20:$A$45,0)),"")</f>
        <v>0</v>
      </c>
      <c r="P27" s="25"/>
      <c r="Q27" s="25" t="str">
        <f t="shared" si="0"/>
        <v/>
      </c>
      <c r="R27" s="25"/>
      <c r="S27" s="25"/>
      <c r="T27" s="26"/>
      <c r="U27" s="25" t="str">
        <f t="shared" si="1"/>
        <v/>
      </c>
      <c r="V27" s="25"/>
      <c r="W27" t="str">
        <f>IF('Induction Employee Register'!W26="","",'Induction Employee Register'!W26)</f>
        <v/>
      </c>
      <c r="X27" t="str">
        <f>IF('Induction Employee Register'!X26="","",'Induction Employee Register'!X26)</f>
        <v/>
      </c>
      <c r="Y27" t="str">
        <f>IF('Induction Employee Register'!Y26="","",'Induction Employee Register'!Y26)</f>
        <v/>
      </c>
      <c r="Z27" t="str">
        <f>IF('Induction Employee Register'!Z26="","",'Induction Employee Register'!Z26)</f>
        <v/>
      </c>
      <c r="AA27" t="str">
        <f>IF('Induction Employee Register'!AA26="","",'Induction Employee Register'!AA26)</f>
        <v/>
      </c>
      <c r="AB27" t="str">
        <f>IF('Induction Employee Register'!AB26="","",'Induction Employee Register'!AB26)</f>
        <v/>
      </c>
      <c r="AC27" t="str">
        <f>IF('Induction Employee Register'!AC26="","",'Induction Employee Register'!AC26)</f>
        <v/>
      </c>
      <c r="AD27" t="str">
        <f>IF('Induction Employee Register'!AD26="","",'Induction Employee Register'!AD26)</f>
        <v/>
      </c>
      <c r="AE27" t="str">
        <f>IF('Induction Employee Register'!AE26="","",'Induction Employee Register'!AE26)</f>
        <v/>
      </c>
      <c r="AF27" t="str">
        <f>IF('Induction Employee Register'!AF26="","",'Induction Employee Register'!AF26)</f>
        <v/>
      </c>
      <c r="AG27" t="str">
        <f>IF('Induction Employee Register'!AG26="","",'Induction Employee Register'!AG26)</f>
        <v/>
      </c>
    </row>
    <row r="28" spans="1:33" x14ac:dyDescent="0.35">
      <c r="A28" s="25" t="str">
        <f>IF('Induction Employee Register'!B27="","",'Induction Employee Register'!B27)</f>
        <v/>
      </c>
      <c r="B28" s="25" t="str">
        <f>IF('Induction Employee Register'!C27="","",'Induction Employee Register'!C27)</f>
        <v/>
      </c>
      <c r="C28" s="26" t="str">
        <f>IF('Induction Employee Register'!D27="","",'Induction Employee Register'!D27)</f>
        <v/>
      </c>
      <c r="D28" s="25">
        <f>IFERROR(INDEX('SW024'!$C$20:$C$45,MATCH("DBS",'SW024'!$A$20:$A$45,0)),"")</f>
        <v>0</v>
      </c>
      <c r="E28" s="26" t="str">
        <f>""</f>
        <v/>
      </c>
      <c r="F28" s="25">
        <f>IFERROR(INDEX('SW024'!$C$20:$C$45,MATCH("Right to Work",'SW024'!$A$20:$A$45,0)),"")</f>
        <v>0</v>
      </c>
      <c r="G28" s="25">
        <f>IFERROR(INDEX('SW024'!$C$20:$C$45,MATCH("Proof of address 1",'SW024'!$A$20:$A$45,0)),"")</f>
        <v>0</v>
      </c>
      <c r="H28" s="25">
        <f>IFERROR(INDEX('SW024'!$C$20:$C$45,MATCH("Two references",'SW024'!$A$20:$A$45,0)),"")</f>
        <v>0</v>
      </c>
      <c r="I28" s="25">
        <f>IFERROR(INDEX('SW024'!$C$20:$C$45,MATCH("Application form",'SW024'!$A$20:$A$45,0)),"")</f>
        <v>0</v>
      </c>
      <c r="J28" s="25">
        <f>IFERROR(INDEX('SW024'!$C$20:$C$45,MATCH("Interview notes",'SW024'!$A$20:$A$45,0)),"")</f>
        <v>0</v>
      </c>
      <c r="K28" s="25">
        <f>IFERROR(INDEX('SW024'!$C$20:$C$45,MATCH("Contract",'SW024'!$A$20:$A$45,0)),"")</f>
        <v>0</v>
      </c>
      <c r="L28" s="25">
        <f>IFERROR(INDEX('SW024'!$C$20:$C$45,MATCH("Job description",'SW024'!$A$20:$A$45,0)),"")</f>
        <v>0</v>
      </c>
      <c r="M28" s="25" t="str">
        <f>IF('Induction Employee Register'!I27&gt;=0.9,"Green",IF('Induction Employee Register'!I27&gt;=0.75,"Amber",IF('Induction Employee Register'!I27&gt;0,"Red","")))</f>
        <v/>
      </c>
      <c r="N28" s="25" t="str">
        <f>""</f>
        <v/>
      </c>
      <c r="O28" s="25">
        <f>IFERROR(INDEX('SW024'!$C$20:$C$45,MATCH("Occupational health/fitness declaration",'SW024'!$A$20:$A$45,0)),"")</f>
        <v>0</v>
      </c>
      <c r="P28" s="25"/>
      <c r="Q28" s="25" t="str">
        <f t="shared" si="0"/>
        <v/>
      </c>
      <c r="R28" s="25"/>
      <c r="S28" s="25"/>
      <c r="T28" s="26"/>
      <c r="U28" s="25" t="str">
        <f t="shared" si="1"/>
        <v/>
      </c>
      <c r="V28" s="25"/>
      <c r="W28" t="str">
        <f>IF('Induction Employee Register'!W27="","",'Induction Employee Register'!W27)</f>
        <v/>
      </c>
      <c r="X28" t="str">
        <f>IF('Induction Employee Register'!X27="","",'Induction Employee Register'!X27)</f>
        <v/>
      </c>
      <c r="Y28" t="str">
        <f>IF('Induction Employee Register'!Y27="","",'Induction Employee Register'!Y27)</f>
        <v/>
      </c>
      <c r="Z28" t="str">
        <f>IF('Induction Employee Register'!Z27="","",'Induction Employee Register'!Z27)</f>
        <v/>
      </c>
      <c r="AA28" t="str">
        <f>IF('Induction Employee Register'!AA27="","",'Induction Employee Register'!AA27)</f>
        <v/>
      </c>
      <c r="AB28" t="str">
        <f>IF('Induction Employee Register'!AB27="","",'Induction Employee Register'!AB27)</f>
        <v/>
      </c>
      <c r="AC28" t="str">
        <f>IF('Induction Employee Register'!AC27="","",'Induction Employee Register'!AC27)</f>
        <v/>
      </c>
      <c r="AD28" t="str">
        <f>IF('Induction Employee Register'!AD27="","",'Induction Employee Register'!AD27)</f>
        <v/>
      </c>
      <c r="AE28" t="str">
        <f>IF('Induction Employee Register'!AE27="","",'Induction Employee Register'!AE27)</f>
        <v/>
      </c>
      <c r="AF28" t="str">
        <f>IF('Induction Employee Register'!AF27="","",'Induction Employee Register'!AF27)</f>
        <v/>
      </c>
      <c r="AG28" t="str">
        <f>IF('Induction Employee Register'!AG27="","",'Induction Employee Register'!AG27)</f>
        <v/>
      </c>
    </row>
    <row r="29" spans="1:33" x14ac:dyDescent="0.35">
      <c r="A29" s="25" t="str">
        <f>IF('Induction Employee Register'!B28="","",'Induction Employee Register'!B28)</f>
        <v/>
      </c>
      <c r="B29" s="25" t="str">
        <f>IF('Induction Employee Register'!C28="","",'Induction Employee Register'!C28)</f>
        <v/>
      </c>
      <c r="C29" s="26" t="str">
        <f>IF('Induction Employee Register'!D28="","",'Induction Employee Register'!D28)</f>
        <v/>
      </c>
      <c r="D29" s="25">
        <f>IFERROR(INDEX('SW025'!$C$20:$C$45,MATCH("DBS",'SW025'!$A$20:$A$45,0)),"")</f>
        <v>0</v>
      </c>
      <c r="E29" s="26" t="str">
        <f>""</f>
        <v/>
      </c>
      <c r="F29" s="25">
        <f>IFERROR(INDEX('SW025'!$C$20:$C$45,MATCH("Right to Work",'SW025'!$A$20:$A$45,0)),"")</f>
        <v>0</v>
      </c>
      <c r="G29" s="25">
        <f>IFERROR(INDEX('SW025'!$C$20:$C$45,MATCH("Proof of address 1",'SW025'!$A$20:$A$45,0)),"")</f>
        <v>0</v>
      </c>
      <c r="H29" s="25">
        <f>IFERROR(INDEX('SW025'!$C$20:$C$45,MATCH("Two references",'SW025'!$A$20:$A$45,0)),"")</f>
        <v>0</v>
      </c>
      <c r="I29" s="25">
        <f>IFERROR(INDEX('SW025'!$C$20:$C$45,MATCH("Application form",'SW025'!$A$20:$A$45,0)),"")</f>
        <v>0</v>
      </c>
      <c r="J29" s="25">
        <f>IFERROR(INDEX('SW025'!$C$20:$C$45,MATCH("Interview notes",'SW025'!$A$20:$A$45,0)),"")</f>
        <v>0</v>
      </c>
      <c r="K29" s="25">
        <f>IFERROR(INDEX('SW025'!$C$20:$C$45,MATCH("Contract",'SW025'!$A$20:$A$45,0)),"")</f>
        <v>0</v>
      </c>
      <c r="L29" s="25">
        <f>IFERROR(INDEX('SW025'!$C$20:$C$45,MATCH("Job description",'SW025'!$A$20:$A$45,0)),"")</f>
        <v>0</v>
      </c>
      <c r="M29" s="25" t="str">
        <f>IF('Induction Employee Register'!I28&gt;=0.9,"Green",IF('Induction Employee Register'!I28&gt;=0.75,"Amber",IF('Induction Employee Register'!I28&gt;0,"Red","")))</f>
        <v/>
      </c>
      <c r="N29" s="25" t="str">
        <f>""</f>
        <v/>
      </c>
      <c r="O29" s="25">
        <f>IFERROR(INDEX('SW025'!$C$20:$C$45,MATCH("Occupational health/fitness declaration",'SW025'!$A$20:$A$45,0)),"")</f>
        <v>0</v>
      </c>
      <c r="P29" s="25"/>
      <c r="Q29" s="25" t="str">
        <f t="shared" si="0"/>
        <v/>
      </c>
      <c r="R29" s="25"/>
      <c r="S29" s="25"/>
      <c r="T29" s="26"/>
      <c r="U29" s="25" t="str">
        <f t="shared" si="1"/>
        <v/>
      </c>
      <c r="V29" s="25"/>
      <c r="W29" t="str">
        <f>IF('Induction Employee Register'!W28="","",'Induction Employee Register'!W28)</f>
        <v/>
      </c>
      <c r="X29" t="str">
        <f>IF('Induction Employee Register'!X28="","",'Induction Employee Register'!X28)</f>
        <v/>
      </c>
      <c r="Y29" t="str">
        <f>IF('Induction Employee Register'!Y28="","",'Induction Employee Register'!Y28)</f>
        <v/>
      </c>
      <c r="Z29" t="str">
        <f>IF('Induction Employee Register'!Z28="","",'Induction Employee Register'!Z28)</f>
        <v/>
      </c>
      <c r="AA29" t="str">
        <f>IF('Induction Employee Register'!AA28="","",'Induction Employee Register'!AA28)</f>
        <v/>
      </c>
      <c r="AB29" t="str">
        <f>IF('Induction Employee Register'!AB28="","",'Induction Employee Register'!AB28)</f>
        <v/>
      </c>
      <c r="AC29" t="str">
        <f>IF('Induction Employee Register'!AC28="","",'Induction Employee Register'!AC28)</f>
        <v/>
      </c>
      <c r="AD29" t="str">
        <f>IF('Induction Employee Register'!AD28="","",'Induction Employee Register'!AD28)</f>
        <v/>
      </c>
      <c r="AE29" t="str">
        <f>IF('Induction Employee Register'!AE28="","",'Induction Employee Register'!AE28)</f>
        <v/>
      </c>
      <c r="AF29" t="str">
        <f>IF('Induction Employee Register'!AF28="","",'Induction Employee Register'!AF28)</f>
        <v/>
      </c>
      <c r="AG29" t="str">
        <f>IF('Induction Employee Register'!AG28="","",'Induction Employee Register'!AG28)</f>
        <v/>
      </c>
    </row>
    <row r="30" spans="1:33" x14ac:dyDescent="0.35">
      <c r="A30" s="25"/>
      <c r="B30" s="25"/>
      <c r="C30" s="26"/>
      <c r="D30" s="25"/>
      <c r="E30" s="26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6"/>
      <c r="U30" s="25"/>
      <c r="V30" s="25"/>
    </row>
    <row r="31" spans="1:33" x14ac:dyDescent="0.35">
      <c r="A31" s="25"/>
      <c r="B31" s="25"/>
      <c r="C31" s="26"/>
      <c r="D31" s="25"/>
      <c r="E31" s="26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6"/>
      <c r="U31" s="25"/>
      <c r="V31" s="25"/>
    </row>
    <row r="32" spans="1:33" x14ac:dyDescent="0.35">
      <c r="A32" s="25"/>
      <c r="B32" s="25"/>
      <c r="C32" s="26"/>
      <c r="D32" s="25"/>
      <c r="E32" s="26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6"/>
      <c r="U32" s="25"/>
      <c r="V32" s="25"/>
    </row>
    <row r="33" spans="1:22" x14ac:dyDescent="0.35">
      <c r="A33" s="25"/>
      <c r="B33" s="25"/>
      <c r="C33" s="26"/>
      <c r="D33" s="25"/>
      <c r="E33" s="26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6"/>
      <c r="U33" s="25"/>
      <c r="V33" s="25"/>
    </row>
    <row r="34" spans="1:22" x14ac:dyDescent="0.35">
      <c r="A34" s="25"/>
      <c r="B34" s="25"/>
      <c r="C34" s="26"/>
      <c r="D34" s="25"/>
      <c r="E34" s="26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6"/>
      <c r="U34" s="25"/>
      <c r="V34" s="25"/>
    </row>
    <row r="35" spans="1:22" x14ac:dyDescent="0.35">
      <c r="A35" s="25"/>
      <c r="B35" s="25"/>
      <c r="C35" s="26"/>
      <c r="D35" s="25"/>
      <c r="E35" s="26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6"/>
      <c r="U35" s="25"/>
      <c r="V35" s="25"/>
    </row>
    <row r="36" spans="1:22" x14ac:dyDescent="0.35">
      <c r="A36" s="25"/>
      <c r="B36" s="25"/>
      <c r="C36" s="26"/>
      <c r="D36" s="25"/>
      <c r="E36" s="26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6"/>
      <c r="U36" s="25"/>
      <c r="V36" s="25"/>
    </row>
    <row r="37" spans="1:22" x14ac:dyDescent="0.35">
      <c r="A37" s="25"/>
      <c r="B37" s="25"/>
      <c r="C37" s="26"/>
      <c r="D37" s="25"/>
      <c r="E37" s="26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6"/>
      <c r="U37" s="25"/>
      <c r="V37" s="25"/>
    </row>
    <row r="38" spans="1:22" x14ac:dyDescent="0.35">
      <c r="A38" s="25"/>
      <c r="B38" s="25"/>
      <c r="C38" s="26"/>
      <c r="D38" s="25"/>
      <c r="E38" s="26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6"/>
      <c r="U38" s="25"/>
      <c r="V38" s="25"/>
    </row>
    <row r="39" spans="1:22" x14ac:dyDescent="0.35">
      <c r="A39" s="25"/>
      <c r="B39" s="25"/>
      <c r="C39" s="26"/>
      <c r="D39" s="25"/>
      <c r="E39" s="26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6"/>
      <c r="U39" s="25"/>
      <c r="V39" s="25"/>
    </row>
    <row r="40" spans="1:22" x14ac:dyDescent="0.35">
      <c r="A40" s="25"/>
      <c r="B40" s="25"/>
      <c r="C40" s="26"/>
      <c r="D40" s="25"/>
      <c r="E40" s="26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6"/>
      <c r="U40" s="25"/>
      <c r="V40" s="25"/>
    </row>
    <row r="41" spans="1:22" x14ac:dyDescent="0.35">
      <c r="A41" s="25"/>
      <c r="B41" s="25"/>
      <c r="C41" s="26"/>
      <c r="D41" s="25"/>
      <c r="E41" s="26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6"/>
      <c r="U41" s="25"/>
      <c r="V41" s="25"/>
    </row>
    <row r="42" spans="1:22" x14ac:dyDescent="0.35">
      <c r="A42" s="25"/>
      <c r="B42" s="25"/>
      <c r="C42" s="26"/>
      <c r="D42" s="25"/>
      <c r="E42" s="26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6"/>
      <c r="U42" s="25"/>
      <c r="V42" s="25"/>
    </row>
    <row r="43" spans="1:22" x14ac:dyDescent="0.35">
      <c r="A43" s="25"/>
      <c r="B43" s="25"/>
      <c r="C43" s="26"/>
      <c r="D43" s="25"/>
      <c r="E43" s="26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6"/>
      <c r="U43" s="25"/>
      <c r="V43" s="25"/>
    </row>
    <row r="44" spans="1:22" x14ac:dyDescent="0.35">
      <c r="A44" s="25"/>
      <c r="B44" s="25"/>
      <c r="C44" s="26"/>
      <c r="D44" s="25"/>
      <c r="E44" s="26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6"/>
      <c r="U44" s="25"/>
      <c r="V44" s="25"/>
    </row>
    <row r="45" spans="1:22" x14ac:dyDescent="0.35">
      <c r="A45" s="25"/>
      <c r="B45" s="25"/>
      <c r="C45" s="26"/>
      <c r="D45" s="25"/>
      <c r="E45" s="26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6"/>
      <c r="U45" s="25"/>
      <c r="V45" s="25"/>
    </row>
    <row r="46" spans="1:22" x14ac:dyDescent="0.35">
      <c r="A46" s="25"/>
      <c r="B46" s="25"/>
      <c r="C46" s="26"/>
      <c r="D46" s="25"/>
      <c r="E46" s="26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6"/>
      <c r="U46" s="25"/>
      <c r="V46" s="25"/>
    </row>
    <row r="47" spans="1:22" x14ac:dyDescent="0.35">
      <c r="A47" s="25"/>
      <c r="B47" s="25"/>
      <c r="C47" s="26"/>
      <c r="D47" s="25"/>
      <c r="E47" s="26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6"/>
      <c r="U47" s="25"/>
      <c r="V47" s="25"/>
    </row>
    <row r="48" spans="1:22" x14ac:dyDescent="0.35">
      <c r="A48" s="25"/>
      <c r="B48" s="25"/>
      <c r="C48" s="26"/>
      <c r="D48" s="25"/>
      <c r="E48" s="26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6"/>
      <c r="U48" s="25"/>
      <c r="V48" s="25"/>
    </row>
    <row r="49" spans="1:22" x14ac:dyDescent="0.35">
      <c r="A49" s="25"/>
      <c r="B49" s="25"/>
      <c r="C49" s="26"/>
      <c r="D49" s="25"/>
      <c r="E49" s="26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6"/>
      <c r="U49" s="25"/>
      <c r="V49" s="25"/>
    </row>
    <row r="50" spans="1:22" x14ac:dyDescent="0.35">
      <c r="A50" s="25"/>
      <c r="B50" s="25"/>
      <c r="C50" s="26"/>
      <c r="D50" s="25"/>
      <c r="E50" s="26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6"/>
      <c r="U50" s="25"/>
      <c r="V50" s="25"/>
    </row>
    <row r="51" spans="1:22" x14ac:dyDescent="0.35">
      <c r="A51" s="25"/>
      <c r="B51" s="25"/>
      <c r="C51" s="26"/>
      <c r="D51" s="25"/>
      <c r="E51" s="26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6"/>
      <c r="U51" s="25"/>
      <c r="V51" s="25"/>
    </row>
    <row r="52" spans="1:22" x14ac:dyDescent="0.35">
      <c r="A52" s="25"/>
      <c r="B52" s="25"/>
      <c r="C52" s="26"/>
      <c r="D52" s="25"/>
      <c r="E52" s="26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6"/>
      <c r="U52" s="25"/>
      <c r="V52" s="25"/>
    </row>
    <row r="53" spans="1:22" x14ac:dyDescent="0.35">
      <c r="A53" s="25"/>
      <c r="B53" s="25"/>
      <c r="C53" s="26"/>
      <c r="D53" s="25"/>
      <c r="E53" s="26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6"/>
      <c r="U53" s="25"/>
      <c r="V53" s="25"/>
    </row>
    <row r="54" spans="1:22" x14ac:dyDescent="0.35">
      <c r="A54" s="25"/>
      <c r="B54" s="25"/>
      <c r="C54" s="26"/>
      <c r="D54" s="25"/>
      <c r="E54" s="26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6"/>
      <c r="U54" s="25"/>
      <c r="V54" s="25"/>
    </row>
    <row r="55" spans="1:22" x14ac:dyDescent="0.35">
      <c r="A55" s="25"/>
      <c r="B55" s="25"/>
      <c r="C55" s="26"/>
      <c r="D55" s="25"/>
      <c r="E55" s="26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6"/>
      <c r="U55" s="25"/>
      <c r="V55" s="25"/>
    </row>
    <row r="56" spans="1:22" x14ac:dyDescent="0.35">
      <c r="A56" s="25"/>
      <c r="B56" s="25"/>
      <c r="C56" s="26"/>
      <c r="D56" s="25"/>
      <c r="E56" s="26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6"/>
      <c r="U56" s="25"/>
      <c r="V56" s="25"/>
    </row>
    <row r="57" spans="1:22" x14ac:dyDescent="0.35">
      <c r="A57" s="25"/>
      <c r="B57" s="25"/>
      <c r="C57" s="26"/>
      <c r="D57" s="25"/>
      <c r="E57" s="26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6"/>
      <c r="U57" s="25"/>
      <c r="V57" s="25"/>
    </row>
    <row r="58" spans="1:22" x14ac:dyDescent="0.35">
      <c r="A58" s="25"/>
      <c r="B58" s="25"/>
      <c r="C58" s="26"/>
      <c r="D58" s="25"/>
      <c r="E58" s="26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6"/>
      <c r="U58" s="25"/>
      <c r="V58" s="25"/>
    </row>
    <row r="59" spans="1:22" x14ac:dyDescent="0.35">
      <c r="A59" s="25"/>
      <c r="B59" s="25"/>
      <c r="C59" s="26"/>
      <c r="D59" s="25"/>
      <c r="E59" s="26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6"/>
      <c r="U59" s="25"/>
      <c r="V59" s="25"/>
    </row>
    <row r="60" spans="1:22" x14ac:dyDescent="0.35">
      <c r="A60" s="25"/>
      <c r="B60" s="25"/>
      <c r="C60" s="26"/>
      <c r="D60" s="25"/>
      <c r="E60" s="26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6"/>
      <c r="U60" s="25"/>
      <c r="V60" s="25"/>
    </row>
    <row r="61" spans="1:22" x14ac:dyDescent="0.35">
      <c r="A61" s="25"/>
      <c r="B61" s="25"/>
      <c r="C61" s="26"/>
      <c r="D61" s="25"/>
      <c r="E61" s="26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6"/>
      <c r="U61" s="25"/>
      <c r="V61" s="25"/>
    </row>
    <row r="62" spans="1:22" x14ac:dyDescent="0.35">
      <c r="A62" s="25"/>
      <c r="B62" s="25"/>
      <c r="C62" s="26"/>
      <c r="D62" s="25"/>
      <c r="E62" s="26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6"/>
      <c r="U62" s="25"/>
      <c r="V62" s="25"/>
    </row>
    <row r="63" spans="1:22" x14ac:dyDescent="0.35">
      <c r="A63" s="25"/>
      <c r="B63" s="25"/>
      <c r="C63" s="26"/>
      <c r="D63" s="25"/>
      <c r="E63" s="26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6"/>
      <c r="U63" s="25"/>
      <c r="V63" s="25"/>
    </row>
    <row r="64" spans="1:22" x14ac:dyDescent="0.35">
      <c r="A64" s="25"/>
      <c r="B64" s="25"/>
      <c r="C64" s="26"/>
      <c r="D64" s="25"/>
      <c r="E64" s="26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6"/>
      <c r="U64" s="25"/>
      <c r="V64" s="25"/>
    </row>
    <row r="65" spans="1:22" x14ac:dyDescent="0.35">
      <c r="A65" s="25"/>
      <c r="B65" s="25"/>
      <c r="C65" s="26"/>
      <c r="D65" s="25"/>
      <c r="E65" s="26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6"/>
      <c r="U65" s="25"/>
      <c r="V65" s="25"/>
    </row>
    <row r="66" spans="1:22" x14ac:dyDescent="0.35">
      <c r="A66" s="25"/>
      <c r="B66" s="25"/>
      <c r="C66" s="26"/>
      <c r="D66" s="25"/>
      <c r="E66" s="26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6"/>
      <c r="U66" s="25"/>
      <c r="V66" s="25"/>
    </row>
    <row r="67" spans="1:22" x14ac:dyDescent="0.35">
      <c r="A67" s="25"/>
      <c r="B67" s="25"/>
      <c r="C67" s="26"/>
      <c r="D67" s="25"/>
      <c r="E67" s="26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6"/>
      <c r="U67" s="25"/>
      <c r="V67" s="25"/>
    </row>
    <row r="68" spans="1:22" x14ac:dyDescent="0.35">
      <c r="A68" s="25"/>
      <c r="B68" s="25"/>
      <c r="C68" s="26"/>
      <c r="D68" s="25"/>
      <c r="E68" s="26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6"/>
      <c r="U68" s="25"/>
      <c r="V68" s="25"/>
    </row>
    <row r="69" spans="1:22" x14ac:dyDescent="0.35">
      <c r="A69" s="25"/>
      <c r="B69" s="25"/>
      <c r="C69" s="26"/>
      <c r="D69" s="25"/>
      <c r="E69" s="26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6"/>
      <c r="U69" s="25"/>
      <c r="V69" s="25"/>
    </row>
    <row r="70" spans="1:22" x14ac:dyDescent="0.35">
      <c r="A70" s="25"/>
      <c r="B70" s="25"/>
      <c r="C70" s="26"/>
      <c r="D70" s="25"/>
      <c r="E70" s="26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6"/>
      <c r="U70" s="25"/>
      <c r="V70" s="25"/>
    </row>
    <row r="71" spans="1:22" x14ac:dyDescent="0.35">
      <c r="A71" s="25"/>
      <c r="B71" s="25"/>
      <c r="C71" s="26"/>
      <c r="D71" s="25"/>
      <c r="E71" s="26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6"/>
      <c r="U71" s="25"/>
      <c r="V71" s="25"/>
    </row>
    <row r="72" spans="1:22" x14ac:dyDescent="0.35">
      <c r="A72" s="25"/>
      <c r="B72" s="25"/>
      <c r="C72" s="26"/>
      <c r="D72" s="25"/>
      <c r="E72" s="26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6"/>
      <c r="U72" s="25"/>
      <c r="V72" s="25"/>
    </row>
    <row r="73" spans="1:22" x14ac:dyDescent="0.35">
      <c r="A73" s="25"/>
      <c r="B73" s="25"/>
      <c r="C73" s="26"/>
      <c r="D73" s="25"/>
      <c r="E73" s="26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6"/>
      <c r="U73" s="25"/>
      <c r="V73" s="25"/>
    </row>
    <row r="74" spans="1:22" x14ac:dyDescent="0.35">
      <c r="A74" s="25"/>
      <c r="B74" s="25"/>
      <c r="C74" s="26"/>
      <c r="D74" s="25"/>
      <c r="E74" s="26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6"/>
      <c r="U74" s="25"/>
      <c r="V74" s="25"/>
    </row>
    <row r="75" spans="1:22" x14ac:dyDescent="0.35">
      <c r="A75" s="25"/>
      <c r="B75" s="25"/>
      <c r="C75" s="26"/>
      <c r="D75" s="25"/>
      <c r="E75" s="26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6"/>
      <c r="U75" s="25"/>
      <c r="V75" s="25"/>
    </row>
    <row r="76" spans="1:22" x14ac:dyDescent="0.35">
      <c r="A76" s="25"/>
      <c r="B76" s="25"/>
      <c r="C76" s="26"/>
      <c r="D76" s="25"/>
      <c r="E76" s="26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6"/>
      <c r="U76" s="25"/>
      <c r="V76" s="25"/>
    </row>
    <row r="77" spans="1:22" x14ac:dyDescent="0.35">
      <c r="A77" s="25"/>
      <c r="B77" s="25"/>
      <c r="C77" s="26"/>
      <c r="D77" s="25"/>
      <c r="E77" s="26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6"/>
      <c r="U77" s="25"/>
      <c r="V77" s="25"/>
    </row>
    <row r="78" spans="1:22" x14ac:dyDescent="0.35">
      <c r="A78" s="25"/>
      <c r="B78" s="25"/>
      <c r="C78" s="26"/>
      <c r="D78" s="25"/>
      <c r="E78" s="26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6"/>
      <c r="U78" s="25"/>
      <c r="V78" s="25"/>
    </row>
    <row r="79" spans="1:22" x14ac:dyDescent="0.35">
      <c r="A79" s="25"/>
      <c r="B79" s="25"/>
      <c r="C79" s="26"/>
      <c r="D79" s="25"/>
      <c r="E79" s="26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6"/>
      <c r="U79" s="25"/>
      <c r="V79" s="25"/>
    </row>
    <row r="80" spans="1:22" x14ac:dyDescent="0.35">
      <c r="A80" s="25"/>
      <c r="B80" s="25"/>
      <c r="C80" s="26"/>
      <c r="D80" s="25"/>
      <c r="E80" s="26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6"/>
      <c r="U80" s="25"/>
      <c r="V80" s="25"/>
    </row>
    <row r="81" spans="1:22" x14ac:dyDescent="0.35">
      <c r="A81" s="25"/>
      <c r="B81" s="25"/>
      <c r="C81" s="26"/>
      <c r="D81" s="25"/>
      <c r="E81" s="26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6"/>
      <c r="U81" s="25"/>
      <c r="V81" s="25"/>
    </row>
    <row r="82" spans="1:22" x14ac:dyDescent="0.35">
      <c r="A82" s="25"/>
      <c r="B82" s="25"/>
      <c r="C82" s="26"/>
      <c r="D82" s="25"/>
      <c r="E82" s="26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6"/>
      <c r="U82" s="25"/>
      <c r="V82" s="25"/>
    </row>
    <row r="83" spans="1:22" x14ac:dyDescent="0.35">
      <c r="A83" s="25"/>
      <c r="B83" s="25"/>
      <c r="C83" s="26"/>
      <c r="D83" s="25"/>
      <c r="E83" s="26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6"/>
      <c r="U83" s="25"/>
      <c r="V83" s="25"/>
    </row>
    <row r="84" spans="1:22" x14ac:dyDescent="0.35">
      <c r="A84" s="25"/>
      <c r="B84" s="25"/>
      <c r="C84" s="26"/>
      <c r="D84" s="25"/>
      <c r="E84" s="26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6"/>
      <c r="U84" s="25"/>
      <c r="V84" s="25"/>
    </row>
    <row r="85" spans="1:22" x14ac:dyDescent="0.35">
      <c r="A85" s="25"/>
      <c r="B85" s="25"/>
      <c r="C85" s="26"/>
      <c r="D85" s="25"/>
      <c r="E85" s="26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6"/>
      <c r="U85" s="25"/>
      <c r="V85" s="25"/>
    </row>
    <row r="86" spans="1:22" x14ac:dyDescent="0.35">
      <c r="A86" s="25"/>
      <c r="B86" s="25"/>
      <c r="C86" s="26"/>
      <c r="D86" s="25"/>
      <c r="E86" s="26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6"/>
      <c r="U86" s="25"/>
      <c r="V86" s="25"/>
    </row>
    <row r="87" spans="1:22" x14ac:dyDescent="0.35">
      <c r="A87" s="25"/>
      <c r="B87" s="25"/>
      <c r="C87" s="26"/>
      <c r="D87" s="25"/>
      <c r="E87" s="26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6"/>
      <c r="U87" s="25"/>
      <c r="V87" s="25"/>
    </row>
    <row r="88" spans="1:22" x14ac:dyDescent="0.35">
      <c r="A88" s="25"/>
      <c r="B88" s="25"/>
      <c r="C88" s="26"/>
      <c r="D88" s="25"/>
      <c r="E88" s="26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6"/>
      <c r="U88" s="25"/>
      <c r="V88" s="25"/>
    </row>
    <row r="89" spans="1:22" x14ac:dyDescent="0.35">
      <c r="A89" s="25"/>
      <c r="B89" s="25"/>
      <c r="C89" s="26"/>
      <c r="D89" s="25"/>
      <c r="E89" s="26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6"/>
      <c r="U89" s="25"/>
      <c r="V89" s="25"/>
    </row>
    <row r="90" spans="1:22" x14ac:dyDescent="0.35">
      <c r="A90" s="25"/>
      <c r="B90" s="25"/>
      <c r="C90" s="26"/>
      <c r="D90" s="25"/>
      <c r="E90" s="26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6"/>
      <c r="U90" s="25"/>
      <c r="V90" s="25"/>
    </row>
    <row r="91" spans="1:22" x14ac:dyDescent="0.35">
      <c r="A91" s="25"/>
      <c r="B91" s="25"/>
      <c r="C91" s="26"/>
      <c r="D91" s="25"/>
      <c r="E91" s="26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6"/>
      <c r="U91" s="25"/>
      <c r="V91" s="25"/>
    </row>
    <row r="92" spans="1:22" x14ac:dyDescent="0.35">
      <c r="A92" s="25"/>
      <c r="B92" s="25"/>
      <c r="C92" s="26"/>
      <c r="D92" s="25"/>
      <c r="E92" s="26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6"/>
      <c r="U92" s="25"/>
      <c r="V92" s="25"/>
    </row>
    <row r="93" spans="1:22" x14ac:dyDescent="0.35">
      <c r="A93" s="25"/>
      <c r="B93" s="25"/>
      <c r="C93" s="26"/>
      <c r="D93" s="25"/>
      <c r="E93" s="26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6"/>
      <c r="U93" s="25"/>
      <c r="V93" s="25"/>
    </row>
    <row r="94" spans="1:22" x14ac:dyDescent="0.35">
      <c r="A94" s="25"/>
      <c r="B94" s="25"/>
      <c r="C94" s="26"/>
      <c r="D94" s="25"/>
      <c r="E94" s="26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6"/>
      <c r="U94" s="25"/>
      <c r="V94" s="25"/>
    </row>
    <row r="95" spans="1:22" x14ac:dyDescent="0.35">
      <c r="A95" s="25"/>
      <c r="B95" s="25"/>
      <c r="C95" s="26"/>
      <c r="D95" s="25"/>
      <c r="E95" s="26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6"/>
      <c r="U95" s="25"/>
      <c r="V95" s="25"/>
    </row>
    <row r="96" spans="1:22" x14ac:dyDescent="0.35">
      <c r="A96" s="25"/>
      <c r="B96" s="25"/>
      <c r="C96" s="26"/>
      <c r="D96" s="25"/>
      <c r="E96" s="26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6"/>
      <c r="U96" s="25"/>
      <c r="V96" s="25"/>
    </row>
    <row r="97" spans="1:22" x14ac:dyDescent="0.35">
      <c r="A97" s="25"/>
      <c r="B97" s="25"/>
      <c r="C97" s="26"/>
      <c r="D97" s="25"/>
      <c r="E97" s="26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6"/>
      <c r="U97" s="25"/>
      <c r="V97" s="25"/>
    </row>
    <row r="98" spans="1:22" x14ac:dyDescent="0.35">
      <c r="A98" s="25"/>
      <c r="B98" s="25"/>
      <c r="C98" s="26"/>
      <c r="D98" s="25"/>
      <c r="E98" s="26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6"/>
      <c r="U98" s="25"/>
      <c r="V98" s="25"/>
    </row>
    <row r="99" spans="1:22" x14ac:dyDescent="0.35">
      <c r="A99" s="25"/>
      <c r="B99" s="25"/>
      <c r="C99" s="26"/>
      <c r="D99" s="25"/>
      <c r="E99" s="26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6"/>
      <c r="U99" s="25"/>
      <c r="V99" s="25"/>
    </row>
    <row r="100" spans="1:22" x14ac:dyDescent="0.35">
      <c r="A100" s="25"/>
      <c r="B100" s="25"/>
      <c r="C100" s="26"/>
      <c r="D100" s="25"/>
      <c r="E100" s="26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6"/>
      <c r="U100" s="25"/>
      <c r="V100" s="25"/>
    </row>
    <row r="101" spans="1:22" x14ac:dyDescent="0.35">
      <c r="A101" s="25"/>
      <c r="B101" s="25"/>
      <c r="C101" s="26"/>
      <c r="D101" s="25"/>
      <c r="E101" s="26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6"/>
      <c r="U101" s="25"/>
      <c r="V101" s="25"/>
    </row>
    <row r="102" spans="1:22" x14ac:dyDescent="0.35">
      <c r="A102" s="25"/>
      <c r="B102" s="25"/>
      <c r="C102" s="26"/>
      <c r="D102" s="25"/>
      <c r="E102" s="26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6"/>
      <c r="U102" s="25"/>
      <c r="V102" s="25"/>
    </row>
    <row r="103" spans="1:22" x14ac:dyDescent="0.35">
      <c r="A103" s="25"/>
      <c r="B103" s="25"/>
      <c r="C103" s="26"/>
      <c r="D103" s="25"/>
      <c r="E103" s="26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6"/>
      <c r="U103" s="25"/>
      <c r="V103" s="25"/>
    </row>
    <row r="104" spans="1:22" x14ac:dyDescent="0.35">
      <c r="A104" s="25"/>
      <c r="B104" s="25"/>
      <c r="C104" s="26"/>
      <c r="D104" s="25"/>
      <c r="E104" s="26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6"/>
      <c r="U104" s="25"/>
      <c r="V104" s="25"/>
    </row>
    <row r="105" spans="1:22" x14ac:dyDescent="0.35">
      <c r="A105" s="25"/>
      <c r="B105" s="25"/>
      <c r="C105" s="26"/>
      <c r="D105" s="25"/>
      <c r="E105" s="26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6"/>
      <c r="U105" s="25"/>
      <c r="V105" s="25"/>
    </row>
    <row r="106" spans="1:22" x14ac:dyDescent="0.35">
      <c r="A106" s="25"/>
      <c r="B106" s="25"/>
      <c r="C106" s="26"/>
      <c r="D106" s="25"/>
      <c r="E106" s="26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6"/>
      <c r="U106" s="25"/>
      <c r="V106" s="25"/>
    </row>
    <row r="107" spans="1:22" x14ac:dyDescent="0.35">
      <c r="A107" s="25"/>
      <c r="B107" s="25"/>
      <c r="C107" s="26"/>
      <c r="D107" s="25"/>
      <c r="E107" s="26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6"/>
      <c r="U107" s="25"/>
      <c r="V107" s="25"/>
    </row>
    <row r="108" spans="1:22" x14ac:dyDescent="0.35">
      <c r="A108" s="25"/>
      <c r="B108" s="25"/>
      <c r="C108" s="26"/>
      <c r="D108" s="25"/>
      <c r="E108" s="26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6"/>
      <c r="U108" s="25"/>
      <c r="V108" s="25"/>
    </row>
    <row r="109" spans="1:22" x14ac:dyDescent="0.35">
      <c r="A109" s="25"/>
      <c r="B109" s="25"/>
      <c r="C109" s="26"/>
      <c r="D109" s="25"/>
      <c r="E109" s="26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6"/>
      <c r="U109" s="25"/>
      <c r="V109" s="25"/>
    </row>
    <row r="110" spans="1:22" x14ac:dyDescent="0.35">
      <c r="A110" s="25"/>
      <c r="B110" s="25"/>
      <c r="C110" s="26"/>
      <c r="D110" s="25"/>
      <c r="E110" s="26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6"/>
      <c r="U110" s="25"/>
      <c r="V110" s="25"/>
    </row>
    <row r="111" spans="1:22" x14ac:dyDescent="0.35">
      <c r="A111" s="25"/>
      <c r="B111" s="25"/>
      <c r="C111" s="26"/>
      <c r="D111" s="25"/>
      <c r="E111" s="26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6"/>
      <c r="U111" s="25"/>
      <c r="V111" s="25"/>
    </row>
    <row r="112" spans="1:22" x14ac:dyDescent="0.35">
      <c r="A112" s="25"/>
      <c r="B112" s="25"/>
      <c r="C112" s="26"/>
      <c r="D112" s="25"/>
      <c r="E112" s="26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6"/>
      <c r="U112" s="25"/>
      <c r="V112" s="25"/>
    </row>
    <row r="113" spans="1:22" x14ac:dyDescent="0.35">
      <c r="A113" s="25"/>
      <c r="B113" s="25"/>
      <c r="C113" s="26"/>
      <c r="D113" s="25"/>
      <c r="E113" s="26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6"/>
      <c r="U113" s="25"/>
      <c r="V113" s="25"/>
    </row>
    <row r="114" spans="1:22" x14ac:dyDescent="0.35">
      <c r="A114" s="25"/>
      <c r="B114" s="25"/>
      <c r="C114" s="26"/>
      <c r="D114" s="25"/>
      <c r="E114" s="26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6"/>
      <c r="U114" s="25"/>
      <c r="V114" s="25"/>
    </row>
    <row r="115" spans="1:22" x14ac:dyDescent="0.35">
      <c r="A115" s="25"/>
      <c r="B115" s="25"/>
      <c r="C115" s="26"/>
      <c r="D115" s="25"/>
      <c r="E115" s="26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6"/>
      <c r="U115" s="25"/>
      <c r="V115" s="25"/>
    </row>
    <row r="116" spans="1:22" x14ac:dyDescent="0.35">
      <c r="A116" s="25"/>
      <c r="B116" s="25"/>
      <c r="C116" s="26"/>
      <c r="D116" s="25"/>
      <c r="E116" s="26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6"/>
      <c r="U116" s="25"/>
      <c r="V116" s="25"/>
    </row>
    <row r="117" spans="1:22" x14ac:dyDescent="0.35">
      <c r="A117" s="25"/>
      <c r="B117" s="25"/>
      <c r="C117" s="26"/>
      <c r="D117" s="25"/>
      <c r="E117" s="26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6"/>
      <c r="U117" s="25"/>
      <c r="V117" s="25"/>
    </row>
    <row r="118" spans="1:22" x14ac:dyDescent="0.35">
      <c r="A118" s="25"/>
      <c r="B118" s="25"/>
      <c r="C118" s="26"/>
      <c r="D118" s="25"/>
      <c r="E118" s="26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6"/>
      <c r="U118" s="25"/>
      <c r="V118" s="25"/>
    </row>
    <row r="119" spans="1:22" x14ac:dyDescent="0.35">
      <c r="A119" s="25"/>
      <c r="B119" s="25"/>
      <c r="C119" s="26"/>
      <c r="D119" s="25"/>
      <c r="E119" s="26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6"/>
      <c r="U119" s="25"/>
      <c r="V119" s="25"/>
    </row>
    <row r="120" spans="1:22" x14ac:dyDescent="0.35">
      <c r="A120" s="25"/>
      <c r="B120" s="25"/>
      <c r="C120" s="26"/>
      <c r="D120" s="25"/>
      <c r="E120" s="26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6"/>
      <c r="U120" s="25"/>
      <c r="V120" s="25"/>
    </row>
    <row r="121" spans="1:22" x14ac:dyDescent="0.35">
      <c r="A121" s="25"/>
      <c r="B121" s="25"/>
      <c r="C121" s="26"/>
      <c r="D121" s="25"/>
      <c r="E121" s="26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6"/>
      <c r="U121" s="25"/>
      <c r="V121" s="25"/>
    </row>
    <row r="122" spans="1:22" x14ac:dyDescent="0.35">
      <c r="A122" s="25"/>
      <c r="B122" s="25"/>
      <c r="C122" s="26"/>
      <c r="D122" s="25"/>
      <c r="E122" s="26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6"/>
      <c r="U122" s="25"/>
      <c r="V122" s="25"/>
    </row>
    <row r="123" spans="1:22" x14ac:dyDescent="0.35">
      <c r="A123" s="25"/>
      <c r="B123" s="25"/>
      <c r="C123" s="26"/>
      <c r="D123" s="25"/>
      <c r="E123" s="26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6"/>
      <c r="U123" s="25"/>
      <c r="V123" s="25"/>
    </row>
    <row r="124" spans="1:22" x14ac:dyDescent="0.35">
      <c r="A124" s="25"/>
      <c r="B124" s="25"/>
      <c r="C124" s="26"/>
      <c r="D124" s="25"/>
      <c r="E124" s="26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6"/>
      <c r="U124" s="25"/>
      <c r="V124" s="25"/>
    </row>
  </sheetData>
  <mergeCells count="1">
    <mergeCell ref="A1:V1"/>
  </mergeCells>
  <dataValidations count="7">
    <dataValidation type="list" allowBlank="1" sqref="D5:D124 F5:N124 P5:Q124 S5:S124" xr:uid="{00000000-0002-0000-0B00-000000000000}">
      <formula1>"Yes,No,N/A,In Progress"</formula1>
    </dataValidation>
    <dataValidation type="list" allowBlank="1" sqref="U5:U124" xr:uid="{00000000-0002-0000-0B00-000001000000}">
      <formula1>"Green,Amber,Red,Grey"</formula1>
    </dataValidation>
    <dataValidation type="list" allowBlank="1" sqref="W2:W200 Y2:Y200 AB2:AC200 AE2:AF200" xr:uid="{00000000-0002-0000-0B00-000002000000}">
      <formula1>"Yes,No,N/A"</formula1>
    </dataValidation>
    <dataValidation type="list" allowBlank="1" sqref="X2:X200" xr:uid="{00000000-0002-0000-0B00-000003000000}">
      <formula1>"Sponsored,Non-Sponsored,N/A"</formula1>
    </dataValidation>
    <dataValidation type="list" sqref="D5:P29 U5:U29" xr:uid="{00000000-0002-0000-0B00-000004000000}">
      <formula1>"Green,Amber,Red,N/A"</formula1>
    </dataValidation>
    <dataValidation type="list" sqref="Q5:Q29" xr:uid="{00000000-0002-0000-0B00-000005000000}">
      <formula1>"Yes,No,In Progress,N/A"</formula1>
    </dataValidation>
    <dataValidation type="list" sqref="W5:W29 AE5:AF29 AB5:AC29 Y5:Y29" xr:uid="{00000000-0002-0000-0B00-000007000000}">
      <formula1>"Yes,No,N/A"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24"/>
  <sheetViews>
    <sheetView workbookViewId="0"/>
  </sheetViews>
  <sheetFormatPr defaultRowHeight="14.5" x14ac:dyDescent="0.35"/>
  <cols>
    <col min="1" max="1" width="22" customWidth="1"/>
    <col min="2" max="13" width="16" customWidth="1"/>
    <col min="14" max="14" width="30" customWidth="1"/>
    <col min="15" max="21" width="16" customWidth="1"/>
    <col min="22" max="22" width="30" customWidth="1"/>
    <col min="23" max="32" width="22" customWidth="1"/>
    <col min="33" max="33" width="30" customWidth="1"/>
  </cols>
  <sheetData>
    <row r="1" spans="1:33" ht="25" customHeight="1" x14ac:dyDescent="0.35">
      <c r="A1" s="153" t="s">
        <v>339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07" t="s">
        <v>310</v>
      </c>
      <c r="X1" s="107" t="s">
        <v>311</v>
      </c>
      <c r="Y1" s="107" t="s">
        <v>312</v>
      </c>
      <c r="Z1" s="107" t="s">
        <v>313</v>
      </c>
      <c r="AA1" s="107" t="s">
        <v>314</v>
      </c>
      <c r="AB1" s="107" t="s">
        <v>315</v>
      </c>
      <c r="AC1" s="107" t="s">
        <v>316</v>
      </c>
      <c r="AD1" s="107" t="s">
        <v>317</v>
      </c>
      <c r="AE1" s="107" t="s">
        <v>318</v>
      </c>
      <c r="AF1" s="107" t="s">
        <v>319</v>
      </c>
      <c r="AG1" s="107" t="s">
        <v>320</v>
      </c>
    </row>
    <row r="2" spans="1:33" ht="32.25" customHeight="1" x14ac:dyDescent="0.35">
      <c r="A2" s="21" t="s">
        <v>321</v>
      </c>
    </row>
    <row r="4" spans="1:33" ht="19.399999999999999" customHeight="1" x14ac:dyDescent="0.35">
      <c r="A4" s="24" t="s">
        <v>31</v>
      </c>
      <c r="B4" s="24" t="s">
        <v>322</v>
      </c>
      <c r="C4" s="24" t="s">
        <v>340</v>
      </c>
      <c r="D4" s="24" t="s">
        <v>341</v>
      </c>
      <c r="E4" s="24" t="s">
        <v>342</v>
      </c>
      <c r="F4" s="24" t="s">
        <v>343</v>
      </c>
      <c r="G4" s="24" t="s">
        <v>344</v>
      </c>
      <c r="H4" s="24" t="s">
        <v>345</v>
      </c>
      <c r="I4" s="24" t="s">
        <v>346</v>
      </c>
      <c r="J4" s="24" t="s">
        <v>347</v>
      </c>
      <c r="K4" s="24" t="s">
        <v>348</v>
      </c>
      <c r="L4" s="24" t="s">
        <v>349</v>
      </c>
      <c r="M4" s="24" t="s">
        <v>350</v>
      </c>
      <c r="N4" s="24" t="s">
        <v>335</v>
      </c>
      <c r="O4" s="24" t="s">
        <v>351</v>
      </c>
      <c r="P4" s="24" t="s">
        <v>352</v>
      </c>
      <c r="Q4" s="24" t="s">
        <v>281</v>
      </c>
      <c r="R4" s="24" t="s">
        <v>353</v>
      </c>
      <c r="S4" s="24" t="s">
        <v>337</v>
      </c>
      <c r="T4" s="24" t="s">
        <v>296</v>
      </c>
      <c r="U4" s="24" t="s">
        <v>6</v>
      </c>
      <c r="V4" s="24" t="s">
        <v>338</v>
      </c>
    </row>
    <row r="5" spans="1:33" x14ac:dyDescent="0.3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6"/>
      <c r="Q5" s="26"/>
      <c r="R5" s="25"/>
      <c r="S5" s="26"/>
      <c r="T5" s="25"/>
      <c r="U5" s="25"/>
      <c r="V5" s="25"/>
    </row>
    <row r="6" spans="1:33" x14ac:dyDescent="0.3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6"/>
      <c r="Q6" s="26"/>
      <c r="R6" s="25"/>
      <c r="S6" s="26"/>
      <c r="T6" s="25"/>
      <c r="U6" s="25"/>
      <c r="V6" s="25"/>
    </row>
    <row r="7" spans="1:33" x14ac:dyDescent="0.3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6"/>
      <c r="Q7" s="26"/>
      <c r="R7" s="25"/>
      <c r="S7" s="26"/>
      <c r="T7" s="25"/>
      <c r="U7" s="25"/>
      <c r="V7" s="25"/>
    </row>
    <row r="8" spans="1:33" x14ac:dyDescent="0.3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  <c r="Q8" s="26"/>
      <c r="R8" s="25"/>
      <c r="S8" s="26"/>
      <c r="T8" s="25"/>
      <c r="U8" s="25"/>
      <c r="V8" s="25"/>
    </row>
    <row r="9" spans="1:33" x14ac:dyDescent="0.3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6"/>
      <c r="R9" s="25"/>
      <c r="S9" s="26"/>
      <c r="T9" s="25"/>
      <c r="U9" s="25"/>
      <c r="V9" s="25"/>
    </row>
    <row r="10" spans="1:33" x14ac:dyDescent="0.3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  <c r="Q10" s="26"/>
      <c r="R10" s="25"/>
      <c r="S10" s="26"/>
      <c r="T10" s="25"/>
      <c r="U10" s="25"/>
      <c r="V10" s="25"/>
    </row>
    <row r="11" spans="1:33" x14ac:dyDescent="0.3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6"/>
      <c r="Q11" s="26"/>
      <c r="R11" s="25"/>
      <c r="S11" s="26"/>
      <c r="T11" s="25"/>
      <c r="U11" s="25"/>
      <c r="V11" s="25"/>
    </row>
    <row r="12" spans="1:33" x14ac:dyDescent="0.3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6"/>
      <c r="Q12" s="26"/>
      <c r="R12" s="25"/>
      <c r="S12" s="26"/>
      <c r="T12" s="25"/>
      <c r="U12" s="25"/>
      <c r="V12" s="25"/>
    </row>
    <row r="13" spans="1:33" x14ac:dyDescent="0.3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6"/>
      <c r="Q13" s="26"/>
      <c r="R13" s="25"/>
      <c r="S13" s="26"/>
      <c r="T13" s="25"/>
      <c r="U13" s="25"/>
      <c r="V13" s="25"/>
    </row>
    <row r="14" spans="1:33" x14ac:dyDescent="0.3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6"/>
      <c r="Q14" s="26"/>
      <c r="R14" s="25"/>
      <c r="S14" s="26"/>
      <c r="T14" s="25"/>
      <c r="U14" s="25"/>
      <c r="V14" s="25"/>
    </row>
    <row r="15" spans="1:33" x14ac:dyDescent="0.3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6"/>
      <c r="Q15" s="26"/>
      <c r="R15" s="25"/>
      <c r="S15" s="26"/>
      <c r="T15" s="25"/>
      <c r="U15" s="25"/>
      <c r="V15" s="25"/>
    </row>
    <row r="16" spans="1:33" x14ac:dyDescent="0.3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6"/>
      <c r="Q16" s="26"/>
      <c r="R16" s="25"/>
      <c r="S16" s="26"/>
      <c r="T16" s="25"/>
      <c r="U16" s="25"/>
      <c r="V16" s="25"/>
    </row>
    <row r="17" spans="1:22" x14ac:dyDescent="0.3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6"/>
      <c r="Q17" s="26"/>
      <c r="R17" s="25"/>
      <c r="S17" s="26"/>
      <c r="T17" s="25"/>
      <c r="U17" s="25"/>
      <c r="V17" s="25"/>
    </row>
    <row r="18" spans="1:22" x14ac:dyDescent="0.3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6"/>
      <c r="Q18" s="26"/>
      <c r="R18" s="25"/>
      <c r="S18" s="26"/>
      <c r="T18" s="25"/>
      <c r="U18" s="25"/>
      <c r="V18" s="25"/>
    </row>
    <row r="19" spans="1:22" x14ac:dyDescent="0.3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  <c r="Q19" s="26"/>
      <c r="R19" s="25"/>
      <c r="S19" s="26"/>
      <c r="T19" s="25"/>
      <c r="U19" s="25"/>
      <c r="V19" s="25"/>
    </row>
    <row r="20" spans="1:22" x14ac:dyDescent="0.3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/>
      <c r="Q20" s="26"/>
      <c r="R20" s="25"/>
      <c r="S20" s="26"/>
      <c r="T20" s="25"/>
      <c r="U20" s="25"/>
      <c r="V20" s="25"/>
    </row>
    <row r="21" spans="1:22" x14ac:dyDescent="0.3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/>
      <c r="Q21" s="26"/>
      <c r="R21" s="25"/>
      <c r="S21" s="26"/>
      <c r="T21" s="25"/>
      <c r="U21" s="25"/>
      <c r="V21" s="25"/>
    </row>
    <row r="22" spans="1:22" x14ac:dyDescent="0.3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6"/>
      <c r="Q22" s="26"/>
      <c r="R22" s="25"/>
      <c r="S22" s="26"/>
      <c r="T22" s="25"/>
      <c r="U22" s="25"/>
      <c r="V22" s="25"/>
    </row>
    <row r="23" spans="1:22" x14ac:dyDescent="0.3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6"/>
      <c r="Q23" s="26"/>
      <c r="R23" s="25"/>
      <c r="S23" s="26"/>
      <c r="T23" s="25"/>
      <c r="U23" s="25"/>
      <c r="V23" s="25"/>
    </row>
    <row r="24" spans="1:22" x14ac:dyDescent="0.3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6"/>
      <c r="Q24" s="26"/>
      <c r="R24" s="25"/>
      <c r="S24" s="26"/>
      <c r="T24" s="25"/>
      <c r="U24" s="25"/>
      <c r="V24" s="25"/>
    </row>
    <row r="25" spans="1:22" x14ac:dyDescent="0.3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6"/>
      <c r="Q25" s="26"/>
      <c r="R25" s="25"/>
      <c r="S25" s="26"/>
      <c r="T25" s="25"/>
      <c r="U25" s="25"/>
      <c r="V25" s="25"/>
    </row>
    <row r="26" spans="1:22" x14ac:dyDescent="0.3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6"/>
      <c r="Q26" s="26"/>
      <c r="R26" s="25"/>
      <c r="S26" s="26"/>
      <c r="T26" s="25"/>
      <c r="U26" s="25"/>
      <c r="V26" s="25"/>
    </row>
    <row r="27" spans="1:22" x14ac:dyDescent="0.3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6"/>
      <c r="Q27" s="26"/>
      <c r="R27" s="25"/>
      <c r="S27" s="26"/>
      <c r="T27" s="25"/>
      <c r="U27" s="25"/>
      <c r="V27" s="25"/>
    </row>
    <row r="28" spans="1:22" x14ac:dyDescent="0.3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6"/>
      <c r="Q28" s="26"/>
      <c r="R28" s="25"/>
      <c r="S28" s="26"/>
      <c r="T28" s="25"/>
      <c r="U28" s="25"/>
      <c r="V28" s="25"/>
    </row>
    <row r="29" spans="1:22" x14ac:dyDescent="0.3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6"/>
      <c r="Q29" s="26"/>
      <c r="R29" s="25"/>
      <c r="S29" s="26"/>
      <c r="T29" s="25"/>
      <c r="U29" s="25"/>
      <c r="V29" s="25"/>
    </row>
    <row r="30" spans="1:22" x14ac:dyDescent="0.3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6"/>
      <c r="Q30" s="26"/>
      <c r="R30" s="25"/>
      <c r="S30" s="26"/>
      <c r="T30" s="25"/>
      <c r="U30" s="25"/>
      <c r="V30" s="25"/>
    </row>
    <row r="31" spans="1:22" x14ac:dyDescent="0.3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6"/>
      <c r="Q31" s="26"/>
      <c r="R31" s="25"/>
      <c r="S31" s="26"/>
      <c r="T31" s="25"/>
      <c r="U31" s="25"/>
      <c r="V31" s="25"/>
    </row>
    <row r="32" spans="1:22" x14ac:dyDescent="0.3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6"/>
      <c r="Q32" s="26"/>
      <c r="R32" s="25"/>
      <c r="S32" s="26"/>
      <c r="T32" s="25"/>
      <c r="U32" s="25"/>
      <c r="V32" s="25"/>
    </row>
    <row r="33" spans="1:22" x14ac:dyDescent="0.3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6"/>
      <c r="Q33" s="26"/>
      <c r="R33" s="25"/>
      <c r="S33" s="26"/>
      <c r="T33" s="25"/>
      <c r="U33" s="25"/>
      <c r="V33" s="25"/>
    </row>
    <row r="34" spans="1:22" x14ac:dyDescent="0.3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6"/>
      <c r="Q34" s="26"/>
      <c r="R34" s="25"/>
      <c r="S34" s="26"/>
      <c r="T34" s="25"/>
      <c r="U34" s="25"/>
      <c r="V34" s="25"/>
    </row>
    <row r="35" spans="1:22" x14ac:dyDescent="0.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6"/>
      <c r="Q35" s="26"/>
      <c r="R35" s="25"/>
      <c r="S35" s="26"/>
      <c r="T35" s="25"/>
      <c r="U35" s="25"/>
      <c r="V35" s="25"/>
    </row>
    <row r="36" spans="1:22" x14ac:dyDescent="0.3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6"/>
      <c r="Q36" s="26"/>
      <c r="R36" s="25"/>
      <c r="S36" s="26"/>
      <c r="T36" s="25"/>
      <c r="U36" s="25"/>
      <c r="V36" s="25"/>
    </row>
    <row r="37" spans="1:22" x14ac:dyDescent="0.3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6"/>
      <c r="Q37" s="26"/>
      <c r="R37" s="25"/>
      <c r="S37" s="26"/>
      <c r="T37" s="25"/>
      <c r="U37" s="25"/>
      <c r="V37" s="25"/>
    </row>
    <row r="38" spans="1:22" x14ac:dyDescent="0.3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6"/>
      <c r="Q38" s="26"/>
      <c r="R38" s="25"/>
      <c r="S38" s="26"/>
      <c r="T38" s="25"/>
      <c r="U38" s="25"/>
      <c r="V38" s="25"/>
    </row>
    <row r="39" spans="1:22" x14ac:dyDescent="0.3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6"/>
      <c r="Q39" s="26"/>
      <c r="R39" s="25"/>
      <c r="S39" s="26"/>
      <c r="T39" s="25"/>
      <c r="U39" s="25"/>
      <c r="V39" s="25"/>
    </row>
    <row r="40" spans="1:22" x14ac:dyDescent="0.3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6"/>
      <c r="Q40" s="26"/>
      <c r="R40" s="25"/>
      <c r="S40" s="26"/>
      <c r="T40" s="25"/>
      <c r="U40" s="25"/>
      <c r="V40" s="25"/>
    </row>
    <row r="41" spans="1:22" x14ac:dyDescent="0.3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6"/>
      <c r="Q41" s="26"/>
      <c r="R41" s="25"/>
      <c r="S41" s="26"/>
      <c r="T41" s="25"/>
      <c r="U41" s="25"/>
      <c r="V41" s="25"/>
    </row>
    <row r="42" spans="1:22" x14ac:dyDescent="0.3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6"/>
      <c r="Q42" s="26"/>
      <c r="R42" s="25"/>
      <c r="S42" s="26"/>
      <c r="T42" s="25"/>
      <c r="U42" s="25"/>
      <c r="V42" s="25"/>
    </row>
    <row r="43" spans="1:22" x14ac:dyDescent="0.3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6"/>
      <c r="Q43" s="26"/>
      <c r="R43" s="25"/>
      <c r="S43" s="26"/>
      <c r="T43" s="25"/>
      <c r="U43" s="25"/>
      <c r="V43" s="25"/>
    </row>
    <row r="44" spans="1:22" x14ac:dyDescent="0.3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6"/>
      <c r="Q44" s="26"/>
      <c r="R44" s="25"/>
      <c r="S44" s="26"/>
      <c r="T44" s="25"/>
      <c r="U44" s="25"/>
      <c r="V44" s="25"/>
    </row>
    <row r="45" spans="1:22" x14ac:dyDescent="0.3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6"/>
      <c r="Q45" s="26"/>
      <c r="R45" s="25"/>
      <c r="S45" s="26"/>
      <c r="T45" s="25"/>
      <c r="U45" s="25"/>
      <c r="V45" s="25"/>
    </row>
    <row r="46" spans="1:22" x14ac:dyDescent="0.3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6"/>
      <c r="Q46" s="26"/>
      <c r="R46" s="25"/>
      <c r="S46" s="26"/>
      <c r="T46" s="25"/>
      <c r="U46" s="25"/>
      <c r="V46" s="25"/>
    </row>
    <row r="47" spans="1:22" x14ac:dyDescent="0.3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6"/>
      <c r="Q47" s="26"/>
      <c r="R47" s="25"/>
      <c r="S47" s="26"/>
      <c r="T47" s="25"/>
      <c r="U47" s="25"/>
      <c r="V47" s="25"/>
    </row>
    <row r="48" spans="1:22" x14ac:dyDescent="0.3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6"/>
      <c r="Q48" s="26"/>
      <c r="R48" s="25"/>
      <c r="S48" s="26"/>
      <c r="T48" s="25"/>
      <c r="U48" s="25"/>
      <c r="V48" s="25"/>
    </row>
    <row r="49" spans="1:22" x14ac:dyDescent="0.3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6"/>
      <c r="Q49" s="26"/>
      <c r="R49" s="25"/>
      <c r="S49" s="26"/>
      <c r="T49" s="25"/>
      <c r="U49" s="25"/>
      <c r="V49" s="25"/>
    </row>
    <row r="50" spans="1:22" x14ac:dyDescent="0.3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6"/>
      <c r="Q50" s="26"/>
      <c r="R50" s="25"/>
      <c r="S50" s="26"/>
      <c r="T50" s="25"/>
      <c r="U50" s="25"/>
      <c r="V50" s="25"/>
    </row>
    <row r="51" spans="1:22" x14ac:dyDescent="0.3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6"/>
      <c r="Q51" s="26"/>
      <c r="R51" s="25"/>
      <c r="S51" s="26"/>
      <c r="T51" s="25"/>
      <c r="U51" s="25"/>
      <c r="V51" s="25"/>
    </row>
    <row r="52" spans="1:22" x14ac:dyDescent="0.3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6"/>
      <c r="Q52" s="26"/>
      <c r="R52" s="25"/>
      <c r="S52" s="26"/>
      <c r="T52" s="25"/>
      <c r="U52" s="25"/>
      <c r="V52" s="25"/>
    </row>
    <row r="53" spans="1:22" x14ac:dyDescent="0.3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6"/>
      <c r="Q53" s="26"/>
      <c r="R53" s="25"/>
      <c r="S53" s="26"/>
      <c r="T53" s="25"/>
      <c r="U53" s="25"/>
      <c r="V53" s="25"/>
    </row>
    <row r="54" spans="1:22" x14ac:dyDescent="0.3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6"/>
      <c r="Q54" s="26"/>
      <c r="R54" s="25"/>
      <c r="S54" s="26"/>
      <c r="T54" s="25"/>
      <c r="U54" s="25"/>
      <c r="V54" s="25"/>
    </row>
    <row r="55" spans="1:22" x14ac:dyDescent="0.3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6"/>
      <c r="Q55" s="26"/>
      <c r="R55" s="25"/>
      <c r="S55" s="26"/>
      <c r="T55" s="25"/>
      <c r="U55" s="25"/>
      <c r="V55" s="25"/>
    </row>
    <row r="56" spans="1:22" x14ac:dyDescent="0.3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6"/>
      <c r="Q56" s="26"/>
      <c r="R56" s="25"/>
      <c r="S56" s="26"/>
      <c r="T56" s="25"/>
      <c r="U56" s="25"/>
      <c r="V56" s="25"/>
    </row>
    <row r="57" spans="1:22" x14ac:dyDescent="0.3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6"/>
      <c r="Q57" s="26"/>
      <c r="R57" s="25"/>
      <c r="S57" s="26"/>
      <c r="T57" s="25"/>
      <c r="U57" s="25"/>
      <c r="V57" s="25"/>
    </row>
    <row r="58" spans="1:22" x14ac:dyDescent="0.3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6"/>
      <c r="Q58" s="26"/>
      <c r="R58" s="25"/>
      <c r="S58" s="26"/>
      <c r="T58" s="25"/>
      <c r="U58" s="25"/>
      <c r="V58" s="25"/>
    </row>
    <row r="59" spans="1:22" x14ac:dyDescent="0.3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6"/>
      <c r="Q59" s="26"/>
      <c r="R59" s="25"/>
      <c r="S59" s="26"/>
      <c r="T59" s="25"/>
      <c r="U59" s="25"/>
      <c r="V59" s="25"/>
    </row>
    <row r="60" spans="1:22" x14ac:dyDescent="0.3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6"/>
      <c r="Q60" s="26"/>
      <c r="R60" s="25"/>
      <c r="S60" s="26"/>
      <c r="T60" s="25"/>
      <c r="U60" s="25"/>
      <c r="V60" s="25"/>
    </row>
    <row r="61" spans="1:22" x14ac:dyDescent="0.3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6"/>
      <c r="Q61" s="26"/>
      <c r="R61" s="25"/>
      <c r="S61" s="26"/>
      <c r="T61" s="25"/>
      <c r="U61" s="25"/>
      <c r="V61" s="25"/>
    </row>
    <row r="62" spans="1:22" x14ac:dyDescent="0.3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6"/>
      <c r="Q62" s="26"/>
      <c r="R62" s="25"/>
      <c r="S62" s="26"/>
      <c r="T62" s="25"/>
      <c r="U62" s="25"/>
      <c r="V62" s="25"/>
    </row>
    <row r="63" spans="1:22" x14ac:dyDescent="0.3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6"/>
      <c r="Q63" s="26"/>
      <c r="R63" s="25"/>
      <c r="S63" s="26"/>
      <c r="T63" s="25"/>
      <c r="U63" s="25"/>
      <c r="V63" s="25"/>
    </row>
    <row r="64" spans="1:22" x14ac:dyDescent="0.3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6"/>
      <c r="Q64" s="26"/>
      <c r="R64" s="25"/>
      <c r="S64" s="26"/>
      <c r="T64" s="25"/>
      <c r="U64" s="25"/>
      <c r="V64" s="25"/>
    </row>
    <row r="65" spans="1:22" x14ac:dyDescent="0.3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6"/>
      <c r="Q65" s="26"/>
      <c r="R65" s="25"/>
      <c r="S65" s="26"/>
      <c r="T65" s="25"/>
      <c r="U65" s="25"/>
      <c r="V65" s="25"/>
    </row>
    <row r="66" spans="1:22" x14ac:dyDescent="0.3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6"/>
      <c r="Q66" s="26"/>
      <c r="R66" s="25"/>
      <c r="S66" s="26"/>
      <c r="T66" s="25"/>
      <c r="U66" s="25"/>
      <c r="V66" s="25"/>
    </row>
    <row r="67" spans="1:22" x14ac:dyDescent="0.3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6"/>
      <c r="Q67" s="26"/>
      <c r="R67" s="25"/>
      <c r="S67" s="26"/>
      <c r="T67" s="25"/>
      <c r="U67" s="25"/>
      <c r="V67" s="25"/>
    </row>
    <row r="68" spans="1:22" x14ac:dyDescent="0.3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6"/>
      <c r="Q68" s="26"/>
      <c r="R68" s="25"/>
      <c r="S68" s="26"/>
      <c r="T68" s="25"/>
      <c r="U68" s="25"/>
      <c r="V68" s="25"/>
    </row>
    <row r="69" spans="1:22" x14ac:dyDescent="0.3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6"/>
      <c r="Q69" s="26"/>
      <c r="R69" s="25"/>
      <c r="S69" s="26"/>
      <c r="T69" s="25"/>
      <c r="U69" s="25"/>
      <c r="V69" s="25"/>
    </row>
    <row r="70" spans="1:22" x14ac:dyDescent="0.3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6"/>
      <c r="Q70" s="26"/>
      <c r="R70" s="25"/>
      <c r="S70" s="26"/>
      <c r="T70" s="25"/>
      <c r="U70" s="25"/>
      <c r="V70" s="25"/>
    </row>
    <row r="71" spans="1:22" x14ac:dyDescent="0.3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6"/>
      <c r="Q71" s="26"/>
      <c r="R71" s="25"/>
      <c r="S71" s="26"/>
      <c r="T71" s="25"/>
      <c r="U71" s="25"/>
      <c r="V71" s="25"/>
    </row>
    <row r="72" spans="1:22" x14ac:dyDescent="0.3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6"/>
      <c r="Q72" s="26"/>
      <c r="R72" s="25"/>
      <c r="S72" s="26"/>
      <c r="T72" s="25"/>
      <c r="U72" s="25"/>
      <c r="V72" s="25"/>
    </row>
    <row r="73" spans="1:22" x14ac:dyDescent="0.3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6"/>
      <c r="Q73" s="26"/>
      <c r="R73" s="25"/>
      <c r="S73" s="26"/>
      <c r="T73" s="25"/>
      <c r="U73" s="25"/>
      <c r="V73" s="25"/>
    </row>
    <row r="74" spans="1:22" x14ac:dyDescent="0.3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6"/>
      <c r="Q74" s="26"/>
      <c r="R74" s="25"/>
      <c r="S74" s="26"/>
      <c r="T74" s="25"/>
      <c r="U74" s="25"/>
      <c r="V74" s="25"/>
    </row>
    <row r="75" spans="1:22" x14ac:dyDescent="0.3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6"/>
      <c r="Q75" s="26"/>
      <c r="R75" s="25"/>
      <c r="S75" s="26"/>
      <c r="T75" s="25"/>
      <c r="U75" s="25"/>
      <c r="V75" s="25"/>
    </row>
    <row r="76" spans="1:22" x14ac:dyDescent="0.3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6"/>
      <c r="Q76" s="26"/>
      <c r="R76" s="25"/>
      <c r="S76" s="26"/>
      <c r="T76" s="25"/>
      <c r="U76" s="25"/>
      <c r="V76" s="25"/>
    </row>
    <row r="77" spans="1:22" x14ac:dyDescent="0.3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6"/>
      <c r="Q77" s="26"/>
      <c r="R77" s="25"/>
      <c r="S77" s="26"/>
      <c r="T77" s="25"/>
      <c r="U77" s="25"/>
      <c r="V77" s="25"/>
    </row>
    <row r="78" spans="1:22" x14ac:dyDescent="0.3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6"/>
      <c r="Q78" s="26"/>
      <c r="R78" s="25"/>
      <c r="S78" s="26"/>
      <c r="T78" s="25"/>
      <c r="U78" s="25"/>
      <c r="V78" s="25"/>
    </row>
    <row r="79" spans="1:22" x14ac:dyDescent="0.3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6"/>
      <c r="Q79" s="26"/>
      <c r="R79" s="25"/>
      <c r="S79" s="26"/>
      <c r="T79" s="25"/>
      <c r="U79" s="25"/>
      <c r="V79" s="25"/>
    </row>
    <row r="80" spans="1:22" x14ac:dyDescent="0.3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6"/>
      <c r="Q80" s="26"/>
      <c r="R80" s="25"/>
      <c r="S80" s="26"/>
      <c r="T80" s="25"/>
      <c r="U80" s="25"/>
      <c r="V80" s="25"/>
    </row>
    <row r="81" spans="1:22" x14ac:dyDescent="0.3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6"/>
      <c r="Q81" s="26"/>
      <c r="R81" s="25"/>
      <c r="S81" s="26"/>
      <c r="T81" s="25"/>
      <c r="U81" s="25"/>
      <c r="V81" s="25"/>
    </row>
    <row r="82" spans="1:22" x14ac:dyDescent="0.3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6"/>
      <c r="Q82" s="26"/>
      <c r="R82" s="25"/>
      <c r="S82" s="26"/>
      <c r="T82" s="25"/>
      <c r="U82" s="25"/>
      <c r="V82" s="25"/>
    </row>
    <row r="83" spans="1:22" x14ac:dyDescent="0.3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6"/>
      <c r="Q83" s="26"/>
      <c r="R83" s="25"/>
      <c r="S83" s="26"/>
      <c r="T83" s="25"/>
      <c r="U83" s="25"/>
      <c r="V83" s="25"/>
    </row>
    <row r="84" spans="1:22" x14ac:dyDescent="0.3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6"/>
      <c r="Q84" s="26"/>
      <c r="R84" s="25"/>
      <c r="S84" s="26"/>
      <c r="T84" s="25"/>
      <c r="U84" s="25"/>
      <c r="V84" s="25"/>
    </row>
    <row r="85" spans="1:22" x14ac:dyDescent="0.3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6"/>
      <c r="Q85" s="26"/>
      <c r="R85" s="25"/>
      <c r="S85" s="26"/>
      <c r="T85" s="25"/>
      <c r="U85" s="25"/>
      <c r="V85" s="25"/>
    </row>
    <row r="86" spans="1:22" x14ac:dyDescent="0.3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6"/>
      <c r="Q86" s="26"/>
      <c r="R86" s="25"/>
      <c r="S86" s="26"/>
      <c r="T86" s="25"/>
      <c r="U86" s="25"/>
      <c r="V86" s="25"/>
    </row>
    <row r="87" spans="1:22" x14ac:dyDescent="0.3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6"/>
      <c r="Q87" s="26"/>
      <c r="R87" s="25"/>
      <c r="S87" s="26"/>
      <c r="T87" s="25"/>
      <c r="U87" s="25"/>
      <c r="V87" s="25"/>
    </row>
    <row r="88" spans="1:22" x14ac:dyDescent="0.3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6"/>
      <c r="Q88" s="26"/>
      <c r="R88" s="25"/>
      <c r="S88" s="26"/>
      <c r="T88" s="25"/>
      <c r="U88" s="25"/>
      <c r="V88" s="25"/>
    </row>
    <row r="89" spans="1:22" x14ac:dyDescent="0.3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6"/>
      <c r="Q89" s="26"/>
      <c r="R89" s="25"/>
      <c r="S89" s="26"/>
      <c r="T89" s="25"/>
      <c r="U89" s="25"/>
      <c r="V89" s="25"/>
    </row>
    <row r="90" spans="1:22" x14ac:dyDescent="0.3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6"/>
      <c r="Q90" s="26"/>
      <c r="R90" s="25"/>
      <c r="S90" s="26"/>
      <c r="T90" s="25"/>
      <c r="U90" s="25"/>
      <c r="V90" s="25"/>
    </row>
    <row r="91" spans="1:22" x14ac:dyDescent="0.3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6"/>
      <c r="Q91" s="26"/>
      <c r="R91" s="25"/>
      <c r="S91" s="26"/>
      <c r="T91" s="25"/>
      <c r="U91" s="25"/>
      <c r="V91" s="25"/>
    </row>
    <row r="92" spans="1:22" x14ac:dyDescent="0.3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6"/>
      <c r="Q92" s="26"/>
      <c r="R92" s="25"/>
      <c r="S92" s="26"/>
      <c r="T92" s="25"/>
      <c r="U92" s="25"/>
      <c r="V92" s="25"/>
    </row>
    <row r="93" spans="1:22" x14ac:dyDescent="0.3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6"/>
      <c r="Q93" s="26"/>
      <c r="R93" s="25"/>
      <c r="S93" s="26"/>
      <c r="T93" s="25"/>
      <c r="U93" s="25"/>
      <c r="V93" s="25"/>
    </row>
    <row r="94" spans="1:22" x14ac:dyDescent="0.3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6"/>
      <c r="Q94" s="26"/>
      <c r="R94" s="25"/>
      <c r="S94" s="26"/>
      <c r="T94" s="25"/>
      <c r="U94" s="25"/>
      <c r="V94" s="25"/>
    </row>
    <row r="95" spans="1:22" x14ac:dyDescent="0.3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6"/>
      <c r="Q95" s="26"/>
      <c r="R95" s="25"/>
      <c r="S95" s="26"/>
      <c r="T95" s="25"/>
      <c r="U95" s="25"/>
      <c r="V95" s="25"/>
    </row>
    <row r="96" spans="1:22" x14ac:dyDescent="0.3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6"/>
      <c r="Q96" s="26"/>
      <c r="R96" s="25"/>
      <c r="S96" s="26"/>
      <c r="T96" s="25"/>
      <c r="U96" s="25"/>
      <c r="V96" s="25"/>
    </row>
    <row r="97" spans="1:22" x14ac:dyDescent="0.3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6"/>
      <c r="Q97" s="26"/>
      <c r="R97" s="25"/>
      <c r="S97" s="26"/>
      <c r="T97" s="25"/>
      <c r="U97" s="25"/>
      <c r="V97" s="25"/>
    </row>
    <row r="98" spans="1:22" x14ac:dyDescent="0.3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6"/>
      <c r="Q98" s="26"/>
      <c r="R98" s="25"/>
      <c r="S98" s="26"/>
      <c r="T98" s="25"/>
      <c r="U98" s="25"/>
      <c r="V98" s="25"/>
    </row>
    <row r="99" spans="1:22" x14ac:dyDescent="0.3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6"/>
      <c r="Q99" s="26"/>
      <c r="R99" s="25"/>
      <c r="S99" s="26"/>
      <c r="T99" s="25"/>
      <c r="U99" s="25"/>
      <c r="V99" s="25"/>
    </row>
    <row r="100" spans="1:22" x14ac:dyDescent="0.3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6"/>
      <c r="Q100" s="26"/>
      <c r="R100" s="25"/>
      <c r="S100" s="26"/>
      <c r="T100" s="25"/>
      <c r="U100" s="25"/>
      <c r="V100" s="25"/>
    </row>
    <row r="101" spans="1:22" x14ac:dyDescent="0.3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6"/>
      <c r="Q101" s="26"/>
      <c r="R101" s="25"/>
      <c r="S101" s="26"/>
      <c r="T101" s="25"/>
      <c r="U101" s="25"/>
      <c r="V101" s="25"/>
    </row>
    <row r="102" spans="1:22" x14ac:dyDescent="0.3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6"/>
      <c r="Q102" s="26"/>
      <c r="R102" s="25"/>
      <c r="S102" s="26"/>
      <c r="T102" s="25"/>
      <c r="U102" s="25"/>
      <c r="V102" s="25"/>
    </row>
    <row r="103" spans="1:22" x14ac:dyDescent="0.3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6"/>
      <c r="Q103" s="26"/>
      <c r="R103" s="25"/>
      <c r="S103" s="26"/>
      <c r="T103" s="25"/>
      <c r="U103" s="25"/>
      <c r="V103" s="25"/>
    </row>
    <row r="104" spans="1:22" x14ac:dyDescent="0.3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6"/>
      <c r="Q104" s="26"/>
      <c r="R104" s="25"/>
      <c r="S104" s="26"/>
      <c r="T104" s="25"/>
      <c r="U104" s="25"/>
      <c r="V104" s="25"/>
    </row>
    <row r="105" spans="1:22" x14ac:dyDescent="0.3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6"/>
      <c r="Q105" s="26"/>
      <c r="R105" s="25"/>
      <c r="S105" s="26"/>
      <c r="T105" s="25"/>
      <c r="U105" s="25"/>
      <c r="V105" s="25"/>
    </row>
    <row r="106" spans="1:22" x14ac:dyDescent="0.3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6"/>
      <c r="Q106" s="26"/>
      <c r="R106" s="25"/>
      <c r="S106" s="26"/>
      <c r="T106" s="25"/>
      <c r="U106" s="25"/>
      <c r="V106" s="25"/>
    </row>
    <row r="107" spans="1:22" x14ac:dyDescent="0.3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6"/>
      <c r="Q107" s="26"/>
      <c r="R107" s="25"/>
      <c r="S107" s="26"/>
      <c r="T107" s="25"/>
      <c r="U107" s="25"/>
      <c r="V107" s="25"/>
    </row>
    <row r="108" spans="1:22" x14ac:dyDescent="0.3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6"/>
      <c r="Q108" s="26"/>
      <c r="R108" s="25"/>
      <c r="S108" s="26"/>
      <c r="T108" s="25"/>
      <c r="U108" s="25"/>
      <c r="V108" s="25"/>
    </row>
    <row r="109" spans="1:22" x14ac:dyDescent="0.3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6"/>
      <c r="Q109" s="26"/>
      <c r="R109" s="25"/>
      <c r="S109" s="26"/>
      <c r="T109" s="25"/>
      <c r="U109" s="25"/>
      <c r="V109" s="25"/>
    </row>
    <row r="110" spans="1:22" x14ac:dyDescent="0.3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6"/>
      <c r="Q110" s="26"/>
      <c r="R110" s="25"/>
      <c r="S110" s="26"/>
      <c r="T110" s="25"/>
      <c r="U110" s="25"/>
      <c r="V110" s="25"/>
    </row>
    <row r="111" spans="1:22" x14ac:dyDescent="0.3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6"/>
      <c r="Q111" s="26"/>
      <c r="R111" s="25"/>
      <c r="S111" s="26"/>
      <c r="T111" s="25"/>
      <c r="U111" s="25"/>
      <c r="V111" s="25"/>
    </row>
    <row r="112" spans="1:22" x14ac:dyDescent="0.3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6"/>
      <c r="Q112" s="26"/>
      <c r="R112" s="25"/>
      <c r="S112" s="26"/>
      <c r="T112" s="25"/>
      <c r="U112" s="25"/>
      <c r="V112" s="25"/>
    </row>
    <row r="113" spans="1:22" x14ac:dyDescent="0.3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6"/>
      <c r="Q113" s="26"/>
      <c r="R113" s="25"/>
      <c r="S113" s="26"/>
      <c r="T113" s="25"/>
      <c r="U113" s="25"/>
      <c r="V113" s="25"/>
    </row>
    <row r="114" spans="1:22" x14ac:dyDescent="0.3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6"/>
      <c r="Q114" s="26"/>
      <c r="R114" s="25"/>
      <c r="S114" s="26"/>
      <c r="T114" s="25"/>
      <c r="U114" s="25"/>
      <c r="V114" s="25"/>
    </row>
    <row r="115" spans="1:22" x14ac:dyDescent="0.3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6"/>
      <c r="Q115" s="26"/>
      <c r="R115" s="25"/>
      <c r="S115" s="26"/>
      <c r="T115" s="25"/>
      <c r="U115" s="25"/>
      <c r="V115" s="25"/>
    </row>
    <row r="116" spans="1:22" x14ac:dyDescent="0.3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6"/>
      <c r="Q116" s="26"/>
      <c r="R116" s="25"/>
      <c r="S116" s="26"/>
      <c r="T116" s="25"/>
      <c r="U116" s="25"/>
      <c r="V116" s="25"/>
    </row>
    <row r="117" spans="1:22" x14ac:dyDescent="0.3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6"/>
      <c r="Q117" s="26"/>
      <c r="R117" s="25"/>
      <c r="S117" s="26"/>
      <c r="T117" s="25"/>
      <c r="U117" s="25"/>
      <c r="V117" s="25"/>
    </row>
    <row r="118" spans="1:22" x14ac:dyDescent="0.3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6"/>
      <c r="Q118" s="26"/>
      <c r="R118" s="25"/>
      <c r="S118" s="26"/>
      <c r="T118" s="25"/>
      <c r="U118" s="25"/>
      <c r="V118" s="25"/>
    </row>
    <row r="119" spans="1:22" x14ac:dyDescent="0.3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6"/>
      <c r="Q119" s="26"/>
      <c r="R119" s="25"/>
      <c r="S119" s="26"/>
      <c r="T119" s="25"/>
      <c r="U119" s="25"/>
      <c r="V119" s="25"/>
    </row>
    <row r="120" spans="1:22" x14ac:dyDescent="0.3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6"/>
      <c r="Q120" s="26"/>
      <c r="R120" s="25"/>
      <c r="S120" s="26"/>
      <c r="T120" s="25"/>
      <c r="U120" s="25"/>
      <c r="V120" s="25"/>
    </row>
    <row r="121" spans="1:22" x14ac:dyDescent="0.3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6"/>
      <c r="Q121" s="26"/>
      <c r="R121" s="25"/>
      <c r="S121" s="26"/>
      <c r="T121" s="25"/>
      <c r="U121" s="25"/>
      <c r="V121" s="25"/>
    </row>
    <row r="122" spans="1:22" x14ac:dyDescent="0.3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6"/>
      <c r="Q122" s="26"/>
      <c r="R122" s="25"/>
      <c r="S122" s="26"/>
      <c r="T122" s="25"/>
      <c r="U122" s="25"/>
      <c r="V122" s="25"/>
    </row>
    <row r="123" spans="1:22" x14ac:dyDescent="0.3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6"/>
      <c r="Q123" s="26"/>
      <c r="R123" s="25"/>
      <c r="S123" s="26"/>
      <c r="T123" s="25"/>
      <c r="U123" s="25"/>
      <c r="V123" s="25"/>
    </row>
    <row r="124" spans="1:22" x14ac:dyDescent="0.3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6"/>
      <c r="Q124" s="26"/>
      <c r="R124" s="25"/>
      <c r="S124" s="26"/>
      <c r="T124" s="25"/>
      <c r="U124" s="25"/>
      <c r="V124" s="25"/>
    </row>
  </sheetData>
  <mergeCells count="1">
    <mergeCell ref="A1:V1"/>
  </mergeCells>
  <dataValidations count="5">
    <dataValidation type="list" allowBlank="1" sqref="E5:E124 G5:L124" xr:uid="{00000000-0002-0000-0C00-000000000000}">
      <formula1>"Yes,No,N/A,In Progress"</formula1>
    </dataValidation>
    <dataValidation type="list" allowBlank="1" sqref="T5:T124" xr:uid="{00000000-0002-0000-0C00-000001000000}">
      <formula1>"Not Started,In Progress,Completed,Overdue,Closed"</formula1>
    </dataValidation>
    <dataValidation type="list" allowBlank="1" sqref="U5:U124" xr:uid="{00000000-0002-0000-0C00-000002000000}">
      <formula1>"Green,Amber,Red,Grey"</formula1>
    </dataValidation>
    <dataValidation type="list" allowBlank="1" sqref="W2:W200 Y2:Y200 AB2:AC200 AE2:AF200" xr:uid="{00000000-0002-0000-0C00-000003000000}">
      <formula1>"Yes,No,N/A"</formula1>
    </dataValidation>
    <dataValidation type="list" allowBlank="1" sqref="X2:X200" xr:uid="{00000000-0002-0000-0C00-000004000000}">
      <formula1>"Sponsored,Non-Sponsored,N/A"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154"/>
  <sheetViews>
    <sheetView workbookViewId="0"/>
  </sheetViews>
  <sheetFormatPr defaultRowHeight="14.5" x14ac:dyDescent="0.35"/>
  <cols>
    <col min="1" max="1" width="16" customWidth="1"/>
    <col min="2" max="2" width="22" customWidth="1"/>
    <col min="3" max="5" width="16" customWidth="1"/>
    <col min="6" max="6" width="32" customWidth="1"/>
    <col min="7" max="7" width="16" customWidth="1"/>
    <col min="8" max="8" width="24" customWidth="1"/>
    <col min="9" max="15" width="30" customWidth="1"/>
    <col min="16" max="22" width="16" customWidth="1"/>
    <col min="23" max="23" width="30" customWidth="1"/>
  </cols>
  <sheetData>
    <row r="1" spans="1:23" x14ac:dyDescent="0.35">
      <c r="A1" s="154" t="s">
        <v>354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</row>
    <row r="2" spans="1:23" ht="51.65" customHeight="1" x14ac:dyDescent="0.35">
      <c r="A2" s="21" t="s">
        <v>321</v>
      </c>
    </row>
    <row r="4" spans="1:23" ht="19.399999999999999" customHeight="1" x14ac:dyDescent="0.35">
      <c r="A4" s="24" t="s">
        <v>355</v>
      </c>
      <c r="B4" s="24" t="s">
        <v>31</v>
      </c>
      <c r="C4" s="24" t="s">
        <v>322</v>
      </c>
      <c r="D4" s="24" t="s">
        <v>356</v>
      </c>
      <c r="E4" s="24" t="s">
        <v>357</v>
      </c>
      <c r="F4" s="24" t="s">
        <v>358</v>
      </c>
      <c r="G4" s="24" t="s">
        <v>359</v>
      </c>
      <c r="H4" s="24" t="s">
        <v>360</v>
      </c>
      <c r="I4" s="24" t="s">
        <v>361</v>
      </c>
      <c r="J4" s="24" t="s">
        <v>362</v>
      </c>
      <c r="K4" s="24" t="s">
        <v>363</v>
      </c>
      <c r="L4" s="24" t="s">
        <v>364</v>
      </c>
      <c r="M4" s="24" t="s">
        <v>365</v>
      </c>
      <c r="N4" s="24" t="s">
        <v>366</v>
      </c>
      <c r="O4" s="24" t="s">
        <v>335</v>
      </c>
      <c r="P4" s="24" t="s">
        <v>367</v>
      </c>
      <c r="Q4" s="24" t="s">
        <v>352</v>
      </c>
      <c r="R4" s="24" t="s">
        <v>281</v>
      </c>
      <c r="S4" s="24" t="s">
        <v>353</v>
      </c>
      <c r="T4" s="24" t="s">
        <v>337</v>
      </c>
      <c r="U4" s="24" t="s">
        <v>296</v>
      </c>
      <c r="V4" s="24" t="s">
        <v>6</v>
      </c>
      <c r="W4" s="24" t="s">
        <v>338</v>
      </c>
    </row>
    <row r="5" spans="1:23" x14ac:dyDescent="0.35">
      <c r="A5" s="25"/>
      <c r="B5" s="25"/>
      <c r="C5" s="25"/>
      <c r="D5" s="26"/>
      <c r="E5" s="25"/>
      <c r="F5" s="25"/>
      <c r="G5" s="25"/>
      <c r="H5" s="25"/>
      <c r="I5" s="25"/>
      <c r="J5" s="25"/>
      <c r="K5" s="25"/>
      <c r="L5" s="25"/>
      <c r="M5" s="25"/>
      <c r="N5" s="26"/>
      <c r="O5" s="25"/>
      <c r="P5" s="25"/>
      <c r="Q5" s="26"/>
      <c r="R5" s="26"/>
      <c r="S5" s="25"/>
      <c r="T5" s="26"/>
      <c r="U5" s="25"/>
      <c r="V5" s="25"/>
      <c r="W5" s="25"/>
    </row>
    <row r="6" spans="1:23" x14ac:dyDescent="0.35">
      <c r="A6" s="25"/>
      <c r="B6" s="25"/>
      <c r="C6" s="25"/>
      <c r="D6" s="26"/>
      <c r="E6" s="25"/>
      <c r="F6" s="25"/>
      <c r="G6" s="25"/>
      <c r="H6" s="25"/>
      <c r="I6" s="25"/>
      <c r="J6" s="25"/>
      <c r="K6" s="25"/>
      <c r="L6" s="25"/>
      <c r="M6" s="25"/>
      <c r="N6" s="26"/>
      <c r="O6" s="25"/>
      <c r="P6" s="25"/>
      <c r="Q6" s="26"/>
      <c r="R6" s="26"/>
      <c r="S6" s="25"/>
      <c r="T6" s="26"/>
      <c r="U6" s="25"/>
      <c r="V6" s="25"/>
      <c r="W6" s="25"/>
    </row>
    <row r="7" spans="1:23" x14ac:dyDescent="0.35">
      <c r="A7" s="25"/>
      <c r="B7" s="25"/>
      <c r="C7" s="25"/>
      <c r="D7" s="26"/>
      <c r="E7" s="25"/>
      <c r="F7" s="25"/>
      <c r="G7" s="25"/>
      <c r="H7" s="25"/>
      <c r="I7" s="25"/>
      <c r="J7" s="25"/>
      <c r="K7" s="25"/>
      <c r="L7" s="25"/>
      <c r="M7" s="25"/>
      <c r="N7" s="26"/>
      <c r="O7" s="25"/>
      <c r="P7" s="25"/>
      <c r="Q7" s="26"/>
      <c r="R7" s="26"/>
      <c r="S7" s="25"/>
      <c r="T7" s="26"/>
      <c r="U7" s="25"/>
      <c r="V7" s="25"/>
      <c r="W7" s="25"/>
    </row>
    <row r="8" spans="1:23" x14ac:dyDescent="0.35">
      <c r="A8" s="25"/>
      <c r="B8" s="25"/>
      <c r="C8" s="25"/>
      <c r="D8" s="26"/>
      <c r="E8" s="25"/>
      <c r="F8" s="25"/>
      <c r="G8" s="25"/>
      <c r="H8" s="25"/>
      <c r="I8" s="25"/>
      <c r="J8" s="25"/>
      <c r="K8" s="25"/>
      <c r="L8" s="25"/>
      <c r="M8" s="25"/>
      <c r="N8" s="26"/>
      <c r="O8" s="25"/>
      <c r="P8" s="25"/>
      <c r="Q8" s="26"/>
      <c r="R8" s="26"/>
      <c r="S8" s="25"/>
      <c r="T8" s="26"/>
      <c r="U8" s="25"/>
      <c r="V8" s="25"/>
      <c r="W8" s="25"/>
    </row>
    <row r="9" spans="1:23" x14ac:dyDescent="0.35">
      <c r="A9" s="25"/>
      <c r="B9" s="25"/>
      <c r="C9" s="25"/>
      <c r="D9" s="26"/>
      <c r="E9" s="25"/>
      <c r="F9" s="25"/>
      <c r="G9" s="25"/>
      <c r="H9" s="25"/>
      <c r="I9" s="25"/>
      <c r="J9" s="25"/>
      <c r="K9" s="25"/>
      <c r="L9" s="25"/>
      <c r="M9" s="25"/>
      <c r="N9" s="26"/>
      <c r="O9" s="25"/>
      <c r="P9" s="25"/>
      <c r="Q9" s="26"/>
      <c r="R9" s="26"/>
      <c r="S9" s="25"/>
      <c r="T9" s="26"/>
      <c r="U9" s="25"/>
      <c r="V9" s="25"/>
      <c r="W9" s="25"/>
    </row>
    <row r="10" spans="1:23" x14ac:dyDescent="0.35">
      <c r="A10" s="25"/>
      <c r="B10" s="25"/>
      <c r="C10" s="25"/>
      <c r="D10" s="26"/>
      <c r="E10" s="25"/>
      <c r="F10" s="25"/>
      <c r="G10" s="25"/>
      <c r="H10" s="25"/>
      <c r="I10" s="25"/>
      <c r="J10" s="25"/>
      <c r="K10" s="25"/>
      <c r="L10" s="25"/>
      <c r="M10" s="25"/>
      <c r="N10" s="26"/>
      <c r="O10" s="25"/>
      <c r="P10" s="25"/>
      <c r="Q10" s="26"/>
      <c r="R10" s="26"/>
      <c r="S10" s="25"/>
      <c r="T10" s="26"/>
      <c r="U10" s="25"/>
      <c r="V10" s="25"/>
      <c r="W10" s="25"/>
    </row>
    <row r="11" spans="1:23" x14ac:dyDescent="0.35">
      <c r="A11" s="25"/>
      <c r="B11" s="25"/>
      <c r="C11" s="25"/>
      <c r="D11" s="26"/>
      <c r="E11" s="25"/>
      <c r="F11" s="25"/>
      <c r="G11" s="25"/>
      <c r="H11" s="25"/>
      <c r="I11" s="25"/>
      <c r="J11" s="25"/>
      <c r="K11" s="25"/>
      <c r="L11" s="25"/>
      <c r="M11" s="25"/>
      <c r="N11" s="26"/>
      <c r="O11" s="25"/>
      <c r="P11" s="25"/>
      <c r="Q11" s="26"/>
      <c r="R11" s="26"/>
      <c r="S11" s="25"/>
      <c r="T11" s="26"/>
      <c r="U11" s="25"/>
      <c r="V11" s="25"/>
      <c r="W11" s="25"/>
    </row>
    <row r="12" spans="1:23" x14ac:dyDescent="0.35">
      <c r="A12" s="25"/>
      <c r="B12" s="25"/>
      <c r="C12" s="25"/>
      <c r="D12" s="26"/>
      <c r="E12" s="25"/>
      <c r="F12" s="25"/>
      <c r="G12" s="25"/>
      <c r="H12" s="25"/>
      <c r="I12" s="25"/>
      <c r="J12" s="25"/>
      <c r="K12" s="25"/>
      <c r="L12" s="25"/>
      <c r="M12" s="25"/>
      <c r="N12" s="26"/>
      <c r="O12" s="25"/>
      <c r="P12" s="25"/>
      <c r="Q12" s="26"/>
      <c r="R12" s="26"/>
      <c r="S12" s="25"/>
      <c r="T12" s="26"/>
      <c r="U12" s="25"/>
      <c r="V12" s="25"/>
      <c r="W12" s="25"/>
    </row>
    <row r="13" spans="1:23" x14ac:dyDescent="0.35">
      <c r="A13" s="25"/>
      <c r="B13" s="25"/>
      <c r="C13" s="25"/>
      <c r="D13" s="26"/>
      <c r="E13" s="25"/>
      <c r="F13" s="25"/>
      <c r="G13" s="25"/>
      <c r="H13" s="25"/>
      <c r="I13" s="25"/>
      <c r="J13" s="25"/>
      <c r="K13" s="25"/>
      <c r="L13" s="25"/>
      <c r="M13" s="25"/>
      <c r="N13" s="26"/>
      <c r="O13" s="25"/>
      <c r="P13" s="25"/>
      <c r="Q13" s="26"/>
      <c r="R13" s="26"/>
      <c r="S13" s="25"/>
      <c r="T13" s="26"/>
      <c r="U13" s="25"/>
      <c r="V13" s="25"/>
      <c r="W13" s="25"/>
    </row>
    <row r="14" spans="1:23" x14ac:dyDescent="0.35">
      <c r="A14" s="25"/>
      <c r="B14" s="25"/>
      <c r="C14" s="25"/>
      <c r="D14" s="26"/>
      <c r="E14" s="25"/>
      <c r="F14" s="25"/>
      <c r="G14" s="25"/>
      <c r="H14" s="25"/>
      <c r="I14" s="25"/>
      <c r="J14" s="25"/>
      <c r="K14" s="25"/>
      <c r="L14" s="25"/>
      <c r="M14" s="25"/>
      <c r="N14" s="26"/>
      <c r="O14" s="25"/>
      <c r="P14" s="25"/>
      <c r="Q14" s="26"/>
      <c r="R14" s="26"/>
      <c r="S14" s="25"/>
      <c r="T14" s="26"/>
      <c r="U14" s="25"/>
      <c r="V14" s="25"/>
      <c r="W14" s="25"/>
    </row>
    <row r="15" spans="1:23" x14ac:dyDescent="0.35">
      <c r="A15" s="25"/>
      <c r="B15" s="25"/>
      <c r="C15" s="25"/>
      <c r="D15" s="26"/>
      <c r="E15" s="25"/>
      <c r="F15" s="25"/>
      <c r="G15" s="25"/>
      <c r="H15" s="25"/>
      <c r="I15" s="25"/>
      <c r="J15" s="25"/>
      <c r="K15" s="25"/>
      <c r="L15" s="25"/>
      <c r="M15" s="25"/>
      <c r="N15" s="26"/>
      <c r="O15" s="25"/>
      <c r="P15" s="25"/>
      <c r="Q15" s="26"/>
      <c r="R15" s="26"/>
      <c r="S15" s="25"/>
      <c r="T15" s="26"/>
      <c r="U15" s="25"/>
      <c r="V15" s="25"/>
      <c r="W15" s="25"/>
    </row>
    <row r="16" spans="1:23" x14ac:dyDescent="0.35">
      <c r="A16" s="25"/>
      <c r="B16" s="25"/>
      <c r="C16" s="25"/>
      <c r="D16" s="26"/>
      <c r="E16" s="25"/>
      <c r="F16" s="25"/>
      <c r="G16" s="25"/>
      <c r="H16" s="25"/>
      <c r="I16" s="25"/>
      <c r="J16" s="25"/>
      <c r="K16" s="25"/>
      <c r="L16" s="25"/>
      <c r="M16" s="25"/>
      <c r="N16" s="26"/>
      <c r="O16" s="25"/>
      <c r="P16" s="25"/>
      <c r="Q16" s="26"/>
      <c r="R16" s="26"/>
      <c r="S16" s="25"/>
      <c r="T16" s="26"/>
      <c r="U16" s="25"/>
      <c r="V16" s="25"/>
      <c r="W16" s="25"/>
    </row>
    <row r="17" spans="1:23" x14ac:dyDescent="0.35">
      <c r="A17" s="25"/>
      <c r="B17" s="25"/>
      <c r="C17" s="25"/>
      <c r="D17" s="26"/>
      <c r="E17" s="25"/>
      <c r="F17" s="25"/>
      <c r="G17" s="25"/>
      <c r="H17" s="25"/>
      <c r="I17" s="25"/>
      <c r="J17" s="25"/>
      <c r="K17" s="25"/>
      <c r="L17" s="25"/>
      <c r="M17" s="25"/>
      <c r="N17" s="26"/>
      <c r="O17" s="25"/>
      <c r="P17" s="25"/>
      <c r="Q17" s="26"/>
      <c r="R17" s="26"/>
      <c r="S17" s="25"/>
      <c r="T17" s="26"/>
      <c r="U17" s="25"/>
      <c r="V17" s="25"/>
      <c r="W17" s="25"/>
    </row>
    <row r="18" spans="1:23" x14ac:dyDescent="0.35">
      <c r="A18" s="25"/>
      <c r="B18" s="25"/>
      <c r="C18" s="25"/>
      <c r="D18" s="26"/>
      <c r="E18" s="25"/>
      <c r="F18" s="25"/>
      <c r="G18" s="25"/>
      <c r="H18" s="25"/>
      <c r="I18" s="25"/>
      <c r="J18" s="25"/>
      <c r="K18" s="25"/>
      <c r="L18" s="25"/>
      <c r="M18" s="25"/>
      <c r="N18" s="26"/>
      <c r="O18" s="25"/>
      <c r="P18" s="25"/>
      <c r="Q18" s="26"/>
      <c r="R18" s="26"/>
      <c r="S18" s="25"/>
      <c r="T18" s="26"/>
      <c r="U18" s="25"/>
      <c r="V18" s="25"/>
      <c r="W18" s="25"/>
    </row>
    <row r="19" spans="1:23" x14ac:dyDescent="0.35">
      <c r="A19" s="25"/>
      <c r="B19" s="25"/>
      <c r="C19" s="25"/>
      <c r="D19" s="26"/>
      <c r="E19" s="25"/>
      <c r="F19" s="25"/>
      <c r="G19" s="25"/>
      <c r="H19" s="25"/>
      <c r="I19" s="25"/>
      <c r="J19" s="25"/>
      <c r="K19" s="25"/>
      <c r="L19" s="25"/>
      <c r="M19" s="25"/>
      <c r="N19" s="26"/>
      <c r="O19" s="25"/>
      <c r="P19" s="25"/>
      <c r="Q19" s="26"/>
      <c r="R19" s="26"/>
      <c r="S19" s="25"/>
      <c r="T19" s="26"/>
      <c r="U19" s="25"/>
      <c r="V19" s="25"/>
      <c r="W19" s="25"/>
    </row>
    <row r="20" spans="1:23" x14ac:dyDescent="0.35">
      <c r="A20" s="25"/>
      <c r="B20" s="25"/>
      <c r="C20" s="25"/>
      <c r="D20" s="26"/>
      <c r="E20" s="25"/>
      <c r="F20" s="25"/>
      <c r="G20" s="25"/>
      <c r="H20" s="25"/>
      <c r="I20" s="25"/>
      <c r="J20" s="25"/>
      <c r="K20" s="25"/>
      <c r="L20" s="25"/>
      <c r="M20" s="25"/>
      <c r="N20" s="26"/>
      <c r="O20" s="25"/>
      <c r="P20" s="25"/>
      <c r="Q20" s="26"/>
      <c r="R20" s="26"/>
      <c r="S20" s="25"/>
      <c r="T20" s="26"/>
      <c r="U20" s="25"/>
      <c r="V20" s="25"/>
      <c r="W20" s="25"/>
    </row>
    <row r="21" spans="1:23" x14ac:dyDescent="0.35">
      <c r="A21" s="25"/>
      <c r="B21" s="25"/>
      <c r="C21" s="25"/>
      <c r="D21" s="26"/>
      <c r="E21" s="25"/>
      <c r="F21" s="25"/>
      <c r="G21" s="25"/>
      <c r="H21" s="25"/>
      <c r="I21" s="25"/>
      <c r="J21" s="25"/>
      <c r="K21" s="25"/>
      <c r="L21" s="25"/>
      <c r="M21" s="25"/>
      <c r="N21" s="26"/>
      <c r="O21" s="25"/>
      <c r="P21" s="25"/>
      <c r="Q21" s="26"/>
      <c r="R21" s="26"/>
      <c r="S21" s="25"/>
      <c r="T21" s="26"/>
      <c r="U21" s="25"/>
      <c r="V21" s="25"/>
      <c r="W21" s="25"/>
    </row>
    <row r="22" spans="1:23" x14ac:dyDescent="0.35">
      <c r="A22" s="25"/>
      <c r="B22" s="25"/>
      <c r="C22" s="25"/>
      <c r="D22" s="26"/>
      <c r="E22" s="25"/>
      <c r="F22" s="25"/>
      <c r="G22" s="25"/>
      <c r="H22" s="25"/>
      <c r="I22" s="25"/>
      <c r="J22" s="25"/>
      <c r="K22" s="25"/>
      <c r="L22" s="25"/>
      <c r="M22" s="25"/>
      <c r="N22" s="26"/>
      <c r="O22" s="25"/>
      <c r="P22" s="25"/>
      <c r="Q22" s="26"/>
      <c r="R22" s="26"/>
      <c r="S22" s="25"/>
      <c r="T22" s="26"/>
      <c r="U22" s="25"/>
      <c r="V22" s="25"/>
      <c r="W22" s="25"/>
    </row>
    <row r="23" spans="1:23" x14ac:dyDescent="0.35">
      <c r="A23" s="25"/>
      <c r="B23" s="25"/>
      <c r="C23" s="25"/>
      <c r="D23" s="26"/>
      <c r="E23" s="25"/>
      <c r="F23" s="25"/>
      <c r="G23" s="25"/>
      <c r="H23" s="25"/>
      <c r="I23" s="25"/>
      <c r="J23" s="25"/>
      <c r="K23" s="25"/>
      <c r="L23" s="25"/>
      <c r="M23" s="25"/>
      <c r="N23" s="26"/>
      <c r="O23" s="25"/>
      <c r="P23" s="25"/>
      <c r="Q23" s="26"/>
      <c r="R23" s="26"/>
      <c r="S23" s="25"/>
      <c r="T23" s="26"/>
      <c r="U23" s="25"/>
      <c r="V23" s="25"/>
      <c r="W23" s="25"/>
    </row>
    <row r="24" spans="1:23" x14ac:dyDescent="0.35">
      <c r="A24" s="25"/>
      <c r="B24" s="25"/>
      <c r="C24" s="25"/>
      <c r="D24" s="26"/>
      <c r="E24" s="25"/>
      <c r="F24" s="25"/>
      <c r="G24" s="25"/>
      <c r="H24" s="25"/>
      <c r="I24" s="25"/>
      <c r="J24" s="25"/>
      <c r="K24" s="25"/>
      <c r="L24" s="25"/>
      <c r="M24" s="25"/>
      <c r="N24" s="26"/>
      <c r="O24" s="25"/>
      <c r="P24" s="25"/>
      <c r="Q24" s="26"/>
      <c r="R24" s="26"/>
      <c r="S24" s="25"/>
      <c r="T24" s="26"/>
      <c r="U24" s="25"/>
      <c r="V24" s="25"/>
      <c r="W24" s="25"/>
    </row>
    <row r="25" spans="1:23" x14ac:dyDescent="0.35">
      <c r="A25" s="25"/>
      <c r="B25" s="25"/>
      <c r="C25" s="25"/>
      <c r="D25" s="26"/>
      <c r="E25" s="25"/>
      <c r="F25" s="25"/>
      <c r="G25" s="25"/>
      <c r="H25" s="25"/>
      <c r="I25" s="25"/>
      <c r="J25" s="25"/>
      <c r="K25" s="25"/>
      <c r="L25" s="25"/>
      <c r="M25" s="25"/>
      <c r="N25" s="26"/>
      <c r="O25" s="25"/>
      <c r="P25" s="25"/>
      <c r="Q25" s="26"/>
      <c r="R25" s="26"/>
      <c r="S25" s="25"/>
      <c r="T25" s="26"/>
      <c r="U25" s="25"/>
      <c r="V25" s="25"/>
      <c r="W25" s="25"/>
    </row>
    <row r="26" spans="1:23" x14ac:dyDescent="0.35">
      <c r="A26" s="25"/>
      <c r="B26" s="25"/>
      <c r="C26" s="25"/>
      <c r="D26" s="26"/>
      <c r="E26" s="25"/>
      <c r="F26" s="25"/>
      <c r="G26" s="25"/>
      <c r="H26" s="25"/>
      <c r="I26" s="25"/>
      <c r="J26" s="25"/>
      <c r="K26" s="25"/>
      <c r="L26" s="25"/>
      <c r="M26" s="25"/>
      <c r="N26" s="26"/>
      <c r="O26" s="25"/>
      <c r="P26" s="25"/>
      <c r="Q26" s="26"/>
      <c r="R26" s="26"/>
      <c r="S26" s="25"/>
      <c r="T26" s="26"/>
      <c r="U26" s="25"/>
      <c r="V26" s="25"/>
      <c r="W26" s="25"/>
    </row>
    <row r="27" spans="1:23" x14ac:dyDescent="0.35">
      <c r="A27" s="25"/>
      <c r="B27" s="25"/>
      <c r="C27" s="25"/>
      <c r="D27" s="26"/>
      <c r="E27" s="25"/>
      <c r="F27" s="25"/>
      <c r="G27" s="25"/>
      <c r="H27" s="25"/>
      <c r="I27" s="25"/>
      <c r="J27" s="25"/>
      <c r="K27" s="25"/>
      <c r="L27" s="25"/>
      <c r="M27" s="25"/>
      <c r="N27" s="26"/>
      <c r="O27" s="25"/>
      <c r="P27" s="25"/>
      <c r="Q27" s="26"/>
      <c r="R27" s="26"/>
      <c r="S27" s="25"/>
      <c r="T27" s="26"/>
      <c r="U27" s="25"/>
      <c r="V27" s="25"/>
      <c r="W27" s="25"/>
    </row>
    <row r="28" spans="1:23" x14ac:dyDescent="0.35">
      <c r="A28" s="25"/>
      <c r="B28" s="25"/>
      <c r="C28" s="25"/>
      <c r="D28" s="26"/>
      <c r="E28" s="25"/>
      <c r="F28" s="25"/>
      <c r="G28" s="25"/>
      <c r="H28" s="25"/>
      <c r="I28" s="25"/>
      <c r="J28" s="25"/>
      <c r="K28" s="25"/>
      <c r="L28" s="25"/>
      <c r="M28" s="25"/>
      <c r="N28" s="26"/>
      <c r="O28" s="25"/>
      <c r="P28" s="25"/>
      <c r="Q28" s="26"/>
      <c r="R28" s="26"/>
      <c r="S28" s="25"/>
      <c r="T28" s="26"/>
      <c r="U28" s="25"/>
      <c r="V28" s="25"/>
      <c r="W28" s="25"/>
    </row>
    <row r="29" spans="1:23" x14ac:dyDescent="0.35">
      <c r="A29" s="25"/>
      <c r="B29" s="25"/>
      <c r="C29" s="25"/>
      <c r="D29" s="26"/>
      <c r="E29" s="25"/>
      <c r="F29" s="25"/>
      <c r="G29" s="25"/>
      <c r="H29" s="25"/>
      <c r="I29" s="25"/>
      <c r="J29" s="25"/>
      <c r="K29" s="25"/>
      <c r="L29" s="25"/>
      <c r="M29" s="25"/>
      <c r="N29" s="26"/>
      <c r="O29" s="25"/>
      <c r="P29" s="25"/>
      <c r="Q29" s="26"/>
      <c r="R29" s="26"/>
      <c r="S29" s="25"/>
      <c r="T29" s="26"/>
      <c r="U29" s="25"/>
      <c r="V29" s="25"/>
      <c r="W29" s="25"/>
    </row>
    <row r="30" spans="1:23" x14ac:dyDescent="0.35">
      <c r="A30" s="25"/>
      <c r="B30" s="25"/>
      <c r="C30" s="25"/>
      <c r="D30" s="26"/>
      <c r="E30" s="25"/>
      <c r="F30" s="25"/>
      <c r="G30" s="25"/>
      <c r="H30" s="25"/>
      <c r="I30" s="25"/>
      <c r="J30" s="25"/>
      <c r="K30" s="25"/>
      <c r="L30" s="25"/>
      <c r="M30" s="25"/>
      <c r="N30" s="26"/>
      <c r="O30" s="25"/>
      <c r="P30" s="25"/>
      <c r="Q30" s="26"/>
      <c r="R30" s="26"/>
      <c r="S30" s="25"/>
      <c r="T30" s="26"/>
      <c r="U30" s="25"/>
      <c r="V30" s="25"/>
      <c r="W30" s="25"/>
    </row>
    <row r="31" spans="1:23" x14ac:dyDescent="0.35">
      <c r="A31" s="25"/>
      <c r="B31" s="25"/>
      <c r="C31" s="25"/>
      <c r="D31" s="26"/>
      <c r="E31" s="25"/>
      <c r="F31" s="25"/>
      <c r="G31" s="25"/>
      <c r="H31" s="25"/>
      <c r="I31" s="25"/>
      <c r="J31" s="25"/>
      <c r="K31" s="25"/>
      <c r="L31" s="25"/>
      <c r="M31" s="25"/>
      <c r="N31" s="26"/>
      <c r="O31" s="25"/>
      <c r="P31" s="25"/>
      <c r="Q31" s="26"/>
      <c r="R31" s="26"/>
      <c r="S31" s="25"/>
      <c r="T31" s="26"/>
      <c r="U31" s="25"/>
      <c r="V31" s="25"/>
      <c r="W31" s="25"/>
    </row>
    <row r="32" spans="1:23" x14ac:dyDescent="0.35">
      <c r="A32" s="25"/>
      <c r="B32" s="25"/>
      <c r="C32" s="25"/>
      <c r="D32" s="26"/>
      <c r="E32" s="25"/>
      <c r="F32" s="25"/>
      <c r="G32" s="25"/>
      <c r="H32" s="25"/>
      <c r="I32" s="25"/>
      <c r="J32" s="25"/>
      <c r="K32" s="25"/>
      <c r="L32" s="25"/>
      <c r="M32" s="25"/>
      <c r="N32" s="26"/>
      <c r="O32" s="25"/>
      <c r="P32" s="25"/>
      <c r="Q32" s="26"/>
      <c r="R32" s="26"/>
      <c r="S32" s="25"/>
      <c r="T32" s="26"/>
      <c r="U32" s="25"/>
      <c r="V32" s="25"/>
      <c r="W32" s="25"/>
    </row>
    <row r="33" spans="1:23" x14ac:dyDescent="0.35">
      <c r="A33" s="25"/>
      <c r="B33" s="25"/>
      <c r="C33" s="25"/>
      <c r="D33" s="26"/>
      <c r="E33" s="25"/>
      <c r="F33" s="25"/>
      <c r="G33" s="25"/>
      <c r="H33" s="25"/>
      <c r="I33" s="25"/>
      <c r="J33" s="25"/>
      <c r="K33" s="25"/>
      <c r="L33" s="25"/>
      <c r="M33" s="25"/>
      <c r="N33" s="26"/>
      <c r="O33" s="25"/>
      <c r="P33" s="25"/>
      <c r="Q33" s="26"/>
      <c r="R33" s="26"/>
      <c r="S33" s="25"/>
      <c r="T33" s="26"/>
      <c r="U33" s="25"/>
      <c r="V33" s="25"/>
      <c r="W33" s="25"/>
    </row>
    <row r="34" spans="1:23" x14ac:dyDescent="0.35">
      <c r="A34" s="25"/>
      <c r="B34" s="25"/>
      <c r="C34" s="25"/>
      <c r="D34" s="26"/>
      <c r="E34" s="25"/>
      <c r="F34" s="25"/>
      <c r="G34" s="25"/>
      <c r="H34" s="25"/>
      <c r="I34" s="25"/>
      <c r="J34" s="25"/>
      <c r="K34" s="25"/>
      <c r="L34" s="25"/>
      <c r="M34" s="25"/>
      <c r="N34" s="26"/>
      <c r="O34" s="25"/>
      <c r="P34" s="25"/>
      <c r="Q34" s="26"/>
      <c r="R34" s="26"/>
      <c r="S34" s="25"/>
      <c r="T34" s="26"/>
      <c r="U34" s="25"/>
      <c r="V34" s="25"/>
      <c r="W34" s="25"/>
    </row>
    <row r="35" spans="1:23" x14ac:dyDescent="0.35">
      <c r="A35" s="25"/>
      <c r="B35" s="25"/>
      <c r="C35" s="25"/>
      <c r="D35" s="26"/>
      <c r="E35" s="25"/>
      <c r="F35" s="25"/>
      <c r="G35" s="25"/>
      <c r="H35" s="25"/>
      <c r="I35" s="25"/>
      <c r="J35" s="25"/>
      <c r="K35" s="25"/>
      <c r="L35" s="25"/>
      <c r="M35" s="25"/>
      <c r="N35" s="26"/>
      <c r="O35" s="25"/>
      <c r="P35" s="25"/>
      <c r="Q35" s="26"/>
      <c r="R35" s="26"/>
      <c r="S35" s="25"/>
      <c r="T35" s="26"/>
      <c r="U35" s="25"/>
      <c r="V35" s="25"/>
      <c r="W35" s="25"/>
    </row>
    <row r="36" spans="1:23" x14ac:dyDescent="0.35">
      <c r="A36" s="25"/>
      <c r="B36" s="25"/>
      <c r="C36" s="25"/>
      <c r="D36" s="26"/>
      <c r="E36" s="25"/>
      <c r="F36" s="25"/>
      <c r="G36" s="25"/>
      <c r="H36" s="25"/>
      <c r="I36" s="25"/>
      <c r="J36" s="25"/>
      <c r="K36" s="25"/>
      <c r="L36" s="25"/>
      <c r="M36" s="25"/>
      <c r="N36" s="26"/>
      <c r="O36" s="25"/>
      <c r="P36" s="25"/>
      <c r="Q36" s="26"/>
      <c r="R36" s="26"/>
      <c r="S36" s="25"/>
      <c r="T36" s="26"/>
      <c r="U36" s="25"/>
      <c r="V36" s="25"/>
      <c r="W36" s="25"/>
    </row>
    <row r="37" spans="1:23" x14ac:dyDescent="0.35">
      <c r="A37" s="25"/>
      <c r="B37" s="25"/>
      <c r="C37" s="25"/>
      <c r="D37" s="26"/>
      <c r="E37" s="25"/>
      <c r="F37" s="25"/>
      <c r="G37" s="25"/>
      <c r="H37" s="25"/>
      <c r="I37" s="25"/>
      <c r="J37" s="25"/>
      <c r="K37" s="25"/>
      <c r="L37" s="25"/>
      <c r="M37" s="25"/>
      <c r="N37" s="26"/>
      <c r="O37" s="25"/>
      <c r="P37" s="25"/>
      <c r="Q37" s="26"/>
      <c r="R37" s="26"/>
      <c r="S37" s="25"/>
      <c r="T37" s="26"/>
      <c r="U37" s="25"/>
      <c r="V37" s="25"/>
      <c r="W37" s="25"/>
    </row>
    <row r="38" spans="1:23" x14ac:dyDescent="0.35">
      <c r="A38" s="25"/>
      <c r="B38" s="25"/>
      <c r="C38" s="25"/>
      <c r="D38" s="26"/>
      <c r="E38" s="25"/>
      <c r="F38" s="25"/>
      <c r="G38" s="25"/>
      <c r="H38" s="25"/>
      <c r="I38" s="25"/>
      <c r="J38" s="25"/>
      <c r="K38" s="25"/>
      <c r="L38" s="25"/>
      <c r="M38" s="25"/>
      <c r="N38" s="26"/>
      <c r="O38" s="25"/>
      <c r="P38" s="25"/>
      <c r="Q38" s="26"/>
      <c r="R38" s="26"/>
      <c r="S38" s="25"/>
      <c r="T38" s="26"/>
      <c r="U38" s="25"/>
      <c r="V38" s="25"/>
      <c r="W38" s="25"/>
    </row>
    <row r="39" spans="1:23" x14ac:dyDescent="0.35">
      <c r="A39" s="25"/>
      <c r="B39" s="25"/>
      <c r="C39" s="25"/>
      <c r="D39" s="26"/>
      <c r="E39" s="25"/>
      <c r="F39" s="25"/>
      <c r="G39" s="25"/>
      <c r="H39" s="25"/>
      <c r="I39" s="25"/>
      <c r="J39" s="25"/>
      <c r="K39" s="25"/>
      <c r="L39" s="25"/>
      <c r="M39" s="25"/>
      <c r="N39" s="26"/>
      <c r="O39" s="25"/>
      <c r="P39" s="25"/>
      <c r="Q39" s="26"/>
      <c r="R39" s="26"/>
      <c r="S39" s="25"/>
      <c r="T39" s="26"/>
      <c r="U39" s="25"/>
      <c r="V39" s="25"/>
      <c r="W39" s="25"/>
    </row>
    <row r="40" spans="1:23" x14ac:dyDescent="0.35">
      <c r="A40" s="25"/>
      <c r="B40" s="25"/>
      <c r="C40" s="25"/>
      <c r="D40" s="26"/>
      <c r="E40" s="25"/>
      <c r="F40" s="25"/>
      <c r="G40" s="25"/>
      <c r="H40" s="25"/>
      <c r="I40" s="25"/>
      <c r="J40" s="25"/>
      <c r="K40" s="25"/>
      <c r="L40" s="25"/>
      <c r="M40" s="25"/>
      <c r="N40" s="26"/>
      <c r="O40" s="25"/>
      <c r="P40" s="25"/>
      <c r="Q40" s="26"/>
      <c r="R40" s="26"/>
      <c r="S40" s="25"/>
      <c r="T40" s="26"/>
      <c r="U40" s="25"/>
      <c r="V40" s="25"/>
      <c r="W40" s="25"/>
    </row>
    <row r="41" spans="1:23" x14ac:dyDescent="0.35">
      <c r="A41" s="25"/>
      <c r="B41" s="25"/>
      <c r="C41" s="25"/>
      <c r="D41" s="26"/>
      <c r="E41" s="25"/>
      <c r="F41" s="25"/>
      <c r="G41" s="25"/>
      <c r="H41" s="25"/>
      <c r="I41" s="25"/>
      <c r="J41" s="25"/>
      <c r="K41" s="25"/>
      <c r="L41" s="25"/>
      <c r="M41" s="25"/>
      <c r="N41" s="26"/>
      <c r="O41" s="25"/>
      <c r="P41" s="25"/>
      <c r="Q41" s="26"/>
      <c r="R41" s="26"/>
      <c r="S41" s="25"/>
      <c r="T41" s="26"/>
      <c r="U41" s="25"/>
      <c r="V41" s="25"/>
      <c r="W41" s="25"/>
    </row>
    <row r="42" spans="1:23" x14ac:dyDescent="0.35">
      <c r="A42" s="25"/>
      <c r="B42" s="25"/>
      <c r="C42" s="25"/>
      <c r="D42" s="26"/>
      <c r="E42" s="25"/>
      <c r="F42" s="25"/>
      <c r="G42" s="25"/>
      <c r="H42" s="25"/>
      <c r="I42" s="25"/>
      <c r="J42" s="25"/>
      <c r="K42" s="25"/>
      <c r="L42" s="25"/>
      <c r="M42" s="25"/>
      <c r="N42" s="26"/>
      <c r="O42" s="25"/>
      <c r="P42" s="25"/>
      <c r="Q42" s="26"/>
      <c r="R42" s="26"/>
      <c r="S42" s="25"/>
      <c r="T42" s="26"/>
      <c r="U42" s="25"/>
      <c r="V42" s="25"/>
      <c r="W42" s="25"/>
    </row>
    <row r="43" spans="1:23" x14ac:dyDescent="0.35">
      <c r="A43" s="25"/>
      <c r="B43" s="25"/>
      <c r="C43" s="25"/>
      <c r="D43" s="26"/>
      <c r="E43" s="25"/>
      <c r="F43" s="25"/>
      <c r="G43" s="25"/>
      <c r="H43" s="25"/>
      <c r="I43" s="25"/>
      <c r="J43" s="25"/>
      <c r="K43" s="25"/>
      <c r="L43" s="25"/>
      <c r="M43" s="25"/>
      <c r="N43" s="26"/>
      <c r="O43" s="25"/>
      <c r="P43" s="25"/>
      <c r="Q43" s="26"/>
      <c r="R43" s="26"/>
      <c r="S43" s="25"/>
      <c r="T43" s="26"/>
      <c r="U43" s="25"/>
      <c r="V43" s="25"/>
      <c r="W43" s="25"/>
    </row>
    <row r="44" spans="1:23" x14ac:dyDescent="0.35">
      <c r="A44" s="25"/>
      <c r="B44" s="25"/>
      <c r="C44" s="25"/>
      <c r="D44" s="26"/>
      <c r="E44" s="25"/>
      <c r="F44" s="25"/>
      <c r="G44" s="25"/>
      <c r="H44" s="25"/>
      <c r="I44" s="25"/>
      <c r="J44" s="25"/>
      <c r="K44" s="25"/>
      <c r="L44" s="25"/>
      <c r="M44" s="25"/>
      <c r="N44" s="26"/>
      <c r="O44" s="25"/>
      <c r="P44" s="25"/>
      <c r="Q44" s="26"/>
      <c r="R44" s="26"/>
      <c r="S44" s="25"/>
      <c r="T44" s="26"/>
      <c r="U44" s="25"/>
      <c r="V44" s="25"/>
      <c r="W44" s="25"/>
    </row>
    <row r="45" spans="1:23" x14ac:dyDescent="0.35">
      <c r="A45" s="25"/>
      <c r="B45" s="25"/>
      <c r="C45" s="25"/>
      <c r="D45" s="26"/>
      <c r="E45" s="25"/>
      <c r="F45" s="25"/>
      <c r="G45" s="25"/>
      <c r="H45" s="25"/>
      <c r="I45" s="25"/>
      <c r="J45" s="25"/>
      <c r="K45" s="25"/>
      <c r="L45" s="25"/>
      <c r="M45" s="25"/>
      <c r="N45" s="26"/>
      <c r="O45" s="25"/>
      <c r="P45" s="25"/>
      <c r="Q45" s="26"/>
      <c r="R45" s="26"/>
      <c r="S45" s="25"/>
      <c r="T45" s="26"/>
      <c r="U45" s="25"/>
      <c r="V45" s="25"/>
      <c r="W45" s="25"/>
    </row>
    <row r="46" spans="1:23" x14ac:dyDescent="0.35">
      <c r="A46" s="25"/>
      <c r="B46" s="25"/>
      <c r="C46" s="25"/>
      <c r="D46" s="26"/>
      <c r="E46" s="25"/>
      <c r="F46" s="25"/>
      <c r="G46" s="25"/>
      <c r="H46" s="25"/>
      <c r="I46" s="25"/>
      <c r="J46" s="25"/>
      <c r="K46" s="25"/>
      <c r="L46" s="25"/>
      <c r="M46" s="25"/>
      <c r="N46" s="26"/>
      <c r="O46" s="25"/>
      <c r="P46" s="25"/>
      <c r="Q46" s="26"/>
      <c r="R46" s="26"/>
      <c r="S46" s="25"/>
      <c r="T46" s="26"/>
      <c r="U46" s="25"/>
      <c r="V46" s="25"/>
      <c r="W46" s="25"/>
    </row>
    <row r="47" spans="1:23" x14ac:dyDescent="0.35">
      <c r="A47" s="25"/>
      <c r="B47" s="25"/>
      <c r="C47" s="25"/>
      <c r="D47" s="26"/>
      <c r="E47" s="25"/>
      <c r="F47" s="25"/>
      <c r="G47" s="25"/>
      <c r="H47" s="25"/>
      <c r="I47" s="25"/>
      <c r="J47" s="25"/>
      <c r="K47" s="25"/>
      <c r="L47" s="25"/>
      <c r="M47" s="25"/>
      <c r="N47" s="26"/>
      <c r="O47" s="25"/>
      <c r="P47" s="25"/>
      <c r="Q47" s="26"/>
      <c r="R47" s="26"/>
      <c r="S47" s="25"/>
      <c r="T47" s="26"/>
      <c r="U47" s="25"/>
      <c r="V47" s="25"/>
      <c r="W47" s="25"/>
    </row>
    <row r="48" spans="1:23" x14ac:dyDescent="0.35">
      <c r="A48" s="25"/>
      <c r="B48" s="25"/>
      <c r="C48" s="25"/>
      <c r="D48" s="26"/>
      <c r="E48" s="25"/>
      <c r="F48" s="25"/>
      <c r="G48" s="25"/>
      <c r="H48" s="25"/>
      <c r="I48" s="25"/>
      <c r="J48" s="25"/>
      <c r="K48" s="25"/>
      <c r="L48" s="25"/>
      <c r="M48" s="25"/>
      <c r="N48" s="26"/>
      <c r="O48" s="25"/>
      <c r="P48" s="25"/>
      <c r="Q48" s="26"/>
      <c r="R48" s="26"/>
      <c r="S48" s="25"/>
      <c r="T48" s="26"/>
      <c r="U48" s="25"/>
      <c r="V48" s="25"/>
      <c r="W48" s="25"/>
    </row>
    <row r="49" spans="1:23" x14ac:dyDescent="0.35">
      <c r="A49" s="25"/>
      <c r="B49" s="25"/>
      <c r="C49" s="25"/>
      <c r="D49" s="26"/>
      <c r="E49" s="25"/>
      <c r="F49" s="25"/>
      <c r="G49" s="25"/>
      <c r="H49" s="25"/>
      <c r="I49" s="25"/>
      <c r="J49" s="25"/>
      <c r="K49" s="25"/>
      <c r="L49" s="25"/>
      <c r="M49" s="25"/>
      <c r="N49" s="26"/>
      <c r="O49" s="25"/>
      <c r="P49" s="25"/>
      <c r="Q49" s="26"/>
      <c r="R49" s="26"/>
      <c r="S49" s="25"/>
      <c r="T49" s="26"/>
      <c r="U49" s="25"/>
      <c r="V49" s="25"/>
      <c r="W49" s="25"/>
    </row>
    <row r="50" spans="1:23" x14ac:dyDescent="0.35">
      <c r="A50" s="25"/>
      <c r="B50" s="25"/>
      <c r="C50" s="25"/>
      <c r="D50" s="26"/>
      <c r="E50" s="25"/>
      <c r="F50" s="25"/>
      <c r="G50" s="25"/>
      <c r="H50" s="25"/>
      <c r="I50" s="25"/>
      <c r="J50" s="25"/>
      <c r="K50" s="25"/>
      <c r="L50" s="25"/>
      <c r="M50" s="25"/>
      <c r="N50" s="26"/>
      <c r="O50" s="25"/>
      <c r="P50" s="25"/>
      <c r="Q50" s="26"/>
      <c r="R50" s="26"/>
      <c r="S50" s="25"/>
      <c r="T50" s="26"/>
      <c r="U50" s="25"/>
      <c r="V50" s="25"/>
      <c r="W50" s="25"/>
    </row>
    <row r="51" spans="1:23" x14ac:dyDescent="0.35">
      <c r="A51" s="25"/>
      <c r="B51" s="25"/>
      <c r="C51" s="25"/>
      <c r="D51" s="26"/>
      <c r="E51" s="25"/>
      <c r="F51" s="25"/>
      <c r="G51" s="25"/>
      <c r="H51" s="25"/>
      <c r="I51" s="25"/>
      <c r="J51" s="25"/>
      <c r="K51" s="25"/>
      <c r="L51" s="25"/>
      <c r="M51" s="25"/>
      <c r="N51" s="26"/>
      <c r="O51" s="25"/>
      <c r="P51" s="25"/>
      <c r="Q51" s="26"/>
      <c r="R51" s="26"/>
      <c r="S51" s="25"/>
      <c r="T51" s="26"/>
      <c r="U51" s="25"/>
      <c r="V51" s="25"/>
      <c r="W51" s="25"/>
    </row>
    <row r="52" spans="1:23" x14ac:dyDescent="0.35">
      <c r="A52" s="25"/>
      <c r="B52" s="25"/>
      <c r="C52" s="25"/>
      <c r="D52" s="26"/>
      <c r="E52" s="25"/>
      <c r="F52" s="25"/>
      <c r="G52" s="25"/>
      <c r="H52" s="25"/>
      <c r="I52" s="25"/>
      <c r="J52" s="25"/>
      <c r="K52" s="25"/>
      <c r="L52" s="25"/>
      <c r="M52" s="25"/>
      <c r="N52" s="26"/>
      <c r="O52" s="25"/>
      <c r="P52" s="25"/>
      <c r="Q52" s="26"/>
      <c r="R52" s="26"/>
      <c r="S52" s="25"/>
      <c r="T52" s="26"/>
      <c r="U52" s="25"/>
      <c r="V52" s="25"/>
      <c r="W52" s="25"/>
    </row>
    <row r="53" spans="1:23" x14ac:dyDescent="0.35">
      <c r="A53" s="25"/>
      <c r="B53" s="25"/>
      <c r="C53" s="25"/>
      <c r="D53" s="26"/>
      <c r="E53" s="25"/>
      <c r="F53" s="25"/>
      <c r="G53" s="25"/>
      <c r="H53" s="25"/>
      <c r="I53" s="25"/>
      <c r="J53" s="25"/>
      <c r="K53" s="25"/>
      <c r="L53" s="25"/>
      <c r="M53" s="25"/>
      <c r="N53" s="26"/>
      <c r="O53" s="25"/>
      <c r="P53" s="25"/>
      <c r="Q53" s="26"/>
      <c r="R53" s="26"/>
      <c r="S53" s="25"/>
      <c r="T53" s="26"/>
      <c r="U53" s="25"/>
      <c r="V53" s="25"/>
      <c r="W53" s="25"/>
    </row>
    <row r="54" spans="1:23" x14ac:dyDescent="0.35">
      <c r="A54" s="25"/>
      <c r="B54" s="25"/>
      <c r="C54" s="25"/>
      <c r="D54" s="26"/>
      <c r="E54" s="25"/>
      <c r="F54" s="25"/>
      <c r="G54" s="25"/>
      <c r="H54" s="25"/>
      <c r="I54" s="25"/>
      <c r="J54" s="25"/>
      <c r="K54" s="25"/>
      <c r="L54" s="25"/>
      <c r="M54" s="25"/>
      <c r="N54" s="26"/>
      <c r="O54" s="25"/>
      <c r="P54" s="25"/>
      <c r="Q54" s="26"/>
      <c r="R54" s="26"/>
      <c r="S54" s="25"/>
      <c r="T54" s="26"/>
      <c r="U54" s="25"/>
      <c r="V54" s="25"/>
      <c r="W54" s="25"/>
    </row>
    <row r="55" spans="1:23" x14ac:dyDescent="0.35">
      <c r="A55" s="25"/>
      <c r="B55" s="25"/>
      <c r="C55" s="25"/>
      <c r="D55" s="26"/>
      <c r="E55" s="25"/>
      <c r="F55" s="25"/>
      <c r="G55" s="25"/>
      <c r="H55" s="25"/>
      <c r="I55" s="25"/>
      <c r="J55" s="25"/>
      <c r="K55" s="25"/>
      <c r="L55" s="25"/>
      <c r="M55" s="25"/>
      <c r="N55" s="26"/>
      <c r="O55" s="25"/>
      <c r="P55" s="25"/>
      <c r="Q55" s="26"/>
      <c r="R55" s="26"/>
      <c r="S55" s="25"/>
      <c r="T55" s="26"/>
      <c r="U55" s="25"/>
      <c r="V55" s="25"/>
      <c r="W55" s="25"/>
    </row>
    <row r="56" spans="1:23" x14ac:dyDescent="0.35">
      <c r="A56" s="25"/>
      <c r="B56" s="25"/>
      <c r="C56" s="25"/>
      <c r="D56" s="26"/>
      <c r="E56" s="25"/>
      <c r="F56" s="25"/>
      <c r="G56" s="25"/>
      <c r="H56" s="25"/>
      <c r="I56" s="25"/>
      <c r="J56" s="25"/>
      <c r="K56" s="25"/>
      <c r="L56" s="25"/>
      <c r="M56" s="25"/>
      <c r="N56" s="26"/>
      <c r="O56" s="25"/>
      <c r="P56" s="25"/>
      <c r="Q56" s="26"/>
      <c r="R56" s="26"/>
      <c r="S56" s="25"/>
      <c r="T56" s="26"/>
      <c r="U56" s="25"/>
      <c r="V56" s="25"/>
      <c r="W56" s="25"/>
    </row>
    <row r="57" spans="1:23" x14ac:dyDescent="0.35">
      <c r="A57" s="25"/>
      <c r="B57" s="25"/>
      <c r="C57" s="25"/>
      <c r="D57" s="26"/>
      <c r="E57" s="25"/>
      <c r="F57" s="25"/>
      <c r="G57" s="25"/>
      <c r="H57" s="25"/>
      <c r="I57" s="25"/>
      <c r="J57" s="25"/>
      <c r="K57" s="25"/>
      <c r="L57" s="25"/>
      <c r="M57" s="25"/>
      <c r="N57" s="26"/>
      <c r="O57" s="25"/>
      <c r="P57" s="25"/>
      <c r="Q57" s="26"/>
      <c r="R57" s="26"/>
      <c r="S57" s="25"/>
      <c r="T57" s="26"/>
      <c r="U57" s="25"/>
      <c r="V57" s="25"/>
      <c r="W57" s="25"/>
    </row>
    <row r="58" spans="1:23" x14ac:dyDescent="0.35">
      <c r="A58" s="25"/>
      <c r="B58" s="25"/>
      <c r="C58" s="25"/>
      <c r="D58" s="26"/>
      <c r="E58" s="25"/>
      <c r="F58" s="25"/>
      <c r="G58" s="25"/>
      <c r="H58" s="25"/>
      <c r="I58" s="25"/>
      <c r="J58" s="25"/>
      <c r="K58" s="25"/>
      <c r="L58" s="25"/>
      <c r="M58" s="25"/>
      <c r="N58" s="26"/>
      <c r="O58" s="25"/>
      <c r="P58" s="25"/>
      <c r="Q58" s="26"/>
      <c r="R58" s="26"/>
      <c r="S58" s="25"/>
      <c r="T58" s="26"/>
      <c r="U58" s="25"/>
      <c r="V58" s="25"/>
      <c r="W58" s="25"/>
    </row>
    <row r="59" spans="1:23" x14ac:dyDescent="0.35">
      <c r="A59" s="25"/>
      <c r="B59" s="25"/>
      <c r="C59" s="25"/>
      <c r="D59" s="26"/>
      <c r="E59" s="25"/>
      <c r="F59" s="25"/>
      <c r="G59" s="25"/>
      <c r="H59" s="25"/>
      <c r="I59" s="25"/>
      <c r="J59" s="25"/>
      <c r="K59" s="25"/>
      <c r="L59" s="25"/>
      <c r="M59" s="25"/>
      <c r="N59" s="26"/>
      <c r="O59" s="25"/>
      <c r="P59" s="25"/>
      <c r="Q59" s="26"/>
      <c r="R59" s="26"/>
      <c r="S59" s="25"/>
      <c r="T59" s="26"/>
      <c r="U59" s="25"/>
      <c r="V59" s="25"/>
      <c r="W59" s="25"/>
    </row>
    <row r="60" spans="1:23" x14ac:dyDescent="0.35">
      <c r="A60" s="25"/>
      <c r="B60" s="25"/>
      <c r="C60" s="25"/>
      <c r="D60" s="26"/>
      <c r="E60" s="25"/>
      <c r="F60" s="25"/>
      <c r="G60" s="25"/>
      <c r="H60" s="25"/>
      <c r="I60" s="25"/>
      <c r="J60" s="25"/>
      <c r="K60" s="25"/>
      <c r="L60" s="25"/>
      <c r="M60" s="25"/>
      <c r="N60" s="26"/>
      <c r="O60" s="25"/>
      <c r="P60" s="25"/>
      <c r="Q60" s="26"/>
      <c r="R60" s="26"/>
      <c r="S60" s="25"/>
      <c r="T60" s="26"/>
      <c r="U60" s="25"/>
      <c r="V60" s="25"/>
      <c r="W60" s="25"/>
    </row>
    <row r="61" spans="1:23" x14ac:dyDescent="0.35">
      <c r="A61" s="25"/>
      <c r="B61" s="25"/>
      <c r="C61" s="25"/>
      <c r="D61" s="26"/>
      <c r="E61" s="25"/>
      <c r="F61" s="25"/>
      <c r="G61" s="25"/>
      <c r="H61" s="25"/>
      <c r="I61" s="25"/>
      <c r="J61" s="25"/>
      <c r="K61" s="25"/>
      <c r="L61" s="25"/>
      <c r="M61" s="25"/>
      <c r="N61" s="26"/>
      <c r="O61" s="25"/>
      <c r="P61" s="25"/>
      <c r="Q61" s="26"/>
      <c r="R61" s="26"/>
      <c r="S61" s="25"/>
      <c r="T61" s="26"/>
      <c r="U61" s="25"/>
      <c r="V61" s="25"/>
      <c r="W61" s="25"/>
    </row>
    <row r="62" spans="1:23" x14ac:dyDescent="0.35">
      <c r="A62" s="25"/>
      <c r="B62" s="25"/>
      <c r="C62" s="25"/>
      <c r="D62" s="26"/>
      <c r="E62" s="25"/>
      <c r="F62" s="25"/>
      <c r="G62" s="25"/>
      <c r="H62" s="25"/>
      <c r="I62" s="25"/>
      <c r="J62" s="25"/>
      <c r="K62" s="25"/>
      <c r="L62" s="25"/>
      <c r="M62" s="25"/>
      <c r="N62" s="26"/>
      <c r="O62" s="25"/>
      <c r="P62" s="25"/>
      <c r="Q62" s="26"/>
      <c r="R62" s="26"/>
      <c r="S62" s="25"/>
      <c r="T62" s="26"/>
      <c r="U62" s="25"/>
      <c r="V62" s="25"/>
      <c r="W62" s="25"/>
    </row>
    <row r="63" spans="1:23" x14ac:dyDescent="0.35">
      <c r="A63" s="25"/>
      <c r="B63" s="25"/>
      <c r="C63" s="25"/>
      <c r="D63" s="26"/>
      <c r="E63" s="25"/>
      <c r="F63" s="25"/>
      <c r="G63" s="25"/>
      <c r="H63" s="25"/>
      <c r="I63" s="25"/>
      <c r="J63" s="25"/>
      <c r="K63" s="25"/>
      <c r="L63" s="25"/>
      <c r="M63" s="25"/>
      <c r="N63" s="26"/>
      <c r="O63" s="25"/>
      <c r="P63" s="25"/>
      <c r="Q63" s="26"/>
      <c r="R63" s="26"/>
      <c r="S63" s="25"/>
      <c r="T63" s="26"/>
      <c r="U63" s="25"/>
      <c r="V63" s="25"/>
      <c r="W63" s="25"/>
    </row>
    <row r="64" spans="1:23" x14ac:dyDescent="0.35">
      <c r="A64" s="25"/>
      <c r="B64" s="25"/>
      <c r="C64" s="25"/>
      <c r="D64" s="26"/>
      <c r="E64" s="25"/>
      <c r="F64" s="25"/>
      <c r="G64" s="25"/>
      <c r="H64" s="25"/>
      <c r="I64" s="25"/>
      <c r="J64" s="25"/>
      <c r="K64" s="25"/>
      <c r="L64" s="25"/>
      <c r="M64" s="25"/>
      <c r="N64" s="26"/>
      <c r="O64" s="25"/>
      <c r="P64" s="25"/>
      <c r="Q64" s="26"/>
      <c r="R64" s="26"/>
      <c r="S64" s="25"/>
      <c r="T64" s="26"/>
      <c r="U64" s="25"/>
      <c r="V64" s="25"/>
      <c r="W64" s="25"/>
    </row>
    <row r="65" spans="1:23" x14ac:dyDescent="0.35">
      <c r="A65" s="25"/>
      <c r="B65" s="25"/>
      <c r="C65" s="25"/>
      <c r="D65" s="26"/>
      <c r="E65" s="25"/>
      <c r="F65" s="25"/>
      <c r="G65" s="25"/>
      <c r="H65" s="25"/>
      <c r="I65" s="25"/>
      <c r="J65" s="25"/>
      <c r="K65" s="25"/>
      <c r="L65" s="25"/>
      <c r="M65" s="25"/>
      <c r="N65" s="26"/>
      <c r="O65" s="25"/>
      <c r="P65" s="25"/>
      <c r="Q65" s="26"/>
      <c r="R65" s="26"/>
      <c r="S65" s="25"/>
      <c r="T65" s="26"/>
      <c r="U65" s="25"/>
      <c r="V65" s="25"/>
      <c r="W65" s="25"/>
    </row>
    <row r="66" spans="1:23" x14ac:dyDescent="0.35">
      <c r="A66" s="25"/>
      <c r="B66" s="25"/>
      <c r="C66" s="25"/>
      <c r="D66" s="26"/>
      <c r="E66" s="25"/>
      <c r="F66" s="25"/>
      <c r="G66" s="25"/>
      <c r="H66" s="25"/>
      <c r="I66" s="25"/>
      <c r="J66" s="25"/>
      <c r="K66" s="25"/>
      <c r="L66" s="25"/>
      <c r="M66" s="25"/>
      <c r="N66" s="26"/>
      <c r="O66" s="25"/>
      <c r="P66" s="25"/>
      <c r="Q66" s="26"/>
      <c r="R66" s="26"/>
      <c r="S66" s="25"/>
      <c r="T66" s="26"/>
      <c r="U66" s="25"/>
      <c r="V66" s="25"/>
      <c r="W66" s="25"/>
    </row>
    <row r="67" spans="1:23" x14ac:dyDescent="0.35">
      <c r="A67" s="25"/>
      <c r="B67" s="25"/>
      <c r="C67" s="25"/>
      <c r="D67" s="26"/>
      <c r="E67" s="25"/>
      <c r="F67" s="25"/>
      <c r="G67" s="25"/>
      <c r="H67" s="25"/>
      <c r="I67" s="25"/>
      <c r="J67" s="25"/>
      <c r="K67" s="25"/>
      <c r="L67" s="25"/>
      <c r="M67" s="25"/>
      <c r="N67" s="26"/>
      <c r="O67" s="25"/>
      <c r="P67" s="25"/>
      <c r="Q67" s="26"/>
      <c r="R67" s="26"/>
      <c r="S67" s="25"/>
      <c r="T67" s="26"/>
      <c r="U67" s="25"/>
      <c r="V67" s="25"/>
      <c r="W67" s="25"/>
    </row>
    <row r="68" spans="1:23" x14ac:dyDescent="0.35">
      <c r="A68" s="25"/>
      <c r="B68" s="25"/>
      <c r="C68" s="25"/>
      <c r="D68" s="26"/>
      <c r="E68" s="25"/>
      <c r="F68" s="25"/>
      <c r="G68" s="25"/>
      <c r="H68" s="25"/>
      <c r="I68" s="25"/>
      <c r="J68" s="25"/>
      <c r="K68" s="25"/>
      <c r="L68" s="25"/>
      <c r="M68" s="25"/>
      <c r="N68" s="26"/>
      <c r="O68" s="25"/>
      <c r="P68" s="25"/>
      <c r="Q68" s="26"/>
      <c r="R68" s="26"/>
      <c r="S68" s="25"/>
      <c r="T68" s="26"/>
      <c r="U68" s="25"/>
      <c r="V68" s="25"/>
      <c r="W68" s="25"/>
    </row>
    <row r="69" spans="1:23" x14ac:dyDescent="0.35">
      <c r="A69" s="25"/>
      <c r="B69" s="25"/>
      <c r="C69" s="25"/>
      <c r="D69" s="26"/>
      <c r="E69" s="25"/>
      <c r="F69" s="25"/>
      <c r="G69" s="25"/>
      <c r="H69" s="25"/>
      <c r="I69" s="25"/>
      <c r="J69" s="25"/>
      <c r="K69" s="25"/>
      <c r="L69" s="25"/>
      <c r="M69" s="25"/>
      <c r="N69" s="26"/>
      <c r="O69" s="25"/>
      <c r="P69" s="25"/>
      <c r="Q69" s="26"/>
      <c r="R69" s="26"/>
      <c r="S69" s="25"/>
      <c r="T69" s="26"/>
      <c r="U69" s="25"/>
      <c r="V69" s="25"/>
      <c r="W69" s="25"/>
    </row>
    <row r="70" spans="1:23" x14ac:dyDescent="0.35">
      <c r="A70" s="25"/>
      <c r="B70" s="25"/>
      <c r="C70" s="25"/>
      <c r="D70" s="26"/>
      <c r="E70" s="25"/>
      <c r="F70" s="25"/>
      <c r="G70" s="25"/>
      <c r="H70" s="25"/>
      <c r="I70" s="25"/>
      <c r="J70" s="25"/>
      <c r="K70" s="25"/>
      <c r="L70" s="25"/>
      <c r="M70" s="25"/>
      <c r="N70" s="26"/>
      <c r="O70" s="25"/>
      <c r="P70" s="25"/>
      <c r="Q70" s="26"/>
      <c r="R70" s="26"/>
      <c r="S70" s="25"/>
      <c r="T70" s="26"/>
      <c r="U70" s="25"/>
      <c r="V70" s="25"/>
      <c r="W70" s="25"/>
    </row>
    <row r="71" spans="1:23" x14ac:dyDescent="0.35">
      <c r="A71" s="25"/>
      <c r="B71" s="25"/>
      <c r="C71" s="25"/>
      <c r="D71" s="26"/>
      <c r="E71" s="25"/>
      <c r="F71" s="25"/>
      <c r="G71" s="25"/>
      <c r="H71" s="25"/>
      <c r="I71" s="25"/>
      <c r="J71" s="25"/>
      <c r="K71" s="25"/>
      <c r="L71" s="25"/>
      <c r="M71" s="25"/>
      <c r="N71" s="26"/>
      <c r="O71" s="25"/>
      <c r="P71" s="25"/>
      <c r="Q71" s="26"/>
      <c r="R71" s="26"/>
      <c r="S71" s="25"/>
      <c r="T71" s="26"/>
      <c r="U71" s="25"/>
      <c r="V71" s="25"/>
      <c r="W71" s="25"/>
    </row>
    <row r="72" spans="1:23" x14ac:dyDescent="0.35">
      <c r="A72" s="25"/>
      <c r="B72" s="25"/>
      <c r="C72" s="25"/>
      <c r="D72" s="26"/>
      <c r="E72" s="25"/>
      <c r="F72" s="25"/>
      <c r="G72" s="25"/>
      <c r="H72" s="25"/>
      <c r="I72" s="25"/>
      <c r="J72" s="25"/>
      <c r="K72" s="25"/>
      <c r="L72" s="25"/>
      <c r="M72" s="25"/>
      <c r="N72" s="26"/>
      <c r="O72" s="25"/>
      <c r="P72" s="25"/>
      <c r="Q72" s="26"/>
      <c r="R72" s="26"/>
      <c r="S72" s="25"/>
      <c r="T72" s="26"/>
      <c r="U72" s="25"/>
      <c r="V72" s="25"/>
      <c r="W72" s="25"/>
    </row>
    <row r="73" spans="1:23" x14ac:dyDescent="0.35">
      <c r="A73" s="25"/>
      <c r="B73" s="25"/>
      <c r="C73" s="25"/>
      <c r="D73" s="26"/>
      <c r="E73" s="25"/>
      <c r="F73" s="25"/>
      <c r="G73" s="25"/>
      <c r="H73" s="25"/>
      <c r="I73" s="25"/>
      <c r="J73" s="25"/>
      <c r="K73" s="25"/>
      <c r="L73" s="25"/>
      <c r="M73" s="25"/>
      <c r="N73" s="26"/>
      <c r="O73" s="25"/>
      <c r="P73" s="25"/>
      <c r="Q73" s="26"/>
      <c r="R73" s="26"/>
      <c r="S73" s="25"/>
      <c r="T73" s="26"/>
      <c r="U73" s="25"/>
      <c r="V73" s="25"/>
      <c r="W73" s="25"/>
    </row>
    <row r="74" spans="1:23" x14ac:dyDescent="0.35">
      <c r="A74" s="25"/>
      <c r="B74" s="25"/>
      <c r="C74" s="25"/>
      <c r="D74" s="26"/>
      <c r="E74" s="25"/>
      <c r="F74" s="25"/>
      <c r="G74" s="25"/>
      <c r="H74" s="25"/>
      <c r="I74" s="25"/>
      <c r="J74" s="25"/>
      <c r="K74" s="25"/>
      <c r="L74" s="25"/>
      <c r="M74" s="25"/>
      <c r="N74" s="26"/>
      <c r="O74" s="25"/>
      <c r="P74" s="25"/>
      <c r="Q74" s="26"/>
      <c r="R74" s="26"/>
      <c r="S74" s="25"/>
      <c r="T74" s="26"/>
      <c r="U74" s="25"/>
      <c r="V74" s="25"/>
      <c r="W74" s="25"/>
    </row>
    <row r="75" spans="1:23" x14ac:dyDescent="0.35">
      <c r="A75" s="25"/>
      <c r="B75" s="25"/>
      <c r="C75" s="25"/>
      <c r="D75" s="26"/>
      <c r="E75" s="25"/>
      <c r="F75" s="25"/>
      <c r="G75" s="25"/>
      <c r="H75" s="25"/>
      <c r="I75" s="25"/>
      <c r="J75" s="25"/>
      <c r="K75" s="25"/>
      <c r="L75" s="25"/>
      <c r="M75" s="25"/>
      <c r="N75" s="26"/>
      <c r="O75" s="25"/>
      <c r="P75" s="25"/>
      <c r="Q75" s="26"/>
      <c r="R75" s="26"/>
      <c r="S75" s="25"/>
      <c r="T75" s="26"/>
      <c r="U75" s="25"/>
      <c r="V75" s="25"/>
      <c r="W75" s="25"/>
    </row>
    <row r="76" spans="1:23" x14ac:dyDescent="0.35">
      <c r="A76" s="25"/>
      <c r="B76" s="25"/>
      <c r="C76" s="25"/>
      <c r="D76" s="26"/>
      <c r="E76" s="25"/>
      <c r="F76" s="25"/>
      <c r="G76" s="25"/>
      <c r="H76" s="25"/>
      <c r="I76" s="25"/>
      <c r="J76" s="25"/>
      <c r="K76" s="25"/>
      <c r="L76" s="25"/>
      <c r="M76" s="25"/>
      <c r="N76" s="26"/>
      <c r="O76" s="25"/>
      <c r="P76" s="25"/>
      <c r="Q76" s="26"/>
      <c r="R76" s="26"/>
      <c r="S76" s="25"/>
      <c r="T76" s="26"/>
      <c r="U76" s="25"/>
      <c r="V76" s="25"/>
      <c r="W76" s="25"/>
    </row>
    <row r="77" spans="1:23" x14ac:dyDescent="0.35">
      <c r="A77" s="25"/>
      <c r="B77" s="25"/>
      <c r="C77" s="25"/>
      <c r="D77" s="26"/>
      <c r="E77" s="25"/>
      <c r="F77" s="25"/>
      <c r="G77" s="25"/>
      <c r="H77" s="25"/>
      <c r="I77" s="25"/>
      <c r="J77" s="25"/>
      <c r="K77" s="25"/>
      <c r="L77" s="25"/>
      <c r="M77" s="25"/>
      <c r="N77" s="26"/>
      <c r="O77" s="25"/>
      <c r="P77" s="25"/>
      <c r="Q77" s="26"/>
      <c r="R77" s="26"/>
      <c r="S77" s="25"/>
      <c r="T77" s="26"/>
      <c r="U77" s="25"/>
      <c r="V77" s="25"/>
      <c r="W77" s="25"/>
    </row>
    <row r="78" spans="1:23" x14ac:dyDescent="0.35">
      <c r="A78" s="25"/>
      <c r="B78" s="25"/>
      <c r="C78" s="25"/>
      <c r="D78" s="26"/>
      <c r="E78" s="25"/>
      <c r="F78" s="25"/>
      <c r="G78" s="25"/>
      <c r="H78" s="25"/>
      <c r="I78" s="25"/>
      <c r="J78" s="25"/>
      <c r="K78" s="25"/>
      <c r="L78" s="25"/>
      <c r="M78" s="25"/>
      <c r="N78" s="26"/>
      <c r="O78" s="25"/>
      <c r="P78" s="25"/>
      <c r="Q78" s="26"/>
      <c r="R78" s="26"/>
      <c r="S78" s="25"/>
      <c r="T78" s="26"/>
      <c r="U78" s="25"/>
      <c r="V78" s="25"/>
      <c r="W78" s="25"/>
    </row>
    <row r="79" spans="1:23" x14ac:dyDescent="0.35">
      <c r="A79" s="25"/>
      <c r="B79" s="25"/>
      <c r="C79" s="25"/>
      <c r="D79" s="26"/>
      <c r="E79" s="25"/>
      <c r="F79" s="25"/>
      <c r="G79" s="25"/>
      <c r="H79" s="25"/>
      <c r="I79" s="25"/>
      <c r="J79" s="25"/>
      <c r="K79" s="25"/>
      <c r="L79" s="25"/>
      <c r="M79" s="25"/>
      <c r="N79" s="26"/>
      <c r="O79" s="25"/>
      <c r="P79" s="25"/>
      <c r="Q79" s="26"/>
      <c r="R79" s="26"/>
      <c r="S79" s="25"/>
      <c r="T79" s="26"/>
      <c r="U79" s="25"/>
      <c r="V79" s="25"/>
      <c r="W79" s="25"/>
    </row>
    <row r="80" spans="1:23" x14ac:dyDescent="0.35">
      <c r="A80" s="25"/>
      <c r="B80" s="25"/>
      <c r="C80" s="25"/>
      <c r="D80" s="26"/>
      <c r="E80" s="25"/>
      <c r="F80" s="25"/>
      <c r="G80" s="25"/>
      <c r="H80" s="25"/>
      <c r="I80" s="25"/>
      <c r="J80" s="25"/>
      <c r="K80" s="25"/>
      <c r="L80" s="25"/>
      <c r="M80" s="25"/>
      <c r="N80" s="26"/>
      <c r="O80" s="25"/>
      <c r="P80" s="25"/>
      <c r="Q80" s="26"/>
      <c r="R80" s="26"/>
      <c r="S80" s="25"/>
      <c r="T80" s="26"/>
      <c r="U80" s="25"/>
      <c r="V80" s="25"/>
      <c r="W80" s="25"/>
    </row>
    <row r="81" spans="1:23" x14ac:dyDescent="0.35">
      <c r="A81" s="25"/>
      <c r="B81" s="25"/>
      <c r="C81" s="25"/>
      <c r="D81" s="26"/>
      <c r="E81" s="25"/>
      <c r="F81" s="25"/>
      <c r="G81" s="25"/>
      <c r="H81" s="25"/>
      <c r="I81" s="25"/>
      <c r="J81" s="25"/>
      <c r="K81" s="25"/>
      <c r="L81" s="25"/>
      <c r="M81" s="25"/>
      <c r="N81" s="26"/>
      <c r="O81" s="25"/>
      <c r="P81" s="25"/>
      <c r="Q81" s="26"/>
      <c r="R81" s="26"/>
      <c r="S81" s="25"/>
      <c r="T81" s="26"/>
      <c r="U81" s="25"/>
      <c r="V81" s="25"/>
      <c r="W81" s="25"/>
    </row>
    <row r="82" spans="1:23" x14ac:dyDescent="0.35">
      <c r="A82" s="25"/>
      <c r="B82" s="25"/>
      <c r="C82" s="25"/>
      <c r="D82" s="26"/>
      <c r="E82" s="25"/>
      <c r="F82" s="25"/>
      <c r="G82" s="25"/>
      <c r="H82" s="25"/>
      <c r="I82" s="25"/>
      <c r="J82" s="25"/>
      <c r="K82" s="25"/>
      <c r="L82" s="25"/>
      <c r="M82" s="25"/>
      <c r="N82" s="26"/>
      <c r="O82" s="25"/>
      <c r="P82" s="25"/>
      <c r="Q82" s="26"/>
      <c r="R82" s="26"/>
      <c r="S82" s="25"/>
      <c r="T82" s="26"/>
      <c r="U82" s="25"/>
      <c r="V82" s="25"/>
      <c r="W82" s="25"/>
    </row>
    <row r="83" spans="1:23" x14ac:dyDescent="0.35">
      <c r="A83" s="25"/>
      <c r="B83" s="25"/>
      <c r="C83" s="25"/>
      <c r="D83" s="26"/>
      <c r="E83" s="25"/>
      <c r="F83" s="25"/>
      <c r="G83" s="25"/>
      <c r="H83" s="25"/>
      <c r="I83" s="25"/>
      <c r="J83" s="25"/>
      <c r="K83" s="25"/>
      <c r="L83" s="25"/>
      <c r="M83" s="25"/>
      <c r="N83" s="26"/>
      <c r="O83" s="25"/>
      <c r="P83" s="25"/>
      <c r="Q83" s="26"/>
      <c r="R83" s="26"/>
      <c r="S83" s="25"/>
      <c r="T83" s="26"/>
      <c r="U83" s="25"/>
      <c r="V83" s="25"/>
      <c r="W83" s="25"/>
    </row>
    <row r="84" spans="1:23" x14ac:dyDescent="0.35">
      <c r="A84" s="25"/>
      <c r="B84" s="25"/>
      <c r="C84" s="25"/>
      <c r="D84" s="26"/>
      <c r="E84" s="25"/>
      <c r="F84" s="25"/>
      <c r="G84" s="25"/>
      <c r="H84" s="25"/>
      <c r="I84" s="25"/>
      <c r="J84" s="25"/>
      <c r="K84" s="25"/>
      <c r="L84" s="25"/>
      <c r="M84" s="25"/>
      <c r="N84" s="26"/>
      <c r="O84" s="25"/>
      <c r="P84" s="25"/>
      <c r="Q84" s="26"/>
      <c r="R84" s="26"/>
      <c r="S84" s="25"/>
      <c r="T84" s="26"/>
      <c r="U84" s="25"/>
      <c r="V84" s="25"/>
      <c r="W84" s="25"/>
    </row>
    <row r="85" spans="1:23" x14ac:dyDescent="0.35">
      <c r="A85" s="25"/>
      <c r="B85" s="25"/>
      <c r="C85" s="25"/>
      <c r="D85" s="26"/>
      <c r="E85" s="25"/>
      <c r="F85" s="25"/>
      <c r="G85" s="25"/>
      <c r="H85" s="25"/>
      <c r="I85" s="25"/>
      <c r="J85" s="25"/>
      <c r="K85" s="25"/>
      <c r="L85" s="25"/>
      <c r="M85" s="25"/>
      <c r="N85" s="26"/>
      <c r="O85" s="25"/>
      <c r="P85" s="25"/>
      <c r="Q85" s="26"/>
      <c r="R85" s="26"/>
      <c r="S85" s="25"/>
      <c r="T85" s="26"/>
      <c r="U85" s="25"/>
      <c r="V85" s="25"/>
      <c r="W85" s="25"/>
    </row>
    <row r="86" spans="1:23" x14ac:dyDescent="0.35">
      <c r="A86" s="25"/>
      <c r="B86" s="25"/>
      <c r="C86" s="25"/>
      <c r="D86" s="26"/>
      <c r="E86" s="25"/>
      <c r="F86" s="25"/>
      <c r="G86" s="25"/>
      <c r="H86" s="25"/>
      <c r="I86" s="25"/>
      <c r="J86" s="25"/>
      <c r="K86" s="25"/>
      <c r="L86" s="25"/>
      <c r="M86" s="25"/>
      <c r="N86" s="26"/>
      <c r="O86" s="25"/>
      <c r="P86" s="25"/>
      <c r="Q86" s="26"/>
      <c r="R86" s="26"/>
      <c r="S86" s="25"/>
      <c r="T86" s="26"/>
      <c r="U86" s="25"/>
      <c r="V86" s="25"/>
      <c r="W86" s="25"/>
    </row>
    <row r="87" spans="1:23" x14ac:dyDescent="0.35">
      <c r="A87" s="25"/>
      <c r="B87" s="25"/>
      <c r="C87" s="25"/>
      <c r="D87" s="26"/>
      <c r="E87" s="25"/>
      <c r="F87" s="25"/>
      <c r="G87" s="25"/>
      <c r="H87" s="25"/>
      <c r="I87" s="25"/>
      <c r="J87" s="25"/>
      <c r="K87" s="25"/>
      <c r="L87" s="25"/>
      <c r="M87" s="25"/>
      <c r="N87" s="26"/>
      <c r="O87" s="25"/>
      <c r="P87" s="25"/>
      <c r="Q87" s="26"/>
      <c r="R87" s="26"/>
      <c r="S87" s="25"/>
      <c r="T87" s="26"/>
      <c r="U87" s="25"/>
      <c r="V87" s="25"/>
      <c r="W87" s="25"/>
    </row>
    <row r="88" spans="1:23" x14ac:dyDescent="0.35">
      <c r="A88" s="25"/>
      <c r="B88" s="25"/>
      <c r="C88" s="25"/>
      <c r="D88" s="26"/>
      <c r="E88" s="25"/>
      <c r="F88" s="25"/>
      <c r="G88" s="25"/>
      <c r="H88" s="25"/>
      <c r="I88" s="25"/>
      <c r="J88" s="25"/>
      <c r="K88" s="25"/>
      <c r="L88" s="25"/>
      <c r="M88" s="25"/>
      <c r="N88" s="26"/>
      <c r="O88" s="25"/>
      <c r="P88" s="25"/>
      <c r="Q88" s="26"/>
      <c r="R88" s="26"/>
      <c r="S88" s="25"/>
      <c r="T88" s="26"/>
      <c r="U88" s="25"/>
      <c r="V88" s="25"/>
      <c r="W88" s="25"/>
    </row>
    <row r="89" spans="1:23" x14ac:dyDescent="0.35">
      <c r="A89" s="25"/>
      <c r="B89" s="25"/>
      <c r="C89" s="25"/>
      <c r="D89" s="26"/>
      <c r="E89" s="25"/>
      <c r="F89" s="25"/>
      <c r="G89" s="25"/>
      <c r="H89" s="25"/>
      <c r="I89" s="25"/>
      <c r="J89" s="25"/>
      <c r="K89" s="25"/>
      <c r="L89" s="25"/>
      <c r="M89" s="25"/>
      <c r="N89" s="26"/>
      <c r="O89" s="25"/>
      <c r="P89" s="25"/>
      <c r="Q89" s="26"/>
      <c r="R89" s="26"/>
      <c r="S89" s="25"/>
      <c r="T89" s="26"/>
      <c r="U89" s="25"/>
      <c r="V89" s="25"/>
      <c r="W89" s="25"/>
    </row>
    <row r="90" spans="1:23" x14ac:dyDescent="0.35">
      <c r="A90" s="25"/>
      <c r="B90" s="25"/>
      <c r="C90" s="25"/>
      <c r="D90" s="26"/>
      <c r="E90" s="25"/>
      <c r="F90" s="25"/>
      <c r="G90" s="25"/>
      <c r="H90" s="25"/>
      <c r="I90" s="25"/>
      <c r="J90" s="25"/>
      <c r="K90" s="25"/>
      <c r="L90" s="25"/>
      <c r="M90" s="25"/>
      <c r="N90" s="26"/>
      <c r="O90" s="25"/>
      <c r="P90" s="25"/>
      <c r="Q90" s="26"/>
      <c r="R90" s="26"/>
      <c r="S90" s="25"/>
      <c r="T90" s="26"/>
      <c r="U90" s="25"/>
      <c r="V90" s="25"/>
      <c r="W90" s="25"/>
    </row>
    <row r="91" spans="1:23" x14ac:dyDescent="0.35">
      <c r="A91" s="25"/>
      <c r="B91" s="25"/>
      <c r="C91" s="25"/>
      <c r="D91" s="26"/>
      <c r="E91" s="25"/>
      <c r="F91" s="25"/>
      <c r="G91" s="25"/>
      <c r="H91" s="25"/>
      <c r="I91" s="25"/>
      <c r="J91" s="25"/>
      <c r="K91" s="25"/>
      <c r="L91" s="25"/>
      <c r="M91" s="25"/>
      <c r="N91" s="26"/>
      <c r="O91" s="25"/>
      <c r="P91" s="25"/>
      <c r="Q91" s="26"/>
      <c r="R91" s="26"/>
      <c r="S91" s="25"/>
      <c r="T91" s="26"/>
      <c r="U91" s="25"/>
      <c r="V91" s="25"/>
      <c r="W91" s="25"/>
    </row>
    <row r="92" spans="1:23" x14ac:dyDescent="0.35">
      <c r="A92" s="25"/>
      <c r="B92" s="25"/>
      <c r="C92" s="25"/>
      <c r="D92" s="26"/>
      <c r="E92" s="25"/>
      <c r="F92" s="25"/>
      <c r="G92" s="25"/>
      <c r="H92" s="25"/>
      <c r="I92" s="25"/>
      <c r="J92" s="25"/>
      <c r="K92" s="25"/>
      <c r="L92" s="25"/>
      <c r="M92" s="25"/>
      <c r="N92" s="26"/>
      <c r="O92" s="25"/>
      <c r="P92" s="25"/>
      <c r="Q92" s="26"/>
      <c r="R92" s="26"/>
      <c r="S92" s="25"/>
      <c r="T92" s="26"/>
      <c r="U92" s="25"/>
      <c r="V92" s="25"/>
      <c r="W92" s="25"/>
    </row>
    <row r="93" spans="1:23" x14ac:dyDescent="0.35">
      <c r="A93" s="25"/>
      <c r="B93" s="25"/>
      <c r="C93" s="25"/>
      <c r="D93" s="26"/>
      <c r="E93" s="25"/>
      <c r="F93" s="25"/>
      <c r="G93" s="25"/>
      <c r="H93" s="25"/>
      <c r="I93" s="25"/>
      <c r="J93" s="25"/>
      <c r="K93" s="25"/>
      <c r="L93" s="25"/>
      <c r="M93" s="25"/>
      <c r="N93" s="26"/>
      <c r="O93" s="25"/>
      <c r="P93" s="25"/>
      <c r="Q93" s="26"/>
      <c r="R93" s="26"/>
      <c r="S93" s="25"/>
      <c r="T93" s="26"/>
      <c r="U93" s="25"/>
      <c r="V93" s="25"/>
      <c r="W93" s="25"/>
    </row>
    <row r="94" spans="1:23" x14ac:dyDescent="0.35">
      <c r="A94" s="25"/>
      <c r="B94" s="25"/>
      <c r="C94" s="25"/>
      <c r="D94" s="26"/>
      <c r="E94" s="25"/>
      <c r="F94" s="25"/>
      <c r="G94" s="25"/>
      <c r="H94" s="25"/>
      <c r="I94" s="25"/>
      <c r="J94" s="25"/>
      <c r="K94" s="25"/>
      <c r="L94" s="25"/>
      <c r="M94" s="25"/>
      <c r="N94" s="26"/>
      <c r="O94" s="25"/>
      <c r="P94" s="25"/>
      <c r="Q94" s="26"/>
      <c r="R94" s="26"/>
      <c r="S94" s="25"/>
      <c r="T94" s="26"/>
      <c r="U94" s="25"/>
      <c r="V94" s="25"/>
      <c r="W94" s="25"/>
    </row>
    <row r="95" spans="1:23" x14ac:dyDescent="0.35">
      <c r="A95" s="25"/>
      <c r="B95" s="25"/>
      <c r="C95" s="25"/>
      <c r="D95" s="26"/>
      <c r="E95" s="25"/>
      <c r="F95" s="25"/>
      <c r="G95" s="25"/>
      <c r="H95" s="25"/>
      <c r="I95" s="25"/>
      <c r="J95" s="25"/>
      <c r="K95" s="25"/>
      <c r="L95" s="25"/>
      <c r="M95" s="25"/>
      <c r="N95" s="26"/>
      <c r="O95" s="25"/>
      <c r="P95" s="25"/>
      <c r="Q95" s="26"/>
      <c r="R95" s="26"/>
      <c r="S95" s="25"/>
      <c r="T95" s="26"/>
      <c r="U95" s="25"/>
      <c r="V95" s="25"/>
      <c r="W95" s="25"/>
    </row>
    <row r="96" spans="1:23" x14ac:dyDescent="0.35">
      <c r="A96" s="25"/>
      <c r="B96" s="25"/>
      <c r="C96" s="25"/>
      <c r="D96" s="26"/>
      <c r="E96" s="25"/>
      <c r="F96" s="25"/>
      <c r="G96" s="25"/>
      <c r="H96" s="25"/>
      <c r="I96" s="25"/>
      <c r="J96" s="25"/>
      <c r="K96" s="25"/>
      <c r="L96" s="25"/>
      <c r="M96" s="25"/>
      <c r="N96" s="26"/>
      <c r="O96" s="25"/>
      <c r="P96" s="25"/>
      <c r="Q96" s="26"/>
      <c r="R96" s="26"/>
      <c r="S96" s="25"/>
      <c r="T96" s="26"/>
      <c r="U96" s="25"/>
      <c r="V96" s="25"/>
      <c r="W96" s="25"/>
    </row>
    <row r="97" spans="1:23" x14ac:dyDescent="0.35">
      <c r="A97" s="25"/>
      <c r="B97" s="25"/>
      <c r="C97" s="25"/>
      <c r="D97" s="26"/>
      <c r="E97" s="25"/>
      <c r="F97" s="25"/>
      <c r="G97" s="25"/>
      <c r="H97" s="25"/>
      <c r="I97" s="25"/>
      <c r="J97" s="25"/>
      <c r="K97" s="25"/>
      <c r="L97" s="25"/>
      <c r="M97" s="25"/>
      <c r="N97" s="26"/>
      <c r="O97" s="25"/>
      <c r="P97" s="25"/>
      <c r="Q97" s="26"/>
      <c r="R97" s="26"/>
      <c r="S97" s="25"/>
      <c r="T97" s="26"/>
      <c r="U97" s="25"/>
      <c r="V97" s="25"/>
      <c r="W97" s="25"/>
    </row>
    <row r="98" spans="1:23" x14ac:dyDescent="0.35">
      <c r="A98" s="25"/>
      <c r="B98" s="25"/>
      <c r="C98" s="25"/>
      <c r="D98" s="26"/>
      <c r="E98" s="25"/>
      <c r="F98" s="25"/>
      <c r="G98" s="25"/>
      <c r="H98" s="25"/>
      <c r="I98" s="25"/>
      <c r="J98" s="25"/>
      <c r="K98" s="25"/>
      <c r="L98" s="25"/>
      <c r="M98" s="25"/>
      <c r="N98" s="26"/>
      <c r="O98" s="25"/>
      <c r="P98" s="25"/>
      <c r="Q98" s="26"/>
      <c r="R98" s="26"/>
      <c r="S98" s="25"/>
      <c r="T98" s="26"/>
      <c r="U98" s="25"/>
      <c r="V98" s="25"/>
      <c r="W98" s="25"/>
    </row>
    <row r="99" spans="1:23" x14ac:dyDescent="0.35">
      <c r="A99" s="25"/>
      <c r="B99" s="25"/>
      <c r="C99" s="25"/>
      <c r="D99" s="26"/>
      <c r="E99" s="25"/>
      <c r="F99" s="25"/>
      <c r="G99" s="25"/>
      <c r="H99" s="25"/>
      <c r="I99" s="25"/>
      <c r="J99" s="25"/>
      <c r="K99" s="25"/>
      <c r="L99" s="25"/>
      <c r="M99" s="25"/>
      <c r="N99" s="26"/>
      <c r="O99" s="25"/>
      <c r="P99" s="25"/>
      <c r="Q99" s="26"/>
      <c r="R99" s="26"/>
      <c r="S99" s="25"/>
      <c r="T99" s="26"/>
      <c r="U99" s="25"/>
      <c r="V99" s="25"/>
      <c r="W99" s="25"/>
    </row>
    <row r="100" spans="1:23" x14ac:dyDescent="0.35">
      <c r="A100" s="25"/>
      <c r="B100" s="25"/>
      <c r="C100" s="25"/>
      <c r="D100" s="26"/>
      <c r="E100" s="25"/>
      <c r="F100" s="25"/>
      <c r="G100" s="25"/>
      <c r="H100" s="25"/>
      <c r="I100" s="25"/>
      <c r="J100" s="25"/>
      <c r="K100" s="25"/>
      <c r="L100" s="25"/>
      <c r="M100" s="25"/>
      <c r="N100" s="26"/>
      <c r="O100" s="25"/>
      <c r="P100" s="25"/>
      <c r="Q100" s="26"/>
      <c r="R100" s="26"/>
      <c r="S100" s="25"/>
      <c r="T100" s="26"/>
      <c r="U100" s="25"/>
      <c r="V100" s="25"/>
      <c r="W100" s="25"/>
    </row>
    <row r="101" spans="1:23" x14ac:dyDescent="0.35">
      <c r="A101" s="25"/>
      <c r="B101" s="25"/>
      <c r="C101" s="25"/>
      <c r="D101" s="26"/>
      <c r="E101" s="25"/>
      <c r="F101" s="25"/>
      <c r="G101" s="25"/>
      <c r="H101" s="25"/>
      <c r="I101" s="25"/>
      <c r="J101" s="25"/>
      <c r="K101" s="25"/>
      <c r="L101" s="25"/>
      <c r="M101" s="25"/>
      <c r="N101" s="26"/>
      <c r="O101" s="25"/>
      <c r="P101" s="25"/>
      <c r="Q101" s="26"/>
      <c r="R101" s="26"/>
      <c r="S101" s="25"/>
      <c r="T101" s="26"/>
      <c r="U101" s="25"/>
      <c r="V101" s="25"/>
      <c r="W101" s="25"/>
    </row>
    <row r="102" spans="1:23" x14ac:dyDescent="0.35">
      <c r="A102" s="25"/>
      <c r="B102" s="25"/>
      <c r="C102" s="25"/>
      <c r="D102" s="26"/>
      <c r="E102" s="25"/>
      <c r="F102" s="25"/>
      <c r="G102" s="25"/>
      <c r="H102" s="25"/>
      <c r="I102" s="25"/>
      <c r="J102" s="25"/>
      <c r="K102" s="25"/>
      <c r="L102" s="25"/>
      <c r="M102" s="25"/>
      <c r="N102" s="26"/>
      <c r="O102" s="25"/>
      <c r="P102" s="25"/>
      <c r="Q102" s="26"/>
      <c r="R102" s="26"/>
      <c r="S102" s="25"/>
      <c r="T102" s="26"/>
      <c r="U102" s="25"/>
      <c r="V102" s="25"/>
      <c r="W102" s="25"/>
    </row>
    <row r="103" spans="1:23" x14ac:dyDescent="0.35">
      <c r="A103" s="25"/>
      <c r="B103" s="25"/>
      <c r="C103" s="25"/>
      <c r="D103" s="26"/>
      <c r="E103" s="25"/>
      <c r="F103" s="25"/>
      <c r="G103" s="25"/>
      <c r="H103" s="25"/>
      <c r="I103" s="25"/>
      <c r="J103" s="25"/>
      <c r="K103" s="25"/>
      <c r="L103" s="25"/>
      <c r="M103" s="25"/>
      <c r="N103" s="26"/>
      <c r="O103" s="25"/>
      <c r="P103" s="25"/>
      <c r="Q103" s="26"/>
      <c r="R103" s="26"/>
      <c r="S103" s="25"/>
      <c r="T103" s="26"/>
      <c r="U103" s="25"/>
      <c r="V103" s="25"/>
      <c r="W103" s="25"/>
    </row>
    <row r="104" spans="1:23" x14ac:dyDescent="0.35">
      <c r="A104" s="25"/>
      <c r="B104" s="25"/>
      <c r="C104" s="25"/>
      <c r="D104" s="26"/>
      <c r="E104" s="25"/>
      <c r="F104" s="25"/>
      <c r="G104" s="25"/>
      <c r="H104" s="25"/>
      <c r="I104" s="25"/>
      <c r="J104" s="25"/>
      <c r="K104" s="25"/>
      <c r="L104" s="25"/>
      <c r="M104" s="25"/>
      <c r="N104" s="26"/>
      <c r="O104" s="25"/>
      <c r="P104" s="25"/>
      <c r="Q104" s="26"/>
      <c r="R104" s="26"/>
      <c r="S104" s="25"/>
      <c r="T104" s="26"/>
      <c r="U104" s="25"/>
      <c r="V104" s="25"/>
      <c r="W104" s="25"/>
    </row>
    <row r="105" spans="1:23" x14ac:dyDescent="0.35">
      <c r="A105" s="25"/>
      <c r="B105" s="25"/>
      <c r="C105" s="25"/>
      <c r="D105" s="26"/>
      <c r="E105" s="25"/>
      <c r="F105" s="25"/>
      <c r="G105" s="25"/>
      <c r="H105" s="25"/>
      <c r="I105" s="25"/>
      <c r="J105" s="25"/>
      <c r="K105" s="25"/>
      <c r="L105" s="25"/>
      <c r="M105" s="25"/>
      <c r="N105" s="26"/>
      <c r="O105" s="25"/>
      <c r="P105" s="25"/>
      <c r="Q105" s="26"/>
      <c r="R105" s="26"/>
      <c r="S105" s="25"/>
      <c r="T105" s="26"/>
      <c r="U105" s="25"/>
      <c r="V105" s="25"/>
      <c r="W105" s="25"/>
    </row>
    <row r="106" spans="1:23" x14ac:dyDescent="0.35">
      <c r="A106" s="25"/>
      <c r="B106" s="25"/>
      <c r="C106" s="25"/>
      <c r="D106" s="26"/>
      <c r="E106" s="25"/>
      <c r="F106" s="25"/>
      <c r="G106" s="25"/>
      <c r="H106" s="25"/>
      <c r="I106" s="25"/>
      <c r="J106" s="25"/>
      <c r="K106" s="25"/>
      <c r="L106" s="25"/>
      <c r="M106" s="25"/>
      <c r="N106" s="26"/>
      <c r="O106" s="25"/>
      <c r="P106" s="25"/>
      <c r="Q106" s="26"/>
      <c r="R106" s="26"/>
      <c r="S106" s="25"/>
      <c r="T106" s="26"/>
      <c r="U106" s="25"/>
      <c r="V106" s="25"/>
      <c r="W106" s="25"/>
    </row>
    <row r="107" spans="1:23" x14ac:dyDescent="0.35">
      <c r="A107" s="25"/>
      <c r="B107" s="25"/>
      <c r="C107" s="25"/>
      <c r="D107" s="26"/>
      <c r="E107" s="25"/>
      <c r="F107" s="25"/>
      <c r="G107" s="25"/>
      <c r="H107" s="25"/>
      <c r="I107" s="25"/>
      <c r="J107" s="25"/>
      <c r="K107" s="25"/>
      <c r="L107" s="25"/>
      <c r="M107" s="25"/>
      <c r="N107" s="26"/>
      <c r="O107" s="25"/>
      <c r="P107" s="25"/>
      <c r="Q107" s="26"/>
      <c r="R107" s="26"/>
      <c r="S107" s="25"/>
      <c r="T107" s="26"/>
      <c r="U107" s="25"/>
      <c r="V107" s="25"/>
      <c r="W107" s="25"/>
    </row>
    <row r="108" spans="1:23" x14ac:dyDescent="0.35">
      <c r="A108" s="25"/>
      <c r="B108" s="25"/>
      <c r="C108" s="25"/>
      <c r="D108" s="26"/>
      <c r="E108" s="25"/>
      <c r="F108" s="25"/>
      <c r="G108" s="25"/>
      <c r="H108" s="25"/>
      <c r="I108" s="25"/>
      <c r="J108" s="25"/>
      <c r="K108" s="25"/>
      <c r="L108" s="25"/>
      <c r="M108" s="25"/>
      <c r="N108" s="26"/>
      <c r="O108" s="25"/>
      <c r="P108" s="25"/>
      <c r="Q108" s="26"/>
      <c r="R108" s="26"/>
      <c r="S108" s="25"/>
      <c r="T108" s="26"/>
      <c r="U108" s="25"/>
      <c r="V108" s="25"/>
      <c r="W108" s="25"/>
    </row>
    <row r="109" spans="1:23" x14ac:dyDescent="0.35">
      <c r="A109" s="25"/>
      <c r="B109" s="25"/>
      <c r="C109" s="25"/>
      <c r="D109" s="26"/>
      <c r="E109" s="25"/>
      <c r="F109" s="25"/>
      <c r="G109" s="25"/>
      <c r="H109" s="25"/>
      <c r="I109" s="25"/>
      <c r="J109" s="25"/>
      <c r="K109" s="25"/>
      <c r="L109" s="25"/>
      <c r="M109" s="25"/>
      <c r="N109" s="26"/>
      <c r="O109" s="25"/>
      <c r="P109" s="25"/>
      <c r="Q109" s="26"/>
      <c r="R109" s="26"/>
      <c r="S109" s="25"/>
      <c r="T109" s="26"/>
      <c r="U109" s="25"/>
      <c r="V109" s="25"/>
      <c r="W109" s="25"/>
    </row>
    <row r="110" spans="1:23" x14ac:dyDescent="0.35">
      <c r="A110" s="25"/>
      <c r="B110" s="25"/>
      <c r="C110" s="25"/>
      <c r="D110" s="26"/>
      <c r="E110" s="25"/>
      <c r="F110" s="25"/>
      <c r="G110" s="25"/>
      <c r="H110" s="25"/>
      <c r="I110" s="25"/>
      <c r="J110" s="25"/>
      <c r="K110" s="25"/>
      <c r="L110" s="25"/>
      <c r="M110" s="25"/>
      <c r="N110" s="26"/>
      <c r="O110" s="25"/>
      <c r="P110" s="25"/>
      <c r="Q110" s="26"/>
      <c r="R110" s="26"/>
      <c r="S110" s="25"/>
      <c r="T110" s="26"/>
      <c r="U110" s="25"/>
      <c r="V110" s="25"/>
      <c r="W110" s="25"/>
    </row>
    <row r="111" spans="1:23" x14ac:dyDescent="0.35">
      <c r="A111" s="25"/>
      <c r="B111" s="25"/>
      <c r="C111" s="25"/>
      <c r="D111" s="26"/>
      <c r="E111" s="25"/>
      <c r="F111" s="25"/>
      <c r="G111" s="25"/>
      <c r="H111" s="25"/>
      <c r="I111" s="25"/>
      <c r="J111" s="25"/>
      <c r="K111" s="25"/>
      <c r="L111" s="25"/>
      <c r="M111" s="25"/>
      <c r="N111" s="26"/>
      <c r="O111" s="25"/>
      <c r="P111" s="25"/>
      <c r="Q111" s="26"/>
      <c r="R111" s="26"/>
      <c r="S111" s="25"/>
      <c r="T111" s="26"/>
      <c r="U111" s="25"/>
      <c r="V111" s="25"/>
      <c r="W111" s="25"/>
    </row>
    <row r="112" spans="1:23" x14ac:dyDescent="0.35">
      <c r="A112" s="25"/>
      <c r="B112" s="25"/>
      <c r="C112" s="25"/>
      <c r="D112" s="26"/>
      <c r="E112" s="25"/>
      <c r="F112" s="25"/>
      <c r="G112" s="25"/>
      <c r="H112" s="25"/>
      <c r="I112" s="25"/>
      <c r="J112" s="25"/>
      <c r="K112" s="25"/>
      <c r="L112" s="25"/>
      <c r="M112" s="25"/>
      <c r="N112" s="26"/>
      <c r="O112" s="25"/>
      <c r="P112" s="25"/>
      <c r="Q112" s="26"/>
      <c r="R112" s="26"/>
      <c r="S112" s="25"/>
      <c r="T112" s="26"/>
      <c r="U112" s="25"/>
      <c r="V112" s="25"/>
      <c r="W112" s="25"/>
    </row>
    <row r="113" spans="1:23" x14ac:dyDescent="0.35">
      <c r="A113" s="25"/>
      <c r="B113" s="25"/>
      <c r="C113" s="25"/>
      <c r="D113" s="26"/>
      <c r="E113" s="25"/>
      <c r="F113" s="25"/>
      <c r="G113" s="25"/>
      <c r="H113" s="25"/>
      <c r="I113" s="25"/>
      <c r="J113" s="25"/>
      <c r="K113" s="25"/>
      <c r="L113" s="25"/>
      <c r="M113" s="25"/>
      <c r="N113" s="26"/>
      <c r="O113" s="25"/>
      <c r="P113" s="25"/>
      <c r="Q113" s="26"/>
      <c r="R113" s="26"/>
      <c r="S113" s="25"/>
      <c r="T113" s="26"/>
      <c r="U113" s="25"/>
      <c r="V113" s="25"/>
      <c r="W113" s="25"/>
    </row>
    <row r="114" spans="1:23" x14ac:dyDescent="0.35">
      <c r="A114" s="25"/>
      <c r="B114" s="25"/>
      <c r="C114" s="25"/>
      <c r="D114" s="26"/>
      <c r="E114" s="25"/>
      <c r="F114" s="25"/>
      <c r="G114" s="25"/>
      <c r="H114" s="25"/>
      <c r="I114" s="25"/>
      <c r="J114" s="25"/>
      <c r="K114" s="25"/>
      <c r="L114" s="25"/>
      <c r="M114" s="25"/>
      <c r="N114" s="26"/>
      <c r="O114" s="25"/>
      <c r="P114" s="25"/>
      <c r="Q114" s="26"/>
      <c r="R114" s="26"/>
      <c r="S114" s="25"/>
      <c r="T114" s="26"/>
      <c r="U114" s="25"/>
      <c r="V114" s="25"/>
      <c r="W114" s="25"/>
    </row>
    <row r="115" spans="1:23" x14ac:dyDescent="0.35">
      <c r="A115" s="25"/>
      <c r="B115" s="25"/>
      <c r="C115" s="25"/>
      <c r="D115" s="26"/>
      <c r="E115" s="25"/>
      <c r="F115" s="25"/>
      <c r="G115" s="25"/>
      <c r="H115" s="25"/>
      <c r="I115" s="25"/>
      <c r="J115" s="25"/>
      <c r="K115" s="25"/>
      <c r="L115" s="25"/>
      <c r="M115" s="25"/>
      <c r="N115" s="26"/>
      <c r="O115" s="25"/>
      <c r="P115" s="25"/>
      <c r="Q115" s="26"/>
      <c r="R115" s="26"/>
      <c r="S115" s="25"/>
      <c r="T115" s="26"/>
      <c r="U115" s="25"/>
      <c r="V115" s="25"/>
      <c r="W115" s="25"/>
    </row>
    <row r="116" spans="1:23" x14ac:dyDescent="0.35">
      <c r="A116" s="25"/>
      <c r="B116" s="25"/>
      <c r="C116" s="25"/>
      <c r="D116" s="26"/>
      <c r="E116" s="25"/>
      <c r="F116" s="25"/>
      <c r="G116" s="25"/>
      <c r="H116" s="25"/>
      <c r="I116" s="25"/>
      <c r="J116" s="25"/>
      <c r="K116" s="25"/>
      <c r="L116" s="25"/>
      <c r="M116" s="25"/>
      <c r="N116" s="26"/>
      <c r="O116" s="25"/>
      <c r="P116" s="25"/>
      <c r="Q116" s="26"/>
      <c r="R116" s="26"/>
      <c r="S116" s="25"/>
      <c r="T116" s="26"/>
      <c r="U116" s="25"/>
      <c r="V116" s="25"/>
      <c r="W116" s="25"/>
    </row>
    <row r="117" spans="1:23" x14ac:dyDescent="0.35">
      <c r="A117" s="25"/>
      <c r="B117" s="25"/>
      <c r="C117" s="25"/>
      <c r="D117" s="26"/>
      <c r="E117" s="25"/>
      <c r="F117" s="25"/>
      <c r="G117" s="25"/>
      <c r="H117" s="25"/>
      <c r="I117" s="25"/>
      <c r="J117" s="25"/>
      <c r="K117" s="25"/>
      <c r="L117" s="25"/>
      <c r="M117" s="25"/>
      <c r="N117" s="26"/>
      <c r="O117" s="25"/>
      <c r="P117" s="25"/>
      <c r="Q117" s="26"/>
      <c r="R117" s="26"/>
      <c r="S117" s="25"/>
      <c r="T117" s="26"/>
      <c r="U117" s="25"/>
      <c r="V117" s="25"/>
      <c r="W117" s="25"/>
    </row>
    <row r="118" spans="1:23" x14ac:dyDescent="0.35">
      <c r="A118" s="25"/>
      <c r="B118" s="25"/>
      <c r="C118" s="25"/>
      <c r="D118" s="26"/>
      <c r="E118" s="25"/>
      <c r="F118" s="25"/>
      <c r="G118" s="25"/>
      <c r="H118" s="25"/>
      <c r="I118" s="25"/>
      <c r="J118" s="25"/>
      <c r="K118" s="25"/>
      <c r="L118" s="25"/>
      <c r="M118" s="25"/>
      <c r="N118" s="26"/>
      <c r="O118" s="25"/>
      <c r="P118" s="25"/>
      <c r="Q118" s="26"/>
      <c r="R118" s="26"/>
      <c r="S118" s="25"/>
      <c r="T118" s="26"/>
      <c r="U118" s="25"/>
      <c r="V118" s="25"/>
      <c r="W118" s="25"/>
    </row>
    <row r="119" spans="1:23" x14ac:dyDescent="0.35">
      <c r="A119" s="25"/>
      <c r="B119" s="25"/>
      <c r="C119" s="25"/>
      <c r="D119" s="26"/>
      <c r="E119" s="25"/>
      <c r="F119" s="25"/>
      <c r="G119" s="25"/>
      <c r="H119" s="25"/>
      <c r="I119" s="25"/>
      <c r="J119" s="25"/>
      <c r="K119" s="25"/>
      <c r="L119" s="25"/>
      <c r="M119" s="25"/>
      <c r="N119" s="26"/>
      <c r="O119" s="25"/>
      <c r="P119" s="25"/>
      <c r="Q119" s="26"/>
      <c r="R119" s="26"/>
      <c r="S119" s="25"/>
      <c r="T119" s="26"/>
      <c r="U119" s="25"/>
      <c r="V119" s="25"/>
      <c r="W119" s="25"/>
    </row>
    <row r="120" spans="1:23" x14ac:dyDescent="0.35">
      <c r="A120" s="25"/>
      <c r="B120" s="25"/>
      <c r="C120" s="25"/>
      <c r="D120" s="26"/>
      <c r="E120" s="25"/>
      <c r="F120" s="25"/>
      <c r="G120" s="25"/>
      <c r="H120" s="25"/>
      <c r="I120" s="25"/>
      <c r="J120" s="25"/>
      <c r="K120" s="25"/>
      <c r="L120" s="25"/>
      <c r="M120" s="25"/>
      <c r="N120" s="26"/>
      <c r="O120" s="25"/>
      <c r="P120" s="25"/>
      <c r="Q120" s="26"/>
      <c r="R120" s="26"/>
      <c r="S120" s="25"/>
      <c r="T120" s="26"/>
      <c r="U120" s="25"/>
      <c r="V120" s="25"/>
      <c r="W120" s="25"/>
    </row>
    <row r="121" spans="1:23" x14ac:dyDescent="0.35">
      <c r="A121" s="25"/>
      <c r="B121" s="25"/>
      <c r="C121" s="25"/>
      <c r="D121" s="26"/>
      <c r="E121" s="25"/>
      <c r="F121" s="25"/>
      <c r="G121" s="25"/>
      <c r="H121" s="25"/>
      <c r="I121" s="25"/>
      <c r="J121" s="25"/>
      <c r="K121" s="25"/>
      <c r="L121" s="25"/>
      <c r="M121" s="25"/>
      <c r="N121" s="26"/>
      <c r="O121" s="25"/>
      <c r="P121" s="25"/>
      <c r="Q121" s="26"/>
      <c r="R121" s="26"/>
      <c r="S121" s="25"/>
      <c r="T121" s="26"/>
      <c r="U121" s="25"/>
      <c r="V121" s="25"/>
      <c r="W121" s="25"/>
    </row>
    <row r="122" spans="1:23" x14ac:dyDescent="0.35">
      <c r="A122" s="25"/>
      <c r="B122" s="25"/>
      <c r="C122" s="25"/>
      <c r="D122" s="26"/>
      <c r="E122" s="25"/>
      <c r="F122" s="25"/>
      <c r="G122" s="25"/>
      <c r="H122" s="25"/>
      <c r="I122" s="25"/>
      <c r="J122" s="25"/>
      <c r="K122" s="25"/>
      <c r="L122" s="25"/>
      <c r="M122" s="25"/>
      <c r="N122" s="26"/>
      <c r="O122" s="25"/>
      <c r="P122" s="25"/>
      <c r="Q122" s="26"/>
      <c r="R122" s="26"/>
      <c r="S122" s="25"/>
      <c r="T122" s="26"/>
      <c r="U122" s="25"/>
      <c r="V122" s="25"/>
      <c r="W122" s="25"/>
    </row>
    <row r="123" spans="1:23" x14ac:dyDescent="0.35">
      <c r="A123" s="25"/>
      <c r="B123" s="25"/>
      <c r="C123" s="25"/>
      <c r="D123" s="26"/>
      <c r="E123" s="25"/>
      <c r="F123" s="25"/>
      <c r="G123" s="25"/>
      <c r="H123" s="25"/>
      <c r="I123" s="25"/>
      <c r="J123" s="25"/>
      <c r="K123" s="25"/>
      <c r="L123" s="25"/>
      <c r="M123" s="25"/>
      <c r="N123" s="26"/>
      <c r="O123" s="25"/>
      <c r="P123" s="25"/>
      <c r="Q123" s="26"/>
      <c r="R123" s="26"/>
      <c r="S123" s="25"/>
      <c r="T123" s="26"/>
      <c r="U123" s="25"/>
      <c r="V123" s="25"/>
      <c r="W123" s="25"/>
    </row>
    <row r="124" spans="1:23" x14ac:dyDescent="0.35">
      <c r="A124" s="25"/>
      <c r="B124" s="25"/>
      <c r="C124" s="25"/>
      <c r="D124" s="26"/>
      <c r="E124" s="25"/>
      <c r="F124" s="25"/>
      <c r="G124" s="25"/>
      <c r="H124" s="25"/>
      <c r="I124" s="25"/>
      <c r="J124" s="25"/>
      <c r="K124" s="25"/>
      <c r="L124" s="25"/>
      <c r="M124" s="25"/>
      <c r="N124" s="26"/>
      <c r="O124" s="25"/>
      <c r="P124" s="25"/>
      <c r="Q124" s="26"/>
      <c r="R124" s="26"/>
      <c r="S124" s="25"/>
      <c r="T124" s="26"/>
      <c r="U124" s="25"/>
      <c r="V124" s="25"/>
      <c r="W124" s="25"/>
    </row>
    <row r="125" spans="1:23" x14ac:dyDescent="0.35">
      <c r="A125" s="25"/>
      <c r="B125" s="25"/>
      <c r="C125" s="25"/>
      <c r="D125" s="26"/>
      <c r="E125" s="25"/>
      <c r="F125" s="25"/>
      <c r="G125" s="25"/>
      <c r="H125" s="25"/>
      <c r="I125" s="25"/>
      <c r="J125" s="25"/>
      <c r="K125" s="25"/>
      <c r="L125" s="25"/>
      <c r="M125" s="25"/>
      <c r="N125" s="26"/>
      <c r="O125" s="25"/>
      <c r="P125" s="25"/>
      <c r="Q125" s="26"/>
      <c r="R125" s="26"/>
      <c r="S125" s="25"/>
      <c r="T125" s="26"/>
      <c r="U125" s="25"/>
      <c r="V125" s="25"/>
      <c r="W125" s="25"/>
    </row>
    <row r="126" spans="1:23" x14ac:dyDescent="0.35">
      <c r="A126" s="25"/>
      <c r="B126" s="25"/>
      <c r="C126" s="25"/>
      <c r="D126" s="26"/>
      <c r="E126" s="25"/>
      <c r="F126" s="25"/>
      <c r="G126" s="25"/>
      <c r="H126" s="25"/>
      <c r="I126" s="25"/>
      <c r="J126" s="25"/>
      <c r="K126" s="25"/>
      <c r="L126" s="25"/>
      <c r="M126" s="25"/>
      <c r="N126" s="26"/>
      <c r="O126" s="25"/>
      <c r="P126" s="25"/>
      <c r="Q126" s="26"/>
      <c r="R126" s="26"/>
      <c r="S126" s="25"/>
      <c r="T126" s="26"/>
      <c r="U126" s="25"/>
      <c r="V126" s="25"/>
      <c r="W126" s="25"/>
    </row>
    <row r="127" spans="1:23" x14ac:dyDescent="0.35">
      <c r="A127" s="25"/>
      <c r="B127" s="25"/>
      <c r="C127" s="25"/>
      <c r="D127" s="26"/>
      <c r="E127" s="25"/>
      <c r="F127" s="25"/>
      <c r="G127" s="25"/>
      <c r="H127" s="25"/>
      <c r="I127" s="25"/>
      <c r="J127" s="25"/>
      <c r="K127" s="25"/>
      <c r="L127" s="25"/>
      <c r="M127" s="25"/>
      <c r="N127" s="26"/>
      <c r="O127" s="25"/>
      <c r="P127" s="25"/>
      <c r="Q127" s="26"/>
      <c r="R127" s="26"/>
      <c r="S127" s="25"/>
      <c r="T127" s="26"/>
      <c r="U127" s="25"/>
      <c r="V127" s="25"/>
      <c r="W127" s="25"/>
    </row>
    <row r="128" spans="1:23" x14ac:dyDescent="0.35">
      <c r="A128" s="25"/>
      <c r="B128" s="25"/>
      <c r="C128" s="25"/>
      <c r="D128" s="26"/>
      <c r="E128" s="25"/>
      <c r="F128" s="25"/>
      <c r="G128" s="25"/>
      <c r="H128" s="25"/>
      <c r="I128" s="25"/>
      <c r="J128" s="25"/>
      <c r="K128" s="25"/>
      <c r="L128" s="25"/>
      <c r="M128" s="25"/>
      <c r="N128" s="26"/>
      <c r="O128" s="25"/>
      <c r="P128" s="25"/>
      <c r="Q128" s="26"/>
      <c r="R128" s="26"/>
      <c r="S128" s="25"/>
      <c r="T128" s="26"/>
      <c r="U128" s="25"/>
      <c r="V128" s="25"/>
      <c r="W128" s="25"/>
    </row>
    <row r="129" spans="1:23" x14ac:dyDescent="0.35">
      <c r="A129" s="25"/>
      <c r="B129" s="25"/>
      <c r="C129" s="25"/>
      <c r="D129" s="26"/>
      <c r="E129" s="25"/>
      <c r="F129" s="25"/>
      <c r="G129" s="25"/>
      <c r="H129" s="25"/>
      <c r="I129" s="25"/>
      <c r="J129" s="25"/>
      <c r="K129" s="25"/>
      <c r="L129" s="25"/>
      <c r="M129" s="25"/>
      <c r="N129" s="26"/>
      <c r="O129" s="25"/>
      <c r="P129" s="25"/>
      <c r="Q129" s="26"/>
      <c r="R129" s="26"/>
      <c r="S129" s="25"/>
      <c r="T129" s="26"/>
      <c r="U129" s="25"/>
      <c r="V129" s="25"/>
      <c r="W129" s="25"/>
    </row>
    <row r="130" spans="1:23" x14ac:dyDescent="0.35">
      <c r="A130" s="25"/>
      <c r="B130" s="25"/>
      <c r="C130" s="25"/>
      <c r="D130" s="26"/>
      <c r="E130" s="25"/>
      <c r="F130" s="25"/>
      <c r="G130" s="25"/>
      <c r="H130" s="25"/>
      <c r="I130" s="25"/>
      <c r="J130" s="25"/>
      <c r="K130" s="25"/>
      <c r="L130" s="25"/>
      <c r="M130" s="25"/>
      <c r="N130" s="26"/>
      <c r="O130" s="25"/>
      <c r="P130" s="25"/>
      <c r="Q130" s="26"/>
      <c r="R130" s="26"/>
      <c r="S130" s="25"/>
      <c r="T130" s="26"/>
      <c r="U130" s="25"/>
      <c r="V130" s="25"/>
      <c r="W130" s="25"/>
    </row>
    <row r="131" spans="1:23" x14ac:dyDescent="0.35">
      <c r="A131" s="25"/>
      <c r="B131" s="25"/>
      <c r="C131" s="25"/>
      <c r="D131" s="26"/>
      <c r="E131" s="25"/>
      <c r="F131" s="25"/>
      <c r="G131" s="25"/>
      <c r="H131" s="25"/>
      <c r="I131" s="25"/>
      <c r="J131" s="25"/>
      <c r="K131" s="25"/>
      <c r="L131" s="25"/>
      <c r="M131" s="25"/>
      <c r="N131" s="26"/>
      <c r="O131" s="25"/>
      <c r="P131" s="25"/>
      <c r="Q131" s="26"/>
      <c r="R131" s="26"/>
      <c r="S131" s="25"/>
      <c r="T131" s="26"/>
      <c r="U131" s="25"/>
      <c r="V131" s="25"/>
      <c r="W131" s="25"/>
    </row>
    <row r="132" spans="1:23" x14ac:dyDescent="0.35">
      <c r="A132" s="25"/>
      <c r="B132" s="25"/>
      <c r="C132" s="25"/>
      <c r="D132" s="26"/>
      <c r="E132" s="25"/>
      <c r="F132" s="25"/>
      <c r="G132" s="25"/>
      <c r="H132" s="25"/>
      <c r="I132" s="25"/>
      <c r="J132" s="25"/>
      <c r="K132" s="25"/>
      <c r="L132" s="25"/>
      <c r="M132" s="25"/>
      <c r="N132" s="26"/>
      <c r="O132" s="25"/>
      <c r="P132" s="25"/>
      <c r="Q132" s="26"/>
      <c r="R132" s="26"/>
      <c r="S132" s="25"/>
      <c r="T132" s="26"/>
      <c r="U132" s="25"/>
      <c r="V132" s="25"/>
      <c r="W132" s="25"/>
    </row>
    <row r="133" spans="1:23" x14ac:dyDescent="0.35">
      <c r="A133" s="25"/>
      <c r="B133" s="25"/>
      <c r="C133" s="25"/>
      <c r="D133" s="26"/>
      <c r="E133" s="25"/>
      <c r="F133" s="25"/>
      <c r="G133" s="25"/>
      <c r="H133" s="25"/>
      <c r="I133" s="25"/>
      <c r="J133" s="25"/>
      <c r="K133" s="25"/>
      <c r="L133" s="25"/>
      <c r="M133" s="25"/>
      <c r="N133" s="26"/>
      <c r="O133" s="25"/>
      <c r="P133" s="25"/>
      <c r="Q133" s="26"/>
      <c r="R133" s="26"/>
      <c r="S133" s="25"/>
      <c r="T133" s="26"/>
      <c r="U133" s="25"/>
      <c r="V133" s="25"/>
      <c r="W133" s="25"/>
    </row>
    <row r="134" spans="1:23" x14ac:dyDescent="0.35">
      <c r="A134" s="25"/>
      <c r="B134" s="25"/>
      <c r="C134" s="25"/>
      <c r="D134" s="26"/>
      <c r="E134" s="25"/>
      <c r="F134" s="25"/>
      <c r="G134" s="25"/>
      <c r="H134" s="25"/>
      <c r="I134" s="25"/>
      <c r="J134" s="25"/>
      <c r="K134" s="25"/>
      <c r="L134" s="25"/>
      <c r="M134" s="25"/>
      <c r="N134" s="26"/>
      <c r="O134" s="25"/>
      <c r="P134" s="25"/>
      <c r="Q134" s="26"/>
      <c r="R134" s="26"/>
      <c r="S134" s="25"/>
      <c r="T134" s="26"/>
      <c r="U134" s="25"/>
      <c r="V134" s="25"/>
      <c r="W134" s="25"/>
    </row>
    <row r="135" spans="1:23" x14ac:dyDescent="0.35">
      <c r="A135" s="25"/>
      <c r="B135" s="25"/>
      <c r="C135" s="25"/>
      <c r="D135" s="26"/>
      <c r="E135" s="25"/>
      <c r="F135" s="25"/>
      <c r="G135" s="25"/>
      <c r="H135" s="25"/>
      <c r="I135" s="25"/>
      <c r="J135" s="25"/>
      <c r="K135" s="25"/>
      <c r="L135" s="25"/>
      <c r="M135" s="25"/>
      <c r="N135" s="26"/>
      <c r="O135" s="25"/>
      <c r="P135" s="25"/>
      <c r="Q135" s="26"/>
      <c r="R135" s="26"/>
      <c r="S135" s="25"/>
      <c r="T135" s="26"/>
      <c r="U135" s="25"/>
      <c r="V135" s="25"/>
      <c r="W135" s="25"/>
    </row>
    <row r="136" spans="1:23" x14ac:dyDescent="0.35">
      <c r="A136" s="25"/>
      <c r="B136" s="25"/>
      <c r="C136" s="25"/>
      <c r="D136" s="26"/>
      <c r="E136" s="25"/>
      <c r="F136" s="25"/>
      <c r="G136" s="25"/>
      <c r="H136" s="25"/>
      <c r="I136" s="25"/>
      <c r="J136" s="25"/>
      <c r="K136" s="25"/>
      <c r="L136" s="25"/>
      <c r="M136" s="25"/>
      <c r="N136" s="26"/>
      <c r="O136" s="25"/>
      <c r="P136" s="25"/>
      <c r="Q136" s="26"/>
      <c r="R136" s="26"/>
      <c r="S136" s="25"/>
      <c r="T136" s="26"/>
      <c r="U136" s="25"/>
      <c r="V136" s="25"/>
      <c r="W136" s="25"/>
    </row>
    <row r="137" spans="1:23" x14ac:dyDescent="0.35">
      <c r="A137" s="25"/>
      <c r="B137" s="25"/>
      <c r="C137" s="25"/>
      <c r="D137" s="26"/>
      <c r="E137" s="25"/>
      <c r="F137" s="25"/>
      <c r="G137" s="25"/>
      <c r="H137" s="25"/>
      <c r="I137" s="25"/>
      <c r="J137" s="25"/>
      <c r="K137" s="25"/>
      <c r="L137" s="25"/>
      <c r="M137" s="25"/>
      <c r="N137" s="26"/>
      <c r="O137" s="25"/>
      <c r="P137" s="25"/>
      <c r="Q137" s="26"/>
      <c r="R137" s="26"/>
      <c r="S137" s="25"/>
      <c r="T137" s="26"/>
      <c r="U137" s="25"/>
      <c r="V137" s="25"/>
      <c r="W137" s="25"/>
    </row>
    <row r="138" spans="1:23" x14ac:dyDescent="0.35">
      <c r="A138" s="25"/>
      <c r="B138" s="25"/>
      <c r="C138" s="25"/>
      <c r="D138" s="26"/>
      <c r="E138" s="25"/>
      <c r="F138" s="25"/>
      <c r="G138" s="25"/>
      <c r="H138" s="25"/>
      <c r="I138" s="25"/>
      <c r="J138" s="25"/>
      <c r="K138" s="25"/>
      <c r="L138" s="25"/>
      <c r="M138" s="25"/>
      <c r="N138" s="26"/>
      <c r="O138" s="25"/>
      <c r="P138" s="25"/>
      <c r="Q138" s="26"/>
      <c r="R138" s="26"/>
      <c r="S138" s="25"/>
      <c r="T138" s="26"/>
      <c r="U138" s="25"/>
      <c r="V138" s="25"/>
      <c r="W138" s="25"/>
    </row>
    <row r="139" spans="1:23" x14ac:dyDescent="0.35">
      <c r="A139" s="25"/>
      <c r="B139" s="25"/>
      <c r="C139" s="25"/>
      <c r="D139" s="26"/>
      <c r="E139" s="25"/>
      <c r="F139" s="25"/>
      <c r="G139" s="25"/>
      <c r="H139" s="25"/>
      <c r="I139" s="25"/>
      <c r="J139" s="25"/>
      <c r="K139" s="25"/>
      <c r="L139" s="25"/>
      <c r="M139" s="25"/>
      <c r="N139" s="26"/>
      <c r="O139" s="25"/>
      <c r="P139" s="25"/>
      <c r="Q139" s="26"/>
      <c r="R139" s="26"/>
      <c r="S139" s="25"/>
      <c r="T139" s="26"/>
      <c r="U139" s="25"/>
      <c r="V139" s="25"/>
      <c r="W139" s="25"/>
    </row>
    <row r="140" spans="1:23" x14ac:dyDescent="0.35">
      <c r="A140" s="25"/>
      <c r="B140" s="25"/>
      <c r="C140" s="25"/>
      <c r="D140" s="26"/>
      <c r="E140" s="25"/>
      <c r="F140" s="25"/>
      <c r="G140" s="25"/>
      <c r="H140" s="25"/>
      <c r="I140" s="25"/>
      <c r="J140" s="25"/>
      <c r="K140" s="25"/>
      <c r="L140" s="25"/>
      <c r="M140" s="25"/>
      <c r="N140" s="26"/>
      <c r="O140" s="25"/>
      <c r="P140" s="25"/>
      <c r="Q140" s="26"/>
      <c r="R140" s="26"/>
      <c r="S140" s="25"/>
      <c r="T140" s="26"/>
      <c r="U140" s="25"/>
      <c r="V140" s="25"/>
      <c r="W140" s="25"/>
    </row>
    <row r="141" spans="1:23" x14ac:dyDescent="0.35">
      <c r="A141" s="25"/>
      <c r="B141" s="25"/>
      <c r="C141" s="25"/>
      <c r="D141" s="26"/>
      <c r="E141" s="25"/>
      <c r="F141" s="25"/>
      <c r="G141" s="25"/>
      <c r="H141" s="25"/>
      <c r="I141" s="25"/>
      <c r="J141" s="25"/>
      <c r="K141" s="25"/>
      <c r="L141" s="25"/>
      <c r="M141" s="25"/>
      <c r="N141" s="26"/>
      <c r="O141" s="25"/>
      <c r="P141" s="25"/>
      <c r="Q141" s="26"/>
      <c r="R141" s="26"/>
      <c r="S141" s="25"/>
      <c r="T141" s="26"/>
      <c r="U141" s="25"/>
      <c r="V141" s="25"/>
      <c r="W141" s="25"/>
    </row>
    <row r="142" spans="1:23" x14ac:dyDescent="0.35">
      <c r="A142" s="25"/>
      <c r="B142" s="25"/>
      <c r="C142" s="25"/>
      <c r="D142" s="26"/>
      <c r="E142" s="25"/>
      <c r="F142" s="25"/>
      <c r="G142" s="25"/>
      <c r="H142" s="25"/>
      <c r="I142" s="25"/>
      <c r="J142" s="25"/>
      <c r="K142" s="25"/>
      <c r="L142" s="25"/>
      <c r="M142" s="25"/>
      <c r="N142" s="26"/>
      <c r="O142" s="25"/>
      <c r="P142" s="25"/>
      <c r="Q142" s="26"/>
      <c r="R142" s="26"/>
      <c r="S142" s="25"/>
      <c r="T142" s="26"/>
      <c r="U142" s="25"/>
      <c r="V142" s="25"/>
      <c r="W142" s="25"/>
    </row>
    <row r="143" spans="1:23" x14ac:dyDescent="0.35">
      <c r="A143" s="25"/>
      <c r="B143" s="25"/>
      <c r="C143" s="25"/>
      <c r="D143" s="26"/>
      <c r="E143" s="25"/>
      <c r="F143" s="25"/>
      <c r="G143" s="25"/>
      <c r="H143" s="25"/>
      <c r="I143" s="25"/>
      <c r="J143" s="25"/>
      <c r="K143" s="25"/>
      <c r="L143" s="25"/>
      <c r="M143" s="25"/>
      <c r="N143" s="26"/>
      <c r="O143" s="25"/>
      <c r="P143" s="25"/>
      <c r="Q143" s="26"/>
      <c r="R143" s="26"/>
      <c r="S143" s="25"/>
      <c r="T143" s="26"/>
      <c r="U143" s="25"/>
      <c r="V143" s="25"/>
      <c r="W143" s="25"/>
    </row>
    <row r="144" spans="1:23" x14ac:dyDescent="0.35">
      <c r="A144" s="25"/>
      <c r="B144" s="25"/>
      <c r="C144" s="25"/>
      <c r="D144" s="26"/>
      <c r="E144" s="25"/>
      <c r="F144" s="25"/>
      <c r="G144" s="25"/>
      <c r="H144" s="25"/>
      <c r="I144" s="25"/>
      <c r="J144" s="25"/>
      <c r="K144" s="25"/>
      <c r="L144" s="25"/>
      <c r="M144" s="25"/>
      <c r="N144" s="26"/>
      <c r="O144" s="25"/>
      <c r="P144" s="25"/>
      <c r="Q144" s="26"/>
      <c r="R144" s="26"/>
      <c r="S144" s="25"/>
      <c r="T144" s="26"/>
      <c r="U144" s="25"/>
      <c r="V144" s="25"/>
      <c r="W144" s="25"/>
    </row>
    <row r="145" spans="1:23" x14ac:dyDescent="0.35">
      <c r="A145" s="25"/>
      <c r="B145" s="25"/>
      <c r="C145" s="25"/>
      <c r="D145" s="26"/>
      <c r="E145" s="25"/>
      <c r="F145" s="25"/>
      <c r="G145" s="25"/>
      <c r="H145" s="25"/>
      <c r="I145" s="25"/>
      <c r="J145" s="25"/>
      <c r="K145" s="25"/>
      <c r="L145" s="25"/>
      <c r="M145" s="25"/>
      <c r="N145" s="26"/>
      <c r="O145" s="25"/>
      <c r="P145" s="25"/>
      <c r="Q145" s="26"/>
      <c r="R145" s="26"/>
      <c r="S145" s="25"/>
      <c r="T145" s="26"/>
      <c r="U145" s="25"/>
      <c r="V145" s="25"/>
      <c r="W145" s="25"/>
    </row>
    <row r="146" spans="1:23" x14ac:dyDescent="0.35">
      <c r="A146" s="25"/>
      <c r="B146" s="25"/>
      <c r="C146" s="25"/>
      <c r="D146" s="26"/>
      <c r="E146" s="25"/>
      <c r="F146" s="25"/>
      <c r="G146" s="25"/>
      <c r="H146" s="25"/>
      <c r="I146" s="25"/>
      <c r="J146" s="25"/>
      <c r="K146" s="25"/>
      <c r="L146" s="25"/>
      <c r="M146" s="25"/>
      <c r="N146" s="26"/>
      <c r="O146" s="25"/>
      <c r="P146" s="25"/>
      <c r="Q146" s="26"/>
      <c r="R146" s="26"/>
      <c r="S146" s="25"/>
      <c r="T146" s="26"/>
      <c r="U146" s="25"/>
      <c r="V146" s="25"/>
      <c r="W146" s="25"/>
    </row>
    <row r="147" spans="1:23" x14ac:dyDescent="0.35">
      <c r="A147" s="25"/>
      <c r="B147" s="25"/>
      <c r="C147" s="25"/>
      <c r="D147" s="26"/>
      <c r="E147" s="25"/>
      <c r="F147" s="25"/>
      <c r="G147" s="25"/>
      <c r="H147" s="25"/>
      <c r="I147" s="25"/>
      <c r="J147" s="25"/>
      <c r="K147" s="25"/>
      <c r="L147" s="25"/>
      <c r="M147" s="25"/>
      <c r="N147" s="26"/>
      <c r="O147" s="25"/>
      <c r="P147" s="25"/>
      <c r="Q147" s="26"/>
      <c r="R147" s="26"/>
      <c r="S147" s="25"/>
      <c r="T147" s="26"/>
      <c r="U147" s="25"/>
      <c r="V147" s="25"/>
      <c r="W147" s="25"/>
    </row>
    <row r="148" spans="1:23" x14ac:dyDescent="0.35">
      <c r="A148" s="25"/>
      <c r="B148" s="25"/>
      <c r="C148" s="25"/>
      <c r="D148" s="26"/>
      <c r="E148" s="25"/>
      <c r="F148" s="25"/>
      <c r="G148" s="25"/>
      <c r="H148" s="25"/>
      <c r="I148" s="25"/>
      <c r="J148" s="25"/>
      <c r="K148" s="25"/>
      <c r="L148" s="25"/>
      <c r="M148" s="25"/>
      <c r="N148" s="26"/>
      <c r="O148" s="25"/>
      <c r="P148" s="25"/>
      <c r="Q148" s="26"/>
      <c r="R148" s="26"/>
      <c r="S148" s="25"/>
      <c r="T148" s="26"/>
      <c r="U148" s="25"/>
      <c r="V148" s="25"/>
      <c r="W148" s="25"/>
    </row>
    <row r="149" spans="1:23" x14ac:dyDescent="0.35">
      <c r="A149" s="25"/>
      <c r="B149" s="25"/>
      <c r="C149" s="25"/>
      <c r="D149" s="26"/>
      <c r="E149" s="25"/>
      <c r="F149" s="25"/>
      <c r="G149" s="25"/>
      <c r="H149" s="25"/>
      <c r="I149" s="25"/>
      <c r="J149" s="25"/>
      <c r="K149" s="25"/>
      <c r="L149" s="25"/>
      <c r="M149" s="25"/>
      <c r="N149" s="26"/>
      <c r="O149" s="25"/>
      <c r="P149" s="25"/>
      <c r="Q149" s="26"/>
      <c r="R149" s="26"/>
      <c r="S149" s="25"/>
      <c r="T149" s="26"/>
      <c r="U149" s="25"/>
      <c r="V149" s="25"/>
      <c r="W149" s="25"/>
    </row>
    <row r="150" spans="1:23" x14ac:dyDescent="0.35">
      <c r="A150" s="25"/>
      <c r="B150" s="25"/>
      <c r="C150" s="25"/>
      <c r="D150" s="26"/>
      <c r="E150" s="25"/>
      <c r="F150" s="25"/>
      <c r="G150" s="25"/>
      <c r="H150" s="25"/>
      <c r="I150" s="25"/>
      <c r="J150" s="25"/>
      <c r="K150" s="25"/>
      <c r="L150" s="25"/>
      <c r="M150" s="25"/>
      <c r="N150" s="26"/>
      <c r="O150" s="25"/>
      <c r="P150" s="25"/>
      <c r="Q150" s="26"/>
      <c r="R150" s="26"/>
      <c r="S150" s="25"/>
      <c r="T150" s="26"/>
      <c r="U150" s="25"/>
      <c r="V150" s="25"/>
      <c r="W150" s="25"/>
    </row>
    <row r="151" spans="1:23" x14ac:dyDescent="0.35">
      <c r="A151" s="25"/>
      <c r="B151" s="25"/>
      <c r="C151" s="25"/>
      <c r="D151" s="26"/>
      <c r="E151" s="25"/>
      <c r="F151" s="25"/>
      <c r="G151" s="25"/>
      <c r="H151" s="25"/>
      <c r="I151" s="25"/>
      <c r="J151" s="25"/>
      <c r="K151" s="25"/>
      <c r="L151" s="25"/>
      <c r="M151" s="25"/>
      <c r="N151" s="26"/>
      <c r="O151" s="25"/>
      <c r="P151" s="25"/>
      <c r="Q151" s="26"/>
      <c r="R151" s="26"/>
      <c r="S151" s="25"/>
      <c r="T151" s="26"/>
      <c r="U151" s="25"/>
      <c r="V151" s="25"/>
      <c r="W151" s="25"/>
    </row>
    <row r="152" spans="1:23" x14ac:dyDescent="0.35">
      <c r="A152" s="25"/>
      <c r="B152" s="25"/>
      <c r="C152" s="25"/>
      <c r="D152" s="26"/>
      <c r="E152" s="25"/>
      <c r="F152" s="25"/>
      <c r="G152" s="25"/>
      <c r="H152" s="25"/>
      <c r="I152" s="25"/>
      <c r="J152" s="25"/>
      <c r="K152" s="25"/>
      <c r="L152" s="25"/>
      <c r="M152" s="25"/>
      <c r="N152" s="26"/>
      <c r="O152" s="25"/>
      <c r="P152" s="25"/>
      <c r="Q152" s="26"/>
      <c r="R152" s="26"/>
      <c r="S152" s="25"/>
      <c r="T152" s="26"/>
      <c r="U152" s="25"/>
      <c r="V152" s="25"/>
      <c r="W152" s="25"/>
    </row>
    <row r="153" spans="1:23" x14ac:dyDescent="0.35">
      <c r="A153" s="25"/>
      <c r="B153" s="25"/>
      <c r="C153" s="25"/>
      <c r="D153" s="26"/>
      <c r="E153" s="25"/>
      <c r="F153" s="25"/>
      <c r="G153" s="25"/>
      <c r="H153" s="25"/>
      <c r="I153" s="25"/>
      <c r="J153" s="25"/>
      <c r="K153" s="25"/>
      <c r="L153" s="25"/>
      <c r="M153" s="25"/>
      <c r="N153" s="26"/>
      <c r="O153" s="25"/>
      <c r="P153" s="25"/>
      <c r="Q153" s="26"/>
      <c r="R153" s="26"/>
      <c r="S153" s="25"/>
      <c r="T153" s="26"/>
      <c r="U153" s="25"/>
      <c r="V153" s="25"/>
      <c r="W153" s="25"/>
    </row>
    <row r="154" spans="1:23" x14ac:dyDescent="0.35">
      <c r="A154" s="25"/>
      <c r="B154" s="25"/>
      <c r="C154" s="25"/>
      <c r="D154" s="26"/>
      <c r="E154" s="25"/>
      <c r="F154" s="25"/>
      <c r="G154" s="25"/>
      <c r="H154" s="25"/>
      <c r="I154" s="25"/>
      <c r="J154" s="25"/>
      <c r="K154" s="25"/>
      <c r="L154" s="25"/>
      <c r="M154" s="25"/>
      <c r="N154" s="26"/>
      <c r="O154" s="25"/>
      <c r="P154" s="25"/>
      <c r="Q154" s="26"/>
      <c r="R154" s="26"/>
      <c r="S154" s="25"/>
      <c r="T154" s="26"/>
      <c r="U154" s="25"/>
      <c r="V154" s="25"/>
      <c r="W154" s="25"/>
    </row>
  </sheetData>
  <mergeCells count="1">
    <mergeCell ref="A1:W1"/>
  </mergeCells>
  <dataValidations count="6">
    <dataValidation type="list" allowBlank="1" sqref="F5:F154" xr:uid="{00000000-0002-0000-0D00-000000000000}">
      <formula1>_xlfn._LONGTEXT("Personal Care,Medication Administration,Mealtime Support,Nutrition &amp; Hydration,Mobility &amp; Transfers,Moving &amp; Handling,Pressure Area Care,Continence Care,Clinical Care,Infection Prevention &amp; Control,Resident Interaction,Dementia Care,Activities &amp; Meaningfu","l Occupation,Communication,Documentation &amp; Record Keeping,Care Plan Compliance,Risk Assessment Compliance (PCS),Staff Competency,Safeguarding Practice,Mental Capacity &amp; Consent,Fire Safety,Health &amp; Safety,Environmental Standards,Housekeeping &amp; Cleaning,La","undry Practice,Kitchen &amp; Food Safety,Call Bell Response,Emergency Response,Leadership &amp; Supervision,Other")</formula1>
    </dataValidation>
    <dataValidation type="list" allowBlank="1" sqref="H5:H154" xr:uid="{00000000-0002-0000-0D00-000001000000}">
      <formula1>"Excellent,Good,Requires Improvement,Immediate Action Required,Unsafe Practice"</formula1>
    </dataValidation>
    <dataValidation type="list" allowBlank="1" sqref="I5:I154" xr:uid="{00000000-0002-0000-0D00-000002000000}">
      <formula1>_xlfn._LONGTEXT("No Action Required,Verbal Feedback,Professional Discussion,Coaching,Supervision Required,Training Required,Competency Assessment,Care Plan Updated,Risk Assessment Updated (PCS),Incident Report Completed,Safeguarding Raised,Escalated to Manager,Follow-up O","bservation Required")</formula1>
    </dataValidation>
    <dataValidation type="list" allowBlank="1" sqref="J5:M154" xr:uid="{00000000-0002-0000-0D00-000003000000}">
      <formula1>"Yes,No,N/A,In Progress"</formula1>
    </dataValidation>
    <dataValidation type="list" allowBlank="1" sqref="U5:U154" xr:uid="{00000000-0002-0000-0D00-000004000000}">
      <formula1>"Not Started,In Progress,Completed,Overdue,Closed"</formula1>
    </dataValidation>
    <dataValidation type="list" allowBlank="1" sqref="V5:V154" xr:uid="{00000000-0002-0000-0D00-000005000000}">
      <formula1>"Green,Amber,Red,Grey"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24"/>
  <sheetViews>
    <sheetView workbookViewId="0"/>
  </sheetViews>
  <sheetFormatPr defaultRowHeight="14.5" x14ac:dyDescent="0.35"/>
  <cols>
    <col min="1" max="1" width="16" customWidth="1"/>
    <col min="2" max="2" width="22" customWidth="1"/>
    <col min="3" max="7" width="16" customWidth="1"/>
    <col min="8" max="9" width="30" customWidth="1"/>
    <col min="10" max="11" width="16" customWidth="1"/>
    <col min="12" max="12" width="30" customWidth="1"/>
    <col min="13" max="17" width="16" customWidth="1"/>
    <col min="18" max="18" width="30" customWidth="1"/>
  </cols>
  <sheetData>
    <row r="1" spans="1:18" x14ac:dyDescent="0.35">
      <c r="A1" s="154" t="s">
        <v>368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</row>
    <row r="2" spans="1:18" ht="51.65" customHeight="1" x14ac:dyDescent="0.35">
      <c r="A2" s="21" t="s">
        <v>321</v>
      </c>
    </row>
    <row r="4" spans="1:18" ht="12.9" customHeight="1" x14ac:dyDescent="0.35">
      <c r="A4" s="24" t="s">
        <v>369</v>
      </c>
      <c r="B4" s="24" t="s">
        <v>31</v>
      </c>
      <c r="C4" s="24" t="s">
        <v>322</v>
      </c>
      <c r="D4" s="24" t="s">
        <v>370</v>
      </c>
      <c r="E4" s="24" t="s">
        <v>371</v>
      </c>
      <c r="F4" s="24" t="s">
        <v>372</v>
      </c>
      <c r="G4" s="24" t="s">
        <v>373</v>
      </c>
      <c r="H4" s="24" t="s">
        <v>360</v>
      </c>
      <c r="I4" s="24" t="s">
        <v>374</v>
      </c>
      <c r="J4" s="24" t="s">
        <v>352</v>
      </c>
      <c r="K4" s="24" t="s">
        <v>281</v>
      </c>
      <c r="L4" s="24" t="s">
        <v>335</v>
      </c>
      <c r="M4" s="24" t="s">
        <v>375</v>
      </c>
      <c r="N4" s="24" t="s">
        <v>353</v>
      </c>
      <c r="O4" s="24" t="s">
        <v>337</v>
      </c>
      <c r="P4" s="24" t="s">
        <v>296</v>
      </c>
      <c r="Q4" s="24" t="s">
        <v>6</v>
      </c>
      <c r="R4" s="24" t="s">
        <v>338</v>
      </c>
    </row>
    <row r="5" spans="1:18" x14ac:dyDescent="0.35">
      <c r="A5" s="25"/>
      <c r="B5" s="25"/>
      <c r="C5" s="25"/>
      <c r="D5" s="26"/>
      <c r="E5" s="25"/>
      <c r="F5" s="25"/>
      <c r="G5" s="25"/>
      <c r="H5" s="25"/>
      <c r="I5" s="25"/>
      <c r="J5" s="26"/>
      <c r="K5" s="26"/>
      <c r="L5" s="25"/>
      <c r="M5" s="26"/>
      <c r="N5" s="25"/>
      <c r="O5" s="26"/>
      <c r="P5" s="25"/>
      <c r="Q5" s="25"/>
      <c r="R5" s="25"/>
    </row>
    <row r="6" spans="1:18" x14ac:dyDescent="0.35">
      <c r="A6" s="25"/>
      <c r="B6" s="25"/>
      <c r="C6" s="25"/>
      <c r="D6" s="26"/>
      <c r="E6" s="25"/>
      <c r="F6" s="25"/>
      <c r="G6" s="25"/>
      <c r="H6" s="25"/>
      <c r="I6" s="25"/>
      <c r="J6" s="26"/>
      <c r="K6" s="26"/>
      <c r="L6" s="25"/>
      <c r="M6" s="26"/>
      <c r="N6" s="25"/>
      <c r="O6" s="26"/>
      <c r="P6" s="25"/>
      <c r="Q6" s="25"/>
      <c r="R6" s="25"/>
    </row>
    <row r="7" spans="1:18" x14ac:dyDescent="0.35">
      <c r="A7" s="25"/>
      <c r="B7" s="25"/>
      <c r="C7" s="25"/>
      <c r="D7" s="26"/>
      <c r="E7" s="25"/>
      <c r="F7" s="25"/>
      <c r="G7" s="25"/>
      <c r="H7" s="25"/>
      <c r="I7" s="25"/>
      <c r="J7" s="26"/>
      <c r="K7" s="26"/>
      <c r="L7" s="25"/>
      <c r="M7" s="26"/>
      <c r="N7" s="25"/>
      <c r="O7" s="26"/>
      <c r="P7" s="25"/>
      <c r="Q7" s="25"/>
      <c r="R7" s="25"/>
    </row>
    <row r="8" spans="1:18" x14ac:dyDescent="0.35">
      <c r="A8" s="25"/>
      <c r="B8" s="25"/>
      <c r="C8" s="25"/>
      <c r="D8" s="26"/>
      <c r="E8" s="25"/>
      <c r="F8" s="25"/>
      <c r="G8" s="25"/>
      <c r="H8" s="25"/>
      <c r="I8" s="25"/>
      <c r="J8" s="26"/>
      <c r="K8" s="26"/>
      <c r="L8" s="25"/>
      <c r="M8" s="26"/>
      <c r="N8" s="25"/>
      <c r="O8" s="26"/>
      <c r="P8" s="25"/>
      <c r="Q8" s="25"/>
      <c r="R8" s="25"/>
    </row>
    <row r="9" spans="1:18" x14ac:dyDescent="0.35">
      <c r="A9" s="25"/>
      <c r="B9" s="25"/>
      <c r="C9" s="25"/>
      <c r="D9" s="26"/>
      <c r="E9" s="25"/>
      <c r="F9" s="25"/>
      <c r="G9" s="25"/>
      <c r="H9" s="25"/>
      <c r="I9" s="25"/>
      <c r="J9" s="26"/>
      <c r="K9" s="26"/>
      <c r="L9" s="25"/>
      <c r="M9" s="26"/>
      <c r="N9" s="25"/>
      <c r="O9" s="26"/>
      <c r="P9" s="25"/>
      <c r="Q9" s="25"/>
      <c r="R9" s="25"/>
    </row>
    <row r="10" spans="1:18" x14ac:dyDescent="0.35">
      <c r="A10" s="25"/>
      <c r="B10" s="25"/>
      <c r="C10" s="25"/>
      <c r="D10" s="26"/>
      <c r="E10" s="25"/>
      <c r="F10" s="25"/>
      <c r="G10" s="25"/>
      <c r="H10" s="25"/>
      <c r="I10" s="25"/>
      <c r="J10" s="26"/>
      <c r="K10" s="26"/>
      <c r="L10" s="25"/>
      <c r="M10" s="26"/>
      <c r="N10" s="25"/>
      <c r="O10" s="26"/>
      <c r="P10" s="25"/>
      <c r="Q10" s="25"/>
      <c r="R10" s="25"/>
    </row>
    <row r="11" spans="1:18" x14ac:dyDescent="0.35">
      <c r="A11" s="25"/>
      <c r="B11" s="25"/>
      <c r="C11" s="25"/>
      <c r="D11" s="26"/>
      <c r="E11" s="25"/>
      <c r="F11" s="25"/>
      <c r="G11" s="25"/>
      <c r="H11" s="25"/>
      <c r="I11" s="25"/>
      <c r="J11" s="26"/>
      <c r="K11" s="26"/>
      <c r="L11" s="25"/>
      <c r="M11" s="26"/>
      <c r="N11" s="25"/>
      <c r="O11" s="26"/>
      <c r="P11" s="25"/>
      <c r="Q11" s="25"/>
      <c r="R11" s="25"/>
    </row>
    <row r="12" spans="1:18" x14ac:dyDescent="0.35">
      <c r="A12" s="25"/>
      <c r="B12" s="25"/>
      <c r="C12" s="25"/>
      <c r="D12" s="26"/>
      <c r="E12" s="25"/>
      <c r="F12" s="25"/>
      <c r="G12" s="25"/>
      <c r="H12" s="25"/>
      <c r="I12" s="25"/>
      <c r="J12" s="26"/>
      <c r="K12" s="26"/>
      <c r="L12" s="25"/>
      <c r="M12" s="26"/>
      <c r="N12" s="25"/>
      <c r="O12" s="26"/>
      <c r="P12" s="25"/>
      <c r="Q12" s="25"/>
      <c r="R12" s="25"/>
    </row>
    <row r="13" spans="1:18" x14ac:dyDescent="0.35">
      <c r="A13" s="25"/>
      <c r="B13" s="25"/>
      <c r="C13" s="25"/>
      <c r="D13" s="26"/>
      <c r="E13" s="25"/>
      <c r="F13" s="25"/>
      <c r="G13" s="25"/>
      <c r="H13" s="25"/>
      <c r="I13" s="25"/>
      <c r="J13" s="26"/>
      <c r="K13" s="26"/>
      <c r="L13" s="25"/>
      <c r="M13" s="26"/>
      <c r="N13" s="25"/>
      <c r="O13" s="26"/>
      <c r="P13" s="25"/>
      <c r="Q13" s="25"/>
      <c r="R13" s="25"/>
    </row>
    <row r="14" spans="1:18" x14ac:dyDescent="0.35">
      <c r="A14" s="25"/>
      <c r="B14" s="25"/>
      <c r="C14" s="25"/>
      <c r="D14" s="26"/>
      <c r="E14" s="25"/>
      <c r="F14" s="25"/>
      <c r="G14" s="25"/>
      <c r="H14" s="25"/>
      <c r="I14" s="25"/>
      <c r="J14" s="26"/>
      <c r="K14" s="26"/>
      <c r="L14" s="25"/>
      <c r="M14" s="26"/>
      <c r="N14" s="25"/>
      <c r="O14" s="26"/>
      <c r="P14" s="25"/>
      <c r="Q14" s="25"/>
      <c r="R14" s="25"/>
    </row>
    <row r="15" spans="1:18" x14ac:dyDescent="0.35">
      <c r="A15" s="25"/>
      <c r="B15" s="25"/>
      <c r="C15" s="25"/>
      <c r="D15" s="26"/>
      <c r="E15" s="25"/>
      <c r="F15" s="25"/>
      <c r="G15" s="25"/>
      <c r="H15" s="25"/>
      <c r="I15" s="25"/>
      <c r="J15" s="26"/>
      <c r="K15" s="26"/>
      <c r="L15" s="25"/>
      <c r="M15" s="26"/>
      <c r="N15" s="25"/>
      <c r="O15" s="26"/>
      <c r="P15" s="25"/>
      <c r="Q15" s="25"/>
      <c r="R15" s="25"/>
    </row>
    <row r="16" spans="1:18" x14ac:dyDescent="0.35">
      <c r="A16" s="25"/>
      <c r="B16" s="25"/>
      <c r="C16" s="25"/>
      <c r="D16" s="26"/>
      <c r="E16" s="25"/>
      <c r="F16" s="25"/>
      <c r="G16" s="25"/>
      <c r="H16" s="25"/>
      <c r="I16" s="25"/>
      <c r="J16" s="26"/>
      <c r="K16" s="26"/>
      <c r="L16" s="25"/>
      <c r="M16" s="26"/>
      <c r="N16" s="25"/>
      <c r="O16" s="26"/>
      <c r="P16" s="25"/>
      <c r="Q16" s="25"/>
      <c r="R16" s="25"/>
    </row>
    <row r="17" spans="1:18" x14ac:dyDescent="0.35">
      <c r="A17" s="25"/>
      <c r="B17" s="25"/>
      <c r="C17" s="25"/>
      <c r="D17" s="26"/>
      <c r="E17" s="25"/>
      <c r="F17" s="25"/>
      <c r="G17" s="25"/>
      <c r="H17" s="25"/>
      <c r="I17" s="25"/>
      <c r="J17" s="26"/>
      <c r="K17" s="26"/>
      <c r="L17" s="25"/>
      <c r="M17" s="26"/>
      <c r="N17" s="25"/>
      <c r="O17" s="26"/>
      <c r="P17" s="25"/>
      <c r="Q17" s="25"/>
      <c r="R17" s="25"/>
    </row>
    <row r="18" spans="1:18" x14ac:dyDescent="0.35">
      <c r="A18" s="25"/>
      <c r="B18" s="25"/>
      <c r="C18" s="25"/>
      <c r="D18" s="26"/>
      <c r="E18" s="25"/>
      <c r="F18" s="25"/>
      <c r="G18" s="25"/>
      <c r="H18" s="25"/>
      <c r="I18" s="25"/>
      <c r="J18" s="26"/>
      <c r="K18" s="26"/>
      <c r="L18" s="25"/>
      <c r="M18" s="26"/>
      <c r="N18" s="25"/>
      <c r="O18" s="26"/>
      <c r="P18" s="25"/>
      <c r="Q18" s="25"/>
      <c r="R18" s="25"/>
    </row>
    <row r="19" spans="1:18" x14ac:dyDescent="0.35">
      <c r="A19" s="25"/>
      <c r="B19" s="25"/>
      <c r="C19" s="25"/>
      <c r="D19" s="26"/>
      <c r="E19" s="25"/>
      <c r="F19" s="25"/>
      <c r="G19" s="25"/>
      <c r="H19" s="25"/>
      <c r="I19" s="25"/>
      <c r="J19" s="26"/>
      <c r="K19" s="26"/>
      <c r="L19" s="25"/>
      <c r="M19" s="26"/>
      <c r="N19" s="25"/>
      <c r="O19" s="26"/>
      <c r="P19" s="25"/>
      <c r="Q19" s="25"/>
      <c r="R19" s="25"/>
    </row>
    <row r="20" spans="1:18" x14ac:dyDescent="0.35">
      <c r="A20" s="25"/>
      <c r="B20" s="25"/>
      <c r="C20" s="25"/>
      <c r="D20" s="26"/>
      <c r="E20" s="25"/>
      <c r="F20" s="25"/>
      <c r="G20" s="25"/>
      <c r="H20" s="25"/>
      <c r="I20" s="25"/>
      <c r="J20" s="26"/>
      <c r="K20" s="26"/>
      <c r="L20" s="25"/>
      <c r="M20" s="26"/>
      <c r="N20" s="25"/>
      <c r="O20" s="26"/>
      <c r="P20" s="25"/>
      <c r="Q20" s="25"/>
      <c r="R20" s="25"/>
    </row>
    <row r="21" spans="1:18" x14ac:dyDescent="0.35">
      <c r="A21" s="25"/>
      <c r="B21" s="25"/>
      <c r="C21" s="25"/>
      <c r="D21" s="26"/>
      <c r="E21" s="25"/>
      <c r="F21" s="25"/>
      <c r="G21" s="25"/>
      <c r="H21" s="25"/>
      <c r="I21" s="25"/>
      <c r="J21" s="26"/>
      <c r="K21" s="26"/>
      <c r="L21" s="25"/>
      <c r="M21" s="26"/>
      <c r="N21" s="25"/>
      <c r="O21" s="26"/>
      <c r="P21" s="25"/>
      <c r="Q21" s="25"/>
      <c r="R21" s="25"/>
    </row>
    <row r="22" spans="1:18" x14ac:dyDescent="0.35">
      <c r="A22" s="25"/>
      <c r="B22" s="25"/>
      <c r="C22" s="25"/>
      <c r="D22" s="26"/>
      <c r="E22" s="25"/>
      <c r="F22" s="25"/>
      <c r="G22" s="25"/>
      <c r="H22" s="25"/>
      <c r="I22" s="25"/>
      <c r="J22" s="26"/>
      <c r="K22" s="26"/>
      <c r="L22" s="25"/>
      <c r="M22" s="26"/>
      <c r="N22" s="25"/>
      <c r="O22" s="26"/>
      <c r="P22" s="25"/>
      <c r="Q22" s="25"/>
      <c r="R22" s="25"/>
    </row>
    <row r="23" spans="1:18" x14ac:dyDescent="0.35">
      <c r="A23" s="25"/>
      <c r="B23" s="25"/>
      <c r="C23" s="25"/>
      <c r="D23" s="26"/>
      <c r="E23" s="25"/>
      <c r="F23" s="25"/>
      <c r="G23" s="25"/>
      <c r="H23" s="25"/>
      <c r="I23" s="25"/>
      <c r="J23" s="26"/>
      <c r="K23" s="26"/>
      <c r="L23" s="25"/>
      <c r="M23" s="26"/>
      <c r="N23" s="25"/>
      <c r="O23" s="26"/>
      <c r="P23" s="25"/>
      <c r="Q23" s="25"/>
      <c r="R23" s="25"/>
    </row>
    <row r="24" spans="1:18" x14ac:dyDescent="0.35">
      <c r="A24" s="25"/>
      <c r="B24" s="25"/>
      <c r="C24" s="25"/>
      <c r="D24" s="26"/>
      <c r="E24" s="25"/>
      <c r="F24" s="25"/>
      <c r="G24" s="25"/>
      <c r="H24" s="25"/>
      <c r="I24" s="25"/>
      <c r="J24" s="26"/>
      <c r="K24" s="26"/>
      <c r="L24" s="25"/>
      <c r="M24" s="26"/>
      <c r="N24" s="25"/>
      <c r="O24" s="26"/>
      <c r="P24" s="25"/>
      <c r="Q24" s="25"/>
      <c r="R24" s="25"/>
    </row>
    <row r="25" spans="1:18" x14ac:dyDescent="0.35">
      <c r="A25" s="25"/>
      <c r="B25" s="25"/>
      <c r="C25" s="25"/>
      <c r="D25" s="26"/>
      <c r="E25" s="25"/>
      <c r="F25" s="25"/>
      <c r="G25" s="25"/>
      <c r="H25" s="25"/>
      <c r="I25" s="25"/>
      <c r="J25" s="26"/>
      <c r="K25" s="26"/>
      <c r="L25" s="25"/>
      <c r="M25" s="26"/>
      <c r="N25" s="25"/>
      <c r="O25" s="26"/>
      <c r="P25" s="25"/>
      <c r="Q25" s="25"/>
      <c r="R25" s="25"/>
    </row>
    <row r="26" spans="1:18" x14ac:dyDescent="0.35">
      <c r="A26" s="25"/>
      <c r="B26" s="25"/>
      <c r="C26" s="25"/>
      <c r="D26" s="26"/>
      <c r="E26" s="25"/>
      <c r="F26" s="25"/>
      <c r="G26" s="25"/>
      <c r="H26" s="25"/>
      <c r="I26" s="25"/>
      <c r="J26" s="26"/>
      <c r="K26" s="26"/>
      <c r="L26" s="25"/>
      <c r="M26" s="26"/>
      <c r="N26" s="25"/>
      <c r="O26" s="26"/>
      <c r="P26" s="25"/>
      <c r="Q26" s="25"/>
      <c r="R26" s="25"/>
    </row>
    <row r="27" spans="1:18" x14ac:dyDescent="0.35">
      <c r="A27" s="25"/>
      <c r="B27" s="25"/>
      <c r="C27" s="25"/>
      <c r="D27" s="26"/>
      <c r="E27" s="25"/>
      <c r="F27" s="25"/>
      <c r="G27" s="25"/>
      <c r="H27" s="25"/>
      <c r="I27" s="25"/>
      <c r="J27" s="26"/>
      <c r="K27" s="26"/>
      <c r="L27" s="25"/>
      <c r="M27" s="26"/>
      <c r="N27" s="25"/>
      <c r="O27" s="26"/>
      <c r="P27" s="25"/>
      <c r="Q27" s="25"/>
      <c r="R27" s="25"/>
    </row>
    <row r="28" spans="1:18" x14ac:dyDescent="0.35">
      <c r="A28" s="25"/>
      <c r="B28" s="25"/>
      <c r="C28" s="25"/>
      <c r="D28" s="26"/>
      <c r="E28" s="25"/>
      <c r="F28" s="25"/>
      <c r="G28" s="25"/>
      <c r="H28" s="25"/>
      <c r="I28" s="25"/>
      <c r="J28" s="26"/>
      <c r="K28" s="26"/>
      <c r="L28" s="25"/>
      <c r="M28" s="26"/>
      <c r="N28" s="25"/>
      <c r="O28" s="26"/>
      <c r="P28" s="25"/>
      <c r="Q28" s="25"/>
      <c r="R28" s="25"/>
    </row>
    <row r="29" spans="1:18" x14ac:dyDescent="0.35">
      <c r="A29" s="25"/>
      <c r="B29" s="25"/>
      <c r="C29" s="25"/>
      <c r="D29" s="26"/>
      <c r="E29" s="25"/>
      <c r="F29" s="25"/>
      <c r="G29" s="25"/>
      <c r="H29" s="25"/>
      <c r="I29" s="25"/>
      <c r="J29" s="26"/>
      <c r="K29" s="26"/>
      <c r="L29" s="25"/>
      <c r="M29" s="26"/>
      <c r="N29" s="25"/>
      <c r="O29" s="26"/>
      <c r="P29" s="25"/>
      <c r="Q29" s="25"/>
      <c r="R29" s="25"/>
    </row>
    <row r="30" spans="1:18" x14ac:dyDescent="0.35">
      <c r="A30" s="25"/>
      <c r="B30" s="25"/>
      <c r="C30" s="25"/>
      <c r="D30" s="26"/>
      <c r="E30" s="25"/>
      <c r="F30" s="25"/>
      <c r="G30" s="25"/>
      <c r="H30" s="25"/>
      <c r="I30" s="25"/>
      <c r="J30" s="26"/>
      <c r="K30" s="26"/>
      <c r="L30" s="25"/>
      <c r="M30" s="26"/>
      <c r="N30" s="25"/>
      <c r="O30" s="26"/>
      <c r="P30" s="25"/>
      <c r="Q30" s="25"/>
      <c r="R30" s="25"/>
    </row>
    <row r="31" spans="1:18" x14ac:dyDescent="0.35">
      <c r="A31" s="25"/>
      <c r="B31" s="25"/>
      <c r="C31" s="25"/>
      <c r="D31" s="26"/>
      <c r="E31" s="25"/>
      <c r="F31" s="25"/>
      <c r="G31" s="25"/>
      <c r="H31" s="25"/>
      <c r="I31" s="25"/>
      <c r="J31" s="26"/>
      <c r="K31" s="26"/>
      <c r="L31" s="25"/>
      <c r="M31" s="26"/>
      <c r="N31" s="25"/>
      <c r="O31" s="26"/>
      <c r="P31" s="25"/>
      <c r="Q31" s="25"/>
      <c r="R31" s="25"/>
    </row>
    <row r="32" spans="1:18" x14ac:dyDescent="0.35">
      <c r="A32" s="25"/>
      <c r="B32" s="25"/>
      <c r="C32" s="25"/>
      <c r="D32" s="26"/>
      <c r="E32" s="25"/>
      <c r="F32" s="25"/>
      <c r="G32" s="25"/>
      <c r="H32" s="25"/>
      <c r="I32" s="25"/>
      <c r="J32" s="26"/>
      <c r="K32" s="26"/>
      <c r="L32" s="25"/>
      <c r="M32" s="26"/>
      <c r="N32" s="25"/>
      <c r="O32" s="26"/>
      <c r="P32" s="25"/>
      <c r="Q32" s="25"/>
      <c r="R32" s="25"/>
    </row>
    <row r="33" spans="1:18" x14ac:dyDescent="0.35">
      <c r="A33" s="25"/>
      <c r="B33" s="25"/>
      <c r="C33" s="25"/>
      <c r="D33" s="26"/>
      <c r="E33" s="25"/>
      <c r="F33" s="25"/>
      <c r="G33" s="25"/>
      <c r="H33" s="25"/>
      <c r="I33" s="25"/>
      <c r="J33" s="26"/>
      <c r="K33" s="26"/>
      <c r="L33" s="25"/>
      <c r="M33" s="26"/>
      <c r="N33" s="25"/>
      <c r="O33" s="26"/>
      <c r="P33" s="25"/>
      <c r="Q33" s="25"/>
      <c r="R33" s="25"/>
    </row>
    <row r="34" spans="1:18" x14ac:dyDescent="0.35">
      <c r="A34" s="25"/>
      <c r="B34" s="25"/>
      <c r="C34" s="25"/>
      <c r="D34" s="26"/>
      <c r="E34" s="25"/>
      <c r="F34" s="25"/>
      <c r="G34" s="25"/>
      <c r="H34" s="25"/>
      <c r="I34" s="25"/>
      <c r="J34" s="26"/>
      <c r="K34" s="26"/>
      <c r="L34" s="25"/>
      <c r="M34" s="26"/>
      <c r="N34" s="25"/>
      <c r="O34" s="26"/>
      <c r="P34" s="25"/>
      <c r="Q34" s="25"/>
      <c r="R34" s="25"/>
    </row>
    <row r="35" spans="1:18" x14ac:dyDescent="0.35">
      <c r="A35" s="25"/>
      <c r="B35" s="25"/>
      <c r="C35" s="25"/>
      <c r="D35" s="26"/>
      <c r="E35" s="25"/>
      <c r="F35" s="25"/>
      <c r="G35" s="25"/>
      <c r="H35" s="25"/>
      <c r="I35" s="25"/>
      <c r="J35" s="26"/>
      <c r="K35" s="26"/>
      <c r="L35" s="25"/>
      <c r="M35" s="26"/>
      <c r="N35" s="25"/>
      <c r="O35" s="26"/>
      <c r="P35" s="25"/>
      <c r="Q35" s="25"/>
      <c r="R35" s="25"/>
    </row>
    <row r="36" spans="1:18" x14ac:dyDescent="0.35">
      <c r="A36" s="25"/>
      <c r="B36" s="25"/>
      <c r="C36" s="25"/>
      <c r="D36" s="26"/>
      <c r="E36" s="25"/>
      <c r="F36" s="25"/>
      <c r="G36" s="25"/>
      <c r="H36" s="25"/>
      <c r="I36" s="25"/>
      <c r="J36" s="26"/>
      <c r="K36" s="26"/>
      <c r="L36" s="25"/>
      <c r="M36" s="26"/>
      <c r="N36" s="25"/>
      <c r="O36" s="26"/>
      <c r="P36" s="25"/>
      <c r="Q36" s="25"/>
      <c r="R36" s="25"/>
    </row>
    <row r="37" spans="1:18" x14ac:dyDescent="0.35">
      <c r="A37" s="25"/>
      <c r="B37" s="25"/>
      <c r="C37" s="25"/>
      <c r="D37" s="26"/>
      <c r="E37" s="25"/>
      <c r="F37" s="25"/>
      <c r="G37" s="25"/>
      <c r="H37" s="25"/>
      <c r="I37" s="25"/>
      <c r="J37" s="26"/>
      <c r="K37" s="26"/>
      <c r="L37" s="25"/>
      <c r="M37" s="26"/>
      <c r="N37" s="25"/>
      <c r="O37" s="26"/>
      <c r="P37" s="25"/>
      <c r="Q37" s="25"/>
      <c r="R37" s="25"/>
    </row>
    <row r="38" spans="1:18" x14ac:dyDescent="0.35">
      <c r="A38" s="25"/>
      <c r="B38" s="25"/>
      <c r="C38" s="25"/>
      <c r="D38" s="26"/>
      <c r="E38" s="25"/>
      <c r="F38" s="25"/>
      <c r="G38" s="25"/>
      <c r="H38" s="25"/>
      <c r="I38" s="25"/>
      <c r="J38" s="26"/>
      <c r="K38" s="26"/>
      <c r="L38" s="25"/>
      <c r="M38" s="26"/>
      <c r="N38" s="25"/>
      <c r="O38" s="26"/>
      <c r="P38" s="25"/>
      <c r="Q38" s="25"/>
      <c r="R38" s="25"/>
    </row>
    <row r="39" spans="1:18" x14ac:dyDescent="0.35">
      <c r="A39" s="25"/>
      <c r="B39" s="25"/>
      <c r="C39" s="25"/>
      <c r="D39" s="26"/>
      <c r="E39" s="25"/>
      <c r="F39" s="25"/>
      <c r="G39" s="25"/>
      <c r="H39" s="25"/>
      <c r="I39" s="25"/>
      <c r="J39" s="26"/>
      <c r="K39" s="26"/>
      <c r="L39" s="25"/>
      <c r="M39" s="26"/>
      <c r="N39" s="25"/>
      <c r="O39" s="26"/>
      <c r="P39" s="25"/>
      <c r="Q39" s="25"/>
      <c r="R39" s="25"/>
    </row>
    <row r="40" spans="1:18" x14ac:dyDescent="0.35">
      <c r="A40" s="25"/>
      <c r="B40" s="25"/>
      <c r="C40" s="25"/>
      <c r="D40" s="26"/>
      <c r="E40" s="25"/>
      <c r="F40" s="25"/>
      <c r="G40" s="25"/>
      <c r="H40" s="25"/>
      <c r="I40" s="25"/>
      <c r="J40" s="26"/>
      <c r="K40" s="26"/>
      <c r="L40" s="25"/>
      <c r="M40" s="26"/>
      <c r="N40" s="25"/>
      <c r="O40" s="26"/>
      <c r="P40" s="25"/>
      <c r="Q40" s="25"/>
      <c r="R40" s="25"/>
    </row>
    <row r="41" spans="1:18" x14ac:dyDescent="0.35">
      <c r="A41" s="25"/>
      <c r="B41" s="25"/>
      <c r="C41" s="25"/>
      <c r="D41" s="26"/>
      <c r="E41" s="25"/>
      <c r="F41" s="25"/>
      <c r="G41" s="25"/>
      <c r="H41" s="25"/>
      <c r="I41" s="25"/>
      <c r="J41" s="26"/>
      <c r="K41" s="26"/>
      <c r="L41" s="25"/>
      <c r="M41" s="26"/>
      <c r="N41" s="25"/>
      <c r="O41" s="26"/>
      <c r="P41" s="25"/>
      <c r="Q41" s="25"/>
      <c r="R41" s="25"/>
    </row>
    <row r="42" spans="1:18" x14ac:dyDescent="0.35">
      <c r="A42" s="25"/>
      <c r="B42" s="25"/>
      <c r="C42" s="25"/>
      <c r="D42" s="26"/>
      <c r="E42" s="25"/>
      <c r="F42" s="25"/>
      <c r="G42" s="25"/>
      <c r="H42" s="25"/>
      <c r="I42" s="25"/>
      <c r="J42" s="26"/>
      <c r="K42" s="26"/>
      <c r="L42" s="25"/>
      <c r="M42" s="26"/>
      <c r="N42" s="25"/>
      <c r="O42" s="26"/>
      <c r="P42" s="25"/>
      <c r="Q42" s="25"/>
      <c r="R42" s="25"/>
    </row>
    <row r="43" spans="1:18" x14ac:dyDescent="0.35">
      <c r="A43" s="25"/>
      <c r="B43" s="25"/>
      <c r="C43" s="25"/>
      <c r="D43" s="26"/>
      <c r="E43" s="25"/>
      <c r="F43" s="25"/>
      <c r="G43" s="25"/>
      <c r="H43" s="25"/>
      <c r="I43" s="25"/>
      <c r="J43" s="26"/>
      <c r="K43" s="26"/>
      <c r="L43" s="25"/>
      <c r="M43" s="26"/>
      <c r="N43" s="25"/>
      <c r="O43" s="26"/>
      <c r="P43" s="25"/>
      <c r="Q43" s="25"/>
      <c r="R43" s="25"/>
    </row>
    <row r="44" spans="1:18" x14ac:dyDescent="0.35">
      <c r="A44" s="25"/>
      <c r="B44" s="25"/>
      <c r="C44" s="25"/>
      <c r="D44" s="26"/>
      <c r="E44" s="25"/>
      <c r="F44" s="25"/>
      <c r="G44" s="25"/>
      <c r="H44" s="25"/>
      <c r="I44" s="25"/>
      <c r="J44" s="26"/>
      <c r="K44" s="26"/>
      <c r="L44" s="25"/>
      <c r="M44" s="26"/>
      <c r="N44" s="25"/>
      <c r="O44" s="26"/>
      <c r="P44" s="25"/>
      <c r="Q44" s="25"/>
      <c r="R44" s="25"/>
    </row>
    <row r="45" spans="1:18" x14ac:dyDescent="0.35">
      <c r="A45" s="25"/>
      <c r="B45" s="25"/>
      <c r="C45" s="25"/>
      <c r="D45" s="26"/>
      <c r="E45" s="25"/>
      <c r="F45" s="25"/>
      <c r="G45" s="25"/>
      <c r="H45" s="25"/>
      <c r="I45" s="25"/>
      <c r="J45" s="26"/>
      <c r="K45" s="26"/>
      <c r="L45" s="25"/>
      <c r="M45" s="26"/>
      <c r="N45" s="25"/>
      <c r="O45" s="26"/>
      <c r="P45" s="25"/>
      <c r="Q45" s="25"/>
      <c r="R45" s="25"/>
    </row>
    <row r="46" spans="1:18" x14ac:dyDescent="0.35">
      <c r="A46" s="25"/>
      <c r="B46" s="25"/>
      <c r="C46" s="25"/>
      <c r="D46" s="26"/>
      <c r="E46" s="25"/>
      <c r="F46" s="25"/>
      <c r="G46" s="25"/>
      <c r="H46" s="25"/>
      <c r="I46" s="25"/>
      <c r="J46" s="26"/>
      <c r="K46" s="26"/>
      <c r="L46" s="25"/>
      <c r="M46" s="26"/>
      <c r="N46" s="25"/>
      <c r="O46" s="26"/>
      <c r="P46" s="25"/>
      <c r="Q46" s="25"/>
      <c r="R46" s="25"/>
    </row>
    <row r="47" spans="1:18" x14ac:dyDescent="0.35">
      <c r="A47" s="25"/>
      <c r="B47" s="25"/>
      <c r="C47" s="25"/>
      <c r="D47" s="26"/>
      <c r="E47" s="25"/>
      <c r="F47" s="25"/>
      <c r="G47" s="25"/>
      <c r="H47" s="25"/>
      <c r="I47" s="25"/>
      <c r="J47" s="26"/>
      <c r="K47" s="26"/>
      <c r="L47" s="25"/>
      <c r="M47" s="26"/>
      <c r="N47" s="25"/>
      <c r="O47" s="26"/>
      <c r="P47" s="25"/>
      <c r="Q47" s="25"/>
      <c r="R47" s="25"/>
    </row>
    <row r="48" spans="1:18" x14ac:dyDescent="0.35">
      <c r="A48" s="25"/>
      <c r="B48" s="25"/>
      <c r="C48" s="25"/>
      <c r="D48" s="26"/>
      <c r="E48" s="25"/>
      <c r="F48" s="25"/>
      <c r="G48" s="25"/>
      <c r="H48" s="25"/>
      <c r="I48" s="25"/>
      <c r="J48" s="26"/>
      <c r="K48" s="26"/>
      <c r="L48" s="25"/>
      <c r="M48" s="26"/>
      <c r="N48" s="25"/>
      <c r="O48" s="26"/>
      <c r="P48" s="25"/>
      <c r="Q48" s="25"/>
      <c r="R48" s="25"/>
    </row>
    <row r="49" spans="1:18" x14ac:dyDescent="0.35">
      <c r="A49" s="25"/>
      <c r="B49" s="25"/>
      <c r="C49" s="25"/>
      <c r="D49" s="26"/>
      <c r="E49" s="25"/>
      <c r="F49" s="25"/>
      <c r="G49" s="25"/>
      <c r="H49" s="25"/>
      <c r="I49" s="25"/>
      <c r="J49" s="26"/>
      <c r="K49" s="26"/>
      <c r="L49" s="25"/>
      <c r="M49" s="26"/>
      <c r="N49" s="25"/>
      <c r="O49" s="26"/>
      <c r="P49" s="25"/>
      <c r="Q49" s="25"/>
      <c r="R49" s="25"/>
    </row>
    <row r="50" spans="1:18" x14ac:dyDescent="0.35">
      <c r="A50" s="25"/>
      <c r="B50" s="25"/>
      <c r="C50" s="25"/>
      <c r="D50" s="26"/>
      <c r="E50" s="25"/>
      <c r="F50" s="25"/>
      <c r="G50" s="25"/>
      <c r="H50" s="25"/>
      <c r="I50" s="25"/>
      <c r="J50" s="26"/>
      <c r="K50" s="26"/>
      <c r="L50" s="25"/>
      <c r="M50" s="26"/>
      <c r="N50" s="25"/>
      <c r="O50" s="26"/>
      <c r="P50" s="25"/>
      <c r="Q50" s="25"/>
      <c r="R50" s="25"/>
    </row>
    <row r="51" spans="1:18" x14ac:dyDescent="0.35">
      <c r="A51" s="25"/>
      <c r="B51" s="25"/>
      <c r="C51" s="25"/>
      <c r="D51" s="26"/>
      <c r="E51" s="25"/>
      <c r="F51" s="25"/>
      <c r="G51" s="25"/>
      <c r="H51" s="25"/>
      <c r="I51" s="25"/>
      <c r="J51" s="26"/>
      <c r="K51" s="26"/>
      <c r="L51" s="25"/>
      <c r="M51" s="26"/>
      <c r="N51" s="25"/>
      <c r="O51" s="26"/>
      <c r="P51" s="25"/>
      <c r="Q51" s="25"/>
      <c r="R51" s="25"/>
    </row>
    <row r="52" spans="1:18" x14ac:dyDescent="0.35">
      <c r="A52" s="25"/>
      <c r="B52" s="25"/>
      <c r="C52" s="25"/>
      <c r="D52" s="26"/>
      <c r="E52" s="25"/>
      <c r="F52" s="25"/>
      <c r="G52" s="25"/>
      <c r="H52" s="25"/>
      <c r="I52" s="25"/>
      <c r="J52" s="26"/>
      <c r="K52" s="26"/>
      <c r="L52" s="25"/>
      <c r="M52" s="26"/>
      <c r="N52" s="25"/>
      <c r="O52" s="26"/>
      <c r="P52" s="25"/>
      <c r="Q52" s="25"/>
      <c r="R52" s="25"/>
    </row>
    <row r="53" spans="1:18" x14ac:dyDescent="0.35">
      <c r="A53" s="25"/>
      <c r="B53" s="25"/>
      <c r="C53" s="25"/>
      <c r="D53" s="26"/>
      <c r="E53" s="25"/>
      <c r="F53" s="25"/>
      <c r="G53" s="25"/>
      <c r="H53" s="25"/>
      <c r="I53" s="25"/>
      <c r="J53" s="26"/>
      <c r="K53" s="26"/>
      <c r="L53" s="25"/>
      <c r="M53" s="26"/>
      <c r="N53" s="25"/>
      <c r="O53" s="26"/>
      <c r="P53" s="25"/>
      <c r="Q53" s="25"/>
      <c r="R53" s="25"/>
    </row>
    <row r="54" spans="1:18" x14ac:dyDescent="0.35">
      <c r="A54" s="25"/>
      <c r="B54" s="25"/>
      <c r="C54" s="25"/>
      <c r="D54" s="26"/>
      <c r="E54" s="25"/>
      <c r="F54" s="25"/>
      <c r="G54" s="25"/>
      <c r="H54" s="25"/>
      <c r="I54" s="25"/>
      <c r="J54" s="26"/>
      <c r="K54" s="26"/>
      <c r="L54" s="25"/>
      <c r="M54" s="26"/>
      <c r="N54" s="25"/>
      <c r="O54" s="26"/>
      <c r="P54" s="25"/>
      <c r="Q54" s="25"/>
      <c r="R54" s="25"/>
    </row>
    <row r="55" spans="1:18" x14ac:dyDescent="0.35">
      <c r="A55" s="25"/>
      <c r="B55" s="25"/>
      <c r="C55" s="25"/>
      <c r="D55" s="26"/>
      <c r="E55" s="25"/>
      <c r="F55" s="25"/>
      <c r="G55" s="25"/>
      <c r="H55" s="25"/>
      <c r="I55" s="25"/>
      <c r="J55" s="26"/>
      <c r="K55" s="26"/>
      <c r="L55" s="25"/>
      <c r="M55" s="26"/>
      <c r="N55" s="25"/>
      <c r="O55" s="26"/>
      <c r="P55" s="25"/>
      <c r="Q55" s="25"/>
      <c r="R55" s="25"/>
    </row>
    <row r="56" spans="1:18" x14ac:dyDescent="0.35">
      <c r="A56" s="25"/>
      <c r="B56" s="25"/>
      <c r="C56" s="25"/>
      <c r="D56" s="26"/>
      <c r="E56" s="25"/>
      <c r="F56" s="25"/>
      <c r="G56" s="25"/>
      <c r="H56" s="25"/>
      <c r="I56" s="25"/>
      <c r="J56" s="26"/>
      <c r="K56" s="26"/>
      <c r="L56" s="25"/>
      <c r="M56" s="26"/>
      <c r="N56" s="25"/>
      <c r="O56" s="26"/>
      <c r="P56" s="25"/>
      <c r="Q56" s="25"/>
      <c r="R56" s="25"/>
    </row>
    <row r="57" spans="1:18" x14ac:dyDescent="0.35">
      <c r="A57" s="25"/>
      <c r="B57" s="25"/>
      <c r="C57" s="25"/>
      <c r="D57" s="26"/>
      <c r="E57" s="25"/>
      <c r="F57" s="25"/>
      <c r="G57" s="25"/>
      <c r="H57" s="25"/>
      <c r="I57" s="25"/>
      <c r="J57" s="26"/>
      <c r="K57" s="26"/>
      <c r="L57" s="25"/>
      <c r="M57" s="26"/>
      <c r="N57" s="25"/>
      <c r="O57" s="26"/>
      <c r="P57" s="25"/>
      <c r="Q57" s="25"/>
      <c r="R57" s="25"/>
    </row>
    <row r="58" spans="1:18" x14ac:dyDescent="0.35">
      <c r="A58" s="25"/>
      <c r="B58" s="25"/>
      <c r="C58" s="25"/>
      <c r="D58" s="26"/>
      <c r="E58" s="25"/>
      <c r="F58" s="25"/>
      <c r="G58" s="25"/>
      <c r="H58" s="25"/>
      <c r="I58" s="25"/>
      <c r="J58" s="26"/>
      <c r="K58" s="26"/>
      <c r="L58" s="25"/>
      <c r="M58" s="26"/>
      <c r="N58" s="25"/>
      <c r="O58" s="26"/>
      <c r="P58" s="25"/>
      <c r="Q58" s="25"/>
      <c r="R58" s="25"/>
    </row>
    <row r="59" spans="1:18" x14ac:dyDescent="0.35">
      <c r="A59" s="25"/>
      <c r="B59" s="25"/>
      <c r="C59" s="25"/>
      <c r="D59" s="26"/>
      <c r="E59" s="25"/>
      <c r="F59" s="25"/>
      <c r="G59" s="25"/>
      <c r="H59" s="25"/>
      <c r="I59" s="25"/>
      <c r="J59" s="26"/>
      <c r="K59" s="26"/>
      <c r="L59" s="25"/>
      <c r="M59" s="26"/>
      <c r="N59" s="25"/>
      <c r="O59" s="26"/>
      <c r="P59" s="25"/>
      <c r="Q59" s="25"/>
      <c r="R59" s="25"/>
    </row>
    <row r="60" spans="1:18" x14ac:dyDescent="0.35">
      <c r="A60" s="25"/>
      <c r="B60" s="25"/>
      <c r="C60" s="25"/>
      <c r="D60" s="26"/>
      <c r="E60" s="25"/>
      <c r="F60" s="25"/>
      <c r="G60" s="25"/>
      <c r="H60" s="25"/>
      <c r="I60" s="25"/>
      <c r="J60" s="26"/>
      <c r="K60" s="26"/>
      <c r="L60" s="25"/>
      <c r="M60" s="26"/>
      <c r="N60" s="25"/>
      <c r="O60" s="26"/>
      <c r="P60" s="25"/>
      <c r="Q60" s="25"/>
      <c r="R60" s="25"/>
    </row>
    <row r="61" spans="1:18" x14ac:dyDescent="0.35">
      <c r="A61" s="25"/>
      <c r="B61" s="25"/>
      <c r="C61" s="25"/>
      <c r="D61" s="26"/>
      <c r="E61" s="25"/>
      <c r="F61" s="25"/>
      <c r="G61" s="25"/>
      <c r="H61" s="25"/>
      <c r="I61" s="25"/>
      <c r="J61" s="26"/>
      <c r="K61" s="26"/>
      <c r="L61" s="25"/>
      <c r="M61" s="26"/>
      <c r="N61" s="25"/>
      <c r="O61" s="26"/>
      <c r="P61" s="25"/>
      <c r="Q61" s="25"/>
      <c r="R61" s="25"/>
    </row>
    <row r="62" spans="1:18" x14ac:dyDescent="0.35">
      <c r="A62" s="25"/>
      <c r="B62" s="25"/>
      <c r="C62" s="25"/>
      <c r="D62" s="26"/>
      <c r="E62" s="25"/>
      <c r="F62" s="25"/>
      <c r="G62" s="25"/>
      <c r="H62" s="25"/>
      <c r="I62" s="25"/>
      <c r="J62" s="26"/>
      <c r="K62" s="26"/>
      <c r="L62" s="25"/>
      <c r="M62" s="26"/>
      <c r="N62" s="25"/>
      <c r="O62" s="26"/>
      <c r="P62" s="25"/>
      <c r="Q62" s="25"/>
      <c r="R62" s="25"/>
    </row>
    <row r="63" spans="1:18" x14ac:dyDescent="0.35">
      <c r="A63" s="25"/>
      <c r="B63" s="25"/>
      <c r="C63" s="25"/>
      <c r="D63" s="26"/>
      <c r="E63" s="25"/>
      <c r="F63" s="25"/>
      <c r="G63" s="25"/>
      <c r="H63" s="25"/>
      <c r="I63" s="25"/>
      <c r="J63" s="26"/>
      <c r="K63" s="26"/>
      <c r="L63" s="25"/>
      <c r="M63" s="26"/>
      <c r="N63" s="25"/>
      <c r="O63" s="26"/>
      <c r="P63" s="25"/>
      <c r="Q63" s="25"/>
      <c r="R63" s="25"/>
    </row>
    <row r="64" spans="1:18" x14ac:dyDescent="0.35">
      <c r="A64" s="25"/>
      <c r="B64" s="25"/>
      <c r="C64" s="25"/>
      <c r="D64" s="26"/>
      <c r="E64" s="25"/>
      <c r="F64" s="25"/>
      <c r="G64" s="25"/>
      <c r="H64" s="25"/>
      <c r="I64" s="25"/>
      <c r="J64" s="26"/>
      <c r="K64" s="26"/>
      <c r="L64" s="25"/>
      <c r="M64" s="26"/>
      <c r="N64" s="25"/>
      <c r="O64" s="26"/>
      <c r="P64" s="25"/>
      <c r="Q64" s="25"/>
      <c r="R64" s="25"/>
    </row>
    <row r="65" spans="1:18" x14ac:dyDescent="0.35">
      <c r="A65" s="25"/>
      <c r="B65" s="25"/>
      <c r="C65" s="25"/>
      <c r="D65" s="26"/>
      <c r="E65" s="25"/>
      <c r="F65" s="25"/>
      <c r="G65" s="25"/>
      <c r="H65" s="25"/>
      <c r="I65" s="25"/>
      <c r="J65" s="26"/>
      <c r="K65" s="26"/>
      <c r="L65" s="25"/>
      <c r="M65" s="26"/>
      <c r="N65" s="25"/>
      <c r="O65" s="26"/>
      <c r="P65" s="25"/>
      <c r="Q65" s="25"/>
      <c r="R65" s="25"/>
    </row>
    <row r="66" spans="1:18" x14ac:dyDescent="0.35">
      <c r="A66" s="25"/>
      <c r="B66" s="25"/>
      <c r="C66" s="25"/>
      <c r="D66" s="26"/>
      <c r="E66" s="25"/>
      <c r="F66" s="25"/>
      <c r="G66" s="25"/>
      <c r="H66" s="25"/>
      <c r="I66" s="25"/>
      <c r="J66" s="26"/>
      <c r="K66" s="26"/>
      <c r="L66" s="25"/>
      <c r="M66" s="26"/>
      <c r="N66" s="25"/>
      <c r="O66" s="26"/>
      <c r="P66" s="25"/>
      <c r="Q66" s="25"/>
      <c r="R66" s="25"/>
    </row>
    <row r="67" spans="1:18" x14ac:dyDescent="0.35">
      <c r="A67" s="25"/>
      <c r="B67" s="25"/>
      <c r="C67" s="25"/>
      <c r="D67" s="26"/>
      <c r="E67" s="25"/>
      <c r="F67" s="25"/>
      <c r="G67" s="25"/>
      <c r="H67" s="25"/>
      <c r="I67" s="25"/>
      <c r="J67" s="26"/>
      <c r="K67" s="26"/>
      <c r="L67" s="25"/>
      <c r="M67" s="26"/>
      <c r="N67" s="25"/>
      <c r="O67" s="26"/>
      <c r="P67" s="25"/>
      <c r="Q67" s="25"/>
      <c r="R67" s="25"/>
    </row>
    <row r="68" spans="1:18" x14ac:dyDescent="0.35">
      <c r="A68" s="25"/>
      <c r="B68" s="25"/>
      <c r="C68" s="25"/>
      <c r="D68" s="26"/>
      <c r="E68" s="25"/>
      <c r="F68" s="25"/>
      <c r="G68" s="25"/>
      <c r="H68" s="25"/>
      <c r="I68" s="25"/>
      <c r="J68" s="26"/>
      <c r="K68" s="26"/>
      <c r="L68" s="25"/>
      <c r="M68" s="26"/>
      <c r="N68" s="25"/>
      <c r="O68" s="26"/>
      <c r="P68" s="25"/>
      <c r="Q68" s="25"/>
      <c r="R68" s="25"/>
    </row>
    <row r="69" spans="1:18" x14ac:dyDescent="0.35">
      <c r="A69" s="25"/>
      <c r="B69" s="25"/>
      <c r="C69" s="25"/>
      <c r="D69" s="26"/>
      <c r="E69" s="25"/>
      <c r="F69" s="25"/>
      <c r="G69" s="25"/>
      <c r="H69" s="25"/>
      <c r="I69" s="25"/>
      <c r="J69" s="26"/>
      <c r="K69" s="26"/>
      <c r="L69" s="25"/>
      <c r="M69" s="26"/>
      <c r="N69" s="25"/>
      <c r="O69" s="26"/>
      <c r="P69" s="25"/>
      <c r="Q69" s="25"/>
      <c r="R69" s="25"/>
    </row>
    <row r="70" spans="1:18" x14ac:dyDescent="0.35">
      <c r="A70" s="25"/>
      <c r="B70" s="25"/>
      <c r="C70" s="25"/>
      <c r="D70" s="26"/>
      <c r="E70" s="25"/>
      <c r="F70" s="25"/>
      <c r="G70" s="25"/>
      <c r="H70" s="25"/>
      <c r="I70" s="25"/>
      <c r="J70" s="26"/>
      <c r="K70" s="26"/>
      <c r="L70" s="25"/>
      <c r="M70" s="26"/>
      <c r="N70" s="25"/>
      <c r="O70" s="26"/>
      <c r="P70" s="25"/>
      <c r="Q70" s="25"/>
      <c r="R70" s="25"/>
    </row>
    <row r="71" spans="1:18" x14ac:dyDescent="0.35">
      <c r="A71" s="25"/>
      <c r="B71" s="25"/>
      <c r="C71" s="25"/>
      <c r="D71" s="26"/>
      <c r="E71" s="25"/>
      <c r="F71" s="25"/>
      <c r="G71" s="25"/>
      <c r="H71" s="25"/>
      <c r="I71" s="25"/>
      <c r="J71" s="26"/>
      <c r="K71" s="26"/>
      <c r="L71" s="25"/>
      <c r="M71" s="26"/>
      <c r="N71" s="25"/>
      <c r="O71" s="26"/>
      <c r="P71" s="25"/>
      <c r="Q71" s="25"/>
      <c r="R71" s="25"/>
    </row>
    <row r="72" spans="1:18" x14ac:dyDescent="0.35">
      <c r="A72" s="25"/>
      <c r="B72" s="25"/>
      <c r="C72" s="25"/>
      <c r="D72" s="26"/>
      <c r="E72" s="25"/>
      <c r="F72" s="25"/>
      <c r="G72" s="25"/>
      <c r="H72" s="25"/>
      <c r="I72" s="25"/>
      <c r="J72" s="26"/>
      <c r="K72" s="26"/>
      <c r="L72" s="25"/>
      <c r="M72" s="26"/>
      <c r="N72" s="25"/>
      <c r="O72" s="26"/>
      <c r="P72" s="25"/>
      <c r="Q72" s="25"/>
      <c r="R72" s="25"/>
    </row>
    <row r="73" spans="1:18" x14ac:dyDescent="0.35">
      <c r="A73" s="25"/>
      <c r="B73" s="25"/>
      <c r="C73" s="25"/>
      <c r="D73" s="26"/>
      <c r="E73" s="25"/>
      <c r="F73" s="25"/>
      <c r="G73" s="25"/>
      <c r="H73" s="25"/>
      <c r="I73" s="25"/>
      <c r="J73" s="26"/>
      <c r="K73" s="26"/>
      <c r="L73" s="25"/>
      <c r="M73" s="26"/>
      <c r="N73" s="25"/>
      <c r="O73" s="26"/>
      <c r="P73" s="25"/>
      <c r="Q73" s="25"/>
      <c r="R73" s="25"/>
    </row>
    <row r="74" spans="1:18" x14ac:dyDescent="0.35">
      <c r="A74" s="25"/>
      <c r="B74" s="25"/>
      <c r="C74" s="25"/>
      <c r="D74" s="26"/>
      <c r="E74" s="25"/>
      <c r="F74" s="25"/>
      <c r="G74" s="25"/>
      <c r="H74" s="25"/>
      <c r="I74" s="25"/>
      <c r="J74" s="26"/>
      <c r="K74" s="26"/>
      <c r="L74" s="25"/>
      <c r="M74" s="26"/>
      <c r="N74" s="25"/>
      <c r="O74" s="26"/>
      <c r="P74" s="25"/>
      <c r="Q74" s="25"/>
      <c r="R74" s="25"/>
    </row>
    <row r="75" spans="1:18" x14ac:dyDescent="0.35">
      <c r="A75" s="25"/>
      <c r="B75" s="25"/>
      <c r="C75" s="25"/>
      <c r="D75" s="26"/>
      <c r="E75" s="25"/>
      <c r="F75" s="25"/>
      <c r="G75" s="25"/>
      <c r="H75" s="25"/>
      <c r="I75" s="25"/>
      <c r="J75" s="26"/>
      <c r="K75" s="26"/>
      <c r="L75" s="25"/>
      <c r="M75" s="26"/>
      <c r="N75" s="25"/>
      <c r="O75" s="26"/>
      <c r="P75" s="25"/>
      <c r="Q75" s="25"/>
      <c r="R75" s="25"/>
    </row>
    <row r="76" spans="1:18" x14ac:dyDescent="0.35">
      <c r="A76" s="25"/>
      <c r="B76" s="25"/>
      <c r="C76" s="25"/>
      <c r="D76" s="26"/>
      <c r="E76" s="25"/>
      <c r="F76" s="25"/>
      <c r="G76" s="25"/>
      <c r="H76" s="25"/>
      <c r="I76" s="25"/>
      <c r="J76" s="26"/>
      <c r="K76" s="26"/>
      <c r="L76" s="25"/>
      <c r="M76" s="26"/>
      <c r="N76" s="25"/>
      <c r="O76" s="26"/>
      <c r="P76" s="25"/>
      <c r="Q76" s="25"/>
      <c r="R76" s="25"/>
    </row>
    <row r="77" spans="1:18" x14ac:dyDescent="0.35">
      <c r="A77" s="25"/>
      <c r="B77" s="25"/>
      <c r="C77" s="25"/>
      <c r="D77" s="26"/>
      <c r="E77" s="25"/>
      <c r="F77" s="25"/>
      <c r="G77" s="25"/>
      <c r="H77" s="25"/>
      <c r="I77" s="25"/>
      <c r="J77" s="26"/>
      <c r="K77" s="26"/>
      <c r="L77" s="25"/>
      <c r="M77" s="26"/>
      <c r="N77" s="25"/>
      <c r="O77" s="26"/>
      <c r="P77" s="25"/>
      <c r="Q77" s="25"/>
      <c r="R77" s="25"/>
    </row>
    <row r="78" spans="1:18" x14ac:dyDescent="0.35">
      <c r="A78" s="25"/>
      <c r="B78" s="25"/>
      <c r="C78" s="25"/>
      <c r="D78" s="26"/>
      <c r="E78" s="25"/>
      <c r="F78" s="25"/>
      <c r="G78" s="25"/>
      <c r="H78" s="25"/>
      <c r="I78" s="25"/>
      <c r="J78" s="26"/>
      <c r="K78" s="26"/>
      <c r="L78" s="25"/>
      <c r="M78" s="26"/>
      <c r="N78" s="25"/>
      <c r="O78" s="26"/>
      <c r="P78" s="25"/>
      <c r="Q78" s="25"/>
      <c r="R78" s="25"/>
    </row>
    <row r="79" spans="1:18" x14ac:dyDescent="0.35">
      <c r="A79" s="25"/>
      <c r="B79" s="25"/>
      <c r="C79" s="25"/>
      <c r="D79" s="26"/>
      <c r="E79" s="25"/>
      <c r="F79" s="25"/>
      <c r="G79" s="25"/>
      <c r="H79" s="25"/>
      <c r="I79" s="25"/>
      <c r="J79" s="26"/>
      <c r="K79" s="26"/>
      <c r="L79" s="25"/>
      <c r="M79" s="26"/>
      <c r="N79" s="25"/>
      <c r="O79" s="26"/>
      <c r="P79" s="25"/>
      <c r="Q79" s="25"/>
      <c r="R79" s="25"/>
    </row>
    <row r="80" spans="1:18" x14ac:dyDescent="0.35">
      <c r="A80" s="25"/>
      <c r="B80" s="25"/>
      <c r="C80" s="25"/>
      <c r="D80" s="26"/>
      <c r="E80" s="25"/>
      <c r="F80" s="25"/>
      <c r="G80" s="25"/>
      <c r="H80" s="25"/>
      <c r="I80" s="25"/>
      <c r="J80" s="26"/>
      <c r="K80" s="26"/>
      <c r="L80" s="25"/>
      <c r="M80" s="26"/>
      <c r="N80" s="25"/>
      <c r="O80" s="26"/>
      <c r="P80" s="25"/>
      <c r="Q80" s="25"/>
      <c r="R80" s="25"/>
    </row>
    <row r="81" spans="1:18" x14ac:dyDescent="0.35">
      <c r="A81" s="25"/>
      <c r="B81" s="25"/>
      <c r="C81" s="25"/>
      <c r="D81" s="26"/>
      <c r="E81" s="25"/>
      <c r="F81" s="25"/>
      <c r="G81" s="25"/>
      <c r="H81" s="25"/>
      <c r="I81" s="25"/>
      <c r="J81" s="26"/>
      <c r="K81" s="26"/>
      <c r="L81" s="25"/>
      <c r="M81" s="26"/>
      <c r="N81" s="25"/>
      <c r="O81" s="26"/>
      <c r="P81" s="25"/>
      <c r="Q81" s="25"/>
      <c r="R81" s="25"/>
    </row>
    <row r="82" spans="1:18" x14ac:dyDescent="0.35">
      <c r="A82" s="25"/>
      <c r="B82" s="25"/>
      <c r="C82" s="25"/>
      <c r="D82" s="26"/>
      <c r="E82" s="25"/>
      <c r="F82" s="25"/>
      <c r="G82" s="25"/>
      <c r="H82" s="25"/>
      <c r="I82" s="25"/>
      <c r="J82" s="26"/>
      <c r="K82" s="26"/>
      <c r="L82" s="25"/>
      <c r="M82" s="26"/>
      <c r="N82" s="25"/>
      <c r="O82" s="26"/>
      <c r="P82" s="25"/>
      <c r="Q82" s="25"/>
      <c r="R82" s="25"/>
    </row>
    <row r="83" spans="1:18" x14ac:dyDescent="0.35">
      <c r="A83" s="25"/>
      <c r="B83" s="25"/>
      <c r="C83" s="25"/>
      <c r="D83" s="26"/>
      <c r="E83" s="25"/>
      <c r="F83" s="25"/>
      <c r="G83" s="25"/>
      <c r="H83" s="25"/>
      <c r="I83" s="25"/>
      <c r="J83" s="26"/>
      <c r="K83" s="26"/>
      <c r="L83" s="25"/>
      <c r="M83" s="26"/>
      <c r="N83" s="25"/>
      <c r="O83" s="26"/>
      <c r="P83" s="25"/>
      <c r="Q83" s="25"/>
      <c r="R83" s="25"/>
    </row>
    <row r="84" spans="1:18" x14ac:dyDescent="0.35">
      <c r="A84" s="25"/>
      <c r="B84" s="25"/>
      <c r="C84" s="25"/>
      <c r="D84" s="26"/>
      <c r="E84" s="25"/>
      <c r="F84" s="25"/>
      <c r="G84" s="25"/>
      <c r="H84" s="25"/>
      <c r="I84" s="25"/>
      <c r="J84" s="26"/>
      <c r="K84" s="26"/>
      <c r="L84" s="25"/>
      <c r="M84" s="26"/>
      <c r="N84" s="25"/>
      <c r="O84" s="26"/>
      <c r="P84" s="25"/>
      <c r="Q84" s="25"/>
      <c r="R84" s="25"/>
    </row>
    <row r="85" spans="1:18" x14ac:dyDescent="0.35">
      <c r="A85" s="25"/>
      <c r="B85" s="25"/>
      <c r="C85" s="25"/>
      <c r="D85" s="26"/>
      <c r="E85" s="25"/>
      <c r="F85" s="25"/>
      <c r="G85" s="25"/>
      <c r="H85" s="25"/>
      <c r="I85" s="25"/>
      <c r="J85" s="26"/>
      <c r="K85" s="26"/>
      <c r="L85" s="25"/>
      <c r="M85" s="26"/>
      <c r="N85" s="25"/>
      <c r="O85" s="26"/>
      <c r="P85" s="25"/>
      <c r="Q85" s="25"/>
      <c r="R85" s="25"/>
    </row>
    <row r="86" spans="1:18" x14ac:dyDescent="0.35">
      <c r="A86" s="25"/>
      <c r="B86" s="25"/>
      <c r="C86" s="25"/>
      <c r="D86" s="26"/>
      <c r="E86" s="25"/>
      <c r="F86" s="25"/>
      <c r="G86" s="25"/>
      <c r="H86" s="25"/>
      <c r="I86" s="25"/>
      <c r="J86" s="26"/>
      <c r="K86" s="26"/>
      <c r="L86" s="25"/>
      <c r="M86" s="26"/>
      <c r="N86" s="25"/>
      <c r="O86" s="26"/>
      <c r="P86" s="25"/>
      <c r="Q86" s="25"/>
      <c r="R86" s="25"/>
    </row>
    <row r="87" spans="1:18" x14ac:dyDescent="0.35">
      <c r="A87" s="25"/>
      <c r="B87" s="25"/>
      <c r="C87" s="25"/>
      <c r="D87" s="26"/>
      <c r="E87" s="25"/>
      <c r="F87" s="25"/>
      <c r="G87" s="25"/>
      <c r="H87" s="25"/>
      <c r="I87" s="25"/>
      <c r="J87" s="26"/>
      <c r="K87" s="26"/>
      <c r="L87" s="25"/>
      <c r="M87" s="26"/>
      <c r="N87" s="25"/>
      <c r="O87" s="26"/>
      <c r="P87" s="25"/>
      <c r="Q87" s="25"/>
      <c r="R87" s="25"/>
    </row>
    <row r="88" spans="1:18" x14ac:dyDescent="0.35">
      <c r="A88" s="25"/>
      <c r="B88" s="25"/>
      <c r="C88" s="25"/>
      <c r="D88" s="26"/>
      <c r="E88" s="25"/>
      <c r="F88" s="25"/>
      <c r="G88" s="25"/>
      <c r="H88" s="25"/>
      <c r="I88" s="25"/>
      <c r="J88" s="26"/>
      <c r="K88" s="26"/>
      <c r="L88" s="25"/>
      <c r="M88" s="26"/>
      <c r="N88" s="25"/>
      <c r="O88" s="26"/>
      <c r="P88" s="25"/>
      <c r="Q88" s="25"/>
      <c r="R88" s="25"/>
    </row>
    <row r="89" spans="1:18" x14ac:dyDescent="0.35">
      <c r="A89" s="25"/>
      <c r="B89" s="25"/>
      <c r="C89" s="25"/>
      <c r="D89" s="26"/>
      <c r="E89" s="25"/>
      <c r="F89" s="25"/>
      <c r="G89" s="25"/>
      <c r="H89" s="25"/>
      <c r="I89" s="25"/>
      <c r="J89" s="26"/>
      <c r="K89" s="26"/>
      <c r="L89" s="25"/>
      <c r="M89" s="26"/>
      <c r="N89" s="25"/>
      <c r="O89" s="26"/>
      <c r="P89" s="25"/>
      <c r="Q89" s="25"/>
      <c r="R89" s="25"/>
    </row>
    <row r="90" spans="1:18" x14ac:dyDescent="0.35">
      <c r="A90" s="25"/>
      <c r="B90" s="25"/>
      <c r="C90" s="25"/>
      <c r="D90" s="26"/>
      <c r="E90" s="25"/>
      <c r="F90" s="25"/>
      <c r="G90" s="25"/>
      <c r="H90" s="25"/>
      <c r="I90" s="25"/>
      <c r="J90" s="26"/>
      <c r="K90" s="26"/>
      <c r="L90" s="25"/>
      <c r="M90" s="26"/>
      <c r="N90" s="25"/>
      <c r="O90" s="26"/>
      <c r="P90" s="25"/>
      <c r="Q90" s="25"/>
      <c r="R90" s="25"/>
    </row>
    <row r="91" spans="1:18" x14ac:dyDescent="0.35">
      <c r="A91" s="25"/>
      <c r="B91" s="25"/>
      <c r="C91" s="25"/>
      <c r="D91" s="26"/>
      <c r="E91" s="25"/>
      <c r="F91" s="25"/>
      <c r="G91" s="25"/>
      <c r="H91" s="25"/>
      <c r="I91" s="25"/>
      <c r="J91" s="26"/>
      <c r="K91" s="26"/>
      <c r="L91" s="25"/>
      <c r="M91" s="26"/>
      <c r="N91" s="25"/>
      <c r="O91" s="26"/>
      <c r="P91" s="25"/>
      <c r="Q91" s="25"/>
      <c r="R91" s="25"/>
    </row>
    <row r="92" spans="1:18" x14ac:dyDescent="0.35">
      <c r="A92" s="25"/>
      <c r="B92" s="25"/>
      <c r="C92" s="25"/>
      <c r="D92" s="26"/>
      <c r="E92" s="25"/>
      <c r="F92" s="25"/>
      <c r="G92" s="25"/>
      <c r="H92" s="25"/>
      <c r="I92" s="25"/>
      <c r="J92" s="26"/>
      <c r="K92" s="26"/>
      <c r="L92" s="25"/>
      <c r="M92" s="26"/>
      <c r="N92" s="25"/>
      <c r="O92" s="26"/>
      <c r="P92" s="25"/>
      <c r="Q92" s="25"/>
      <c r="R92" s="25"/>
    </row>
    <row r="93" spans="1:18" x14ac:dyDescent="0.35">
      <c r="A93" s="25"/>
      <c r="B93" s="25"/>
      <c r="C93" s="25"/>
      <c r="D93" s="26"/>
      <c r="E93" s="25"/>
      <c r="F93" s="25"/>
      <c r="G93" s="25"/>
      <c r="H93" s="25"/>
      <c r="I93" s="25"/>
      <c r="J93" s="26"/>
      <c r="K93" s="26"/>
      <c r="L93" s="25"/>
      <c r="M93" s="26"/>
      <c r="N93" s="25"/>
      <c r="O93" s="26"/>
      <c r="P93" s="25"/>
      <c r="Q93" s="25"/>
      <c r="R93" s="25"/>
    </row>
    <row r="94" spans="1:18" x14ac:dyDescent="0.35">
      <c r="A94" s="25"/>
      <c r="B94" s="25"/>
      <c r="C94" s="25"/>
      <c r="D94" s="26"/>
      <c r="E94" s="25"/>
      <c r="F94" s="25"/>
      <c r="G94" s="25"/>
      <c r="H94" s="25"/>
      <c r="I94" s="25"/>
      <c r="J94" s="26"/>
      <c r="K94" s="26"/>
      <c r="L94" s="25"/>
      <c r="M94" s="26"/>
      <c r="N94" s="25"/>
      <c r="O94" s="26"/>
      <c r="P94" s="25"/>
      <c r="Q94" s="25"/>
      <c r="R94" s="25"/>
    </row>
    <row r="95" spans="1:18" x14ac:dyDescent="0.35">
      <c r="A95" s="25"/>
      <c r="B95" s="25"/>
      <c r="C95" s="25"/>
      <c r="D95" s="26"/>
      <c r="E95" s="25"/>
      <c r="F95" s="25"/>
      <c r="G95" s="25"/>
      <c r="H95" s="25"/>
      <c r="I95" s="25"/>
      <c r="J95" s="26"/>
      <c r="K95" s="26"/>
      <c r="L95" s="25"/>
      <c r="M95" s="26"/>
      <c r="N95" s="25"/>
      <c r="O95" s="26"/>
      <c r="P95" s="25"/>
      <c r="Q95" s="25"/>
      <c r="R95" s="25"/>
    </row>
    <row r="96" spans="1:18" x14ac:dyDescent="0.35">
      <c r="A96" s="25"/>
      <c r="B96" s="25"/>
      <c r="C96" s="25"/>
      <c r="D96" s="26"/>
      <c r="E96" s="25"/>
      <c r="F96" s="25"/>
      <c r="G96" s="25"/>
      <c r="H96" s="25"/>
      <c r="I96" s="25"/>
      <c r="J96" s="26"/>
      <c r="K96" s="26"/>
      <c r="L96" s="25"/>
      <c r="M96" s="26"/>
      <c r="N96" s="25"/>
      <c r="O96" s="26"/>
      <c r="P96" s="25"/>
      <c r="Q96" s="25"/>
      <c r="R96" s="25"/>
    </row>
    <row r="97" spans="1:18" x14ac:dyDescent="0.35">
      <c r="A97" s="25"/>
      <c r="B97" s="25"/>
      <c r="C97" s="25"/>
      <c r="D97" s="26"/>
      <c r="E97" s="25"/>
      <c r="F97" s="25"/>
      <c r="G97" s="25"/>
      <c r="H97" s="25"/>
      <c r="I97" s="25"/>
      <c r="J97" s="26"/>
      <c r="K97" s="26"/>
      <c r="L97" s="25"/>
      <c r="M97" s="26"/>
      <c r="N97" s="25"/>
      <c r="O97" s="26"/>
      <c r="P97" s="25"/>
      <c r="Q97" s="25"/>
      <c r="R97" s="25"/>
    </row>
    <row r="98" spans="1:18" x14ac:dyDescent="0.35">
      <c r="A98" s="25"/>
      <c r="B98" s="25"/>
      <c r="C98" s="25"/>
      <c r="D98" s="26"/>
      <c r="E98" s="25"/>
      <c r="F98" s="25"/>
      <c r="G98" s="25"/>
      <c r="H98" s="25"/>
      <c r="I98" s="25"/>
      <c r="J98" s="26"/>
      <c r="K98" s="26"/>
      <c r="L98" s="25"/>
      <c r="M98" s="26"/>
      <c r="N98" s="25"/>
      <c r="O98" s="26"/>
      <c r="P98" s="25"/>
      <c r="Q98" s="25"/>
      <c r="R98" s="25"/>
    </row>
    <row r="99" spans="1:18" x14ac:dyDescent="0.35">
      <c r="A99" s="25"/>
      <c r="B99" s="25"/>
      <c r="C99" s="25"/>
      <c r="D99" s="26"/>
      <c r="E99" s="25"/>
      <c r="F99" s="25"/>
      <c r="G99" s="25"/>
      <c r="H99" s="25"/>
      <c r="I99" s="25"/>
      <c r="J99" s="26"/>
      <c r="K99" s="26"/>
      <c r="L99" s="25"/>
      <c r="M99" s="26"/>
      <c r="N99" s="25"/>
      <c r="O99" s="26"/>
      <c r="P99" s="25"/>
      <c r="Q99" s="25"/>
      <c r="R99" s="25"/>
    </row>
    <row r="100" spans="1:18" x14ac:dyDescent="0.35">
      <c r="A100" s="25"/>
      <c r="B100" s="25"/>
      <c r="C100" s="25"/>
      <c r="D100" s="26"/>
      <c r="E100" s="25"/>
      <c r="F100" s="25"/>
      <c r="G100" s="25"/>
      <c r="H100" s="25"/>
      <c r="I100" s="25"/>
      <c r="J100" s="26"/>
      <c r="K100" s="26"/>
      <c r="L100" s="25"/>
      <c r="M100" s="26"/>
      <c r="N100" s="25"/>
      <c r="O100" s="26"/>
      <c r="P100" s="25"/>
      <c r="Q100" s="25"/>
      <c r="R100" s="25"/>
    </row>
    <row r="101" spans="1:18" x14ac:dyDescent="0.35">
      <c r="A101" s="25"/>
      <c r="B101" s="25"/>
      <c r="C101" s="25"/>
      <c r="D101" s="26"/>
      <c r="E101" s="25"/>
      <c r="F101" s="25"/>
      <c r="G101" s="25"/>
      <c r="H101" s="25"/>
      <c r="I101" s="25"/>
      <c r="J101" s="26"/>
      <c r="K101" s="26"/>
      <c r="L101" s="25"/>
      <c r="M101" s="26"/>
      <c r="N101" s="25"/>
      <c r="O101" s="26"/>
      <c r="P101" s="25"/>
      <c r="Q101" s="25"/>
      <c r="R101" s="25"/>
    </row>
    <row r="102" spans="1:18" x14ac:dyDescent="0.35">
      <c r="A102" s="25"/>
      <c r="B102" s="25"/>
      <c r="C102" s="25"/>
      <c r="D102" s="26"/>
      <c r="E102" s="25"/>
      <c r="F102" s="25"/>
      <c r="G102" s="25"/>
      <c r="H102" s="25"/>
      <c r="I102" s="25"/>
      <c r="J102" s="26"/>
      <c r="K102" s="26"/>
      <c r="L102" s="25"/>
      <c r="M102" s="26"/>
      <c r="N102" s="25"/>
      <c r="O102" s="26"/>
      <c r="P102" s="25"/>
      <c r="Q102" s="25"/>
      <c r="R102" s="25"/>
    </row>
    <row r="103" spans="1:18" x14ac:dyDescent="0.35">
      <c r="A103" s="25"/>
      <c r="B103" s="25"/>
      <c r="C103" s="25"/>
      <c r="D103" s="26"/>
      <c r="E103" s="25"/>
      <c r="F103" s="25"/>
      <c r="G103" s="25"/>
      <c r="H103" s="25"/>
      <c r="I103" s="25"/>
      <c r="J103" s="26"/>
      <c r="K103" s="26"/>
      <c r="L103" s="25"/>
      <c r="M103" s="26"/>
      <c r="N103" s="25"/>
      <c r="O103" s="26"/>
      <c r="P103" s="25"/>
      <c r="Q103" s="25"/>
      <c r="R103" s="25"/>
    </row>
    <row r="104" spans="1:18" x14ac:dyDescent="0.35">
      <c r="A104" s="25"/>
      <c r="B104" s="25"/>
      <c r="C104" s="25"/>
      <c r="D104" s="26"/>
      <c r="E104" s="25"/>
      <c r="F104" s="25"/>
      <c r="G104" s="25"/>
      <c r="H104" s="25"/>
      <c r="I104" s="25"/>
      <c r="J104" s="26"/>
      <c r="K104" s="26"/>
      <c r="L104" s="25"/>
      <c r="M104" s="26"/>
      <c r="N104" s="25"/>
      <c r="O104" s="26"/>
      <c r="P104" s="25"/>
      <c r="Q104" s="25"/>
      <c r="R104" s="25"/>
    </row>
    <row r="105" spans="1:18" x14ac:dyDescent="0.35">
      <c r="A105" s="25"/>
      <c r="B105" s="25"/>
      <c r="C105" s="25"/>
      <c r="D105" s="26"/>
      <c r="E105" s="25"/>
      <c r="F105" s="25"/>
      <c r="G105" s="25"/>
      <c r="H105" s="25"/>
      <c r="I105" s="25"/>
      <c r="J105" s="26"/>
      <c r="K105" s="26"/>
      <c r="L105" s="25"/>
      <c r="M105" s="26"/>
      <c r="N105" s="25"/>
      <c r="O105" s="26"/>
      <c r="P105" s="25"/>
      <c r="Q105" s="25"/>
      <c r="R105" s="25"/>
    </row>
    <row r="106" spans="1:18" x14ac:dyDescent="0.35">
      <c r="A106" s="25"/>
      <c r="B106" s="25"/>
      <c r="C106" s="25"/>
      <c r="D106" s="26"/>
      <c r="E106" s="25"/>
      <c r="F106" s="25"/>
      <c r="G106" s="25"/>
      <c r="H106" s="25"/>
      <c r="I106" s="25"/>
      <c r="J106" s="26"/>
      <c r="K106" s="26"/>
      <c r="L106" s="25"/>
      <c r="M106" s="26"/>
      <c r="N106" s="25"/>
      <c r="O106" s="26"/>
      <c r="P106" s="25"/>
      <c r="Q106" s="25"/>
      <c r="R106" s="25"/>
    </row>
    <row r="107" spans="1:18" x14ac:dyDescent="0.35">
      <c r="A107" s="25"/>
      <c r="B107" s="25"/>
      <c r="C107" s="25"/>
      <c r="D107" s="26"/>
      <c r="E107" s="25"/>
      <c r="F107" s="25"/>
      <c r="G107" s="25"/>
      <c r="H107" s="25"/>
      <c r="I107" s="25"/>
      <c r="J107" s="26"/>
      <c r="K107" s="26"/>
      <c r="L107" s="25"/>
      <c r="M107" s="26"/>
      <c r="N107" s="25"/>
      <c r="O107" s="26"/>
      <c r="P107" s="25"/>
      <c r="Q107" s="25"/>
      <c r="R107" s="25"/>
    </row>
    <row r="108" spans="1:18" x14ac:dyDescent="0.35">
      <c r="A108" s="25"/>
      <c r="B108" s="25"/>
      <c r="C108" s="25"/>
      <c r="D108" s="26"/>
      <c r="E108" s="25"/>
      <c r="F108" s="25"/>
      <c r="G108" s="25"/>
      <c r="H108" s="25"/>
      <c r="I108" s="25"/>
      <c r="J108" s="26"/>
      <c r="K108" s="26"/>
      <c r="L108" s="25"/>
      <c r="M108" s="26"/>
      <c r="N108" s="25"/>
      <c r="O108" s="26"/>
      <c r="P108" s="25"/>
      <c r="Q108" s="25"/>
      <c r="R108" s="25"/>
    </row>
    <row r="109" spans="1:18" x14ac:dyDescent="0.35">
      <c r="A109" s="25"/>
      <c r="B109" s="25"/>
      <c r="C109" s="25"/>
      <c r="D109" s="26"/>
      <c r="E109" s="25"/>
      <c r="F109" s="25"/>
      <c r="G109" s="25"/>
      <c r="H109" s="25"/>
      <c r="I109" s="25"/>
      <c r="J109" s="26"/>
      <c r="K109" s="26"/>
      <c r="L109" s="25"/>
      <c r="M109" s="26"/>
      <c r="N109" s="25"/>
      <c r="O109" s="26"/>
      <c r="P109" s="25"/>
      <c r="Q109" s="25"/>
      <c r="R109" s="25"/>
    </row>
    <row r="110" spans="1:18" x14ac:dyDescent="0.35">
      <c r="A110" s="25"/>
      <c r="B110" s="25"/>
      <c r="C110" s="25"/>
      <c r="D110" s="26"/>
      <c r="E110" s="25"/>
      <c r="F110" s="25"/>
      <c r="G110" s="25"/>
      <c r="H110" s="25"/>
      <c r="I110" s="25"/>
      <c r="J110" s="26"/>
      <c r="K110" s="26"/>
      <c r="L110" s="25"/>
      <c r="M110" s="26"/>
      <c r="N110" s="25"/>
      <c r="O110" s="26"/>
      <c r="P110" s="25"/>
      <c r="Q110" s="25"/>
      <c r="R110" s="25"/>
    </row>
    <row r="111" spans="1:18" x14ac:dyDescent="0.35">
      <c r="A111" s="25"/>
      <c r="B111" s="25"/>
      <c r="C111" s="25"/>
      <c r="D111" s="26"/>
      <c r="E111" s="25"/>
      <c r="F111" s="25"/>
      <c r="G111" s="25"/>
      <c r="H111" s="25"/>
      <c r="I111" s="25"/>
      <c r="J111" s="26"/>
      <c r="K111" s="26"/>
      <c r="L111" s="25"/>
      <c r="M111" s="26"/>
      <c r="N111" s="25"/>
      <c r="O111" s="26"/>
      <c r="P111" s="25"/>
      <c r="Q111" s="25"/>
      <c r="R111" s="25"/>
    </row>
    <row r="112" spans="1:18" x14ac:dyDescent="0.35">
      <c r="A112" s="25"/>
      <c r="B112" s="25"/>
      <c r="C112" s="25"/>
      <c r="D112" s="26"/>
      <c r="E112" s="25"/>
      <c r="F112" s="25"/>
      <c r="G112" s="25"/>
      <c r="H112" s="25"/>
      <c r="I112" s="25"/>
      <c r="J112" s="26"/>
      <c r="K112" s="26"/>
      <c r="L112" s="25"/>
      <c r="M112" s="26"/>
      <c r="N112" s="25"/>
      <c r="O112" s="26"/>
      <c r="P112" s="25"/>
      <c r="Q112" s="25"/>
      <c r="R112" s="25"/>
    </row>
    <row r="113" spans="1:18" x14ac:dyDescent="0.35">
      <c r="A113" s="25"/>
      <c r="B113" s="25"/>
      <c r="C113" s="25"/>
      <c r="D113" s="26"/>
      <c r="E113" s="25"/>
      <c r="F113" s="25"/>
      <c r="G113" s="25"/>
      <c r="H113" s="25"/>
      <c r="I113" s="25"/>
      <c r="J113" s="26"/>
      <c r="K113" s="26"/>
      <c r="L113" s="25"/>
      <c r="M113" s="26"/>
      <c r="N113" s="25"/>
      <c r="O113" s="26"/>
      <c r="P113" s="25"/>
      <c r="Q113" s="25"/>
      <c r="R113" s="25"/>
    </row>
    <row r="114" spans="1:18" x14ac:dyDescent="0.35">
      <c r="A114" s="25"/>
      <c r="B114" s="25"/>
      <c r="C114" s="25"/>
      <c r="D114" s="26"/>
      <c r="E114" s="25"/>
      <c r="F114" s="25"/>
      <c r="G114" s="25"/>
      <c r="H114" s="25"/>
      <c r="I114" s="25"/>
      <c r="J114" s="26"/>
      <c r="K114" s="26"/>
      <c r="L114" s="25"/>
      <c r="M114" s="26"/>
      <c r="N114" s="25"/>
      <c r="O114" s="26"/>
      <c r="P114" s="25"/>
      <c r="Q114" s="25"/>
      <c r="R114" s="25"/>
    </row>
    <row r="115" spans="1:18" x14ac:dyDescent="0.35">
      <c r="A115" s="25"/>
      <c r="B115" s="25"/>
      <c r="C115" s="25"/>
      <c r="D115" s="26"/>
      <c r="E115" s="25"/>
      <c r="F115" s="25"/>
      <c r="G115" s="25"/>
      <c r="H115" s="25"/>
      <c r="I115" s="25"/>
      <c r="J115" s="26"/>
      <c r="K115" s="26"/>
      <c r="L115" s="25"/>
      <c r="M115" s="26"/>
      <c r="N115" s="25"/>
      <c r="O115" s="26"/>
      <c r="P115" s="25"/>
      <c r="Q115" s="25"/>
      <c r="R115" s="25"/>
    </row>
    <row r="116" spans="1:18" x14ac:dyDescent="0.35">
      <c r="A116" s="25"/>
      <c r="B116" s="25"/>
      <c r="C116" s="25"/>
      <c r="D116" s="26"/>
      <c r="E116" s="25"/>
      <c r="F116" s="25"/>
      <c r="G116" s="25"/>
      <c r="H116" s="25"/>
      <c r="I116" s="25"/>
      <c r="J116" s="26"/>
      <c r="K116" s="26"/>
      <c r="L116" s="25"/>
      <c r="M116" s="26"/>
      <c r="N116" s="25"/>
      <c r="O116" s="26"/>
      <c r="P116" s="25"/>
      <c r="Q116" s="25"/>
      <c r="R116" s="25"/>
    </row>
    <row r="117" spans="1:18" x14ac:dyDescent="0.35">
      <c r="A117" s="25"/>
      <c r="B117" s="25"/>
      <c r="C117" s="25"/>
      <c r="D117" s="26"/>
      <c r="E117" s="25"/>
      <c r="F117" s="25"/>
      <c r="G117" s="25"/>
      <c r="H117" s="25"/>
      <c r="I117" s="25"/>
      <c r="J117" s="26"/>
      <c r="K117" s="26"/>
      <c r="L117" s="25"/>
      <c r="M117" s="26"/>
      <c r="N117" s="25"/>
      <c r="O117" s="26"/>
      <c r="P117" s="25"/>
      <c r="Q117" s="25"/>
      <c r="R117" s="25"/>
    </row>
    <row r="118" spans="1:18" x14ac:dyDescent="0.35">
      <c r="A118" s="25"/>
      <c r="B118" s="25"/>
      <c r="C118" s="25"/>
      <c r="D118" s="26"/>
      <c r="E118" s="25"/>
      <c r="F118" s="25"/>
      <c r="G118" s="25"/>
      <c r="H118" s="25"/>
      <c r="I118" s="25"/>
      <c r="J118" s="26"/>
      <c r="K118" s="26"/>
      <c r="L118" s="25"/>
      <c r="M118" s="26"/>
      <c r="N118" s="25"/>
      <c r="O118" s="26"/>
      <c r="P118" s="25"/>
      <c r="Q118" s="25"/>
      <c r="R118" s="25"/>
    </row>
    <row r="119" spans="1:18" x14ac:dyDescent="0.35">
      <c r="A119" s="25"/>
      <c r="B119" s="25"/>
      <c r="C119" s="25"/>
      <c r="D119" s="26"/>
      <c r="E119" s="25"/>
      <c r="F119" s="25"/>
      <c r="G119" s="25"/>
      <c r="H119" s="25"/>
      <c r="I119" s="25"/>
      <c r="J119" s="26"/>
      <c r="K119" s="26"/>
      <c r="L119" s="25"/>
      <c r="M119" s="26"/>
      <c r="N119" s="25"/>
      <c r="O119" s="26"/>
      <c r="P119" s="25"/>
      <c r="Q119" s="25"/>
      <c r="R119" s="25"/>
    </row>
    <row r="120" spans="1:18" x14ac:dyDescent="0.35">
      <c r="A120" s="25"/>
      <c r="B120" s="25"/>
      <c r="C120" s="25"/>
      <c r="D120" s="26"/>
      <c r="E120" s="25"/>
      <c r="F120" s="25"/>
      <c r="G120" s="25"/>
      <c r="H120" s="25"/>
      <c r="I120" s="25"/>
      <c r="J120" s="26"/>
      <c r="K120" s="26"/>
      <c r="L120" s="25"/>
      <c r="M120" s="26"/>
      <c r="N120" s="25"/>
      <c r="O120" s="26"/>
      <c r="P120" s="25"/>
      <c r="Q120" s="25"/>
      <c r="R120" s="25"/>
    </row>
    <row r="121" spans="1:18" x14ac:dyDescent="0.35">
      <c r="A121" s="25"/>
      <c r="B121" s="25"/>
      <c r="C121" s="25"/>
      <c r="D121" s="26"/>
      <c r="E121" s="25"/>
      <c r="F121" s="25"/>
      <c r="G121" s="25"/>
      <c r="H121" s="25"/>
      <c r="I121" s="25"/>
      <c r="J121" s="26"/>
      <c r="K121" s="26"/>
      <c r="L121" s="25"/>
      <c r="M121" s="26"/>
      <c r="N121" s="25"/>
      <c r="O121" s="26"/>
      <c r="P121" s="25"/>
      <c r="Q121" s="25"/>
      <c r="R121" s="25"/>
    </row>
    <row r="122" spans="1:18" x14ac:dyDescent="0.35">
      <c r="A122" s="25"/>
      <c r="B122" s="25"/>
      <c r="C122" s="25"/>
      <c r="D122" s="26"/>
      <c r="E122" s="25"/>
      <c r="F122" s="25"/>
      <c r="G122" s="25"/>
      <c r="H122" s="25"/>
      <c r="I122" s="25"/>
      <c r="J122" s="26"/>
      <c r="K122" s="26"/>
      <c r="L122" s="25"/>
      <c r="M122" s="26"/>
      <c r="N122" s="25"/>
      <c r="O122" s="26"/>
      <c r="P122" s="25"/>
      <c r="Q122" s="25"/>
      <c r="R122" s="25"/>
    </row>
    <row r="123" spans="1:18" x14ac:dyDescent="0.35">
      <c r="A123" s="25"/>
      <c r="B123" s="25"/>
      <c r="C123" s="25"/>
      <c r="D123" s="26"/>
      <c r="E123" s="25"/>
      <c r="F123" s="25"/>
      <c r="G123" s="25"/>
      <c r="H123" s="25"/>
      <c r="I123" s="25"/>
      <c r="J123" s="26"/>
      <c r="K123" s="26"/>
      <c r="L123" s="25"/>
      <c r="M123" s="26"/>
      <c r="N123" s="25"/>
      <c r="O123" s="26"/>
      <c r="P123" s="25"/>
      <c r="Q123" s="25"/>
      <c r="R123" s="25"/>
    </row>
    <row r="124" spans="1:18" x14ac:dyDescent="0.35">
      <c r="A124" s="25"/>
      <c r="B124" s="25"/>
      <c r="C124" s="25"/>
      <c r="D124" s="26"/>
      <c r="E124" s="25"/>
      <c r="F124" s="25"/>
      <c r="G124" s="25"/>
      <c r="H124" s="25"/>
      <c r="I124" s="25"/>
      <c r="J124" s="26"/>
      <c r="K124" s="26"/>
      <c r="L124" s="25"/>
      <c r="M124" s="26"/>
      <c r="N124" s="25"/>
      <c r="O124" s="26"/>
      <c r="P124" s="25"/>
      <c r="Q124" s="25"/>
      <c r="R124" s="25"/>
    </row>
  </sheetData>
  <mergeCells count="1">
    <mergeCell ref="A1:R1"/>
  </mergeCells>
  <dataValidations count="3">
    <dataValidation type="list" allowBlank="1" sqref="F5:F124" xr:uid="{00000000-0002-0000-0E00-000000000000}">
      <formula1>_xlfn._LONGTEXT("Documentation standards,Care planning,Safeguarding,Medication,Infection Control,Dignity,Communication,Professional boundaries,Resident outcomes,Falls management,Pressure care,Escalation of deterioration,Complaints,Lessons learned,Reflective practice,CQC i","nspection feedback,Audit findings,Competency concerns,Wellbeing,Return-to-work,Other")</formula1>
    </dataValidation>
    <dataValidation type="list" allowBlank="1" sqref="P5:P124" xr:uid="{00000000-0002-0000-0E00-000001000000}">
      <formula1>"Not Started,In Progress,Completed,Overdue,Closed"</formula1>
    </dataValidation>
    <dataValidation type="list" allowBlank="1" sqref="Q5:Q124" xr:uid="{00000000-0002-0000-0E00-000002000000}">
      <formula1>"Green,Amber,Red,Grey"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124"/>
  <sheetViews>
    <sheetView workbookViewId="0"/>
  </sheetViews>
  <sheetFormatPr defaultRowHeight="14.5" x14ac:dyDescent="0.35"/>
  <cols>
    <col min="1" max="1" width="22" customWidth="1"/>
    <col min="2" max="4" width="16" customWidth="1"/>
    <col min="5" max="5" width="30" customWidth="1"/>
    <col min="6" max="9" width="16" customWidth="1"/>
    <col min="10" max="10" width="30" customWidth="1"/>
    <col min="11" max="12" width="16" customWidth="1"/>
    <col min="13" max="13" width="30" customWidth="1"/>
    <col min="14" max="18" width="16" customWidth="1"/>
    <col min="19" max="19" width="30" customWidth="1"/>
  </cols>
  <sheetData>
    <row r="1" spans="1:19" x14ac:dyDescent="0.35">
      <c r="A1" s="154" t="s">
        <v>376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</row>
    <row r="2" spans="1:19" ht="32.25" customHeight="1" x14ac:dyDescent="0.35">
      <c r="A2" s="21" t="s">
        <v>321</v>
      </c>
    </row>
    <row r="4" spans="1:19" ht="19.399999999999999" customHeight="1" x14ac:dyDescent="0.35">
      <c r="A4" s="24" t="s">
        <v>31</v>
      </c>
      <c r="B4" s="24" t="s">
        <v>322</v>
      </c>
      <c r="C4" s="24" t="s">
        <v>377</v>
      </c>
      <c r="D4" s="24" t="s">
        <v>378</v>
      </c>
      <c r="E4" s="24" t="s">
        <v>379</v>
      </c>
      <c r="F4" s="24" t="s">
        <v>380</v>
      </c>
      <c r="G4" s="24" t="s">
        <v>381</v>
      </c>
      <c r="H4" s="24" t="s">
        <v>382</v>
      </c>
      <c r="I4" s="24" t="s">
        <v>383</v>
      </c>
      <c r="J4" s="24" t="s">
        <v>384</v>
      </c>
      <c r="K4" s="24" t="s">
        <v>352</v>
      </c>
      <c r="L4" s="24" t="s">
        <v>281</v>
      </c>
      <c r="M4" s="24" t="s">
        <v>335</v>
      </c>
      <c r="N4" s="24" t="s">
        <v>385</v>
      </c>
      <c r="O4" s="24" t="s">
        <v>353</v>
      </c>
      <c r="P4" s="24" t="s">
        <v>337</v>
      </c>
      <c r="Q4" s="24" t="s">
        <v>296</v>
      </c>
      <c r="R4" s="24" t="s">
        <v>6</v>
      </c>
      <c r="S4" s="24" t="s">
        <v>338</v>
      </c>
    </row>
    <row r="5" spans="1:19" x14ac:dyDescent="0.35">
      <c r="A5" s="25"/>
      <c r="B5" s="25"/>
      <c r="C5" s="26"/>
      <c r="D5" s="25"/>
      <c r="E5" s="25"/>
      <c r="F5" s="25"/>
      <c r="G5" s="25"/>
      <c r="H5" s="25"/>
      <c r="I5" s="25"/>
      <c r="J5" s="25"/>
      <c r="K5" s="26"/>
      <c r="L5" s="26"/>
      <c r="M5" s="25"/>
      <c r="N5" s="26"/>
      <c r="O5" s="25"/>
      <c r="P5" s="26"/>
      <c r="Q5" s="25"/>
      <c r="R5" s="25"/>
      <c r="S5" s="25"/>
    </row>
    <row r="6" spans="1:19" x14ac:dyDescent="0.35">
      <c r="A6" s="25"/>
      <c r="B6" s="25"/>
      <c r="C6" s="26"/>
      <c r="D6" s="25"/>
      <c r="E6" s="25"/>
      <c r="F6" s="25"/>
      <c r="G6" s="25"/>
      <c r="H6" s="25"/>
      <c r="I6" s="25"/>
      <c r="J6" s="25"/>
      <c r="K6" s="26"/>
      <c r="L6" s="26"/>
      <c r="M6" s="25"/>
      <c r="N6" s="26"/>
      <c r="O6" s="25"/>
      <c r="P6" s="26"/>
      <c r="Q6" s="25"/>
      <c r="R6" s="25"/>
      <c r="S6" s="25"/>
    </row>
    <row r="7" spans="1:19" x14ac:dyDescent="0.35">
      <c r="A7" s="25"/>
      <c r="B7" s="25"/>
      <c r="C7" s="26"/>
      <c r="D7" s="25"/>
      <c r="E7" s="25"/>
      <c r="F7" s="25"/>
      <c r="G7" s="25"/>
      <c r="H7" s="25"/>
      <c r="I7" s="25"/>
      <c r="J7" s="25"/>
      <c r="K7" s="26"/>
      <c r="L7" s="26"/>
      <c r="M7" s="25"/>
      <c r="N7" s="26"/>
      <c r="O7" s="25"/>
      <c r="P7" s="26"/>
      <c r="Q7" s="25"/>
      <c r="R7" s="25"/>
      <c r="S7" s="25"/>
    </row>
    <row r="8" spans="1:19" x14ac:dyDescent="0.35">
      <c r="A8" s="25"/>
      <c r="B8" s="25"/>
      <c r="C8" s="26"/>
      <c r="D8" s="25"/>
      <c r="E8" s="25"/>
      <c r="F8" s="25"/>
      <c r="G8" s="25"/>
      <c r="H8" s="25"/>
      <c r="I8" s="25"/>
      <c r="J8" s="25"/>
      <c r="K8" s="26"/>
      <c r="L8" s="26"/>
      <c r="M8" s="25"/>
      <c r="N8" s="26"/>
      <c r="O8" s="25"/>
      <c r="P8" s="26"/>
      <c r="Q8" s="25"/>
      <c r="R8" s="25"/>
      <c r="S8" s="25"/>
    </row>
    <row r="9" spans="1:19" x14ac:dyDescent="0.35">
      <c r="A9" s="25"/>
      <c r="B9" s="25"/>
      <c r="C9" s="26"/>
      <c r="D9" s="25"/>
      <c r="E9" s="25"/>
      <c r="F9" s="25"/>
      <c r="G9" s="25"/>
      <c r="H9" s="25"/>
      <c r="I9" s="25"/>
      <c r="J9" s="25"/>
      <c r="K9" s="26"/>
      <c r="L9" s="26"/>
      <c r="M9" s="25"/>
      <c r="N9" s="26"/>
      <c r="O9" s="25"/>
      <c r="P9" s="26"/>
      <c r="Q9" s="25"/>
      <c r="R9" s="25"/>
      <c r="S9" s="25"/>
    </row>
    <row r="10" spans="1:19" x14ac:dyDescent="0.35">
      <c r="A10" s="25"/>
      <c r="B10" s="25"/>
      <c r="C10" s="26"/>
      <c r="D10" s="25"/>
      <c r="E10" s="25"/>
      <c r="F10" s="25"/>
      <c r="G10" s="25"/>
      <c r="H10" s="25"/>
      <c r="I10" s="25"/>
      <c r="J10" s="25"/>
      <c r="K10" s="26"/>
      <c r="L10" s="26"/>
      <c r="M10" s="25"/>
      <c r="N10" s="26"/>
      <c r="O10" s="25"/>
      <c r="P10" s="26"/>
      <c r="Q10" s="25"/>
      <c r="R10" s="25"/>
      <c r="S10" s="25"/>
    </row>
    <row r="11" spans="1:19" x14ac:dyDescent="0.35">
      <c r="A11" s="25"/>
      <c r="B11" s="25"/>
      <c r="C11" s="26"/>
      <c r="D11" s="25"/>
      <c r="E11" s="25"/>
      <c r="F11" s="25"/>
      <c r="G11" s="25"/>
      <c r="H11" s="25"/>
      <c r="I11" s="25"/>
      <c r="J11" s="25"/>
      <c r="K11" s="26"/>
      <c r="L11" s="26"/>
      <c r="M11" s="25"/>
      <c r="N11" s="26"/>
      <c r="O11" s="25"/>
      <c r="P11" s="26"/>
      <c r="Q11" s="25"/>
      <c r="R11" s="25"/>
      <c r="S11" s="25"/>
    </row>
    <row r="12" spans="1:19" x14ac:dyDescent="0.35">
      <c r="A12" s="25"/>
      <c r="B12" s="25"/>
      <c r="C12" s="26"/>
      <c r="D12" s="25"/>
      <c r="E12" s="25"/>
      <c r="F12" s="25"/>
      <c r="G12" s="25"/>
      <c r="H12" s="25"/>
      <c r="I12" s="25"/>
      <c r="J12" s="25"/>
      <c r="K12" s="26"/>
      <c r="L12" s="26"/>
      <c r="M12" s="25"/>
      <c r="N12" s="26"/>
      <c r="O12" s="25"/>
      <c r="P12" s="26"/>
      <c r="Q12" s="25"/>
      <c r="R12" s="25"/>
      <c r="S12" s="25"/>
    </row>
    <row r="13" spans="1:19" x14ac:dyDescent="0.35">
      <c r="A13" s="25"/>
      <c r="B13" s="25"/>
      <c r="C13" s="26"/>
      <c r="D13" s="25"/>
      <c r="E13" s="25"/>
      <c r="F13" s="25"/>
      <c r="G13" s="25"/>
      <c r="H13" s="25"/>
      <c r="I13" s="25"/>
      <c r="J13" s="25"/>
      <c r="K13" s="26"/>
      <c r="L13" s="26"/>
      <c r="M13" s="25"/>
      <c r="N13" s="26"/>
      <c r="O13" s="25"/>
      <c r="P13" s="26"/>
      <c r="Q13" s="25"/>
      <c r="R13" s="25"/>
      <c r="S13" s="25"/>
    </row>
    <row r="14" spans="1:19" x14ac:dyDescent="0.35">
      <c r="A14" s="25"/>
      <c r="B14" s="25"/>
      <c r="C14" s="26"/>
      <c r="D14" s="25"/>
      <c r="E14" s="25"/>
      <c r="F14" s="25"/>
      <c r="G14" s="25"/>
      <c r="H14" s="25"/>
      <c r="I14" s="25"/>
      <c r="J14" s="25"/>
      <c r="K14" s="26"/>
      <c r="L14" s="26"/>
      <c r="M14" s="25"/>
      <c r="N14" s="26"/>
      <c r="O14" s="25"/>
      <c r="P14" s="26"/>
      <c r="Q14" s="25"/>
      <c r="R14" s="25"/>
      <c r="S14" s="25"/>
    </row>
    <row r="15" spans="1:19" x14ac:dyDescent="0.35">
      <c r="A15" s="25"/>
      <c r="B15" s="25"/>
      <c r="C15" s="26"/>
      <c r="D15" s="25"/>
      <c r="E15" s="25"/>
      <c r="F15" s="25"/>
      <c r="G15" s="25"/>
      <c r="H15" s="25"/>
      <c r="I15" s="25"/>
      <c r="J15" s="25"/>
      <c r="K15" s="26"/>
      <c r="L15" s="26"/>
      <c r="M15" s="25"/>
      <c r="N15" s="26"/>
      <c r="O15" s="25"/>
      <c r="P15" s="26"/>
      <c r="Q15" s="25"/>
      <c r="R15" s="25"/>
      <c r="S15" s="25"/>
    </row>
    <row r="16" spans="1:19" x14ac:dyDescent="0.35">
      <c r="A16" s="25"/>
      <c r="B16" s="25"/>
      <c r="C16" s="26"/>
      <c r="D16" s="25"/>
      <c r="E16" s="25"/>
      <c r="F16" s="25"/>
      <c r="G16" s="25"/>
      <c r="H16" s="25"/>
      <c r="I16" s="25"/>
      <c r="J16" s="25"/>
      <c r="K16" s="26"/>
      <c r="L16" s="26"/>
      <c r="M16" s="25"/>
      <c r="N16" s="26"/>
      <c r="O16" s="25"/>
      <c r="P16" s="26"/>
      <c r="Q16" s="25"/>
      <c r="R16" s="25"/>
      <c r="S16" s="25"/>
    </row>
    <row r="17" spans="1:19" x14ac:dyDescent="0.35">
      <c r="A17" s="25"/>
      <c r="B17" s="25"/>
      <c r="C17" s="26"/>
      <c r="D17" s="25"/>
      <c r="E17" s="25"/>
      <c r="F17" s="25"/>
      <c r="G17" s="25"/>
      <c r="H17" s="25"/>
      <c r="I17" s="25"/>
      <c r="J17" s="25"/>
      <c r="K17" s="26"/>
      <c r="L17" s="26"/>
      <c r="M17" s="25"/>
      <c r="N17" s="26"/>
      <c r="O17" s="25"/>
      <c r="P17" s="26"/>
      <c r="Q17" s="25"/>
      <c r="R17" s="25"/>
      <c r="S17" s="25"/>
    </row>
    <row r="18" spans="1:19" x14ac:dyDescent="0.35">
      <c r="A18" s="25"/>
      <c r="B18" s="25"/>
      <c r="C18" s="26"/>
      <c r="D18" s="25"/>
      <c r="E18" s="25"/>
      <c r="F18" s="25"/>
      <c r="G18" s="25"/>
      <c r="H18" s="25"/>
      <c r="I18" s="25"/>
      <c r="J18" s="25"/>
      <c r="K18" s="26"/>
      <c r="L18" s="26"/>
      <c r="M18" s="25"/>
      <c r="N18" s="26"/>
      <c r="O18" s="25"/>
      <c r="P18" s="26"/>
      <c r="Q18" s="25"/>
      <c r="R18" s="25"/>
      <c r="S18" s="25"/>
    </row>
    <row r="19" spans="1:19" x14ac:dyDescent="0.35">
      <c r="A19" s="25"/>
      <c r="B19" s="25"/>
      <c r="C19" s="26"/>
      <c r="D19" s="25"/>
      <c r="E19" s="25"/>
      <c r="F19" s="25"/>
      <c r="G19" s="25"/>
      <c r="H19" s="25"/>
      <c r="I19" s="25"/>
      <c r="J19" s="25"/>
      <c r="K19" s="26"/>
      <c r="L19" s="26"/>
      <c r="M19" s="25"/>
      <c r="N19" s="26"/>
      <c r="O19" s="25"/>
      <c r="P19" s="26"/>
      <c r="Q19" s="25"/>
      <c r="R19" s="25"/>
      <c r="S19" s="25"/>
    </row>
    <row r="20" spans="1:19" x14ac:dyDescent="0.35">
      <c r="A20" s="25"/>
      <c r="B20" s="25"/>
      <c r="C20" s="26"/>
      <c r="D20" s="25"/>
      <c r="E20" s="25"/>
      <c r="F20" s="25"/>
      <c r="G20" s="25"/>
      <c r="H20" s="25"/>
      <c r="I20" s="25"/>
      <c r="J20" s="25"/>
      <c r="K20" s="26"/>
      <c r="L20" s="26"/>
      <c r="M20" s="25"/>
      <c r="N20" s="26"/>
      <c r="O20" s="25"/>
      <c r="P20" s="26"/>
      <c r="Q20" s="25"/>
      <c r="R20" s="25"/>
      <c r="S20" s="25"/>
    </row>
    <row r="21" spans="1:19" x14ac:dyDescent="0.35">
      <c r="A21" s="25"/>
      <c r="B21" s="25"/>
      <c r="C21" s="26"/>
      <c r="D21" s="25"/>
      <c r="E21" s="25"/>
      <c r="F21" s="25"/>
      <c r="G21" s="25"/>
      <c r="H21" s="25"/>
      <c r="I21" s="25"/>
      <c r="J21" s="25"/>
      <c r="K21" s="26"/>
      <c r="L21" s="26"/>
      <c r="M21" s="25"/>
      <c r="N21" s="26"/>
      <c r="O21" s="25"/>
      <c r="P21" s="26"/>
      <c r="Q21" s="25"/>
      <c r="R21" s="25"/>
      <c r="S21" s="25"/>
    </row>
    <row r="22" spans="1:19" x14ac:dyDescent="0.35">
      <c r="A22" s="25"/>
      <c r="B22" s="25"/>
      <c r="C22" s="26"/>
      <c r="D22" s="25"/>
      <c r="E22" s="25"/>
      <c r="F22" s="25"/>
      <c r="G22" s="25"/>
      <c r="H22" s="25"/>
      <c r="I22" s="25"/>
      <c r="J22" s="25"/>
      <c r="K22" s="26"/>
      <c r="L22" s="26"/>
      <c r="M22" s="25"/>
      <c r="N22" s="26"/>
      <c r="O22" s="25"/>
      <c r="P22" s="26"/>
      <c r="Q22" s="25"/>
      <c r="R22" s="25"/>
      <c r="S22" s="25"/>
    </row>
    <row r="23" spans="1:19" x14ac:dyDescent="0.35">
      <c r="A23" s="25"/>
      <c r="B23" s="25"/>
      <c r="C23" s="26"/>
      <c r="D23" s="25"/>
      <c r="E23" s="25"/>
      <c r="F23" s="25"/>
      <c r="G23" s="25"/>
      <c r="H23" s="25"/>
      <c r="I23" s="25"/>
      <c r="J23" s="25"/>
      <c r="K23" s="26"/>
      <c r="L23" s="26"/>
      <c r="M23" s="25"/>
      <c r="N23" s="26"/>
      <c r="O23" s="25"/>
      <c r="P23" s="26"/>
      <c r="Q23" s="25"/>
      <c r="R23" s="25"/>
      <c r="S23" s="25"/>
    </row>
    <row r="24" spans="1:19" x14ac:dyDescent="0.35">
      <c r="A24" s="25"/>
      <c r="B24" s="25"/>
      <c r="C24" s="26"/>
      <c r="D24" s="25"/>
      <c r="E24" s="25"/>
      <c r="F24" s="25"/>
      <c r="G24" s="25"/>
      <c r="H24" s="25"/>
      <c r="I24" s="25"/>
      <c r="J24" s="25"/>
      <c r="K24" s="26"/>
      <c r="L24" s="26"/>
      <c r="M24" s="25"/>
      <c r="N24" s="26"/>
      <c r="O24" s="25"/>
      <c r="P24" s="26"/>
      <c r="Q24" s="25"/>
      <c r="R24" s="25"/>
      <c r="S24" s="25"/>
    </row>
    <row r="25" spans="1:19" x14ac:dyDescent="0.35">
      <c r="A25" s="25"/>
      <c r="B25" s="25"/>
      <c r="C25" s="26"/>
      <c r="D25" s="25"/>
      <c r="E25" s="25"/>
      <c r="F25" s="25"/>
      <c r="G25" s="25"/>
      <c r="H25" s="25"/>
      <c r="I25" s="25"/>
      <c r="J25" s="25"/>
      <c r="K25" s="26"/>
      <c r="L25" s="26"/>
      <c r="M25" s="25"/>
      <c r="N25" s="26"/>
      <c r="O25" s="25"/>
      <c r="P25" s="26"/>
      <c r="Q25" s="25"/>
      <c r="R25" s="25"/>
      <c r="S25" s="25"/>
    </row>
    <row r="26" spans="1:19" x14ac:dyDescent="0.35">
      <c r="A26" s="25"/>
      <c r="B26" s="25"/>
      <c r="C26" s="26"/>
      <c r="D26" s="25"/>
      <c r="E26" s="25"/>
      <c r="F26" s="25"/>
      <c r="G26" s="25"/>
      <c r="H26" s="25"/>
      <c r="I26" s="25"/>
      <c r="J26" s="25"/>
      <c r="K26" s="26"/>
      <c r="L26" s="26"/>
      <c r="M26" s="25"/>
      <c r="N26" s="26"/>
      <c r="O26" s="25"/>
      <c r="P26" s="26"/>
      <c r="Q26" s="25"/>
      <c r="R26" s="25"/>
      <c r="S26" s="25"/>
    </row>
    <row r="27" spans="1:19" x14ac:dyDescent="0.35">
      <c r="A27" s="25"/>
      <c r="B27" s="25"/>
      <c r="C27" s="26"/>
      <c r="D27" s="25"/>
      <c r="E27" s="25"/>
      <c r="F27" s="25"/>
      <c r="G27" s="25"/>
      <c r="H27" s="25"/>
      <c r="I27" s="25"/>
      <c r="J27" s="25"/>
      <c r="K27" s="26"/>
      <c r="L27" s="26"/>
      <c r="M27" s="25"/>
      <c r="N27" s="26"/>
      <c r="O27" s="25"/>
      <c r="P27" s="26"/>
      <c r="Q27" s="25"/>
      <c r="R27" s="25"/>
      <c r="S27" s="25"/>
    </row>
    <row r="28" spans="1:19" x14ac:dyDescent="0.35">
      <c r="A28" s="25"/>
      <c r="B28" s="25"/>
      <c r="C28" s="26"/>
      <c r="D28" s="25"/>
      <c r="E28" s="25"/>
      <c r="F28" s="25"/>
      <c r="G28" s="25"/>
      <c r="H28" s="25"/>
      <c r="I28" s="25"/>
      <c r="J28" s="25"/>
      <c r="K28" s="26"/>
      <c r="L28" s="26"/>
      <c r="M28" s="25"/>
      <c r="N28" s="26"/>
      <c r="O28" s="25"/>
      <c r="P28" s="26"/>
      <c r="Q28" s="25"/>
      <c r="R28" s="25"/>
      <c r="S28" s="25"/>
    </row>
    <row r="29" spans="1:19" x14ac:dyDescent="0.35">
      <c r="A29" s="25"/>
      <c r="B29" s="25"/>
      <c r="C29" s="26"/>
      <c r="D29" s="25"/>
      <c r="E29" s="25"/>
      <c r="F29" s="25"/>
      <c r="G29" s="25"/>
      <c r="H29" s="25"/>
      <c r="I29" s="25"/>
      <c r="J29" s="25"/>
      <c r="K29" s="26"/>
      <c r="L29" s="26"/>
      <c r="M29" s="25"/>
      <c r="N29" s="26"/>
      <c r="O29" s="25"/>
      <c r="P29" s="26"/>
      <c r="Q29" s="25"/>
      <c r="R29" s="25"/>
      <c r="S29" s="25"/>
    </row>
    <row r="30" spans="1:19" x14ac:dyDescent="0.35">
      <c r="A30" s="25"/>
      <c r="B30" s="25"/>
      <c r="C30" s="26"/>
      <c r="D30" s="25"/>
      <c r="E30" s="25"/>
      <c r="F30" s="25"/>
      <c r="G30" s="25"/>
      <c r="H30" s="25"/>
      <c r="I30" s="25"/>
      <c r="J30" s="25"/>
      <c r="K30" s="26"/>
      <c r="L30" s="26"/>
      <c r="M30" s="25"/>
      <c r="N30" s="26"/>
      <c r="O30" s="25"/>
      <c r="P30" s="26"/>
      <c r="Q30" s="25"/>
      <c r="R30" s="25"/>
      <c r="S30" s="25"/>
    </row>
    <row r="31" spans="1:19" x14ac:dyDescent="0.35">
      <c r="A31" s="25"/>
      <c r="B31" s="25"/>
      <c r="C31" s="26"/>
      <c r="D31" s="25"/>
      <c r="E31" s="25"/>
      <c r="F31" s="25"/>
      <c r="G31" s="25"/>
      <c r="H31" s="25"/>
      <c r="I31" s="25"/>
      <c r="J31" s="25"/>
      <c r="K31" s="26"/>
      <c r="L31" s="26"/>
      <c r="M31" s="25"/>
      <c r="N31" s="26"/>
      <c r="O31" s="25"/>
      <c r="P31" s="26"/>
      <c r="Q31" s="25"/>
      <c r="R31" s="25"/>
      <c r="S31" s="25"/>
    </row>
    <row r="32" spans="1:19" x14ac:dyDescent="0.35">
      <c r="A32" s="25"/>
      <c r="B32" s="25"/>
      <c r="C32" s="26"/>
      <c r="D32" s="25"/>
      <c r="E32" s="25"/>
      <c r="F32" s="25"/>
      <c r="G32" s="25"/>
      <c r="H32" s="25"/>
      <c r="I32" s="25"/>
      <c r="J32" s="25"/>
      <c r="K32" s="26"/>
      <c r="L32" s="26"/>
      <c r="M32" s="25"/>
      <c r="N32" s="26"/>
      <c r="O32" s="25"/>
      <c r="P32" s="26"/>
      <c r="Q32" s="25"/>
      <c r="R32" s="25"/>
      <c r="S32" s="25"/>
    </row>
    <row r="33" spans="1:19" x14ac:dyDescent="0.35">
      <c r="A33" s="25"/>
      <c r="B33" s="25"/>
      <c r="C33" s="26"/>
      <c r="D33" s="25"/>
      <c r="E33" s="25"/>
      <c r="F33" s="25"/>
      <c r="G33" s="25"/>
      <c r="H33" s="25"/>
      <c r="I33" s="25"/>
      <c r="J33" s="25"/>
      <c r="K33" s="26"/>
      <c r="L33" s="26"/>
      <c r="M33" s="25"/>
      <c r="N33" s="26"/>
      <c r="O33" s="25"/>
      <c r="P33" s="26"/>
      <c r="Q33" s="25"/>
      <c r="R33" s="25"/>
      <c r="S33" s="25"/>
    </row>
    <row r="34" spans="1:19" x14ac:dyDescent="0.35">
      <c r="A34" s="25"/>
      <c r="B34" s="25"/>
      <c r="C34" s="26"/>
      <c r="D34" s="25"/>
      <c r="E34" s="25"/>
      <c r="F34" s="25"/>
      <c r="G34" s="25"/>
      <c r="H34" s="25"/>
      <c r="I34" s="25"/>
      <c r="J34" s="25"/>
      <c r="K34" s="26"/>
      <c r="L34" s="26"/>
      <c r="M34" s="25"/>
      <c r="N34" s="26"/>
      <c r="O34" s="25"/>
      <c r="P34" s="26"/>
      <c r="Q34" s="25"/>
      <c r="R34" s="25"/>
      <c r="S34" s="25"/>
    </row>
    <row r="35" spans="1:19" x14ac:dyDescent="0.35">
      <c r="A35" s="25"/>
      <c r="B35" s="25"/>
      <c r="C35" s="26"/>
      <c r="D35" s="25"/>
      <c r="E35" s="25"/>
      <c r="F35" s="25"/>
      <c r="G35" s="25"/>
      <c r="H35" s="25"/>
      <c r="I35" s="25"/>
      <c r="J35" s="25"/>
      <c r="K35" s="26"/>
      <c r="L35" s="26"/>
      <c r="M35" s="25"/>
      <c r="N35" s="26"/>
      <c r="O35" s="25"/>
      <c r="P35" s="26"/>
      <c r="Q35" s="25"/>
      <c r="R35" s="25"/>
      <c r="S35" s="25"/>
    </row>
    <row r="36" spans="1:19" x14ac:dyDescent="0.35">
      <c r="A36" s="25"/>
      <c r="B36" s="25"/>
      <c r="C36" s="26"/>
      <c r="D36" s="25"/>
      <c r="E36" s="25"/>
      <c r="F36" s="25"/>
      <c r="G36" s="25"/>
      <c r="H36" s="25"/>
      <c r="I36" s="25"/>
      <c r="J36" s="25"/>
      <c r="K36" s="26"/>
      <c r="L36" s="26"/>
      <c r="M36" s="25"/>
      <c r="N36" s="26"/>
      <c r="O36" s="25"/>
      <c r="P36" s="26"/>
      <c r="Q36" s="25"/>
      <c r="R36" s="25"/>
      <c r="S36" s="25"/>
    </row>
    <row r="37" spans="1:19" x14ac:dyDescent="0.35">
      <c r="A37" s="25"/>
      <c r="B37" s="25"/>
      <c r="C37" s="26"/>
      <c r="D37" s="25"/>
      <c r="E37" s="25"/>
      <c r="F37" s="25"/>
      <c r="G37" s="25"/>
      <c r="H37" s="25"/>
      <c r="I37" s="25"/>
      <c r="J37" s="25"/>
      <c r="K37" s="26"/>
      <c r="L37" s="26"/>
      <c r="M37" s="25"/>
      <c r="N37" s="26"/>
      <c r="O37" s="25"/>
      <c r="P37" s="26"/>
      <c r="Q37" s="25"/>
      <c r="R37" s="25"/>
      <c r="S37" s="25"/>
    </row>
    <row r="38" spans="1:19" x14ac:dyDescent="0.35">
      <c r="A38" s="25"/>
      <c r="B38" s="25"/>
      <c r="C38" s="26"/>
      <c r="D38" s="25"/>
      <c r="E38" s="25"/>
      <c r="F38" s="25"/>
      <c r="G38" s="25"/>
      <c r="H38" s="25"/>
      <c r="I38" s="25"/>
      <c r="J38" s="25"/>
      <c r="K38" s="26"/>
      <c r="L38" s="26"/>
      <c r="M38" s="25"/>
      <c r="N38" s="26"/>
      <c r="O38" s="25"/>
      <c r="P38" s="26"/>
      <c r="Q38" s="25"/>
      <c r="R38" s="25"/>
      <c r="S38" s="25"/>
    </row>
    <row r="39" spans="1:19" x14ac:dyDescent="0.35">
      <c r="A39" s="25"/>
      <c r="B39" s="25"/>
      <c r="C39" s="26"/>
      <c r="D39" s="25"/>
      <c r="E39" s="25"/>
      <c r="F39" s="25"/>
      <c r="G39" s="25"/>
      <c r="H39" s="25"/>
      <c r="I39" s="25"/>
      <c r="J39" s="25"/>
      <c r="K39" s="26"/>
      <c r="L39" s="26"/>
      <c r="M39" s="25"/>
      <c r="N39" s="26"/>
      <c r="O39" s="25"/>
      <c r="P39" s="26"/>
      <c r="Q39" s="25"/>
      <c r="R39" s="25"/>
      <c r="S39" s="25"/>
    </row>
    <row r="40" spans="1:19" x14ac:dyDescent="0.35">
      <c r="A40" s="25"/>
      <c r="B40" s="25"/>
      <c r="C40" s="26"/>
      <c r="D40" s="25"/>
      <c r="E40" s="25"/>
      <c r="F40" s="25"/>
      <c r="G40" s="25"/>
      <c r="H40" s="25"/>
      <c r="I40" s="25"/>
      <c r="J40" s="25"/>
      <c r="K40" s="26"/>
      <c r="L40" s="26"/>
      <c r="M40" s="25"/>
      <c r="N40" s="26"/>
      <c r="O40" s="25"/>
      <c r="P40" s="26"/>
      <c r="Q40" s="25"/>
      <c r="R40" s="25"/>
      <c r="S40" s="25"/>
    </row>
    <row r="41" spans="1:19" x14ac:dyDescent="0.35">
      <c r="A41" s="25"/>
      <c r="B41" s="25"/>
      <c r="C41" s="26"/>
      <c r="D41" s="25"/>
      <c r="E41" s="25"/>
      <c r="F41" s="25"/>
      <c r="G41" s="25"/>
      <c r="H41" s="25"/>
      <c r="I41" s="25"/>
      <c r="J41" s="25"/>
      <c r="K41" s="26"/>
      <c r="L41" s="26"/>
      <c r="M41" s="25"/>
      <c r="N41" s="26"/>
      <c r="O41" s="25"/>
      <c r="P41" s="26"/>
      <c r="Q41" s="25"/>
      <c r="R41" s="25"/>
      <c r="S41" s="25"/>
    </row>
    <row r="42" spans="1:19" x14ac:dyDescent="0.35">
      <c r="A42" s="25"/>
      <c r="B42" s="25"/>
      <c r="C42" s="26"/>
      <c r="D42" s="25"/>
      <c r="E42" s="25"/>
      <c r="F42" s="25"/>
      <c r="G42" s="25"/>
      <c r="H42" s="25"/>
      <c r="I42" s="25"/>
      <c r="J42" s="25"/>
      <c r="K42" s="26"/>
      <c r="L42" s="26"/>
      <c r="M42" s="25"/>
      <c r="N42" s="26"/>
      <c r="O42" s="25"/>
      <c r="P42" s="26"/>
      <c r="Q42" s="25"/>
      <c r="R42" s="25"/>
      <c r="S42" s="25"/>
    </row>
    <row r="43" spans="1:19" x14ac:dyDescent="0.35">
      <c r="A43" s="25"/>
      <c r="B43" s="25"/>
      <c r="C43" s="26"/>
      <c r="D43" s="25"/>
      <c r="E43" s="25"/>
      <c r="F43" s="25"/>
      <c r="G43" s="25"/>
      <c r="H43" s="25"/>
      <c r="I43" s="25"/>
      <c r="J43" s="25"/>
      <c r="K43" s="26"/>
      <c r="L43" s="26"/>
      <c r="M43" s="25"/>
      <c r="N43" s="26"/>
      <c r="O43" s="25"/>
      <c r="P43" s="26"/>
      <c r="Q43" s="25"/>
      <c r="R43" s="25"/>
      <c r="S43" s="25"/>
    </row>
    <row r="44" spans="1:19" x14ac:dyDescent="0.35">
      <c r="A44" s="25"/>
      <c r="B44" s="25"/>
      <c r="C44" s="26"/>
      <c r="D44" s="25"/>
      <c r="E44" s="25"/>
      <c r="F44" s="25"/>
      <c r="G44" s="25"/>
      <c r="H44" s="25"/>
      <c r="I44" s="25"/>
      <c r="J44" s="25"/>
      <c r="K44" s="26"/>
      <c r="L44" s="26"/>
      <c r="M44" s="25"/>
      <c r="N44" s="26"/>
      <c r="O44" s="25"/>
      <c r="P44" s="26"/>
      <c r="Q44" s="25"/>
      <c r="R44" s="25"/>
      <c r="S44" s="25"/>
    </row>
    <row r="45" spans="1:19" x14ac:dyDescent="0.35">
      <c r="A45" s="25"/>
      <c r="B45" s="25"/>
      <c r="C45" s="26"/>
      <c r="D45" s="25"/>
      <c r="E45" s="25"/>
      <c r="F45" s="25"/>
      <c r="G45" s="25"/>
      <c r="H45" s="25"/>
      <c r="I45" s="25"/>
      <c r="J45" s="25"/>
      <c r="K45" s="26"/>
      <c r="L45" s="26"/>
      <c r="M45" s="25"/>
      <c r="N45" s="26"/>
      <c r="O45" s="25"/>
      <c r="P45" s="26"/>
      <c r="Q45" s="25"/>
      <c r="R45" s="25"/>
      <c r="S45" s="25"/>
    </row>
    <row r="46" spans="1:19" x14ac:dyDescent="0.35">
      <c r="A46" s="25"/>
      <c r="B46" s="25"/>
      <c r="C46" s="26"/>
      <c r="D46" s="25"/>
      <c r="E46" s="25"/>
      <c r="F46" s="25"/>
      <c r="G46" s="25"/>
      <c r="H46" s="25"/>
      <c r="I46" s="25"/>
      <c r="J46" s="25"/>
      <c r="K46" s="26"/>
      <c r="L46" s="26"/>
      <c r="M46" s="25"/>
      <c r="N46" s="26"/>
      <c r="O46" s="25"/>
      <c r="P46" s="26"/>
      <c r="Q46" s="25"/>
      <c r="R46" s="25"/>
      <c r="S46" s="25"/>
    </row>
    <row r="47" spans="1:19" x14ac:dyDescent="0.35">
      <c r="A47" s="25"/>
      <c r="B47" s="25"/>
      <c r="C47" s="26"/>
      <c r="D47" s="25"/>
      <c r="E47" s="25"/>
      <c r="F47" s="25"/>
      <c r="G47" s="25"/>
      <c r="H47" s="25"/>
      <c r="I47" s="25"/>
      <c r="J47" s="25"/>
      <c r="K47" s="26"/>
      <c r="L47" s="26"/>
      <c r="M47" s="25"/>
      <c r="N47" s="26"/>
      <c r="O47" s="25"/>
      <c r="P47" s="26"/>
      <c r="Q47" s="25"/>
      <c r="R47" s="25"/>
      <c r="S47" s="25"/>
    </row>
    <row r="48" spans="1:19" x14ac:dyDescent="0.35">
      <c r="A48" s="25"/>
      <c r="B48" s="25"/>
      <c r="C48" s="26"/>
      <c r="D48" s="25"/>
      <c r="E48" s="25"/>
      <c r="F48" s="25"/>
      <c r="G48" s="25"/>
      <c r="H48" s="25"/>
      <c r="I48" s="25"/>
      <c r="J48" s="25"/>
      <c r="K48" s="26"/>
      <c r="L48" s="26"/>
      <c r="M48" s="25"/>
      <c r="N48" s="26"/>
      <c r="O48" s="25"/>
      <c r="P48" s="26"/>
      <c r="Q48" s="25"/>
      <c r="R48" s="25"/>
      <c r="S48" s="25"/>
    </row>
    <row r="49" spans="1:19" x14ac:dyDescent="0.35">
      <c r="A49" s="25"/>
      <c r="B49" s="25"/>
      <c r="C49" s="26"/>
      <c r="D49" s="25"/>
      <c r="E49" s="25"/>
      <c r="F49" s="25"/>
      <c r="G49" s="25"/>
      <c r="H49" s="25"/>
      <c r="I49" s="25"/>
      <c r="J49" s="25"/>
      <c r="K49" s="26"/>
      <c r="L49" s="26"/>
      <c r="M49" s="25"/>
      <c r="N49" s="26"/>
      <c r="O49" s="25"/>
      <c r="P49" s="26"/>
      <c r="Q49" s="25"/>
      <c r="R49" s="25"/>
      <c r="S49" s="25"/>
    </row>
    <row r="50" spans="1:19" x14ac:dyDescent="0.35">
      <c r="A50" s="25"/>
      <c r="B50" s="25"/>
      <c r="C50" s="26"/>
      <c r="D50" s="25"/>
      <c r="E50" s="25"/>
      <c r="F50" s="25"/>
      <c r="G50" s="25"/>
      <c r="H50" s="25"/>
      <c r="I50" s="25"/>
      <c r="J50" s="25"/>
      <c r="K50" s="26"/>
      <c r="L50" s="26"/>
      <c r="M50" s="25"/>
      <c r="N50" s="26"/>
      <c r="O50" s="25"/>
      <c r="P50" s="26"/>
      <c r="Q50" s="25"/>
      <c r="R50" s="25"/>
      <c r="S50" s="25"/>
    </row>
    <row r="51" spans="1:19" x14ac:dyDescent="0.35">
      <c r="A51" s="25"/>
      <c r="B51" s="25"/>
      <c r="C51" s="26"/>
      <c r="D51" s="25"/>
      <c r="E51" s="25"/>
      <c r="F51" s="25"/>
      <c r="G51" s="25"/>
      <c r="H51" s="25"/>
      <c r="I51" s="25"/>
      <c r="J51" s="25"/>
      <c r="K51" s="26"/>
      <c r="L51" s="26"/>
      <c r="M51" s="25"/>
      <c r="N51" s="26"/>
      <c r="O51" s="25"/>
      <c r="P51" s="26"/>
      <c r="Q51" s="25"/>
      <c r="R51" s="25"/>
      <c r="S51" s="25"/>
    </row>
    <row r="52" spans="1:19" x14ac:dyDescent="0.35">
      <c r="A52" s="25"/>
      <c r="B52" s="25"/>
      <c r="C52" s="26"/>
      <c r="D52" s="25"/>
      <c r="E52" s="25"/>
      <c r="F52" s="25"/>
      <c r="G52" s="25"/>
      <c r="H52" s="25"/>
      <c r="I52" s="25"/>
      <c r="J52" s="25"/>
      <c r="K52" s="26"/>
      <c r="L52" s="26"/>
      <c r="M52" s="25"/>
      <c r="N52" s="26"/>
      <c r="O52" s="25"/>
      <c r="P52" s="26"/>
      <c r="Q52" s="25"/>
      <c r="R52" s="25"/>
      <c r="S52" s="25"/>
    </row>
    <row r="53" spans="1:19" x14ac:dyDescent="0.35">
      <c r="A53" s="25"/>
      <c r="B53" s="25"/>
      <c r="C53" s="26"/>
      <c r="D53" s="25"/>
      <c r="E53" s="25"/>
      <c r="F53" s="25"/>
      <c r="G53" s="25"/>
      <c r="H53" s="25"/>
      <c r="I53" s="25"/>
      <c r="J53" s="25"/>
      <c r="K53" s="26"/>
      <c r="L53" s="26"/>
      <c r="M53" s="25"/>
      <c r="N53" s="26"/>
      <c r="O53" s="25"/>
      <c r="P53" s="26"/>
      <c r="Q53" s="25"/>
      <c r="R53" s="25"/>
      <c r="S53" s="25"/>
    </row>
    <row r="54" spans="1:19" x14ac:dyDescent="0.35">
      <c r="A54" s="25"/>
      <c r="B54" s="25"/>
      <c r="C54" s="26"/>
      <c r="D54" s="25"/>
      <c r="E54" s="25"/>
      <c r="F54" s="25"/>
      <c r="G54" s="25"/>
      <c r="H54" s="25"/>
      <c r="I54" s="25"/>
      <c r="J54" s="25"/>
      <c r="K54" s="26"/>
      <c r="L54" s="26"/>
      <c r="M54" s="25"/>
      <c r="N54" s="26"/>
      <c r="O54" s="25"/>
      <c r="P54" s="26"/>
      <c r="Q54" s="25"/>
      <c r="R54" s="25"/>
      <c r="S54" s="25"/>
    </row>
    <row r="55" spans="1:19" x14ac:dyDescent="0.35">
      <c r="A55" s="25"/>
      <c r="B55" s="25"/>
      <c r="C55" s="26"/>
      <c r="D55" s="25"/>
      <c r="E55" s="25"/>
      <c r="F55" s="25"/>
      <c r="G55" s="25"/>
      <c r="H55" s="25"/>
      <c r="I55" s="25"/>
      <c r="J55" s="25"/>
      <c r="K55" s="26"/>
      <c r="L55" s="26"/>
      <c r="M55" s="25"/>
      <c r="N55" s="26"/>
      <c r="O55" s="25"/>
      <c r="P55" s="26"/>
      <c r="Q55" s="25"/>
      <c r="R55" s="25"/>
      <c r="S55" s="25"/>
    </row>
    <row r="56" spans="1:19" x14ac:dyDescent="0.35">
      <c r="A56" s="25"/>
      <c r="B56" s="25"/>
      <c r="C56" s="26"/>
      <c r="D56" s="25"/>
      <c r="E56" s="25"/>
      <c r="F56" s="25"/>
      <c r="G56" s="25"/>
      <c r="H56" s="25"/>
      <c r="I56" s="25"/>
      <c r="J56" s="25"/>
      <c r="K56" s="26"/>
      <c r="L56" s="26"/>
      <c r="M56" s="25"/>
      <c r="N56" s="26"/>
      <c r="O56" s="25"/>
      <c r="P56" s="26"/>
      <c r="Q56" s="25"/>
      <c r="R56" s="25"/>
      <c r="S56" s="25"/>
    </row>
    <row r="57" spans="1:19" x14ac:dyDescent="0.35">
      <c r="A57" s="25"/>
      <c r="B57" s="25"/>
      <c r="C57" s="26"/>
      <c r="D57" s="25"/>
      <c r="E57" s="25"/>
      <c r="F57" s="25"/>
      <c r="G57" s="25"/>
      <c r="H57" s="25"/>
      <c r="I57" s="25"/>
      <c r="J57" s="25"/>
      <c r="K57" s="26"/>
      <c r="L57" s="26"/>
      <c r="M57" s="25"/>
      <c r="N57" s="26"/>
      <c r="O57" s="25"/>
      <c r="P57" s="26"/>
      <c r="Q57" s="25"/>
      <c r="R57" s="25"/>
      <c r="S57" s="25"/>
    </row>
    <row r="58" spans="1:19" x14ac:dyDescent="0.35">
      <c r="A58" s="25"/>
      <c r="B58" s="25"/>
      <c r="C58" s="26"/>
      <c r="D58" s="25"/>
      <c r="E58" s="25"/>
      <c r="F58" s="25"/>
      <c r="G58" s="25"/>
      <c r="H58" s="25"/>
      <c r="I58" s="25"/>
      <c r="J58" s="25"/>
      <c r="K58" s="26"/>
      <c r="L58" s="26"/>
      <c r="M58" s="25"/>
      <c r="N58" s="26"/>
      <c r="O58" s="25"/>
      <c r="P58" s="26"/>
      <c r="Q58" s="25"/>
      <c r="R58" s="25"/>
      <c r="S58" s="25"/>
    </row>
    <row r="59" spans="1:19" x14ac:dyDescent="0.35">
      <c r="A59" s="25"/>
      <c r="B59" s="25"/>
      <c r="C59" s="26"/>
      <c r="D59" s="25"/>
      <c r="E59" s="25"/>
      <c r="F59" s="25"/>
      <c r="G59" s="25"/>
      <c r="H59" s="25"/>
      <c r="I59" s="25"/>
      <c r="J59" s="25"/>
      <c r="K59" s="26"/>
      <c r="L59" s="26"/>
      <c r="M59" s="25"/>
      <c r="N59" s="26"/>
      <c r="O59" s="25"/>
      <c r="P59" s="26"/>
      <c r="Q59" s="25"/>
      <c r="R59" s="25"/>
      <c r="S59" s="25"/>
    </row>
    <row r="60" spans="1:19" x14ac:dyDescent="0.35">
      <c r="A60" s="25"/>
      <c r="B60" s="25"/>
      <c r="C60" s="26"/>
      <c r="D60" s="25"/>
      <c r="E60" s="25"/>
      <c r="F60" s="25"/>
      <c r="G60" s="25"/>
      <c r="H60" s="25"/>
      <c r="I60" s="25"/>
      <c r="J60" s="25"/>
      <c r="K60" s="26"/>
      <c r="L60" s="26"/>
      <c r="M60" s="25"/>
      <c r="N60" s="26"/>
      <c r="O60" s="25"/>
      <c r="P60" s="26"/>
      <c r="Q60" s="25"/>
      <c r="R60" s="25"/>
      <c r="S60" s="25"/>
    </row>
    <row r="61" spans="1:19" x14ac:dyDescent="0.35">
      <c r="A61" s="25"/>
      <c r="B61" s="25"/>
      <c r="C61" s="26"/>
      <c r="D61" s="25"/>
      <c r="E61" s="25"/>
      <c r="F61" s="25"/>
      <c r="G61" s="25"/>
      <c r="H61" s="25"/>
      <c r="I61" s="25"/>
      <c r="J61" s="25"/>
      <c r="K61" s="26"/>
      <c r="L61" s="26"/>
      <c r="M61" s="25"/>
      <c r="N61" s="26"/>
      <c r="O61" s="25"/>
      <c r="P61" s="26"/>
      <c r="Q61" s="25"/>
      <c r="R61" s="25"/>
      <c r="S61" s="25"/>
    </row>
    <row r="62" spans="1:19" x14ac:dyDescent="0.35">
      <c r="A62" s="25"/>
      <c r="B62" s="25"/>
      <c r="C62" s="26"/>
      <c r="D62" s="25"/>
      <c r="E62" s="25"/>
      <c r="F62" s="25"/>
      <c r="G62" s="25"/>
      <c r="H62" s="25"/>
      <c r="I62" s="25"/>
      <c r="J62" s="25"/>
      <c r="K62" s="26"/>
      <c r="L62" s="26"/>
      <c r="M62" s="25"/>
      <c r="N62" s="26"/>
      <c r="O62" s="25"/>
      <c r="P62" s="26"/>
      <c r="Q62" s="25"/>
      <c r="R62" s="25"/>
      <c r="S62" s="25"/>
    </row>
    <row r="63" spans="1:19" x14ac:dyDescent="0.35">
      <c r="A63" s="25"/>
      <c r="B63" s="25"/>
      <c r="C63" s="26"/>
      <c r="D63" s="25"/>
      <c r="E63" s="25"/>
      <c r="F63" s="25"/>
      <c r="G63" s="25"/>
      <c r="H63" s="25"/>
      <c r="I63" s="25"/>
      <c r="J63" s="25"/>
      <c r="K63" s="26"/>
      <c r="L63" s="26"/>
      <c r="M63" s="25"/>
      <c r="N63" s="26"/>
      <c r="O63" s="25"/>
      <c r="P63" s="26"/>
      <c r="Q63" s="25"/>
      <c r="R63" s="25"/>
      <c r="S63" s="25"/>
    </row>
    <row r="64" spans="1:19" x14ac:dyDescent="0.35">
      <c r="A64" s="25"/>
      <c r="B64" s="25"/>
      <c r="C64" s="26"/>
      <c r="D64" s="25"/>
      <c r="E64" s="25"/>
      <c r="F64" s="25"/>
      <c r="G64" s="25"/>
      <c r="H64" s="25"/>
      <c r="I64" s="25"/>
      <c r="J64" s="25"/>
      <c r="K64" s="26"/>
      <c r="L64" s="26"/>
      <c r="M64" s="25"/>
      <c r="N64" s="26"/>
      <c r="O64" s="25"/>
      <c r="P64" s="26"/>
      <c r="Q64" s="25"/>
      <c r="R64" s="25"/>
      <c r="S64" s="25"/>
    </row>
    <row r="65" spans="1:19" x14ac:dyDescent="0.35">
      <c r="A65" s="25"/>
      <c r="B65" s="25"/>
      <c r="C65" s="26"/>
      <c r="D65" s="25"/>
      <c r="E65" s="25"/>
      <c r="F65" s="25"/>
      <c r="G65" s="25"/>
      <c r="H65" s="25"/>
      <c r="I65" s="25"/>
      <c r="J65" s="25"/>
      <c r="K65" s="26"/>
      <c r="L65" s="26"/>
      <c r="M65" s="25"/>
      <c r="N65" s="26"/>
      <c r="O65" s="25"/>
      <c r="P65" s="26"/>
      <c r="Q65" s="25"/>
      <c r="R65" s="25"/>
      <c r="S65" s="25"/>
    </row>
    <row r="66" spans="1:19" x14ac:dyDescent="0.35">
      <c r="A66" s="25"/>
      <c r="B66" s="25"/>
      <c r="C66" s="26"/>
      <c r="D66" s="25"/>
      <c r="E66" s="25"/>
      <c r="F66" s="25"/>
      <c r="G66" s="25"/>
      <c r="H66" s="25"/>
      <c r="I66" s="25"/>
      <c r="J66" s="25"/>
      <c r="K66" s="26"/>
      <c r="L66" s="26"/>
      <c r="M66" s="25"/>
      <c r="N66" s="26"/>
      <c r="O66" s="25"/>
      <c r="P66" s="26"/>
      <c r="Q66" s="25"/>
      <c r="R66" s="25"/>
      <c r="S66" s="25"/>
    </row>
    <row r="67" spans="1:19" x14ac:dyDescent="0.35">
      <c r="A67" s="25"/>
      <c r="B67" s="25"/>
      <c r="C67" s="26"/>
      <c r="D67" s="25"/>
      <c r="E67" s="25"/>
      <c r="F67" s="25"/>
      <c r="G67" s="25"/>
      <c r="H67" s="25"/>
      <c r="I67" s="25"/>
      <c r="J67" s="25"/>
      <c r="K67" s="26"/>
      <c r="L67" s="26"/>
      <c r="M67" s="25"/>
      <c r="N67" s="26"/>
      <c r="O67" s="25"/>
      <c r="P67" s="26"/>
      <c r="Q67" s="25"/>
      <c r="R67" s="25"/>
      <c r="S67" s="25"/>
    </row>
    <row r="68" spans="1:19" x14ac:dyDescent="0.35">
      <c r="A68" s="25"/>
      <c r="B68" s="25"/>
      <c r="C68" s="26"/>
      <c r="D68" s="25"/>
      <c r="E68" s="25"/>
      <c r="F68" s="25"/>
      <c r="G68" s="25"/>
      <c r="H68" s="25"/>
      <c r="I68" s="25"/>
      <c r="J68" s="25"/>
      <c r="K68" s="26"/>
      <c r="L68" s="26"/>
      <c r="M68" s="25"/>
      <c r="N68" s="26"/>
      <c r="O68" s="25"/>
      <c r="P68" s="26"/>
      <c r="Q68" s="25"/>
      <c r="R68" s="25"/>
      <c r="S68" s="25"/>
    </row>
    <row r="69" spans="1:19" x14ac:dyDescent="0.35">
      <c r="A69" s="25"/>
      <c r="B69" s="25"/>
      <c r="C69" s="26"/>
      <c r="D69" s="25"/>
      <c r="E69" s="25"/>
      <c r="F69" s="25"/>
      <c r="G69" s="25"/>
      <c r="H69" s="25"/>
      <c r="I69" s="25"/>
      <c r="J69" s="25"/>
      <c r="K69" s="26"/>
      <c r="L69" s="26"/>
      <c r="M69" s="25"/>
      <c r="N69" s="26"/>
      <c r="O69" s="25"/>
      <c r="P69" s="26"/>
      <c r="Q69" s="25"/>
      <c r="R69" s="25"/>
      <c r="S69" s="25"/>
    </row>
    <row r="70" spans="1:19" x14ac:dyDescent="0.35">
      <c r="A70" s="25"/>
      <c r="B70" s="25"/>
      <c r="C70" s="26"/>
      <c r="D70" s="25"/>
      <c r="E70" s="25"/>
      <c r="F70" s="25"/>
      <c r="G70" s="25"/>
      <c r="H70" s="25"/>
      <c r="I70" s="25"/>
      <c r="J70" s="25"/>
      <c r="K70" s="26"/>
      <c r="L70" s="26"/>
      <c r="M70" s="25"/>
      <c r="N70" s="26"/>
      <c r="O70" s="25"/>
      <c r="P70" s="26"/>
      <c r="Q70" s="25"/>
      <c r="R70" s="25"/>
      <c r="S70" s="25"/>
    </row>
    <row r="71" spans="1:19" x14ac:dyDescent="0.35">
      <c r="A71" s="25"/>
      <c r="B71" s="25"/>
      <c r="C71" s="26"/>
      <c r="D71" s="25"/>
      <c r="E71" s="25"/>
      <c r="F71" s="25"/>
      <c r="G71" s="25"/>
      <c r="H71" s="25"/>
      <c r="I71" s="25"/>
      <c r="J71" s="25"/>
      <c r="K71" s="26"/>
      <c r="L71" s="26"/>
      <c r="M71" s="25"/>
      <c r="N71" s="26"/>
      <c r="O71" s="25"/>
      <c r="P71" s="26"/>
      <c r="Q71" s="25"/>
      <c r="R71" s="25"/>
      <c r="S71" s="25"/>
    </row>
    <row r="72" spans="1:19" x14ac:dyDescent="0.35">
      <c r="A72" s="25"/>
      <c r="B72" s="25"/>
      <c r="C72" s="26"/>
      <c r="D72" s="25"/>
      <c r="E72" s="25"/>
      <c r="F72" s="25"/>
      <c r="G72" s="25"/>
      <c r="H72" s="25"/>
      <c r="I72" s="25"/>
      <c r="J72" s="25"/>
      <c r="K72" s="26"/>
      <c r="L72" s="26"/>
      <c r="M72" s="25"/>
      <c r="N72" s="26"/>
      <c r="O72" s="25"/>
      <c r="P72" s="26"/>
      <c r="Q72" s="25"/>
      <c r="R72" s="25"/>
      <c r="S72" s="25"/>
    </row>
    <row r="73" spans="1:19" x14ac:dyDescent="0.35">
      <c r="A73" s="25"/>
      <c r="B73" s="25"/>
      <c r="C73" s="26"/>
      <c r="D73" s="25"/>
      <c r="E73" s="25"/>
      <c r="F73" s="25"/>
      <c r="G73" s="25"/>
      <c r="H73" s="25"/>
      <c r="I73" s="25"/>
      <c r="J73" s="25"/>
      <c r="K73" s="26"/>
      <c r="L73" s="26"/>
      <c r="M73" s="25"/>
      <c r="N73" s="26"/>
      <c r="O73" s="25"/>
      <c r="P73" s="26"/>
      <c r="Q73" s="25"/>
      <c r="R73" s="25"/>
      <c r="S73" s="25"/>
    </row>
    <row r="74" spans="1:19" x14ac:dyDescent="0.35">
      <c r="A74" s="25"/>
      <c r="B74" s="25"/>
      <c r="C74" s="26"/>
      <c r="D74" s="25"/>
      <c r="E74" s="25"/>
      <c r="F74" s="25"/>
      <c r="G74" s="25"/>
      <c r="H74" s="25"/>
      <c r="I74" s="25"/>
      <c r="J74" s="25"/>
      <c r="K74" s="26"/>
      <c r="L74" s="26"/>
      <c r="M74" s="25"/>
      <c r="N74" s="26"/>
      <c r="O74" s="25"/>
      <c r="P74" s="26"/>
      <c r="Q74" s="25"/>
      <c r="R74" s="25"/>
      <c r="S74" s="25"/>
    </row>
    <row r="75" spans="1:19" x14ac:dyDescent="0.35">
      <c r="A75" s="25"/>
      <c r="B75" s="25"/>
      <c r="C75" s="26"/>
      <c r="D75" s="25"/>
      <c r="E75" s="25"/>
      <c r="F75" s="25"/>
      <c r="G75" s="25"/>
      <c r="H75" s="25"/>
      <c r="I75" s="25"/>
      <c r="J75" s="25"/>
      <c r="K75" s="26"/>
      <c r="L75" s="26"/>
      <c r="M75" s="25"/>
      <c r="N75" s="26"/>
      <c r="O75" s="25"/>
      <c r="P75" s="26"/>
      <c r="Q75" s="25"/>
      <c r="R75" s="25"/>
      <c r="S75" s="25"/>
    </row>
    <row r="76" spans="1:19" x14ac:dyDescent="0.35">
      <c r="A76" s="25"/>
      <c r="B76" s="25"/>
      <c r="C76" s="26"/>
      <c r="D76" s="25"/>
      <c r="E76" s="25"/>
      <c r="F76" s="25"/>
      <c r="G76" s="25"/>
      <c r="H76" s="25"/>
      <c r="I76" s="25"/>
      <c r="J76" s="25"/>
      <c r="K76" s="26"/>
      <c r="L76" s="26"/>
      <c r="M76" s="25"/>
      <c r="N76" s="26"/>
      <c r="O76" s="25"/>
      <c r="P76" s="26"/>
      <c r="Q76" s="25"/>
      <c r="R76" s="25"/>
      <c r="S76" s="25"/>
    </row>
    <row r="77" spans="1:19" x14ac:dyDescent="0.35">
      <c r="A77" s="25"/>
      <c r="B77" s="25"/>
      <c r="C77" s="26"/>
      <c r="D77" s="25"/>
      <c r="E77" s="25"/>
      <c r="F77" s="25"/>
      <c r="G77" s="25"/>
      <c r="H77" s="25"/>
      <c r="I77" s="25"/>
      <c r="J77" s="25"/>
      <c r="K77" s="26"/>
      <c r="L77" s="26"/>
      <c r="M77" s="25"/>
      <c r="N77" s="26"/>
      <c r="O77" s="25"/>
      <c r="P77" s="26"/>
      <c r="Q77" s="25"/>
      <c r="R77" s="25"/>
      <c r="S77" s="25"/>
    </row>
    <row r="78" spans="1:19" x14ac:dyDescent="0.35">
      <c r="A78" s="25"/>
      <c r="B78" s="25"/>
      <c r="C78" s="26"/>
      <c r="D78" s="25"/>
      <c r="E78" s="25"/>
      <c r="F78" s="25"/>
      <c r="G78" s="25"/>
      <c r="H78" s="25"/>
      <c r="I78" s="25"/>
      <c r="J78" s="25"/>
      <c r="K78" s="26"/>
      <c r="L78" s="26"/>
      <c r="M78" s="25"/>
      <c r="N78" s="26"/>
      <c r="O78" s="25"/>
      <c r="P78" s="26"/>
      <c r="Q78" s="25"/>
      <c r="R78" s="25"/>
      <c r="S78" s="25"/>
    </row>
    <row r="79" spans="1:19" x14ac:dyDescent="0.35">
      <c r="A79" s="25"/>
      <c r="B79" s="25"/>
      <c r="C79" s="26"/>
      <c r="D79" s="25"/>
      <c r="E79" s="25"/>
      <c r="F79" s="25"/>
      <c r="G79" s="25"/>
      <c r="H79" s="25"/>
      <c r="I79" s="25"/>
      <c r="J79" s="25"/>
      <c r="K79" s="26"/>
      <c r="L79" s="26"/>
      <c r="M79" s="25"/>
      <c r="N79" s="26"/>
      <c r="O79" s="25"/>
      <c r="P79" s="26"/>
      <c r="Q79" s="25"/>
      <c r="R79" s="25"/>
      <c r="S79" s="25"/>
    </row>
    <row r="80" spans="1:19" x14ac:dyDescent="0.35">
      <c r="A80" s="25"/>
      <c r="B80" s="25"/>
      <c r="C80" s="26"/>
      <c r="D80" s="25"/>
      <c r="E80" s="25"/>
      <c r="F80" s="25"/>
      <c r="G80" s="25"/>
      <c r="H80" s="25"/>
      <c r="I80" s="25"/>
      <c r="J80" s="25"/>
      <c r="K80" s="26"/>
      <c r="L80" s="26"/>
      <c r="M80" s="25"/>
      <c r="N80" s="26"/>
      <c r="O80" s="25"/>
      <c r="P80" s="26"/>
      <c r="Q80" s="25"/>
      <c r="R80" s="25"/>
      <c r="S80" s="25"/>
    </row>
    <row r="81" spans="1:19" x14ac:dyDescent="0.35">
      <c r="A81" s="25"/>
      <c r="B81" s="25"/>
      <c r="C81" s="26"/>
      <c r="D81" s="25"/>
      <c r="E81" s="25"/>
      <c r="F81" s="25"/>
      <c r="G81" s="25"/>
      <c r="H81" s="25"/>
      <c r="I81" s="25"/>
      <c r="J81" s="25"/>
      <c r="K81" s="26"/>
      <c r="L81" s="26"/>
      <c r="M81" s="25"/>
      <c r="N81" s="26"/>
      <c r="O81" s="25"/>
      <c r="P81" s="26"/>
      <c r="Q81" s="25"/>
      <c r="R81" s="25"/>
      <c r="S81" s="25"/>
    </row>
    <row r="82" spans="1:19" x14ac:dyDescent="0.35">
      <c r="A82" s="25"/>
      <c r="B82" s="25"/>
      <c r="C82" s="26"/>
      <c r="D82" s="25"/>
      <c r="E82" s="25"/>
      <c r="F82" s="25"/>
      <c r="G82" s="25"/>
      <c r="H82" s="25"/>
      <c r="I82" s="25"/>
      <c r="J82" s="25"/>
      <c r="K82" s="26"/>
      <c r="L82" s="26"/>
      <c r="M82" s="25"/>
      <c r="N82" s="26"/>
      <c r="O82" s="25"/>
      <c r="P82" s="26"/>
      <c r="Q82" s="25"/>
      <c r="R82" s="25"/>
      <c r="S82" s="25"/>
    </row>
    <row r="83" spans="1:19" x14ac:dyDescent="0.35">
      <c r="A83" s="25"/>
      <c r="B83" s="25"/>
      <c r="C83" s="26"/>
      <c r="D83" s="25"/>
      <c r="E83" s="25"/>
      <c r="F83" s="25"/>
      <c r="G83" s="25"/>
      <c r="H83" s="25"/>
      <c r="I83" s="25"/>
      <c r="J83" s="25"/>
      <c r="K83" s="26"/>
      <c r="L83" s="26"/>
      <c r="M83" s="25"/>
      <c r="N83" s="26"/>
      <c r="O83" s="25"/>
      <c r="P83" s="26"/>
      <c r="Q83" s="25"/>
      <c r="R83" s="25"/>
      <c r="S83" s="25"/>
    </row>
    <row r="84" spans="1:19" x14ac:dyDescent="0.35">
      <c r="A84" s="25"/>
      <c r="B84" s="25"/>
      <c r="C84" s="26"/>
      <c r="D84" s="25"/>
      <c r="E84" s="25"/>
      <c r="F84" s="25"/>
      <c r="G84" s="25"/>
      <c r="H84" s="25"/>
      <c r="I84" s="25"/>
      <c r="J84" s="25"/>
      <c r="K84" s="26"/>
      <c r="L84" s="26"/>
      <c r="M84" s="25"/>
      <c r="N84" s="26"/>
      <c r="O84" s="25"/>
      <c r="P84" s="26"/>
      <c r="Q84" s="25"/>
      <c r="R84" s="25"/>
      <c r="S84" s="25"/>
    </row>
    <row r="85" spans="1:19" x14ac:dyDescent="0.35">
      <c r="A85" s="25"/>
      <c r="B85" s="25"/>
      <c r="C85" s="26"/>
      <c r="D85" s="25"/>
      <c r="E85" s="25"/>
      <c r="F85" s="25"/>
      <c r="G85" s="25"/>
      <c r="H85" s="25"/>
      <c r="I85" s="25"/>
      <c r="J85" s="25"/>
      <c r="K85" s="26"/>
      <c r="L85" s="26"/>
      <c r="M85" s="25"/>
      <c r="N85" s="26"/>
      <c r="O85" s="25"/>
      <c r="P85" s="26"/>
      <c r="Q85" s="25"/>
      <c r="R85" s="25"/>
      <c r="S85" s="25"/>
    </row>
    <row r="86" spans="1:19" x14ac:dyDescent="0.35">
      <c r="A86" s="25"/>
      <c r="B86" s="25"/>
      <c r="C86" s="26"/>
      <c r="D86" s="25"/>
      <c r="E86" s="25"/>
      <c r="F86" s="25"/>
      <c r="G86" s="25"/>
      <c r="H86" s="25"/>
      <c r="I86" s="25"/>
      <c r="J86" s="25"/>
      <c r="K86" s="26"/>
      <c r="L86" s="26"/>
      <c r="M86" s="25"/>
      <c r="N86" s="26"/>
      <c r="O86" s="25"/>
      <c r="P86" s="26"/>
      <c r="Q86" s="25"/>
      <c r="R86" s="25"/>
      <c r="S86" s="25"/>
    </row>
    <row r="87" spans="1:19" x14ac:dyDescent="0.35">
      <c r="A87" s="25"/>
      <c r="B87" s="25"/>
      <c r="C87" s="26"/>
      <c r="D87" s="25"/>
      <c r="E87" s="25"/>
      <c r="F87" s="25"/>
      <c r="G87" s="25"/>
      <c r="H87" s="25"/>
      <c r="I87" s="25"/>
      <c r="J87" s="25"/>
      <c r="K87" s="26"/>
      <c r="L87" s="26"/>
      <c r="M87" s="25"/>
      <c r="N87" s="26"/>
      <c r="O87" s="25"/>
      <c r="P87" s="26"/>
      <c r="Q87" s="25"/>
      <c r="R87" s="25"/>
      <c r="S87" s="25"/>
    </row>
    <row r="88" spans="1:19" x14ac:dyDescent="0.35">
      <c r="A88" s="25"/>
      <c r="B88" s="25"/>
      <c r="C88" s="26"/>
      <c r="D88" s="25"/>
      <c r="E88" s="25"/>
      <c r="F88" s="25"/>
      <c r="G88" s="25"/>
      <c r="H88" s="25"/>
      <c r="I88" s="25"/>
      <c r="J88" s="25"/>
      <c r="K88" s="26"/>
      <c r="L88" s="26"/>
      <c r="M88" s="25"/>
      <c r="N88" s="26"/>
      <c r="O88" s="25"/>
      <c r="P88" s="26"/>
      <c r="Q88" s="25"/>
      <c r="R88" s="25"/>
      <c r="S88" s="25"/>
    </row>
    <row r="89" spans="1:19" x14ac:dyDescent="0.35">
      <c r="A89" s="25"/>
      <c r="B89" s="25"/>
      <c r="C89" s="26"/>
      <c r="D89" s="25"/>
      <c r="E89" s="25"/>
      <c r="F89" s="25"/>
      <c r="G89" s="25"/>
      <c r="H89" s="25"/>
      <c r="I89" s="25"/>
      <c r="J89" s="25"/>
      <c r="K89" s="26"/>
      <c r="L89" s="26"/>
      <c r="M89" s="25"/>
      <c r="N89" s="26"/>
      <c r="O89" s="25"/>
      <c r="P89" s="26"/>
      <c r="Q89" s="25"/>
      <c r="R89" s="25"/>
      <c r="S89" s="25"/>
    </row>
    <row r="90" spans="1:19" x14ac:dyDescent="0.35">
      <c r="A90" s="25"/>
      <c r="B90" s="25"/>
      <c r="C90" s="26"/>
      <c r="D90" s="25"/>
      <c r="E90" s="25"/>
      <c r="F90" s="25"/>
      <c r="G90" s="25"/>
      <c r="H90" s="25"/>
      <c r="I90" s="25"/>
      <c r="J90" s="25"/>
      <c r="K90" s="26"/>
      <c r="L90" s="26"/>
      <c r="M90" s="25"/>
      <c r="N90" s="26"/>
      <c r="O90" s="25"/>
      <c r="P90" s="26"/>
      <c r="Q90" s="25"/>
      <c r="R90" s="25"/>
      <c r="S90" s="25"/>
    </row>
    <row r="91" spans="1:19" x14ac:dyDescent="0.35">
      <c r="A91" s="25"/>
      <c r="B91" s="25"/>
      <c r="C91" s="26"/>
      <c r="D91" s="25"/>
      <c r="E91" s="25"/>
      <c r="F91" s="25"/>
      <c r="G91" s="25"/>
      <c r="H91" s="25"/>
      <c r="I91" s="25"/>
      <c r="J91" s="25"/>
      <c r="K91" s="26"/>
      <c r="L91" s="26"/>
      <c r="M91" s="25"/>
      <c r="N91" s="26"/>
      <c r="O91" s="25"/>
      <c r="P91" s="26"/>
      <c r="Q91" s="25"/>
      <c r="R91" s="25"/>
      <c r="S91" s="25"/>
    </row>
    <row r="92" spans="1:19" x14ac:dyDescent="0.35">
      <c r="A92" s="25"/>
      <c r="B92" s="25"/>
      <c r="C92" s="26"/>
      <c r="D92" s="25"/>
      <c r="E92" s="25"/>
      <c r="F92" s="25"/>
      <c r="G92" s="25"/>
      <c r="H92" s="25"/>
      <c r="I92" s="25"/>
      <c r="J92" s="25"/>
      <c r="K92" s="26"/>
      <c r="L92" s="26"/>
      <c r="M92" s="25"/>
      <c r="N92" s="26"/>
      <c r="O92" s="25"/>
      <c r="P92" s="26"/>
      <c r="Q92" s="25"/>
      <c r="R92" s="25"/>
      <c r="S92" s="25"/>
    </row>
    <row r="93" spans="1:19" x14ac:dyDescent="0.35">
      <c r="A93" s="25"/>
      <c r="B93" s="25"/>
      <c r="C93" s="26"/>
      <c r="D93" s="25"/>
      <c r="E93" s="25"/>
      <c r="F93" s="25"/>
      <c r="G93" s="25"/>
      <c r="H93" s="25"/>
      <c r="I93" s="25"/>
      <c r="J93" s="25"/>
      <c r="K93" s="26"/>
      <c r="L93" s="26"/>
      <c r="M93" s="25"/>
      <c r="N93" s="26"/>
      <c r="O93" s="25"/>
      <c r="P93" s="26"/>
      <c r="Q93" s="25"/>
      <c r="R93" s="25"/>
      <c r="S93" s="25"/>
    </row>
    <row r="94" spans="1:19" x14ac:dyDescent="0.35">
      <c r="A94" s="25"/>
      <c r="B94" s="25"/>
      <c r="C94" s="26"/>
      <c r="D94" s="25"/>
      <c r="E94" s="25"/>
      <c r="F94" s="25"/>
      <c r="G94" s="25"/>
      <c r="H94" s="25"/>
      <c r="I94" s="25"/>
      <c r="J94" s="25"/>
      <c r="K94" s="26"/>
      <c r="L94" s="26"/>
      <c r="M94" s="25"/>
      <c r="N94" s="26"/>
      <c r="O94" s="25"/>
      <c r="P94" s="26"/>
      <c r="Q94" s="25"/>
      <c r="R94" s="25"/>
      <c r="S94" s="25"/>
    </row>
    <row r="95" spans="1:19" x14ac:dyDescent="0.35">
      <c r="A95" s="25"/>
      <c r="B95" s="25"/>
      <c r="C95" s="26"/>
      <c r="D95" s="25"/>
      <c r="E95" s="25"/>
      <c r="F95" s="25"/>
      <c r="G95" s="25"/>
      <c r="H95" s="25"/>
      <c r="I95" s="25"/>
      <c r="J95" s="25"/>
      <c r="K95" s="26"/>
      <c r="L95" s="26"/>
      <c r="M95" s="25"/>
      <c r="N95" s="26"/>
      <c r="O95" s="25"/>
      <c r="P95" s="26"/>
      <c r="Q95" s="25"/>
      <c r="R95" s="25"/>
      <c r="S95" s="25"/>
    </row>
    <row r="96" spans="1:19" x14ac:dyDescent="0.35">
      <c r="A96" s="25"/>
      <c r="B96" s="25"/>
      <c r="C96" s="26"/>
      <c r="D96" s="25"/>
      <c r="E96" s="25"/>
      <c r="F96" s="25"/>
      <c r="G96" s="25"/>
      <c r="H96" s="25"/>
      <c r="I96" s="25"/>
      <c r="J96" s="25"/>
      <c r="K96" s="26"/>
      <c r="L96" s="26"/>
      <c r="M96" s="25"/>
      <c r="N96" s="26"/>
      <c r="O96" s="25"/>
      <c r="P96" s="26"/>
      <c r="Q96" s="25"/>
      <c r="R96" s="25"/>
      <c r="S96" s="25"/>
    </row>
    <row r="97" spans="1:19" x14ac:dyDescent="0.35">
      <c r="A97" s="25"/>
      <c r="B97" s="25"/>
      <c r="C97" s="26"/>
      <c r="D97" s="25"/>
      <c r="E97" s="25"/>
      <c r="F97" s="25"/>
      <c r="G97" s="25"/>
      <c r="H97" s="25"/>
      <c r="I97" s="25"/>
      <c r="J97" s="25"/>
      <c r="K97" s="26"/>
      <c r="L97" s="26"/>
      <c r="M97" s="25"/>
      <c r="N97" s="26"/>
      <c r="O97" s="25"/>
      <c r="P97" s="26"/>
      <c r="Q97" s="25"/>
      <c r="R97" s="25"/>
      <c r="S97" s="25"/>
    </row>
    <row r="98" spans="1:19" x14ac:dyDescent="0.35">
      <c r="A98" s="25"/>
      <c r="B98" s="25"/>
      <c r="C98" s="26"/>
      <c r="D98" s="25"/>
      <c r="E98" s="25"/>
      <c r="F98" s="25"/>
      <c r="G98" s="25"/>
      <c r="H98" s="25"/>
      <c r="I98" s="25"/>
      <c r="J98" s="25"/>
      <c r="K98" s="26"/>
      <c r="L98" s="26"/>
      <c r="M98" s="25"/>
      <c r="N98" s="26"/>
      <c r="O98" s="25"/>
      <c r="P98" s="26"/>
      <c r="Q98" s="25"/>
      <c r="R98" s="25"/>
      <c r="S98" s="25"/>
    </row>
    <row r="99" spans="1:19" x14ac:dyDescent="0.35">
      <c r="A99" s="25"/>
      <c r="B99" s="25"/>
      <c r="C99" s="26"/>
      <c r="D99" s="25"/>
      <c r="E99" s="25"/>
      <c r="F99" s="25"/>
      <c r="G99" s="25"/>
      <c r="H99" s="25"/>
      <c r="I99" s="25"/>
      <c r="J99" s="25"/>
      <c r="K99" s="26"/>
      <c r="L99" s="26"/>
      <c r="M99" s="25"/>
      <c r="N99" s="26"/>
      <c r="O99" s="25"/>
      <c r="P99" s="26"/>
      <c r="Q99" s="25"/>
      <c r="R99" s="25"/>
      <c r="S99" s="25"/>
    </row>
    <row r="100" spans="1:19" x14ac:dyDescent="0.35">
      <c r="A100" s="25"/>
      <c r="B100" s="25"/>
      <c r="C100" s="26"/>
      <c r="D100" s="25"/>
      <c r="E100" s="25"/>
      <c r="F100" s="25"/>
      <c r="G100" s="25"/>
      <c r="H100" s="25"/>
      <c r="I100" s="25"/>
      <c r="J100" s="25"/>
      <c r="K100" s="26"/>
      <c r="L100" s="26"/>
      <c r="M100" s="25"/>
      <c r="N100" s="26"/>
      <c r="O100" s="25"/>
      <c r="P100" s="26"/>
      <c r="Q100" s="25"/>
      <c r="R100" s="25"/>
      <c r="S100" s="25"/>
    </row>
    <row r="101" spans="1:19" x14ac:dyDescent="0.35">
      <c r="A101" s="25"/>
      <c r="B101" s="25"/>
      <c r="C101" s="26"/>
      <c r="D101" s="25"/>
      <c r="E101" s="25"/>
      <c r="F101" s="25"/>
      <c r="G101" s="25"/>
      <c r="H101" s="25"/>
      <c r="I101" s="25"/>
      <c r="J101" s="25"/>
      <c r="K101" s="26"/>
      <c r="L101" s="26"/>
      <c r="M101" s="25"/>
      <c r="N101" s="26"/>
      <c r="O101" s="25"/>
      <c r="P101" s="26"/>
      <c r="Q101" s="25"/>
      <c r="R101" s="25"/>
      <c r="S101" s="25"/>
    </row>
    <row r="102" spans="1:19" x14ac:dyDescent="0.35">
      <c r="A102" s="25"/>
      <c r="B102" s="25"/>
      <c r="C102" s="26"/>
      <c r="D102" s="25"/>
      <c r="E102" s="25"/>
      <c r="F102" s="25"/>
      <c r="G102" s="25"/>
      <c r="H102" s="25"/>
      <c r="I102" s="25"/>
      <c r="J102" s="25"/>
      <c r="K102" s="26"/>
      <c r="L102" s="26"/>
      <c r="M102" s="25"/>
      <c r="N102" s="26"/>
      <c r="O102" s="25"/>
      <c r="P102" s="26"/>
      <c r="Q102" s="25"/>
      <c r="R102" s="25"/>
      <c r="S102" s="25"/>
    </row>
    <row r="103" spans="1:19" x14ac:dyDescent="0.35">
      <c r="A103" s="25"/>
      <c r="B103" s="25"/>
      <c r="C103" s="26"/>
      <c r="D103" s="25"/>
      <c r="E103" s="25"/>
      <c r="F103" s="25"/>
      <c r="G103" s="25"/>
      <c r="H103" s="25"/>
      <c r="I103" s="25"/>
      <c r="J103" s="25"/>
      <c r="K103" s="26"/>
      <c r="L103" s="26"/>
      <c r="M103" s="25"/>
      <c r="N103" s="26"/>
      <c r="O103" s="25"/>
      <c r="P103" s="26"/>
      <c r="Q103" s="25"/>
      <c r="R103" s="25"/>
      <c r="S103" s="25"/>
    </row>
    <row r="104" spans="1:19" x14ac:dyDescent="0.35">
      <c r="A104" s="25"/>
      <c r="B104" s="25"/>
      <c r="C104" s="26"/>
      <c r="D104" s="25"/>
      <c r="E104" s="25"/>
      <c r="F104" s="25"/>
      <c r="G104" s="25"/>
      <c r="H104" s="25"/>
      <c r="I104" s="25"/>
      <c r="J104" s="25"/>
      <c r="K104" s="26"/>
      <c r="L104" s="26"/>
      <c r="M104" s="25"/>
      <c r="N104" s="26"/>
      <c r="O104" s="25"/>
      <c r="P104" s="26"/>
      <c r="Q104" s="25"/>
      <c r="R104" s="25"/>
      <c r="S104" s="25"/>
    </row>
    <row r="105" spans="1:19" x14ac:dyDescent="0.35">
      <c r="A105" s="25"/>
      <c r="B105" s="25"/>
      <c r="C105" s="26"/>
      <c r="D105" s="25"/>
      <c r="E105" s="25"/>
      <c r="F105" s="25"/>
      <c r="G105" s="25"/>
      <c r="H105" s="25"/>
      <c r="I105" s="25"/>
      <c r="J105" s="25"/>
      <c r="K105" s="26"/>
      <c r="L105" s="26"/>
      <c r="M105" s="25"/>
      <c r="N105" s="26"/>
      <c r="O105" s="25"/>
      <c r="P105" s="26"/>
      <c r="Q105" s="25"/>
      <c r="R105" s="25"/>
      <c r="S105" s="25"/>
    </row>
    <row r="106" spans="1:19" x14ac:dyDescent="0.35">
      <c r="A106" s="25"/>
      <c r="B106" s="25"/>
      <c r="C106" s="26"/>
      <c r="D106" s="25"/>
      <c r="E106" s="25"/>
      <c r="F106" s="25"/>
      <c r="G106" s="25"/>
      <c r="H106" s="25"/>
      <c r="I106" s="25"/>
      <c r="J106" s="25"/>
      <c r="K106" s="26"/>
      <c r="L106" s="26"/>
      <c r="M106" s="25"/>
      <c r="N106" s="26"/>
      <c r="O106" s="25"/>
      <c r="P106" s="26"/>
      <c r="Q106" s="25"/>
      <c r="R106" s="25"/>
      <c r="S106" s="25"/>
    </row>
    <row r="107" spans="1:19" x14ac:dyDescent="0.35">
      <c r="A107" s="25"/>
      <c r="B107" s="25"/>
      <c r="C107" s="26"/>
      <c r="D107" s="25"/>
      <c r="E107" s="25"/>
      <c r="F107" s="25"/>
      <c r="G107" s="25"/>
      <c r="H107" s="25"/>
      <c r="I107" s="25"/>
      <c r="J107" s="25"/>
      <c r="K107" s="26"/>
      <c r="L107" s="26"/>
      <c r="M107" s="25"/>
      <c r="N107" s="26"/>
      <c r="O107" s="25"/>
      <c r="P107" s="26"/>
      <c r="Q107" s="25"/>
      <c r="R107" s="25"/>
      <c r="S107" s="25"/>
    </row>
    <row r="108" spans="1:19" x14ac:dyDescent="0.35">
      <c r="A108" s="25"/>
      <c r="B108" s="25"/>
      <c r="C108" s="26"/>
      <c r="D108" s="25"/>
      <c r="E108" s="25"/>
      <c r="F108" s="25"/>
      <c r="G108" s="25"/>
      <c r="H108" s="25"/>
      <c r="I108" s="25"/>
      <c r="J108" s="25"/>
      <c r="K108" s="26"/>
      <c r="L108" s="26"/>
      <c r="M108" s="25"/>
      <c r="N108" s="26"/>
      <c r="O108" s="25"/>
      <c r="P108" s="26"/>
      <c r="Q108" s="25"/>
      <c r="R108" s="25"/>
      <c r="S108" s="25"/>
    </row>
    <row r="109" spans="1:19" x14ac:dyDescent="0.35">
      <c r="A109" s="25"/>
      <c r="B109" s="25"/>
      <c r="C109" s="26"/>
      <c r="D109" s="25"/>
      <c r="E109" s="25"/>
      <c r="F109" s="25"/>
      <c r="G109" s="25"/>
      <c r="H109" s="25"/>
      <c r="I109" s="25"/>
      <c r="J109" s="25"/>
      <c r="K109" s="26"/>
      <c r="L109" s="26"/>
      <c r="M109" s="25"/>
      <c r="N109" s="26"/>
      <c r="O109" s="25"/>
      <c r="P109" s="26"/>
      <c r="Q109" s="25"/>
      <c r="R109" s="25"/>
      <c r="S109" s="25"/>
    </row>
    <row r="110" spans="1:19" x14ac:dyDescent="0.35">
      <c r="A110" s="25"/>
      <c r="B110" s="25"/>
      <c r="C110" s="26"/>
      <c r="D110" s="25"/>
      <c r="E110" s="25"/>
      <c r="F110" s="25"/>
      <c r="G110" s="25"/>
      <c r="H110" s="25"/>
      <c r="I110" s="25"/>
      <c r="J110" s="25"/>
      <c r="K110" s="26"/>
      <c r="L110" s="26"/>
      <c r="M110" s="25"/>
      <c r="N110" s="26"/>
      <c r="O110" s="25"/>
      <c r="P110" s="26"/>
      <c r="Q110" s="25"/>
      <c r="R110" s="25"/>
      <c r="S110" s="25"/>
    </row>
    <row r="111" spans="1:19" x14ac:dyDescent="0.35">
      <c r="A111" s="25"/>
      <c r="B111" s="25"/>
      <c r="C111" s="26"/>
      <c r="D111" s="25"/>
      <c r="E111" s="25"/>
      <c r="F111" s="25"/>
      <c r="G111" s="25"/>
      <c r="H111" s="25"/>
      <c r="I111" s="25"/>
      <c r="J111" s="25"/>
      <c r="K111" s="26"/>
      <c r="L111" s="26"/>
      <c r="M111" s="25"/>
      <c r="N111" s="26"/>
      <c r="O111" s="25"/>
      <c r="P111" s="26"/>
      <c r="Q111" s="25"/>
      <c r="R111" s="25"/>
      <c r="S111" s="25"/>
    </row>
    <row r="112" spans="1:19" x14ac:dyDescent="0.35">
      <c r="A112" s="25"/>
      <c r="B112" s="25"/>
      <c r="C112" s="26"/>
      <c r="D112" s="25"/>
      <c r="E112" s="25"/>
      <c r="F112" s="25"/>
      <c r="G112" s="25"/>
      <c r="H112" s="25"/>
      <c r="I112" s="25"/>
      <c r="J112" s="25"/>
      <c r="K112" s="26"/>
      <c r="L112" s="26"/>
      <c r="M112" s="25"/>
      <c r="N112" s="26"/>
      <c r="O112" s="25"/>
      <c r="P112" s="26"/>
      <c r="Q112" s="25"/>
      <c r="R112" s="25"/>
      <c r="S112" s="25"/>
    </row>
    <row r="113" spans="1:19" x14ac:dyDescent="0.35">
      <c r="A113" s="25"/>
      <c r="B113" s="25"/>
      <c r="C113" s="26"/>
      <c r="D113" s="25"/>
      <c r="E113" s="25"/>
      <c r="F113" s="25"/>
      <c r="G113" s="25"/>
      <c r="H113" s="25"/>
      <c r="I113" s="25"/>
      <c r="J113" s="25"/>
      <c r="K113" s="26"/>
      <c r="L113" s="26"/>
      <c r="M113" s="25"/>
      <c r="N113" s="26"/>
      <c r="O113" s="25"/>
      <c r="P113" s="26"/>
      <c r="Q113" s="25"/>
      <c r="R113" s="25"/>
      <c r="S113" s="25"/>
    </row>
    <row r="114" spans="1:19" x14ac:dyDescent="0.35">
      <c r="A114" s="25"/>
      <c r="B114" s="25"/>
      <c r="C114" s="26"/>
      <c r="D114" s="25"/>
      <c r="E114" s="25"/>
      <c r="F114" s="25"/>
      <c r="G114" s="25"/>
      <c r="H114" s="25"/>
      <c r="I114" s="25"/>
      <c r="J114" s="25"/>
      <c r="K114" s="26"/>
      <c r="L114" s="26"/>
      <c r="M114" s="25"/>
      <c r="N114" s="26"/>
      <c r="O114" s="25"/>
      <c r="P114" s="26"/>
      <c r="Q114" s="25"/>
      <c r="R114" s="25"/>
      <c r="S114" s="25"/>
    </row>
    <row r="115" spans="1:19" x14ac:dyDescent="0.35">
      <c r="A115" s="25"/>
      <c r="B115" s="25"/>
      <c r="C115" s="26"/>
      <c r="D115" s="25"/>
      <c r="E115" s="25"/>
      <c r="F115" s="25"/>
      <c r="G115" s="25"/>
      <c r="H115" s="25"/>
      <c r="I115" s="25"/>
      <c r="J115" s="25"/>
      <c r="K115" s="26"/>
      <c r="L115" s="26"/>
      <c r="M115" s="25"/>
      <c r="N115" s="26"/>
      <c r="O115" s="25"/>
      <c r="P115" s="26"/>
      <c r="Q115" s="25"/>
      <c r="R115" s="25"/>
      <c r="S115" s="25"/>
    </row>
    <row r="116" spans="1:19" x14ac:dyDescent="0.35">
      <c r="A116" s="25"/>
      <c r="B116" s="25"/>
      <c r="C116" s="26"/>
      <c r="D116" s="25"/>
      <c r="E116" s="25"/>
      <c r="F116" s="25"/>
      <c r="G116" s="25"/>
      <c r="H116" s="25"/>
      <c r="I116" s="25"/>
      <c r="J116" s="25"/>
      <c r="K116" s="26"/>
      <c r="L116" s="26"/>
      <c r="M116" s="25"/>
      <c r="N116" s="26"/>
      <c r="O116" s="25"/>
      <c r="P116" s="26"/>
      <c r="Q116" s="25"/>
      <c r="R116" s="25"/>
      <c r="S116" s="25"/>
    </row>
    <row r="117" spans="1:19" x14ac:dyDescent="0.35">
      <c r="A117" s="25"/>
      <c r="B117" s="25"/>
      <c r="C117" s="26"/>
      <c r="D117" s="25"/>
      <c r="E117" s="25"/>
      <c r="F117" s="25"/>
      <c r="G117" s="25"/>
      <c r="H117" s="25"/>
      <c r="I117" s="25"/>
      <c r="J117" s="25"/>
      <c r="K117" s="26"/>
      <c r="L117" s="26"/>
      <c r="M117" s="25"/>
      <c r="N117" s="26"/>
      <c r="O117" s="25"/>
      <c r="P117" s="26"/>
      <c r="Q117" s="25"/>
      <c r="R117" s="25"/>
      <c r="S117" s="25"/>
    </row>
    <row r="118" spans="1:19" x14ac:dyDescent="0.35">
      <c r="A118" s="25"/>
      <c r="B118" s="25"/>
      <c r="C118" s="26"/>
      <c r="D118" s="25"/>
      <c r="E118" s="25"/>
      <c r="F118" s="25"/>
      <c r="G118" s="25"/>
      <c r="H118" s="25"/>
      <c r="I118" s="25"/>
      <c r="J118" s="25"/>
      <c r="K118" s="26"/>
      <c r="L118" s="26"/>
      <c r="M118" s="25"/>
      <c r="N118" s="26"/>
      <c r="O118" s="25"/>
      <c r="P118" s="26"/>
      <c r="Q118" s="25"/>
      <c r="R118" s="25"/>
      <c r="S118" s="25"/>
    </row>
    <row r="119" spans="1:19" x14ac:dyDescent="0.35">
      <c r="A119" s="25"/>
      <c r="B119" s="25"/>
      <c r="C119" s="26"/>
      <c r="D119" s="25"/>
      <c r="E119" s="25"/>
      <c r="F119" s="25"/>
      <c r="G119" s="25"/>
      <c r="H119" s="25"/>
      <c r="I119" s="25"/>
      <c r="J119" s="25"/>
      <c r="K119" s="26"/>
      <c r="L119" s="26"/>
      <c r="M119" s="25"/>
      <c r="N119" s="26"/>
      <c r="O119" s="25"/>
      <c r="P119" s="26"/>
      <c r="Q119" s="25"/>
      <c r="R119" s="25"/>
      <c r="S119" s="25"/>
    </row>
    <row r="120" spans="1:19" x14ac:dyDescent="0.35">
      <c r="A120" s="25"/>
      <c r="B120" s="25"/>
      <c r="C120" s="26"/>
      <c r="D120" s="25"/>
      <c r="E120" s="25"/>
      <c r="F120" s="25"/>
      <c r="G120" s="25"/>
      <c r="H120" s="25"/>
      <c r="I120" s="25"/>
      <c r="J120" s="25"/>
      <c r="K120" s="26"/>
      <c r="L120" s="26"/>
      <c r="M120" s="25"/>
      <c r="N120" s="26"/>
      <c r="O120" s="25"/>
      <c r="P120" s="26"/>
      <c r="Q120" s="25"/>
      <c r="R120" s="25"/>
      <c r="S120" s="25"/>
    </row>
    <row r="121" spans="1:19" x14ac:dyDescent="0.35">
      <c r="A121" s="25"/>
      <c r="B121" s="25"/>
      <c r="C121" s="26"/>
      <c r="D121" s="25"/>
      <c r="E121" s="25"/>
      <c r="F121" s="25"/>
      <c r="G121" s="25"/>
      <c r="H121" s="25"/>
      <c r="I121" s="25"/>
      <c r="J121" s="25"/>
      <c r="K121" s="26"/>
      <c r="L121" s="26"/>
      <c r="M121" s="25"/>
      <c r="N121" s="26"/>
      <c r="O121" s="25"/>
      <c r="P121" s="26"/>
      <c r="Q121" s="25"/>
      <c r="R121" s="25"/>
      <c r="S121" s="25"/>
    </row>
    <row r="122" spans="1:19" x14ac:dyDescent="0.35">
      <c r="A122" s="25"/>
      <c r="B122" s="25"/>
      <c r="C122" s="26"/>
      <c r="D122" s="25"/>
      <c r="E122" s="25"/>
      <c r="F122" s="25"/>
      <c r="G122" s="25"/>
      <c r="H122" s="25"/>
      <c r="I122" s="25"/>
      <c r="J122" s="25"/>
      <c r="K122" s="26"/>
      <c r="L122" s="26"/>
      <c r="M122" s="25"/>
      <c r="N122" s="26"/>
      <c r="O122" s="25"/>
      <c r="P122" s="26"/>
      <c r="Q122" s="25"/>
      <c r="R122" s="25"/>
      <c r="S122" s="25"/>
    </row>
    <row r="123" spans="1:19" x14ac:dyDescent="0.35">
      <c r="A123" s="25"/>
      <c r="B123" s="25"/>
      <c r="C123" s="26"/>
      <c r="D123" s="25"/>
      <c r="E123" s="25"/>
      <c r="F123" s="25"/>
      <c r="G123" s="25"/>
      <c r="H123" s="25"/>
      <c r="I123" s="25"/>
      <c r="J123" s="25"/>
      <c r="K123" s="26"/>
      <c r="L123" s="26"/>
      <c r="M123" s="25"/>
      <c r="N123" s="26"/>
      <c r="O123" s="25"/>
      <c r="P123" s="26"/>
      <c r="Q123" s="25"/>
      <c r="R123" s="25"/>
      <c r="S123" s="25"/>
    </row>
    <row r="124" spans="1:19" x14ac:dyDescent="0.35">
      <c r="A124" s="25"/>
      <c r="B124" s="25"/>
      <c r="C124" s="26"/>
      <c r="D124" s="25"/>
      <c r="E124" s="25"/>
      <c r="F124" s="25"/>
      <c r="G124" s="25"/>
      <c r="H124" s="25"/>
      <c r="I124" s="25"/>
      <c r="J124" s="25"/>
      <c r="K124" s="26"/>
      <c r="L124" s="26"/>
      <c r="M124" s="25"/>
      <c r="N124" s="26"/>
      <c r="O124" s="25"/>
      <c r="P124" s="26"/>
      <c r="Q124" s="25"/>
      <c r="R124" s="25"/>
      <c r="S124" s="25"/>
    </row>
  </sheetData>
  <mergeCells count="1">
    <mergeCell ref="A1:S1"/>
  </mergeCells>
  <dataValidations count="3">
    <dataValidation type="list" allowBlank="1" sqref="E5:I124" xr:uid="{00000000-0002-0000-0F00-000000000000}">
      <formula1>"Yes,No,N/A,In Progress"</formula1>
    </dataValidation>
    <dataValidation type="list" allowBlank="1" sqref="Q5:Q124" xr:uid="{00000000-0002-0000-0F00-000001000000}">
      <formula1>"Not Started,In Progress,Completed,Overdue,Closed"</formula1>
    </dataValidation>
    <dataValidation type="list" allowBlank="1" sqref="R5:R124" xr:uid="{00000000-0002-0000-0F00-000002000000}">
      <formula1>"Green,Amber,Red,Grey"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24"/>
  <sheetViews>
    <sheetView workbookViewId="0"/>
  </sheetViews>
  <sheetFormatPr defaultRowHeight="14.5" x14ac:dyDescent="0.35"/>
  <cols>
    <col min="1" max="1" width="22" customWidth="1"/>
    <col min="2" max="5" width="16" customWidth="1"/>
    <col min="6" max="7" width="30" customWidth="1"/>
    <col min="8" max="16" width="16" customWidth="1"/>
    <col min="17" max="17" width="30" customWidth="1"/>
  </cols>
  <sheetData>
    <row r="1" spans="1:17" x14ac:dyDescent="0.35">
      <c r="A1" s="154" t="s">
        <v>386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</row>
    <row r="2" spans="1:17" ht="32.25" customHeight="1" x14ac:dyDescent="0.35">
      <c r="A2" s="21" t="s">
        <v>321</v>
      </c>
    </row>
    <row r="4" spans="1:17" ht="19.399999999999999" customHeight="1" x14ac:dyDescent="0.35">
      <c r="A4" s="24" t="s">
        <v>31</v>
      </c>
      <c r="B4" s="24" t="s">
        <v>322</v>
      </c>
      <c r="C4" s="24" t="s">
        <v>387</v>
      </c>
      <c r="D4" s="24" t="s">
        <v>388</v>
      </c>
      <c r="E4" s="24" t="s">
        <v>389</v>
      </c>
      <c r="F4" s="24" t="s">
        <v>360</v>
      </c>
      <c r="G4" s="24" t="s">
        <v>335</v>
      </c>
      <c r="H4" s="24" t="s">
        <v>390</v>
      </c>
      <c r="I4" s="24" t="s">
        <v>362</v>
      </c>
      <c r="J4" s="24" t="s">
        <v>364</v>
      </c>
      <c r="K4" s="24" t="s">
        <v>391</v>
      </c>
      <c r="L4" s="24" t="s">
        <v>281</v>
      </c>
      <c r="M4" s="24" t="s">
        <v>353</v>
      </c>
      <c r="N4" s="24" t="s">
        <v>337</v>
      </c>
      <c r="O4" s="24" t="s">
        <v>296</v>
      </c>
      <c r="P4" s="24" t="s">
        <v>6</v>
      </c>
      <c r="Q4" s="24" t="s">
        <v>338</v>
      </c>
    </row>
    <row r="5" spans="1:17" x14ac:dyDescent="0.35">
      <c r="A5" s="25"/>
      <c r="B5" s="25"/>
      <c r="C5" s="25"/>
      <c r="D5" s="26"/>
      <c r="E5" s="25"/>
      <c r="F5" s="25"/>
      <c r="G5" s="25"/>
      <c r="H5" s="25"/>
      <c r="I5" s="25"/>
      <c r="J5" s="25"/>
      <c r="K5" s="26"/>
      <c r="L5" s="26"/>
      <c r="M5" s="25"/>
      <c r="N5" s="26"/>
      <c r="O5" s="25"/>
      <c r="P5" s="25"/>
      <c r="Q5" s="25"/>
    </row>
    <row r="6" spans="1:17" x14ac:dyDescent="0.35">
      <c r="A6" s="25"/>
      <c r="B6" s="25"/>
      <c r="C6" s="25"/>
      <c r="D6" s="26"/>
      <c r="E6" s="25"/>
      <c r="F6" s="25"/>
      <c r="G6" s="25"/>
      <c r="H6" s="25"/>
      <c r="I6" s="25"/>
      <c r="J6" s="25"/>
      <c r="K6" s="26"/>
      <c r="L6" s="26"/>
      <c r="M6" s="25"/>
      <c r="N6" s="26"/>
      <c r="O6" s="25"/>
      <c r="P6" s="25"/>
      <c r="Q6" s="25"/>
    </row>
    <row r="7" spans="1:17" x14ac:dyDescent="0.35">
      <c r="A7" s="25"/>
      <c r="B7" s="25"/>
      <c r="C7" s="25"/>
      <c r="D7" s="26"/>
      <c r="E7" s="25"/>
      <c r="F7" s="25"/>
      <c r="G7" s="25"/>
      <c r="H7" s="25"/>
      <c r="I7" s="25"/>
      <c r="J7" s="25"/>
      <c r="K7" s="26"/>
      <c r="L7" s="26"/>
      <c r="M7" s="25"/>
      <c r="N7" s="26"/>
      <c r="O7" s="25"/>
      <c r="P7" s="25"/>
      <c r="Q7" s="25"/>
    </row>
    <row r="8" spans="1:17" x14ac:dyDescent="0.35">
      <c r="A8" s="25"/>
      <c r="B8" s="25"/>
      <c r="C8" s="25"/>
      <c r="D8" s="26"/>
      <c r="E8" s="25"/>
      <c r="F8" s="25"/>
      <c r="G8" s="25"/>
      <c r="H8" s="25"/>
      <c r="I8" s="25"/>
      <c r="J8" s="25"/>
      <c r="K8" s="26"/>
      <c r="L8" s="26"/>
      <c r="M8" s="25"/>
      <c r="N8" s="26"/>
      <c r="O8" s="25"/>
      <c r="P8" s="25"/>
      <c r="Q8" s="25"/>
    </row>
    <row r="9" spans="1:17" x14ac:dyDescent="0.35">
      <c r="A9" s="25"/>
      <c r="B9" s="25"/>
      <c r="C9" s="25"/>
      <c r="D9" s="26"/>
      <c r="E9" s="25"/>
      <c r="F9" s="25"/>
      <c r="G9" s="25"/>
      <c r="H9" s="25"/>
      <c r="I9" s="25"/>
      <c r="J9" s="25"/>
      <c r="K9" s="26"/>
      <c r="L9" s="26"/>
      <c r="M9" s="25"/>
      <c r="N9" s="26"/>
      <c r="O9" s="25"/>
      <c r="P9" s="25"/>
      <c r="Q9" s="25"/>
    </row>
    <row r="10" spans="1:17" x14ac:dyDescent="0.35">
      <c r="A10" s="25"/>
      <c r="B10" s="25"/>
      <c r="C10" s="25"/>
      <c r="D10" s="26"/>
      <c r="E10" s="25"/>
      <c r="F10" s="25"/>
      <c r="G10" s="25"/>
      <c r="H10" s="25"/>
      <c r="I10" s="25"/>
      <c r="J10" s="25"/>
      <c r="K10" s="26"/>
      <c r="L10" s="26"/>
      <c r="M10" s="25"/>
      <c r="N10" s="26"/>
      <c r="O10" s="25"/>
      <c r="P10" s="25"/>
      <c r="Q10" s="25"/>
    </row>
    <row r="11" spans="1:17" x14ac:dyDescent="0.35">
      <c r="A11" s="25"/>
      <c r="B11" s="25"/>
      <c r="C11" s="25"/>
      <c r="D11" s="26"/>
      <c r="E11" s="25"/>
      <c r="F11" s="25"/>
      <c r="G11" s="25"/>
      <c r="H11" s="25"/>
      <c r="I11" s="25"/>
      <c r="J11" s="25"/>
      <c r="K11" s="26"/>
      <c r="L11" s="26"/>
      <c r="M11" s="25"/>
      <c r="N11" s="26"/>
      <c r="O11" s="25"/>
      <c r="P11" s="25"/>
      <c r="Q11" s="25"/>
    </row>
    <row r="12" spans="1:17" x14ac:dyDescent="0.35">
      <c r="A12" s="25"/>
      <c r="B12" s="25"/>
      <c r="C12" s="25"/>
      <c r="D12" s="26"/>
      <c r="E12" s="25"/>
      <c r="F12" s="25"/>
      <c r="G12" s="25"/>
      <c r="H12" s="25"/>
      <c r="I12" s="25"/>
      <c r="J12" s="25"/>
      <c r="K12" s="26"/>
      <c r="L12" s="26"/>
      <c r="M12" s="25"/>
      <c r="N12" s="26"/>
      <c r="O12" s="25"/>
      <c r="P12" s="25"/>
      <c r="Q12" s="25"/>
    </row>
    <row r="13" spans="1:17" x14ac:dyDescent="0.35">
      <c r="A13" s="25"/>
      <c r="B13" s="25"/>
      <c r="C13" s="25"/>
      <c r="D13" s="26"/>
      <c r="E13" s="25"/>
      <c r="F13" s="25"/>
      <c r="G13" s="25"/>
      <c r="H13" s="25"/>
      <c r="I13" s="25"/>
      <c r="J13" s="25"/>
      <c r="K13" s="26"/>
      <c r="L13" s="26"/>
      <c r="M13" s="25"/>
      <c r="N13" s="26"/>
      <c r="O13" s="25"/>
      <c r="P13" s="25"/>
      <c r="Q13" s="25"/>
    </row>
    <row r="14" spans="1:17" x14ac:dyDescent="0.35">
      <c r="A14" s="25"/>
      <c r="B14" s="25"/>
      <c r="C14" s="25"/>
      <c r="D14" s="26"/>
      <c r="E14" s="25"/>
      <c r="F14" s="25"/>
      <c r="G14" s="25"/>
      <c r="H14" s="25"/>
      <c r="I14" s="25"/>
      <c r="J14" s="25"/>
      <c r="K14" s="26"/>
      <c r="L14" s="26"/>
      <c r="M14" s="25"/>
      <c r="N14" s="26"/>
      <c r="O14" s="25"/>
      <c r="P14" s="25"/>
      <c r="Q14" s="25"/>
    </row>
    <row r="15" spans="1:17" x14ac:dyDescent="0.35">
      <c r="A15" s="25"/>
      <c r="B15" s="25"/>
      <c r="C15" s="25"/>
      <c r="D15" s="26"/>
      <c r="E15" s="25"/>
      <c r="F15" s="25"/>
      <c r="G15" s="25"/>
      <c r="H15" s="25"/>
      <c r="I15" s="25"/>
      <c r="J15" s="25"/>
      <c r="K15" s="26"/>
      <c r="L15" s="26"/>
      <c r="M15" s="25"/>
      <c r="N15" s="26"/>
      <c r="O15" s="25"/>
      <c r="P15" s="25"/>
      <c r="Q15" s="25"/>
    </row>
    <row r="16" spans="1:17" x14ac:dyDescent="0.35">
      <c r="A16" s="25"/>
      <c r="B16" s="25"/>
      <c r="C16" s="25"/>
      <c r="D16" s="26"/>
      <c r="E16" s="25"/>
      <c r="F16" s="25"/>
      <c r="G16" s="25"/>
      <c r="H16" s="25"/>
      <c r="I16" s="25"/>
      <c r="J16" s="25"/>
      <c r="K16" s="26"/>
      <c r="L16" s="26"/>
      <c r="M16" s="25"/>
      <c r="N16" s="26"/>
      <c r="O16" s="25"/>
      <c r="P16" s="25"/>
      <c r="Q16" s="25"/>
    </row>
    <row r="17" spans="1:17" x14ac:dyDescent="0.35">
      <c r="A17" s="25"/>
      <c r="B17" s="25"/>
      <c r="C17" s="25"/>
      <c r="D17" s="26"/>
      <c r="E17" s="25"/>
      <c r="F17" s="25"/>
      <c r="G17" s="25"/>
      <c r="H17" s="25"/>
      <c r="I17" s="25"/>
      <c r="J17" s="25"/>
      <c r="K17" s="26"/>
      <c r="L17" s="26"/>
      <c r="M17" s="25"/>
      <c r="N17" s="26"/>
      <c r="O17" s="25"/>
      <c r="P17" s="25"/>
      <c r="Q17" s="25"/>
    </row>
    <row r="18" spans="1:17" x14ac:dyDescent="0.35">
      <c r="A18" s="25"/>
      <c r="B18" s="25"/>
      <c r="C18" s="25"/>
      <c r="D18" s="26"/>
      <c r="E18" s="25"/>
      <c r="F18" s="25"/>
      <c r="G18" s="25"/>
      <c r="H18" s="25"/>
      <c r="I18" s="25"/>
      <c r="J18" s="25"/>
      <c r="K18" s="26"/>
      <c r="L18" s="26"/>
      <c r="M18" s="25"/>
      <c r="N18" s="26"/>
      <c r="O18" s="25"/>
      <c r="P18" s="25"/>
      <c r="Q18" s="25"/>
    </row>
    <row r="19" spans="1:17" x14ac:dyDescent="0.35">
      <c r="A19" s="25"/>
      <c r="B19" s="25"/>
      <c r="C19" s="25"/>
      <c r="D19" s="26"/>
      <c r="E19" s="25"/>
      <c r="F19" s="25"/>
      <c r="G19" s="25"/>
      <c r="H19" s="25"/>
      <c r="I19" s="25"/>
      <c r="J19" s="25"/>
      <c r="K19" s="26"/>
      <c r="L19" s="26"/>
      <c r="M19" s="25"/>
      <c r="N19" s="26"/>
      <c r="O19" s="25"/>
      <c r="P19" s="25"/>
      <c r="Q19" s="25"/>
    </row>
    <row r="20" spans="1:17" x14ac:dyDescent="0.35">
      <c r="A20" s="25"/>
      <c r="B20" s="25"/>
      <c r="C20" s="25"/>
      <c r="D20" s="26"/>
      <c r="E20" s="25"/>
      <c r="F20" s="25"/>
      <c r="G20" s="25"/>
      <c r="H20" s="25"/>
      <c r="I20" s="25"/>
      <c r="J20" s="25"/>
      <c r="K20" s="26"/>
      <c r="L20" s="26"/>
      <c r="M20" s="25"/>
      <c r="N20" s="26"/>
      <c r="O20" s="25"/>
      <c r="P20" s="25"/>
      <c r="Q20" s="25"/>
    </row>
    <row r="21" spans="1:17" x14ac:dyDescent="0.35">
      <c r="A21" s="25"/>
      <c r="B21" s="25"/>
      <c r="C21" s="25"/>
      <c r="D21" s="26"/>
      <c r="E21" s="25"/>
      <c r="F21" s="25"/>
      <c r="G21" s="25"/>
      <c r="H21" s="25"/>
      <c r="I21" s="25"/>
      <c r="J21" s="25"/>
      <c r="K21" s="26"/>
      <c r="L21" s="26"/>
      <c r="M21" s="25"/>
      <c r="N21" s="26"/>
      <c r="O21" s="25"/>
      <c r="P21" s="25"/>
      <c r="Q21" s="25"/>
    </row>
    <row r="22" spans="1:17" x14ac:dyDescent="0.35">
      <c r="A22" s="25"/>
      <c r="B22" s="25"/>
      <c r="C22" s="25"/>
      <c r="D22" s="26"/>
      <c r="E22" s="25"/>
      <c r="F22" s="25"/>
      <c r="G22" s="25"/>
      <c r="H22" s="25"/>
      <c r="I22" s="25"/>
      <c r="J22" s="25"/>
      <c r="K22" s="26"/>
      <c r="L22" s="26"/>
      <c r="M22" s="25"/>
      <c r="N22" s="26"/>
      <c r="O22" s="25"/>
      <c r="P22" s="25"/>
      <c r="Q22" s="25"/>
    </row>
    <row r="23" spans="1:17" x14ac:dyDescent="0.35">
      <c r="A23" s="25"/>
      <c r="B23" s="25"/>
      <c r="C23" s="25"/>
      <c r="D23" s="26"/>
      <c r="E23" s="25"/>
      <c r="F23" s="25"/>
      <c r="G23" s="25"/>
      <c r="H23" s="25"/>
      <c r="I23" s="25"/>
      <c r="J23" s="25"/>
      <c r="K23" s="26"/>
      <c r="L23" s="26"/>
      <c r="M23" s="25"/>
      <c r="N23" s="26"/>
      <c r="O23" s="25"/>
      <c r="P23" s="25"/>
      <c r="Q23" s="25"/>
    </row>
    <row r="24" spans="1:17" x14ac:dyDescent="0.35">
      <c r="A24" s="25"/>
      <c r="B24" s="25"/>
      <c r="C24" s="25"/>
      <c r="D24" s="26"/>
      <c r="E24" s="25"/>
      <c r="F24" s="25"/>
      <c r="G24" s="25"/>
      <c r="H24" s="25"/>
      <c r="I24" s="25"/>
      <c r="J24" s="25"/>
      <c r="K24" s="26"/>
      <c r="L24" s="26"/>
      <c r="M24" s="25"/>
      <c r="N24" s="26"/>
      <c r="O24" s="25"/>
      <c r="P24" s="25"/>
      <c r="Q24" s="25"/>
    </row>
    <row r="25" spans="1:17" x14ac:dyDescent="0.35">
      <c r="A25" s="25"/>
      <c r="B25" s="25"/>
      <c r="C25" s="25"/>
      <c r="D25" s="26"/>
      <c r="E25" s="25"/>
      <c r="F25" s="25"/>
      <c r="G25" s="25"/>
      <c r="H25" s="25"/>
      <c r="I25" s="25"/>
      <c r="J25" s="25"/>
      <c r="K25" s="26"/>
      <c r="L25" s="26"/>
      <c r="M25" s="25"/>
      <c r="N25" s="26"/>
      <c r="O25" s="25"/>
      <c r="P25" s="25"/>
      <c r="Q25" s="25"/>
    </row>
    <row r="26" spans="1:17" x14ac:dyDescent="0.35">
      <c r="A26" s="25"/>
      <c r="B26" s="25"/>
      <c r="C26" s="25"/>
      <c r="D26" s="26"/>
      <c r="E26" s="25"/>
      <c r="F26" s="25"/>
      <c r="G26" s="25"/>
      <c r="H26" s="25"/>
      <c r="I26" s="25"/>
      <c r="J26" s="25"/>
      <c r="K26" s="26"/>
      <c r="L26" s="26"/>
      <c r="M26" s="25"/>
      <c r="N26" s="26"/>
      <c r="O26" s="25"/>
      <c r="P26" s="25"/>
      <c r="Q26" s="25"/>
    </row>
    <row r="27" spans="1:17" x14ac:dyDescent="0.35">
      <c r="A27" s="25"/>
      <c r="B27" s="25"/>
      <c r="C27" s="25"/>
      <c r="D27" s="26"/>
      <c r="E27" s="25"/>
      <c r="F27" s="25"/>
      <c r="G27" s="25"/>
      <c r="H27" s="25"/>
      <c r="I27" s="25"/>
      <c r="J27" s="25"/>
      <c r="K27" s="26"/>
      <c r="L27" s="26"/>
      <c r="M27" s="25"/>
      <c r="N27" s="26"/>
      <c r="O27" s="25"/>
      <c r="P27" s="25"/>
      <c r="Q27" s="25"/>
    </row>
    <row r="28" spans="1:17" x14ac:dyDescent="0.35">
      <c r="A28" s="25"/>
      <c r="B28" s="25"/>
      <c r="C28" s="25"/>
      <c r="D28" s="26"/>
      <c r="E28" s="25"/>
      <c r="F28" s="25"/>
      <c r="G28" s="25"/>
      <c r="H28" s="25"/>
      <c r="I28" s="25"/>
      <c r="J28" s="25"/>
      <c r="K28" s="26"/>
      <c r="L28" s="26"/>
      <c r="M28" s="25"/>
      <c r="N28" s="26"/>
      <c r="O28" s="25"/>
      <c r="P28" s="25"/>
      <c r="Q28" s="25"/>
    </row>
    <row r="29" spans="1:17" x14ac:dyDescent="0.35">
      <c r="A29" s="25"/>
      <c r="B29" s="25"/>
      <c r="C29" s="25"/>
      <c r="D29" s="26"/>
      <c r="E29" s="25"/>
      <c r="F29" s="25"/>
      <c r="G29" s="25"/>
      <c r="H29" s="25"/>
      <c r="I29" s="25"/>
      <c r="J29" s="25"/>
      <c r="K29" s="26"/>
      <c r="L29" s="26"/>
      <c r="M29" s="25"/>
      <c r="N29" s="26"/>
      <c r="O29" s="25"/>
      <c r="P29" s="25"/>
      <c r="Q29" s="25"/>
    </row>
    <row r="30" spans="1:17" x14ac:dyDescent="0.35">
      <c r="A30" s="25"/>
      <c r="B30" s="25"/>
      <c r="C30" s="25"/>
      <c r="D30" s="26"/>
      <c r="E30" s="25"/>
      <c r="F30" s="25"/>
      <c r="G30" s="25"/>
      <c r="H30" s="25"/>
      <c r="I30" s="25"/>
      <c r="J30" s="25"/>
      <c r="K30" s="26"/>
      <c r="L30" s="26"/>
      <c r="M30" s="25"/>
      <c r="N30" s="26"/>
      <c r="O30" s="25"/>
      <c r="P30" s="25"/>
      <c r="Q30" s="25"/>
    </row>
    <row r="31" spans="1:17" x14ac:dyDescent="0.35">
      <c r="A31" s="25"/>
      <c r="B31" s="25"/>
      <c r="C31" s="25"/>
      <c r="D31" s="26"/>
      <c r="E31" s="25"/>
      <c r="F31" s="25"/>
      <c r="G31" s="25"/>
      <c r="H31" s="25"/>
      <c r="I31" s="25"/>
      <c r="J31" s="25"/>
      <c r="K31" s="26"/>
      <c r="L31" s="26"/>
      <c r="M31" s="25"/>
      <c r="N31" s="26"/>
      <c r="O31" s="25"/>
      <c r="P31" s="25"/>
      <c r="Q31" s="25"/>
    </row>
    <row r="32" spans="1:17" x14ac:dyDescent="0.35">
      <c r="A32" s="25"/>
      <c r="B32" s="25"/>
      <c r="C32" s="25"/>
      <c r="D32" s="26"/>
      <c r="E32" s="25"/>
      <c r="F32" s="25"/>
      <c r="G32" s="25"/>
      <c r="H32" s="25"/>
      <c r="I32" s="25"/>
      <c r="J32" s="25"/>
      <c r="K32" s="26"/>
      <c r="L32" s="26"/>
      <c r="M32" s="25"/>
      <c r="N32" s="26"/>
      <c r="O32" s="25"/>
      <c r="P32" s="25"/>
      <c r="Q32" s="25"/>
    </row>
    <row r="33" spans="1:17" x14ac:dyDescent="0.35">
      <c r="A33" s="25"/>
      <c r="B33" s="25"/>
      <c r="C33" s="25"/>
      <c r="D33" s="26"/>
      <c r="E33" s="25"/>
      <c r="F33" s="25"/>
      <c r="G33" s="25"/>
      <c r="H33" s="25"/>
      <c r="I33" s="25"/>
      <c r="J33" s="25"/>
      <c r="K33" s="26"/>
      <c r="L33" s="26"/>
      <c r="M33" s="25"/>
      <c r="N33" s="26"/>
      <c r="O33" s="25"/>
      <c r="P33" s="25"/>
      <c r="Q33" s="25"/>
    </row>
    <row r="34" spans="1:17" x14ac:dyDescent="0.35">
      <c r="A34" s="25"/>
      <c r="B34" s="25"/>
      <c r="C34" s="25"/>
      <c r="D34" s="26"/>
      <c r="E34" s="25"/>
      <c r="F34" s="25"/>
      <c r="G34" s="25"/>
      <c r="H34" s="25"/>
      <c r="I34" s="25"/>
      <c r="J34" s="25"/>
      <c r="K34" s="26"/>
      <c r="L34" s="26"/>
      <c r="M34" s="25"/>
      <c r="N34" s="26"/>
      <c r="O34" s="25"/>
      <c r="P34" s="25"/>
      <c r="Q34" s="25"/>
    </row>
    <row r="35" spans="1:17" x14ac:dyDescent="0.35">
      <c r="A35" s="25"/>
      <c r="B35" s="25"/>
      <c r="C35" s="25"/>
      <c r="D35" s="26"/>
      <c r="E35" s="25"/>
      <c r="F35" s="25"/>
      <c r="G35" s="25"/>
      <c r="H35" s="25"/>
      <c r="I35" s="25"/>
      <c r="J35" s="25"/>
      <c r="K35" s="26"/>
      <c r="L35" s="26"/>
      <c r="M35" s="25"/>
      <c r="N35" s="26"/>
      <c r="O35" s="25"/>
      <c r="P35" s="25"/>
      <c r="Q35" s="25"/>
    </row>
    <row r="36" spans="1:17" x14ac:dyDescent="0.35">
      <c r="A36" s="25"/>
      <c r="B36" s="25"/>
      <c r="C36" s="25"/>
      <c r="D36" s="26"/>
      <c r="E36" s="25"/>
      <c r="F36" s="25"/>
      <c r="G36" s="25"/>
      <c r="H36" s="25"/>
      <c r="I36" s="25"/>
      <c r="J36" s="25"/>
      <c r="K36" s="26"/>
      <c r="L36" s="26"/>
      <c r="M36" s="25"/>
      <c r="N36" s="26"/>
      <c r="O36" s="25"/>
      <c r="P36" s="25"/>
      <c r="Q36" s="25"/>
    </row>
    <row r="37" spans="1:17" x14ac:dyDescent="0.35">
      <c r="A37" s="25"/>
      <c r="B37" s="25"/>
      <c r="C37" s="25"/>
      <c r="D37" s="26"/>
      <c r="E37" s="25"/>
      <c r="F37" s="25"/>
      <c r="G37" s="25"/>
      <c r="H37" s="25"/>
      <c r="I37" s="25"/>
      <c r="J37" s="25"/>
      <c r="K37" s="26"/>
      <c r="L37" s="26"/>
      <c r="M37" s="25"/>
      <c r="N37" s="26"/>
      <c r="O37" s="25"/>
      <c r="P37" s="25"/>
      <c r="Q37" s="25"/>
    </row>
    <row r="38" spans="1:17" x14ac:dyDescent="0.35">
      <c r="A38" s="25"/>
      <c r="B38" s="25"/>
      <c r="C38" s="25"/>
      <c r="D38" s="26"/>
      <c r="E38" s="25"/>
      <c r="F38" s="25"/>
      <c r="G38" s="25"/>
      <c r="H38" s="25"/>
      <c r="I38" s="25"/>
      <c r="J38" s="25"/>
      <c r="K38" s="26"/>
      <c r="L38" s="26"/>
      <c r="M38" s="25"/>
      <c r="N38" s="26"/>
      <c r="O38" s="25"/>
      <c r="P38" s="25"/>
      <c r="Q38" s="25"/>
    </row>
    <row r="39" spans="1:17" x14ac:dyDescent="0.35">
      <c r="A39" s="25"/>
      <c r="B39" s="25"/>
      <c r="C39" s="25"/>
      <c r="D39" s="26"/>
      <c r="E39" s="25"/>
      <c r="F39" s="25"/>
      <c r="G39" s="25"/>
      <c r="H39" s="25"/>
      <c r="I39" s="25"/>
      <c r="J39" s="25"/>
      <c r="K39" s="26"/>
      <c r="L39" s="26"/>
      <c r="M39" s="25"/>
      <c r="N39" s="26"/>
      <c r="O39" s="25"/>
      <c r="P39" s="25"/>
      <c r="Q39" s="25"/>
    </row>
    <row r="40" spans="1:17" x14ac:dyDescent="0.35">
      <c r="A40" s="25"/>
      <c r="B40" s="25"/>
      <c r="C40" s="25"/>
      <c r="D40" s="26"/>
      <c r="E40" s="25"/>
      <c r="F40" s="25"/>
      <c r="G40" s="25"/>
      <c r="H40" s="25"/>
      <c r="I40" s="25"/>
      <c r="J40" s="25"/>
      <c r="K40" s="26"/>
      <c r="L40" s="26"/>
      <c r="M40" s="25"/>
      <c r="N40" s="26"/>
      <c r="O40" s="25"/>
      <c r="P40" s="25"/>
      <c r="Q40" s="25"/>
    </row>
    <row r="41" spans="1:17" x14ac:dyDescent="0.35">
      <c r="A41" s="25"/>
      <c r="B41" s="25"/>
      <c r="C41" s="25"/>
      <c r="D41" s="26"/>
      <c r="E41" s="25"/>
      <c r="F41" s="25"/>
      <c r="G41" s="25"/>
      <c r="H41" s="25"/>
      <c r="I41" s="25"/>
      <c r="J41" s="25"/>
      <c r="K41" s="26"/>
      <c r="L41" s="26"/>
      <c r="M41" s="25"/>
      <c r="N41" s="26"/>
      <c r="O41" s="25"/>
      <c r="P41" s="25"/>
      <c r="Q41" s="25"/>
    </row>
    <row r="42" spans="1:17" x14ac:dyDescent="0.35">
      <c r="A42" s="25"/>
      <c r="B42" s="25"/>
      <c r="C42" s="25"/>
      <c r="D42" s="26"/>
      <c r="E42" s="25"/>
      <c r="F42" s="25"/>
      <c r="G42" s="25"/>
      <c r="H42" s="25"/>
      <c r="I42" s="25"/>
      <c r="J42" s="25"/>
      <c r="K42" s="26"/>
      <c r="L42" s="26"/>
      <c r="M42" s="25"/>
      <c r="N42" s="26"/>
      <c r="O42" s="25"/>
      <c r="P42" s="25"/>
      <c r="Q42" s="25"/>
    </row>
    <row r="43" spans="1:17" x14ac:dyDescent="0.35">
      <c r="A43" s="25"/>
      <c r="B43" s="25"/>
      <c r="C43" s="25"/>
      <c r="D43" s="26"/>
      <c r="E43" s="25"/>
      <c r="F43" s="25"/>
      <c r="G43" s="25"/>
      <c r="H43" s="25"/>
      <c r="I43" s="25"/>
      <c r="J43" s="25"/>
      <c r="K43" s="26"/>
      <c r="L43" s="26"/>
      <c r="M43" s="25"/>
      <c r="N43" s="26"/>
      <c r="O43" s="25"/>
      <c r="P43" s="25"/>
      <c r="Q43" s="25"/>
    </row>
    <row r="44" spans="1:17" x14ac:dyDescent="0.35">
      <c r="A44" s="25"/>
      <c r="B44" s="25"/>
      <c r="C44" s="25"/>
      <c r="D44" s="26"/>
      <c r="E44" s="25"/>
      <c r="F44" s="25"/>
      <c r="G44" s="25"/>
      <c r="H44" s="25"/>
      <c r="I44" s="25"/>
      <c r="J44" s="25"/>
      <c r="K44" s="26"/>
      <c r="L44" s="26"/>
      <c r="M44" s="25"/>
      <c r="N44" s="26"/>
      <c r="O44" s="25"/>
      <c r="P44" s="25"/>
      <c r="Q44" s="25"/>
    </row>
    <row r="45" spans="1:17" x14ac:dyDescent="0.35">
      <c r="A45" s="25"/>
      <c r="B45" s="25"/>
      <c r="C45" s="25"/>
      <c r="D45" s="26"/>
      <c r="E45" s="25"/>
      <c r="F45" s="25"/>
      <c r="G45" s="25"/>
      <c r="H45" s="25"/>
      <c r="I45" s="25"/>
      <c r="J45" s="25"/>
      <c r="K45" s="26"/>
      <c r="L45" s="26"/>
      <c r="M45" s="25"/>
      <c r="N45" s="26"/>
      <c r="O45" s="25"/>
      <c r="P45" s="25"/>
      <c r="Q45" s="25"/>
    </row>
    <row r="46" spans="1:17" x14ac:dyDescent="0.35">
      <c r="A46" s="25"/>
      <c r="B46" s="25"/>
      <c r="C46" s="25"/>
      <c r="D46" s="26"/>
      <c r="E46" s="25"/>
      <c r="F46" s="25"/>
      <c r="G46" s="25"/>
      <c r="H46" s="25"/>
      <c r="I46" s="25"/>
      <c r="J46" s="25"/>
      <c r="K46" s="26"/>
      <c r="L46" s="26"/>
      <c r="M46" s="25"/>
      <c r="N46" s="26"/>
      <c r="O46" s="25"/>
      <c r="P46" s="25"/>
      <c r="Q46" s="25"/>
    </row>
    <row r="47" spans="1:17" x14ac:dyDescent="0.35">
      <c r="A47" s="25"/>
      <c r="B47" s="25"/>
      <c r="C47" s="25"/>
      <c r="D47" s="26"/>
      <c r="E47" s="25"/>
      <c r="F47" s="25"/>
      <c r="G47" s="25"/>
      <c r="H47" s="25"/>
      <c r="I47" s="25"/>
      <c r="J47" s="25"/>
      <c r="K47" s="26"/>
      <c r="L47" s="26"/>
      <c r="M47" s="25"/>
      <c r="N47" s="26"/>
      <c r="O47" s="25"/>
      <c r="P47" s="25"/>
      <c r="Q47" s="25"/>
    </row>
    <row r="48" spans="1:17" x14ac:dyDescent="0.35">
      <c r="A48" s="25"/>
      <c r="B48" s="25"/>
      <c r="C48" s="25"/>
      <c r="D48" s="26"/>
      <c r="E48" s="25"/>
      <c r="F48" s="25"/>
      <c r="G48" s="25"/>
      <c r="H48" s="25"/>
      <c r="I48" s="25"/>
      <c r="J48" s="25"/>
      <c r="K48" s="26"/>
      <c r="L48" s="26"/>
      <c r="M48" s="25"/>
      <c r="N48" s="26"/>
      <c r="O48" s="25"/>
      <c r="P48" s="25"/>
      <c r="Q48" s="25"/>
    </row>
    <row r="49" spans="1:17" x14ac:dyDescent="0.35">
      <c r="A49" s="25"/>
      <c r="B49" s="25"/>
      <c r="C49" s="25"/>
      <c r="D49" s="26"/>
      <c r="E49" s="25"/>
      <c r="F49" s="25"/>
      <c r="G49" s="25"/>
      <c r="H49" s="25"/>
      <c r="I49" s="25"/>
      <c r="J49" s="25"/>
      <c r="K49" s="26"/>
      <c r="L49" s="26"/>
      <c r="M49" s="25"/>
      <c r="N49" s="26"/>
      <c r="O49" s="25"/>
      <c r="P49" s="25"/>
      <c r="Q49" s="25"/>
    </row>
    <row r="50" spans="1:17" x14ac:dyDescent="0.35">
      <c r="A50" s="25"/>
      <c r="B50" s="25"/>
      <c r="C50" s="25"/>
      <c r="D50" s="26"/>
      <c r="E50" s="25"/>
      <c r="F50" s="25"/>
      <c r="G50" s="25"/>
      <c r="H50" s="25"/>
      <c r="I50" s="25"/>
      <c r="J50" s="25"/>
      <c r="K50" s="26"/>
      <c r="L50" s="26"/>
      <c r="M50" s="25"/>
      <c r="N50" s="26"/>
      <c r="O50" s="25"/>
      <c r="P50" s="25"/>
      <c r="Q50" s="25"/>
    </row>
    <row r="51" spans="1:17" x14ac:dyDescent="0.35">
      <c r="A51" s="25"/>
      <c r="B51" s="25"/>
      <c r="C51" s="25"/>
      <c r="D51" s="26"/>
      <c r="E51" s="25"/>
      <c r="F51" s="25"/>
      <c r="G51" s="25"/>
      <c r="H51" s="25"/>
      <c r="I51" s="25"/>
      <c r="J51" s="25"/>
      <c r="K51" s="26"/>
      <c r="L51" s="26"/>
      <c r="M51" s="25"/>
      <c r="N51" s="26"/>
      <c r="O51" s="25"/>
      <c r="P51" s="25"/>
      <c r="Q51" s="25"/>
    </row>
    <row r="52" spans="1:17" x14ac:dyDescent="0.35">
      <c r="A52" s="25"/>
      <c r="B52" s="25"/>
      <c r="C52" s="25"/>
      <c r="D52" s="26"/>
      <c r="E52" s="25"/>
      <c r="F52" s="25"/>
      <c r="G52" s="25"/>
      <c r="H52" s="25"/>
      <c r="I52" s="25"/>
      <c r="J52" s="25"/>
      <c r="K52" s="26"/>
      <c r="L52" s="26"/>
      <c r="M52" s="25"/>
      <c r="N52" s="26"/>
      <c r="O52" s="25"/>
      <c r="P52" s="25"/>
      <c r="Q52" s="25"/>
    </row>
    <row r="53" spans="1:17" x14ac:dyDescent="0.35">
      <c r="A53" s="25"/>
      <c r="B53" s="25"/>
      <c r="C53" s="25"/>
      <c r="D53" s="26"/>
      <c r="E53" s="25"/>
      <c r="F53" s="25"/>
      <c r="G53" s="25"/>
      <c r="H53" s="25"/>
      <c r="I53" s="25"/>
      <c r="J53" s="25"/>
      <c r="K53" s="26"/>
      <c r="L53" s="26"/>
      <c r="M53" s="25"/>
      <c r="N53" s="26"/>
      <c r="O53" s="25"/>
      <c r="P53" s="25"/>
      <c r="Q53" s="25"/>
    </row>
    <row r="54" spans="1:17" x14ac:dyDescent="0.35">
      <c r="A54" s="25"/>
      <c r="B54" s="25"/>
      <c r="C54" s="25"/>
      <c r="D54" s="26"/>
      <c r="E54" s="25"/>
      <c r="F54" s="25"/>
      <c r="G54" s="25"/>
      <c r="H54" s="25"/>
      <c r="I54" s="25"/>
      <c r="J54" s="25"/>
      <c r="K54" s="26"/>
      <c r="L54" s="26"/>
      <c r="M54" s="25"/>
      <c r="N54" s="26"/>
      <c r="O54" s="25"/>
      <c r="P54" s="25"/>
      <c r="Q54" s="25"/>
    </row>
    <row r="55" spans="1:17" x14ac:dyDescent="0.35">
      <c r="A55" s="25"/>
      <c r="B55" s="25"/>
      <c r="C55" s="25"/>
      <c r="D55" s="26"/>
      <c r="E55" s="25"/>
      <c r="F55" s="25"/>
      <c r="G55" s="25"/>
      <c r="H55" s="25"/>
      <c r="I55" s="25"/>
      <c r="J55" s="25"/>
      <c r="K55" s="26"/>
      <c r="L55" s="26"/>
      <c r="M55" s="25"/>
      <c r="N55" s="26"/>
      <c r="O55" s="25"/>
      <c r="P55" s="25"/>
      <c r="Q55" s="25"/>
    </row>
    <row r="56" spans="1:17" x14ac:dyDescent="0.35">
      <c r="A56" s="25"/>
      <c r="B56" s="25"/>
      <c r="C56" s="25"/>
      <c r="D56" s="26"/>
      <c r="E56" s="25"/>
      <c r="F56" s="25"/>
      <c r="G56" s="25"/>
      <c r="H56" s="25"/>
      <c r="I56" s="25"/>
      <c r="J56" s="25"/>
      <c r="K56" s="26"/>
      <c r="L56" s="26"/>
      <c r="M56" s="25"/>
      <c r="N56" s="26"/>
      <c r="O56" s="25"/>
      <c r="P56" s="25"/>
      <c r="Q56" s="25"/>
    </row>
    <row r="57" spans="1:17" x14ac:dyDescent="0.35">
      <c r="A57" s="25"/>
      <c r="B57" s="25"/>
      <c r="C57" s="25"/>
      <c r="D57" s="26"/>
      <c r="E57" s="25"/>
      <c r="F57" s="25"/>
      <c r="G57" s="25"/>
      <c r="H57" s="25"/>
      <c r="I57" s="25"/>
      <c r="J57" s="25"/>
      <c r="K57" s="26"/>
      <c r="L57" s="26"/>
      <c r="M57" s="25"/>
      <c r="N57" s="26"/>
      <c r="O57" s="25"/>
      <c r="P57" s="25"/>
      <c r="Q57" s="25"/>
    </row>
    <row r="58" spans="1:17" x14ac:dyDescent="0.35">
      <c r="A58" s="25"/>
      <c r="B58" s="25"/>
      <c r="C58" s="25"/>
      <c r="D58" s="26"/>
      <c r="E58" s="25"/>
      <c r="F58" s="25"/>
      <c r="G58" s="25"/>
      <c r="H58" s="25"/>
      <c r="I58" s="25"/>
      <c r="J58" s="25"/>
      <c r="K58" s="26"/>
      <c r="L58" s="26"/>
      <c r="M58" s="25"/>
      <c r="N58" s="26"/>
      <c r="O58" s="25"/>
      <c r="P58" s="25"/>
      <c r="Q58" s="25"/>
    </row>
    <row r="59" spans="1:17" x14ac:dyDescent="0.35">
      <c r="A59" s="25"/>
      <c r="B59" s="25"/>
      <c r="C59" s="25"/>
      <c r="D59" s="26"/>
      <c r="E59" s="25"/>
      <c r="F59" s="25"/>
      <c r="G59" s="25"/>
      <c r="H59" s="25"/>
      <c r="I59" s="25"/>
      <c r="J59" s="25"/>
      <c r="K59" s="26"/>
      <c r="L59" s="26"/>
      <c r="M59" s="25"/>
      <c r="N59" s="26"/>
      <c r="O59" s="25"/>
      <c r="P59" s="25"/>
      <c r="Q59" s="25"/>
    </row>
    <row r="60" spans="1:17" x14ac:dyDescent="0.35">
      <c r="A60" s="25"/>
      <c r="B60" s="25"/>
      <c r="C60" s="25"/>
      <c r="D60" s="26"/>
      <c r="E60" s="25"/>
      <c r="F60" s="25"/>
      <c r="G60" s="25"/>
      <c r="H60" s="25"/>
      <c r="I60" s="25"/>
      <c r="J60" s="25"/>
      <c r="K60" s="26"/>
      <c r="L60" s="26"/>
      <c r="M60" s="25"/>
      <c r="N60" s="26"/>
      <c r="O60" s="25"/>
      <c r="P60" s="25"/>
      <c r="Q60" s="25"/>
    </row>
    <row r="61" spans="1:17" x14ac:dyDescent="0.35">
      <c r="A61" s="25"/>
      <c r="B61" s="25"/>
      <c r="C61" s="25"/>
      <c r="D61" s="26"/>
      <c r="E61" s="25"/>
      <c r="F61" s="25"/>
      <c r="G61" s="25"/>
      <c r="H61" s="25"/>
      <c r="I61" s="25"/>
      <c r="J61" s="25"/>
      <c r="K61" s="26"/>
      <c r="L61" s="26"/>
      <c r="M61" s="25"/>
      <c r="N61" s="26"/>
      <c r="O61" s="25"/>
      <c r="P61" s="25"/>
      <c r="Q61" s="25"/>
    </row>
    <row r="62" spans="1:17" x14ac:dyDescent="0.35">
      <c r="A62" s="25"/>
      <c r="B62" s="25"/>
      <c r="C62" s="25"/>
      <c r="D62" s="26"/>
      <c r="E62" s="25"/>
      <c r="F62" s="25"/>
      <c r="G62" s="25"/>
      <c r="H62" s="25"/>
      <c r="I62" s="25"/>
      <c r="J62" s="25"/>
      <c r="K62" s="26"/>
      <c r="L62" s="26"/>
      <c r="M62" s="25"/>
      <c r="N62" s="26"/>
      <c r="O62" s="25"/>
      <c r="P62" s="25"/>
      <c r="Q62" s="25"/>
    </row>
    <row r="63" spans="1:17" x14ac:dyDescent="0.35">
      <c r="A63" s="25"/>
      <c r="B63" s="25"/>
      <c r="C63" s="25"/>
      <c r="D63" s="26"/>
      <c r="E63" s="25"/>
      <c r="F63" s="25"/>
      <c r="G63" s="25"/>
      <c r="H63" s="25"/>
      <c r="I63" s="25"/>
      <c r="J63" s="25"/>
      <c r="K63" s="26"/>
      <c r="L63" s="26"/>
      <c r="M63" s="25"/>
      <c r="N63" s="26"/>
      <c r="O63" s="25"/>
      <c r="P63" s="25"/>
      <c r="Q63" s="25"/>
    </row>
    <row r="64" spans="1:17" x14ac:dyDescent="0.35">
      <c r="A64" s="25"/>
      <c r="B64" s="25"/>
      <c r="C64" s="25"/>
      <c r="D64" s="26"/>
      <c r="E64" s="25"/>
      <c r="F64" s="25"/>
      <c r="G64" s="25"/>
      <c r="H64" s="25"/>
      <c r="I64" s="25"/>
      <c r="J64" s="25"/>
      <c r="K64" s="26"/>
      <c r="L64" s="26"/>
      <c r="M64" s="25"/>
      <c r="N64" s="26"/>
      <c r="O64" s="25"/>
      <c r="P64" s="25"/>
      <c r="Q64" s="25"/>
    </row>
    <row r="65" spans="1:17" x14ac:dyDescent="0.35">
      <c r="A65" s="25"/>
      <c r="B65" s="25"/>
      <c r="C65" s="25"/>
      <c r="D65" s="26"/>
      <c r="E65" s="25"/>
      <c r="F65" s="25"/>
      <c r="G65" s="25"/>
      <c r="H65" s="25"/>
      <c r="I65" s="25"/>
      <c r="J65" s="25"/>
      <c r="K65" s="26"/>
      <c r="L65" s="26"/>
      <c r="M65" s="25"/>
      <c r="N65" s="26"/>
      <c r="O65" s="25"/>
      <c r="P65" s="25"/>
      <c r="Q65" s="25"/>
    </row>
    <row r="66" spans="1:17" x14ac:dyDescent="0.35">
      <c r="A66" s="25"/>
      <c r="B66" s="25"/>
      <c r="C66" s="25"/>
      <c r="D66" s="26"/>
      <c r="E66" s="25"/>
      <c r="F66" s="25"/>
      <c r="G66" s="25"/>
      <c r="H66" s="25"/>
      <c r="I66" s="25"/>
      <c r="J66" s="25"/>
      <c r="K66" s="26"/>
      <c r="L66" s="26"/>
      <c r="M66" s="25"/>
      <c r="N66" s="26"/>
      <c r="O66" s="25"/>
      <c r="P66" s="25"/>
      <c r="Q66" s="25"/>
    </row>
    <row r="67" spans="1:17" x14ac:dyDescent="0.35">
      <c r="A67" s="25"/>
      <c r="B67" s="25"/>
      <c r="C67" s="25"/>
      <c r="D67" s="26"/>
      <c r="E67" s="25"/>
      <c r="F67" s="25"/>
      <c r="G67" s="25"/>
      <c r="H67" s="25"/>
      <c r="I67" s="25"/>
      <c r="J67" s="25"/>
      <c r="K67" s="26"/>
      <c r="L67" s="26"/>
      <c r="M67" s="25"/>
      <c r="N67" s="26"/>
      <c r="O67" s="25"/>
      <c r="P67" s="25"/>
      <c r="Q67" s="25"/>
    </row>
    <row r="68" spans="1:17" x14ac:dyDescent="0.35">
      <c r="A68" s="25"/>
      <c r="B68" s="25"/>
      <c r="C68" s="25"/>
      <c r="D68" s="26"/>
      <c r="E68" s="25"/>
      <c r="F68" s="25"/>
      <c r="G68" s="25"/>
      <c r="H68" s="25"/>
      <c r="I68" s="25"/>
      <c r="J68" s="25"/>
      <c r="K68" s="26"/>
      <c r="L68" s="26"/>
      <c r="M68" s="25"/>
      <c r="N68" s="26"/>
      <c r="O68" s="25"/>
      <c r="P68" s="25"/>
      <c r="Q68" s="25"/>
    </row>
    <row r="69" spans="1:17" x14ac:dyDescent="0.35">
      <c r="A69" s="25"/>
      <c r="B69" s="25"/>
      <c r="C69" s="25"/>
      <c r="D69" s="26"/>
      <c r="E69" s="25"/>
      <c r="F69" s="25"/>
      <c r="G69" s="25"/>
      <c r="H69" s="25"/>
      <c r="I69" s="25"/>
      <c r="J69" s="25"/>
      <c r="K69" s="26"/>
      <c r="L69" s="26"/>
      <c r="M69" s="25"/>
      <c r="N69" s="26"/>
      <c r="O69" s="25"/>
      <c r="P69" s="25"/>
      <c r="Q69" s="25"/>
    </row>
    <row r="70" spans="1:17" x14ac:dyDescent="0.35">
      <c r="A70" s="25"/>
      <c r="B70" s="25"/>
      <c r="C70" s="25"/>
      <c r="D70" s="26"/>
      <c r="E70" s="25"/>
      <c r="F70" s="25"/>
      <c r="G70" s="25"/>
      <c r="H70" s="25"/>
      <c r="I70" s="25"/>
      <c r="J70" s="25"/>
      <c r="K70" s="26"/>
      <c r="L70" s="26"/>
      <c r="M70" s="25"/>
      <c r="N70" s="26"/>
      <c r="O70" s="25"/>
      <c r="P70" s="25"/>
      <c r="Q70" s="25"/>
    </row>
    <row r="71" spans="1:17" x14ac:dyDescent="0.35">
      <c r="A71" s="25"/>
      <c r="B71" s="25"/>
      <c r="C71" s="25"/>
      <c r="D71" s="26"/>
      <c r="E71" s="25"/>
      <c r="F71" s="25"/>
      <c r="G71" s="25"/>
      <c r="H71" s="25"/>
      <c r="I71" s="25"/>
      <c r="J71" s="25"/>
      <c r="K71" s="26"/>
      <c r="L71" s="26"/>
      <c r="M71" s="25"/>
      <c r="N71" s="26"/>
      <c r="O71" s="25"/>
      <c r="P71" s="25"/>
      <c r="Q71" s="25"/>
    </row>
    <row r="72" spans="1:17" x14ac:dyDescent="0.35">
      <c r="A72" s="25"/>
      <c r="B72" s="25"/>
      <c r="C72" s="25"/>
      <c r="D72" s="26"/>
      <c r="E72" s="25"/>
      <c r="F72" s="25"/>
      <c r="G72" s="25"/>
      <c r="H72" s="25"/>
      <c r="I72" s="25"/>
      <c r="J72" s="25"/>
      <c r="K72" s="26"/>
      <c r="L72" s="26"/>
      <c r="M72" s="25"/>
      <c r="N72" s="26"/>
      <c r="O72" s="25"/>
      <c r="P72" s="25"/>
      <c r="Q72" s="25"/>
    </row>
    <row r="73" spans="1:17" x14ac:dyDescent="0.35">
      <c r="A73" s="25"/>
      <c r="B73" s="25"/>
      <c r="C73" s="25"/>
      <c r="D73" s="26"/>
      <c r="E73" s="25"/>
      <c r="F73" s="25"/>
      <c r="G73" s="25"/>
      <c r="H73" s="25"/>
      <c r="I73" s="25"/>
      <c r="J73" s="25"/>
      <c r="K73" s="26"/>
      <c r="L73" s="26"/>
      <c r="M73" s="25"/>
      <c r="N73" s="26"/>
      <c r="O73" s="25"/>
      <c r="P73" s="25"/>
      <c r="Q73" s="25"/>
    </row>
    <row r="74" spans="1:17" x14ac:dyDescent="0.35">
      <c r="A74" s="25"/>
      <c r="B74" s="25"/>
      <c r="C74" s="25"/>
      <c r="D74" s="26"/>
      <c r="E74" s="25"/>
      <c r="F74" s="25"/>
      <c r="G74" s="25"/>
      <c r="H74" s="25"/>
      <c r="I74" s="25"/>
      <c r="J74" s="25"/>
      <c r="K74" s="26"/>
      <c r="L74" s="26"/>
      <c r="M74" s="25"/>
      <c r="N74" s="26"/>
      <c r="O74" s="25"/>
      <c r="P74" s="25"/>
      <c r="Q74" s="25"/>
    </row>
    <row r="75" spans="1:17" x14ac:dyDescent="0.35">
      <c r="A75" s="25"/>
      <c r="B75" s="25"/>
      <c r="C75" s="25"/>
      <c r="D75" s="26"/>
      <c r="E75" s="25"/>
      <c r="F75" s="25"/>
      <c r="G75" s="25"/>
      <c r="H75" s="25"/>
      <c r="I75" s="25"/>
      <c r="J75" s="25"/>
      <c r="K75" s="26"/>
      <c r="L75" s="26"/>
      <c r="M75" s="25"/>
      <c r="N75" s="26"/>
      <c r="O75" s="25"/>
      <c r="P75" s="25"/>
      <c r="Q75" s="25"/>
    </row>
    <row r="76" spans="1:17" x14ac:dyDescent="0.35">
      <c r="A76" s="25"/>
      <c r="B76" s="25"/>
      <c r="C76" s="25"/>
      <c r="D76" s="26"/>
      <c r="E76" s="25"/>
      <c r="F76" s="25"/>
      <c r="G76" s="25"/>
      <c r="H76" s="25"/>
      <c r="I76" s="25"/>
      <c r="J76" s="25"/>
      <c r="K76" s="26"/>
      <c r="L76" s="26"/>
      <c r="M76" s="25"/>
      <c r="N76" s="26"/>
      <c r="O76" s="25"/>
      <c r="P76" s="25"/>
      <c r="Q76" s="25"/>
    </row>
    <row r="77" spans="1:17" x14ac:dyDescent="0.35">
      <c r="A77" s="25"/>
      <c r="B77" s="25"/>
      <c r="C77" s="25"/>
      <c r="D77" s="26"/>
      <c r="E77" s="25"/>
      <c r="F77" s="25"/>
      <c r="G77" s="25"/>
      <c r="H77" s="25"/>
      <c r="I77" s="25"/>
      <c r="J77" s="25"/>
      <c r="K77" s="26"/>
      <c r="L77" s="26"/>
      <c r="M77" s="25"/>
      <c r="N77" s="26"/>
      <c r="O77" s="25"/>
      <c r="P77" s="25"/>
      <c r="Q77" s="25"/>
    </row>
    <row r="78" spans="1:17" x14ac:dyDescent="0.35">
      <c r="A78" s="25"/>
      <c r="B78" s="25"/>
      <c r="C78" s="25"/>
      <c r="D78" s="26"/>
      <c r="E78" s="25"/>
      <c r="F78" s="25"/>
      <c r="G78" s="25"/>
      <c r="H78" s="25"/>
      <c r="I78" s="25"/>
      <c r="J78" s="25"/>
      <c r="K78" s="26"/>
      <c r="L78" s="26"/>
      <c r="M78" s="25"/>
      <c r="N78" s="26"/>
      <c r="O78" s="25"/>
      <c r="P78" s="25"/>
      <c r="Q78" s="25"/>
    </row>
    <row r="79" spans="1:17" x14ac:dyDescent="0.35">
      <c r="A79" s="25"/>
      <c r="B79" s="25"/>
      <c r="C79" s="25"/>
      <c r="D79" s="26"/>
      <c r="E79" s="25"/>
      <c r="F79" s="25"/>
      <c r="G79" s="25"/>
      <c r="H79" s="25"/>
      <c r="I79" s="25"/>
      <c r="J79" s="25"/>
      <c r="K79" s="26"/>
      <c r="L79" s="26"/>
      <c r="M79" s="25"/>
      <c r="N79" s="26"/>
      <c r="O79" s="25"/>
      <c r="P79" s="25"/>
      <c r="Q79" s="25"/>
    </row>
    <row r="80" spans="1:17" x14ac:dyDescent="0.35">
      <c r="A80" s="25"/>
      <c r="B80" s="25"/>
      <c r="C80" s="25"/>
      <c r="D80" s="26"/>
      <c r="E80" s="25"/>
      <c r="F80" s="25"/>
      <c r="G80" s="25"/>
      <c r="H80" s="25"/>
      <c r="I80" s="25"/>
      <c r="J80" s="25"/>
      <c r="K80" s="26"/>
      <c r="L80" s="26"/>
      <c r="M80" s="25"/>
      <c r="N80" s="26"/>
      <c r="O80" s="25"/>
      <c r="P80" s="25"/>
      <c r="Q80" s="25"/>
    </row>
    <row r="81" spans="1:17" x14ac:dyDescent="0.35">
      <c r="A81" s="25"/>
      <c r="B81" s="25"/>
      <c r="C81" s="25"/>
      <c r="D81" s="26"/>
      <c r="E81" s="25"/>
      <c r="F81" s="25"/>
      <c r="G81" s="25"/>
      <c r="H81" s="25"/>
      <c r="I81" s="25"/>
      <c r="J81" s="25"/>
      <c r="K81" s="26"/>
      <c r="L81" s="26"/>
      <c r="M81" s="25"/>
      <c r="N81" s="26"/>
      <c r="O81" s="25"/>
      <c r="P81" s="25"/>
      <c r="Q81" s="25"/>
    </row>
    <row r="82" spans="1:17" x14ac:dyDescent="0.35">
      <c r="A82" s="25"/>
      <c r="B82" s="25"/>
      <c r="C82" s="25"/>
      <c r="D82" s="26"/>
      <c r="E82" s="25"/>
      <c r="F82" s="25"/>
      <c r="G82" s="25"/>
      <c r="H82" s="25"/>
      <c r="I82" s="25"/>
      <c r="J82" s="25"/>
      <c r="K82" s="26"/>
      <c r="L82" s="26"/>
      <c r="M82" s="25"/>
      <c r="N82" s="26"/>
      <c r="O82" s="25"/>
      <c r="P82" s="25"/>
      <c r="Q82" s="25"/>
    </row>
    <row r="83" spans="1:17" x14ac:dyDescent="0.35">
      <c r="A83" s="25"/>
      <c r="B83" s="25"/>
      <c r="C83" s="25"/>
      <c r="D83" s="26"/>
      <c r="E83" s="25"/>
      <c r="F83" s="25"/>
      <c r="G83" s="25"/>
      <c r="H83" s="25"/>
      <c r="I83" s="25"/>
      <c r="J83" s="25"/>
      <c r="K83" s="26"/>
      <c r="L83" s="26"/>
      <c r="M83" s="25"/>
      <c r="N83" s="26"/>
      <c r="O83" s="25"/>
      <c r="P83" s="25"/>
      <c r="Q83" s="25"/>
    </row>
    <row r="84" spans="1:17" x14ac:dyDescent="0.35">
      <c r="A84" s="25"/>
      <c r="B84" s="25"/>
      <c r="C84" s="25"/>
      <c r="D84" s="26"/>
      <c r="E84" s="25"/>
      <c r="F84" s="25"/>
      <c r="G84" s="25"/>
      <c r="H84" s="25"/>
      <c r="I84" s="25"/>
      <c r="J84" s="25"/>
      <c r="K84" s="26"/>
      <c r="L84" s="26"/>
      <c r="M84" s="25"/>
      <c r="N84" s="26"/>
      <c r="O84" s="25"/>
      <c r="P84" s="25"/>
      <c r="Q84" s="25"/>
    </row>
    <row r="85" spans="1:17" x14ac:dyDescent="0.35">
      <c r="A85" s="25"/>
      <c r="B85" s="25"/>
      <c r="C85" s="25"/>
      <c r="D85" s="26"/>
      <c r="E85" s="25"/>
      <c r="F85" s="25"/>
      <c r="G85" s="25"/>
      <c r="H85" s="25"/>
      <c r="I85" s="25"/>
      <c r="J85" s="25"/>
      <c r="K85" s="26"/>
      <c r="L85" s="26"/>
      <c r="M85" s="25"/>
      <c r="N85" s="26"/>
      <c r="O85" s="25"/>
      <c r="P85" s="25"/>
      <c r="Q85" s="25"/>
    </row>
    <row r="86" spans="1:17" x14ac:dyDescent="0.35">
      <c r="A86" s="25"/>
      <c r="B86" s="25"/>
      <c r="C86" s="25"/>
      <c r="D86" s="26"/>
      <c r="E86" s="25"/>
      <c r="F86" s="25"/>
      <c r="G86" s="25"/>
      <c r="H86" s="25"/>
      <c r="I86" s="25"/>
      <c r="J86" s="25"/>
      <c r="K86" s="26"/>
      <c r="L86" s="26"/>
      <c r="M86" s="25"/>
      <c r="N86" s="26"/>
      <c r="O86" s="25"/>
      <c r="P86" s="25"/>
      <c r="Q86" s="25"/>
    </row>
    <row r="87" spans="1:17" x14ac:dyDescent="0.35">
      <c r="A87" s="25"/>
      <c r="B87" s="25"/>
      <c r="C87" s="25"/>
      <c r="D87" s="26"/>
      <c r="E87" s="25"/>
      <c r="F87" s="25"/>
      <c r="G87" s="25"/>
      <c r="H87" s="25"/>
      <c r="I87" s="25"/>
      <c r="J87" s="25"/>
      <c r="K87" s="26"/>
      <c r="L87" s="26"/>
      <c r="M87" s="25"/>
      <c r="N87" s="26"/>
      <c r="O87" s="25"/>
      <c r="P87" s="25"/>
      <c r="Q87" s="25"/>
    </row>
    <row r="88" spans="1:17" x14ac:dyDescent="0.35">
      <c r="A88" s="25"/>
      <c r="B88" s="25"/>
      <c r="C88" s="25"/>
      <c r="D88" s="26"/>
      <c r="E88" s="25"/>
      <c r="F88" s="25"/>
      <c r="G88" s="25"/>
      <c r="H88" s="25"/>
      <c r="I88" s="25"/>
      <c r="J88" s="25"/>
      <c r="K88" s="26"/>
      <c r="L88" s="26"/>
      <c r="M88" s="25"/>
      <c r="N88" s="26"/>
      <c r="O88" s="25"/>
      <c r="P88" s="25"/>
      <c r="Q88" s="25"/>
    </row>
    <row r="89" spans="1:17" x14ac:dyDescent="0.35">
      <c r="A89" s="25"/>
      <c r="B89" s="25"/>
      <c r="C89" s="25"/>
      <c r="D89" s="26"/>
      <c r="E89" s="25"/>
      <c r="F89" s="25"/>
      <c r="G89" s="25"/>
      <c r="H89" s="25"/>
      <c r="I89" s="25"/>
      <c r="J89" s="25"/>
      <c r="K89" s="26"/>
      <c r="L89" s="26"/>
      <c r="M89" s="25"/>
      <c r="N89" s="26"/>
      <c r="O89" s="25"/>
      <c r="P89" s="25"/>
      <c r="Q89" s="25"/>
    </row>
    <row r="90" spans="1:17" x14ac:dyDescent="0.35">
      <c r="A90" s="25"/>
      <c r="B90" s="25"/>
      <c r="C90" s="25"/>
      <c r="D90" s="26"/>
      <c r="E90" s="25"/>
      <c r="F90" s="25"/>
      <c r="G90" s="25"/>
      <c r="H90" s="25"/>
      <c r="I90" s="25"/>
      <c r="J90" s="25"/>
      <c r="K90" s="26"/>
      <c r="L90" s="26"/>
      <c r="M90" s="25"/>
      <c r="N90" s="26"/>
      <c r="O90" s="25"/>
      <c r="P90" s="25"/>
      <c r="Q90" s="25"/>
    </row>
    <row r="91" spans="1:17" x14ac:dyDescent="0.35">
      <c r="A91" s="25"/>
      <c r="B91" s="25"/>
      <c r="C91" s="25"/>
      <c r="D91" s="26"/>
      <c r="E91" s="25"/>
      <c r="F91" s="25"/>
      <c r="G91" s="25"/>
      <c r="H91" s="25"/>
      <c r="I91" s="25"/>
      <c r="J91" s="25"/>
      <c r="K91" s="26"/>
      <c r="L91" s="26"/>
      <c r="M91" s="25"/>
      <c r="N91" s="26"/>
      <c r="O91" s="25"/>
      <c r="P91" s="25"/>
      <c r="Q91" s="25"/>
    </row>
    <row r="92" spans="1:17" x14ac:dyDescent="0.35">
      <c r="A92" s="25"/>
      <c r="B92" s="25"/>
      <c r="C92" s="25"/>
      <c r="D92" s="26"/>
      <c r="E92" s="25"/>
      <c r="F92" s="25"/>
      <c r="G92" s="25"/>
      <c r="H92" s="25"/>
      <c r="I92" s="25"/>
      <c r="J92" s="25"/>
      <c r="K92" s="26"/>
      <c r="L92" s="26"/>
      <c r="M92" s="25"/>
      <c r="N92" s="26"/>
      <c r="O92" s="25"/>
      <c r="P92" s="25"/>
      <c r="Q92" s="25"/>
    </row>
    <row r="93" spans="1:17" x14ac:dyDescent="0.35">
      <c r="A93" s="25"/>
      <c r="B93" s="25"/>
      <c r="C93" s="25"/>
      <c r="D93" s="26"/>
      <c r="E93" s="25"/>
      <c r="F93" s="25"/>
      <c r="G93" s="25"/>
      <c r="H93" s="25"/>
      <c r="I93" s="25"/>
      <c r="J93" s="25"/>
      <c r="K93" s="26"/>
      <c r="L93" s="26"/>
      <c r="M93" s="25"/>
      <c r="N93" s="26"/>
      <c r="O93" s="25"/>
      <c r="P93" s="25"/>
      <c r="Q93" s="25"/>
    </row>
    <row r="94" spans="1:17" x14ac:dyDescent="0.35">
      <c r="A94" s="25"/>
      <c r="B94" s="25"/>
      <c r="C94" s="25"/>
      <c r="D94" s="26"/>
      <c r="E94" s="25"/>
      <c r="F94" s="25"/>
      <c r="G94" s="25"/>
      <c r="H94" s="25"/>
      <c r="I94" s="25"/>
      <c r="J94" s="25"/>
      <c r="K94" s="26"/>
      <c r="L94" s="26"/>
      <c r="M94" s="25"/>
      <c r="N94" s="26"/>
      <c r="O94" s="25"/>
      <c r="P94" s="25"/>
      <c r="Q94" s="25"/>
    </row>
    <row r="95" spans="1:17" x14ac:dyDescent="0.35">
      <c r="A95" s="25"/>
      <c r="B95" s="25"/>
      <c r="C95" s="25"/>
      <c r="D95" s="26"/>
      <c r="E95" s="25"/>
      <c r="F95" s="25"/>
      <c r="G95" s="25"/>
      <c r="H95" s="25"/>
      <c r="I95" s="25"/>
      <c r="J95" s="25"/>
      <c r="K95" s="26"/>
      <c r="L95" s="26"/>
      <c r="M95" s="25"/>
      <c r="N95" s="26"/>
      <c r="O95" s="25"/>
      <c r="P95" s="25"/>
      <c r="Q95" s="25"/>
    </row>
    <row r="96" spans="1:17" x14ac:dyDescent="0.35">
      <c r="A96" s="25"/>
      <c r="B96" s="25"/>
      <c r="C96" s="25"/>
      <c r="D96" s="26"/>
      <c r="E96" s="25"/>
      <c r="F96" s="25"/>
      <c r="G96" s="25"/>
      <c r="H96" s="25"/>
      <c r="I96" s="25"/>
      <c r="J96" s="25"/>
      <c r="K96" s="26"/>
      <c r="L96" s="26"/>
      <c r="M96" s="25"/>
      <c r="N96" s="26"/>
      <c r="O96" s="25"/>
      <c r="P96" s="25"/>
      <c r="Q96" s="25"/>
    </row>
    <row r="97" spans="1:17" x14ac:dyDescent="0.35">
      <c r="A97" s="25"/>
      <c r="B97" s="25"/>
      <c r="C97" s="25"/>
      <c r="D97" s="26"/>
      <c r="E97" s="25"/>
      <c r="F97" s="25"/>
      <c r="G97" s="25"/>
      <c r="H97" s="25"/>
      <c r="I97" s="25"/>
      <c r="J97" s="25"/>
      <c r="K97" s="26"/>
      <c r="L97" s="26"/>
      <c r="M97" s="25"/>
      <c r="N97" s="26"/>
      <c r="O97" s="25"/>
      <c r="P97" s="25"/>
      <c r="Q97" s="25"/>
    </row>
    <row r="98" spans="1:17" x14ac:dyDescent="0.35">
      <c r="A98" s="25"/>
      <c r="B98" s="25"/>
      <c r="C98" s="25"/>
      <c r="D98" s="26"/>
      <c r="E98" s="25"/>
      <c r="F98" s="25"/>
      <c r="G98" s="25"/>
      <c r="H98" s="25"/>
      <c r="I98" s="25"/>
      <c r="J98" s="25"/>
      <c r="K98" s="26"/>
      <c r="L98" s="26"/>
      <c r="M98" s="25"/>
      <c r="N98" s="26"/>
      <c r="O98" s="25"/>
      <c r="P98" s="25"/>
      <c r="Q98" s="25"/>
    </row>
    <row r="99" spans="1:17" x14ac:dyDescent="0.35">
      <c r="A99" s="25"/>
      <c r="B99" s="25"/>
      <c r="C99" s="25"/>
      <c r="D99" s="26"/>
      <c r="E99" s="25"/>
      <c r="F99" s="25"/>
      <c r="G99" s="25"/>
      <c r="H99" s="25"/>
      <c r="I99" s="25"/>
      <c r="J99" s="25"/>
      <c r="K99" s="26"/>
      <c r="L99" s="26"/>
      <c r="M99" s="25"/>
      <c r="N99" s="26"/>
      <c r="O99" s="25"/>
      <c r="P99" s="25"/>
      <c r="Q99" s="25"/>
    </row>
    <row r="100" spans="1:17" x14ac:dyDescent="0.35">
      <c r="A100" s="25"/>
      <c r="B100" s="25"/>
      <c r="C100" s="25"/>
      <c r="D100" s="26"/>
      <c r="E100" s="25"/>
      <c r="F100" s="25"/>
      <c r="G100" s="25"/>
      <c r="H100" s="25"/>
      <c r="I100" s="25"/>
      <c r="J100" s="25"/>
      <c r="K100" s="26"/>
      <c r="L100" s="26"/>
      <c r="M100" s="25"/>
      <c r="N100" s="26"/>
      <c r="O100" s="25"/>
      <c r="P100" s="25"/>
      <c r="Q100" s="25"/>
    </row>
    <row r="101" spans="1:17" x14ac:dyDescent="0.35">
      <c r="A101" s="25"/>
      <c r="B101" s="25"/>
      <c r="C101" s="25"/>
      <c r="D101" s="26"/>
      <c r="E101" s="25"/>
      <c r="F101" s="25"/>
      <c r="G101" s="25"/>
      <c r="H101" s="25"/>
      <c r="I101" s="25"/>
      <c r="J101" s="25"/>
      <c r="K101" s="26"/>
      <c r="L101" s="26"/>
      <c r="M101" s="25"/>
      <c r="N101" s="26"/>
      <c r="O101" s="25"/>
      <c r="P101" s="25"/>
      <c r="Q101" s="25"/>
    </row>
    <row r="102" spans="1:17" x14ac:dyDescent="0.35">
      <c r="A102" s="25"/>
      <c r="B102" s="25"/>
      <c r="C102" s="25"/>
      <c r="D102" s="26"/>
      <c r="E102" s="25"/>
      <c r="F102" s="25"/>
      <c r="G102" s="25"/>
      <c r="H102" s="25"/>
      <c r="I102" s="25"/>
      <c r="J102" s="25"/>
      <c r="K102" s="26"/>
      <c r="L102" s="26"/>
      <c r="M102" s="25"/>
      <c r="N102" s="26"/>
      <c r="O102" s="25"/>
      <c r="P102" s="25"/>
      <c r="Q102" s="25"/>
    </row>
    <row r="103" spans="1:17" x14ac:dyDescent="0.35">
      <c r="A103" s="25"/>
      <c r="B103" s="25"/>
      <c r="C103" s="25"/>
      <c r="D103" s="26"/>
      <c r="E103" s="25"/>
      <c r="F103" s="25"/>
      <c r="G103" s="25"/>
      <c r="H103" s="25"/>
      <c r="I103" s="25"/>
      <c r="J103" s="25"/>
      <c r="K103" s="26"/>
      <c r="L103" s="26"/>
      <c r="M103" s="25"/>
      <c r="N103" s="26"/>
      <c r="O103" s="25"/>
      <c r="P103" s="25"/>
      <c r="Q103" s="25"/>
    </row>
    <row r="104" spans="1:17" x14ac:dyDescent="0.35">
      <c r="A104" s="25"/>
      <c r="B104" s="25"/>
      <c r="C104" s="25"/>
      <c r="D104" s="26"/>
      <c r="E104" s="25"/>
      <c r="F104" s="25"/>
      <c r="G104" s="25"/>
      <c r="H104" s="25"/>
      <c r="I104" s="25"/>
      <c r="J104" s="25"/>
      <c r="K104" s="26"/>
      <c r="L104" s="26"/>
      <c r="M104" s="25"/>
      <c r="N104" s="26"/>
      <c r="O104" s="25"/>
      <c r="P104" s="25"/>
      <c r="Q104" s="25"/>
    </row>
    <row r="105" spans="1:17" x14ac:dyDescent="0.35">
      <c r="A105" s="25"/>
      <c r="B105" s="25"/>
      <c r="C105" s="25"/>
      <c r="D105" s="26"/>
      <c r="E105" s="25"/>
      <c r="F105" s="25"/>
      <c r="G105" s="25"/>
      <c r="H105" s="25"/>
      <c r="I105" s="25"/>
      <c r="J105" s="25"/>
      <c r="K105" s="26"/>
      <c r="L105" s="26"/>
      <c r="M105" s="25"/>
      <c r="N105" s="26"/>
      <c r="O105" s="25"/>
      <c r="P105" s="25"/>
      <c r="Q105" s="25"/>
    </row>
    <row r="106" spans="1:17" x14ac:dyDescent="0.35">
      <c r="A106" s="25"/>
      <c r="B106" s="25"/>
      <c r="C106" s="25"/>
      <c r="D106" s="26"/>
      <c r="E106" s="25"/>
      <c r="F106" s="25"/>
      <c r="G106" s="25"/>
      <c r="H106" s="25"/>
      <c r="I106" s="25"/>
      <c r="J106" s="25"/>
      <c r="K106" s="26"/>
      <c r="L106" s="26"/>
      <c r="M106" s="25"/>
      <c r="N106" s="26"/>
      <c r="O106" s="25"/>
      <c r="P106" s="25"/>
      <c r="Q106" s="25"/>
    </row>
    <row r="107" spans="1:17" x14ac:dyDescent="0.35">
      <c r="A107" s="25"/>
      <c r="B107" s="25"/>
      <c r="C107" s="25"/>
      <c r="D107" s="26"/>
      <c r="E107" s="25"/>
      <c r="F107" s="25"/>
      <c r="G107" s="25"/>
      <c r="H107" s="25"/>
      <c r="I107" s="25"/>
      <c r="J107" s="25"/>
      <c r="K107" s="26"/>
      <c r="L107" s="26"/>
      <c r="M107" s="25"/>
      <c r="N107" s="26"/>
      <c r="O107" s="25"/>
      <c r="P107" s="25"/>
      <c r="Q107" s="25"/>
    </row>
    <row r="108" spans="1:17" x14ac:dyDescent="0.35">
      <c r="A108" s="25"/>
      <c r="B108" s="25"/>
      <c r="C108" s="25"/>
      <c r="D108" s="26"/>
      <c r="E108" s="25"/>
      <c r="F108" s="25"/>
      <c r="G108" s="25"/>
      <c r="H108" s="25"/>
      <c r="I108" s="25"/>
      <c r="J108" s="25"/>
      <c r="K108" s="26"/>
      <c r="L108" s="26"/>
      <c r="M108" s="25"/>
      <c r="N108" s="26"/>
      <c r="O108" s="25"/>
      <c r="P108" s="25"/>
      <c r="Q108" s="25"/>
    </row>
    <row r="109" spans="1:17" x14ac:dyDescent="0.35">
      <c r="A109" s="25"/>
      <c r="B109" s="25"/>
      <c r="C109" s="25"/>
      <c r="D109" s="26"/>
      <c r="E109" s="25"/>
      <c r="F109" s="25"/>
      <c r="G109" s="25"/>
      <c r="H109" s="25"/>
      <c r="I109" s="25"/>
      <c r="J109" s="25"/>
      <c r="K109" s="26"/>
      <c r="L109" s="26"/>
      <c r="M109" s="25"/>
      <c r="N109" s="26"/>
      <c r="O109" s="25"/>
      <c r="P109" s="25"/>
      <c r="Q109" s="25"/>
    </row>
    <row r="110" spans="1:17" x14ac:dyDescent="0.35">
      <c r="A110" s="25"/>
      <c r="B110" s="25"/>
      <c r="C110" s="25"/>
      <c r="D110" s="26"/>
      <c r="E110" s="25"/>
      <c r="F110" s="25"/>
      <c r="G110" s="25"/>
      <c r="H110" s="25"/>
      <c r="I110" s="25"/>
      <c r="J110" s="25"/>
      <c r="K110" s="26"/>
      <c r="L110" s="26"/>
      <c r="M110" s="25"/>
      <c r="N110" s="26"/>
      <c r="O110" s="25"/>
      <c r="P110" s="25"/>
      <c r="Q110" s="25"/>
    </row>
    <row r="111" spans="1:17" x14ac:dyDescent="0.35">
      <c r="A111" s="25"/>
      <c r="B111" s="25"/>
      <c r="C111" s="25"/>
      <c r="D111" s="26"/>
      <c r="E111" s="25"/>
      <c r="F111" s="25"/>
      <c r="G111" s="25"/>
      <c r="H111" s="25"/>
      <c r="I111" s="25"/>
      <c r="J111" s="25"/>
      <c r="K111" s="26"/>
      <c r="L111" s="26"/>
      <c r="M111" s="25"/>
      <c r="N111" s="26"/>
      <c r="O111" s="25"/>
      <c r="P111" s="25"/>
      <c r="Q111" s="25"/>
    </row>
    <row r="112" spans="1:17" x14ac:dyDescent="0.35">
      <c r="A112" s="25"/>
      <c r="B112" s="25"/>
      <c r="C112" s="25"/>
      <c r="D112" s="26"/>
      <c r="E112" s="25"/>
      <c r="F112" s="25"/>
      <c r="G112" s="25"/>
      <c r="H112" s="25"/>
      <c r="I112" s="25"/>
      <c r="J112" s="25"/>
      <c r="K112" s="26"/>
      <c r="L112" s="26"/>
      <c r="M112" s="25"/>
      <c r="N112" s="26"/>
      <c r="O112" s="25"/>
      <c r="P112" s="25"/>
      <c r="Q112" s="25"/>
    </row>
    <row r="113" spans="1:17" x14ac:dyDescent="0.35">
      <c r="A113" s="25"/>
      <c r="B113" s="25"/>
      <c r="C113" s="25"/>
      <c r="D113" s="26"/>
      <c r="E113" s="25"/>
      <c r="F113" s="25"/>
      <c r="G113" s="25"/>
      <c r="H113" s="25"/>
      <c r="I113" s="25"/>
      <c r="J113" s="25"/>
      <c r="K113" s="26"/>
      <c r="L113" s="26"/>
      <c r="M113" s="25"/>
      <c r="N113" s="26"/>
      <c r="O113" s="25"/>
      <c r="P113" s="25"/>
      <c r="Q113" s="25"/>
    </row>
    <row r="114" spans="1:17" x14ac:dyDescent="0.35">
      <c r="A114" s="25"/>
      <c r="B114" s="25"/>
      <c r="C114" s="25"/>
      <c r="D114" s="26"/>
      <c r="E114" s="25"/>
      <c r="F114" s="25"/>
      <c r="G114" s="25"/>
      <c r="H114" s="25"/>
      <c r="I114" s="25"/>
      <c r="J114" s="25"/>
      <c r="K114" s="26"/>
      <c r="L114" s="26"/>
      <c r="M114" s="25"/>
      <c r="N114" s="26"/>
      <c r="O114" s="25"/>
      <c r="P114" s="25"/>
      <c r="Q114" s="25"/>
    </row>
    <row r="115" spans="1:17" x14ac:dyDescent="0.35">
      <c r="A115" s="25"/>
      <c r="B115" s="25"/>
      <c r="C115" s="25"/>
      <c r="D115" s="26"/>
      <c r="E115" s="25"/>
      <c r="F115" s="25"/>
      <c r="G115" s="25"/>
      <c r="H115" s="25"/>
      <c r="I115" s="25"/>
      <c r="J115" s="25"/>
      <c r="K115" s="26"/>
      <c r="L115" s="26"/>
      <c r="M115" s="25"/>
      <c r="N115" s="26"/>
      <c r="O115" s="25"/>
      <c r="P115" s="25"/>
      <c r="Q115" s="25"/>
    </row>
    <row r="116" spans="1:17" x14ac:dyDescent="0.35">
      <c r="A116" s="25"/>
      <c r="B116" s="25"/>
      <c r="C116" s="25"/>
      <c r="D116" s="26"/>
      <c r="E116" s="25"/>
      <c r="F116" s="25"/>
      <c r="G116" s="25"/>
      <c r="H116" s="25"/>
      <c r="I116" s="25"/>
      <c r="J116" s="25"/>
      <c r="K116" s="26"/>
      <c r="L116" s="26"/>
      <c r="M116" s="25"/>
      <c r="N116" s="26"/>
      <c r="O116" s="25"/>
      <c r="P116" s="25"/>
      <c r="Q116" s="25"/>
    </row>
    <row r="117" spans="1:17" x14ac:dyDescent="0.35">
      <c r="A117" s="25"/>
      <c r="B117" s="25"/>
      <c r="C117" s="25"/>
      <c r="D117" s="26"/>
      <c r="E117" s="25"/>
      <c r="F117" s="25"/>
      <c r="G117" s="25"/>
      <c r="H117" s="25"/>
      <c r="I117" s="25"/>
      <c r="J117" s="25"/>
      <c r="K117" s="26"/>
      <c r="L117" s="26"/>
      <c r="M117" s="25"/>
      <c r="N117" s="26"/>
      <c r="O117" s="25"/>
      <c r="P117" s="25"/>
      <c r="Q117" s="25"/>
    </row>
    <row r="118" spans="1:17" x14ac:dyDescent="0.35">
      <c r="A118" s="25"/>
      <c r="B118" s="25"/>
      <c r="C118" s="25"/>
      <c r="D118" s="26"/>
      <c r="E118" s="25"/>
      <c r="F118" s="25"/>
      <c r="G118" s="25"/>
      <c r="H118" s="25"/>
      <c r="I118" s="25"/>
      <c r="J118" s="25"/>
      <c r="K118" s="26"/>
      <c r="L118" s="26"/>
      <c r="M118" s="25"/>
      <c r="N118" s="26"/>
      <c r="O118" s="25"/>
      <c r="P118" s="25"/>
      <c r="Q118" s="25"/>
    </row>
    <row r="119" spans="1:17" x14ac:dyDescent="0.35">
      <c r="A119" s="25"/>
      <c r="B119" s="25"/>
      <c r="C119" s="25"/>
      <c r="D119" s="26"/>
      <c r="E119" s="25"/>
      <c r="F119" s="25"/>
      <c r="G119" s="25"/>
      <c r="H119" s="25"/>
      <c r="I119" s="25"/>
      <c r="J119" s="25"/>
      <c r="K119" s="26"/>
      <c r="L119" s="26"/>
      <c r="M119" s="25"/>
      <c r="N119" s="26"/>
      <c r="O119" s="25"/>
      <c r="P119" s="25"/>
      <c r="Q119" s="25"/>
    </row>
    <row r="120" spans="1:17" x14ac:dyDescent="0.35">
      <c r="A120" s="25"/>
      <c r="B120" s="25"/>
      <c r="C120" s="25"/>
      <c r="D120" s="26"/>
      <c r="E120" s="25"/>
      <c r="F120" s="25"/>
      <c r="G120" s="25"/>
      <c r="H120" s="25"/>
      <c r="I120" s="25"/>
      <c r="J120" s="25"/>
      <c r="K120" s="26"/>
      <c r="L120" s="26"/>
      <c r="M120" s="25"/>
      <c r="N120" s="26"/>
      <c r="O120" s="25"/>
      <c r="P120" s="25"/>
      <c r="Q120" s="25"/>
    </row>
    <row r="121" spans="1:17" x14ac:dyDescent="0.35">
      <c r="A121" s="25"/>
      <c r="B121" s="25"/>
      <c r="C121" s="25"/>
      <c r="D121" s="26"/>
      <c r="E121" s="25"/>
      <c r="F121" s="25"/>
      <c r="G121" s="25"/>
      <c r="H121" s="25"/>
      <c r="I121" s="25"/>
      <c r="J121" s="25"/>
      <c r="K121" s="26"/>
      <c r="L121" s="26"/>
      <c r="M121" s="25"/>
      <c r="N121" s="26"/>
      <c r="O121" s="25"/>
      <c r="P121" s="25"/>
      <c r="Q121" s="25"/>
    </row>
    <row r="122" spans="1:17" x14ac:dyDescent="0.35">
      <c r="A122" s="25"/>
      <c r="B122" s="25"/>
      <c r="C122" s="25"/>
      <c r="D122" s="26"/>
      <c r="E122" s="25"/>
      <c r="F122" s="25"/>
      <c r="G122" s="25"/>
      <c r="H122" s="25"/>
      <c r="I122" s="25"/>
      <c r="J122" s="25"/>
      <c r="K122" s="26"/>
      <c r="L122" s="26"/>
      <c r="M122" s="25"/>
      <c r="N122" s="26"/>
      <c r="O122" s="25"/>
      <c r="P122" s="25"/>
      <c r="Q122" s="25"/>
    </row>
    <row r="123" spans="1:17" x14ac:dyDescent="0.35">
      <c r="A123" s="25"/>
      <c r="B123" s="25"/>
      <c r="C123" s="25"/>
      <c r="D123" s="26"/>
      <c r="E123" s="25"/>
      <c r="F123" s="25"/>
      <c r="G123" s="25"/>
      <c r="H123" s="25"/>
      <c r="I123" s="25"/>
      <c r="J123" s="25"/>
      <c r="K123" s="26"/>
      <c r="L123" s="26"/>
      <c r="M123" s="25"/>
      <c r="N123" s="26"/>
      <c r="O123" s="25"/>
      <c r="P123" s="25"/>
      <c r="Q123" s="25"/>
    </row>
    <row r="124" spans="1:17" x14ac:dyDescent="0.35">
      <c r="A124" s="25"/>
      <c r="B124" s="25"/>
      <c r="C124" s="25"/>
      <c r="D124" s="26"/>
      <c r="E124" s="25"/>
      <c r="F124" s="25"/>
      <c r="G124" s="25"/>
      <c r="H124" s="25"/>
      <c r="I124" s="25"/>
      <c r="J124" s="25"/>
      <c r="K124" s="26"/>
      <c r="L124" s="26"/>
      <c r="M124" s="25"/>
      <c r="N124" s="26"/>
      <c r="O124" s="25"/>
      <c r="P124" s="25"/>
      <c r="Q124" s="25"/>
    </row>
  </sheetData>
  <mergeCells count="1">
    <mergeCell ref="A1:Q1"/>
  </mergeCells>
  <dataValidations count="5">
    <dataValidation type="list" allowBlank="1" sqref="C5:C124" xr:uid="{00000000-0002-0000-1000-000000000000}">
      <formula1>_xlfn._LONGTEXT("Personal Care,Medication Administration,Mealtime Support,Nutrition &amp; Hydration,Mobility &amp; Transfers,Moving &amp; Handling,Pressure Area Care,Continence Care,Clinical Care,Infection Prevention &amp; Control,Resident Interaction,Dementia Care,Activities &amp; Meaningfu","l Occupation,Communication,Documentation &amp; Record Keeping,Care Plan Compliance,Risk Assessment Compliance (PCS),Staff Competency,Safeguarding Practice,Mental Capacity &amp; Consent,Fire Safety,Health &amp; Safety,Environmental Standards,Housekeeping &amp; Cleaning,La","undry Practice,Kitchen &amp; Food Safety,Call Bell Response,Emergency Response,Leadership &amp; Supervision,Other")</formula1>
    </dataValidation>
    <dataValidation type="list" allowBlank="1" sqref="F5:F124" xr:uid="{00000000-0002-0000-1000-000001000000}">
      <formula1>"Competent,Competent with Support,Not Yet Competent,Reassessment Required"</formula1>
    </dataValidation>
    <dataValidation type="list" allowBlank="1" sqref="I5:J124" xr:uid="{00000000-0002-0000-1000-000002000000}">
      <formula1>"Yes,No,N/A,In Progress"</formula1>
    </dataValidation>
    <dataValidation type="list" allowBlank="1" sqref="O5:O124" xr:uid="{00000000-0002-0000-1000-000003000000}">
      <formula1>"Not Started,In Progress,Completed,Overdue,Closed"</formula1>
    </dataValidation>
    <dataValidation type="list" allowBlank="1" sqref="P5:P124" xr:uid="{00000000-0002-0000-1000-000004000000}">
      <formula1>"Green,Amber,Red,Grey"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84"/>
  <sheetViews>
    <sheetView workbookViewId="0"/>
  </sheetViews>
  <sheetFormatPr defaultRowHeight="14.5" x14ac:dyDescent="0.35"/>
  <cols>
    <col min="1" max="10" width="16" customWidth="1"/>
    <col min="11" max="11" width="30" customWidth="1"/>
    <col min="12" max="14" width="16" customWidth="1"/>
    <col min="15" max="15" width="30" customWidth="1"/>
    <col min="16" max="19" width="16" customWidth="1"/>
    <col min="20" max="20" width="30" customWidth="1"/>
  </cols>
  <sheetData>
    <row r="1" spans="1:20" x14ac:dyDescent="0.35">
      <c r="A1" s="154" t="s">
        <v>392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</row>
    <row r="2" spans="1:20" ht="51.65" customHeight="1" x14ac:dyDescent="0.35">
      <c r="A2" s="21" t="s">
        <v>321</v>
      </c>
    </row>
    <row r="4" spans="1:20" ht="19.399999999999999" customHeight="1" x14ac:dyDescent="0.35">
      <c r="A4" s="24" t="s">
        <v>393</v>
      </c>
      <c r="B4" s="24" t="s">
        <v>394</v>
      </c>
      <c r="C4" s="24" t="s">
        <v>395</v>
      </c>
      <c r="D4" s="24" t="s">
        <v>396</v>
      </c>
      <c r="E4" s="24" t="s">
        <v>397</v>
      </c>
      <c r="F4" s="24" t="s">
        <v>398</v>
      </c>
      <c r="G4" s="24" t="s">
        <v>380</v>
      </c>
      <c r="H4" s="24" t="s">
        <v>399</v>
      </c>
      <c r="I4" s="24" t="s">
        <v>400</v>
      </c>
      <c r="J4" s="24" t="s">
        <v>401</v>
      </c>
      <c r="K4" s="24" t="s">
        <v>384</v>
      </c>
      <c r="L4" s="24" t="s">
        <v>351</v>
      </c>
      <c r="M4" s="24" t="s">
        <v>352</v>
      </c>
      <c r="N4" s="24" t="s">
        <v>281</v>
      </c>
      <c r="O4" s="24" t="s">
        <v>335</v>
      </c>
      <c r="P4" s="24" t="s">
        <v>353</v>
      </c>
      <c r="Q4" s="24" t="s">
        <v>337</v>
      </c>
      <c r="R4" s="24" t="s">
        <v>296</v>
      </c>
      <c r="S4" s="24" t="s">
        <v>6</v>
      </c>
      <c r="T4" s="24" t="s">
        <v>338</v>
      </c>
    </row>
    <row r="5" spans="1:20" x14ac:dyDescent="0.35">
      <c r="A5" s="26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6"/>
      <c r="N5" s="26"/>
      <c r="O5" s="25"/>
      <c r="P5" s="25"/>
      <c r="Q5" s="26"/>
      <c r="R5" s="25"/>
      <c r="S5" s="25"/>
      <c r="T5" s="25"/>
    </row>
    <row r="6" spans="1:20" x14ac:dyDescent="0.35">
      <c r="A6" s="26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6"/>
      <c r="N6" s="26"/>
      <c r="O6" s="25"/>
      <c r="P6" s="25"/>
      <c r="Q6" s="26"/>
      <c r="R6" s="25"/>
      <c r="S6" s="25"/>
      <c r="T6" s="25"/>
    </row>
    <row r="7" spans="1:20" x14ac:dyDescent="0.35">
      <c r="A7" s="26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6"/>
      <c r="N7" s="26"/>
      <c r="O7" s="25"/>
      <c r="P7" s="25"/>
      <c r="Q7" s="26"/>
      <c r="R7" s="25"/>
      <c r="S7" s="25"/>
      <c r="T7" s="25"/>
    </row>
    <row r="8" spans="1:20" x14ac:dyDescent="0.35">
      <c r="A8" s="26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6"/>
      <c r="N8" s="26"/>
      <c r="O8" s="25"/>
      <c r="P8" s="25"/>
      <c r="Q8" s="26"/>
      <c r="R8" s="25"/>
      <c r="S8" s="25"/>
      <c r="T8" s="25"/>
    </row>
    <row r="9" spans="1:20" x14ac:dyDescent="0.35">
      <c r="A9" s="26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6"/>
      <c r="N9" s="26"/>
      <c r="O9" s="25"/>
      <c r="P9" s="25"/>
      <c r="Q9" s="26"/>
      <c r="R9" s="25"/>
      <c r="S9" s="25"/>
      <c r="T9" s="25"/>
    </row>
    <row r="10" spans="1:20" x14ac:dyDescent="0.35">
      <c r="A10" s="26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6"/>
      <c r="N10" s="26"/>
      <c r="O10" s="25"/>
      <c r="P10" s="25"/>
      <c r="Q10" s="26"/>
      <c r="R10" s="25"/>
      <c r="S10" s="25"/>
      <c r="T10" s="25"/>
    </row>
    <row r="11" spans="1:20" x14ac:dyDescent="0.35">
      <c r="A11" s="26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6"/>
      <c r="N11" s="26"/>
      <c r="O11" s="25"/>
      <c r="P11" s="25"/>
      <c r="Q11" s="26"/>
      <c r="R11" s="25"/>
      <c r="S11" s="25"/>
      <c r="T11" s="25"/>
    </row>
    <row r="12" spans="1:20" x14ac:dyDescent="0.35">
      <c r="A12" s="26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6"/>
      <c r="N12" s="26"/>
      <c r="O12" s="25"/>
      <c r="P12" s="25"/>
      <c r="Q12" s="26"/>
      <c r="R12" s="25"/>
      <c r="S12" s="25"/>
      <c r="T12" s="25"/>
    </row>
    <row r="13" spans="1:20" x14ac:dyDescent="0.35">
      <c r="A13" s="26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6"/>
      <c r="N13" s="26"/>
      <c r="O13" s="25"/>
      <c r="P13" s="25"/>
      <c r="Q13" s="26"/>
      <c r="R13" s="25"/>
      <c r="S13" s="25"/>
      <c r="T13" s="25"/>
    </row>
    <row r="14" spans="1:20" x14ac:dyDescent="0.35">
      <c r="A14" s="26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26"/>
      <c r="O14" s="25"/>
      <c r="P14" s="25"/>
      <c r="Q14" s="26"/>
      <c r="R14" s="25"/>
      <c r="S14" s="25"/>
      <c r="T14" s="25"/>
    </row>
    <row r="15" spans="1:20" x14ac:dyDescent="0.35">
      <c r="A15" s="26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6"/>
      <c r="N15" s="26"/>
      <c r="O15" s="25"/>
      <c r="P15" s="25"/>
      <c r="Q15" s="26"/>
      <c r="R15" s="25"/>
      <c r="S15" s="25"/>
      <c r="T15" s="25"/>
    </row>
    <row r="16" spans="1:20" x14ac:dyDescent="0.35">
      <c r="A16" s="26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6"/>
      <c r="O16" s="25"/>
      <c r="P16" s="25"/>
      <c r="Q16" s="26"/>
      <c r="R16" s="25"/>
      <c r="S16" s="25"/>
      <c r="T16" s="25"/>
    </row>
    <row r="17" spans="1:20" x14ac:dyDescent="0.35">
      <c r="A17" s="26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6"/>
      <c r="O17" s="25"/>
      <c r="P17" s="25"/>
      <c r="Q17" s="26"/>
      <c r="R17" s="25"/>
      <c r="S17" s="25"/>
      <c r="T17" s="25"/>
    </row>
    <row r="18" spans="1:20" x14ac:dyDescent="0.35">
      <c r="A18" s="26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6"/>
      <c r="N18" s="26"/>
      <c r="O18" s="25"/>
      <c r="P18" s="25"/>
      <c r="Q18" s="26"/>
      <c r="R18" s="25"/>
      <c r="S18" s="25"/>
      <c r="T18" s="25"/>
    </row>
    <row r="19" spans="1:20" x14ac:dyDescent="0.35">
      <c r="A19" s="26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6"/>
      <c r="N19" s="26"/>
      <c r="O19" s="25"/>
      <c r="P19" s="25"/>
      <c r="Q19" s="26"/>
      <c r="R19" s="25"/>
      <c r="S19" s="25"/>
      <c r="T19" s="25"/>
    </row>
    <row r="20" spans="1:20" x14ac:dyDescent="0.35">
      <c r="A20" s="26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6"/>
      <c r="N20" s="26"/>
      <c r="O20" s="25"/>
      <c r="P20" s="25"/>
      <c r="Q20" s="26"/>
      <c r="R20" s="25"/>
      <c r="S20" s="25"/>
      <c r="T20" s="25"/>
    </row>
    <row r="21" spans="1:20" x14ac:dyDescent="0.35">
      <c r="A21" s="26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6"/>
      <c r="N21" s="26"/>
      <c r="O21" s="25"/>
      <c r="P21" s="25"/>
      <c r="Q21" s="26"/>
      <c r="R21" s="25"/>
      <c r="S21" s="25"/>
      <c r="T21" s="25"/>
    </row>
    <row r="22" spans="1:20" x14ac:dyDescent="0.35">
      <c r="A22" s="26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6"/>
      <c r="N22" s="26"/>
      <c r="O22" s="25"/>
      <c r="P22" s="25"/>
      <c r="Q22" s="26"/>
      <c r="R22" s="25"/>
      <c r="S22" s="25"/>
      <c r="T22" s="25"/>
    </row>
    <row r="23" spans="1:20" x14ac:dyDescent="0.35">
      <c r="A23" s="26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6"/>
      <c r="N23" s="26"/>
      <c r="O23" s="25"/>
      <c r="P23" s="25"/>
      <c r="Q23" s="26"/>
      <c r="R23" s="25"/>
      <c r="S23" s="25"/>
      <c r="T23" s="25"/>
    </row>
    <row r="24" spans="1:20" x14ac:dyDescent="0.35">
      <c r="A24" s="26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6"/>
      <c r="N24" s="26"/>
      <c r="O24" s="25"/>
      <c r="P24" s="25"/>
      <c r="Q24" s="26"/>
      <c r="R24" s="25"/>
      <c r="S24" s="25"/>
      <c r="T24" s="25"/>
    </row>
    <row r="25" spans="1:20" x14ac:dyDescent="0.35">
      <c r="A25" s="26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6"/>
      <c r="N25" s="26"/>
      <c r="O25" s="25"/>
      <c r="P25" s="25"/>
      <c r="Q25" s="26"/>
      <c r="R25" s="25"/>
      <c r="S25" s="25"/>
      <c r="T25" s="25"/>
    </row>
    <row r="26" spans="1:20" x14ac:dyDescent="0.35">
      <c r="A26" s="26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6"/>
      <c r="N26" s="26"/>
      <c r="O26" s="25"/>
      <c r="P26" s="25"/>
      <c r="Q26" s="26"/>
      <c r="R26" s="25"/>
      <c r="S26" s="25"/>
      <c r="T26" s="25"/>
    </row>
    <row r="27" spans="1:20" x14ac:dyDescent="0.35">
      <c r="A27" s="26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6"/>
      <c r="N27" s="26"/>
      <c r="O27" s="25"/>
      <c r="P27" s="25"/>
      <c r="Q27" s="26"/>
      <c r="R27" s="25"/>
      <c r="S27" s="25"/>
      <c r="T27" s="25"/>
    </row>
    <row r="28" spans="1:20" x14ac:dyDescent="0.35">
      <c r="A28" s="26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6"/>
      <c r="N28" s="26"/>
      <c r="O28" s="25"/>
      <c r="P28" s="25"/>
      <c r="Q28" s="26"/>
      <c r="R28" s="25"/>
      <c r="S28" s="25"/>
      <c r="T28" s="25"/>
    </row>
    <row r="29" spans="1:20" x14ac:dyDescent="0.35">
      <c r="A29" s="26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6"/>
      <c r="N29" s="26"/>
      <c r="O29" s="25"/>
      <c r="P29" s="25"/>
      <c r="Q29" s="26"/>
      <c r="R29" s="25"/>
      <c r="S29" s="25"/>
      <c r="T29" s="25"/>
    </row>
    <row r="30" spans="1:20" x14ac:dyDescent="0.35">
      <c r="A30" s="26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6"/>
      <c r="N30" s="26"/>
      <c r="O30" s="25"/>
      <c r="P30" s="25"/>
      <c r="Q30" s="26"/>
      <c r="R30" s="25"/>
      <c r="S30" s="25"/>
      <c r="T30" s="25"/>
    </row>
    <row r="31" spans="1:20" x14ac:dyDescent="0.35">
      <c r="A31" s="26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6"/>
      <c r="N31" s="26"/>
      <c r="O31" s="25"/>
      <c r="P31" s="25"/>
      <c r="Q31" s="26"/>
      <c r="R31" s="25"/>
      <c r="S31" s="25"/>
      <c r="T31" s="25"/>
    </row>
    <row r="32" spans="1:20" x14ac:dyDescent="0.35">
      <c r="A32" s="26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6"/>
      <c r="N32" s="26"/>
      <c r="O32" s="25"/>
      <c r="P32" s="25"/>
      <c r="Q32" s="26"/>
      <c r="R32" s="25"/>
      <c r="S32" s="25"/>
      <c r="T32" s="25"/>
    </row>
    <row r="33" spans="1:20" x14ac:dyDescent="0.35">
      <c r="A33" s="26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6"/>
      <c r="N33" s="26"/>
      <c r="O33" s="25"/>
      <c r="P33" s="25"/>
      <c r="Q33" s="26"/>
      <c r="R33" s="25"/>
      <c r="S33" s="25"/>
      <c r="T33" s="25"/>
    </row>
    <row r="34" spans="1:20" x14ac:dyDescent="0.35">
      <c r="A34" s="26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6"/>
      <c r="N34" s="26"/>
      <c r="O34" s="25"/>
      <c r="P34" s="25"/>
      <c r="Q34" s="26"/>
      <c r="R34" s="25"/>
      <c r="S34" s="25"/>
      <c r="T34" s="25"/>
    </row>
    <row r="35" spans="1:20" x14ac:dyDescent="0.35">
      <c r="A35" s="26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6"/>
      <c r="N35" s="26"/>
      <c r="O35" s="25"/>
      <c r="P35" s="25"/>
      <c r="Q35" s="26"/>
      <c r="R35" s="25"/>
      <c r="S35" s="25"/>
      <c r="T35" s="25"/>
    </row>
    <row r="36" spans="1:20" x14ac:dyDescent="0.35">
      <c r="A36" s="26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6"/>
      <c r="N36" s="26"/>
      <c r="O36" s="25"/>
      <c r="P36" s="25"/>
      <c r="Q36" s="26"/>
      <c r="R36" s="25"/>
      <c r="S36" s="25"/>
      <c r="T36" s="25"/>
    </row>
    <row r="37" spans="1:20" x14ac:dyDescent="0.35">
      <c r="A37" s="26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6"/>
      <c r="N37" s="26"/>
      <c r="O37" s="25"/>
      <c r="P37" s="25"/>
      <c r="Q37" s="26"/>
      <c r="R37" s="25"/>
      <c r="S37" s="25"/>
      <c r="T37" s="25"/>
    </row>
    <row r="38" spans="1:20" x14ac:dyDescent="0.35">
      <c r="A38" s="26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6"/>
      <c r="N38" s="26"/>
      <c r="O38" s="25"/>
      <c r="P38" s="25"/>
      <c r="Q38" s="26"/>
      <c r="R38" s="25"/>
      <c r="S38" s="25"/>
      <c r="T38" s="25"/>
    </row>
    <row r="39" spans="1:20" x14ac:dyDescent="0.35">
      <c r="A39" s="26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6"/>
      <c r="N39" s="26"/>
      <c r="O39" s="25"/>
      <c r="P39" s="25"/>
      <c r="Q39" s="26"/>
      <c r="R39" s="25"/>
      <c r="S39" s="25"/>
      <c r="T39" s="25"/>
    </row>
    <row r="40" spans="1:20" x14ac:dyDescent="0.35">
      <c r="A40" s="26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6"/>
      <c r="N40" s="26"/>
      <c r="O40" s="25"/>
      <c r="P40" s="25"/>
      <c r="Q40" s="26"/>
      <c r="R40" s="25"/>
      <c r="S40" s="25"/>
      <c r="T40" s="25"/>
    </row>
    <row r="41" spans="1:20" x14ac:dyDescent="0.35">
      <c r="A41" s="26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6"/>
      <c r="N41" s="26"/>
      <c r="O41" s="25"/>
      <c r="P41" s="25"/>
      <c r="Q41" s="26"/>
      <c r="R41" s="25"/>
      <c r="S41" s="25"/>
      <c r="T41" s="25"/>
    </row>
    <row r="42" spans="1:20" x14ac:dyDescent="0.3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6"/>
      <c r="N42" s="26"/>
      <c r="O42" s="25"/>
      <c r="P42" s="25"/>
      <c r="Q42" s="26"/>
      <c r="R42" s="25"/>
      <c r="S42" s="25"/>
      <c r="T42" s="25"/>
    </row>
    <row r="43" spans="1:20" x14ac:dyDescent="0.35">
      <c r="A43" s="26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6"/>
      <c r="N43" s="26"/>
      <c r="O43" s="25"/>
      <c r="P43" s="25"/>
      <c r="Q43" s="26"/>
      <c r="R43" s="25"/>
      <c r="S43" s="25"/>
      <c r="T43" s="25"/>
    </row>
    <row r="44" spans="1:20" x14ac:dyDescent="0.35">
      <c r="A44" s="26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6"/>
      <c r="N44" s="26"/>
      <c r="O44" s="25"/>
      <c r="P44" s="25"/>
      <c r="Q44" s="26"/>
      <c r="R44" s="25"/>
      <c r="S44" s="25"/>
      <c r="T44" s="25"/>
    </row>
    <row r="45" spans="1:20" x14ac:dyDescent="0.35">
      <c r="A45" s="26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6"/>
      <c r="N45" s="26"/>
      <c r="O45" s="25"/>
      <c r="P45" s="25"/>
      <c r="Q45" s="26"/>
      <c r="R45" s="25"/>
      <c r="S45" s="25"/>
      <c r="T45" s="25"/>
    </row>
    <row r="46" spans="1:20" x14ac:dyDescent="0.35">
      <c r="A46" s="26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6"/>
      <c r="N46" s="26"/>
      <c r="O46" s="25"/>
      <c r="P46" s="25"/>
      <c r="Q46" s="26"/>
      <c r="R46" s="25"/>
      <c r="S46" s="25"/>
      <c r="T46" s="25"/>
    </row>
    <row r="47" spans="1:20" x14ac:dyDescent="0.35">
      <c r="A47" s="26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6"/>
      <c r="N47" s="26"/>
      <c r="O47" s="25"/>
      <c r="P47" s="25"/>
      <c r="Q47" s="26"/>
      <c r="R47" s="25"/>
      <c r="S47" s="25"/>
      <c r="T47" s="25"/>
    </row>
    <row r="48" spans="1:20" x14ac:dyDescent="0.35">
      <c r="A48" s="26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6"/>
      <c r="N48" s="26"/>
      <c r="O48" s="25"/>
      <c r="P48" s="25"/>
      <c r="Q48" s="26"/>
      <c r="R48" s="25"/>
      <c r="S48" s="25"/>
      <c r="T48" s="25"/>
    </row>
    <row r="49" spans="1:20" x14ac:dyDescent="0.35">
      <c r="A49" s="26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6"/>
      <c r="N49" s="26"/>
      <c r="O49" s="25"/>
      <c r="P49" s="25"/>
      <c r="Q49" s="26"/>
      <c r="R49" s="25"/>
      <c r="S49" s="25"/>
      <c r="T49" s="25"/>
    </row>
    <row r="50" spans="1:20" x14ac:dyDescent="0.35">
      <c r="A50" s="26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6"/>
      <c r="N50" s="26"/>
      <c r="O50" s="25"/>
      <c r="P50" s="25"/>
      <c r="Q50" s="26"/>
      <c r="R50" s="25"/>
      <c r="S50" s="25"/>
      <c r="T50" s="25"/>
    </row>
    <row r="51" spans="1:20" x14ac:dyDescent="0.35">
      <c r="A51" s="26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6"/>
      <c r="N51" s="26"/>
      <c r="O51" s="25"/>
      <c r="P51" s="25"/>
      <c r="Q51" s="26"/>
      <c r="R51" s="25"/>
      <c r="S51" s="25"/>
      <c r="T51" s="25"/>
    </row>
    <row r="52" spans="1:20" x14ac:dyDescent="0.35">
      <c r="A52" s="26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6"/>
      <c r="N52" s="26"/>
      <c r="O52" s="25"/>
      <c r="P52" s="25"/>
      <c r="Q52" s="26"/>
      <c r="R52" s="25"/>
      <c r="S52" s="25"/>
      <c r="T52" s="25"/>
    </row>
    <row r="53" spans="1:20" x14ac:dyDescent="0.35">
      <c r="A53" s="26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6"/>
      <c r="N53" s="26"/>
      <c r="O53" s="25"/>
      <c r="P53" s="25"/>
      <c r="Q53" s="26"/>
      <c r="R53" s="25"/>
      <c r="S53" s="25"/>
      <c r="T53" s="25"/>
    </row>
    <row r="54" spans="1:20" x14ac:dyDescent="0.35">
      <c r="A54" s="26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6"/>
      <c r="N54" s="26"/>
      <c r="O54" s="25"/>
      <c r="P54" s="25"/>
      <c r="Q54" s="26"/>
      <c r="R54" s="25"/>
      <c r="S54" s="25"/>
      <c r="T54" s="25"/>
    </row>
    <row r="55" spans="1:20" x14ac:dyDescent="0.35">
      <c r="A55" s="26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6"/>
      <c r="N55" s="26"/>
      <c r="O55" s="25"/>
      <c r="P55" s="25"/>
      <c r="Q55" s="26"/>
      <c r="R55" s="25"/>
      <c r="S55" s="25"/>
      <c r="T55" s="25"/>
    </row>
    <row r="56" spans="1:20" x14ac:dyDescent="0.35">
      <c r="A56" s="26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6"/>
      <c r="N56" s="26"/>
      <c r="O56" s="25"/>
      <c r="P56" s="25"/>
      <c r="Q56" s="26"/>
      <c r="R56" s="25"/>
      <c r="S56" s="25"/>
      <c r="T56" s="25"/>
    </row>
    <row r="57" spans="1:20" x14ac:dyDescent="0.35">
      <c r="A57" s="26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6"/>
      <c r="N57" s="26"/>
      <c r="O57" s="25"/>
      <c r="P57" s="25"/>
      <c r="Q57" s="26"/>
      <c r="R57" s="25"/>
      <c r="S57" s="25"/>
      <c r="T57" s="25"/>
    </row>
    <row r="58" spans="1:20" x14ac:dyDescent="0.35">
      <c r="A58" s="26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6"/>
      <c r="N58" s="26"/>
      <c r="O58" s="25"/>
      <c r="P58" s="25"/>
      <c r="Q58" s="26"/>
      <c r="R58" s="25"/>
      <c r="S58" s="25"/>
      <c r="T58" s="25"/>
    </row>
    <row r="59" spans="1:20" x14ac:dyDescent="0.35">
      <c r="A59" s="26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6"/>
      <c r="N59" s="26"/>
      <c r="O59" s="25"/>
      <c r="P59" s="25"/>
      <c r="Q59" s="26"/>
      <c r="R59" s="25"/>
      <c r="S59" s="25"/>
      <c r="T59" s="25"/>
    </row>
    <row r="60" spans="1:20" x14ac:dyDescent="0.35">
      <c r="A60" s="26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6"/>
      <c r="N60" s="26"/>
      <c r="O60" s="25"/>
      <c r="P60" s="25"/>
      <c r="Q60" s="26"/>
      <c r="R60" s="25"/>
      <c r="S60" s="25"/>
      <c r="T60" s="25"/>
    </row>
    <row r="61" spans="1:20" x14ac:dyDescent="0.35">
      <c r="A61" s="26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6"/>
      <c r="N61" s="26"/>
      <c r="O61" s="25"/>
      <c r="P61" s="25"/>
      <c r="Q61" s="26"/>
      <c r="R61" s="25"/>
      <c r="S61" s="25"/>
      <c r="T61" s="25"/>
    </row>
    <row r="62" spans="1:20" x14ac:dyDescent="0.35">
      <c r="A62" s="26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6"/>
      <c r="N62" s="26"/>
      <c r="O62" s="25"/>
      <c r="P62" s="25"/>
      <c r="Q62" s="26"/>
      <c r="R62" s="25"/>
      <c r="S62" s="25"/>
      <c r="T62" s="25"/>
    </row>
    <row r="63" spans="1:20" x14ac:dyDescent="0.35">
      <c r="A63" s="26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6"/>
      <c r="N63" s="26"/>
      <c r="O63" s="25"/>
      <c r="P63" s="25"/>
      <c r="Q63" s="26"/>
      <c r="R63" s="25"/>
      <c r="S63" s="25"/>
      <c r="T63" s="25"/>
    </row>
    <row r="64" spans="1:20" x14ac:dyDescent="0.35">
      <c r="A64" s="26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6"/>
      <c r="N64" s="26"/>
      <c r="O64" s="25"/>
      <c r="P64" s="25"/>
      <c r="Q64" s="26"/>
      <c r="R64" s="25"/>
      <c r="S64" s="25"/>
      <c r="T64" s="25"/>
    </row>
    <row r="65" spans="1:20" x14ac:dyDescent="0.35">
      <c r="A65" s="26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6"/>
      <c r="N65" s="26"/>
      <c r="O65" s="25"/>
      <c r="P65" s="25"/>
      <c r="Q65" s="26"/>
      <c r="R65" s="25"/>
      <c r="S65" s="25"/>
      <c r="T65" s="25"/>
    </row>
    <row r="66" spans="1:20" x14ac:dyDescent="0.35">
      <c r="A66" s="26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6"/>
      <c r="N66" s="26"/>
      <c r="O66" s="25"/>
      <c r="P66" s="25"/>
      <c r="Q66" s="26"/>
      <c r="R66" s="25"/>
      <c r="S66" s="25"/>
      <c r="T66" s="25"/>
    </row>
    <row r="67" spans="1:20" x14ac:dyDescent="0.35">
      <c r="A67" s="26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6"/>
      <c r="N67" s="26"/>
      <c r="O67" s="25"/>
      <c r="P67" s="25"/>
      <c r="Q67" s="26"/>
      <c r="R67" s="25"/>
      <c r="S67" s="25"/>
      <c r="T67" s="25"/>
    </row>
    <row r="68" spans="1:20" x14ac:dyDescent="0.35">
      <c r="A68" s="26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6"/>
      <c r="N68" s="26"/>
      <c r="O68" s="25"/>
      <c r="P68" s="25"/>
      <c r="Q68" s="26"/>
      <c r="R68" s="25"/>
      <c r="S68" s="25"/>
      <c r="T68" s="25"/>
    </row>
    <row r="69" spans="1:20" x14ac:dyDescent="0.35">
      <c r="A69" s="26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6"/>
      <c r="N69" s="26"/>
      <c r="O69" s="25"/>
      <c r="P69" s="25"/>
      <c r="Q69" s="26"/>
      <c r="R69" s="25"/>
      <c r="S69" s="25"/>
      <c r="T69" s="25"/>
    </row>
    <row r="70" spans="1:20" x14ac:dyDescent="0.35">
      <c r="A70" s="26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6"/>
      <c r="N70" s="26"/>
      <c r="O70" s="25"/>
      <c r="P70" s="25"/>
      <c r="Q70" s="26"/>
      <c r="R70" s="25"/>
      <c r="S70" s="25"/>
      <c r="T70" s="25"/>
    </row>
    <row r="71" spans="1:20" x14ac:dyDescent="0.35">
      <c r="A71" s="26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6"/>
      <c r="N71" s="26"/>
      <c r="O71" s="25"/>
      <c r="P71" s="25"/>
      <c r="Q71" s="26"/>
      <c r="R71" s="25"/>
      <c r="S71" s="25"/>
      <c r="T71" s="25"/>
    </row>
    <row r="72" spans="1:20" x14ac:dyDescent="0.35">
      <c r="A72" s="26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6"/>
      <c r="N72" s="26"/>
      <c r="O72" s="25"/>
      <c r="P72" s="25"/>
      <c r="Q72" s="26"/>
      <c r="R72" s="25"/>
      <c r="S72" s="25"/>
      <c r="T72" s="25"/>
    </row>
    <row r="73" spans="1:20" x14ac:dyDescent="0.35">
      <c r="A73" s="26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6"/>
      <c r="N73" s="26"/>
      <c r="O73" s="25"/>
      <c r="P73" s="25"/>
      <c r="Q73" s="26"/>
      <c r="R73" s="25"/>
      <c r="S73" s="25"/>
      <c r="T73" s="25"/>
    </row>
    <row r="74" spans="1:20" x14ac:dyDescent="0.35">
      <c r="A74" s="26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6"/>
      <c r="N74" s="26"/>
      <c r="O74" s="25"/>
      <c r="P74" s="25"/>
      <c r="Q74" s="26"/>
      <c r="R74" s="25"/>
      <c r="S74" s="25"/>
      <c r="T74" s="25"/>
    </row>
    <row r="75" spans="1:20" x14ac:dyDescent="0.35">
      <c r="A75" s="26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6"/>
      <c r="N75" s="26"/>
      <c r="O75" s="25"/>
      <c r="P75" s="25"/>
      <c r="Q75" s="26"/>
      <c r="R75" s="25"/>
      <c r="S75" s="25"/>
      <c r="T75" s="25"/>
    </row>
    <row r="76" spans="1:20" x14ac:dyDescent="0.35">
      <c r="A76" s="26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6"/>
      <c r="N76" s="26"/>
      <c r="O76" s="25"/>
      <c r="P76" s="25"/>
      <c r="Q76" s="26"/>
      <c r="R76" s="25"/>
      <c r="S76" s="25"/>
      <c r="T76" s="25"/>
    </row>
    <row r="77" spans="1:20" x14ac:dyDescent="0.35">
      <c r="A77" s="26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6"/>
      <c r="N77" s="26"/>
      <c r="O77" s="25"/>
      <c r="P77" s="25"/>
      <c r="Q77" s="26"/>
      <c r="R77" s="25"/>
      <c r="S77" s="25"/>
      <c r="T77" s="25"/>
    </row>
    <row r="78" spans="1:20" x14ac:dyDescent="0.35">
      <c r="A78" s="26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6"/>
      <c r="N78" s="26"/>
      <c r="O78" s="25"/>
      <c r="P78" s="25"/>
      <c r="Q78" s="26"/>
      <c r="R78" s="25"/>
      <c r="S78" s="25"/>
      <c r="T78" s="25"/>
    </row>
    <row r="79" spans="1:20" x14ac:dyDescent="0.35">
      <c r="A79" s="26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6"/>
      <c r="N79" s="26"/>
      <c r="O79" s="25"/>
      <c r="P79" s="25"/>
      <c r="Q79" s="26"/>
      <c r="R79" s="25"/>
      <c r="S79" s="25"/>
      <c r="T79" s="25"/>
    </row>
    <row r="80" spans="1:20" x14ac:dyDescent="0.35">
      <c r="A80" s="26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6"/>
      <c r="N80" s="26"/>
      <c r="O80" s="25"/>
      <c r="P80" s="25"/>
      <c r="Q80" s="26"/>
      <c r="R80" s="25"/>
      <c r="S80" s="25"/>
      <c r="T80" s="25"/>
    </row>
    <row r="81" spans="1:20" x14ac:dyDescent="0.35">
      <c r="A81" s="26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6"/>
      <c r="N81" s="26"/>
      <c r="O81" s="25"/>
      <c r="P81" s="25"/>
      <c r="Q81" s="26"/>
      <c r="R81" s="25"/>
      <c r="S81" s="25"/>
      <c r="T81" s="25"/>
    </row>
    <row r="82" spans="1:20" x14ac:dyDescent="0.35">
      <c r="A82" s="26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6"/>
      <c r="N82" s="26"/>
      <c r="O82" s="25"/>
      <c r="P82" s="25"/>
      <c r="Q82" s="26"/>
      <c r="R82" s="25"/>
      <c r="S82" s="25"/>
      <c r="T82" s="25"/>
    </row>
    <row r="83" spans="1:20" x14ac:dyDescent="0.35">
      <c r="A83" s="26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6"/>
      <c r="N83" s="26"/>
      <c r="O83" s="25"/>
      <c r="P83" s="25"/>
      <c r="Q83" s="26"/>
      <c r="R83" s="25"/>
      <c r="S83" s="25"/>
      <c r="T83" s="25"/>
    </row>
    <row r="84" spans="1:20" x14ac:dyDescent="0.35">
      <c r="A84" s="26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6"/>
      <c r="N84" s="26"/>
      <c r="O84" s="25"/>
      <c r="P84" s="25"/>
      <c r="Q84" s="26"/>
      <c r="R84" s="25"/>
      <c r="S84" s="25"/>
      <c r="T84" s="25"/>
    </row>
  </sheetData>
  <mergeCells count="1">
    <mergeCell ref="A1:T1"/>
  </mergeCells>
  <dataValidations count="4">
    <dataValidation type="list" allowBlank="1" sqref="B5:B84" xr:uid="{00000000-0002-0000-1100-000000000000}">
      <formula1>"Staff Meeting,Senior Meeting,Clinical/Governance Meeting,Training Meeting,Emergency Meeting"</formula1>
    </dataValidation>
    <dataValidation type="list" allowBlank="1" sqref="F5:J84" xr:uid="{00000000-0002-0000-1100-000001000000}">
      <formula1>"Yes,No,N/A,In Progress"</formula1>
    </dataValidation>
    <dataValidation type="list" allowBlank="1" sqref="R5:R84" xr:uid="{00000000-0002-0000-1100-000002000000}">
      <formula1>"Not Started,In Progress,Completed,Overdue,Closed"</formula1>
    </dataValidation>
    <dataValidation type="list" allowBlank="1" sqref="S5:S84" xr:uid="{00000000-0002-0000-1100-000003000000}">
      <formula1>"Green,Amber,Red,Grey"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124"/>
  <sheetViews>
    <sheetView workbookViewId="0"/>
  </sheetViews>
  <sheetFormatPr defaultRowHeight="14.5" x14ac:dyDescent="0.35"/>
  <cols>
    <col min="1" max="1" width="22" customWidth="1"/>
    <col min="2" max="9" width="16" customWidth="1"/>
    <col min="10" max="11" width="30" customWidth="1"/>
    <col min="12" max="17" width="16" customWidth="1"/>
    <col min="18" max="18" width="30" customWidth="1"/>
  </cols>
  <sheetData>
    <row r="1" spans="1:18" x14ac:dyDescent="0.35">
      <c r="A1" s="154" t="s">
        <v>402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</row>
    <row r="2" spans="1:18" ht="32.25" customHeight="1" x14ac:dyDescent="0.35">
      <c r="A2" s="21" t="s">
        <v>321</v>
      </c>
    </row>
    <row r="4" spans="1:18" ht="19.399999999999999" customHeight="1" x14ac:dyDescent="0.35">
      <c r="A4" s="24" t="s">
        <v>31</v>
      </c>
      <c r="B4" s="24" t="s">
        <v>322</v>
      </c>
      <c r="C4" s="24" t="s">
        <v>403</v>
      </c>
      <c r="D4" s="24" t="s">
        <v>404</v>
      </c>
      <c r="E4" s="24" t="s">
        <v>371</v>
      </c>
      <c r="F4" s="24" t="s">
        <v>405</v>
      </c>
      <c r="G4" s="24" t="s">
        <v>406</v>
      </c>
      <c r="H4" s="24" t="s">
        <v>407</v>
      </c>
      <c r="I4" s="24" t="s">
        <v>408</v>
      </c>
      <c r="J4" s="24" t="s">
        <v>335</v>
      </c>
      <c r="K4" s="24" t="s">
        <v>384</v>
      </c>
      <c r="L4" s="24" t="s">
        <v>352</v>
      </c>
      <c r="M4" s="24" t="s">
        <v>281</v>
      </c>
      <c r="N4" s="24" t="s">
        <v>353</v>
      </c>
      <c r="O4" s="24" t="s">
        <v>337</v>
      </c>
      <c r="P4" s="24" t="s">
        <v>296</v>
      </c>
      <c r="Q4" s="24" t="s">
        <v>6</v>
      </c>
      <c r="R4" s="24" t="s">
        <v>338</v>
      </c>
    </row>
    <row r="5" spans="1:18" x14ac:dyDescent="0.35">
      <c r="A5" s="25"/>
      <c r="B5" s="25"/>
      <c r="C5" s="26"/>
      <c r="D5" s="26"/>
      <c r="E5" s="25"/>
      <c r="F5" s="25"/>
      <c r="G5" s="25"/>
      <c r="H5" s="25"/>
      <c r="I5" s="25"/>
      <c r="J5" s="25"/>
      <c r="K5" s="25"/>
      <c r="L5" s="26"/>
      <c r="M5" s="26"/>
      <c r="N5" s="25"/>
      <c r="O5" s="26"/>
      <c r="P5" s="25"/>
      <c r="Q5" s="25"/>
      <c r="R5" s="25"/>
    </row>
    <row r="6" spans="1:18" x14ac:dyDescent="0.35">
      <c r="A6" s="25"/>
      <c r="B6" s="25"/>
      <c r="C6" s="26"/>
      <c r="D6" s="26"/>
      <c r="E6" s="25"/>
      <c r="F6" s="25"/>
      <c r="G6" s="25"/>
      <c r="H6" s="25"/>
      <c r="I6" s="25"/>
      <c r="J6" s="25"/>
      <c r="K6" s="25"/>
      <c r="L6" s="26"/>
      <c r="M6" s="26"/>
      <c r="N6" s="25"/>
      <c r="O6" s="26"/>
      <c r="P6" s="25"/>
      <c r="Q6" s="25"/>
      <c r="R6" s="25"/>
    </row>
    <row r="7" spans="1:18" x14ac:dyDescent="0.35">
      <c r="A7" s="25"/>
      <c r="B7" s="25"/>
      <c r="C7" s="26"/>
      <c r="D7" s="26"/>
      <c r="E7" s="25"/>
      <c r="F7" s="25"/>
      <c r="G7" s="25"/>
      <c r="H7" s="25"/>
      <c r="I7" s="25"/>
      <c r="J7" s="25"/>
      <c r="K7" s="25"/>
      <c r="L7" s="26"/>
      <c r="M7" s="26"/>
      <c r="N7" s="25"/>
      <c r="O7" s="26"/>
      <c r="P7" s="25"/>
      <c r="Q7" s="25"/>
      <c r="R7" s="25"/>
    </row>
    <row r="8" spans="1:18" x14ac:dyDescent="0.35">
      <c r="A8" s="25"/>
      <c r="B8" s="25"/>
      <c r="C8" s="26"/>
      <c r="D8" s="26"/>
      <c r="E8" s="25"/>
      <c r="F8" s="25"/>
      <c r="G8" s="25"/>
      <c r="H8" s="25"/>
      <c r="I8" s="25"/>
      <c r="J8" s="25"/>
      <c r="K8" s="25"/>
      <c r="L8" s="26"/>
      <c r="M8" s="26"/>
      <c r="N8" s="25"/>
      <c r="O8" s="26"/>
      <c r="P8" s="25"/>
      <c r="Q8" s="25"/>
      <c r="R8" s="25"/>
    </row>
    <row r="9" spans="1:18" x14ac:dyDescent="0.35">
      <c r="A9" s="25"/>
      <c r="B9" s="25"/>
      <c r="C9" s="26"/>
      <c r="D9" s="26"/>
      <c r="E9" s="25"/>
      <c r="F9" s="25"/>
      <c r="G9" s="25"/>
      <c r="H9" s="25"/>
      <c r="I9" s="25"/>
      <c r="J9" s="25"/>
      <c r="K9" s="25"/>
      <c r="L9" s="26"/>
      <c r="M9" s="26"/>
      <c r="N9" s="25"/>
      <c r="O9" s="26"/>
      <c r="P9" s="25"/>
      <c r="Q9" s="25"/>
      <c r="R9" s="25"/>
    </row>
    <row r="10" spans="1:18" x14ac:dyDescent="0.35">
      <c r="A10" s="25"/>
      <c r="B10" s="25"/>
      <c r="C10" s="26"/>
      <c r="D10" s="26"/>
      <c r="E10" s="25"/>
      <c r="F10" s="25"/>
      <c r="G10" s="25"/>
      <c r="H10" s="25"/>
      <c r="I10" s="25"/>
      <c r="J10" s="25"/>
      <c r="K10" s="25"/>
      <c r="L10" s="26"/>
      <c r="M10" s="26"/>
      <c r="N10" s="25"/>
      <c r="O10" s="26"/>
      <c r="P10" s="25"/>
      <c r="Q10" s="25"/>
      <c r="R10" s="25"/>
    </row>
    <row r="11" spans="1:18" x14ac:dyDescent="0.35">
      <c r="A11" s="25"/>
      <c r="B11" s="25"/>
      <c r="C11" s="26"/>
      <c r="D11" s="26"/>
      <c r="E11" s="25"/>
      <c r="F11" s="25"/>
      <c r="G11" s="25"/>
      <c r="H11" s="25"/>
      <c r="I11" s="25"/>
      <c r="J11" s="25"/>
      <c r="K11" s="25"/>
      <c r="L11" s="26"/>
      <c r="M11" s="26"/>
      <c r="N11" s="25"/>
      <c r="O11" s="26"/>
      <c r="P11" s="25"/>
      <c r="Q11" s="25"/>
      <c r="R11" s="25"/>
    </row>
    <row r="12" spans="1:18" x14ac:dyDescent="0.35">
      <c r="A12" s="25"/>
      <c r="B12" s="25"/>
      <c r="C12" s="26"/>
      <c r="D12" s="26"/>
      <c r="E12" s="25"/>
      <c r="F12" s="25"/>
      <c r="G12" s="25"/>
      <c r="H12" s="25"/>
      <c r="I12" s="25"/>
      <c r="J12" s="25"/>
      <c r="K12" s="25"/>
      <c r="L12" s="26"/>
      <c r="M12" s="26"/>
      <c r="N12" s="25"/>
      <c r="O12" s="26"/>
      <c r="P12" s="25"/>
      <c r="Q12" s="25"/>
      <c r="R12" s="25"/>
    </row>
    <row r="13" spans="1:18" x14ac:dyDescent="0.35">
      <c r="A13" s="25"/>
      <c r="B13" s="25"/>
      <c r="C13" s="26"/>
      <c r="D13" s="26"/>
      <c r="E13" s="25"/>
      <c r="F13" s="25"/>
      <c r="G13" s="25"/>
      <c r="H13" s="25"/>
      <c r="I13" s="25"/>
      <c r="J13" s="25"/>
      <c r="K13" s="25"/>
      <c r="L13" s="26"/>
      <c r="M13" s="26"/>
      <c r="N13" s="25"/>
      <c r="O13" s="26"/>
      <c r="P13" s="25"/>
      <c r="Q13" s="25"/>
      <c r="R13" s="25"/>
    </row>
    <row r="14" spans="1:18" x14ac:dyDescent="0.35">
      <c r="A14" s="25"/>
      <c r="B14" s="25"/>
      <c r="C14" s="26"/>
      <c r="D14" s="26"/>
      <c r="E14" s="25"/>
      <c r="F14" s="25"/>
      <c r="G14" s="25"/>
      <c r="H14" s="25"/>
      <c r="I14" s="25"/>
      <c r="J14" s="25"/>
      <c r="K14" s="25"/>
      <c r="L14" s="26"/>
      <c r="M14" s="26"/>
      <c r="N14" s="25"/>
      <c r="O14" s="26"/>
      <c r="P14" s="25"/>
      <c r="Q14" s="25"/>
      <c r="R14" s="25"/>
    </row>
    <row r="15" spans="1:18" x14ac:dyDescent="0.35">
      <c r="A15" s="25"/>
      <c r="B15" s="25"/>
      <c r="C15" s="26"/>
      <c r="D15" s="26"/>
      <c r="E15" s="25"/>
      <c r="F15" s="25"/>
      <c r="G15" s="25"/>
      <c r="H15" s="25"/>
      <c r="I15" s="25"/>
      <c r="J15" s="25"/>
      <c r="K15" s="25"/>
      <c r="L15" s="26"/>
      <c r="M15" s="26"/>
      <c r="N15" s="25"/>
      <c r="O15" s="26"/>
      <c r="P15" s="25"/>
      <c r="Q15" s="25"/>
      <c r="R15" s="25"/>
    </row>
    <row r="16" spans="1:18" x14ac:dyDescent="0.35">
      <c r="A16" s="25"/>
      <c r="B16" s="25"/>
      <c r="C16" s="26"/>
      <c r="D16" s="26"/>
      <c r="E16" s="25"/>
      <c r="F16" s="25"/>
      <c r="G16" s="25"/>
      <c r="H16" s="25"/>
      <c r="I16" s="25"/>
      <c r="J16" s="25"/>
      <c r="K16" s="25"/>
      <c r="L16" s="26"/>
      <c r="M16" s="26"/>
      <c r="N16" s="25"/>
      <c r="O16" s="26"/>
      <c r="P16" s="25"/>
      <c r="Q16" s="25"/>
      <c r="R16" s="25"/>
    </row>
    <row r="17" spans="1:18" x14ac:dyDescent="0.35">
      <c r="A17" s="25"/>
      <c r="B17" s="25"/>
      <c r="C17" s="26"/>
      <c r="D17" s="26"/>
      <c r="E17" s="25"/>
      <c r="F17" s="25"/>
      <c r="G17" s="25"/>
      <c r="H17" s="25"/>
      <c r="I17" s="25"/>
      <c r="J17" s="25"/>
      <c r="K17" s="25"/>
      <c r="L17" s="26"/>
      <c r="M17" s="26"/>
      <c r="N17" s="25"/>
      <c r="O17" s="26"/>
      <c r="P17" s="25"/>
      <c r="Q17" s="25"/>
      <c r="R17" s="25"/>
    </row>
    <row r="18" spans="1:18" x14ac:dyDescent="0.35">
      <c r="A18" s="25"/>
      <c r="B18" s="25"/>
      <c r="C18" s="26"/>
      <c r="D18" s="26"/>
      <c r="E18" s="25"/>
      <c r="F18" s="25"/>
      <c r="G18" s="25"/>
      <c r="H18" s="25"/>
      <c r="I18" s="25"/>
      <c r="J18" s="25"/>
      <c r="K18" s="25"/>
      <c r="L18" s="26"/>
      <c r="M18" s="26"/>
      <c r="N18" s="25"/>
      <c r="O18" s="26"/>
      <c r="P18" s="25"/>
      <c r="Q18" s="25"/>
      <c r="R18" s="25"/>
    </row>
    <row r="19" spans="1:18" x14ac:dyDescent="0.35">
      <c r="A19" s="25"/>
      <c r="B19" s="25"/>
      <c r="C19" s="26"/>
      <c r="D19" s="26"/>
      <c r="E19" s="25"/>
      <c r="F19" s="25"/>
      <c r="G19" s="25"/>
      <c r="H19" s="25"/>
      <c r="I19" s="25"/>
      <c r="J19" s="25"/>
      <c r="K19" s="25"/>
      <c r="L19" s="26"/>
      <c r="M19" s="26"/>
      <c r="N19" s="25"/>
      <c r="O19" s="26"/>
      <c r="P19" s="25"/>
      <c r="Q19" s="25"/>
      <c r="R19" s="25"/>
    </row>
    <row r="20" spans="1:18" x14ac:dyDescent="0.35">
      <c r="A20" s="25"/>
      <c r="B20" s="25"/>
      <c r="C20" s="26"/>
      <c r="D20" s="26"/>
      <c r="E20" s="25"/>
      <c r="F20" s="25"/>
      <c r="G20" s="25"/>
      <c r="H20" s="25"/>
      <c r="I20" s="25"/>
      <c r="J20" s="25"/>
      <c r="K20" s="25"/>
      <c r="L20" s="26"/>
      <c r="M20" s="26"/>
      <c r="N20" s="25"/>
      <c r="O20" s="26"/>
      <c r="P20" s="25"/>
      <c r="Q20" s="25"/>
      <c r="R20" s="25"/>
    </row>
    <row r="21" spans="1:18" x14ac:dyDescent="0.35">
      <c r="A21" s="25"/>
      <c r="B21" s="25"/>
      <c r="C21" s="26"/>
      <c r="D21" s="26"/>
      <c r="E21" s="25"/>
      <c r="F21" s="25"/>
      <c r="G21" s="25"/>
      <c r="H21" s="25"/>
      <c r="I21" s="25"/>
      <c r="J21" s="25"/>
      <c r="K21" s="25"/>
      <c r="L21" s="26"/>
      <c r="M21" s="26"/>
      <c r="N21" s="25"/>
      <c r="O21" s="26"/>
      <c r="P21" s="25"/>
      <c r="Q21" s="25"/>
      <c r="R21" s="25"/>
    </row>
    <row r="22" spans="1:18" x14ac:dyDescent="0.35">
      <c r="A22" s="25"/>
      <c r="B22" s="25"/>
      <c r="C22" s="26"/>
      <c r="D22" s="26"/>
      <c r="E22" s="25"/>
      <c r="F22" s="25"/>
      <c r="G22" s="25"/>
      <c r="H22" s="25"/>
      <c r="I22" s="25"/>
      <c r="J22" s="25"/>
      <c r="K22" s="25"/>
      <c r="L22" s="26"/>
      <c r="M22" s="26"/>
      <c r="N22" s="25"/>
      <c r="O22" s="26"/>
      <c r="P22" s="25"/>
      <c r="Q22" s="25"/>
      <c r="R22" s="25"/>
    </row>
    <row r="23" spans="1:18" x14ac:dyDescent="0.35">
      <c r="A23" s="25"/>
      <c r="B23" s="25"/>
      <c r="C23" s="26"/>
      <c r="D23" s="26"/>
      <c r="E23" s="25"/>
      <c r="F23" s="25"/>
      <c r="G23" s="25"/>
      <c r="H23" s="25"/>
      <c r="I23" s="25"/>
      <c r="J23" s="25"/>
      <c r="K23" s="25"/>
      <c r="L23" s="26"/>
      <c r="M23" s="26"/>
      <c r="N23" s="25"/>
      <c r="O23" s="26"/>
      <c r="P23" s="25"/>
      <c r="Q23" s="25"/>
      <c r="R23" s="25"/>
    </row>
    <row r="24" spans="1:18" x14ac:dyDescent="0.35">
      <c r="A24" s="25"/>
      <c r="B24" s="25"/>
      <c r="C24" s="26"/>
      <c r="D24" s="26"/>
      <c r="E24" s="25"/>
      <c r="F24" s="25"/>
      <c r="G24" s="25"/>
      <c r="H24" s="25"/>
      <c r="I24" s="25"/>
      <c r="J24" s="25"/>
      <c r="K24" s="25"/>
      <c r="L24" s="26"/>
      <c r="M24" s="26"/>
      <c r="N24" s="25"/>
      <c r="O24" s="26"/>
      <c r="P24" s="25"/>
      <c r="Q24" s="25"/>
      <c r="R24" s="25"/>
    </row>
    <row r="25" spans="1:18" x14ac:dyDescent="0.35">
      <c r="A25" s="25"/>
      <c r="B25" s="25"/>
      <c r="C25" s="26"/>
      <c r="D25" s="26"/>
      <c r="E25" s="25"/>
      <c r="F25" s="25"/>
      <c r="G25" s="25"/>
      <c r="H25" s="25"/>
      <c r="I25" s="25"/>
      <c r="J25" s="25"/>
      <c r="K25" s="25"/>
      <c r="L25" s="26"/>
      <c r="M25" s="26"/>
      <c r="N25" s="25"/>
      <c r="O25" s="26"/>
      <c r="P25" s="25"/>
      <c r="Q25" s="25"/>
      <c r="R25" s="25"/>
    </row>
    <row r="26" spans="1:18" x14ac:dyDescent="0.35">
      <c r="A26" s="25"/>
      <c r="B26" s="25"/>
      <c r="C26" s="26"/>
      <c r="D26" s="26"/>
      <c r="E26" s="25"/>
      <c r="F26" s="25"/>
      <c r="G26" s="25"/>
      <c r="H26" s="25"/>
      <c r="I26" s="25"/>
      <c r="J26" s="25"/>
      <c r="K26" s="25"/>
      <c r="L26" s="26"/>
      <c r="M26" s="26"/>
      <c r="N26" s="25"/>
      <c r="O26" s="26"/>
      <c r="P26" s="25"/>
      <c r="Q26" s="25"/>
      <c r="R26" s="25"/>
    </row>
    <row r="27" spans="1:18" x14ac:dyDescent="0.35">
      <c r="A27" s="25"/>
      <c r="B27" s="25"/>
      <c r="C27" s="26"/>
      <c r="D27" s="26"/>
      <c r="E27" s="25"/>
      <c r="F27" s="25"/>
      <c r="G27" s="25"/>
      <c r="H27" s="25"/>
      <c r="I27" s="25"/>
      <c r="J27" s="25"/>
      <c r="K27" s="25"/>
      <c r="L27" s="26"/>
      <c r="M27" s="26"/>
      <c r="N27" s="25"/>
      <c r="O27" s="26"/>
      <c r="P27" s="25"/>
      <c r="Q27" s="25"/>
      <c r="R27" s="25"/>
    </row>
    <row r="28" spans="1:18" x14ac:dyDescent="0.35">
      <c r="A28" s="25"/>
      <c r="B28" s="25"/>
      <c r="C28" s="26"/>
      <c r="D28" s="26"/>
      <c r="E28" s="25"/>
      <c r="F28" s="25"/>
      <c r="G28" s="25"/>
      <c r="H28" s="25"/>
      <c r="I28" s="25"/>
      <c r="J28" s="25"/>
      <c r="K28" s="25"/>
      <c r="L28" s="26"/>
      <c r="M28" s="26"/>
      <c r="N28" s="25"/>
      <c r="O28" s="26"/>
      <c r="P28" s="25"/>
      <c r="Q28" s="25"/>
      <c r="R28" s="25"/>
    </row>
    <row r="29" spans="1:18" x14ac:dyDescent="0.35">
      <c r="A29" s="25"/>
      <c r="B29" s="25"/>
      <c r="C29" s="26"/>
      <c r="D29" s="26"/>
      <c r="E29" s="25"/>
      <c r="F29" s="25"/>
      <c r="G29" s="25"/>
      <c r="H29" s="25"/>
      <c r="I29" s="25"/>
      <c r="J29" s="25"/>
      <c r="K29" s="25"/>
      <c r="L29" s="26"/>
      <c r="M29" s="26"/>
      <c r="N29" s="25"/>
      <c r="O29" s="26"/>
      <c r="P29" s="25"/>
      <c r="Q29" s="25"/>
      <c r="R29" s="25"/>
    </row>
    <row r="30" spans="1:18" x14ac:dyDescent="0.35">
      <c r="A30" s="25"/>
      <c r="B30" s="25"/>
      <c r="C30" s="26"/>
      <c r="D30" s="26"/>
      <c r="E30" s="25"/>
      <c r="F30" s="25"/>
      <c r="G30" s="25"/>
      <c r="H30" s="25"/>
      <c r="I30" s="25"/>
      <c r="J30" s="25"/>
      <c r="K30" s="25"/>
      <c r="L30" s="26"/>
      <c r="M30" s="26"/>
      <c r="N30" s="25"/>
      <c r="O30" s="26"/>
      <c r="P30" s="25"/>
      <c r="Q30" s="25"/>
      <c r="R30" s="25"/>
    </row>
    <row r="31" spans="1:18" x14ac:dyDescent="0.35">
      <c r="A31" s="25"/>
      <c r="B31" s="25"/>
      <c r="C31" s="26"/>
      <c r="D31" s="26"/>
      <c r="E31" s="25"/>
      <c r="F31" s="25"/>
      <c r="G31" s="25"/>
      <c r="H31" s="25"/>
      <c r="I31" s="25"/>
      <c r="J31" s="25"/>
      <c r="K31" s="25"/>
      <c r="L31" s="26"/>
      <c r="M31" s="26"/>
      <c r="N31" s="25"/>
      <c r="O31" s="26"/>
      <c r="P31" s="25"/>
      <c r="Q31" s="25"/>
      <c r="R31" s="25"/>
    </row>
    <row r="32" spans="1:18" x14ac:dyDescent="0.35">
      <c r="A32" s="25"/>
      <c r="B32" s="25"/>
      <c r="C32" s="26"/>
      <c r="D32" s="26"/>
      <c r="E32" s="25"/>
      <c r="F32" s="25"/>
      <c r="G32" s="25"/>
      <c r="H32" s="25"/>
      <c r="I32" s="25"/>
      <c r="J32" s="25"/>
      <c r="K32" s="25"/>
      <c r="L32" s="26"/>
      <c r="M32" s="26"/>
      <c r="N32" s="25"/>
      <c r="O32" s="26"/>
      <c r="P32" s="25"/>
      <c r="Q32" s="25"/>
      <c r="R32" s="25"/>
    </row>
    <row r="33" spans="1:18" x14ac:dyDescent="0.35">
      <c r="A33" s="25"/>
      <c r="B33" s="25"/>
      <c r="C33" s="26"/>
      <c r="D33" s="26"/>
      <c r="E33" s="25"/>
      <c r="F33" s="25"/>
      <c r="G33" s="25"/>
      <c r="H33" s="25"/>
      <c r="I33" s="25"/>
      <c r="J33" s="25"/>
      <c r="K33" s="25"/>
      <c r="L33" s="26"/>
      <c r="M33" s="26"/>
      <c r="N33" s="25"/>
      <c r="O33" s="26"/>
      <c r="P33" s="25"/>
      <c r="Q33" s="25"/>
      <c r="R33" s="25"/>
    </row>
    <row r="34" spans="1:18" x14ac:dyDescent="0.35">
      <c r="A34" s="25"/>
      <c r="B34" s="25"/>
      <c r="C34" s="26"/>
      <c r="D34" s="26"/>
      <c r="E34" s="25"/>
      <c r="F34" s="25"/>
      <c r="G34" s="25"/>
      <c r="H34" s="25"/>
      <c r="I34" s="25"/>
      <c r="J34" s="25"/>
      <c r="K34" s="25"/>
      <c r="L34" s="26"/>
      <c r="M34" s="26"/>
      <c r="N34" s="25"/>
      <c r="O34" s="26"/>
      <c r="P34" s="25"/>
      <c r="Q34" s="25"/>
      <c r="R34" s="25"/>
    </row>
    <row r="35" spans="1:18" x14ac:dyDescent="0.35">
      <c r="A35" s="25"/>
      <c r="B35" s="25"/>
      <c r="C35" s="26"/>
      <c r="D35" s="26"/>
      <c r="E35" s="25"/>
      <c r="F35" s="25"/>
      <c r="G35" s="25"/>
      <c r="H35" s="25"/>
      <c r="I35" s="25"/>
      <c r="J35" s="25"/>
      <c r="K35" s="25"/>
      <c r="L35" s="26"/>
      <c r="M35" s="26"/>
      <c r="N35" s="25"/>
      <c r="O35" s="26"/>
      <c r="P35" s="25"/>
      <c r="Q35" s="25"/>
      <c r="R35" s="25"/>
    </row>
    <row r="36" spans="1:18" x14ac:dyDescent="0.35">
      <c r="A36" s="25"/>
      <c r="B36" s="25"/>
      <c r="C36" s="26"/>
      <c r="D36" s="26"/>
      <c r="E36" s="25"/>
      <c r="F36" s="25"/>
      <c r="G36" s="25"/>
      <c r="H36" s="25"/>
      <c r="I36" s="25"/>
      <c r="J36" s="25"/>
      <c r="K36" s="25"/>
      <c r="L36" s="26"/>
      <c r="M36" s="26"/>
      <c r="N36" s="25"/>
      <c r="O36" s="26"/>
      <c r="P36" s="25"/>
      <c r="Q36" s="25"/>
      <c r="R36" s="25"/>
    </row>
    <row r="37" spans="1:18" x14ac:dyDescent="0.35">
      <c r="A37" s="25"/>
      <c r="B37" s="25"/>
      <c r="C37" s="26"/>
      <c r="D37" s="26"/>
      <c r="E37" s="25"/>
      <c r="F37" s="25"/>
      <c r="G37" s="25"/>
      <c r="H37" s="25"/>
      <c r="I37" s="25"/>
      <c r="J37" s="25"/>
      <c r="K37" s="25"/>
      <c r="L37" s="26"/>
      <c r="M37" s="26"/>
      <c r="N37" s="25"/>
      <c r="O37" s="26"/>
      <c r="P37" s="25"/>
      <c r="Q37" s="25"/>
      <c r="R37" s="25"/>
    </row>
    <row r="38" spans="1:18" x14ac:dyDescent="0.35">
      <c r="A38" s="25"/>
      <c r="B38" s="25"/>
      <c r="C38" s="26"/>
      <c r="D38" s="26"/>
      <c r="E38" s="25"/>
      <c r="F38" s="25"/>
      <c r="G38" s="25"/>
      <c r="H38" s="25"/>
      <c r="I38" s="25"/>
      <c r="J38" s="25"/>
      <c r="K38" s="25"/>
      <c r="L38" s="26"/>
      <c r="M38" s="26"/>
      <c r="N38" s="25"/>
      <c r="O38" s="26"/>
      <c r="P38" s="25"/>
      <c r="Q38" s="25"/>
      <c r="R38" s="25"/>
    </row>
    <row r="39" spans="1:18" x14ac:dyDescent="0.35">
      <c r="A39" s="25"/>
      <c r="B39" s="25"/>
      <c r="C39" s="26"/>
      <c r="D39" s="26"/>
      <c r="E39" s="25"/>
      <c r="F39" s="25"/>
      <c r="G39" s="25"/>
      <c r="H39" s="25"/>
      <c r="I39" s="25"/>
      <c r="J39" s="25"/>
      <c r="K39" s="25"/>
      <c r="L39" s="26"/>
      <c r="M39" s="26"/>
      <c r="N39" s="25"/>
      <c r="O39" s="26"/>
      <c r="P39" s="25"/>
      <c r="Q39" s="25"/>
      <c r="R39" s="25"/>
    </row>
    <row r="40" spans="1:18" x14ac:dyDescent="0.35">
      <c r="A40" s="25"/>
      <c r="B40" s="25"/>
      <c r="C40" s="26"/>
      <c r="D40" s="26"/>
      <c r="E40" s="25"/>
      <c r="F40" s="25"/>
      <c r="G40" s="25"/>
      <c r="H40" s="25"/>
      <c r="I40" s="25"/>
      <c r="J40" s="25"/>
      <c r="K40" s="25"/>
      <c r="L40" s="26"/>
      <c r="M40" s="26"/>
      <c r="N40" s="25"/>
      <c r="O40" s="26"/>
      <c r="P40" s="25"/>
      <c r="Q40" s="25"/>
      <c r="R40" s="25"/>
    </row>
    <row r="41" spans="1:18" x14ac:dyDescent="0.35">
      <c r="A41" s="25"/>
      <c r="B41" s="25"/>
      <c r="C41" s="26"/>
      <c r="D41" s="26"/>
      <c r="E41" s="25"/>
      <c r="F41" s="25"/>
      <c r="G41" s="25"/>
      <c r="H41" s="25"/>
      <c r="I41" s="25"/>
      <c r="J41" s="25"/>
      <c r="K41" s="25"/>
      <c r="L41" s="26"/>
      <c r="M41" s="26"/>
      <c r="N41" s="25"/>
      <c r="O41" s="26"/>
      <c r="P41" s="25"/>
      <c r="Q41" s="25"/>
      <c r="R41" s="25"/>
    </row>
    <row r="42" spans="1:18" x14ac:dyDescent="0.35">
      <c r="A42" s="25"/>
      <c r="B42" s="25"/>
      <c r="C42" s="26"/>
      <c r="D42" s="26"/>
      <c r="E42" s="25"/>
      <c r="F42" s="25"/>
      <c r="G42" s="25"/>
      <c r="H42" s="25"/>
      <c r="I42" s="25"/>
      <c r="J42" s="25"/>
      <c r="K42" s="25"/>
      <c r="L42" s="26"/>
      <c r="M42" s="26"/>
      <c r="N42" s="25"/>
      <c r="O42" s="26"/>
      <c r="P42" s="25"/>
      <c r="Q42" s="25"/>
      <c r="R42" s="25"/>
    </row>
    <row r="43" spans="1:18" x14ac:dyDescent="0.35">
      <c r="A43" s="25"/>
      <c r="B43" s="25"/>
      <c r="C43" s="26"/>
      <c r="D43" s="26"/>
      <c r="E43" s="25"/>
      <c r="F43" s="25"/>
      <c r="G43" s="25"/>
      <c r="H43" s="25"/>
      <c r="I43" s="25"/>
      <c r="J43" s="25"/>
      <c r="K43" s="25"/>
      <c r="L43" s="26"/>
      <c r="M43" s="26"/>
      <c r="N43" s="25"/>
      <c r="O43" s="26"/>
      <c r="P43" s="25"/>
      <c r="Q43" s="25"/>
      <c r="R43" s="25"/>
    </row>
    <row r="44" spans="1:18" x14ac:dyDescent="0.35">
      <c r="A44" s="25"/>
      <c r="B44" s="25"/>
      <c r="C44" s="26"/>
      <c r="D44" s="26"/>
      <c r="E44" s="25"/>
      <c r="F44" s="25"/>
      <c r="G44" s="25"/>
      <c r="H44" s="25"/>
      <c r="I44" s="25"/>
      <c r="J44" s="25"/>
      <c r="K44" s="25"/>
      <c r="L44" s="26"/>
      <c r="M44" s="26"/>
      <c r="N44" s="25"/>
      <c r="O44" s="26"/>
      <c r="P44" s="25"/>
      <c r="Q44" s="25"/>
      <c r="R44" s="25"/>
    </row>
    <row r="45" spans="1:18" x14ac:dyDescent="0.35">
      <c r="A45" s="25"/>
      <c r="B45" s="25"/>
      <c r="C45" s="26"/>
      <c r="D45" s="26"/>
      <c r="E45" s="25"/>
      <c r="F45" s="25"/>
      <c r="G45" s="25"/>
      <c r="H45" s="25"/>
      <c r="I45" s="25"/>
      <c r="J45" s="25"/>
      <c r="K45" s="25"/>
      <c r="L45" s="26"/>
      <c r="M45" s="26"/>
      <c r="N45" s="25"/>
      <c r="O45" s="26"/>
      <c r="P45" s="25"/>
      <c r="Q45" s="25"/>
      <c r="R45" s="25"/>
    </row>
    <row r="46" spans="1:18" x14ac:dyDescent="0.35">
      <c r="A46" s="25"/>
      <c r="B46" s="25"/>
      <c r="C46" s="26"/>
      <c r="D46" s="26"/>
      <c r="E46" s="25"/>
      <c r="F46" s="25"/>
      <c r="G46" s="25"/>
      <c r="H46" s="25"/>
      <c r="I46" s="25"/>
      <c r="J46" s="25"/>
      <c r="K46" s="25"/>
      <c r="L46" s="26"/>
      <c r="M46" s="26"/>
      <c r="N46" s="25"/>
      <c r="O46" s="26"/>
      <c r="P46" s="25"/>
      <c r="Q46" s="25"/>
      <c r="R46" s="25"/>
    </row>
    <row r="47" spans="1:18" x14ac:dyDescent="0.35">
      <c r="A47" s="25"/>
      <c r="B47" s="25"/>
      <c r="C47" s="26"/>
      <c r="D47" s="26"/>
      <c r="E47" s="25"/>
      <c r="F47" s="25"/>
      <c r="G47" s="25"/>
      <c r="H47" s="25"/>
      <c r="I47" s="25"/>
      <c r="J47" s="25"/>
      <c r="K47" s="25"/>
      <c r="L47" s="26"/>
      <c r="M47" s="26"/>
      <c r="N47" s="25"/>
      <c r="O47" s="26"/>
      <c r="P47" s="25"/>
      <c r="Q47" s="25"/>
      <c r="R47" s="25"/>
    </row>
    <row r="48" spans="1:18" x14ac:dyDescent="0.35">
      <c r="A48" s="25"/>
      <c r="B48" s="25"/>
      <c r="C48" s="26"/>
      <c r="D48" s="26"/>
      <c r="E48" s="25"/>
      <c r="F48" s="25"/>
      <c r="G48" s="25"/>
      <c r="H48" s="25"/>
      <c r="I48" s="25"/>
      <c r="J48" s="25"/>
      <c r="K48" s="25"/>
      <c r="L48" s="26"/>
      <c r="M48" s="26"/>
      <c r="N48" s="25"/>
      <c r="O48" s="26"/>
      <c r="P48" s="25"/>
      <c r="Q48" s="25"/>
      <c r="R48" s="25"/>
    </row>
    <row r="49" spans="1:18" x14ac:dyDescent="0.35">
      <c r="A49" s="25"/>
      <c r="B49" s="25"/>
      <c r="C49" s="26"/>
      <c r="D49" s="26"/>
      <c r="E49" s="25"/>
      <c r="F49" s="25"/>
      <c r="G49" s="25"/>
      <c r="H49" s="25"/>
      <c r="I49" s="25"/>
      <c r="J49" s="25"/>
      <c r="K49" s="25"/>
      <c r="L49" s="26"/>
      <c r="M49" s="26"/>
      <c r="N49" s="25"/>
      <c r="O49" s="26"/>
      <c r="P49" s="25"/>
      <c r="Q49" s="25"/>
      <c r="R49" s="25"/>
    </row>
    <row r="50" spans="1:18" x14ac:dyDescent="0.35">
      <c r="A50" s="25"/>
      <c r="B50" s="25"/>
      <c r="C50" s="26"/>
      <c r="D50" s="26"/>
      <c r="E50" s="25"/>
      <c r="F50" s="25"/>
      <c r="G50" s="25"/>
      <c r="H50" s="25"/>
      <c r="I50" s="25"/>
      <c r="J50" s="25"/>
      <c r="K50" s="25"/>
      <c r="L50" s="26"/>
      <c r="M50" s="26"/>
      <c r="N50" s="25"/>
      <c r="O50" s="26"/>
      <c r="P50" s="25"/>
      <c r="Q50" s="25"/>
      <c r="R50" s="25"/>
    </row>
    <row r="51" spans="1:18" x14ac:dyDescent="0.35">
      <c r="A51" s="25"/>
      <c r="B51" s="25"/>
      <c r="C51" s="26"/>
      <c r="D51" s="26"/>
      <c r="E51" s="25"/>
      <c r="F51" s="25"/>
      <c r="G51" s="25"/>
      <c r="H51" s="25"/>
      <c r="I51" s="25"/>
      <c r="J51" s="25"/>
      <c r="K51" s="25"/>
      <c r="L51" s="26"/>
      <c r="M51" s="26"/>
      <c r="N51" s="25"/>
      <c r="O51" s="26"/>
      <c r="P51" s="25"/>
      <c r="Q51" s="25"/>
      <c r="R51" s="25"/>
    </row>
    <row r="52" spans="1:18" x14ac:dyDescent="0.35">
      <c r="A52" s="25"/>
      <c r="B52" s="25"/>
      <c r="C52" s="26"/>
      <c r="D52" s="26"/>
      <c r="E52" s="25"/>
      <c r="F52" s="25"/>
      <c r="G52" s="25"/>
      <c r="H52" s="25"/>
      <c r="I52" s="25"/>
      <c r="J52" s="25"/>
      <c r="K52" s="25"/>
      <c r="L52" s="26"/>
      <c r="M52" s="26"/>
      <c r="N52" s="25"/>
      <c r="O52" s="26"/>
      <c r="P52" s="25"/>
      <c r="Q52" s="25"/>
      <c r="R52" s="25"/>
    </row>
    <row r="53" spans="1:18" x14ac:dyDescent="0.35">
      <c r="A53" s="25"/>
      <c r="B53" s="25"/>
      <c r="C53" s="26"/>
      <c r="D53" s="26"/>
      <c r="E53" s="25"/>
      <c r="F53" s="25"/>
      <c r="G53" s="25"/>
      <c r="H53" s="25"/>
      <c r="I53" s="25"/>
      <c r="J53" s="25"/>
      <c r="K53" s="25"/>
      <c r="L53" s="26"/>
      <c r="M53" s="26"/>
      <c r="N53" s="25"/>
      <c r="O53" s="26"/>
      <c r="P53" s="25"/>
      <c r="Q53" s="25"/>
      <c r="R53" s="25"/>
    </row>
    <row r="54" spans="1:18" x14ac:dyDescent="0.35">
      <c r="A54" s="25"/>
      <c r="B54" s="25"/>
      <c r="C54" s="26"/>
      <c r="D54" s="26"/>
      <c r="E54" s="25"/>
      <c r="F54" s="25"/>
      <c r="G54" s="25"/>
      <c r="H54" s="25"/>
      <c r="I54" s="25"/>
      <c r="J54" s="25"/>
      <c r="K54" s="25"/>
      <c r="L54" s="26"/>
      <c r="M54" s="26"/>
      <c r="N54" s="25"/>
      <c r="O54" s="26"/>
      <c r="P54" s="25"/>
      <c r="Q54" s="25"/>
      <c r="R54" s="25"/>
    </row>
    <row r="55" spans="1:18" x14ac:dyDescent="0.35">
      <c r="A55" s="25"/>
      <c r="B55" s="25"/>
      <c r="C55" s="26"/>
      <c r="D55" s="26"/>
      <c r="E55" s="25"/>
      <c r="F55" s="25"/>
      <c r="G55" s="25"/>
      <c r="H55" s="25"/>
      <c r="I55" s="25"/>
      <c r="J55" s="25"/>
      <c r="K55" s="25"/>
      <c r="L55" s="26"/>
      <c r="M55" s="26"/>
      <c r="N55" s="25"/>
      <c r="O55" s="26"/>
      <c r="P55" s="25"/>
      <c r="Q55" s="25"/>
      <c r="R55" s="25"/>
    </row>
    <row r="56" spans="1:18" x14ac:dyDescent="0.35">
      <c r="A56" s="25"/>
      <c r="B56" s="25"/>
      <c r="C56" s="26"/>
      <c r="D56" s="26"/>
      <c r="E56" s="25"/>
      <c r="F56" s="25"/>
      <c r="G56" s="25"/>
      <c r="H56" s="25"/>
      <c r="I56" s="25"/>
      <c r="J56" s="25"/>
      <c r="K56" s="25"/>
      <c r="L56" s="26"/>
      <c r="M56" s="26"/>
      <c r="N56" s="25"/>
      <c r="O56" s="26"/>
      <c r="P56" s="25"/>
      <c r="Q56" s="25"/>
      <c r="R56" s="25"/>
    </row>
    <row r="57" spans="1:18" x14ac:dyDescent="0.35">
      <c r="A57" s="25"/>
      <c r="B57" s="25"/>
      <c r="C57" s="26"/>
      <c r="D57" s="26"/>
      <c r="E57" s="25"/>
      <c r="F57" s="25"/>
      <c r="G57" s="25"/>
      <c r="H57" s="25"/>
      <c r="I57" s="25"/>
      <c r="J57" s="25"/>
      <c r="K57" s="25"/>
      <c r="L57" s="26"/>
      <c r="M57" s="26"/>
      <c r="N57" s="25"/>
      <c r="O57" s="26"/>
      <c r="P57" s="25"/>
      <c r="Q57" s="25"/>
      <c r="R57" s="25"/>
    </row>
    <row r="58" spans="1:18" x14ac:dyDescent="0.35">
      <c r="A58" s="25"/>
      <c r="B58" s="25"/>
      <c r="C58" s="26"/>
      <c r="D58" s="26"/>
      <c r="E58" s="25"/>
      <c r="F58" s="25"/>
      <c r="G58" s="25"/>
      <c r="H58" s="25"/>
      <c r="I58" s="25"/>
      <c r="J58" s="25"/>
      <c r="K58" s="25"/>
      <c r="L58" s="26"/>
      <c r="M58" s="26"/>
      <c r="N58" s="25"/>
      <c r="O58" s="26"/>
      <c r="P58" s="25"/>
      <c r="Q58" s="25"/>
      <c r="R58" s="25"/>
    </row>
    <row r="59" spans="1:18" x14ac:dyDescent="0.35">
      <c r="A59" s="25"/>
      <c r="B59" s="25"/>
      <c r="C59" s="26"/>
      <c r="D59" s="26"/>
      <c r="E59" s="25"/>
      <c r="F59" s="25"/>
      <c r="G59" s="25"/>
      <c r="H59" s="25"/>
      <c r="I59" s="25"/>
      <c r="J59" s="25"/>
      <c r="K59" s="25"/>
      <c r="L59" s="26"/>
      <c r="M59" s="26"/>
      <c r="N59" s="25"/>
      <c r="O59" s="26"/>
      <c r="P59" s="25"/>
      <c r="Q59" s="25"/>
      <c r="R59" s="25"/>
    </row>
    <row r="60" spans="1:18" x14ac:dyDescent="0.35">
      <c r="A60" s="25"/>
      <c r="B60" s="25"/>
      <c r="C60" s="26"/>
      <c r="D60" s="26"/>
      <c r="E60" s="25"/>
      <c r="F60" s="25"/>
      <c r="G60" s="25"/>
      <c r="H60" s="25"/>
      <c r="I60" s="25"/>
      <c r="J60" s="25"/>
      <c r="K60" s="25"/>
      <c r="L60" s="26"/>
      <c r="M60" s="26"/>
      <c r="N60" s="25"/>
      <c r="O60" s="26"/>
      <c r="P60" s="25"/>
      <c r="Q60" s="25"/>
      <c r="R60" s="25"/>
    </row>
    <row r="61" spans="1:18" x14ac:dyDescent="0.35">
      <c r="A61" s="25"/>
      <c r="B61" s="25"/>
      <c r="C61" s="26"/>
      <c r="D61" s="26"/>
      <c r="E61" s="25"/>
      <c r="F61" s="25"/>
      <c r="G61" s="25"/>
      <c r="H61" s="25"/>
      <c r="I61" s="25"/>
      <c r="J61" s="25"/>
      <c r="K61" s="25"/>
      <c r="L61" s="26"/>
      <c r="M61" s="26"/>
      <c r="N61" s="25"/>
      <c r="O61" s="26"/>
      <c r="P61" s="25"/>
      <c r="Q61" s="25"/>
      <c r="R61" s="25"/>
    </row>
    <row r="62" spans="1:18" x14ac:dyDescent="0.35">
      <c r="A62" s="25"/>
      <c r="B62" s="25"/>
      <c r="C62" s="26"/>
      <c r="D62" s="26"/>
      <c r="E62" s="25"/>
      <c r="F62" s="25"/>
      <c r="G62" s="25"/>
      <c r="H62" s="25"/>
      <c r="I62" s="25"/>
      <c r="J62" s="25"/>
      <c r="K62" s="25"/>
      <c r="L62" s="26"/>
      <c r="M62" s="26"/>
      <c r="N62" s="25"/>
      <c r="O62" s="26"/>
      <c r="P62" s="25"/>
      <c r="Q62" s="25"/>
      <c r="R62" s="25"/>
    </row>
    <row r="63" spans="1:18" x14ac:dyDescent="0.35">
      <c r="A63" s="25"/>
      <c r="B63" s="25"/>
      <c r="C63" s="26"/>
      <c r="D63" s="26"/>
      <c r="E63" s="25"/>
      <c r="F63" s="25"/>
      <c r="G63" s="25"/>
      <c r="H63" s="25"/>
      <c r="I63" s="25"/>
      <c r="J63" s="25"/>
      <c r="K63" s="25"/>
      <c r="L63" s="26"/>
      <c r="M63" s="26"/>
      <c r="N63" s="25"/>
      <c r="O63" s="26"/>
      <c r="P63" s="25"/>
      <c r="Q63" s="25"/>
      <c r="R63" s="25"/>
    </row>
    <row r="64" spans="1:18" x14ac:dyDescent="0.35">
      <c r="A64" s="25"/>
      <c r="B64" s="25"/>
      <c r="C64" s="26"/>
      <c r="D64" s="26"/>
      <c r="E64" s="25"/>
      <c r="F64" s="25"/>
      <c r="G64" s="25"/>
      <c r="H64" s="25"/>
      <c r="I64" s="25"/>
      <c r="J64" s="25"/>
      <c r="K64" s="25"/>
      <c r="L64" s="26"/>
      <c r="M64" s="26"/>
      <c r="N64" s="25"/>
      <c r="O64" s="26"/>
      <c r="P64" s="25"/>
      <c r="Q64" s="25"/>
      <c r="R64" s="25"/>
    </row>
    <row r="65" spans="1:18" x14ac:dyDescent="0.35">
      <c r="A65" s="25"/>
      <c r="B65" s="25"/>
      <c r="C65" s="26"/>
      <c r="D65" s="26"/>
      <c r="E65" s="25"/>
      <c r="F65" s="25"/>
      <c r="G65" s="25"/>
      <c r="H65" s="25"/>
      <c r="I65" s="25"/>
      <c r="J65" s="25"/>
      <c r="K65" s="25"/>
      <c r="L65" s="26"/>
      <c r="M65" s="26"/>
      <c r="N65" s="25"/>
      <c r="O65" s="26"/>
      <c r="P65" s="25"/>
      <c r="Q65" s="25"/>
      <c r="R65" s="25"/>
    </row>
    <row r="66" spans="1:18" x14ac:dyDescent="0.35">
      <c r="A66" s="25"/>
      <c r="B66" s="25"/>
      <c r="C66" s="26"/>
      <c r="D66" s="26"/>
      <c r="E66" s="25"/>
      <c r="F66" s="25"/>
      <c r="G66" s="25"/>
      <c r="H66" s="25"/>
      <c r="I66" s="25"/>
      <c r="J66" s="25"/>
      <c r="K66" s="25"/>
      <c r="L66" s="26"/>
      <c r="M66" s="26"/>
      <c r="N66" s="25"/>
      <c r="O66" s="26"/>
      <c r="P66" s="25"/>
      <c r="Q66" s="25"/>
      <c r="R66" s="25"/>
    </row>
    <row r="67" spans="1:18" x14ac:dyDescent="0.35">
      <c r="A67" s="25"/>
      <c r="B67" s="25"/>
      <c r="C67" s="26"/>
      <c r="D67" s="26"/>
      <c r="E67" s="25"/>
      <c r="F67" s="25"/>
      <c r="G67" s="25"/>
      <c r="H67" s="25"/>
      <c r="I67" s="25"/>
      <c r="J67" s="25"/>
      <c r="K67" s="25"/>
      <c r="L67" s="26"/>
      <c r="M67" s="26"/>
      <c r="N67" s="25"/>
      <c r="O67" s="26"/>
      <c r="P67" s="25"/>
      <c r="Q67" s="25"/>
      <c r="R67" s="25"/>
    </row>
    <row r="68" spans="1:18" x14ac:dyDescent="0.35">
      <c r="A68" s="25"/>
      <c r="B68" s="25"/>
      <c r="C68" s="26"/>
      <c r="D68" s="26"/>
      <c r="E68" s="25"/>
      <c r="F68" s="25"/>
      <c r="G68" s="25"/>
      <c r="H68" s="25"/>
      <c r="I68" s="25"/>
      <c r="J68" s="25"/>
      <c r="K68" s="25"/>
      <c r="L68" s="26"/>
      <c r="M68" s="26"/>
      <c r="N68" s="25"/>
      <c r="O68" s="26"/>
      <c r="P68" s="25"/>
      <c r="Q68" s="25"/>
      <c r="R68" s="25"/>
    </row>
    <row r="69" spans="1:18" x14ac:dyDescent="0.35">
      <c r="A69" s="25"/>
      <c r="B69" s="25"/>
      <c r="C69" s="26"/>
      <c r="D69" s="26"/>
      <c r="E69" s="25"/>
      <c r="F69" s="25"/>
      <c r="G69" s="25"/>
      <c r="H69" s="25"/>
      <c r="I69" s="25"/>
      <c r="J69" s="25"/>
      <c r="K69" s="25"/>
      <c r="L69" s="26"/>
      <c r="M69" s="26"/>
      <c r="N69" s="25"/>
      <c r="O69" s="26"/>
      <c r="P69" s="25"/>
      <c r="Q69" s="25"/>
      <c r="R69" s="25"/>
    </row>
    <row r="70" spans="1:18" x14ac:dyDescent="0.35">
      <c r="A70" s="25"/>
      <c r="B70" s="25"/>
      <c r="C70" s="26"/>
      <c r="D70" s="26"/>
      <c r="E70" s="25"/>
      <c r="F70" s="25"/>
      <c r="G70" s="25"/>
      <c r="H70" s="25"/>
      <c r="I70" s="25"/>
      <c r="J70" s="25"/>
      <c r="K70" s="25"/>
      <c r="L70" s="26"/>
      <c r="M70" s="26"/>
      <c r="N70" s="25"/>
      <c r="O70" s="26"/>
      <c r="P70" s="25"/>
      <c r="Q70" s="25"/>
      <c r="R70" s="25"/>
    </row>
    <row r="71" spans="1:18" x14ac:dyDescent="0.35">
      <c r="A71" s="25"/>
      <c r="B71" s="25"/>
      <c r="C71" s="26"/>
      <c r="D71" s="26"/>
      <c r="E71" s="25"/>
      <c r="F71" s="25"/>
      <c r="G71" s="25"/>
      <c r="H71" s="25"/>
      <c r="I71" s="25"/>
      <c r="J71" s="25"/>
      <c r="K71" s="25"/>
      <c r="L71" s="26"/>
      <c r="M71" s="26"/>
      <c r="N71" s="25"/>
      <c r="O71" s="26"/>
      <c r="P71" s="25"/>
      <c r="Q71" s="25"/>
      <c r="R71" s="25"/>
    </row>
    <row r="72" spans="1:18" x14ac:dyDescent="0.35">
      <c r="A72" s="25"/>
      <c r="B72" s="25"/>
      <c r="C72" s="26"/>
      <c r="D72" s="26"/>
      <c r="E72" s="25"/>
      <c r="F72" s="25"/>
      <c r="G72" s="25"/>
      <c r="H72" s="25"/>
      <c r="I72" s="25"/>
      <c r="J72" s="25"/>
      <c r="K72" s="25"/>
      <c r="L72" s="26"/>
      <c r="M72" s="26"/>
      <c r="N72" s="25"/>
      <c r="O72" s="26"/>
      <c r="P72" s="25"/>
      <c r="Q72" s="25"/>
      <c r="R72" s="25"/>
    </row>
    <row r="73" spans="1:18" x14ac:dyDescent="0.35">
      <c r="A73" s="25"/>
      <c r="B73" s="25"/>
      <c r="C73" s="26"/>
      <c r="D73" s="26"/>
      <c r="E73" s="25"/>
      <c r="F73" s="25"/>
      <c r="G73" s="25"/>
      <c r="H73" s="25"/>
      <c r="I73" s="25"/>
      <c r="J73" s="25"/>
      <c r="K73" s="25"/>
      <c r="L73" s="26"/>
      <c r="M73" s="26"/>
      <c r="N73" s="25"/>
      <c r="O73" s="26"/>
      <c r="P73" s="25"/>
      <c r="Q73" s="25"/>
      <c r="R73" s="25"/>
    </row>
    <row r="74" spans="1:18" x14ac:dyDescent="0.35">
      <c r="A74" s="25"/>
      <c r="B74" s="25"/>
      <c r="C74" s="26"/>
      <c r="D74" s="26"/>
      <c r="E74" s="25"/>
      <c r="F74" s="25"/>
      <c r="G74" s="25"/>
      <c r="H74" s="25"/>
      <c r="I74" s="25"/>
      <c r="J74" s="25"/>
      <c r="K74" s="25"/>
      <c r="L74" s="26"/>
      <c r="M74" s="26"/>
      <c r="N74" s="25"/>
      <c r="O74" s="26"/>
      <c r="P74" s="25"/>
      <c r="Q74" s="25"/>
      <c r="R74" s="25"/>
    </row>
    <row r="75" spans="1:18" x14ac:dyDescent="0.35">
      <c r="A75" s="25"/>
      <c r="B75" s="25"/>
      <c r="C75" s="26"/>
      <c r="D75" s="26"/>
      <c r="E75" s="25"/>
      <c r="F75" s="25"/>
      <c r="G75" s="25"/>
      <c r="H75" s="25"/>
      <c r="I75" s="25"/>
      <c r="J75" s="25"/>
      <c r="K75" s="25"/>
      <c r="L75" s="26"/>
      <c r="M75" s="26"/>
      <c r="N75" s="25"/>
      <c r="O75" s="26"/>
      <c r="P75" s="25"/>
      <c r="Q75" s="25"/>
      <c r="R75" s="25"/>
    </row>
    <row r="76" spans="1:18" x14ac:dyDescent="0.35">
      <c r="A76" s="25"/>
      <c r="B76" s="25"/>
      <c r="C76" s="26"/>
      <c r="D76" s="26"/>
      <c r="E76" s="25"/>
      <c r="F76" s="25"/>
      <c r="G76" s="25"/>
      <c r="H76" s="25"/>
      <c r="I76" s="25"/>
      <c r="J76" s="25"/>
      <c r="K76" s="25"/>
      <c r="L76" s="26"/>
      <c r="M76" s="26"/>
      <c r="N76" s="25"/>
      <c r="O76" s="26"/>
      <c r="P76" s="25"/>
      <c r="Q76" s="25"/>
      <c r="R76" s="25"/>
    </row>
    <row r="77" spans="1:18" x14ac:dyDescent="0.35">
      <c r="A77" s="25"/>
      <c r="B77" s="25"/>
      <c r="C77" s="26"/>
      <c r="D77" s="26"/>
      <c r="E77" s="25"/>
      <c r="F77" s="25"/>
      <c r="G77" s="25"/>
      <c r="H77" s="25"/>
      <c r="I77" s="25"/>
      <c r="J77" s="25"/>
      <c r="K77" s="25"/>
      <c r="L77" s="26"/>
      <c r="M77" s="26"/>
      <c r="N77" s="25"/>
      <c r="O77" s="26"/>
      <c r="P77" s="25"/>
      <c r="Q77" s="25"/>
      <c r="R77" s="25"/>
    </row>
    <row r="78" spans="1:18" x14ac:dyDescent="0.35">
      <c r="A78" s="25"/>
      <c r="B78" s="25"/>
      <c r="C78" s="26"/>
      <c r="D78" s="26"/>
      <c r="E78" s="25"/>
      <c r="F78" s="25"/>
      <c r="G78" s="25"/>
      <c r="H78" s="25"/>
      <c r="I78" s="25"/>
      <c r="J78" s="25"/>
      <c r="K78" s="25"/>
      <c r="L78" s="26"/>
      <c r="M78" s="26"/>
      <c r="N78" s="25"/>
      <c r="O78" s="26"/>
      <c r="P78" s="25"/>
      <c r="Q78" s="25"/>
      <c r="R78" s="25"/>
    </row>
    <row r="79" spans="1:18" x14ac:dyDescent="0.35">
      <c r="A79" s="25"/>
      <c r="B79" s="25"/>
      <c r="C79" s="26"/>
      <c r="D79" s="26"/>
      <c r="E79" s="25"/>
      <c r="F79" s="25"/>
      <c r="G79" s="25"/>
      <c r="H79" s="25"/>
      <c r="I79" s="25"/>
      <c r="J79" s="25"/>
      <c r="K79" s="25"/>
      <c r="L79" s="26"/>
      <c r="M79" s="26"/>
      <c r="N79" s="25"/>
      <c r="O79" s="26"/>
      <c r="P79" s="25"/>
      <c r="Q79" s="25"/>
      <c r="R79" s="25"/>
    </row>
    <row r="80" spans="1:18" x14ac:dyDescent="0.35">
      <c r="A80" s="25"/>
      <c r="B80" s="25"/>
      <c r="C80" s="26"/>
      <c r="D80" s="26"/>
      <c r="E80" s="25"/>
      <c r="F80" s="25"/>
      <c r="G80" s="25"/>
      <c r="H80" s="25"/>
      <c r="I80" s="25"/>
      <c r="J80" s="25"/>
      <c r="K80" s="25"/>
      <c r="L80" s="26"/>
      <c r="M80" s="26"/>
      <c r="N80" s="25"/>
      <c r="O80" s="26"/>
      <c r="P80" s="25"/>
      <c r="Q80" s="25"/>
      <c r="R80" s="25"/>
    </row>
    <row r="81" spans="1:18" x14ac:dyDescent="0.35">
      <c r="A81" s="25"/>
      <c r="B81" s="25"/>
      <c r="C81" s="26"/>
      <c r="D81" s="26"/>
      <c r="E81" s="25"/>
      <c r="F81" s="25"/>
      <c r="G81" s="25"/>
      <c r="H81" s="25"/>
      <c r="I81" s="25"/>
      <c r="J81" s="25"/>
      <c r="K81" s="25"/>
      <c r="L81" s="26"/>
      <c r="M81" s="26"/>
      <c r="N81" s="25"/>
      <c r="O81" s="26"/>
      <c r="P81" s="25"/>
      <c r="Q81" s="25"/>
      <c r="R81" s="25"/>
    </row>
    <row r="82" spans="1:18" x14ac:dyDescent="0.35">
      <c r="A82" s="25"/>
      <c r="B82" s="25"/>
      <c r="C82" s="26"/>
      <c r="D82" s="26"/>
      <c r="E82" s="25"/>
      <c r="F82" s="25"/>
      <c r="G82" s="25"/>
      <c r="H82" s="25"/>
      <c r="I82" s="25"/>
      <c r="J82" s="25"/>
      <c r="K82" s="25"/>
      <c r="L82" s="26"/>
      <c r="M82" s="26"/>
      <c r="N82" s="25"/>
      <c r="O82" s="26"/>
      <c r="P82" s="25"/>
      <c r="Q82" s="25"/>
      <c r="R82" s="25"/>
    </row>
    <row r="83" spans="1:18" x14ac:dyDescent="0.35">
      <c r="A83" s="25"/>
      <c r="B83" s="25"/>
      <c r="C83" s="26"/>
      <c r="D83" s="26"/>
      <c r="E83" s="25"/>
      <c r="F83" s="25"/>
      <c r="G83" s="25"/>
      <c r="H83" s="25"/>
      <c r="I83" s="25"/>
      <c r="J83" s="25"/>
      <c r="K83" s="25"/>
      <c r="L83" s="26"/>
      <c r="M83" s="26"/>
      <c r="N83" s="25"/>
      <c r="O83" s="26"/>
      <c r="P83" s="25"/>
      <c r="Q83" s="25"/>
      <c r="R83" s="25"/>
    </row>
    <row r="84" spans="1:18" x14ac:dyDescent="0.35">
      <c r="A84" s="25"/>
      <c r="B84" s="25"/>
      <c r="C84" s="26"/>
      <c r="D84" s="26"/>
      <c r="E84" s="25"/>
      <c r="F84" s="25"/>
      <c r="G84" s="25"/>
      <c r="H84" s="25"/>
      <c r="I84" s="25"/>
      <c r="J84" s="25"/>
      <c r="K84" s="25"/>
      <c r="L84" s="26"/>
      <c r="M84" s="26"/>
      <c r="N84" s="25"/>
      <c r="O84" s="26"/>
      <c r="P84" s="25"/>
      <c r="Q84" s="25"/>
      <c r="R84" s="25"/>
    </row>
    <row r="85" spans="1:18" x14ac:dyDescent="0.35">
      <c r="A85" s="25"/>
      <c r="B85" s="25"/>
      <c r="C85" s="26"/>
      <c r="D85" s="26"/>
      <c r="E85" s="25"/>
      <c r="F85" s="25"/>
      <c r="G85" s="25"/>
      <c r="H85" s="25"/>
      <c r="I85" s="25"/>
      <c r="J85" s="25"/>
      <c r="K85" s="25"/>
      <c r="L85" s="26"/>
      <c r="M85" s="26"/>
      <c r="N85" s="25"/>
      <c r="O85" s="26"/>
      <c r="P85" s="25"/>
      <c r="Q85" s="25"/>
      <c r="R85" s="25"/>
    </row>
    <row r="86" spans="1:18" x14ac:dyDescent="0.35">
      <c r="A86" s="25"/>
      <c r="B86" s="25"/>
      <c r="C86" s="26"/>
      <c r="D86" s="26"/>
      <c r="E86" s="25"/>
      <c r="F86" s="25"/>
      <c r="G86" s="25"/>
      <c r="H86" s="25"/>
      <c r="I86" s="25"/>
      <c r="J86" s="25"/>
      <c r="K86" s="25"/>
      <c r="L86" s="26"/>
      <c r="M86" s="26"/>
      <c r="N86" s="25"/>
      <c r="O86" s="26"/>
      <c r="P86" s="25"/>
      <c r="Q86" s="25"/>
      <c r="R86" s="25"/>
    </row>
    <row r="87" spans="1:18" x14ac:dyDescent="0.35">
      <c r="A87" s="25"/>
      <c r="B87" s="25"/>
      <c r="C87" s="26"/>
      <c r="D87" s="26"/>
      <c r="E87" s="25"/>
      <c r="F87" s="25"/>
      <c r="G87" s="25"/>
      <c r="H87" s="25"/>
      <c r="I87" s="25"/>
      <c r="J87" s="25"/>
      <c r="K87" s="25"/>
      <c r="L87" s="26"/>
      <c r="M87" s="26"/>
      <c r="N87" s="25"/>
      <c r="O87" s="26"/>
      <c r="P87" s="25"/>
      <c r="Q87" s="25"/>
      <c r="R87" s="25"/>
    </row>
    <row r="88" spans="1:18" x14ac:dyDescent="0.35">
      <c r="A88" s="25"/>
      <c r="B88" s="25"/>
      <c r="C88" s="26"/>
      <c r="D88" s="26"/>
      <c r="E88" s="25"/>
      <c r="F88" s="25"/>
      <c r="G88" s="25"/>
      <c r="H88" s="25"/>
      <c r="I88" s="25"/>
      <c r="J88" s="25"/>
      <c r="K88" s="25"/>
      <c r="L88" s="26"/>
      <c r="M88" s="26"/>
      <c r="N88" s="25"/>
      <c r="O88" s="26"/>
      <c r="P88" s="25"/>
      <c r="Q88" s="25"/>
      <c r="R88" s="25"/>
    </row>
    <row r="89" spans="1:18" x14ac:dyDescent="0.35">
      <c r="A89" s="25"/>
      <c r="B89" s="25"/>
      <c r="C89" s="26"/>
      <c r="D89" s="26"/>
      <c r="E89" s="25"/>
      <c r="F89" s="25"/>
      <c r="G89" s="25"/>
      <c r="H89" s="25"/>
      <c r="I89" s="25"/>
      <c r="J89" s="25"/>
      <c r="K89" s="25"/>
      <c r="L89" s="26"/>
      <c r="M89" s="26"/>
      <c r="N89" s="25"/>
      <c r="O89" s="26"/>
      <c r="P89" s="25"/>
      <c r="Q89" s="25"/>
      <c r="R89" s="25"/>
    </row>
    <row r="90" spans="1:18" x14ac:dyDescent="0.35">
      <c r="A90" s="25"/>
      <c r="B90" s="25"/>
      <c r="C90" s="26"/>
      <c r="D90" s="26"/>
      <c r="E90" s="25"/>
      <c r="F90" s="25"/>
      <c r="G90" s="25"/>
      <c r="H90" s="25"/>
      <c r="I90" s="25"/>
      <c r="J90" s="25"/>
      <c r="K90" s="25"/>
      <c r="L90" s="26"/>
      <c r="M90" s="26"/>
      <c r="N90" s="25"/>
      <c r="O90" s="26"/>
      <c r="P90" s="25"/>
      <c r="Q90" s="25"/>
      <c r="R90" s="25"/>
    </row>
    <row r="91" spans="1:18" x14ac:dyDescent="0.35">
      <c r="A91" s="25"/>
      <c r="B91" s="25"/>
      <c r="C91" s="26"/>
      <c r="D91" s="26"/>
      <c r="E91" s="25"/>
      <c r="F91" s="25"/>
      <c r="G91" s="25"/>
      <c r="H91" s="25"/>
      <c r="I91" s="25"/>
      <c r="J91" s="25"/>
      <c r="K91" s="25"/>
      <c r="L91" s="26"/>
      <c r="M91" s="26"/>
      <c r="N91" s="25"/>
      <c r="O91" s="26"/>
      <c r="P91" s="25"/>
      <c r="Q91" s="25"/>
      <c r="R91" s="25"/>
    </row>
    <row r="92" spans="1:18" x14ac:dyDescent="0.35">
      <c r="A92" s="25"/>
      <c r="B92" s="25"/>
      <c r="C92" s="26"/>
      <c r="D92" s="26"/>
      <c r="E92" s="25"/>
      <c r="F92" s="25"/>
      <c r="G92" s="25"/>
      <c r="H92" s="25"/>
      <c r="I92" s="25"/>
      <c r="J92" s="25"/>
      <c r="K92" s="25"/>
      <c r="L92" s="26"/>
      <c r="M92" s="26"/>
      <c r="N92" s="25"/>
      <c r="O92" s="26"/>
      <c r="P92" s="25"/>
      <c r="Q92" s="25"/>
      <c r="R92" s="25"/>
    </row>
    <row r="93" spans="1:18" x14ac:dyDescent="0.35">
      <c r="A93" s="25"/>
      <c r="B93" s="25"/>
      <c r="C93" s="26"/>
      <c r="D93" s="26"/>
      <c r="E93" s="25"/>
      <c r="F93" s="25"/>
      <c r="G93" s="25"/>
      <c r="H93" s="25"/>
      <c r="I93" s="25"/>
      <c r="J93" s="25"/>
      <c r="K93" s="25"/>
      <c r="L93" s="26"/>
      <c r="M93" s="26"/>
      <c r="N93" s="25"/>
      <c r="O93" s="26"/>
      <c r="P93" s="25"/>
      <c r="Q93" s="25"/>
      <c r="R93" s="25"/>
    </row>
    <row r="94" spans="1:18" x14ac:dyDescent="0.35">
      <c r="A94" s="25"/>
      <c r="B94" s="25"/>
      <c r="C94" s="26"/>
      <c r="D94" s="26"/>
      <c r="E94" s="25"/>
      <c r="F94" s="25"/>
      <c r="G94" s="25"/>
      <c r="H94" s="25"/>
      <c r="I94" s="25"/>
      <c r="J94" s="25"/>
      <c r="K94" s="25"/>
      <c r="L94" s="26"/>
      <c r="M94" s="26"/>
      <c r="N94" s="25"/>
      <c r="O94" s="26"/>
      <c r="P94" s="25"/>
      <c r="Q94" s="25"/>
      <c r="R94" s="25"/>
    </row>
    <row r="95" spans="1:18" x14ac:dyDescent="0.35">
      <c r="A95" s="25"/>
      <c r="B95" s="25"/>
      <c r="C95" s="26"/>
      <c r="D95" s="26"/>
      <c r="E95" s="25"/>
      <c r="F95" s="25"/>
      <c r="G95" s="25"/>
      <c r="H95" s="25"/>
      <c r="I95" s="25"/>
      <c r="J95" s="25"/>
      <c r="K95" s="25"/>
      <c r="L95" s="26"/>
      <c r="M95" s="26"/>
      <c r="N95" s="25"/>
      <c r="O95" s="26"/>
      <c r="P95" s="25"/>
      <c r="Q95" s="25"/>
      <c r="R95" s="25"/>
    </row>
    <row r="96" spans="1:18" x14ac:dyDescent="0.35">
      <c r="A96" s="25"/>
      <c r="B96" s="25"/>
      <c r="C96" s="26"/>
      <c r="D96" s="26"/>
      <c r="E96" s="25"/>
      <c r="F96" s="25"/>
      <c r="G96" s="25"/>
      <c r="H96" s="25"/>
      <c r="I96" s="25"/>
      <c r="J96" s="25"/>
      <c r="K96" s="25"/>
      <c r="L96" s="26"/>
      <c r="M96" s="26"/>
      <c r="N96" s="25"/>
      <c r="O96" s="26"/>
      <c r="P96" s="25"/>
      <c r="Q96" s="25"/>
      <c r="R96" s="25"/>
    </row>
    <row r="97" spans="1:18" x14ac:dyDescent="0.35">
      <c r="A97" s="25"/>
      <c r="B97" s="25"/>
      <c r="C97" s="26"/>
      <c r="D97" s="26"/>
      <c r="E97" s="25"/>
      <c r="F97" s="25"/>
      <c r="G97" s="25"/>
      <c r="H97" s="25"/>
      <c r="I97" s="25"/>
      <c r="J97" s="25"/>
      <c r="K97" s="25"/>
      <c r="L97" s="26"/>
      <c r="M97" s="26"/>
      <c r="N97" s="25"/>
      <c r="O97" s="26"/>
      <c r="P97" s="25"/>
      <c r="Q97" s="25"/>
      <c r="R97" s="25"/>
    </row>
    <row r="98" spans="1:18" x14ac:dyDescent="0.35">
      <c r="A98" s="25"/>
      <c r="B98" s="25"/>
      <c r="C98" s="26"/>
      <c r="D98" s="26"/>
      <c r="E98" s="25"/>
      <c r="F98" s="25"/>
      <c r="G98" s="25"/>
      <c r="H98" s="25"/>
      <c r="I98" s="25"/>
      <c r="J98" s="25"/>
      <c r="K98" s="25"/>
      <c r="L98" s="26"/>
      <c r="M98" s="26"/>
      <c r="N98" s="25"/>
      <c r="O98" s="26"/>
      <c r="P98" s="25"/>
      <c r="Q98" s="25"/>
      <c r="R98" s="25"/>
    </row>
    <row r="99" spans="1:18" x14ac:dyDescent="0.35">
      <c r="A99" s="25"/>
      <c r="B99" s="25"/>
      <c r="C99" s="26"/>
      <c r="D99" s="26"/>
      <c r="E99" s="25"/>
      <c r="F99" s="25"/>
      <c r="G99" s="25"/>
      <c r="H99" s="25"/>
      <c r="I99" s="25"/>
      <c r="J99" s="25"/>
      <c r="K99" s="25"/>
      <c r="L99" s="26"/>
      <c r="M99" s="26"/>
      <c r="N99" s="25"/>
      <c r="O99" s="26"/>
      <c r="P99" s="25"/>
      <c r="Q99" s="25"/>
      <c r="R99" s="25"/>
    </row>
    <row r="100" spans="1:18" x14ac:dyDescent="0.35">
      <c r="A100" s="25"/>
      <c r="B100" s="25"/>
      <c r="C100" s="26"/>
      <c r="D100" s="26"/>
      <c r="E100" s="25"/>
      <c r="F100" s="25"/>
      <c r="G100" s="25"/>
      <c r="H100" s="25"/>
      <c r="I100" s="25"/>
      <c r="J100" s="25"/>
      <c r="K100" s="25"/>
      <c r="L100" s="26"/>
      <c r="M100" s="26"/>
      <c r="N100" s="25"/>
      <c r="O100" s="26"/>
      <c r="P100" s="25"/>
      <c r="Q100" s="25"/>
      <c r="R100" s="25"/>
    </row>
    <row r="101" spans="1:18" x14ac:dyDescent="0.35">
      <c r="A101" s="25"/>
      <c r="B101" s="25"/>
      <c r="C101" s="26"/>
      <c r="D101" s="26"/>
      <c r="E101" s="25"/>
      <c r="F101" s="25"/>
      <c r="G101" s="25"/>
      <c r="H101" s="25"/>
      <c r="I101" s="25"/>
      <c r="J101" s="25"/>
      <c r="K101" s="25"/>
      <c r="L101" s="26"/>
      <c r="M101" s="26"/>
      <c r="N101" s="25"/>
      <c r="O101" s="26"/>
      <c r="P101" s="25"/>
      <c r="Q101" s="25"/>
      <c r="R101" s="25"/>
    </row>
    <row r="102" spans="1:18" x14ac:dyDescent="0.35">
      <c r="A102" s="25"/>
      <c r="B102" s="25"/>
      <c r="C102" s="26"/>
      <c r="D102" s="26"/>
      <c r="E102" s="25"/>
      <c r="F102" s="25"/>
      <c r="G102" s="25"/>
      <c r="H102" s="25"/>
      <c r="I102" s="25"/>
      <c r="J102" s="25"/>
      <c r="K102" s="25"/>
      <c r="L102" s="26"/>
      <c r="M102" s="26"/>
      <c r="N102" s="25"/>
      <c r="O102" s="26"/>
      <c r="P102" s="25"/>
      <c r="Q102" s="25"/>
      <c r="R102" s="25"/>
    </row>
    <row r="103" spans="1:18" x14ac:dyDescent="0.35">
      <c r="A103" s="25"/>
      <c r="B103" s="25"/>
      <c r="C103" s="26"/>
      <c r="D103" s="26"/>
      <c r="E103" s="25"/>
      <c r="F103" s="25"/>
      <c r="G103" s="25"/>
      <c r="H103" s="25"/>
      <c r="I103" s="25"/>
      <c r="J103" s="25"/>
      <c r="K103" s="25"/>
      <c r="L103" s="26"/>
      <c r="M103" s="26"/>
      <c r="N103" s="25"/>
      <c r="O103" s="26"/>
      <c r="P103" s="25"/>
      <c r="Q103" s="25"/>
      <c r="R103" s="25"/>
    </row>
    <row r="104" spans="1:18" x14ac:dyDescent="0.35">
      <c r="A104" s="25"/>
      <c r="B104" s="25"/>
      <c r="C104" s="26"/>
      <c r="D104" s="26"/>
      <c r="E104" s="25"/>
      <c r="F104" s="25"/>
      <c r="G104" s="25"/>
      <c r="H104" s="25"/>
      <c r="I104" s="25"/>
      <c r="J104" s="25"/>
      <c r="K104" s="25"/>
      <c r="L104" s="26"/>
      <c r="M104" s="26"/>
      <c r="N104" s="25"/>
      <c r="O104" s="26"/>
      <c r="P104" s="25"/>
      <c r="Q104" s="25"/>
      <c r="R104" s="25"/>
    </row>
    <row r="105" spans="1:18" x14ac:dyDescent="0.35">
      <c r="A105" s="25"/>
      <c r="B105" s="25"/>
      <c r="C105" s="26"/>
      <c r="D105" s="26"/>
      <c r="E105" s="25"/>
      <c r="F105" s="25"/>
      <c r="G105" s="25"/>
      <c r="H105" s="25"/>
      <c r="I105" s="25"/>
      <c r="J105" s="25"/>
      <c r="K105" s="25"/>
      <c r="L105" s="26"/>
      <c r="M105" s="26"/>
      <c r="N105" s="25"/>
      <c r="O105" s="26"/>
      <c r="P105" s="25"/>
      <c r="Q105" s="25"/>
      <c r="R105" s="25"/>
    </row>
    <row r="106" spans="1:18" x14ac:dyDescent="0.35">
      <c r="A106" s="25"/>
      <c r="B106" s="25"/>
      <c r="C106" s="26"/>
      <c r="D106" s="26"/>
      <c r="E106" s="25"/>
      <c r="F106" s="25"/>
      <c r="G106" s="25"/>
      <c r="H106" s="25"/>
      <c r="I106" s="25"/>
      <c r="J106" s="25"/>
      <c r="K106" s="25"/>
      <c r="L106" s="26"/>
      <c r="M106" s="26"/>
      <c r="N106" s="25"/>
      <c r="O106" s="26"/>
      <c r="P106" s="25"/>
      <c r="Q106" s="25"/>
      <c r="R106" s="25"/>
    </row>
    <row r="107" spans="1:18" x14ac:dyDescent="0.35">
      <c r="A107" s="25"/>
      <c r="B107" s="25"/>
      <c r="C107" s="26"/>
      <c r="D107" s="26"/>
      <c r="E107" s="25"/>
      <c r="F107" s="25"/>
      <c r="G107" s="25"/>
      <c r="H107" s="25"/>
      <c r="I107" s="25"/>
      <c r="J107" s="25"/>
      <c r="K107" s="25"/>
      <c r="L107" s="26"/>
      <c r="M107" s="26"/>
      <c r="N107" s="25"/>
      <c r="O107" s="26"/>
      <c r="P107" s="25"/>
      <c r="Q107" s="25"/>
      <c r="R107" s="25"/>
    </row>
    <row r="108" spans="1:18" x14ac:dyDescent="0.35">
      <c r="A108" s="25"/>
      <c r="B108" s="25"/>
      <c r="C108" s="26"/>
      <c r="D108" s="26"/>
      <c r="E108" s="25"/>
      <c r="F108" s="25"/>
      <c r="G108" s="25"/>
      <c r="H108" s="25"/>
      <c r="I108" s="25"/>
      <c r="J108" s="25"/>
      <c r="K108" s="25"/>
      <c r="L108" s="26"/>
      <c r="M108" s="26"/>
      <c r="N108" s="25"/>
      <c r="O108" s="26"/>
      <c r="P108" s="25"/>
      <c r="Q108" s="25"/>
      <c r="R108" s="25"/>
    </row>
    <row r="109" spans="1:18" x14ac:dyDescent="0.35">
      <c r="A109" s="25"/>
      <c r="B109" s="25"/>
      <c r="C109" s="26"/>
      <c r="D109" s="26"/>
      <c r="E109" s="25"/>
      <c r="F109" s="25"/>
      <c r="G109" s="25"/>
      <c r="H109" s="25"/>
      <c r="I109" s="25"/>
      <c r="J109" s="25"/>
      <c r="K109" s="25"/>
      <c r="L109" s="26"/>
      <c r="M109" s="26"/>
      <c r="N109" s="25"/>
      <c r="O109" s="26"/>
      <c r="P109" s="25"/>
      <c r="Q109" s="25"/>
      <c r="R109" s="25"/>
    </row>
    <row r="110" spans="1:18" x14ac:dyDescent="0.35">
      <c r="A110" s="25"/>
      <c r="B110" s="25"/>
      <c r="C110" s="26"/>
      <c r="D110" s="26"/>
      <c r="E110" s="25"/>
      <c r="F110" s="25"/>
      <c r="G110" s="25"/>
      <c r="H110" s="25"/>
      <c r="I110" s="25"/>
      <c r="J110" s="25"/>
      <c r="K110" s="25"/>
      <c r="L110" s="26"/>
      <c r="M110" s="26"/>
      <c r="N110" s="25"/>
      <c r="O110" s="26"/>
      <c r="P110" s="25"/>
      <c r="Q110" s="25"/>
      <c r="R110" s="25"/>
    </row>
    <row r="111" spans="1:18" x14ac:dyDescent="0.35">
      <c r="A111" s="25"/>
      <c r="B111" s="25"/>
      <c r="C111" s="26"/>
      <c r="D111" s="26"/>
      <c r="E111" s="25"/>
      <c r="F111" s="25"/>
      <c r="G111" s="25"/>
      <c r="H111" s="25"/>
      <c r="I111" s="25"/>
      <c r="J111" s="25"/>
      <c r="K111" s="25"/>
      <c r="L111" s="26"/>
      <c r="M111" s="26"/>
      <c r="N111" s="25"/>
      <c r="O111" s="26"/>
      <c r="P111" s="25"/>
      <c r="Q111" s="25"/>
      <c r="R111" s="25"/>
    </row>
    <row r="112" spans="1:18" x14ac:dyDescent="0.35">
      <c r="A112" s="25"/>
      <c r="B112" s="25"/>
      <c r="C112" s="26"/>
      <c r="D112" s="26"/>
      <c r="E112" s="25"/>
      <c r="F112" s="25"/>
      <c r="G112" s="25"/>
      <c r="H112" s="25"/>
      <c r="I112" s="25"/>
      <c r="J112" s="25"/>
      <c r="K112" s="25"/>
      <c r="L112" s="26"/>
      <c r="M112" s="26"/>
      <c r="N112" s="25"/>
      <c r="O112" s="26"/>
      <c r="P112" s="25"/>
      <c r="Q112" s="25"/>
      <c r="R112" s="25"/>
    </row>
    <row r="113" spans="1:18" x14ac:dyDescent="0.35">
      <c r="A113" s="25"/>
      <c r="B113" s="25"/>
      <c r="C113" s="26"/>
      <c r="D113" s="26"/>
      <c r="E113" s="25"/>
      <c r="F113" s="25"/>
      <c r="G113" s="25"/>
      <c r="H113" s="25"/>
      <c r="I113" s="25"/>
      <c r="J113" s="25"/>
      <c r="K113" s="25"/>
      <c r="L113" s="26"/>
      <c r="M113" s="26"/>
      <c r="N113" s="25"/>
      <c r="O113" s="26"/>
      <c r="P113" s="25"/>
      <c r="Q113" s="25"/>
      <c r="R113" s="25"/>
    </row>
    <row r="114" spans="1:18" x14ac:dyDescent="0.35">
      <c r="A114" s="25"/>
      <c r="B114" s="25"/>
      <c r="C114" s="26"/>
      <c r="D114" s="26"/>
      <c r="E114" s="25"/>
      <c r="F114" s="25"/>
      <c r="G114" s="25"/>
      <c r="H114" s="25"/>
      <c r="I114" s="25"/>
      <c r="J114" s="25"/>
      <c r="K114" s="25"/>
      <c r="L114" s="26"/>
      <c r="M114" s="26"/>
      <c r="N114" s="25"/>
      <c r="O114" s="26"/>
      <c r="P114" s="25"/>
      <c r="Q114" s="25"/>
      <c r="R114" s="25"/>
    </row>
    <row r="115" spans="1:18" x14ac:dyDescent="0.35">
      <c r="A115" s="25"/>
      <c r="B115" s="25"/>
      <c r="C115" s="26"/>
      <c r="D115" s="26"/>
      <c r="E115" s="25"/>
      <c r="F115" s="25"/>
      <c r="G115" s="25"/>
      <c r="H115" s="25"/>
      <c r="I115" s="25"/>
      <c r="J115" s="25"/>
      <c r="K115" s="25"/>
      <c r="L115" s="26"/>
      <c r="M115" s="26"/>
      <c r="N115" s="25"/>
      <c r="O115" s="26"/>
      <c r="P115" s="25"/>
      <c r="Q115" s="25"/>
      <c r="R115" s="25"/>
    </row>
    <row r="116" spans="1:18" x14ac:dyDescent="0.35">
      <c r="A116" s="25"/>
      <c r="B116" s="25"/>
      <c r="C116" s="26"/>
      <c r="D116" s="26"/>
      <c r="E116" s="25"/>
      <c r="F116" s="25"/>
      <c r="G116" s="25"/>
      <c r="H116" s="25"/>
      <c r="I116" s="25"/>
      <c r="J116" s="25"/>
      <c r="K116" s="25"/>
      <c r="L116" s="26"/>
      <c r="M116" s="26"/>
      <c r="N116" s="25"/>
      <c r="O116" s="26"/>
      <c r="P116" s="25"/>
      <c r="Q116" s="25"/>
      <c r="R116" s="25"/>
    </row>
    <row r="117" spans="1:18" x14ac:dyDescent="0.35">
      <c r="A117" s="25"/>
      <c r="B117" s="25"/>
      <c r="C117" s="26"/>
      <c r="D117" s="26"/>
      <c r="E117" s="25"/>
      <c r="F117" s="25"/>
      <c r="G117" s="25"/>
      <c r="H117" s="25"/>
      <c r="I117" s="25"/>
      <c r="J117" s="25"/>
      <c r="K117" s="25"/>
      <c r="L117" s="26"/>
      <c r="M117" s="26"/>
      <c r="N117" s="25"/>
      <c r="O117" s="26"/>
      <c r="P117" s="25"/>
      <c r="Q117" s="25"/>
      <c r="R117" s="25"/>
    </row>
    <row r="118" spans="1:18" x14ac:dyDescent="0.35">
      <c r="A118" s="25"/>
      <c r="B118" s="25"/>
      <c r="C118" s="26"/>
      <c r="D118" s="26"/>
      <c r="E118" s="25"/>
      <c r="F118" s="25"/>
      <c r="G118" s="25"/>
      <c r="H118" s="25"/>
      <c r="I118" s="25"/>
      <c r="J118" s="25"/>
      <c r="K118" s="25"/>
      <c r="L118" s="26"/>
      <c r="M118" s="26"/>
      <c r="N118" s="25"/>
      <c r="O118" s="26"/>
      <c r="P118" s="25"/>
      <c r="Q118" s="25"/>
      <c r="R118" s="25"/>
    </row>
    <row r="119" spans="1:18" x14ac:dyDescent="0.35">
      <c r="A119" s="25"/>
      <c r="B119" s="25"/>
      <c r="C119" s="26"/>
      <c r="D119" s="26"/>
      <c r="E119" s="25"/>
      <c r="F119" s="25"/>
      <c r="G119" s="25"/>
      <c r="H119" s="25"/>
      <c r="I119" s="25"/>
      <c r="J119" s="25"/>
      <c r="K119" s="25"/>
      <c r="L119" s="26"/>
      <c r="M119" s="26"/>
      <c r="N119" s="25"/>
      <c r="O119" s="26"/>
      <c r="P119" s="25"/>
      <c r="Q119" s="25"/>
      <c r="R119" s="25"/>
    </row>
    <row r="120" spans="1:18" x14ac:dyDescent="0.35">
      <c r="A120" s="25"/>
      <c r="B120" s="25"/>
      <c r="C120" s="26"/>
      <c r="D120" s="26"/>
      <c r="E120" s="25"/>
      <c r="F120" s="25"/>
      <c r="G120" s="25"/>
      <c r="H120" s="25"/>
      <c r="I120" s="25"/>
      <c r="J120" s="25"/>
      <c r="K120" s="25"/>
      <c r="L120" s="26"/>
      <c r="M120" s="26"/>
      <c r="N120" s="25"/>
      <c r="O120" s="26"/>
      <c r="P120" s="25"/>
      <c r="Q120" s="25"/>
      <c r="R120" s="25"/>
    </row>
    <row r="121" spans="1:18" x14ac:dyDescent="0.35">
      <c r="A121" s="25"/>
      <c r="B121" s="25"/>
      <c r="C121" s="26"/>
      <c r="D121" s="26"/>
      <c r="E121" s="25"/>
      <c r="F121" s="25"/>
      <c r="G121" s="25"/>
      <c r="H121" s="25"/>
      <c r="I121" s="25"/>
      <c r="J121" s="25"/>
      <c r="K121" s="25"/>
      <c r="L121" s="26"/>
      <c r="M121" s="26"/>
      <c r="N121" s="25"/>
      <c r="O121" s="26"/>
      <c r="P121" s="25"/>
      <c r="Q121" s="25"/>
      <c r="R121" s="25"/>
    </row>
    <row r="122" spans="1:18" x14ac:dyDescent="0.35">
      <c r="A122" s="25"/>
      <c r="B122" s="25"/>
      <c r="C122" s="26"/>
      <c r="D122" s="26"/>
      <c r="E122" s="25"/>
      <c r="F122" s="25"/>
      <c r="G122" s="25"/>
      <c r="H122" s="25"/>
      <c r="I122" s="25"/>
      <c r="J122" s="25"/>
      <c r="K122" s="25"/>
      <c r="L122" s="26"/>
      <c r="M122" s="26"/>
      <c r="N122" s="25"/>
      <c r="O122" s="26"/>
      <c r="P122" s="25"/>
      <c r="Q122" s="25"/>
      <c r="R122" s="25"/>
    </row>
    <row r="123" spans="1:18" x14ac:dyDescent="0.35">
      <c r="A123" s="25"/>
      <c r="B123" s="25"/>
      <c r="C123" s="26"/>
      <c r="D123" s="26"/>
      <c r="E123" s="25"/>
      <c r="F123" s="25"/>
      <c r="G123" s="25"/>
      <c r="H123" s="25"/>
      <c r="I123" s="25"/>
      <c r="J123" s="25"/>
      <c r="K123" s="25"/>
      <c r="L123" s="26"/>
      <c r="M123" s="26"/>
      <c r="N123" s="25"/>
      <c r="O123" s="26"/>
      <c r="P123" s="25"/>
      <c r="Q123" s="25"/>
      <c r="R123" s="25"/>
    </row>
    <row r="124" spans="1:18" x14ac:dyDescent="0.35">
      <c r="A124" s="25"/>
      <c r="B124" s="25"/>
      <c r="C124" s="26"/>
      <c r="D124" s="26"/>
      <c r="E124" s="25"/>
      <c r="F124" s="25"/>
      <c r="G124" s="25"/>
      <c r="H124" s="25"/>
      <c r="I124" s="25"/>
      <c r="J124" s="25"/>
      <c r="K124" s="25"/>
      <c r="L124" s="26"/>
      <c r="M124" s="26"/>
      <c r="N124" s="25"/>
      <c r="O124" s="26"/>
      <c r="P124" s="25"/>
      <c r="Q124" s="25"/>
      <c r="R124" s="25"/>
    </row>
  </sheetData>
  <mergeCells count="1">
    <mergeCell ref="A1:R1"/>
  </mergeCells>
  <dataValidations count="4">
    <dataValidation type="list" allowBlank="1" sqref="F5:F124" xr:uid="{00000000-0002-0000-1200-000000000000}">
      <formula1>"Excellent,Good,Requires Improvement,Unsatisfactory"</formula1>
    </dataValidation>
    <dataValidation type="list" allowBlank="1" sqref="I5:I124" xr:uid="{00000000-0002-0000-1200-000001000000}">
      <formula1>"Yes,No,N/A,In Progress"</formula1>
    </dataValidation>
    <dataValidation type="list" allowBlank="1" sqref="P5:P124" xr:uid="{00000000-0002-0000-1200-000002000000}">
      <formula1>"Not Started,In Progress,Completed,Overdue,Closed"</formula1>
    </dataValidation>
    <dataValidation type="list" allowBlank="1" sqref="Q5:Q124" xr:uid="{00000000-0002-0000-1200-000003000000}">
      <formula1>"Green,Amber,Red,Grey"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124"/>
  <sheetViews>
    <sheetView workbookViewId="0"/>
  </sheetViews>
  <sheetFormatPr defaultRowHeight="14.5" x14ac:dyDescent="0.35"/>
  <cols>
    <col min="1" max="1" width="22" customWidth="1"/>
    <col min="2" max="9" width="16" customWidth="1"/>
    <col min="10" max="10" width="30" customWidth="1"/>
    <col min="11" max="11" width="16" customWidth="1"/>
    <col min="12" max="12" width="30" customWidth="1"/>
    <col min="13" max="14" width="16" customWidth="1"/>
    <col min="15" max="15" width="30" customWidth="1"/>
    <col min="16" max="19" width="16" customWidth="1"/>
    <col min="20" max="20" width="30" customWidth="1"/>
  </cols>
  <sheetData>
    <row r="1" spans="1:20" x14ac:dyDescent="0.35">
      <c r="A1" s="154" t="s">
        <v>409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</row>
    <row r="2" spans="1:20" ht="32.25" customHeight="1" x14ac:dyDescent="0.35">
      <c r="A2" s="21" t="s">
        <v>321</v>
      </c>
    </row>
    <row r="4" spans="1:20" ht="12.9" customHeight="1" x14ac:dyDescent="0.35">
      <c r="A4" s="24" t="s">
        <v>31</v>
      </c>
      <c r="B4" s="24" t="s">
        <v>322</v>
      </c>
      <c r="C4" s="24" t="s">
        <v>323</v>
      </c>
      <c r="D4" s="24" t="s">
        <v>410</v>
      </c>
      <c r="E4" s="24" t="s">
        <v>411</v>
      </c>
      <c r="F4" s="24" t="s">
        <v>412</v>
      </c>
      <c r="G4" s="24" t="s">
        <v>413</v>
      </c>
      <c r="H4" s="24" t="s">
        <v>414</v>
      </c>
      <c r="I4" s="24" t="s">
        <v>415</v>
      </c>
      <c r="J4" s="24" t="s">
        <v>360</v>
      </c>
      <c r="K4" s="24" t="s">
        <v>416</v>
      </c>
      <c r="L4" s="24" t="s">
        <v>384</v>
      </c>
      <c r="M4" s="24" t="s">
        <v>352</v>
      </c>
      <c r="N4" s="24" t="s">
        <v>281</v>
      </c>
      <c r="O4" s="24" t="s">
        <v>335</v>
      </c>
      <c r="P4" s="24" t="s">
        <v>353</v>
      </c>
      <c r="Q4" s="24" t="s">
        <v>337</v>
      </c>
      <c r="R4" s="24" t="s">
        <v>296</v>
      </c>
      <c r="S4" s="24" t="s">
        <v>6</v>
      </c>
      <c r="T4" s="24" t="s">
        <v>338</v>
      </c>
    </row>
    <row r="5" spans="1:20" x14ac:dyDescent="0.35">
      <c r="A5" s="25"/>
      <c r="B5" s="25"/>
      <c r="C5" s="26"/>
      <c r="D5" s="26"/>
      <c r="E5" s="25"/>
      <c r="F5" s="26"/>
      <c r="G5" s="25"/>
      <c r="H5" s="26"/>
      <c r="I5" s="25"/>
      <c r="J5" s="25"/>
      <c r="K5" s="25"/>
      <c r="L5" s="25"/>
      <c r="M5" s="26"/>
      <c r="N5" s="26"/>
      <c r="O5" s="25"/>
      <c r="P5" s="25"/>
      <c r="Q5" s="26"/>
      <c r="R5" s="25"/>
      <c r="S5" s="25"/>
      <c r="T5" s="25"/>
    </row>
    <row r="6" spans="1:20" x14ac:dyDescent="0.35">
      <c r="A6" s="25"/>
      <c r="B6" s="25"/>
      <c r="C6" s="26"/>
      <c r="D6" s="26"/>
      <c r="E6" s="25"/>
      <c r="F6" s="26"/>
      <c r="G6" s="25"/>
      <c r="H6" s="26"/>
      <c r="I6" s="25"/>
      <c r="J6" s="25"/>
      <c r="K6" s="25"/>
      <c r="L6" s="25"/>
      <c r="M6" s="26"/>
      <c r="N6" s="26"/>
      <c r="O6" s="25"/>
      <c r="P6" s="25"/>
      <c r="Q6" s="26"/>
      <c r="R6" s="25"/>
      <c r="S6" s="25"/>
      <c r="T6" s="25"/>
    </row>
    <row r="7" spans="1:20" x14ac:dyDescent="0.35">
      <c r="A7" s="25"/>
      <c r="B7" s="25"/>
      <c r="C7" s="26"/>
      <c r="D7" s="26"/>
      <c r="E7" s="25"/>
      <c r="F7" s="26"/>
      <c r="G7" s="25"/>
      <c r="H7" s="26"/>
      <c r="I7" s="25"/>
      <c r="J7" s="25"/>
      <c r="K7" s="25"/>
      <c r="L7" s="25"/>
      <c r="M7" s="26"/>
      <c r="N7" s="26"/>
      <c r="O7" s="25"/>
      <c r="P7" s="25"/>
      <c r="Q7" s="26"/>
      <c r="R7" s="25"/>
      <c r="S7" s="25"/>
      <c r="T7" s="25"/>
    </row>
    <row r="8" spans="1:20" x14ac:dyDescent="0.35">
      <c r="A8" s="25"/>
      <c r="B8" s="25"/>
      <c r="C8" s="26"/>
      <c r="D8" s="26"/>
      <c r="E8" s="25"/>
      <c r="F8" s="26"/>
      <c r="G8" s="25"/>
      <c r="H8" s="26"/>
      <c r="I8" s="25"/>
      <c r="J8" s="25"/>
      <c r="K8" s="25"/>
      <c r="L8" s="25"/>
      <c r="M8" s="26"/>
      <c r="N8" s="26"/>
      <c r="O8" s="25"/>
      <c r="P8" s="25"/>
      <c r="Q8" s="26"/>
      <c r="R8" s="25"/>
      <c r="S8" s="25"/>
      <c r="T8" s="25"/>
    </row>
    <row r="9" spans="1:20" x14ac:dyDescent="0.35">
      <c r="A9" s="25"/>
      <c r="B9" s="25"/>
      <c r="C9" s="26"/>
      <c r="D9" s="26"/>
      <c r="E9" s="25"/>
      <c r="F9" s="26"/>
      <c r="G9" s="25"/>
      <c r="H9" s="26"/>
      <c r="I9" s="25"/>
      <c r="J9" s="25"/>
      <c r="K9" s="25"/>
      <c r="L9" s="25"/>
      <c r="M9" s="26"/>
      <c r="N9" s="26"/>
      <c r="O9" s="25"/>
      <c r="P9" s="25"/>
      <c r="Q9" s="26"/>
      <c r="R9" s="25"/>
      <c r="S9" s="25"/>
      <c r="T9" s="25"/>
    </row>
    <row r="10" spans="1:20" x14ac:dyDescent="0.35">
      <c r="A10" s="25"/>
      <c r="B10" s="25"/>
      <c r="C10" s="26"/>
      <c r="D10" s="26"/>
      <c r="E10" s="25"/>
      <c r="F10" s="26"/>
      <c r="G10" s="25"/>
      <c r="H10" s="26"/>
      <c r="I10" s="25"/>
      <c r="J10" s="25"/>
      <c r="K10" s="25"/>
      <c r="L10" s="25"/>
      <c r="M10" s="26"/>
      <c r="N10" s="26"/>
      <c r="O10" s="25"/>
      <c r="P10" s="25"/>
      <c r="Q10" s="26"/>
      <c r="R10" s="25"/>
      <c r="S10" s="25"/>
      <c r="T10" s="25"/>
    </row>
    <row r="11" spans="1:20" x14ac:dyDescent="0.35">
      <c r="A11" s="25"/>
      <c r="B11" s="25"/>
      <c r="C11" s="26"/>
      <c r="D11" s="26"/>
      <c r="E11" s="25"/>
      <c r="F11" s="26"/>
      <c r="G11" s="25"/>
      <c r="H11" s="26"/>
      <c r="I11" s="25"/>
      <c r="J11" s="25"/>
      <c r="K11" s="25"/>
      <c r="L11" s="25"/>
      <c r="M11" s="26"/>
      <c r="N11" s="26"/>
      <c r="O11" s="25"/>
      <c r="P11" s="25"/>
      <c r="Q11" s="26"/>
      <c r="R11" s="25"/>
      <c r="S11" s="25"/>
      <c r="T11" s="25"/>
    </row>
    <row r="12" spans="1:20" x14ac:dyDescent="0.35">
      <c r="A12" s="25"/>
      <c r="B12" s="25"/>
      <c r="C12" s="26"/>
      <c r="D12" s="26"/>
      <c r="E12" s="25"/>
      <c r="F12" s="26"/>
      <c r="G12" s="25"/>
      <c r="H12" s="26"/>
      <c r="I12" s="25"/>
      <c r="J12" s="25"/>
      <c r="K12" s="25"/>
      <c r="L12" s="25"/>
      <c r="M12" s="26"/>
      <c r="N12" s="26"/>
      <c r="O12" s="25"/>
      <c r="P12" s="25"/>
      <c r="Q12" s="26"/>
      <c r="R12" s="25"/>
      <c r="S12" s="25"/>
      <c r="T12" s="25"/>
    </row>
    <row r="13" spans="1:20" x14ac:dyDescent="0.35">
      <c r="A13" s="25"/>
      <c r="B13" s="25"/>
      <c r="C13" s="26"/>
      <c r="D13" s="26"/>
      <c r="E13" s="25"/>
      <c r="F13" s="26"/>
      <c r="G13" s="25"/>
      <c r="H13" s="26"/>
      <c r="I13" s="25"/>
      <c r="J13" s="25"/>
      <c r="K13" s="25"/>
      <c r="L13" s="25"/>
      <c r="M13" s="26"/>
      <c r="N13" s="26"/>
      <c r="O13" s="25"/>
      <c r="P13" s="25"/>
      <c r="Q13" s="26"/>
      <c r="R13" s="25"/>
      <c r="S13" s="25"/>
      <c r="T13" s="25"/>
    </row>
    <row r="14" spans="1:20" x14ac:dyDescent="0.35">
      <c r="A14" s="25"/>
      <c r="B14" s="25"/>
      <c r="C14" s="26"/>
      <c r="D14" s="26"/>
      <c r="E14" s="25"/>
      <c r="F14" s="26"/>
      <c r="G14" s="25"/>
      <c r="H14" s="26"/>
      <c r="I14" s="25"/>
      <c r="J14" s="25"/>
      <c r="K14" s="25"/>
      <c r="L14" s="25"/>
      <c r="M14" s="26"/>
      <c r="N14" s="26"/>
      <c r="O14" s="25"/>
      <c r="P14" s="25"/>
      <c r="Q14" s="26"/>
      <c r="R14" s="25"/>
      <c r="S14" s="25"/>
      <c r="T14" s="25"/>
    </row>
    <row r="15" spans="1:20" x14ac:dyDescent="0.35">
      <c r="A15" s="25"/>
      <c r="B15" s="25"/>
      <c r="C15" s="26"/>
      <c r="D15" s="26"/>
      <c r="E15" s="25"/>
      <c r="F15" s="26"/>
      <c r="G15" s="25"/>
      <c r="H15" s="26"/>
      <c r="I15" s="25"/>
      <c r="J15" s="25"/>
      <c r="K15" s="25"/>
      <c r="L15" s="25"/>
      <c r="M15" s="26"/>
      <c r="N15" s="26"/>
      <c r="O15" s="25"/>
      <c r="P15" s="25"/>
      <c r="Q15" s="26"/>
      <c r="R15" s="25"/>
      <c r="S15" s="25"/>
      <c r="T15" s="25"/>
    </row>
    <row r="16" spans="1:20" x14ac:dyDescent="0.35">
      <c r="A16" s="25"/>
      <c r="B16" s="25"/>
      <c r="C16" s="26"/>
      <c r="D16" s="26"/>
      <c r="E16" s="25"/>
      <c r="F16" s="26"/>
      <c r="G16" s="25"/>
      <c r="H16" s="26"/>
      <c r="I16" s="25"/>
      <c r="J16" s="25"/>
      <c r="K16" s="25"/>
      <c r="L16" s="25"/>
      <c r="M16" s="26"/>
      <c r="N16" s="26"/>
      <c r="O16" s="25"/>
      <c r="P16" s="25"/>
      <c r="Q16" s="26"/>
      <c r="R16" s="25"/>
      <c r="S16" s="25"/>
      <c r="T16" s="25"/>
    </row>
    <row r="17" spans="1:20" x14ac:dyDescent="0.35">
      <c r="A17" s="25"/>
      <c r="B17" s="25"/>
      <c r="C17" s="26"/>
      <c r="D17" s="26"/>
      <c r="E17" s="25"/>
      <c r="F17" s="26"/>
      <c r="G17" s="25"/>
      <c r="H17" s="26"/>
      <c r="I17" s="25"/>
      <c r="J17" s="25"/>
      <c r="K17" s="25"/>
      <c r="L17" s="25"/>
      <c r="M17" s="26"/>
      <c r="N17" s="26"/>
      <c r="O17" s="25"/>
      <c r="P17" s="25"/>
      <c r="Q17" s="26"/>
      <c r="R17" s="25"/>
      <c r="S17" s="25"/>
      <c r="T17" s="25"/>
    </row>
    <row r="18" spans="1:20" x14ac:dyDescent="0.35">
      <c r="A18" s="25"/>
      <c r="B18" s="25"/>
      <c r="C18" s="26"/>
      <c r="D18" s="26"/>
      <c r="E18" s="25"/>
      <c r="F18" s="26"/>
      <c r="G18" s="25"/>
      <c r="H18" s="26"/>
      <c r="I18" s="25"/>
      <c r="J18" s="25"/>
      <c r="K18" s="25"/>
      <c r="L18" s="25"/>
      <c r="M18" s="26"/>
      <c r="N18" s="26"/>
      <c r="O18" s="25"/>
      <c r="P18" s="25"/>
      <c r="Q18" s="26"/>
      <c r="R18" s="25"/>
      <c r="S18" s="25"/>
      <c r="T18" s="25"/>
    </row>
    <row r="19" spans="1:20" x14ac:dyDescent="0.35">
      <c r="A19" s="25"/>
      <c r="B19" s="25"/>
      <c r="C19" s="26"/>
      <c r="D19" s="26"/>
      <c r="E19" s="25"/>
      <c r="F19" s="26"/>
      <c r="G19" s="25"/>
      <c r="H19" s="26"/>
      <c r="I19" s="25"/>
      <c r="J19" s="25"/>
      <c r="K19" s="25"/>
      <c r="L19" s="25"/>
      <c r="M19" s="26"/>
      <c r="N19" s="26"/>
      <c r="O19" s="25"/>
      <c r="P19" s="25"/>
      <c r="Q19" s="26"/>
      <c r="R19" s="25"/>
      <c r="S19" s="25"/>
      <c r="T19" s="25"/>
    </row>
    <row r="20" spans="1:20" x14ac:dyDescent="0.35">
      <c r="A20" s="25"/>
      <c r="B20" s="25"/>
      <c r="C20" s="26"/>
      <c r="D20" s="26"/>
      <c r="E20" s="25"/>
      <c r="F20" s="26"/>
      <c r="G20" s="25"/>
      <c r="H20" s="26"/>
      <c r="I20" s="25"/>
      <c r="J20" s="25"/>
      <c r="K20" s="25"/>
      <c r="L20" s="25"/>
      <c r="M20" s="26"/>
      <c r="N20" s="26"/>
      <c r="O20" s="25"/>
      <c r="P20" s="25"/>
      <c r="Q20" s="26"/>
      <c r="R20" s="25"/>
      <c r="S20" s="25"/>
      <c r="T20" s="25"/>
    </row>
    <row r="21" spans="1:20" x14ac:dyDescent="0.35">
      <c r="A21" s="25"/>
      <c r="B21" s="25"/>
      <c r="C21" s="26"/>
      <c r="D21" s="26"/>
      <c r="E21" s="25"/>
      <c r="F21" s="26"/>
      <c r="G21" s="25"/>
      <c r="H21" s="26"/>
      <c r="I21" s="25"/>
      <c r="J21" s="25"/>
      <c r="K21" s="25"/>
      <c r="L21" s="25"/>
      <c r="M21" s="26"/>
      <c r="N21" s="26"/>
      <c r="O21" s="25"/>
      <c r="P21" s="25"/>
      <c r="Q21" s="26"/>
      <c r="R21" s="25"/>
      <c r="S21" s="25"/>
      <c r="T21" s="25"/>
    </row>
    <row r="22" spans="1:20" x14ac:dyDescent="0.35">
      <c r="A22" s="25"/>
      <c r="B22" s="25"/>
      <c r="C22" s="26"/>
      <c r="D22" s="26"/>
      <c r="E22" s="25"/>
      <c r="F22" s="26"/>
      <c r="G22" s="25"/>
      <c r="H22" s="26"/>
      <c r="I22" s="25"/>
      <c r="J22" s="25"/>
      <c r="K22" s="25"/>
      <c r="L22" s="25"/>
      <c r="M22" s="26"/>
      <c r="N22" s="26"/>
      <c r="O22" s="25"/>
      <c r="P22" s="25"/>
      <c r="Q22" s="26"/>
      <c r="R22" s="25"/>
      <c r="S22" s="25"/>
      <c r="T22" s="25"/>
    </row>
    <row r="23" spans="1:20" x14ac:dyDescent="0.35">
      <c r="A23" s="25"/>
      <c r="B23" s="25"/>
      <c r="C23" s="26"/>
      <c r="D23" s="26"/>
      <c r="E23" s="25"/>
      <c r="F23" s="26"/>
      <c r="G23" s="25"/>
      <c r="H23" s="26"/>
      <c r="I23" s="25"/>
      <c r="J23" s="25"/>
      <c r="K23" s="25"/>
      <c r="L23" s="25"/>
      <c r="M23" s="26"/>
      <c r="N23" s="26"/>
      <c r="O23" s="25"/>
      <c r="P23" s="25"/>
      <c r="Q23" s="26"/>
      <c r="R23" s="25"/>
      <c r="S23" s="25"/>
      <c r="T23" s="25"/>
    </row>
    <row r="24" spans="1:20" x14ac:dyDescent="0.35">
      <c r="A24" s="25"/>
      <c r="B24" s="25"/>
      <c r="C24" s="26"/>
      <c r="D24" s="26"/>
      <c r="E24" s="25"/>
      <c r="F24" s="26"/>
      <c r="G24" s="25"/>
      <c r="H24" s="26"/>
      <c r="I24" s="25"/>
      <c r="J24" s="25"/>
      <c r="K24" s="25"/>
      <c r="L24" s="25"/>
      <c r="M24" s="26"/>
      <c r="N24" s="26"/>
      <c r="O24" s="25"/>
      <c r="P24" s="25"/>
      <c r="Q24" s="26"/>
      <c r="R24" s="25"/>
      <c r="S24" s="25"/>
      <c r="T24" s="25"/>
    </row>
    <row r="25" spans="1:20" x14ac:dyDescent="0.35">
      <c r="A25" s="25"/>
      <c r="B25" s="25"/>
      <c r="C25" s="26"/>
      <c r="D25" s="26"/>
      <c r="E25" s="25"/>
      <c r="F25" s="26"/>
      <c r="G25" s="25"/>
      <c r="H25" s="26"/>
      <c r="I25" s="25"/>
      <c r="J25" s="25"/>
      <c r="K25" s="25"/>
      <c r="L25" s="25"/>
      <c r="M25" s="26"/>
      <c r="N25" s="26"/>
      <c r="O25" s="25"/>
      <c r="P25" s="25"/>
      <c r="Q25" s="26"/>
      <c r="R25" s="25"/>
      <c r="S25" s="25"/>
      <c r="T25" s="25"/>
    </row>
    <row r="26" spans="1:20" x14ac:dyDescent="0.35">
      <c r="A26" s="25"/>
      <c r="B26" s="25"/>
      <c r="C26" s="26"/>
      <c r="D26" s="26"/>
      <c r="E26" s="25"/>
      <c r="F26" s="26"/>
      <c r="G26" s="25"/>
      <c r="H26" s="26"/>
      <c r="I26" s="25"/>
      <c r="J26" s="25"/>
      <c r="K26" s="25"/>
      <c r="L26" s="25"/>
      <c r="M26" s="26"/>
      <c r="N26" s="26"/>
      <c r="O26" s="25"/>
      <c r="P26" s="25"/>
      <c r="Q26" s="26"/>
      <c r="R26" s="25"/>
      <c r="S26" s="25"/>
      <c r="T26" s="25"/>
    </row>
    <row r="27" spans="1:20" x14ac:dyDescent="0.35">
      <c r="A27" s="25"/>
      <c r="B27" s="25"/>
      <c r="C27" s="26"/>
      <c r="D27" s="26"/>
      <c r="E27" s="25"/>
      <c r="F27" s="26"/>
      <c r="G27" s="25"/>
      <c r="H27" s="26"/>
      <c r="I27" s="25"/>
      <c r="J27" s="25"/>
      <c r="K27" s="25"/>
      <c r="L27" s="25"/>
      <c r="M27" s="26"/>
      <c r="N27" s="26"/>
      <c r="O27" s="25"/>
      <c r="P27" s="25"/>
      <c r="Q27" s="26"/>
      <c r="R27" s="25"/>
      <c r="S27" s="25"/>
      <c r="T27" s="25"/>
    </row>
    <row r="28" spans="1:20" x14ac:dyDescent="0.35">
      <c r="A28" s="25"/>
      <c r="B28" s="25"/>
      <c r="C28" s="26"/>
      <c r="D28" s="26"/>
      <c r="E28" s="25"/>
      <c r="F28" s="26"/>
      <c r="G28" s="25"/>
      <c r="H28" s="26"/>
      <c r="I28" s="25"/>
      <c r="J28" s="25"/>
      <c r="K28" s="25"/>
      <c r="L28" s="25"/>
      <c r="M28" s="26"/>
      <c r="N28" s="26"/>
      <c r="O28" s="25"/>
      <c r="P28" s="25"/>
      <c r="Q28" s="26"/>
      <c r="R28" s="25"/>
      <c r="S28" s="25"/>
      <c r="T28" s="25"/>
    </row>
    <row r="29" spans="1:20" x14ac:dyDescent="0.35">
      <c r="A29" s="25"/>
      <c r="B29" s="25"/>
      <c r="C29" s="26"/>
      <c r="D29" s="26"/>
      <c r="E29" s="25"/>
      <c r="F29" s="26"/>
      <c r="G29" s="25"/>
      <c r="H29" s="26"/>
      <c r="I29" s="25"/>
      <c r="J29" s="25"/>
      <c r="K29" s="25"/>
      <c r="L29" s="25"/>
      <c r="M29" s="26"/>
      <c r="N29" s="26"/>
      <c r="O29" s="25"/>
      <c r="P29" s="25"/>
      <c r="Q29" s="26"/>
      <c r="R29" s="25"/>
      <c r="S29" s="25"/>
      <c r="T29" s="25"/>
    </row>
    <row r="30" spans="1:20" x14ac:dyDescent="0.35">
      <c r="A30" s="25"/>
      <c r="B30" s="25"/>
      <c r="C30" s="26"/>
      <c r="D30" s="26"/>
      <c r="E30" s="25"/>
      <c r="F30" s="26"/>
      <c r="G30" s="25"/>
      <c r="H30" s="26"/>
      <c r="I30" s="25"/>
      <c r="J30" s="25"/>
      <c r="K30" s="25"/>
      <c r="L30" s="25"/>
      <c r="M30" s="26"/>
      <c r="N30" s="26"/>
      <c r="O30" s="25"/>
      <c r="P30" s="25"/>
      <c r="Q30" s="26"/>
      <c r="R30" s="25"/>
      <c r="S30" s="25"/>
      <c r="T30" s="25"/>
    </row>
    <row r="31" spans="1:20" x14ac:dyDescent="0.35">
      <c r="A31" s="25"/>
      <c r="B31" s="25"/>
      <c r="C31" s="26"/>
      <c r="D31" s="26"/>
      <c r="E31" s="25"/>
      <c r="F31" s="26"/>
      <c r="G31" s="25"/>
      <c r="H31" s="26"/>
      <c r="I31" s="25"/>
      <c r="J31" s="25"/>
      <c r="K31" s="25"/>
      <c r="L31" s="25"/>
      <c r="M31" s="26"/>
      <c r="N31" s="26"/>
      <c r="O31" s="25"/>
      <c r="P31" s="25"/>
      <c r="Q31" s="26"/>
      <c r="R31" s="25"/>
      <c r="S31" s="25"/>
      <c r="T31" s="25"/>
    </row>
    <row r="32" spans="1:20" x14ac:dyDescent="0.35">
      <c r="A32" s="25"/>
      <c r="B32" s="25"/>
      <c r="C32" s="26"/>
      <c r="D32" s="26"/>
      <c r="E32" s="25"/>
      <c r="F32" s="26"/>
      <c r="G32" s="25"/>
      <c r="H32" s="26"/>
      <c r="I32" s="25"/>
      <c r="J32" s="25"/>
      <c r="K32" s="25"/>
      <c r="L32" s="25"/>
      <c r="M32" s="26"/>
      <c r="N32" s="26"/>
      <c r="O32" s="25"/>
      <c r="P32" s="25"/>
      <c r="Q32" s="26"/>
      <c r="R32" s="25"/>
      <c r="S32" s="25"/>
      <c r="T32" s="25"/>
    </row>
    <row r="33" spans="1:20" x14ac:dyDescent="0.35">
      <c r="A33" s="25"/>
      <c r="B33" s="25"/>
      <c r="C33" s="26"/>
      <c r="D33" s="26"/>
      <c r="E33" s="25"/>
      <c r="F33" s="26"/>
      <c r="G33" s="25"/>
      <c r="H33" s="26"/>
      <c r="I33" s="25"/>
      <c r="J33" s="25"/>
      <c r="K33" s="25"/>
      <c r="L33" s="25"/>
      <c r="M33" s="26"/>
      <c r="N33" s="26"/>
      <c r="O33" s="25"/>
      <c r="P33" s="25"/>
      <c r="Q33" s="26"/>
      <c r="R33" s="25"/>
      <c r="S33" s="25"/>
      <c r="T33" s="25"/>
    </row>
    <row r="34" spans="1:20" x14ac:dyDescent="0.35">
      <c r="A34" s="25"/>
      <c r="B34" s="25"/>
      <c r="C34" s="26"/>
      <c r="D34" s="26"/>
      <c r="E34" s="25"/>
      <c r="F34" s="26"/>
      <c r="G34" s="25"/>
      <c r="H34" s="26"/>
      <c r="I34" s="25"/>
      <c r="J34" s="25"/>
      <c r="K34" s="25"/>
      <c r="L34" s="25"/>
      <c r="M34" s="26"/>
      <c r="N34" s="26"/>
      <c r="O34" s="25"/>
      <c r="P34" s="25"/>
      <c r="Q34" s="26"/>
      <c r="R34" s="25"/>
      <c r="S34" s="25"/>
      <c r="T34" s="25"/>
    </row>
    <row r="35" spans="1:20" x14ac:dyDescent="0.35">
      <c r="A35" s="25"/>
      <c r="B35" s="25"/>
      <c r="C35" s="26"/>
      <c r="D35" s="26"/>
      <c r="E35" s="25"/>
      <c r="F35" s="26"/>
      <c r="G35" s="25"/>
      <c r="H35" s="26"/>
      <c r="I35" s="25"/>
      <c r="J35" s="25"/>
      <c r="K35" s="25"/>
      <c r="L35" s="25"/>
      <c r="M35" s="26"/>
      <c r="N35" s="26"/>
      <c r="O35" s="25"/>
      <c r="P35" s="25"/>
      <c r="Q35" s="26"/>
      <c r="R35" s="25"/>
      <c r="S35" s="25"/>
      <c r="T35" s="25"/>
    </row>
    <row r="36" spans="1:20" x14ac:dyDescent="0.35">
      <c r="A36" s="25"/>
      <c r="B36" s="25"/>
      <c r="C36" s="26"/>
      <c r="D36" s="26"/>
      <c r="E36" s="25"/>
      <c r="F36" s="26"/>
      <c r="G36" s="25"/>
      <c r="H36" s="26"/>
      <c r="I36" s="25"/>
      <c r="J36" s="25"/>
      <c r="K36" s="25"/>
      <c r="L36" s="25"/>
      <c r="M36" s="26"/>
      <c r="N36" s="26"/>
      <c r="O36" s="25"/>
      <c r="P36" s="25"/>
      <c r="Q36" s="26"/>
      <c r="R36" s="25"/>
      <c r="S36" s="25"/>
      <c r="T36" s="25"/>
    </row>
    <row r="37" spans="1:20" x14ac:dyDescent="0.35">
      <c r="A37" s="25"/>
      <c r="B37" s="25"/>
      <c r="C37" s="26"/>
      <c r="D37" s="26"/>
      <c r="E37" s="25"/>
      <c r="F37" s="26"/>
      <c r="G37" s="25"/>
      <c r="H37" s="26"/>
      <c r="I37" s="25"/>
      <c r="J37" s="25"/>
      <c r="K37" s="25"/>
      <c r="L37" s="25"/>
      <c r="M37" s="26"/>
      <c r="N37" s="26"/>
      <c r="O37" s="25"/>
      <c r="P37" s="25"/>
      <c r="Q37" s="26"/>
      <c r="R37" s="25"/>
      <c r="S37" s="25"/>
      <c r="T37" s="25"/>
    </row>
    <row r="38" spans="1:20" x14ac:dyDescent="0.35">
      <c r="A38" s="25"/>
      <c r="B38" s="25"/>
      <c r="C38" s="26"/>
      <c r="D38" s="26"/>
      <c r="E38" s="25"/>
      <c r="F38" s="26"/>
      <c r="G38" s="25"/>
      <c r="H38" s="26"/>
      <c r="I38" s="25"/>
      <c r="J38" s="25"/>
      <c r="K38" s="25"/>
      <c r="L38" s="25"/>
      <c r="M38" s="26"/>
      <c r="N38" s="26"/>
      <c r="O38" s="25"/>
      <c r="P38" s="25"/>
      <c r="Q38" s="26"/>
      <c r="R38" s="25"/>
      <c r="S38" s="25"/>
      <c r="T38" s="25"/>
    </row>
    <row r="39" spans="1:20" x14ac:dyDescent="0.35">
      <c r="A39" s="25"/>
      <c r="B39" s="25"/>
      <c r="C39" s="26"/>
      <c r="D39" s="26"/>
      <c r="E39" s="25"/>
      <c r="F39" s="26"/>
      <c r="G39" s="25"/>
      <c r="H39" s="26"/>
      <c r="I39" s="25"/>
      <c r="J39" s="25"/>
      <c r="K39" s="25"/>
      <c r="L39" s="25"/>
      <c r="M39" s="26"/>
      <c r="N39" s="26"/>
      <c r="O39" s="25"/>
      <c r="P39" s="25"/>
      <c r="Q39" s="26"/>
      <c r="R39" s="25"/>
      <c r="S39" s="25"/>
      <c r="T39" s="25"/>
    </row>
    <row r="40" spans="1:20" x14ac:dyDescent="0.35">
      <c r="A40" s="25"/>
      <c r="B40" s="25"/>
      <c r="C40" s="26"/>
      <c r="D40" s="26"/>
      <c r="E40" s="25"/>
      <c r="F40" s="26"/>
      <c r="G40" s="25"/>
      <c r="H40" s="26"/>
      <c r="I40" s="25"/>
      <c r="J40" s="25"/>
      <c r="K40" s="25"/>
      <c r="L40" s="25"/>
      <c r="M40" s="26"/>
      <c r="N40" s="26"/>
      <c r="O40" s="25"/>
      <c r="P40" s="25"/>
      <c r="Q40" s="26"/>
      <c r="R40" s="25"/>
      <c r="S40" s="25"/>
      <c r="T40" s="25"/>
    </row>
    <row r="41" spans="1:20" x14ac:dyDescent="0.35">
      <c r="A41" s="25"/>
      <c r="B41" s="25"/>
      <c r="C41" s="26"/>
      <c r="D41" s="26"/>
      <c r="E41" s="25"/>
      <c r="F41" s="26"/>
      <c r="G41" s="25"/>
      <c r="H41" s="26"/>
      <c r="I41" s="25"/>
      <c r="J41" s="25"/>
      <c r="K41" s="25"/>
      <c r="L41" s="25"/>
      <c r="M41" s="26"/>
      <c r="N41" s="26"/>
      <c r="O41" s="25"/>
      <c r="P41" s="25"/>
      <c r="Q41" s="26"/>
      <c r="R41" s="25"/>
      <c r="S41" s="25"/>
      <c r="T41" s="25"/>
    </row>
    <row r="42" spans="1:20" x14ac:dyDescent="0.35">
      <c r="A42" s="25"/>
      <c r="B42" s="25"/>
      <c r="C42" s="26"/>
      <c r="D42" s="26"/>
      <c r="E42" s="25"/>
      <c r="F42" s="26"/>
      <c r="G42" s="25"/>
      <c r="H42" s="26"/>
      <c r="I42" s="25"/>
      <c r="J42" s="25"/>
      <c r="K42" s="25"/>
      <c r="L42" s="25"/>
      <c r="M42" s="26"/>
      <c r="N42" s="26"/>
      <c r="O42" s="25"/>
      <c r="P42" s="25"/>
      <c r="Q42" s="26"/>
      <c r="R42" s="25"/>
      <c r="S42" s="25"/>
      <c r="T42" s="25"/>
    </row>
    <row r="43" spans="1:20" x14ac:dyDescent="0.35">
      <c r="A43" s="25"/>
      <c r="B43" s="25"/>
      <c r="C43" s="26"/>
      <c r="D43" s="26"/>
      <c r="E43" s="25"/>
      <c r="F43" s="26"/>
      <c r="G43" s="25"/>
      <c r="H43" s="26"/>
      <c r="I43" s="25"/>
      <c r="J43" s="25"/>
      <c r="K43" s="25"/>
      <c r="L43" s="25"/>
      <c r="M43" s="26"/>
      <c r="N43" s="26"/>
      <c r="O43" s="25"/>
      <c r="P43" s="25"/>
      <c r="Q43" s="26"/>
      <c r="R43" s="25"/>
      <c r="S43" s="25"/>
      <c r="T43" s="25"/>
    </row>
    <row r="44" spans="1:20" x14ac:dyDescent="0.35">
      <c r="A44" s="25"/>
      <c r="B44" s="25"/>
      <c r="C44" s="26"/>
      <c r="D44" s="26"/>
      <c r="E44" s="25"/>
      <c r="F44" s="26"/>
      <c r="G44" s="25"/>
      <c r="H44" s="26"/>
      <c r="I44" s="25"/>
      <c r="J44" s="25"/>
      <c r="K44" s="25"/>
      <c r="L44" s="25"/>
      <c r="M44" s="26"/>
      <c r="N44" s="26"/>
      <c r="O44" s="25"/>
      <c r="P44" s="25"/>
      <c r="Q44" s="26"/>
      <c r="R44" s="25"/>
      <c r="S44" s="25"/>
      <c r="T44" s="25"/>
    </row>
    <row r="45" spans="1:20" x14ac:dyDescent="0.35">
      <c r="A45" s="25"/>
      <c r="B45" s="25"/>
      <c r="C45" s="26"/>
      <c r="D45" s="26"/>
      <c r="E45" s="25"/>
      <c r="F45" s="26"/>
      <c r="G45" s="25"/>
      <c r="H45" s="26"/>
      <c r="I45" s="25"/>
      <c r="J45" s="25"/>
      <c r="K45" s="25"/>
      <c r="L45" s="25"/>
      <c r="M45" s="26"/>
      <c r="N45" s="26"/>
      <c r="O45" s="25"/>
      <c r="P45" s="25"/>
      <c r="Q45" s="26"/>
      <c r="R45" s="25"/>
      <c r="S45" s="25"/>
      <c r="T45" s="25"/>
    </row>
    <row r="46" spans="1:20" x14ac:dyDescent="0.35">
      <c r="A46" s="25"/>
      <c r="B46" s="25"/>
      <c r="C46" s="26"/>
      <c r="D46" s="26"/>
      <c r="E46" s="25"/>
      <c r="F46" s="26"/>
      <c r="G46" s="25"/>
      <c r="H46" s="26"/>
      <c r="I46" s="25"/>
      <c r="J46" s="25"/>
      <c r="K46" s="25"/>
      <c r="L46" s="25"/>
      <c r="M46" s="26"/>
      <c r="N46" s="26"/>
      <c r="O46" s="25"/>
      <c r="P46" s="25"/>
      <c r="Q46" s="26"/>
      <c r="R46" s="25"/>
      <c r="S46" s="25"/>
      <c r="T46" s="25"/>
    </row>
    <row r="47" spans="1:20" x14ac:dyDescent="0.35">
      <c r="A47" s="25"/>
      <c r="B47" s="25"/>
      <c r="C47" s="26"/>
      <c r="D47" s="26"/>
      <c r="E47" s="25"/>
      <c r="F47" s="26"/>
      <c r="G47" s="25"/>
      <c r="H47" s="26"/>
      <c r="I47" s="25"/>
      <c r="J47" s="25"/>
      <c r="K47" s="25"/>
      <c r="L47" s="25"/>
      <c r="M47" s="26"/>
      <c r="N47" s="26"/>
      <c r="O47" s="25"/>
      <c r="P47" s="25"/>
      <c r="Q47" s="26"/>
      <c r="R47" s="25"/>
      <c r="S47" s="25"/>
      <c r="T47" s="25"/>
    </row>
    <row r="48" spans="1:20" x14ac:dyDescent="0.35">
      <c r="A48" s="25"/>
      <c r="B48" s="25"/>
      <c r="C48" s="26"/>
      <c r="D48" s="26"/>
      <c r="E48" s="25"/>
      <c r="F48" s="26"/>
      <c r="G48" s="25"/>
      <c r="H48" s="26"/>
      <c r="I48" s="25"/>
      <c r="J48" s="25"/>
      <c r="K48" s="25"/>
      <c r="L48" s="25"/>
      <c r="M48" s="26"/>
      <c r="N48" s="26"/>
      <c r="O48" s="25"/>
      <c r="P48" s="25"/>
      <c r="Q48" s="26"/>
      <c r="R48" s="25"/>
      <c r="S48" s="25"/>
      <c r="T48" s="25"/>
    </row>
    <row r="49" spans="1:20" x14ac:dyDescent="0.35">
      <c r="A49" s="25"/>
      <c r="B49" s="25"/>
      <c r="C49" s="26"/>
      <c r="D49" s="26"/>
      <c r="E49" s="25"/>
      <c r="F49" s="26"/>
      <c r="G49" s="25"/>
      <c r="H49" s="26"/>
      <c r="I49" s="25"/>
      <c r="J49" s="25"/>
      <c r="K49" s="25"/>
      <c r="L49" s="25"/>
      <c r="M49" s="26"/>
      <c r="N49" s="26"/>
      <c r="O49" s="25"/>
      <c r="P49" s="25"/>
      <c r="Q49" s="26"/>
      <c r="R49" s="25"/>
      <c r="S49" s="25"/>
      <c r="T49" s="25"/>
    </row>
    <row r="50" spans="1:20" x14ac:dyDescent="0.35">
      <c r="A50" s="25"/>
      <c r="B50" s="25"/>
      <c r="C50" s="26"/>
      <c r="D50" s="26"/>
      <c r="E50" s="25"/>
      <c r="F50" s="26"/>
      <c r="G50" s="25"/>
      <c r="H50" s="26"/>
      <c r="I50" s="25"/>
      <c r="J50" s="25"/>
      <c r="K50" s="25"/>
      <c r="L50" s="25"/>
      <c r="M50" s="26"/>
      <c r="N50" s="26"/>
      <c r="O50" s="25"/>
      <c r="P50" s="25"/>
      <c r="Q50" s="26"/>
      <c r="R50" s="25"/>
      <c r="S50" s="25"/>
      <c r="T50" s="25"/>
    </row>
    <row r="51" spans="1:20" x14ac:dyDescent="0.35">
      <c r="A51" s="25"/>
      <c r="B51" s="25"/>
      <c r="C51" s="26"/>
      <c r="D51" s="26"/>
      <c r="E51" s="25"/>
      <c r="F51" s="26"/>
      <c r="G51" s="25"/>
      <c r="H51" s="26"/>
      <c r="I51" s="25"/>
      <c r="J51" s="25"/>
      <c r="K51" s="25"/>
      <c r="L51" s="25"/>
      <c r="M51" s="26"/>
      <c r="N51" s="26"/>
      <c r="O51" s="25"/>
      <c r="P51" s="25"/>
      <c r="Q51" s="26"/>
      <c r="R51" s="25"/>
      <c r="S51" s="25"/>
      <c r="T51" s="25"/>
    </row>
    <row r="52" spans="1:20" x14ac:dyDescent="0.35">
      <c r="A52" s="25"/>
      <c r="B52" s="25"/>
      <c r="C52" s="26"/>
      <c r="D52" s="26"/>
      <c r="E52" s="25"/>
      <c r="F52" s="26"/>
      <c r="G52" s="25"/>
      <c r="H52" s="26"/>
      <c r="I52" s="25"/>
      <c r="J52" s="25"/>
      <c r="K52" s="25"/>
      <c r="L52" s="25"/>
      <c r="M52" s="26"/>
      <c r="N52" s="26"/>
      <c r="O52" s="25"/>
      <c r="P52" s="25"/>
      <c r="Q52" s="26"/>
      <c r="R52" s="25"/>
      <c r="S52" s="25"/>
      <c r="T52" s="25"/>
    </row>
    <row r="53" spans="1:20" x14ac:dyDescent="0.35">
      <c r="A53" s="25"/>
      <c r="B53" s="25"/>
      <c r="C53" s="26"/>
      <c r="D53" s="26"/>
      <c r="E53" s="25"/>
      <c r="F53" s="26"/>
      <c r="G53" s="25"/>
      <c r="H53" s="26"/>
      <c r="I53" s="25"/>
      <c r="J53" s="25"/>
      <c r="K53" s="25"/>
      <c r="L53" s="25"/>
      <c r="M53" s="26"/>
      <c r="N53" s="26"/>
      <c r="O53" s="25"/>
      <c r="P53" s="25"/>
      <c r="Q53" s="26"/>
      <c r="R53" s="25"/>
      <c r="S53" s="25"/>
      <c r="T53" s="25"/>
    </row>
    <row r="54" spans="1:20" x14ac:dyDescent="0.35">
      <c r="A54" s="25"/>
      <c r="B54" s="25"/>
      <c r="C54" s="26"/>
      <c r="D54" s="26"/>
      <c r="E54" s="25"/>
      <c r="F54" s="26"/>
      <c r="G54" s="25"/>
      <c r="H54" s="26"/>
      <c r="I54" s="25"/>
      <c r="J54" s="25"/>
      <c r="K54" s="25"/>
      <c r="L54" s="25"/>
      <c r="M54" s="26"/>
      <c r="N54" s="26"/>
      <c r="O54" s="25"/>
      <c r="P54" s="25"/>
      <c r="Q54" s="26"/>
      <c r="R54" s="25"/>
      <c r="S54" s="25"/>
      <c r="T54" s="25"/>
    </row>
    <row r="55" spans="1:20" x14ac:dyDescent="0.35">
      <c r="A55" s="25"/>
      <c r="B55" s="25"/>
      <c r="C55" s="26"/>
      <c r="D55" s="26"/>
      <c r="E55" s="25"/>
      <c r="F55" s="26"/>
      <c r="G55" s="25"/>
      <c r="H55" s="26"/>
      <c r="I55" s="25"/>
      <c r="J55" s="25"/>
      <c r="K55" s="25"/>
      <c r="L55" s="25"/>
      <c r="M55" s="26"/>
      <c r="N55" s="26"/>
      <c r="O55" s="25"/>
      <c r="P55" s="25"/>
      <c r="Q55" s="26"/>
      <c r="R55" s="25"/>
      <c r="S55" s="25"/>
      <c r="T55" s="25"/>
    </row>
    <row r="56" spans="1:20" x14ac:dyDescent="0.35">
      <c r="A56" s="25"/>
      <c r="B56" s="25"/>
      <c r="C56" s="26"/>
      <c r="D56" s="26"/>
      <c r="E56" s="25"/>
      <c r="F56" s="26"/>
      <c r="G56" s="25"/>
      <c r="H56" s="26"/>
      <c r="I56" s="25"/>
      <c r="J56" s="25"/>
      <c r="K56" s="25"/>
      <c r="L56" s="25"/>
      <c r="M56" s="26"/>
      <c r="N56" s="26"/>
      <c r="O56" s="25"/>
      <c r="P56" s="25"/>
      <c r="Q56" s="26"/>
      <c r="R56" s="25"/>
      <c r="S56" s="25"/>
      <c r="T56" s="25"/>
    </row>
    <row r="57" spans="1:20" x14ac:dyDescent="0.35">
      <c r="A57" s="25"/>
      <c r="B57" s="25"/>
      <c r="C57" s="26"/>
      <c r="D57" s="26"/>
      <c r="E57" s="25"/>
      <c r="F57" s="26"/>
      <c r="G57" s="25"/>
      <c r="H57" s="26"/>
      <c r="I57" s="25"/>
      <c r="J57" s="25"/>
      <c r="K57" s="25"/>
      <c r="L57" s="25"/>
      <c r="M57" s="26"/>
      <c r="N57" s="26"/>
      <c r="O57" s="25"/>
      <c r="P57" s="25"/>
      <c r="Q57" s="26"/>
      <c r="R57" s="25"/>
      <c r="S57" s="25"/>
      <c r="T57" s="25"/>
    </row>
    <row r="58" spans="1:20" x14ac:dyDescent="0.35">
      <c r="A58" s="25"/>
      <c r="B58" s="25"/>
      <c r="C58" s="26"/>
      <c r="D58" s="26"/>
      <c r="E58" s="25"/>
      <c r="F58" s="26"/>
      <c r="G58" s="25"/>
      <c r="H58" s="26"/>
      <c r="I58" s="25"/>
      <c r="J58" s="25"/>
      <c r="K58" s="25"/>
      <c r="L58" s="25"/>
      <c r="M58" s="26"/>
      <c r="N58" s="26"/>
      <c r="O58" s="25"/>
      <c r="P58" s="25"/>
      <c r="Q58" s="26"/>
      <c r="R58" s="25"/>
      <c r="S58" s="25"/>
      <c r="T58" s="25"/>
    </row>
    <row r="59" spans="1:20" x14ac:dyDescent="0.35">
      <c r="A59" s="25"/>
      <c r="B59" s="25"/>
      <c r="C59" s="26"/>
      <c r="D59" s="26"/>
      <c r="E59" s="25"/>
      <c r="F59" s="26"/>
      <c r="G59" s="25"/>
      <c r="H59" s="26"/>
      <c r="I59" s="25"/>
      <c r="J59" s="25"/>
      <c r="K59" s="25"/>
      <c r="L59" s="25"/>
      <c r="M59" s="26"/>
      <c r="N59" s="26"/>
      <c r="O59" s="25"/>
      <c r="P59" s="25"/>
      <c r="Q59" s="26"/>
      <c r="R59" s="25"/>
      <c r="S59" s="25"/>
      <c r="T59" s="25"/>
    </row>
    <row r="60" spans="1:20" x14ac:dyDescent="0.35">
      <c r="A60" s="25"/>
      <c r="B60" s="25"/>
      <c r="C60" s="26"/>
      <c r="D60" s="26"/>
      <c r="E60" s="25"/>
      <c r="F60" s="26"/>
      <c r="G60" s="25"/>
      <c r="H60" s="26"/>
      <c r="I60" s="25"/>
      <c r="J60" s="25"/>
      <c r="K60" s="25"/>
      <c r="L60" s="25"/>
      <c r="M60" s="26"/>
      <c r="N60" s="26"/>
      <c r="O60" s="25"/>
      <c r="P60" s="25"/>
      <c r="Q60" s="26"/>
      <c r="R60" s="25"/>
      <c r="S60" s="25"/>
      <c r="T60" s="25"/>
    </row>
    <row r="61" spans="1:20" x14ac:dyDescent="0.35">
      <c r="A61" s="25"/>
      <c r="B61" s="25"/>
      <c r="C61" s="26"/>
      <c r="D61" s="26"/>
      <c r="E61" s="25"/>
      <c r="F61" s="26"/>
      <c r="G61" s="25"/>
      <c r="H61" s="26"/>
      <c r="I61" s="25"/>
      <c r="J61" s="25"/>
      <c r="K61" s="25"/>
      <c r="L61" s="25"/>
      <c r="M61" s="26"/>
      <c r="N61" s="26"/>
      <c r="O61" s="25"/>
      <c r="P61" s="25"/>
      <c r="Q61" s="26"/>
      <c r="R61" s="25"/>
      <c r="S61" s="25"/>
      <c r="T61" s="25"/>
    </row>
    <row r="62" spans="1:20" x14ac:dyDescent="0.35">
      <c r="A62" s="25"/>
      <c r="B62" s="25"/>
      <c r="C62" s="26"/>
      <c r="D62" s="26"/>
      <c r="E62" s="25"/>
      <c r="F62" s="26"/>
      <c r="G62" s="25"/>
      <c r="H62" s="26"/>
      <c r="I62" s="25"/>
      <c r="J62" s="25"/>
      <c r="K62" s="25"/>
      <c r="L62" s="25"/>
      <c r="M62" s="26"/>
      <c r="N62" s="26"/>
      <c r="O62" s="25"/>
      <c r="P62" s="25"/>
      <c r="Q62" s="26"/>
      <c r="R62" s="25"/>
      <c r="S62" s="25"/>
      <c r="T62" s="25"/>
    </row>
    <row r="63" spans="1:20" x14ac:dyDescent="0.35">
      <c r="A63" s="25"/>
      <c r="B63" s="25"/>
      <c r="C63" s="26"/>
      <c r="D63" s="26"/>
      <c r="E63" s="25"/>
      <c r="F63" s="26"/>
      <c r="G63" s="25"/>
      <c r="H63" s="26"/>
      <c r="I63" s="25"/>
      <c r="J63" s="25"/>
      <c r="K63" s="25"/>
      <c r="L63" s="25"/>
      <c r="M63" s="26"/>
      <c r="N63" s="26"/>
      <c r="O63" s="25"/>
      <c r="P63" s="25"/>
      <c r="Q63" s="26"/>
      <c r="R63" s="25"/>
      <c r="S63" s="25"/>
      <c r="T63" s="25"/>
    </row>
    <row r="64" spans="1:20" x14ac:dyDescent="0.35">
      <c r="A64" s="25"/>
      <c r="B64" s="25"/>
      <c r="C64" s="26"/>
      <c r="D64" s="26"/>
      <c r="E64" s="25"/>
      <c r="F64" s="26"/>
      <c r="G64" s="25"/>
      <c r="H64" s="26"/>
      <c r="I64" s="25"/>
      <c r="J64" s="25"/>
      <c r="K64" s="25"/>
      <c r="L64" s="25"/>
      <c r="M64" s="26"/>
      <c r="N64" s="26"/>
      <c r="O64" s="25"/>
      <c r="P64" s="25"/>
      <c r="Q64" s="26"/>
      <c r="R64" s="25"/>
      <c r="S64" s="25"/>
      <c r="T64" s="25"/>
    </row>
    <row r="65" spans="1:20" x14ac:dyDescent="0.35">
      <c r="A65" s="25"/>
      <c r="B65" s="25"/>
      <c r="C65" s="26"/>
      <c r="D65" s="26"/>
      <c r="E65" s="25"/>
      <c r="F65" s="26"/>
      <c r="G65" s="25"/>
      <c r="H65" s="26"/>
      <c r="I65" s="25"/>
      <c r="J65" s="25"/>
      <c r="K65" s="25"/>
      <c r="L65" s="25"/>
      <c r="M65" s="26"/>
      <c r="N65" s="26"/>
      <c r="O65" s="25"/>
      <c r="P65" s="25"/>
      <c r="Q65" s="26"/>
      <c r="R65" s="25"/>
      <c r="S65" s="25"/>
      <c r="T65" s="25"/>
    </row>
    <row r="66" spans="1:20" x14ac:dyDescent="0.35">
      <c r="A66" s="25"/>
      <c r="B66" s="25"/>
      <c r="C66" s="26"/>
      <c r="D66" s="26"/>
      <c r="E66" s="25"/>
      <c r="F66" s="26"/>
      <c r="G66" s="25"/>
      <c r="H66" s="26"/>
      <c r="I66" s="25"/>
      <c r="J66" s="25"/>
      <c r="K66" s="25"/>
      <c r="L66" s="25"/>
      <c r="M66" s="26"/>
      <c r="N66" s="26"/>
      <c r="O66" s="25"/>
      <c r="P66" s="25"/>
      <c r="Q66" s="26"/>
      <c r="R66" s="25"/>
      <c r="S66" s="25"/>
      <c r="T66" s="25"/>
    </row>
    <row r="67" spans="1:20" x14ac:dyDescent="0.35">
      <c r="A67" s="25"/>
      <c r="B67" s="25"/>
      <c r="C67" s="26"/>
      <c r="D67" s="26"/>
      <c r="E67" s="25"/>
      <c r="F67" s="26"/>
      <c r="G67" s="25"/>
      <c r="H67" s="26"/>
      <c r="I67" s="25"/>
      <c r="J67" s="25"/>
      <c r="K67" s="25"/>
      <c r="L67" s="25"/>
      <c r="M67" s="26"/>
      <c r="N67" s="26"/>
      <c r="O67" s="25"/>
      <c r="P67" s="25"/>
      <c r="Q67" s="26"/>
      <c r="R67" s="25"/>
      <c r="S67" s="25"/>
      <c r="T67" s="25"/>
    </row>
    <row r="68" spans="1:20" x14ac:dyDescent="0.35">
      <c r="A68" s="25"/>
      <c r="B68" s="25"/>
      <c r="C68" s="26"/>
      <c r="D68" s="26"/>
      <c r="E68" s="25"/>
      <c r="F68" s="26"/>
      <c r="G68" s="25"/>
      <c r="H68" s="26"/>
      <c r="I68" s="25"/>
      <c r="J68" s="25"/>
      <c r="K68" s="25"/>
      <c r="L68" s="25"/>
      <c r="M68" s="26"/>
      <c r="N68" s="26"/>
      <c r="O68" s="25"/>
      <c r="P68" s="25"/>
      <c r="Q68" s="26"/>
      <c r="R68" s="25"/>
      <c r="S68" s="25"/>
      <c r="T68" s="25"/>
    </row>
    <row r="69" spans="1:20" x14ac:dyDescent="0.35">
      <c r="A69" s="25"/>
      <c r="B69" s="25"/>
      <c r="C69" s="26"/>
      <c r="D69" s="26"/>
      <c r="E69" s="25"/>
      <c r="F69" s="26"/>
      <c r="G69" s="25"/>
      <c r="H69" s="26"/>
      <c r="I69" s="25"/>
      <c r="J69" s="25"/>
      <c r="K69" s="25"/>
      <c r="L69" s="25"/>
      <c r="M69" s="26"/>
      <c r="N69" s="26"/>
      <c r="O69" s="25"/>
      <c r="P69" s="25"/>
      <c r="Q69" s="26"/>
      <c r="R69" s="25"/>
      <c r="S69" s="25"/>
      <c r="T69" s="25"/>
    </row>
    <row r="70" spans="1:20" x14ac:dyDescent="0.35">
      <c r="A70" s="25"/>
      <c r="B70" s="25"/>
      <c r="C70" s="26"/>
      <c r="D70" s="26"/>
      <c r="E70" s="25"/>
      <c r="F70" s="26"/>
      <c r="G70" s="25"/>
      <c r="H70" s="26"/>
      <c r="I70" s="25"/>
      <c r="J70" s="25"/>
      <c r="K70" s="25"/>
      <c r="L70" s="25"/>
      <c r="M70" s="26"/>
      <c r="N70" s="26"/>
      <c r="O70" s="25"/>
      <c r="P70" s="25"/>
      <c r="Q70" s="26"/>
      <c r="R70" s="25"/>
      <c r="S70" s="25"/>
      <c r="T70" s="25"/>
    </row>
    <row r="71" spans="1:20" x14ac:dyDescent="0.35">
      <c r="A71" s="25"/>
      <c r="B71" s="25"/>
      <c r="C71" s="26"/>
      <c r="D71" s="26"/>
      <c r="E71" s="25"/>
      <c r="F71" s="26"/>
      <c r="G71" s="25"/>
      <c r="H71" s="26"/>
      <c r="I71" s="25"/>
      <c r="J71" s="25"/>
      <c r="K71" s="25"/>
      <c r="L71" s="25"/>
      <c r="M71" s="26"/>
      <c r="N71" s="26"/>
      <c r="O71" s="25"/>
      <c r="P71" s="25"/>
      <c r="Q71" s="26"/>
      <c r="R71" s="25"/>
      <c r="S71" s="25"/>
      <c r="T71" s="25"/>
    </row>
    <row r="72" spans="1:20" x14ac:dyDescent="0.35">
      <c r="A72" s="25"/>
      <c r="B72" s="25"/>
      <c r="C72" s="26"/>
      <c r="D72" s="26"/>
      <c r="E72" s="25"/>
      <c r="F72" s="26"/>
      <c r="G72" s="25"/>
      <c r="H72" s="26"/>
      <c r="I72" s="25"/>
      <c r="J72" s="25"/>
      <c r="K72" s="25"/>
      <c r="L72" s="25"/>
      <c r="M72" s="26"/>
      <c r="N72" s="26"/>
      <c r="O72" s="25"/>
      <c r="P72" s="25"/>
      <c r="Q72" s="26"/>
      <c r="R72" s="25"/>
      <c r="S72" s="25"/>
      <c r="T72" s="25"/>
    </row>
    <row r="73" spans="1:20" x14ac:dyDescent="0.35">
      <c r="A73" s="25"/>
      <c r="B73" s="25"/>
      <c r="C73" s="26"/>
      <c r="D73" s="26"/>
      <c r="E73" s="25"/>
      <c r="F73" s="26"/>
      <c r="G73" s="25"/>
      <c r="H73" s="26"/>
      <c r="I73" s="25"/>
      <c r="J73" s="25"/>
      <c r="K73" s="25"/>
      <c r="L73" s="25"/>
      <c r="M73" s="26"/>
      <c r="N73" s="26"/>
      <c r="O73" s="25"/>
      <c r="P73" s="25"/>
      <c r="Q73" s="26"/>
      <c r="R73" s="25"/>
      <c r="S73" s="25"/>
      <c r="T73" s="25"/>
    </row>
    <row r="74" spans="1:20" x14ac:dyDescent="0.35">
      <c r="A74" s="25"/>
      <c r="B74" s="25"/>
      <c r="C74" s="26"/>
      <c r="D74" s="26"/>
      <c r="E74" s="25"/>
      <c r="F74" s="26"/>
      <c r="G74" s="25"/>
      <c r="H74" s="26"/>
      <c r="I74" s="25"/>
      <c r="J74" s="25"/>
      <c r="K74" s="25"/>
      <c r="L74" s="25"/>
      <c r="M74" s="26"/>
      <c r="N74" s="26"/>
      <c r="O74" s="25"/>
      <c r="P74" s="25"/>
      <c r="Q74" s="26"/>
      <c r="R74" s="25"/>
      <c r="S74" s="25"/>
      <c r="T74" s="25"/>
    </row>
    <row r="75" spans="1:20" x14ac:dyDescent="0.35">
      <c r="A75" s="25"/>
      <c r="B75" s="25"/>
      <c r="C75" s="26"/>
      <c r="D75" s="26"/>
      <c r="E75" s="25"/>
      <c r="F75" s="26"/>
      <c r="G75" s="25"/>
      <c r="H75" s="26"/>
      <c r="I75" s="25"/>
      <c r="J75" s="25"/>
      <c r="K75" s="25"/>
      <c r="L75" s="25"/>
      <c r="M75" s="26"/>
      <c r="N75" s="26"/>
      <c r="O75" s="25"/>
      <c r="P75" s="25"/>
      <c r="Q75" s="26"/>
      <c r="R75" s="25"/>
      <c r="S75" s="25"/>
      <c r="T75" s="25"/>
    </row>
    <row r="76" spans="1:20" x14ac:dyDescent="0.35">
      <c r="A76" s="25"/>
      <c r="B76" s="25"/>
      <c r="C76" s="26"/>
      <c r="D76" s="26"/>
      <c r="E76" s="25"/>
      <c r="F76" s="26"/>
      <c r="G76" s="25"/>
      <c r="H76" s="26"/>
      <c r="I76" s="25"/>
      <c r="J76" s="25"/>
      <c r="K76" s="25"/>
      <c r="L76" s="25"/>
      <c r="M76" s="26"/>
      <c r="N76" s="26"/>
      <c r="O76" s="25"/>
      <c r="P76" s="25"/>
      <c r="Q76" s="26"/>
      <c r="R76" s="25"/>
      <c r="S76" s="25"/>
      <c r="T76" s="25"/>
    </row>
    <row r="77" spans="1:20" x14ac:dyDescent="0.35">
      <c r="A77" s="25"/>
      <c r="B77" s="25"/>
      <c r="C77" s="26"/>
      <c r="D77" s="26"/>
      <c r="E77" s="25"/>
      <c r="F77" s="26"/>
      <c r="G77" s="25"/>
      <c r="H77" s="26"/>
      <c r="I77" s="25"/>
      <c r="J77" s="25"/>
      <c r="K77" s="25"/>
      <c r="L77" s="25"/>
      <c r="M77" s="26"/>
      <c r="N77" s="26"/>
      <c r="O77" s="25"/>
      <c r="P77" s="25"/>
      <c r="Q77" s="26"/>
      <c r="R77" s="25"/>
      <c r="S77" s="25"/>
      <c r="T77" s="25"/>
    </row>
    <row r="78" spans="1:20" x14ac:dyDescent="0.35">
      <c r="A78" s="25"/>
      <c r="B78" s="25"/>
      <c r="C78" s="26"/>
      <c r="D78" s="26"/>
      <c r="E78" s="25"/>
      <c r="F78" s="26"/>
      <c r="G78" s="25"/>
      <c r="H78" s="26"/>
      <c r="I78" s="25"/>
      <c r="J78" s="25"/>
      <c r="K78" s="25"/>
      <c r="L78" s="25"/>
      <c r="M78" s="26"/>
      <c r="N78" s="26"/>
      <c r="O78" s="25"/>
      <c r="P78" s="25"/>
      <c r="Q78" s="26"/>
      <c r="R78" s="25"/>
      <c r="S78" s="25"/>
      <c r="T78" s="25"/>
    </row>
    <row r="79" spans="1:20" x14ac:dyDescent="0.35">
      <c r="A79" s="25"/>
      <c r="B79" s="25"/>
      <c r="C79" s="26"/>
      <c r="D79" s="26"/>
      <c r="E79" s="25"/>
      <c r="F79" s="26"/>
      <c r="G79" s="25"/>
      <c r="H79" s="26"/>
      <c r="I79" s="25"/>
      <c r="J79" s="25"/>
      <c r="K79" s="25"/>
      <c r="L79" s="25"/>
      <c r="M79" s="26"/>
      <c r="N79" s="26"/>
      <c r="O79" s="25"/>
      <c r="P79" s="25"/>
      <c r="Q79" s="26"/>
      <c r="R79" s="25"/>
      <c r="S79" s="25"/>
      <c r="T79" s="25"/>
    </row>
    <row r="80" spans="1:20" x14ac:dyDescent="0.35">
      <c r="A80" s="25"/>
      <c r="B80" s="25"/>
      <c r="C80" s="26"/>
      <c r="D80" s="26"/>
      <c r="E80" s="25"/>
      <c r="F80" s="26"/>
      <c r="G80" s="25"/>
      <c r="H80" s="26"/>
      <c r="I80" s="25"/>
      <c r="J80" s="25"/>
      <c r="K80" s="25"/>
      <c r="L80" s="25"/>
      <c r="M80" s="26"/>
      <c r="N80" s="26"/>
      <c r="O80" s="25"/>
      <c r="P80" s="25"/>
      <c r="Q80" s="26"/>
      <c r="R80" s="25"/>
      <c r="S80" s="25"/>
      <c r="T80" s="25"/>
    </row>
    <row r="81" spans="1:20" x14ac:dyDescent="0.35">
      <c r="A81" s="25"/>
      <c r="B81" s="25"/>
      <c r="C81" s="26"/>
      <c r="D81" s="26"/>
      <c r="E81" s="25"/>
      <c r="F81" s="26"/>
      <c r="G81" s="25"/>
      <c r="H81" s="26"/>
      <c r="I81" s="25"/>
      <c r="J81" s="25"/>
      <c r="K81" s="25"/>
      <c r="L81" s="25"/>
      <c r="M81" s="26"/>
      <c r="N81" s="26"/>
      <c r="O81" s="25"/>
      <c r="P81" s="25"/>
      <c r="Q81" s="26"/>
      <c r="R81" s="25"/>
      <c r="S81" s="25"/>
      <c r="T81" s="25"/>
    </row>
    <row r="82" spans="1:20" x14ac:dyDescent="0.35">
      <c r="A82" s="25"/>
      <c r="B82" s="25"/>
      <c r="C82" s="26"/>
      <c r="D82" s="26"/>
      <c r="E82" s="25"/>
      <c r="F82" s="26"/>
      <c r="G82" s="25"/>
      <c r="H82" s="26"/>
      <c r="I82" s="25"/>
      <c r="J82" s="25"/>
      <c r="K82" s="25"/>
      <c r="L82" s="25"/>
      <c r="M82" s="26"/>
      <c r="N82" s="26"/>
      <c r="O82" s="25"/>
      <c r="P82" s="25"/>
      <c r="Q82" s="26"/>
      <c r="R82" s="25"/>
      <c r="S82" s="25"/>
      <c r="T82" s="25"/>
    </row>
    <row r="83" spans="1:20" x14ac:dyDescent="0.35">
      <c r="A83" s="25"/>
      <c r="B83" s="25"/>
      <c r="C83" s="26"/>
      <c r="D83" s="26"/>
      <c r="E83" s="25"/>
      <c r="F83" s="26"/>
      <c r="G83" s="25"/>
      <c r="H83" s="26"/>
      <c r="I83" s="25"/>
      <c r="J83" s="25"/>
      <c r="K83" s="25"/>
      <c r="L83" s="25"/>
      <c r="M83" s="26"/>
      <c r="N83" s="26"/>
      <c r="O83" s="25"/>
      <c r="P83" s="25"/>
      <c r="Q83" s="26"/>
      <c r="R83" s="25"/>
      <c r="S83" s="25"/>
      <c r="T83" s="25"/>
    </row>
    <row r="84" spans="1:20" x14ac:dyDescent="0.35">
      <c r="A84" s="25"/>
      <c r="B84" s="25"/>
      <c r="C84" s="26"/>
      <c r="D84" s="26"/>
      <c r="E84" s="25"/>
      <c r="F84" s="26"/>
      <c r="G84" s="25"/>
      <c r="H84" s="26"/>
      <c r="I84" s="25"/>
      <c r="J84" s="25"/>
      <c r="K84" s="25"/>
      <c r="L84" s="25"/>
      <c r="M84" s="26"/>
      <c r="N84" s="26"/>
      <c r="O84" s="25"/>
      <c r="P84" s="25"/>
      <c r="Q84" s="26"/>
      <c r="R84" s="25"/>
      <c r="S84" s="25"/>
      <c r="T84" s="25"/>
    </row>
    <row r="85" spans="1:20" x14ac:dyDescent="0.35">
      <c r="A85" s="25"/>
      <c r="B85" s="25"/>
      <c r="C85" s="26"/>
      <c r="D85" s="26"/>
      <c r="E85" s="25"/>
      <c r="F85" s="26"/>
      <c r="G85" s="25"/>
      <c r="H85" s="26"/>
      <c r="I85" s="25"/>
      <c r="J85" s="25"/>
      <c r="K85" s="25"/>
      <c r="L85" s="25"/>
      <c r="M85" s="26"/>
      <c r="N85" s="26"/>
      <c r="O85" s="25"/>
      <c r="P85" s="25"/>
      <c r="Q85" s="26"/>
      <c r="R85" s="25"/>
      <c r="S85" s="25"/>
      <c r="T85" s="25"/>
    </row>
    <row r="86" spans="1:20" x14ac:dyDescent="0.35">
      <c r="A86" s="25"/>
      <c r="B86" s="25"/>
      <c r="C86" s="26"/>
      <c r="D86" s="26"/>
      <c r="E86" s="25"/>
      <c r="F86" s="26"/>
      <c r="G86" s="25"/>
      <c r="H86" s="26"/>
      <c r="I86" s="25"/>
      <c r="J86" s="25"/>
      <c r="K86" s="25"/>
      <c r="L86" s="25"/>
      <c r="M86" s="26"/>
      <c r="N86" s="26"/>
      <c r="O86" s="25"/>
      <c r="P86" s="25"/>
      <c r="Q86" s="26"/>
      <c r="R86" s="25"/>
      <c r="S86" s="25"/>
      <c r="T86" s="25"/>
    </row>
    <row r="87" spans="1:20" x14ac:dyDescent="0.35">
      <c r="A87" s="25"/>
      <c r="B87" s="25"/>
      <c r="C87" s="26"/>
      <c r="D87" s="26"/>
      <c r="E87" s="25"/>
      <c r="F87" s="26"/>
      <c r="G87" s="25"/>
      <c r="H87" s="26"/>
      <c r="I87" s="25"/>
      <c r="J87" s="25"/>
      <c r="K87" s="25"/>
      <c r="L87" s="25"/>
      <c r="M87" s="26"/>
      <c r="N87" s="26"/>
      <c r="O87" s="25"/>
      <c r="P87" s="25"/>
      <c r="Q87" s="26"/>
      <c r="R87" s="25"/>
      <c r="S87" s="25"/>
      <c r="T87" s="25"/>
    </row>
    <row r="88" spans="1:20" x14ac:dyDescent="0.35">
      <c r="A88" s="25"/>
      <c r="B88" s="25"/>
      <c r="C88" s="26"/>
      <c r="D88" s="26"/>
      <c r="E88" s="25"/>
      <c r="F88" s="26"/>
      <c r="G88" s="25"/>
      <c r="H88" s="26"/>
      <c r="I88" s="25"/>
      <c r="J88" s="25"/>
      <c r="K88" s="25"/>
      <c r="L88" s="25"/>
      <c r="M88" s="26"/>
      <c r="N88" s="26"/>
      <c r="O88" s="25"/>
      <c r="P88" s="25"/>
      <c r="Q88" s="26"/>
      <c r="R88" s="25"/>
      <c r="S88" s="25"/>
      <c r="T88" s="25"/>
    </row>
    <row r="89" spans="1:20" x14ac:dyDescent="0.35">
      <c r="A89" s="25"/>
      <c r="B89" s="25"/>
      <c r="C89" s="26"/>
      <c r="D89" s="26"/>
      <c r="E89" s="25"/>
      <c r="F89" s="26"/>
      <c r="G89" s="25"/>
      <c r="H89" s="26"/>
      <c r="I89" s="25"/>
      <c r="J89" s="25"/>
      <c r="K89" s="25"/>
      <c r="L89" s="25"/>
      <c r="M89" s="26"/>
      <c r="N89" s="26"/>
      <c r="O89" s="25"/>
      <c r="P89" s="25"/>
      <c r="Q89" s="26"/>
      <c r="R89" s="25"/>
      <c r="S89" s="25"/>
      <c r="T89" s="25"/>
    </row>
    <row r="90" spans="1:20" x14ac:dyDescent="0.35">
      <c r="A90" s="25"/>
      <c r="B90" s="25"/>
      <c r="C90" s="26"/>
      <c r="D90" s="26"/>
      <c r="E90" s="25"/>
      <c r="F90" s="26"/>
      <c r="G90" s="25"/>
      <c r="H90" s="26"/>
      <c r="I90" s="25"/>
      <c r="J90" s="25"/>
      <c r="K90" s="25"/>
      <c r="L90" s="25"/>
      <c r="M90" s="26"/>
      <c r="N90" s="26"/>
      <c r="O90" s="25"/>
      <c r="P90" s="25"/>
      <c r="Q90" s="26"/>
      <c r="R90" s="25"/>
      <c r="S90" s="25"/>
      <c r="T90" s="25"/>
    </row>
    <row r="91" spans="1:20" x14ac:dyDescent="0.35">
      <c r="A91" s="25"/>
      <c r="B91" s="25"/>
      <c r="C91" s="26"/>
      <c r="D91" s="26"/>
      <c r="E91" s="25"/>
      <c r="F91" s="26"/>
      <c r="G91" s="25"/>
      <c r="H91" s="26"/>
      <c r="I91" s="25"/>
      <c r="J91" s="25"/>
      <c r="K91" s="25"/>
      <c r="L91" s="25"/>
      <c r="M91" s="26"/>
      <c r="N91" s="26"/>
      <c r="O91" s="25"/>
      <c r="P91" s="25"/>
      <c r="Q91" s="26"/>
      <c r="R91" s="25"/>
      <c r="S91" s="25"/>
      <c r="T91" s="25"/>
    </row>
    <row r="92" spans="1:20" x14ac:dyDescent="0.35">
      <c r="A92" s="25"/>
      <c r="B92" s="25"/>
      <c r="C92" s="26"/>
      <c r="D92" s="26"/>
      <c r="E92" s="25"/>
      <c r="F92" s="26"/>
      <c r="G92" s="25"/>
      <c r="H92" s="26"/>
      <c r="I92" s="25"/>
      <c r="J92" s="25"/>
      <c r="K92" s="25"/>
      <c r="L92" s="25"/>
      <c r="M92" s="26"/>
      <c r="N92" s="26"/>
      <c r="O92" s="25"/>
      <c r="P92" s="25"/>
      <c r="Q92" s="26"/>
      <c r="R92" s="25"/>
      <c r="S92" s="25"/>
      <c r="T92" s="25"/>
    </row>
    <row r="93" spans="1:20" x14ac:dyDescent="0.35">
      <c r="A93" s="25"/>
      <c r="B93" s="25"/>
      <c r="C93" s="26"/>
      <c r="D93" s="26"/>
      <c r="E93" s="25"/>
      <c r="F93" s="26"/>
      <c r="G93" s="25"/>
      <c r="H93" s="26"/>
      <c r="I93" s="25"/>
      <c r="J93" s="25"/>
      <c r="K93" s="25"/>
      <c r="L93" s="25"/>
      <c r="M93" s="26"/>
      <c r="N93" s="26"/>
      <c r="O93" s="25"/>
      <c r="P93" s="25"/>
      <c r="Q93" s="26"/>
      <c r="R93" s="25"/>
      <c r="S93" s="25"/>
      <c r="T93" s="25"/>
    </row>
    <row r="94" spans="1:20" x14ac:dyDescent="0.35">
      <c r="A94" s="25"/>
      <c r="B94" s="25"/>
      <c r="C94" s="26"/>
      <c r="D94" s="26"/>
      <c r="E94" s="25"/>
      <c r="F94" s="26"/>
      <c r="G94" s="25"/>
      <c r="H94" s="26"/>
      <c r="I94" s="25"/>
      <c r="J94" s="25"/>
      <c r="K94" s="25"/>
      <c r="L94" s="25"/>
      <c r="M94" s="26"/>
      <c r="N94" s="26"/>
      <c r="O94" s="25"/>
      <c r="P94" s="25"/>
      <c r="Q94" s="26"/>
      <c r="R94" s="25"/>
      <c r="S94" s="25"/>
      <c r="T94" s="25"/>
    </row>
    <row r="95" spans="1:20" x14ac:dyDescent="0.35">
      <c r="A95" s="25"/>
      <c r="B95" s="25"/>
      <c r="C95" s="26"/>
      <c r="D95" s="26"/>
      <c r="E95" s="25"/>
      <c r="F95" s="26"/>
      <c r="G95" s="25"/>
      <c r="H95" s="26"/>
      <c r="I95" s="25"/>
      <c r="J95" s="25"/>
      <c r="K95" s="25"/>
      <c r="L95" s="25"/>
      <c r="M95" s="26"/>
      <c r="N95" s="26"/>
      <c r="O95" s="25"/>
      <c r="P95" s="25"/>
      <c r="Q95" s="26"/>
      <c r="R95" s="25"/>
      <c r="S95" s="25"/>
      <c r="T95" s="25"/>
    </row>
    <row r="96" spans="1:20" x14ac:dyDescent="0.35">
      <c r="A96" s="25"/>
      <c r="B96" s="25"/>
      <c r="C96" s="26"/>
      <c r="D96" s="26"/>
      <c r="E96" s="25"/>
      <c r="F96" s="26"/>
      <c r="G96" s="25"/>
      <c r="H96" s="26"/>
      <c r="I96" s="25"/>
      <c r="J96" s="25"/>
      <c r="K96" s="25"/>
      <c r="L96" s="25"/>
      <c r="M96" s="26"/>
      <c r="N96" s="26"/>
      <c r="O96" s="25"/>
      <c r="P96" s="25"/>
      <c r="Q96" s="26"/>
      <c r="R96" s="25"/>
      <c r="S96" s="25"/>
      <c r="T96" s="25"/>
    </row>
    <row r="97" spans="1:20" x14ac:dyDescent="0.35">
      <c r="A97" s="25"/>
      <c r="B97" s="25"/>
      <c r="C97" s="26"/>
      <c r="D97" s="26"/>
      <c r="E97" s="25"/>
      <c r="F97" s="26"/>
      <c r="G97" s="25"/>
      <c r="H97" s="26"/>
      <c r="I97" s="25"/>
      <c r="J97" s="25"/>
      <c r="K97" s="25"/>
      <c r="L97" s="25"/>
      <c r="M97" s="26"/>
      <c r="N97" s="26"/>
      <c r="O97" s="25"/>
      <c r="P97" s="25"/>
      <c r="Q97" s="26"/>
      <c r="R97" s="25"/>
      <c r="S97" s="25"/>
      <c r="T97" s="25"/>
    </row>
    <row r="98" spans="1:20" x14ac:dyDescent="0.35">
      <c r="A98" s="25"/>
      <c r="B98" s="25"/>
      <c r="C98" s="26"/>
      <c r="D98" s="26"/>
      <c r="E98" s="25"/>
      <c r="F98" s="26"/>
      <c r="G98" s="25"/>
      <c r="H98" s="26"/>
      <c r="I98" s="25"/>
      <c r="J98" s="25"/>
      <c r="K98" s="25"/>
      <c r="L98" s="25"/>
      <c r="M98" s="26"/>
      <c r="N98" s="26"/>
      <c r="O98" s="25"/>
      <c r="P98" s="25"/>
      <c r="Q98" s="26"/>
      <c r="R98" s="25"/>
      <c r="S98" s="25"/>
      <c r="T98" s="25"/>
    </row>
    <row r="99" spans="1:20" x14ac:dyDescent="0.35">
      <c r="A99" s="25"/>
      <c r="B99" s="25"/>
      <c r="C99" s="26"/>
      <c r="D99" s="26"/>
      <c r="E99" s="25"/>
      <c r="F99" s="26"/>
      <c r="G99" s="25"/>
      <c r="H99" s="26"/>
      <c r="I99" s="25"/>
      <c r="J99" s="25"/>
      <c r="K99" s="25"/>
      <c r="L99" s="25"/>
      <c r="M99" s="26"/>
      <c r="N99" s="26"/>
      <c r="O99" s="25"/>
      <c r="P99" s="25"/>
      <c r="Q99" s="26"/>
      <c r="R99" s="25"/>
      <c r="S99" s="25"/>
      <c r="T99" s="25"/>
    </row>
    <row r="100" spans="1:20" x14ac:dyDescent="0.35">
      <c r="A100" s="25"/>
      <c r="B100" s="25"/>
      <c r="C100" s="26"/>
      <c r="D100" s="26"/>
      <c r="E100" s="25"/>
      <c r="F100" s="26"/>
      <c r="G100" s="25"/>
      <c r="H100" s="26"/>
      <c r="I100" s="25"/>
      <c r="J100" s="25"/>
      <c r="K100" s="25"/>
      <c r="L100" s="25"/>
      <c r="M100" s="26"/>
      <c r="N100" s="26"/>
      <c r="O100" s="25"/>
      <c r="P100" s="25"/>
      <c r="Q100" s="26"/>
      <c r="R100" s="25"/>
      <c r="S100" s="25"/>
      <c r="T100" s="25"/>
    </row>
    <row r="101" spans="1:20" x14ac:dyDescent="0.35">
      <c r="A101" s="25"/>
      <c r="B101" s="25"/>
      <c r="C101" s="26"/>
      <c r="D101" s="26"/>
      <c r="E101" s="25"/>
      <c r="F101" s="26"/>
      <c r="G101" s="25"/>
      <c r="H101" s="26"/>
      <c r="I101" s="25"/>
      <c r="J101" s="25"/>
      <c r="K101" s="25"/>
      <c r="L101" s="25"/>
      <c r="M101" s="26"/>
      <c r="N101" s="26"/>
      <c r="O101" s="25"/>
      <c r="P101" s="25"/>
      <c r="Q101" s="26"/>
      <c r="R101" s="25"/>
      <c r="S101" s="25"/>
      <c r="T101" s="25"/>
    </row>
    <row r="102" spans="1:20" x14ac:dyDescent="0.35">
      <c r="A102" s="25"/>
      <c r="B102" s="25"/>
      <c r="C102" s="26"/>
      <c r="D102" s="26"/>
      <c r="E102" s="25"/>
      <c r="F102" s="26"/>
      <c r="G102" s="25"/>
      <c r="H102" s="26"/>
      <c r="I102" s="25"/>
      <c r="J102" s="25"/>
      <c r="K102" s="25"/>
      <c r="L102" s="25"/>
      <c r="M102" s="26"/>
      <c r="N102" s="26"/>
      <c r="O102" s="25"/>
      <c r="P102" s="25"/>
      <c r="Q102" s="26"/>
      <c r="R102" s="25"/>
      <c r="S102" s="25"/>
      <c r="T102" s="25"/>
    </row>
    <row r="103" spans="1:20" x14ac:dyDescent="0.35">
      <c r="A103" s="25"/>
      <c r="B103" s="25"/>
      <c r="C103" s="26"/>
      <c r="D103" s="26"/>
      <c r="E103" s="25"/>
      <c r="F103" s="26"/>
      <c r="G103" s="25"/>
      <c r="H103" s="26"/>
      <c r="I103" s="25"/>
      <c r="J103" s="25"/>
      <c r="K103" s="25"/>
      <c r="L103" s="25"/>
      <c r="M103" s="26"/>
      <c r="N103" s="26"/>
      <c r="O103" s="25"/>
      <c r="P103" s="25"/>
      <c r="Q103" s="26"/>
      <c r="R103" s="25"/>
      <c r="S103" s="25"/>
      <c r="T103" s="25"/>
    </row>
    <row r="104" spans="1:20" x14ac:dyDescent="0.35">
      <c r="A104" s="25"/>
      <c r="B104" s="25"/>
      <c r="C104" s="26"/>
      <c r="D104" s="26"/>
      <c r="E104" s="25"/>
      <c r="F104" s="26"/>
      <c r="G104" s="25"/>
      <c r="H104" s="26"/>
      <c r="I104" s="25"/>
      <c r="J104" s="25"/>
      <c r="K104" s="25"/>
      <c r="L104" s="25"/>
      <c r="M104" s="26"/>
      <c r="N104" s="26"/>
      <c r="O104" s="25"/>
      <c r="P104" s="25"/>
      <c r="Q104" s="26"/>
      <c r="R104" s="25"/>
      <c r="S104" s="25"/>
      <c r="T104" s="25"/>
    </row>
    <row r="105" spans="1:20" x14ac:dyDescent="0.35">
      <c r="A105" s="25"/>
      <c r="B105" s="25"/>
      <c r="C105" s="26"/>
      <c r="D105" s="26"/>
      <c r="E105" s="25"/>
      <c r="F105" s="26"/>
      <c r="G105" s="25"/>
      <c r="H105" s="26"/>
      <c r="I105" s="25"/>
      <c r="J105" s="25"/>
      <c r="K105" s="25"/>
      <c r="L105" s="25"/>
      <c r="M105" s="26"/>
      <c r="N105" s="26"/>
      <c r="O105" s="25"/>
      <c r="P105" s="25"/>
      <c r="Q105" s="26"/>
      <c r="R105" s="25"/>
      <c r="S105" s="25"/>
      <c r="T105" s="25"/>
    </row>
    <row r="106" spans="1:20" x14ac:dyDescent="0.35">
      <c r="A106" s="25"/>
      <c r="B106" s="25"/>
      <c r="C106" s="26"/>
      <c r="D106" s="26"/>
      <c r="E106" s="25"/>
      <c r="F106" s="26"/>
      <c r="G106" s="25"/>
      <c r="H106" s="26"/>
      <c r="I106" s="25"/>
      <c r="J106" s="25"/>
      <c r="K106" s="25"/>
      <c r="L106" s="25"/>
      <c r="M106" s="26"/>
      <c r="N106" s="26"/>
      <c r="O106" s="25"/>
      <c r="P106" s="25"/>
      <c r="Q106" s="26"/>
      <c r="R106" s="25"/>
      <c r="S106" s="25"/>
      <c r="T106" s="25"/>
    </row>
    <row r="107" spans="1:20" x14ac:dyDescent="0.35">
      <c r="A107" s="25"/>
      <c r="B107" s="25"/>
      <c r="C107" s="26"/>
      <c r="D107" s="26"/>
      <c r="E107" s="25"/>
      <c r="F107" s="26"/>
      <c r="G107" s="25"/>
      <c r="H107" s="26"/>
      <c r="I107" s="25"/>
      <c r="J107" s="25"/>
      <c r="K107" s="25"/>
      <c r="L107" s="25"/>
      <c r="M107" s="26"/>
      <c r="N107" s="26"/>
      <c r="O107" s="25"/>
      <c r="P107" s="25"/>
      <c r="Q107" s="26"/>
      <c r="R107" s="25"/>
      <c r="S107" s="25"/>
      <c r="T107" s="25"/>
    </row>
    <row r="108" spans="1:20" x14ac:dyDescent="0.35">
      <c r="A108" s="25"/>
      <c r="B108" s="25"/>
      <c r="C108" s="26"/>
      <c r="D108" s="26"/>
      <c r="E108" s="25"/>
      <c r="F108" s="26"/>
      <c r="G108" s="25"/>
      <c r="H108" s="26"/>
      <c r="I108" s="25"/>
      <c r="J108" s="25"/>
      <c r="K108" s="25"/>
      <c r="L108" s="25"/>
      <c r="M108" s="26"/>
      <c r="N108" s="26"/>
      <c r="O108" s="25"/>
      <c r="P108" s="25"/>
      <c r="Q108" s="26"/>
      <c r="R108" s="25"/>
      <c r="S108" s="25"/>
      <c r="T108" s="25"/>
    </row>
    <row r="109" spans="1:20" x14ac:dyDescent="0.35">
      <c r="A109" s="25"/>
      <c r="B109" s="25"/>
      <c r="C109" s="26"/>
      <c r="D109" s="26"/>
      <c r="E109" s="25"/>
      <c r="F109" s="26"/>
      <c r="G109" s="25"/>
      <c r="H109" s="26"/>
      <c r="I109" s="25"/>
      <c r="J109" s="25"/>
      <c r="K109" s="25"/>
      <c r="L109" s="25"/>
      <c r="M109" s="26"/>
      <c r="N109" s="26"/>
      <c r="O109" s="25"/>
      <c r="P109" s="25"/>
      <c r="Q109" s="26"/>
      <c r="R109" s="25"/>
      <c r="S109" s="25"/>
      <c r="T109" s="25"/>
    </row>
    <row r="110" spans="1:20" x14ac:dyDescent="0.35">
      <c r="A110" s="25"/>
      <c r="B110" s="25"/>
      <c r="C110" s="26"/>
      <c r="D110" s="26"/>
      <c r="E110" s="25"/>
      <c r="F110" s="26"/>
      <c r="G110" s="25"/>
      <c r="H110" s="26"/>
      <c r="I110" s="25"/>
      <c r="J110" s="25"/>
      <c r="K110" s="25"/>
      <c r="L110" s="25"/>
      <c r="M110" s="26"/>
      <c r="N110" s="26"/>
      <c r="O110" s="25"/>
      <c r="P110" s="25"/>
      <c r="Q110" s="26"/>
      <c r="R110" s="25"/>
      <c r="S110" s="25"/>
      <c r="T110" s="25"/>
    </row>
    <row r="111" spans="1:20" x14ac:dyDescent="0.35">
      <c r="A111" s="25"/>
      <c r="B111" s="25"/>
      <c r="C111" s="26"/>
      <c r="D111" s="26"/>
      <c r="E111" s="25"/>
      <c r="F111" s="26"/>
      <c r="G111" s="25"/>
      <c r="H111" s="26"/>
      <c r="I111" s="25"/>
      <c r="J111" s="25"/>
      <c r="K111" s="25"/>
      <c r="L111" s="25"/>
      <c r="M111" s="26"/>
      <c r="N111" s="26"/>
      <c r="O111" s="25"/>
      <c r="P111" s="25"/>
      <c r="Q111" s="26"/>
      <c r="R111" s="25"/>
      <c r="S111" s="25"/>
      <c r="T111" s="25"/>
    </row>
    <row r="112" spans="1:20" x14ac:dyDescent="0.35">
      <c r="A112" s="25"/>
      <c r="B112" s="25"/>
      <c r="C112" s="26"/>
      <c r="D112" s="26"/>
      <c r="E112" s="25"/>
      <c r="F112" s="26"/>
      <c r="G112" s="25"/>
      <c r="H112" s="26"/>
      <c r="I112" s="25"/>
      <c r="J112" s="25"/>
      <c r="K112" s="25"/>
      <c r="L112" s="25"/>
      <c r="M112" s="26"/>
      <c r="N112" s="26"/>
      <c r="O112" s="25"/>
      <c r="P112" s="25"/>
      <c r="Q112" s="26"/>
      <c r="R112" s="25"/>
      <c r="S112" s="25"/>
      <c r="T112" s="25"/>
    </row>
    <row r="113" spans="1:20" x14ac:dyDescent="0.35">
      <c r="A113" s="25"/>
      <c r="B113" s="25"/>
      <c r="C113" s="26"/>
      <c r="D113" s="26"/>
      <c r="E113" s="25"/>
      <c r="F113" s="26"/>
      <c r="G113" s="25"/>
      <c r="H113" s="26"/>
      <c r="I113" s="25"/>
      <c r="J113" s="25"/>
      <c r="K113" s="25"/>
      <c r="L113" s="25"/>
      <c r="M113" s="26"/>
      <c r="N113" s="26"/>
      <c r="O113" s="25"/>
      <c r="P113" s="25"/>
      <c r="Q113" s="26"/>
      <c r="R113" s="25"/>
      <c r="S113" s="25"/>
      <c r="T113" s="25"/>
    </row>
    <row r="114" spans="1:20" x14ac:dyDescent="0.35">
      <c r="A114" s="25"/>
      <c r="B114" s="25"/>
      <c r="C114" s="26"/>
      <c r="D114" s="26"/>
      <c r="E114" s="25"/>
      <c r="F114" s="26"/>
      <c r="G114" s="25"/>
      <c r="H114" s="26"/>
      <c r="I114" s="25"/>
      <c r="J114" s="25"/>
      <c r="K114" s="25"/>
      <c r="L114" s="25"/>
      <c r="M114" s="26"/>
      <c r="N114" s="26"/>
      <c r="O114" s="25"/>
      <c r="P114" s="25"/>
      <c r="Q114" s="26"/>
      <c r="R114" s="25"/>
      <c r="S114" s="25"/>
      <c r="T114" s="25"/>
    </row>
    <row r="115" spans="1:20" x14ac:dyDescent="0.35">
      <c r="A115" s="25"/>
      <c r="B115" s="25"/>
      <c r="C115" s="26"/>
      <c r="D115" s="26"/>
      <c r="E115" s="25"/>
      <c r="F115" s="26"/>
      <c r="G115" s="25"/>
      <c r="H115" s="26"/>
      <c r="I115" s="25"/>
      <c r="J115" s="25"/>
      <c r="K115" s="25"/>
      <c r="L115" s="25"/>
      <c r="M115" s="26"/>
      <c r="N115" s="26"/>
      <c r="O115" s="25"/>
      <c r="P115" s="25"/>
      <c r="Q115" s="26"/>
      <c r="R115" s="25"/>
      <c r="S115" s="25"/>
      <c r="T115" s="25"/>
    </row>
    <row r="116" spans="1:20" x14ac:dyDescent="0.35">
      <c r="A116" s="25"/>
      <c r="B116" s="25"/>
      <c r="C116" s="26"/>
      <c r="D116" s="26"/>
      <c r="E116" s="25"/>
      <c r="F116" s="26"/>
      <c r="G116" s="25"/>
      <c r="H116" s="26"/>
      <c r="I116" s="25"/>
      <c r="J116" s="25"/>
      <c r="K116" s="25"/>
      <c r="L116" s="25"/>
      <c r="M116" s="26"/>
      <c r="N116" s="26"/>
      <c r="O116" s="25"/>
      <c r="P116" s="25"/>
      <c r="Q116" s="26"/>
      <c r="R116" s="25"/>
      <c r="S116" s="25"/>
      <c r="T116" s="25"/>
    </row>
    <row r="117" spans="1:20" x14ac:dyDescent="0.35">
      <c r="A117" s="25"/>
      <c r="B117" s="25"/>
      <c r="C117" s="26"/>
      <c r="D117" s="26"/>
      <c r="E117" s="25"/>
      <c r="F117" s="26"/>
      <c r="G117" s="25"/>
      <c r="H117" s="26"/>
      <c r="I117" s="25"/>
      <c r="J117" s="25"/>
      <c r="K117" s="25"/>
      <c r="L117" s="25"/>
      <c r="M117" s="26"/>
      <c r="N117" s="26"/>
      <c r="O117" s="25"/>
      <c r="P117" s="25"/>
      <c r="Q117" s="26"/>
      <c r="R117" s="25"/>
      <c r="S117" s="25"/>
      <c r="T117" s="25"/>
    </row>
    <row r="118" spans="1:20" x14ac:dyDescent="0.35">
      <c r="A118" s="25"/>
      <c r="B118" s="25"/>
      <c r="C118" s="26"/>
      <c r="D118" s="26"/>
      <c r="E118" s="25"/>
      <c r="F118" s="26"/>
      <c r="G118" s="25"/>
      <c r="H118" s="26"/>
      <c r="I118" s="25"/>
      <c r="J118" s="25"/>
      <c r="K118" s="25"/>
      <c r="L118" s="25"/>
      <c r="M118" s="26"/>
      <c r="N118" s="26"/>
      <c r="O118" s="25"/>
      <c r="P118" s="25"/>
      <c r="Q118" s="26"/>
      <c r="R118" s="25"/>
      <c r="S118" s="25"/>
      <c r="T118" s="25"/>
    </row>
    <row r="119" spans="1:20" x14ac:dyDescent="0.35">
      <c r="A119" s="25"/>
      <c r="B119" s="25"/>
      <c r="C119" s="26"/>
      <c r="D119" s="26"/>
      <c r="E119" s="25"/>
      <c r="F119" s="26"/>
      <c r="G119" s="25"/>
      <c r="H119" s="26"/>
      <c r="I119" s="25"/>
      <c r="J119" s="25"/>
      <c r="K119" s="25"/>
      <c r="L119" s="25"/>
      <c r="M119" s="26"/>
      <c r="N119" s="26"/>
      <c r="O119" s="25"/>
      <c r="P119" s="25"/>
      <c r="Q119" s="26"/>
      <c r="R119" s="25"/>
      <c r="S119" s="25"/>
      <c r="T119" s="25"/>
    </row>
    <row r="120" spans="1:20" x14ac:dyDescent="0.35">
      <c r="A120" s="25"/>
      <c r="B120" s="25"/>
      <c r="C120" s="26"/>
      <c r="D120" s="26"/>
      <c r="E120" s="25"/>
      <c r="F120" s="26"/>
      <c r="G120" s="25"/>
      <c r="H120" s="26"/>
      <c r="I120" s="25"/>
      <c r="J120" s="25"/>
      <c r="K120" s="25"/>
      <c r="L120" s="25"/>
      <c r="M120" s="26"/>
      <c r="N120" s="26"/>
      <c r="O120" s="25"/>
      <c r="P120" s="25"/>
      <c r="Q120" s="26"/>
      <c r="R120" s="25"/>
      <c r="S120" s="25"/>
      <c r="T120" s="25"/>
    </row>
    <row r="121" spans="1:20" x14ac:dyDescent="0.35">
      <c r="A121" s="25"/>
      <c r="B121" s="25"/>
      <c r="C121" s="26"/>
      <c r="D121" s="26"/>
      <c r="E121" s="25"/>
      <c r="F121" s="26"/>
      <c r="G121" s="25"/>
      <c r="H121" s="26"/>
      <c r="I121" s="25"/>
      <c r="J121" s="25"/>
      <c r="K121" s="25"/>
      <c r="L121" s="25"/>
      <c r="M121" s="26"/>
      <c r="N121" s="26"/>
      <c r="O121" s="25"/>
      <c r="P121" s="25"/>
      <c r="Q121" s="26"/>
      <c r="R121" s="25"/>
      <c r="S121" s="25"/>
      <c r="T121" s="25"/>
    </row>
    <row r="122" spans="1:20" x14ac:dyDescent="0.35">
      <c r="A122" s="25"/>
      <c r="B122" s="25"/>
      <c r="C122" s="26"/>
      <c r="D122" s="26"/>
      <c r="E122" s="25"/>
      <c r="F122" s="26"/>
      <c r="G122" s="25"/>
      <c r="H122" s="26"/>
      <c r="I122" s="25"/>
      <c r="J122" s="25"/>
      <c r="K122" s="25"/>
      <c r="L122" s="25"/>
      <c r="M122" s="26"/>
      <c r="N122" s="26"/>
      <c r="O122" s="25"/>
      <c r="P122" s="25"/>
      <c r="Q122" s="26"/>
      <c r="R122" s="25"/>
      <c r="S122" s="25"/>
      <c r="T122" s="25"/>
    </row>
    <row r="123" spans="1:20" x14ac:dyDescent="0.35">
      <c r="A123" s="25"/>
      <c r="B123" s="25"/>
      <c r="C123" s="26"/>
      <c r="D123" s="26"/>
      <c r="E123" s="25"/>
      <c r="F123" s="26"/>
      <c r="G123" s="25"/>
      <c r="H123" s="26"/>
      <c r="I123" s="25"/>
      <c r="J123" s="25"/>
      <c r="K123" s="25"/>
      <c r="L123" s="25"/>
      <c r="M123" s="26"/>
      <c r="N123" s="26"/>
      <c r="O123" s="25"/>
      <c r="P123" s="25"/>
      <c r="Q123" s="26"/>
      <c r="R123" s="25"/>
      <c r="S123" s="25"/>
      <c r="T123" s="25"/>
    </row>
    <row r="124" spans="1:20" x14ac:dyDescent="0.35">
      <c r="A124" s="25"/>
      <c r="B124" s="25"/>
      <c r="C124" s="26"/>
      <c r="D124" s="26"/>
      <c r="E124" s="25"/>
      <c r="F124" s="26"/>
      <c r="G124" s="25"/>
      <c r="H124" s="26"/>
      <c r="I124" s="25"/>
      <c r="J124" s="25"/>
      <c r="K124" s="25"/>
      <c r="L124" s="25"/>
      <c r="M124" s="26"/>
      <c r="N124" s="26"/>
      <c r="O124" s="25"/>
      <c r="P124" s="25"/>
      <c r="Q124" s="26"/>
      <c r="R124" s="25"/>
      <c r="S124" s="25"/>
      <c r="T124" s="25"/>
    </row>
  </sheetData>
  <mergeCells count="1">
    <mergeCell ref="A1:T1"/>
  </mergeCells>
  <dataValidations count="4">
    <dataValidation type="list" allowBlank="1" sqref="J5:J124" xr:uid="{00000000-0002-0000-1300-000000000000}">
      <formula1>"Pass,Extend,Not Passed,In Progress"</formula1>
    </dataValidation>
    <dataValidation type="list" allowBlank="1" sqref="K5:K124" xr:uid="{00000000-0002-0000-1300-000001000000}">
      <formula1>"Yes,No,N/A,In Progress"</formula1>
    </dataValidation>
    <dataValidation type="list" allowBlank="1" sqref="R5:R124" xr:uid="{00000000-0002-0000-1300-000002000000}">
      <formula1>"Not Started,In Progress,Completed,Overdue,Closed"</formula1>
    </dataValidation>
    <dataValidation type="list" allowBlank="1" sqref="S5:S124" xr:uid="{00000000-0002-0000-1300-000003000000}">
      <formula1>"Green,Amber,Red,Grey"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154"/>
  <sheetViews>
    <sheetView workbookViewId="0"/>
  </sheetViews>
  <sheetFormatPr defaultRowHeight="14.5" x14ac:dyDescent="0.35"/>
  <cols>
    <col min="1" max="2" width="16" customWidth="1"/>
    <col min="3" max="3" width="22" customWidth="1"/>
    <col min="4" max="10" width="16" customWidth="1"/>
    <col min="11" max="11" width="30" customWidth="1"/>
    <col min="12" max="16" width="16" customWidth="1"/>
    <col min="17" max="17" width="30" customWidth="1"/>
  </cols>
  <sheetData>
    <row r="1" spans="1:17" x14ac:dyDescent="0.35">
      <c r="A1" s="154" t="s">
        <v>417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</row>
    <row r="2" spans="1:17" ht="51.65" customHeight="1" x14ac:dyDescent="0.35">
      <c r="A2" s="21" t="s">
        <v>321</v>
      </c>
    </row>
    <row r="4" spans="1:17" ht="12.9" customHeight="1" x14ac:dyDescent="0.35">
      <c r="A4" s="24" t="s">
        <v>418</v>
      </c>
      <c r="B4" s="24" t="s">
        <v>419</v>
      </c>
      <c r="C4" s="24" t="s">
        <v>31</v>
      </c>
      <c r="D4" s="24" t="s">
        <v>420</v>
      </c>
      <c r="E4" s="24" t="s">
        <v>421</v>
      </c>
      <c r="F4" s="24" t="s">
        <v>422</v>
      </c>
      <c r="G4" s="24" t="s">
        <v>390</v>
      </c>
      <c r="H4" s="24" t="s">
        <v>351</v>
      </c>
      <c r="I4" s="24" t="s">
        <v>352</v>
      </c>
      <c r="J4" s="24" t="s">
        <v>281</v>
      </c>
      <c r="K4" s="24" t="s">
        <v>335</v>
      </c>
      <c r="L4" s="24" t="s">
        <v>353</v>
      </c>
      <c r="M4" s="24" t="s">
        <v>337</v>
      </c>
      <c r="N4" s="24" t="s">
        <v>423</v>
      </c>
      <c r="O4" s="24" t="s">
        <v>296</v>
      </c>
      <c r="P4" s="24" t="s">
        <v>6</v>
      </c>
      <c r="Q4" s="24" t="s">
        <v>338</v>
      </c>
    </row>
    <row r="5" spans="1:17" x14ac:dyDescent="0.35">
      <c r="A5" s="25"/>
      <c r="B5" s="25"/>
      <c r="C5" s="25"/>
      <c r="D5" s="26"/>
      <c r="E5" s="25"/>
      <c r="F5" s="25"/>
      <c r="G5" s="25"/>
      <c r="H5" s="25"/>
      <c r="I5" s="26"/>
      <c r="J5" s="26"/>
      <c r="K5" s="25"/>
      <c r="L5" s="25"/>
      <c r="M5" s="26"/>
      <c r="N5" s="25"/>
      <c r="O5" s="25"/>
      <c r="P5" s="25"/>
      <c r="Q5" s="25"/>
    </row>
    <row r="6" spans="1:17" x14ac:dyDescent="0.35">
      <c r="A6" s="25"/>
      <c r="B6" s="25"/>
      <c r="C6" s="25"/>
      <c r="D6" s="26"/>
      <c r="E6" s="25"/>
      <c r="F6" s="25"/>
      <c r="G6" s="25"/>
      <c r="H6" s="25"/>
      <c r="I6" s="26"/>
      <c r="J6" s="26"/>
      <c r="K6" s="25"/>
      <c r="L6" s="25"/>
      <c r="M6" s="26"/>
      <c r="N6" s="25"/>
      <c r="O6" s="25"/>
      <c r="P6" s="25"/>
      <c r="Q6" s="25"/>
    </row>
    <row r="7" spans="1:17" x14ac:dyDescent="0.35">
      <c r="A7" s="25"/>
      <c r="B7" s="25"/>
      <c r="C7" s="25"/>
      <c r="D7" s="26"/>
      <c r="E7" s="25"/>
      <c r="F7" s="25"/>
      <c r="G7" s="25"/>
      <c r="H7" s="25"/>
      <c r="I7" s="26"/>
      <c r="J7" s="26"/>
      <c r="K7" s="25"/>
      <c r="L7" s="25"/>
      <c r="M7" s="26"/>
      <c r="N7" s="25"/>
      <c r="O7" s="25"/>
      <c r="P7" s="25"/>
      <c r="Q7" s="25"/>
    </row>
    <row r="8" spans="1:17" x14ac:dyDescent="0.35">
      <c r="A8" s="25"/>
      <c r="B8" s="25"/>
      <c r="C8" s="25"/>
      <c r="D8" s="26"/>
      <c r="E8" s="25"/>
      <c r="F8" s="25"/>
      <c r="G8" s="25"/>
      <c r="H8" s="25"/>
      <c r="I8" s="26"/>
      <c r="J8" s="26"/>
      <c r="K8" s="25"/>
      <c r="L8" s="25"/>
      <c r="M8" s="26"/>
      <c r="N8" s="25"/>
      <c r="O8" s="25"/>
      <c r="P8" s="25"/>
      <c r="Q8" s="25"/>
    </row>
    <row r="9" spans="1:17" x14ac:dyDescent="0.35">
      <c r="A9" s="25"/>
      <c r="B9" s="25"/>
      <c r="C9" s="25"/>
      <c r="D9" s="26"/>
      <c r="E9" s="25"/>
      <c r="F9" s="25"/>
      <c r="G9" s="25"/>
      <c r="H9" s="25"/>
      <c r="I9" s="26"/>
      <c r="J9" s="26"/>
      <c r="K9" s="25"/>
      <c r="L9" s="25"/>
      <c r="M9" s="26"/>
      <c r="N9" s="25"/>
      <c r="O9" s="25"/>
      <c r="P9" s="25"/>
      <c r="Q9" s="25"/>
    </row>
    <row r="10" spans="1:17" x14ac:dyDescent="0.35">
      <c r="A10" s="25"/>
      <c r="B10" s="25"/>
      <c r="C10" s="25"/>
      <c r="D10" s="26"/>
      <c r="E10" s="25"/>
      <c r="F10" s="25"/>
      <c r="G10" s="25"/>
      <c r="H10" s="25"/>
      <c r="I10" s="26"/>
      <c r="J10" s="26"/>
      <c r="K10" s="25"/>
      <c r="L10" s="25"/>
      <c r="M10" s="26"/>
      <c r="N10" s="25"/>
      <c r="O10" s="25"/>
      <c r="P10" s="25"/>
      <c r="Q10" s="25"/>
    </row>
    <row r="11" spans="1:17" x14ac:dyDescent="0.35">
      <c r="A11" s="25"/>
      <c r="B11" s="25"/>
      <c r="C11" s="25"/>
      <c r="D11" s="26"/>
      <c r="E11" s="25"/>
      <c r="F11" s="25"/>
      <c r="G11" s="25"/>
      <c r="H11" s="25"/>
      <c r="I11" s="26"/>
      <c r="J11" s="26"/>
      <c r="K11" s="25"/>
      <c r="L11" s="25"/>
      <c r="M11" s="26"/>
      <c r="N11" s="25"/>
      <c r="O11" s="25"/>
      <c r="P11" s="25"/>
      <c r="Q11" s="25"/>
    </row>
    <row r="12" spans="1:17" x14ac:dyDescent="0.35">
      <c r="A12" s="25"/>
      <c r="B12" s="25"/>
      <c r="C12" s="25"/>
      <c r="D12" s="26"/>
      <c r="E12" s="25"/>
      <c r="F12" s="25"/>
      <c r="G12" s="25"/>
      <c r="H12" s="25"/>
      <c r="I12" s="26"/>
      <c r="J12" s="26"/>
      <c r="K12" s="25"/>
      <c r="L12" s="25"/>
      <c r="M12" s="26"/>
      <c r="N12" s="25"/>
      <c r="O12" s="25"/>
      <c r="P12" s="25"/>
      <c r="Q12" s="25"/>
    </row>
    <row r="13" spans="1:17" x14ac:dyDescent="0.35">
      <c r="A13" s="25"/>
      <c r="B13" s="25"/>
      <c r="C13" s="25"/>
      <c r="D13" s="26"/>
      <c r="E13" s="25"/>
      <c r="F13" s="25"/>
      <c r="G13" s="25"/>
      <c r="H13" s="25"/>
      <c r="I13" s="26"/>
      <c r="J13" s="26"/>
      <c r="K13" s="25"/>
      <c r="L13" s="25"/>
      <c r="M13" s="26"/>
      <c r="N13" s="25"/>
      <c r="O13" s="25"/>
      <c r="P13" s="25"/>
      <c r="Q13" s="25"/>
    </row>
    <row r="14" spans="1:17" x14ac:dyDescent="0.35">
      <c r="A14" s="25"/>
      <c r="B14" s="25"/>
      <c r="C14" s="25"/>
      <c r="D14" s="26"/>
      <c r="E14" s="25"/>
      <c r="F14" s="25"/>
      <c r="G14" s="25"/>
      <c r="H14" s="25"/>
      <c r="I14" s="26"/>
      <c r="J14" s="26"/>
      <c r="K14" s="25"/>
      <c r="L14" s="25"/>
      <c r="M14" s="26"/>
      <c r="N14" s="25"/>
      <c r="O14" s="25"/>
      <c r="P14" s="25"/>
      <c r="Q14" s="25"/>
    </row>
    <row r="15" spans="1:17" x14ac:dyDescent="0.35">
      <c r="A15" s="25"/>
      <c r="B15" s="25"/>
      <c r="C15" s="25"/>
      <c r="D15" s="26"/>
      <c r="E15" s="25"/>
      <c r="F15" s="25"/>
      <c r="G15" s="25"/>
      <c r="H15" s="25"/>
      <c r="I15" s="26"/>
      <c r="J15" s="26"/>
      <c r="K15" s="25"/>
      <c r="L15" s="25"/>
      <c r="M15" s="26"/>
      <c r="N15" s="25"/>
      <c r="O15" s="25"/>
      <c r="P15" s="25"/>
      <c r="Q15" s="25"/>
    </row>
    <row r="16" spans="1:17" x14ac:dyDescent="0.35">
      <c r="A16" s="25"/>
      <c r="B16" s="25"/>
      <c r="C16" s="25"/>
      <c r="D16" s="26"/>
      <c r="E16" s="25"/>
      <c r="F16" s="25"/>
      <c r="G16" s="25"/>
      <c r="H16" s="25"/>
      <c r="I16" s="26"/>
      <c r="J16" s="26"/>
      <c r="K16" s="25"/>
      <c r="L16" s="25"/>
      <c r="M16" s="26"/>
      <c r="N16" s="25"/>
      <c r="O16" s="25"/>
      <c r="P16" s="25"/>
      <c r="Q16" s="25"/>
    </row>
    <row r="17" spans="1:17" x14ac:dyDescent="0.35">
      <c r="A17" s="25"/>
      <c r="B17" s="25"/>
      <c r="C17" s="25"/>
      <c r="D17" s="26"/>
      <c r="E17" s="25"/>
      <c r="F17" s="25"/>
      <c r="G17" s="25"/>
      <c r="H17" s="25"/>
      <c r="I17" s="26"/>
      <c r="J17" s="26"/>
      <c r="K17" s="25"/>
      <c r="L17" s="25"/>
      <c r="M17" s="26"/>
      <c r="N17" s="25"/>
      <c r="O17" s="25"/>
      <c r="P17" s="25"/>
      <c r="Q17" s="25"/>
    </row>
    <row r="18" spans="1:17" x14ac:dyDescent="0.35">
      <c r="A18" s="25"/>
      <c r="B18" s="25"/>
      <c r="C18" s="25"/>
      <c r="D18" s="26"/>
      <c r="E18" s="25"/>
      <c r="F18" s="25"/>
      <c r="G18" s="25"/>
      <c r="H18" s="25"/>
      <c r="I18" s="26"/>
      <c r="J18" s="26"/>
      <c r="K18" s="25"/>
      <c r="L18" s="25"/>
      <c r="M18" s="26"/>
      <c r="N18" s="25"/>
      <c r="O18" s="25"/>
      <c r="P18" s="25"/>
      <c r="Q18" s="25"/>
    </row>
    <row r="19" spans="1:17" x14ac:dyDescent="0.35">
      <c r="A19" s="25"/>
      <c r="B19" s="25"/>
      <c r="C19" s="25"/>
      <c r="D19" s="26"/>
      <c r="E19" s="25"/>
      <c r="F19" s="25"/>
      <c r="G19" s="25"/>
      <c r="H19" s="25"/>
      <c r="I19" s="26"/>
      <c r="J19" s="26"/>
      <c r="K19" s="25"/>
      <c r="L19" s="25"/>
      <c r="M19" s="26"/>
      <c r="N19" s="25"/>
      <c r="O19" s="25"/>
      <c r="P19" s="25"/>
      <c r="Q19" s="25"/>
    </row>
    <row r="20" spans="1:17" x14ac:dyDescent="0.35">
      <c r="A20" s="25"/>
      <c r="B20" s="25"/>
      <c r="C20" s="25"/>
      <c r="D20" s="26"/>
      <c r="E20" s="25"/>
      <c r="F20" s="25"/>
      <c r="G20" s="25"/>
      <c r="H20" s="25"/>
      <c r="I20" s="26"/>
      <c r="J20" s="26"/>
      <c r="K20" s="25"/>
      <c r="L20" s="25"/>
      <c r="M20" s="26"/>
      <c r="N20" s="25"/>
      <c r="O20" s="25"/>
      <c r="P20" s="25"/>
      <c r="Q20" s="25"/>
    </row>
    <row r="21" spans="1:17" x14ac:dyDescent="0.35">
      <c r="A21" s="25"/>
      <c r="B21" s="25"/>
      <c r="C21" s="25"/>
      <c r="D21" s="26"/>
      <c r="E21" s="25"/>
      <c r="F21" s="25"/>
      <c r="G21" s="25"/>
      <c r="H21" s="25"/>
      <c r="I21" s="26"/>
      <c r="J21" s="26"/>
      <c r="K21" s="25"/>
      <c r="L21" s="25"/>
      <c r="M21" s="26"/>
      <c r="N21" s="25"/>
      <c r="O21" s="25"/>
      <c r="P21" s="25"/>
      <c r="Q21" s="25"/>
    </row>
    <row r="22" spans="1:17" x14ac:dyDescent="0.35">
      <c r="A22" s="25"/>
      <c r="B22" s="25"/>
      <c r="C22" s="25"/>
      <c r="D22" s="26"/>
      <c r="E22" s="25"/>
      <c r="F22" s="25"/>
      <c r="G22" s="25"/>
      <c r="H22" s="25"/>
      <c r="I22" s="26"/>
      <c r="J22" s="26"/>
      <c r="K22" s="25"/>
      <c r="L22" s="25"/>
      <c r="M22" s="26"/>
      <c r="N22" s="25"/>
      <c r="O22" s="25"/>
      <c r="P22" s="25"/>
      <c r="Q22" s="25"/>
    </row>
    <row r="23" spans="1:17" x14ac:dyDescent="0.35">
      <c r="A23" s="25"/>
      <c r="B23" s="25"/>
      <c r="C23" s="25"/>
      <c r="D23" s="26"/>
      <c r="E23" s="25"/>
      <c r="F23" s="25"/>
      <c r="G23" s="25"/>
      <c r="H23" s="25"/>
      <c r="I23" s="26"/>
      <c r="J23" s="26"/>
      <c r="K23" s="25"/>
      <c r="L23" s="25"/>
      <c r="M23" s="26"/>
      <c r="N23" s="25"/>
      <c r="O23" s="25"/>
      <c r="P23" s="25"/>
      <c r="Q23" s="25"/>
    </row>
    <row r="24" spans="1:17" x14ac:dyDescent="0.35">
      <c r="A24" s="25"/>
      <c r="B24" s="25"/>
      <c r="C24" s="25"/>
      <c r="D24" s="26"/>
      <c r="E24" s="25"/>
      <c r="F24" s="25"/>
      <c r="G24" s="25"/>
      <c r="H24" s="25"/>
      <c r="I24" s="26"/>
      <c r="J24" s="26"/>
      <c r="K24" s="25"/>
      <c r="L24" s="25"/>
      <c r="M24" s="26"/>
      <c r="N24" s="25"/>
      <c r="O24" s="25"/>
      <c r="P24" s="25"/>
      <c r="Q24" s="25"/>
    </row>
    <row r="25" spans="1:17" x14ac:dyDescent="0.35">
      <c r="A25" s="25"/>
      <c r="B25" s="25"/>
      <c r="C25" s="25"/>
      <c r="D25" s="26"/>
      <c r="E25" s="25"/>
      <c r="F25" s="25"/>
      <c r="G25" s="25"/>
      <c r="H25" s="25"/>
      <c r="I25" s="26"/>
      <c r="J25" s="26"/>
      <c r="K25" s="25"/>
      <c r="L25" s="25"/>
      <c r="M25" s="26"/>
      <c r="N25" s="25"/>
      <c r="O25" s="25"/>
      <c r="P25" s="25"/>
      <c r="Q25" s="25"/>
    </row>
    <row r="26" spans="1:17" x14ac:dyDescent="0.35">
      <c r="A26" s="25"/>
      <c r="B26" s="25"/>
      <c r="C26" s="25"/>
      <c r="D26" s="26"/>
      <c r="E26" s="25"/>
      <c r="F26" s="25"/>
      <c r="G26" s="25"/>
      <c r="H26" s="25"/>
      <c r="I26" s="26"/>
      <c r="J26" s="26"/>
      <c r="K26" s="25"/>
      <c r="L26" s="25"/>
      <c r="M26" s="26"/>
      <c r="N26" s="25"/>
      <c r="O26" s="25"/>
      <c r="P26" s="25"/>
      <c r="Q26" s="25"/>
    </row>
    <row r="27" spans="1:17" x14ac:dyDescent="0.35">
      <c r="A27" s="25"/>
      <c r="B27" s="25"/>
      <c r="C27" s="25"/>
      <c r="D27" s="26"/>
      <c r="E27" s="25"/>
      <c r="F27" s="25"/>
      <c r="G27" s="25"/>
      <c r="H27" s="25"/>
      <c r="I27" s="26"/>
      <c r="J27" s="26"/>
      <c r="K27" s="25"/>
      <c r="L27" s="25"/>
      <c r="M27" s="26"/>
      <c r="N27" s="25"/>
      <c r="O27" s="25"/>
      <c r="P27" s="25"/>
      <c r="Q27" s="25"/>
    </row>
    <row r="28" spans="1:17" x14ac:dyDescent="0.35">
      <c r="A28" s="25"/>
      <c r="B28" s="25"/>
      <c r="C28" s="25"/>
      <c r="D28" s="26"/>
      <c r="E28" s="25"/>
      <c r="F28" s="25"/>
      <c r="G28" s="25"/>
      <c r="H28" s="25"/>
      <c r="I28" s="26"/>
      <c r="J28" s="26"/>
      <c r="K28" s="25"/>
      <c r="L28" s="25"/>
      <c r="M28" s="26"/>
      <c r="N28" s="25"/>
      <c r="O28" s="25"/>
      <c r="P28" s="25"/>
      <c r="Q28" s="25"/>
    </row>
    <row r="29" spans="1:17" x14ac:dyDescent="0.35">
      <c r="A29" s="25"/>
      <c r="B29" s="25"/>
      <c r="C29" s="25"/>
      <c r="D29" s="26"/>
      <c r="E29" s="25"/>
      <c r="F29" s="25"/>
      <c r="G29" s="25"/>
      <c r="H29" s="25"/>
      <c r="I29" s="26"/>
      <c r="J29" s="26"/>
      <c r="K29" s="25"/>
      <c r="L29" s="25"/>
      <c r="M29" s="26"/>
      <c r="N29" s="25"/>
      <c r="O29" s="25"/>
      <c r="P29" s="25"/>
      <c r="Q29" s="25"/>
    </row>
    <row r="30" spans="1:17" x14ac:dyDescent="0.35">
      <c r="A30" s="25"/>
      <c r="B30" s="25"/>
      <c r="C30" s="25"/>
      <c r="D30" s="26"/>
      <c r="E30" s="25"/>
      <c r="F30" s="25"/>
      <c r="G30" s="25"/>
      <c r="H30" s="25"/>
      <c r="I30" s="26"/>
      <c r="J30" s="26"/>
      <c r="K30" s="25"/>
      <c r="L30" s="25"/>
      <c r="M30" s="26"/>
      <c r="N30" s="25"/>
      <c r="O30" s="25"/>
      <c r="P30" s="25"/>
      <c r="Q30" s="25"/>
    </row>
    <row r="31" spans="1:17" x14ac:dyDescent="0.35">
      <c r="A31" s="25"/>
      <c r="B31" s="25"/>
      <c r="C31" s="25"/>
      <c r="D31" s="26"/>
      <c r="E31" s="25"/>
      <c r="F31" s="25"/>
      <c r="G31" s="25"/>
      <c r="H31" s="25"/>
      <c r="I31" s="26"/>
      <c r="J31" s="26"/>
      <c r="K31" s="25"/>
      <c r="L31" s="25"/>
      <c r="M31" s="26"/>
      <c r="N31" s="25"/>
      <c r="O31" s="25"/>
      <c r="P31" s="25"/>
      <c r="Q31" s="25"/>
    </row>
    <row r="32" spans="1:17" x14ac:dyDescent="0.35">
      <c r="A32" s="25"/>
      <c r="B32" s="25"/>
      <c r="C32" s="25"/>
      <c r="D32" s="26"/>
      <c r="E32" s="25"/>
      <c r="F32" s="25"/>
      <c r="G32" s="25"/>
      <c r="H32" s="25"/>
      <c r="I32" s="26"/>
      <c r="J32" s="26"/>
      <c r="K32" s="25"/>
      <c r="L32" s="25"/>
      <c r="M32" s="26"/>
      <c r="N32" s="25"/>
      <c r="O32" s="25"/>
      <c r="P32" s="25"/>
      <c r="Q32" s="25"/>
    </row>
    <row r="33" spans="1:17" x14ac:dyDescent="0.35">
      <c r="A33" s="25"/>
      <c r="B33" s="25"/>
      <c r="C33" s="25"/>
      <c r="D33" s="26"/>
      <c r="E33" s="25"/>
      <c r="F33" s="25"/>
      <c r="G33" s="25"/>
      <c r="H33" s="25"/>
      <c r="I33" s="26"/>
      <c r="J33" s="26"/>
      <c r="K33" s="25"/>
      <c r="L33" s="25"/>
      <c r="M33" s="26"/>
      <c r="N33" s="25"/>
      <c r="O33" s="25"/>
      <c r="P33" s="25"/>
      <c r="Q33" s="25"/>
    </row>
    <row r="34" spans="1:17" x14ac:dyDescent="0.35">
      <c r="A34" s="25"/>
      <c r="B34" s="25"/>
      <c r="C34" s="25"/>
      <c r="D34" s="26"/>
      <c r="E34" s="25"/>
      <c r="F34" s="25"/>
      <c r="G34" s="25"/>
      <c r="H34" s="25"/>
      <c r="I34" s="26"/>
      <c r="J34" s="26"/>
      <c r="K34" s="25"/>
      <c r="L34" s="25"/>
      <c r="M34" s="26"/>
      <c r="N34" s="25"/>
      <c r="O34" s="25"/>
      <c r="P34" s="25"/>
      <c r="Q34" s="25"/>
    </row>
    <row r="35" spans="1:17" x14ac:dyDescent="0.35">
      <c r="A35" s="25"/>
      <c r="B35" s="25"/>
      <c r="C35" s="25"/>
      <c r="D35" s="26"/>
      <c r="E35" s="25"/>
      <c r="F35" s="25"/>
      <c r="G35" s="25"/>
      <c r="H35" s="25"/>
      <c r="I35" s="26"/>
      <c r="J35" s="26"/>
      <c r="K35" s="25"/>
      <c r="L35" s="25"/>
      <c r="M35" s="26"/>
      <c r="N35" s="25"/>
      <c r="O35" s="25"/>
      <c r="P35" s="25"/>
      <c r="Q35" s="25"/>
    </row>
    <row r="36" spans="1:17" x14ac:dyDescent="0.35">
      <c r="A36" s="25"/>
      <c r="B36" s="25"/>
      <c r="C36" s="25"/>
      <c r="D36" s="26"/>
      <c r="E36" s="25"/>
      <c r="F36" s="25"/>
      <c r="G36" s="25"/>
      <c r="H36" s="25"/>
      <c r="I36" s="26"/>
      <c r="J36" s="26"/>
      <c r="K36" s="25"/>
      <c r="L36" s="25"/>
      <c r="M36" s="26"/>
      <c r="N36" s="25"/>
      <c r="O36" s="25"/>
      <c r="P36" s="25"/>
      <c r="Q36" s="25"/>
    </row>
    <row r="37" spans="1:17" x14ac:dyDescent="0.35">
      <c r="A37" s="25"/>
      <c r="B37" s="25"/>
      <c r="C37" s="25"/>
      <c r="D37" s="26"/>
      <c r="E37" s="25"/>
      <c r="F37" s="25"/>
      <c r="G37" s="25"/>
      <c r="H37" s="25"/>
      <c r="I37" s="26"/>
      <c r="J37" s="26"/>
      <c r="K37" s="25"/>
      <c r="L37" s="25"/>
      <c r="M37" s="26"/>
      <c r="N37" s="25"/>
      <c r="O37" s="25"/>
      <c r="P37" s="25"/>
      <c r="Q37" s="25"/>
    </row>
    <row r="38" spans="1:17" x14ac:dyDescent="0.35">
      <c r="A38" s="25"/>
      <c r="B38" s="25"/>
      <c r="C38" s="25"/>
      <c r="D38" s="26"/>
      <c r="E38" s="25"/>
      <c r="F38" s="25"/>
      <c r="G38" s="25"/>
      <c r="H38" s="25"/>
      <c r="I38" s="26"/>
      <c r="J38" s="26"/>
      <c r="K38" s="25"/>
      <c r="L38" s="25"/>
      <c r="M38" s="26"/>
      <c r="N38" s="25"/>
      <c r="O38" s="25"/>
      <c r="P38" s="25"/>
      <c r="Q38" s="25"/>
    </row>
    <row r="39" spans="1:17" x14ac:dyDescent="0.35">
      <c r="A39" s="25"/>
      <c r="B39" s="25"/>
      <c r="C39" s="25"/>
      <c r="D39" s="26"/>
      <c r="E39" s="25"/>
      <c r="F39" s="25"/>
      <c r="G39" s="25"/>
      <c r="H39" s="25"/>
      <c r="I39" s="26"/>
      <c r="J39" s="26"/>
      <c r="K39" s="25"/>
      <c r="L39" s="25"/>
      <c r="M39" s="26"/>
      <c r="N39" s="25"/>
      <c r="O39" s="25"/>
      <c r="P39" s="25"/>
      <c r="Q39" s="25"/>
    </row>
    <row r="40" spans="1:17" x14ac:dyDescent="0.35">
      <c r="A40" s="25"/>
      <c r="B40" s="25"/>
      <c r="C40" s="25"/>
      <c r="D40" s="26"/>
      <c r="E40" s="25"/>
      <c r="F40" s="25"/>
      <c r="G40" s="25"/>
      <c r="H40" s="25"/>
      <c r="I40" s="26"/>
      <c r="J40" s="26"/>
      <c r="K40" s="25"/>
      <c r="L40" s="25"/>
      <c r="M40" s="26"/>
      <c r="N40" s="25"/>
      <c r="O40" s="25"/>
      <c r="P40" s="25"/>
      <c r="Q40" s="25"/>
    </row>
    <row r="41" spans="1:17" x14ac:dyDescent="0.35">
      <c r="A41" s="25"/>
      <c r="B41" s="25"/>
      <c r="C41" s="25"/>
      <c r="D41" s="26"/>
      <c r="E41" s="25"/>
      <c r="F41" s="25"/>
      <c r="G41" s="25"/>
      <c r="H41" s="25"/>
      <c r="I41" s="26"/>
      <c r="J41" s="26"/>
      <c r="K41" s="25"/>
      <c r="L41" s="25"/>
      <c r="M41" s="26"/>
      <c r="N41" s="25"/>
      <c r="O41" s="25"/>
      <c r="P41" s="25"/>
      <c r="Q41" s="25"/>
    </row>
    <row r="42" spans="1:17" x14ac:dyDescent="0.35">
      <c r="A42" s="25"/>
      <c r="B42" s="25"/>
      <c r="C42" s="25"/>
      <c r="D42" s="26"/>
      <c r="E42" s="25"/>
      <c r="F42" s="25"/>
      <c r="G42" s="25"/>
      <c r="H42" s="25"/>
      <c r="I42" s="26"/>
      <c r="J42" s="26"/>
      <c r="K42" s="25"/>
      <c r="L42" s="25"/>
      <c r="M42" s="26"/>
      <c r="N42" s="25"/>
      <c r="O42" s="25"/>
      <c r="P42" s="25"/>
      <c r="Q42" s="25"/>
    </row>
    <row r="43" spans="1:17" x14ac:dyDescent="0.35">
      <c r="A43" s="25"/>
      <c r="B43" s="25"/>
      <c r="C43" s="25"/>
      <c r="D43" s="26"/>
      <c r="E43" s="25"/>
      <c r="F43" s="25"/>
      <c r="G43" s="25"/>
      <c r="H43" s="25"/>
      <c r="I43" s="26"/>
      <c r="J43" s="26"/>
      <c r="K43" s="25"/>
      <c r="L43" s="25"/>
      <c r="M43" s="26"/>
      <c r="N43" s="25"/>
      <c r="O43" s="25"/>
      <c r="P43" s="25"/>
      <c r="Q43" s="25"/>
    </row>
    <row r="44" spans="1:17" x14ac:dyDescent="0.35">
      <c r="A44" s="25"/>
      <c r="B44" s="25"/>
      <c r="C44" s="25"/>
      <c r="D44" s="26"/>
      <c r="E44" s="25"/>
      <c r="F44" s="25"/>
      <c r="G44" s="25"/>
      <c r="H44" s="25"/>
      <c r="I44" s="26"/>
      <c r="J44" s="26"/>
      <c r="K44" s="25"/>
      <c r="L44" s="25"/>
      <c r="M44" s="26"/>
      <c r="N44" s="25"/>
      <c r="O44" s="25"/>
      <c r="P44" s="25"/>
      <c r="Q44" s="25"/>
    </row>
    <row r="45" spans="1:17" x14ac:dyDescent="0.35">
      <c r="A45" s="25"/>
      <c r="B45" s="25"/>
      <c r="C45" s="25"/>
      <c r="D45" s="26"/>
      <c r="E45" s="25"/>
      <c r="F45" s="25"/>
      <c r="G45" s="25"/>
      <c r="H45" s="25"/>
      <c r="I45" s="26"/>
      <c r="J45" s="26"/>
      <c r="K45" s="25"/>
      <c r="L45" s="25"/>
      <c r="M45" s="26"/>
      <c r="N45" s="25"/>
      <c r="O45" s="25"/>
      <c r="P45" s="25"/>
      <c r="Q45" s="25"/>
    </row>
    <row r="46" spans="1:17" x14ac:dyDescent="0.35">
      <c r="A46" s="25"/>
      <c r="B46" s="25"/>
      <c r="C46" s="25"/>
      <c r="D46" s="26"/>
      <c r="E46" s="25"/>
      <c r="F46" s="25"/>
      <c r="G46" s="25"/>
      <c r="H46" s="25"/>
      <c r="I46" s="26"/>
      <c r="J46" s="26"/>
      <c r="K46" s="25"/>
      <c r="L46" s="25"/>
      <c r="M46" s="26"/>
      <c r="N46" s="25"/>
      <c r="O46" s="25"/>
      <c r="P46" s="25"/>
      <c r="Q46" s="25"/>
    </row>
    <row r="47" spans="1:17" x14ac:dyDescent="0.35">
      <c r="A47" s="25"/>
      <c r="B47" s="25"/>
      <c r="C47" s="25"/>
      <c r="D47" s="26"/>
      <c r="E47" s="25"/>
      <c r="F47" s="25"/>
      <c r="G47" s="25"/>
      <c r="H47" s="25"/>
      <c r="I47" s="26"/>
      <c r="J47" s="26"/>
      <c r="K47" s="25"/>
      <c r="L47" s="25"/>
      <c r="M47" s="26"/>
      <c r="N47" s="25"/>
      <c r="O47" s="25"/>
      <c r="P47" s="25"/>
      <c r="Q47" s="25"/>
    </row>
    <row r="48" spans="1:17" x14ac:dyDescent="0.35">
      <c r="A48" s="25"/>
      <c r="B48" s="25"/>
      <c r="C48" s="25"/>
      <c r="D48" s="26"/>
      <c r="E48" s="25"/>
      <c r="F48" s="25"/>
      <c r="G48" s="25"/>
      <c r="H48" s="25"/>
      <c r="I48" s="26"/>
      <c r="J48" s="26"/>
      <c r="K48" s="25"/>
      <c r="L48" s="25"/>
      <c r="M48" s="26"/>
      <c r="N48" s="25"/>
      <c r="O48" s="25"/>
      <c r="P48" s="25"/>
      <c r="Q48" s="25"/>
    </row>
    <row r="49" spans="1:17" x14ac:dyDescent="0.35">
      <c r="A49" s="25"/>
      <c r="B49" s="25"/>
      <c r="C49" s="25"/>
      <c r="D49" s="26"/>
      <c r="E49" s="25"/>
      <c r="F49" s="25"/>
      <c r="G49" s="25"/>
      <c r="H49" s="25"/>
      <c r="I49" s="26"/>
      <c r="J49" s="26"/>
      <c r="K49" s="25"/>
      <c r="L49" s="25"/>
      <c r="M49" s="26"/>
      <c r="N49" s="25"/>
      <c r="O49" s="25"/>
      <c r="P49" s="25"/>
      <c r="Q49" s="25"/>
    </row>
    <row r="50" spans="1:17" x14ac:dyDescent="0.35">
      <c r="A50" s="25"/>
      <c r="B50" s="25"/>
      <c r="C50" s="25"/>
      <c r="D50" s="26"/>
      <c r="E50" s="25"/>
      <c r="F50" s="25"/>
      <c r="G50" s="25"/>
      <c r="H50" s="25"/>
      <c r="I50" s="26"/>
      <c r="J50" s="26"/>
      <c r="K50" s="25"/>
      <c r="L50" s="25"/>
      <c r="M50" s="26"/>
      <c r="N50" s="25"/>
      <c r="O50" s="25"/>
      <c r="P50" s="25"/>
      <c r="Q50" s="25"/>
    </row>
    <row r="51" spans="1:17" x14ac:dyDescent="0.35">
      <c r="A51" s="25"/>
      <c r="B51" s="25"/>
      <c r="C51" s="25"/>
      <c r="D51" s="26"/>
      <c r="E51" s="25"/>
      <c r="F51" s="25"/>
      <c r="G51" s="25"/>
      <c r="H51" s="25"/>
      <c r="I51" s="26"/>
      <c r="J51" s="26"/>
      <c r="K51" s="25"/>
      <c r="L51" s="25"/>
      <c r="M51" s="26"/>
      <c r="N51" s="25"/>
      <c r="O51" s="25"/>
      <c r="P51" s="25"/>
      <c r="Q51" s="25"/>
    </row>
    <row r="52" spans="1:17" x14ac:dyDescent="0.35">
      <c r="A52" s="25"/>
      <c r="B52" s="25"/>
      <c r="C52" s="25"/>
      <c r="D52" s="26"/>
      <c r="E52" s="25"/>
      <c r="F52" s="25"/>
      <c r="G52" s="25"/>
      <c r="H52" s="25"/>
      <c r="I52" s="26"/>
      <c r="J52" s="26"/>
      <c r="K52" s="25"/>
      <c r="L52" s="25"/>
      <c r="M52" s="26"/>
      <c r="N52" s="25"/>
      <c r="O52" s="25"/>
      <c r="P52" s="25"/>
      <c r="Q52" s="25"/>
    </row>
    <row r="53" spans="1:17" x14ac:dyDescent="0.35">
      <c r="A53" s="25"/>
      <c r="B53" s="25"/>
      <c r="C53" s="25"/>
      <c r="D53" s="26"/>
      <c r="E53" s="25"/>
      <c r="F53" s="25"/>
      <c r="G53" s="25"/>
      <c r="H53" s="25"/>
      <c r="I53" s="26"/>
      <c r="J53" s="26"/>
      <c r="K53" s="25"/>
      <c r="L53" s="25"/>
      <c r="M53" s="26"/>
      <c r="N53" s="25"/>
      <c r="O53" s="25"/>
      <c r="P53" s="25"/>
      <c r="Q53" s="25"/>
    </row>
    <row r="54" spans="1:17" x14ac:dyDescent="0.35">
      <c r="A54" s="25"/>
      <c r="B54" s="25"/>
      <c r="C54" s="25"/>
      <c r="D54" s="26"/>
      <c r="E54" s="25"/>
      <c r="F54" s="25"/>
      <c r="G54" s="25"/>
      <c r="H54" s="25"/>
      <c r="I54" s="26"/>
      <c r="J54" s="26"/>
      <c r="K54" s="25"/>
      <c r="L54" s="25"/>
      <c r="M54" s="26"/>
      <c r="N54" s="25"/>
      <c r="O54" s="25"/>
      <c r="P54" s="25"/>
      <c r="Q54" s="25"/>
    </row>
    <row r="55" spans="1:17" x14ac:dyDescent="0.35">
      <c r="A55" s="25"/>
      <c r="B55" s="25"/>
      <c r="C55" s="25"/>
      <c r="D55" s="26"/>
      <c r="E55" s="25"/>
      <c r="F55" s="25"/>
      <c r="G55" s="25"/>
      <c r="H55" s="25"/>
      <c r="I55" s="26"/>
      <c r="J55" s="26"/>
      <c r="K55" s="25"/>
      <c r="L55" s="25"/>
      <c r="M55" s="26"/>
      <c r="N55" s="25"/>
      <c r="O55" s="25"/>
      <c r="P55" s="25"/>
      <c r="Q55" s="25"/>
    </row>
    <row r="56" spans="1:17" x14ac:dyDescent="0.35">
      <c r="A56" s="25"/>
      <c r="B56" s="25"/>
      <c r="C56" s="25"/>
      <c r="D56" s="26"/>
      <c r="E56" s="25"/>
      <c r="F56" s="25"/>
      <c r="G56" s="25"/>
      <c r="H56" s="25"/>
      <c r="I56" s="26"/>
      <c r="J56" s="26"/>
      <c r="K56" s="25"/>
      <c r="L56" s="25"/>
      <c r="M56" s="26"/>
      <c r="N56" s="25"/>
      <c r="O56" s="25"/>
      <c r="P56" s="25"/>
      <c r="Q56" s="25"/>
    </row>
    <row r="57" spans="1:17" x14ac:dyDescent="0.35">
      <c r="A57" s="25"/>
      <c r="B57" s="25"/>
      <c r="C57" s="25"/>
      <c r="D57" s="26"/>
      <c r="E57" s="25"/>
      <c r="F57" s="25"/>
      <c r="G57" s="25"/>
      <c r="H57" s="25"/>
      <c r="I57" s="26"/>
      <c r="J57" s="26"/>
      <c r="K57" s="25"/>
      <c r="L57" s="25"/>
      <c r="M57" s="26"/>
      <c r="N57" s="25"/>
      <c r="O57" s="25"/>
      <c r="P57" s="25"/>
      <c r="Q57" s="25"/>
    </row>
    <row r="58" spans="1:17" x14ac:dyDescent="0.35">
      <c r="A58" s="25"/>
      <c r="B58" s="25"/>
      <c r="C58" s="25"/>
      <c r="D58" s="26"/>
      <c r="E58" s="25"/>
      <c r="F58" s="25"/>
      <c r="G58" s="25"/>
      <c r="H58" s="25"/>
      <c r="I58" s="26"/>
      <c r="J58" s="26"/>
      <c r="K58" s="25"/>
      <c r="L58" s="25"/>
      <c r="M58" s="26"/>
      <c r="N58" s="25"/>
      <c r="O58" s="25"/>
      <c r="P58" s="25"/>
      <c r="Q58" s="25"/>
    </row>
    <row r="59" spans="1:17" x14ac:dyDescent="0.35">
      <c r="A59" s="25"/>
      <c r="B59" s="25"/>
      <c r="C59" s="25"/>
      <c r="D59" s="26"/>
      <c r="E59" s="25"/>
      <c r="F59" s="25"/>
      <c r="G59" s="25"/>
      <c r="H59" s="25"/>
      <c r="I59" s="26"/>
      <c r="J59" s="26"/>
      <c r="K59" s="25"/>
      <c r="L59" s="25"/>
      <c r="M59" s="26"/>
      <c r="N59" s="25"/>
      <c r="O59" s="25"/>
      <c r="P59" s="25"/>
      <c r="Q59" s="25"/>
    </row>
    <row r="60" spans="1:17" x14ac:dyDescent="0.35">
      <c r="A60" s="25"/>
      <c r="B60" s="25"/>
      <c r="C60" s="25"/>
      <c r="D60" s="26"/>
      <c r="E60" s="25"/>
      <c r="F60" s="25"/>
      <c r="G60" s="25"/>
      <c r="H60" s="25"/>
      <c r="I60" s="26"/>
      <c r="J60" s="26"/>
      <c r="K60" s="25"/>
      <c r="L60" s="25"/>
      <c r="M60" s="26"/>
      <c r="N60" s="25"/>
      <c r="O60" s="25"/>
      <c r="P60" s="25"/>
      <c r="Q60" s="25"/>
    </row>
    <row r="61" spans="1:17" x14ac:dyDescent="0.35">
      <c r="A61" s="25"/>
      <c r="B61" s="25"/>
      <c r="C61" s="25"/>
      <c r="D61" s="26"/>
      <c r="E61" s="25"/>
      <c r="F61" s="25"/>
      <c r="G61" s="25"/>
      <c r="H61" s="25"/>
      <c r="I61" s="26"/>
      <c r="J61" s="26"/>
      <c r="K61" s="25"/>
      <c r="L61" s="25"/>
      <c r="M61" s="26"/>
      <c r="N61" s="25"/>
      <c r="O61" s="25"/>
      <c r="P61" s="25"/>
      <c r="Q61" s="25"/>
    </row>
    <row r="62" spans="1:17" x14ac:dyDescent="0.35">
      <c r="A62" s="25"/>
      <c r="B62" s="25"/>
      <c r="C62" s="25"/>
      <c r="D62" s="26"/>
      <c r="E62" s="25"/>
      <c r="F62" s="25"/>
      <c r="G62" s="25"/>
      <c r="H62" s="25"/>
      <c r="I62" s="26"/>
      <c r="J62" s="26"/>
      <c r="K62" s="25"/>
      <c r="L62" s="25"/>
      <c r="M62" s="26"/>
      <c r="N62" s="25"/>
      <c r="O62" s="25"/>
      <c r="P62" s="25"/>
      <c r="Q62" s="25"/>
    </row>
    <row r="63" spans="1:17" x14ac:dyDescent="0.35">
      <c r="A63" s="25"/>
      <c r="B63" s="25"/>
      <c r="C63" s="25"/>
      <c r="D63" s="26"/>
      <c r="E63" s="25"/>
      <c r="F63" s="25"/>
      <c r="G63" s="25"/>
      <c r="H63" s="25"/>
      <c r="I63" s="26"/>
      <c r="J63" s="26"/>
      <c r="K63" s="25"/>
      <c r="L63" s="25"/>
      <c r="M63" s="26"/>
      <c r="N63" s="25"/>
      <c r="O63" s="25"/>
      <c r="P63" s="25"/>
      <c r="Q63" s="25"/>
    </row>
    <row r="64" spans="1:17" x14ac:dyDescent="0.35">
      <c r="A64" s="25"/>
      <c r="B64" s="25"/>
      <c r="C64" s="25"/>
      <c r="D64" s="26"/>
      <c r="E64" s="25"/>
      <c r="F64" s="25"/>
      <c r="G64" s="25"/>
      <c r="H64" s="25"/>
      <c r="I64" s="26"/>
      <c r="J64" s="26"/>
      <c r="K64" s="25"/>
      <c r="L64" s="25"/>
      <c r="M64" s="26"/>
      <c r="N64" s="25"/>
      <c r="O64" s="25"/>
      <c r="P64" s="25"/>
      <c r="Q64" s="25"/>
    </row>
    <row r="65" spans="1:17" x14ac:dyDescent="0.35">
      <c r="A65" s="25"/>
      <c r="B65" s="25"/>
      <c r="C65" s="25"/>
      <c r="D65" s="26"/>
      <c r="E65" s="25"/>
      <c r="F65" s="25"/>
      <c r="G65" s="25"/>
      <c r="H65" s="25"/>
      <c r="I65" s="26"/>
      <c r="J65" s="26"/>
      <c r="K65" s="25"/>
      <c r="L65" s="25"/>
      <c r="M65" s="26"/>
      <c r="N65" s="25"/>
      <c r="O65" s="25"/>
      <c r="P65" s="25"/>
      <c r="Q65" s="25"/>
    </row>
    <row r="66" spans="1:17" x14ac:dyDescent="0.35">
      <c r="A66" s="25"/>
      <c r="B66" s="25"/>
      <c r="C66" s="25"/>
      <c r="D66" s="26"/>
      <c r="E66" s="25"/>
      <c r="F66" s="25"/>
      <c r="G66" s="25"/>
      <c r="H66" s="25"/>
      <c r="I66" s="26"/>
      <c r="J66" s="26"/>
      <c r="K66" s="25"/>
      <c r="L66" s="25"/>
      <c r="M66" s="26"/>
      <c r="N66" s="25"/>
      <c r="O66" s="25"/>
      <c r="P66" s="25"/>
      <c r="Q66" s="25"/>
    </row>
    <row r="67" spans="1:17" x14ac:dyDescent="0.35">
      <c r="A67" s="25"/>
      <c r="B67" s="25"/>
      <c r="C67" s="25"/>
      <c r="D67" s="26"/>
      <c r="E67" s="25"/>
      <c r="F67" s="25"/>
      <c r="G67" s="25"/>
      <c r="H67" s="25"/>
      <c r="I67" s="26"/>
      <c r="J67" s="26"/>
      <c r="K67" s="25"/>
      <c r="L67" s="25"/>
      <c r="M67" s="26"/>
      <c r="N67" s="25"/>
      <c r="O67" s="25"/>
      <c r="P67" s="25"/>
      <c r="Q67" s="25"/>
    </row>
    <row r="68" spans="1:17" x14ac:dyDescent="0.35">
      <c r="A68" s="25"/>
      <c r="B68" s="25"/>
      <c r="C68" s="25"/>
      <c r="D68" s="26"/>
      <c r="E68" s="25"/>
      <c r="F68" s="25"/>
      <c r="G68" s="25"/>
      <c r="H68" s="25"/>
      <c r="I68" s="26"/>
      <c r="J68" s="26"/>
      <c r="K68" s="25"/>
      <c r="L68" s="25"/>
      <c r="M68" s="26"/>
      <c r="N68" s="25"/>
      <c r="O68" s="25"/>
      <c r="P68" s="25"/>
      <c r="Q68" s="25"/>
    </row>
    <row r="69" spans="1:17" x14ac:dyDescent="0.35">
      <c r="A69" s="25"/>
      <c r="B69" s="25"/>
      <c r="C69" s="25"/>
      <c r="D69" s="26"/>
      <c r="E69" s="25"/>
      <c r="F69" s="25"/>
      <c r="G69" s="25"/>
      <c r="H69" s="25"/>
      <c r="I69" s="26"/>
      <c r="J69" s="26"/>
      <c r="K69" s="25"/>
      <c r="L69" s="25"/>
      <c r="M69" s="26"/>
      <c r="N69" s="25"/>
      <c r="O69" s="25"/>
      <c r="P69" s="25"/>
      <c r="Q69" s="25"/>
    </row>
    <row r="70" spans="1:17" x14ac:dyDescent="0.35">
      <c r="A70" s="25"/>
      <c r="B70" s="25"/>
      <c r="C70" s="25"/>
      <c r="D70" s="26"/>
      <c r="E70" s="25"/>
      <c r="F70" s="25"/>
      <c r="G70" s="25"/>
      <c r="H70" s="25"/>
      <c r="I70" s="26"/>
      <c r="J70" s="26"/>
      <c r="K70" s="25"/>
      <c r="L70" s="25"/>
      <c r="M70" s="26"/>
      <c r="N70" s="25"/>
      <c r="O70" s="25"/>
      <c r="P70" s="25"/>
      <c r="Q70" s="25"/>
    </row>
    <row r="71" spans="1:17" x14ac:dyDescent="0.35">
      <c r="A71" s="25"/>
      <c r="B71" s="25"/>
      <c r="C71" s="25"/>
      <c r="D71" s="26"/>
      <c r="E71" s="25"/>
      <c r="F71" s="25"/>
      <c r="G71" s="25"/>
      <c r="H71" s="25"/>
      <c r="I71" s="26"/>
      <c r="J71" s="26"/>
      <c r="K71" s="25"/>
      <c r="L71" s="25"/>
      <c r="M71" s="26"/>
      <c r="N71" s="25"/>
      <c r="O71" s="25"/>
      <c r="P71" s="25"/>
      <c r="Q71" s="25"/>
    </row>
    <row r="72" spans="1:17" x14ac:dyDescent="0.35">
      <c r="A72" s="25"/>
      <c r="B72" s="25"/>
      <c r="C72" s="25"/>
      <c r="D72" s="26"/>
      <c r="E72" s="25"/>
      <c r="F72" s="25"/>
      <c r="G72" s="25"/>
      <c r="H72" s="25"/>
      <c r="I72" s="26"/>
      <c r="J72" s="26"/>
      <c r="K72" s="25"/>
      <c r="L72" s="25"/>
      <c r="M72" s="26"/>
      <c r="N72" s="25"/>
      <c r="O72" s="25"/>
      <c r="P72" s="25"/>
      <c r="Q72" s="25"/>
    </row>
    <row r="73" spans="1:17" x14ac:dyDescent="0.35">
      <c r="A73" s="25"/>
      <c r="B73" s="25"/>
      <c r="C73" s="25"/>
      <c r="D73" s="26"/>
      <c r="E73" s="25"/>
      <c r="F73" s="25"/>
      <c r="G73" s="25"/>
      <c r="H73" s="25"/>
      <c r="I73" s="26"/>
      <c r="J73" s="26"/>
      <c r="K73" s="25"/>
      <c r="L73" s="25"/>
      <c r="M73" s="26"/>
      <c r="N73" s="25"/>
      <c r="O73" s="25"/>
      <c r="P73" s="25"/>
      <c r="Q73" s="25"/>
    </row>
    <row r="74" spans="1:17" x14ac:dyDescent="0.35">
      <c r="A74" s="25"/>
      <c r="B74" s="25"/>
      <c r="C74" s="25"/>
      <c r="D74" s="26"/>
      <c r="E74" s="25"/>
      <c r="F74" s="25"/>
      <c r="G74" s="25"/>
      <c r="H74" s="25"/>
      <c r="I74" s="26"/>
      <c r="J74" s="26"/>
      <c r="K74" s="25"/>
      <c r="L74" s="25"/>
      <c r="M74" s="26"/>
      <c r="N74" s="25"/>
      <c r="O74" s="25"/>
      <c r="P74" s="25"/>
      <c r="Q74" s="25"/>
    </row>
    <row r="75" spans="1:17" x14ac:dyDescent="0.35">
      <c r="A75" s="25"/>
      <c r="B75" s="25"/>
      <c r="C75" s="25"/>
      <c r="D75" s="26"/>
      <c r="E75" s="25"/>
      <c r="F75" s="25"/>
      <c r="G75" s="25"/>
      <c r="H75" s="25"/>
      <c r="I75" s="26"/>
      <c r="J75" s="26"/>
      <c r="K75" s="25"/>
      <c r="L75" s="25"/>
      <c r="M75" s="26"/>
      <c r="N75" s="25"/>
      <c r="O75" s="25"/>
      <c r="P75" s="25"/>
      <c r="Q75" s="25"/>
    </row>
    <row r="76" spans="1:17" x14ac:dyDescent="0.35">
      <c r="A76" s="25"/>
      <c r="B76" s="25"/>
      <c r="C76" s="25"/>
      <c r="D76" s="26"/>
      <c r="E76" s="25"/>
      <c r="F76" s="25"/>
      <c r="G76" s="25"/>
      <c r="H76" s="25"/>
      <c r="I76" s="26"/>
      <c r="J76" s="26"/>
      <c r="K76" s="25"/>
      <c r="L76" s="25"/>
      <c r="M76" s="26"/>
      <c r="N76" s="25"/>
      <c r="O76" s="25"/>
      <c r="P76" s="25"/>
      <c r="Q76" s="25"/>
    </row>
    <row r="77" spans="1:17" x14ac:dyDescent="0.35">
      <c r="A77" s="25"/>
      <c r="B77" s="25"/>
      <c r="C77" s="25"/>
      <c r="D77" s="26"/>
      <c r="E77" s="25"/>
      <c r="F77" s="25"/>
      <c r="G77" s="25"/>
      <c r="H77" s="25"/>
      <c r="I77" s="26"/>
      <c r="J77" s="26"/>
      <c r="K77" s="25"/>
      <c r="L77" s="25"/>
      <c r="M77" s="26"/>
      <c r="N77" s="25"/>
      <c r="O77" s="25"/>
      <c r="P77" s="25"/>
      <c r="Q77" s="25"/>
    </row>
    <row r="78" spans="1:17" x14ac:dyDescent="0.35">
      <c r="A78" s="25"/>
      <c r="B78" s="25"/>
      <c r="C78" s="25"/>
      <c r="D78" s="26"/>
      <c r="E78" s="25"/>
      <c r="F78" s="25"/>
      <c r="G78" s="25"/>
      <c r="H78" s="25"/>
      <c r="I78" s="26"/>
      <c r="J78" s="26"/>
      <c r="K78" s="25"/>
      <c r="L78" s="25"/>
      <c r="M78" s="26"/>
      <c r="N78" s="25"/>
      <c r="O78" s="25"/>
      <c r="P78" s="25"/>
      <c r="Q78" s="25"/>
    </row>
    <row r="79" spans="1:17" x14ac:dyDescent="0.35">
      <c r="A79" s="25"/>
      <c r="B79" s="25"/>
      <c r="C79" s="25"/>
      <c r="D79" s="26"/>
      <c r="E79" s="25"/>
      <c r="F79" s="25"/>
      <c r="G79" s="25"/>
      <c r="H79" s="25"/>
      <c r="I79" s="26"/>
      <c r="J79" s="26"/>
      <c r="K79" s="25"/>
      <c r="L79" s="25"/>
      <c r="M79" s="26"/>
      <c r="N79" s="25"/>
      <c r="O79" s="25"/>
      <c r="P79" s="25"/>
      <c r="Q79" s="25"/>
    </row>
    <row r="80" spans="1:17" x14ac:dyDescent="0.35">
      <c r="A80" s="25"/>
      <c r="B80" s="25"/>
      <c r="C80" s="25"/>
      <c r="D80" s="26"/>
      <c r="E80" s="25"/>
      <c r="F80" s="25"/>
      <c r="G80" s="25"/>
      <c r="H80" s="25"/>
      <c r="I80" s="26"/>
      <c r="J80" s="26"/>
      <c r="K80" s="25"/>
      <c r="L80" s="25"/>
      <c r="M80" s="26"/>
      <c r="N80" s="25"/>
      <c r="O80" s="25"/>
      <c r="P80" s="25"/>
      <c r="Q80" s="25"/>
    </row>
    <row r="81" spans="1:17" x14ac:dyDescent="0.35">
      <c r="A81" s="25"/>
      <c r="B81" s="25"/>
      <c r="C81" s="25"/>
      <c r="D81" s="26"/>
      <c r="E81" s="25"/>
      <c r="F81" s="25"/>
      <c r="G81" s="25"/>
      <c r="H81" s="25"/>
      <c r="I81" s="26"/>
      <c r="J81" s="26"/>
      <c r="K81" s="25"/>
      <c r="L81" s="25"/>
      <c r="M81" s="26"/>
      <c r="N81" s="25"/>
      <c r="O81" s="25"/>
      <c r="P81" s="25"/>
      <c r="Q81" s="25"/>
    </row>
    <row r="82" spans="1:17" x14ac:dyDescent="0.35">
      <c r="A82" s="25"/>
      <c r="B82" s="25"/>
      <c r="C82" s="25"/>
      <c r="D82" s="26"/>
      <c r="E82" s="25"/>
      <c r="F82" s="25"/>
      <c r="G82" s="25"/>
      <c r="H82" s="25"/>
      <c r="I82" s="26"/>
      <c r="J82" s="26"/>
      <c r="K82" s="25"/>
      <c r="L82" s="25"/>
      <c r="M82" s="26"/>
      <c r="N82" s="25"/>
      <c r="O82" s="25"/>
      <c r="P82" s="25"/>
      <c r="Q82" s="25"/>
    </row>
    <row r="83" spans="1:17" x14ac:dyDescent="0.35">
      <c r="A83" s="25"/>
      <c r="B83" s="25"/>
      <c r="C83" s="25"/>
      <c r="D83" s="26"/>
      <c r="E83" s="25"/>
      <c r="F83" s="25"/>
      <c r="G83" s="25"/>
      <c r="H83" s="25"/>
      <c r="I83" s="26"/>
      <c r="J83" s="26"/>
      <c r="K83" s="25"/>
      <c r="L83" s="25"/>
      <c r="M83" s="26"/>
      <c r="N83" s="25"/>
      <c r="O83" s="25"/>
      <c r="P83" s="25"/>
      <c r="Q83" s="25"/>
    </row>
    <row r="84" spans="1:17" x14ac:dyDescent="0.35">
      <c r="A84" s="25"/>
      <c r="B84" s="25"/>
      <c r="C84" s="25"/>
      <c r="D84" s="26"/>
      <c r="E84" s="25"/>
      <c r="F84" s="25"/>
      <c r="G84" s="25"/>
      <c r="H84" s="25"/>
      <c r="I84" s="26"/>
      <c r="J84" s="26"/>
      <c r="K84" s="25"/>
      <c r="L84" s="25"/>
      <c r="M84" s="26"/>
      <c r="N84" s="25"/>
      <c r="O84" s="25"/>
      <c r="P84" s="25"/>
      <c r="Q84" s="25"/>
    </row>
    <row r="85" spans="1:17" x14ac:dyDescent="0.35">
      <c r="A85" s="25"/>
      <c r="B85" s="25"/>
      <c r="C85" s="25"/>
      <c r="D85" s="26"/>
      <c r="E85" s="25"/>
      <c r="F85" s="25"/>
      <c r="G85" s="25"/>
      <c r="H85" s="25"/>
      <c r="I85" s="26"/>
      <c r="J85" s="26"/>
      <c r="K85" s="25"/>
      <c r="L85" s="25"/>
      <c r="M85" s="26"/>
      <c r="N85" s="25"/>
      <c r="O85" s="25"/>
      <c r="P85" s="25"/>
      <c r="Q85" s="25"/>
    </row>
    <row r="86" spans="1:17" x14ac:dyDescent="0.35">
      <c r="A86" s="25"/>
      <c r="B86" s="25"/>
      <c r="C86" s="25"/>
      <c r="D86" s="26"/>
      <c r="E86" s="25"/>
      <c r="F86" s="25"/>
      <c r="G86" s="25"/>
      <c r="H86" s="25"/>
      <c r="I86" s="26"/>
      <c r="J86" s="26"/>
      <c r="K86" s="25"/>
      <c r="L86" s="25"/>
      <c r="M86" s="26"/>
      <c r="N86" s="25"/>
      <c r="O86" s="25"/>
      <c r="P86" s="25"/>
      <c r="Q86" s="25"/>
    </row>
    <row r="87" spans="1:17" x14ac:dyDescent="0.35">
      <c r="A87" s="25"/>
      <c r="B87" s="25"/>
      <c r="C87" s="25"/>
      <c r="D87" s="26"/>
      <c r="E87" s="25"/>
      <c r="F87" s="25"/>
      <c r="G87" s="25"/>
      <c r="H87" s="25"/>
      <c r="I87" s="26"/>
      <c r="J87" s="26"/>
      <c r="K87" s="25"/>
      <c r="L87" s="25"/>
      <c r="M87" s="26"/>
      <c r="N87" s="25"/>
      <c r="O87" s="25"/>
      <c r="P87" s="25"/>
      <c r="Q87" s="25"/>
    </row>
    <row r="88" spans="1:17" x14ac:dyDescent="0.35">
      <c r="A88" s="25"/>
      <c r="B88" s="25"/>
      <c r="C88" s="25"/>
      <c r="D88" s="26"/>
      <c r="E88" s="25"/>
      <c r="F88" s="25"/>
      <c r="G88" s="25"/>
      <c r="H88" s="25"/>
      <c r="I88" s="26"/>
      <c r="J88" s="26"/>
      <c r="K88" s="25"/>
      <c r="L88" s="25"/>
      <c r="M88" s="26"/>
      <c r="N88" s="25"/>
      <c r="O88" s="25"/>
      <c r="P88" s="25"/>
      <c r="Q88" s="25"/>
    </row>
    <row r="89" spans="1:17" x14ac:dyDescent="0.35">
      <c r="A89" s="25"/>
      <c r="B89" s="25"/>
      <c r="C89" s="25"/>
      <c r="D89" s="26"/>
      <c r="E89" s="25"/>
      <c r="F89" s="25"/>
      <c r="G89" s="25"/>
      <c r="H89" s="25"/>
      <c r="I89" s="26"/>
      <c r="J89" s="26"/>
      <c r="K89" s="25"/>
      <c r="L89" s="25"/>
      <c r="M89" s="26"/>
      <c r="N89" s="25"/>
      <c r="O89" s="25"/>
      <c r="P89" s="25"/>
      <c r="Q89" s="25"/>
    </row>
    <row r="90" spans="1:17" x14ac:dyDescent="0.35">
      <c r="A90" s="25"/>
      <c r="B90" s="25"/>
      <c r="C90" s="25"/>
      <c r="D90" s="26"/>
      <c r="E90" s="25"/>
      <c r="F90" s="25"/>
      <c r="G90" s="25"/>
      <c r="H90" s="25"/>
      <c r="I90" s="26"/>
      <c r="J90" s="26"/>
      <c r="K90" s="25"/>
      <c r="L90" s="25"/>
      <c r="M90" s="26"/>
      <c r="N90" s="25"/>
      <c r="O90" s="25"/>
      <c r="P90" s="25"/>
      <c r="Q90" s="25"/>
    </row>
    <row r="91" spans="1:17" x14ac:dyDescent="0.35">
      <c r="A91" s="25"/>
      <c r="B91" s="25"/>
      <c r="C91" s="25"/>
      <c r="D91" s="26"/>
      <c r="E91" s="25"/>
      <c r="F91" s="25"/>
      <c r="G91" s="25"/>
      <c r="H91" s="25"/>
      <c r="I91" s="26"/>
      <c r="J91" s="26"/>
      <c r="K91" s="25"/>
      <c r="L91" s="25"/>
      <c r="M91" s="26"/>
      <c r="N91" s="25"/>
      <c r="O91" s="25"/>
      <c r="P91" s="25"/>
      <c r="Q91" s="25"/>
    </row>
    <row r="92" spans="1:17" x14ac:dyDescent="0.35">
      <c r="A92" s="25"/>
      <c r="B92" s="25"/>
      <c r="C92" s="25"/>
      <c r="D92" s="26"/>
      <c r="E92" s="25"/>
      <c r="F92" s="25"/>
      <c r="G92" s="25"/>
      <c r="H92" s="25"/>
      <c r="I92" s="26"/>
      <c r="J92" s="26"/>
      <c r="K92" s="25"/>
      <c r="L92" s="25"/>
      <c r="M92" s="26"/>
      <c r="N92" s="25"/>
      <c r="O92" s="25"/>
      <c r="P92" s="25"/>
      <c r="Q92" s="25"/>
    </row>
    <row r="93" spans="1:17" x14ac:dyDescent="0.35">
      <c r="A93" s="25"/>
      <c r="B93" s="25"/>
      <c r="C93" s="25"/>
      <c r="D93" s="26"/>
      <c r="E93" s="25"/>
      <c r="F93" s="25"/>
      <c r="G93" s="25"/>
      <c r="H93" s="25"/>
      <c r="I93" s="26"/>
      <c r="J93" s="26"/>
      <c r="K93" s="25"/>
      <c r="L93" s="25"/>
      <c r="M93" s="26"/>
      <c r="N93" s="25"/>
      <c r="O93" s="25"/>
      <c r="P93" s="25"/>
      <c r="Q93" s="25"/>
    </row>
    <row r="94" spans="1:17" x14ac:dyDescent="0.35">
      <c r="A94" s="25"/>
      <c r="B94" s="25"/>
      <c r="C94" s="25"/>
      <c r="D94" s="26"/>
      <c r="E94" s="25"/>
      <c r="F94" s="25"/>
      <c r="G94" s="25"/>
      <c r="H94" s="25"/>
      <c r="I94" s="26"/>
      <c r="J94" s="26"/>
      <c r="K94" s="25"/>
      <c r="L94" s="25"/>
      <c r="M94" s="26"/>
      <c r="N94" s="25"/>
      <c r="O94" s="25"/>
      <c r="P94" s="25"/>
      <c r="Q94" s="25"/>
    </row>
    <row r="95" spans="1:17" x14ac:dyDescent="0.35">
      <c r="A95" s="25"/>
      <c r="B95" s="25"/>
      <c r="C95" s="25"/>
      <c r="D95" s="26"/>
      <c r="E95" s="25"/>
      <c r="F95" s="25"/>
      <c r="G95" s="25"/>
      <c r="H95" s="25"/>
      <c r="I95" s="26"/>
      <c r="J95" s="26"/>
      <c r="K95" s="25"/>
      <c r="L95" s="25"/>
      <c r="M95" s="26"/>
      <c r="N95" s="25"/>
      <c r="O95" s="25"/>
      <c r="P95" s="25"/>
      <c r="Q95" s="25"/>
    </row>
    <row r="96" spans="1:17" x14ac:dyDescent="0.35">
      <c r="A96" s="25"/>
      <c r="B96" s="25"/>
      <c r="C96" s="25"/>
      <c r="D96" s="26"/>
      <c r="E96" s="25"/>
      <c r="F96" s="25"/>
      <c r="G96" s="25"/>
      <c r="H96" s="25"/>
      <c r="I96" s="26"/>
      <c r="J96" s="26"/>
      <c r="K96" s="25"/>
      <c r="L96" s="25"/>
      <c r="M96" s="26"/>
      <c r="N96" s="25"/>
      <c r="O96" s="25"/>
      <c r="P96" s="25"/>
      <c r="Q96" s="25"/>
    </row>
    <row r="97" spans="1:17" x14ac:dyDescent="0.35">
      <c r="A97" s="25"/>
      <c r="B97" s="25"/>
      <c r="C97" s="25"/>
      <c r="D97" s="26"/>
      <c r="E97" s="25"/>
      <c r="F97" s="25"/>
      <c r="G97" s="25"/>
      <c r="H97" s="25"/>
      <c r="I97" s="26"/>
      <c r="J97" s="26"/>
      <c r="K97" s="25"/>
      <c r="L97" s="25"/>
      <c r="M97" s="26"/>
      <c r="N97" s="25"/>
      <c r="O97" s="25"/>
      <c r="P97" s="25"/>
      <c r="Q97" s="25"/>
    </row>
    <row r="98" spans="1:17" x14ac:dyDescent="0.35">
      <c r="A98" s="25"/>
      <c r="B98" s="25"/>
      <c r="C98" s="25"/>
      <c r="D98" s="26"/>
      <c r="E98" s="25"/>
      <c r="F98" s="25"/>
      <c r="G98" s="25"/>
      <c r="H98" s="25"/>
      <c r="I98" s="26"/>
      <c r="J98" s="26"/>
      <c r="K98" s="25"/>
      <c r="L98" s="25"/>
      <c r="M98" s="26"/>
      <c r="N98" s="25"/>
      <c r="O98" s="25"/>
      <c r="P98" s="25"/>
      <c r="Q98" s="25"/>
    </row>
    <row r="99" spans="1:17" x14ac:dyDescent="0.35">
      <c r="A99" s="25"/>
      <c r="B99" s="25"/>
      <c r="C99" s="25"/>
      <c r="D99" s="26"/>
      <c r="E99" s="25"/>
      <c r="F99" s="25"/>
      <c r="G99" s="25"/>
      <c r="H99" s="25"/>
      <c r="I99" s="26"/>
      <c r="J99" s="26"/>
      <c r="K99" s="25"/>
      <c r="L99" s="25"/>
      <c r="M99" s="26"/>
      <c r="N99" s="25"/>
      <c r="O99" s="25"/>
      <c r="P99" s="25"/>
      <c r="Q99" s="25"/>
    </row>
    <row r="100" spans="1:17" x14ac:dyDescent="0.35">
      <c r="A100" s="25"/>
      <c r="B100" s="25"/>
      <c r="C100" s="25"/>
      <c r="D100" s="26"/>
      <c r="E100" s="25"/>
      <c r="F100" s="25"/>
      <c r="G100" s="25"/>
      <c r="H100" s="25"/>
      <c r="I100" s="26"/>
      <c r="J100" s="26"/>
      <c r="K100" s="25"/>
      <c r="L100" s="25"/>
      <c r="M100" s="26"/>
      <c r="N100" s="25"/>
      <c r="O100" s="25"/>
      <c r="P100" s="25"/>
      <c r="Q100" s="25"/>
    </row>
    <row r="101" spans="1:17" x14ac:dyDescent="0.35">
      <c r="A101" s="25"/>
      <c r="B101" s="25"/>
      <c r="C101" s="25"/>
      <c r="D101" s="26"/>
      <c r="E101" s="25"/>
      <c r="F101" s="25"/>
      <c r="G101" s="25"/>
      <c r="H101" s="25"/>
      <c r="I101" s="26"/>
      <c r="J101" s="26"/>
      <c r="K101" s="25"/>
      <c r="L101" s="25"/>
      <c r="M101" s="26"/>
      <c r="N101" s="25"/>
      <c r="O101" s="25"/>
      <c r="P101" s="25"/>
      <c r="Q101" s="25"/>
    </row>
    <row r="102" spans="1:17" x14ac:dyDescent="0.35">
      <c r="A102" s="25"/>
      <c r="B102" s="25"/>
      <c r="C102" s="25"/>
      <c r="D102" s="26"/>
      <c r="E102" s="25"/>
      <c r="F102" s="25"/>
      <c r="G102" s="25"/>
      <c r="H102" s="25"/>
      <c r="I102" s="26"/>
      <c r="J102" s="26"/>
      <c r="K102" s="25"/>
      <c r="L102" s="25"/>
      <c r="M102" s="26"/>
      <c r="N102" s="25"/>
      <c r="O102" s="25"/>
      <c r="P102" s="25"/>
      <c r="Q102" s="25"/>
    </row>
    <row r="103" spans="1:17" x14ac:dyDescent="0.35">
      <c r="A103" s="25"/>
      <c r="B103" s="25"/>
      <c r="C103" s="25"/>
      <c r="D103" s="26"/>
      <c r="E103" s="25"/>
      <c r="F103" s="25"/>
      <c r="G103" s="25"/>
      <c r="H103" s="25"/>
      <c r="I103" s="26"/>
      <c r="J103" s="26"/>
      <c r="K103" s="25"/>
      <c r="L103" s="25"/>
      <c r="M103" s="26"/>
      <c r="N103" s="25"/>
      <c r="O103" s="25"/>
      <c r="P103" s="25"/>
      <c r="Q103" s="25"/>
    </row>
    <row r="104" spans="1:17" x14ac:dyDescent="0.35">
      <c r="A104" s="25"/>
      <c r="B104" s="25"/>
      <c r="C104" s="25"/>
      <c r="D104" s="26"/>
      <c r="E104" s="25"/>
      <c r="F104" s="25"/>
      <c r="G104" s="25"/>
      <c r="H104" s="25"/>
      <c r="I104" s="26"/>
      <c r="J104" s="26"/>
      <c r="K104" s="25"/>
      <c r="L104" s="25"/>
      <c r="M104" s="26"/>
      <c r="N104" s="25"/>
      <c r="O104" s="25"/>
      <c r="P104" s="25"/>
      <c r="Q104" s="25"/>
    </row>
    <row r="105" spans="1:17" x14ac:dyDescent="0.35">
      <c r="A105" s="25"/>
      <c r="B105" s="25"/>
      <c r="C105" s="25"/>
      <c r="D105" s="26"/>
      <c r="E105" s="25"/>
      <c r="F105" s="25"/>
      <c r="G105" s="25"/>
      <c r="H105" s="25"/>
      <c r="I105" s="26"/>
      <c r="J105" s="26"/>
      <c r="K105" s="25"/>
      <c r="L105" s="25"/>
      <c r="M105" s="26"/>
      <c r="N105" s="25"/>
      <c r="O105" s="25"/>
      <c r="P105" s="25"/>
      <c r="Q105" s="25"/>
    </row>
    <row r="106" spans="1:17" x14ac:dyDescent="0.35">
      <c r="A106" s="25"/>
      <c r="B106" s="25"/>
      <c r="C106" s="25"/>
      <c r="D106" s="26"/>
      <c r="E106" s="25"/>
      <c r="F106" s="25"/>
      <c r="G106" s="25"/>
      <c r="H106" s="25"/>
      <c r="I106" s="26"/>
      <c r="J106" s="26"/>
      <c r="K106" s="25"/>
      <c r="L106" s="25"/>
      <c r="M106" s="26"/>
      <c r="N106" s="25"/>
      <c r="O106" s="25"/>
      <c r="P106" s="25"/>
      <c r="Q106" s="25"/>
    </row>
    <row r="107" spans="1:17" x14ac:dyDescent="0.35">
      <c r="A107" s="25"/>
      <c r="B107" s="25"/>
      <c r="C107" s="25"/>
      <c r="D107" s="26"/>
      <c r="E107" s="25"/>
      <c r="F107" s="25"/>
      <c r="G107" s="25"/>
      <c r="H107" s="25"/>
      <c r="I107" s="26"/>
      <c r="J107" s="26"/>
      <c r="K107" s="25"/>
      <c r="L107" s="25"/>
      <c r="M107" s="26"/>
      <c r="N107" s="25"/>
      <c r="O107" s="25"/>
      <c r="P107" s="25"/>
      <c r="Q107" s="25"/>
    </row>
    <row r="108" spans="1:17" x14ac:dyDescent="0.35">
      <c r="A108" s="25"/>
      <c r="B108" s="25"/>
      <c r="C108" s="25"/>
      <c r="D108" s="26"/>
      <c r="E108" s="25"/>
      <c r="F108" s="25"/>
      <c r="G108" s="25"/>
      <c r="H108" s="25"/>
      <c r="I108" s="26"/>
      <c r="J108" s="26"/>
      <c r="K108" s="25"/>
      <c r="L108" s="25"/>
      <c r="M108" s="26"/>
      <c r="N108" s="25"/>
      <c r="O108" s="25"/>
      <c r="P108" s="25"/>
      <c r="Q108" s="25"/>
    </row>
    <row r="109" spans="1:17" x14ac:dyDescent="0.35">
      <c r="A109" s="25"/>
      <c r="B109" s="25"/>
      <c r="C109" s="25"/>
      <c r="D109" s="26"/>
      <c r="E109" s="25"/>
      <c r="F109" s="25"/>
      <c r="G109" s="25"/>
      <c r="H109" s="25"/>
      <c r="I109" s="26"/>
      <c r="J109" s="26"/>
      <c r="K109" s="25"/>
      <c r="L109" s="25"/>
      <c r="M109" s="26"/>
      <c r="N109" s="25"/>
      <c r="O109" s="25"/>
      <c r="P109" s="25"/>
      <c r="Q109" s="25"/>
    </row>
    <row r="110" spans="1:17" x14ac:dyDescent="0.35">
      <c r="A110" s="25"/>
      <c r="B110" s="25"/>
      <c r="C110" s="25"/>
      <c r="D110" s="26"/>
      <c r="E110" s="25"/>
      <c r="F110" s="25"/>
      <c r="G110" s="25"/>
      <c r="H110" s="25"/>
      <c r="I110" s="26"/>
      <c r="J110" s="26"/>
      <c r="K110" s="25"/>
      <c r="L110" s="25"/>
      <c r="M110" s="26"/>
      <c r="N110" s="25"/>
      <c r="O110" s="25"/>
      <c r="P110" s="25"/>
      <c r="Q110" s="25"/>
    </row>
    <row r="111" spans="1:17" x14ac:dyDescent="0.35">
      <c r="A111" s="25"/>
      <c r="B111" s="25"/>
      <c r="C111" s="25"/>
      <c r="D111" s="26"/>
      <c r="E111" s="25"/>
      <c r="F111" s="25"/>
      <c r="G111" s="25"/>
      <c r="H111" s="25"/>
      <c r="I111" s="26"/>
      <c r="J111" s="26"/>
      <c r="K111" s="25"/>
      <c r="L111" s="25"/>
      <c r="M111" s="26"/>
      <c r="N111" s="25"/>
      <c r="O111" s="25"/>
      <c r="P111" s="25"/>
      <c r="Q111" s="25"/>
    </row>
    <row r="112" spans="1:17" x14ac:dyDescent="0.35">
      <c r="A112" s="25"/>
      <c r="B112" s="25"/>
      <c r="C112" s="25"/>
      <c r="D112" s="26"/>
      <c r="E112" s="25"/>
      <c r="F112" s="25"/>
      <c r="G112" s="25"/>
      <c r="H112" s="25"/>
      <c r="I112" s="26"/>
      <c r="J112" s="26"/>
      <c r="K112" s="25"/>
      <c r="L112" s="25"/>
      <c r="M112" s="26"/>
      <c r="N112" s="25"/>
      <c r="O112" s="25"/>
      <c r="P112" s="25"/>
      <c r="Q112" s="25"/>
    </row>
    <row r="113" spans="1:17" x14ac:dyDescent="0.35">
      <c r="A113" s="25"/>
      <c r="B113" s="25"/>
      <c r="C113" s="25"/>
      <c r="D113" s="26"/>
      <c r="E113" s="25"/>
      <c r="F113" s="25"/>
      <c r="G113" s="25"/>
      <c r="H113" s="25"/>
      <c r="I113" s="26"/>
      <c r="J113" s="26"/>
      <c r="K113" s="25"/>
      <c r="L113" s="25"/>
      <c r="M113" s="26"/>
      <c r="N113" s="25"/>
      <c r="O113" s="25"/>
      <c r="P113" s="25"/>
      <c r="Q113" s="25"/>
    </row>
    <row r="114" spans="1:17" x14ac:dyDescent="0.35">
      <c r="A114" s="25"/>
      <c r="B114" s="25"/>
      <c r="C114" s="25"/>
      <c r="D114" s="26"/>
      <c r="E114" s="25"/>
      <c r="F114" s="25"/>
      <c r="G114" s="25"/>
      <c r="H114" s="25"/>
      <c r="I114" s="26"/>
      <c r="J114" s="26"/>
      <c r="K114" s="25"/>
      <c r="L114" s="25"/>
      <c r="M114" s="26"/>
      <c r="N114" s="25"/>
      <c r="O114" s="25"/>
      <c r="P114" s="25"/>
      <c r="Q114" s="25"/>
    </row>
    <row r="115" spans="1:17" x14ac:dyDescent="0.35">
      <c r="A115" s="25"/>
      <c r="B115" s="25"/>
      <c r="C115" s="25"/>
      <c r="D115" s="26"/>
      <c r="E115" s="25"/>
      <c r="F115" s="25"/>
      <c r="G115" s="25"/>
      <c r="H115" s="25"/>
      <c r="I115" s="26"/>
      <c r="J115" s="26"/>
      <c r="K115" s="25"/>
      <c r="L115" s="25"/>
      <c r="M115" s="26"/>
      <c r="N115" s="25"/>
      <c r="O115" s="25"/>
      <c r="P115" s="25"/>
      <c r="Q115" s="25"/>
    </row>
    <row r="116" spans="1:17" x14ac:dyDescent="0.35">
      <c r="A116" s="25"/>
      <c r="B116" s="25"/>
      <c r="C116" s="25"/>
      <c r="D116" s="26"/>
      <c r="E116" s="25"/>
      <c r="F116" s="25"/>
      <c r="G116" s="25"/>
      <c r="H116" s="25"/>
      <c r="I116" s="26"/>
      <c r="J116" s="26"/>
      <c r="K116" s="25"/>
      <c r="L116" s="25"/>
      <c r="M116" s="26"/>
      <c r="N116" s="25"/>
      <c r="O116" s="25"/>
      <c r="P116" s="25"/>
      <c r="Q116" s="25"/>
    </row>
    <row r="117" spans="1:17" x14ac:dyDescent="0.35">
      <c r="A117" s="25"/>
      <c r="B117" s="25"/>
      <c r="C117" s="25"/>
      <c r="D117" s="26"/>
      <c r="E117" s="25"/>
      <c r="F117" s="25"/>
      <c r="G117" s="25"/>
      <c r="H117" s="25"/>
      <c r="I117" s="26"/>
      <c r="J117" s="26"/>
      <c r="K117" s="25"/>
      <c r="L117" s="25"/>
      <c r="M117" s="26"/>
      <c r="N117" s="25"/>
      <c r="O117" s="25"/>
      <c r="P117" s="25"/>
      <c r="Q117" s="25"/>
    </row>
    <row r="118" spans="1:17" x14ac:dyDescent="0.35">
      <c r="A118" s="25"/>
      <c r="B118" s="25"/>
      <c r="C118" s="25"/>
      <c r="D118" s="26"/>
      <c r="E118" s="25"/>
      <c r="F118" s="25"/>
      <c r="G118" s="25"/>
      <c r="H118" s="25"/>
      <c r="I118" s="26"/>
      <c r="J118" s="26"/>
      <c r="K118" s="25"/>
      <c r="L118" s="25"/>
      <c r="M118" s="26"/>
      <c r="N118" s="25"/>
      <c r="O118" s="25"/>
      <c r="P118" s="25"/>
      <c r="Q118" s="25"/>
    </row>
    <row r="119" spans="1:17" x14ac:dyDescent="0.35">
      <c r="A119" s="25"/>
      <c r="B119" s="25"/>
      <c r="C119" s="25"/>
      <c r="D119" s="26"/>
      <c r="E119" s="25"/>
      <c r="F119" s="25"/>
      <c r="G119" s="25"/>
      <c r="H119" s="25"/>
      <c r="I119" s="26"/>
      <c r="J119" s="26"/>
      <c r="K119" s="25"/>
      <c r="L119" s="25"/>
      <c r="M119" s="26"/>
      <c r="N119" s="25"/>
      <c r="O119" s="25"/>
      <c r="P119" s="25"/>
      <c r="Q119" s="25"/>
    </row>
    <row r="120" spans="1:17" x14ac:dyDescent="0.35">
      <c r="A120" s="25"/>
      <c r="B120" s="25"/>
      <c r="C120" s="25"/>
      <c r="D120" s="26"/>
      <c r="E120" s="25"/>
      <c r="F120" s="25"/>
      <c r="G120" s="25"/>
      <c r="H120" s="25"/>
      <c r="I120" s="26"/>
      <c r="J120" s="26"/>
      <c r="K120" s="25"/>
      <c r="L120" s="25"/>
      <c r="M120" s="26"/>
      <c r="N120" s="25"/>
      <c r="O120" s="25"/>
      <c r="P120" s="25"/>
      <c r="Q120" s="25"/>
    </row>
    <row r="121" spans="1:17" x14ac:dyDescent="0.35">
      <c r="A121" s="25"/>
      <c r="B121" s="25"/>
      <c r="C121" s="25"/>
      <c r="D121" s="26"/>
      <c r="E121" s="25"/>
      <c r="F121" s="25"/>
      <c r="G121" s="25"/>
      <c r="H121" s="25"/>
      <c r="I121" s="26"/>
      <c r="J121" s="26"/>
      <c r="K121" s="25"/>
      <c r="L121" s="25"/>
      <c r="M121" s="26"/>
      <c r="N121" s="25"/>
      <c r="O121" s="25"/>
      <c r="P121" s="25"/>
      <c r="Q121" s="25"/>
    </row>
    <row r="122" spans="1:17" x14ac:dyDescent="0.35">
      <c r="A122" s="25"/>
      <c r="B122" s="25"/>
      <c r="C122" s="25"/>
      <c r="D122" s="26"/>
      <c r="E122" s="25"/>
      <c r="F122" s="25"/>
      <c r="G122" s="25"/>
      <c r="H122" s="25"/>
      <c r="I122" s="26"/>
      <c r="J122" s="26"/>
      <c r="K122" s="25"/>
      <c r="L122" s="25"/>
      <c r="M122" s="26"/>
      <c r="N122" s="25"/>
      <c r="O122" s="25"/>
      <c r="P122" s="25"/>
      <c r="Q122" s="25"/>
    </row>
    <row r="123" spans="1:17" x14ac:dyDescent="0.35">
      <c r="A123" s="25"/>
      <c r="B123" s="25"/>
      <c r="C123" s="25"/>
      <c r="D123" s="26"/>
      <c r="E123" s="25"/>
      <c r="F123" s="25"/>
      <c r="G123" s="25"/>
      <c r="H123" s="25"/>
      <c r="I123" s="26"/>
      <c r="J123" s="26"/>
      <c r="K123" s="25"/>
      <c r="L123" s="25"/>
      <c r="M123" s="26"/>
      <c r="N123" s="25"/>
      <c r="O123" s="25"/>
      <c r="P123" s="25"/>
      <c r="Q123" s="25"/>
    </row>
    <row r="124" spans="1:17" x14ac:dyDescent="0.35">
      <c r="A124" s="25"/>
      <c r="B124" s="25"/>
      <c r="C124" s="25"/>
      <c r="D124" s="26"/>
      <c r="E124" s="25"/>
      <c r="F124" s="25"/>
      <c r="G124" s="25"/>
      <c r="H124" s="25"/>
      <c r="I124" s="26"/>
      <c r="J124" s="26"/>
      <c r="K124" s="25"/>
      <c r="L124" s="25"/>
      <c r="M124" s="26"/>
      <c r="N124" s="25"/>
      <c r="O124" s="25"/>
      <c r="P124" s="25"/>
      <c r="Q124" s="25"/>
    </row>
    <row r="125" spans="1:17" x14ac:dyDescent="0.35">
      <c r="A125" s="25"/>
      <c r="B125" s="25"/>
      <c r="C125" s="25"/>
      <c r="D125" s="26"/>
      <c r="E125" s="25"/>
      <c r="F125" s="25"/>
      <c r="G125" s="25"/>
      <c r="H125" s="25"/>
      <c r="I125" s="26"/>
      <c r="J125" s="26"/>
      <c r="K125" s="25"/>
      <c r="L125" s="25"/>
      <c r="M125" s="26"/>
      <c r="N125" s="25"/>
      <c r="O125" s="25"/>
      <c r="P125" s="25"/>
      <c r="Q125" s="25"/>
    </row>
    <row r="126" spans="1:17" x14ac:dyDescent="0.35">
      <c r="A126" s="25"/>
      <c r="B126" s="25"/>
      <c r="C126" s="25"/>
      <c r="D126" s="26"/>
      <c r="E126" s="25"/>
      <c r="F126" s="25"/>
      <c r="G126" s="25"/>
      <c r="H126" s="25"/>
      <c r="I126" s="26"/>
      <c r="J126" s="26"/>
      <c r="K126" s="25"/>
      <c r="L126" s="25"/>
      <c r="M126" s="26"/>
      <c r="N126" s="25"/>
      <c r="O126" s="25"/>
      <c r="P126" s="25"/>
      <c r="Q126" s="25"/>
    </row>
    <row r="127" spans="1:17" x14ac:dyDescent="0.35">
      <c r="A127" s="25"/>
      <c r="B127" s="25"/>
      <c r="C127" s="25"/>
      <c r="D127" s="26"/>
      <c r="E127" s="25"/>
      <c r="F127" s="25"/>
      <c r="G127" s="25"/>
      <c r="H127" s="25"/>
      <c r="I127" s="26"/>
      <c r="J127" s="26"/>
      <c r="K127" s="25"/>
      <c r="L127" s="25"/>
      <c r="M127" s="26"/>
      <c r="N127" s="25"/>
      <c r="O127" s="25"/>
      <c r="P127" s="25"/>
      <c r="Q127" s="25"/>
    </row>
    <row r="128" spans="1:17" x14ac:dyDescent="0.35">
      <c r="A128" s="25"/>
      <c r="B128" s="25"/>
      <c r="C128" s="25"/>
      <c r="D128" s="26"/>
      <c r="E128" s="25"/>
      <c r="F128" s="25"/>
      <c r="G128" s="25"/>
      <c r="H128" s="25"/>
      <c r="I128" s="26"/>
      <c r="J128" s="26"/>
      <c r="K128" s="25"/>
      <c r="L128" s="25"/>
      <c r="M128" s="26"/>
      <c r="N128" s="25"/>
      <c r="O128" s="25"/>
      <c r="P128" s="25"/>
      <c r="Q128" s="25"/>
    </row>
    <row r="129" spans="1:17" x14ac:dyDescent="0.35">
      <c r="A129" s="25"/>
      <c r="B129" s="25"/>
      <c r="C129" s="25"/>
      <c r="D129" s="26"/>
      <c r="E129" s="25"/>
      <c r="F129" s="25"/>
      <c r="G129" s="25"/>
      <c r="H129" s="25"/>
      <c r="I129" s="26"/>
      <c r="J129" s="26"/>
      <c r="K129" s="25"/>
      <c r="L129" s="25"/>
      <c r="M129" s="26"/>
      <c r="N129" s="25"/>
      <c r="O129" s="25"/>
      <c r="P129" s="25"/>
      <c r="Q129" s="25"/>
    </row>
    <row r="130" spans="1:17" x14ac:dyDescent="0.35">
      <c r="A130" s="25"/>
      <c r="B130" s="25"/>
      <c r="C130" s="25"/>
      <c r="D130" s="26"/>
      <c r="E130" s="25"/>
      <c r="F130" s="25"/>
      <c r="G130" s="25"/>
      <c r="H130" s="25"/>
      <c r="I130" s="26"/>
      <c r="J130" s="26"/>
      <c r="K130" s="25"/>
      <c r="L130" s="25"/>
      <c r="M130" s="26"/>
      <c r="N130" s="25"/>
      <c r="O130" s="25"/>
      <c r="P130" s="25"/>
      <c r="Q130" s="25"/>
    </row>
    <row r="131" spans="1:17" x14ac:dyDescent="0.35">
      <c r="A131" s="25"/>
      <c r="B131" s="25"/>
      <c r="C131" s="25"/>
      <c r="D131" s="26"/>
      <c r="E131" s="25"/>
      <c r="F131" s="25"/>
      <c r="G131" s="25"/>
      <c r="H131" s="25"/>
      <c r="I131" s="26"/>
      <c r="J131" s="26"/>
      <c r="K131" s="25"/>
      <c r="L131" s="25"/>
      <c r="M131" s="26"/>
      <c r="N131" s="25"/>
      <c r="O131" s="25"/>
      <c r="P131" s="25"/>
      <c r="Q131" s="25"/>
    </row>
    <row r="132" spans="1:17" x14ac:dyDescent="0.35">
      <c r="A132" s="25"/>
      <c r="B132" s="25"/>
      <c r="C132" s="25"/>
      <c r="D132" s="26"/>
      <c r="E132" s="25"/>
      <c r="F132" s="25"/>
      <c r="G132" s="25"/>
      <c r="H132" s="25"/>
      <c r="I132" s="26"/>
      <c r="J132" s="26"/>
      <c r="K132" s="25"/>
      <c r="L132" s="25"/>
      <c r="M132" s="26"/>
      <c r="N132" s="25"/>
      <c r="O132" s="25"/>
      <c r="P132" s="25"/>
      <c r="Q132" s="25"/>
    </row>
    <row r="133" spans="1:17" x14ac:dyDescent="0.35">
      <c r="A133" s="25"/>
      <c r="B133" s="25"/>
      <c r="C133" s="25"/>
      <c r="D133" s="26"/>
      <c r="E133" s="25"/>
      <c r="F133" s="25"/>
      <c r="G133" s="25"/>
      <c r="H133" s="25"/>
      <c r="I133" s="26"/>
      <c r="J133" s="26"/>
      <c r="K133" s="25"/>
      <c r="L133" s="25"/>
      <c r="M133" s="26"/>
      <c r="N133" s="25"/>
      <c r="O133" s="25"/>
      <c r="P133" s="25"/>
      <c r="Q133" s="25"/>
    </row>
    <row r="134" spans="1:17" x14ac:dyDescent="0.35">
      <c r="A134" s="25"/>
      <c r="B134" s="25"/>
      <c r="C134" s="25"/>
      <c r="D134" s="26"/>
      <c r="E134" s="25"/>
      <c r="F134" s="25"/>
      <c r="G134" s="25"/>
      <c r="H134" s="25"/>
      <c r="I134" s="26"/>
      <c r="J134" s="26"/>
      <c r="K134" s="25"/>
      <c r="L134" s="25"/>
      <c r="M134" s="26"/>
      <c r="N134" s="25"/>
      <c r="O134" s="25"/>
      <c r="P134" s="25"/>
      <c r="Q134" s="25"/>
    </row>
    <row r="135" spans="1:17" x14ac:dyDescent="0.35">
      <c r="A135" s="25"/>
      <c r="B135" s="25"/>
      <c r="C135" s="25"/>
      <c r="D135" s="26"/>
      <c r="E135" s="25"/>
      <c r="F135" s="25"/>
      <c r="G135" s="25"/>
      <c r="H135" s="25"/>
      <c r="I135" s="26"/>
      <c r="J135" s="26"/>
      <c r="K135" s="25"/>
      <c r="L135" s="25"/>
      <c r="M135" s="26"/>
      <c r="N135" s="25"/>
      <c r="O135" s="25"/>
      <c r="P135" s="25"/>
      <c r="Q135" s="25"/>
    </row>
    <row r="136" spans="1:17" x14ac:dyDescent="0.35">
      <c r="A136" s="25"/>
      <c r="B136" s="25"/>
      <c r="C136" s="25"/>
      <c r="D136" s="26"/>
      <c r="E136" s="25"/>
      <c r="F136" s="25"/>
      <c r="G136" s="25"/>
      <c r="H136" s="25"/>
      <c r="I136" s="26"/>
      <c r="J136" s="26"/>
      <c r="K136" s="25"/>
      <c r="L136" s="25"/>
      <c r="M136" s="26"/>
      <c r="N136" s="25"/>
      <c r="O136" s="25"/>
      <c r="P136" s="25"/>
      <c r="Q136" s="25"/>
    </row>
    <row r="137" spans="1:17" x14ac:dyDescent="0.35">
      <c r="A137" s="25"/>
      <c r="B137" s="25"/>
      <c r="C137" s="25"/>
      <c r="D137" s="26"/>
      <c r="E137" s="25"/>
      <c r="F137" s="25"/>
      <c r="G137" s="25"/>
      <c r="H137" s="25"/>
      <c r="I137" s="26"/>
      <c r="J137" s="26"/>
      <c r="K137" s="25"/>
      <c r="L137" s="25"/>
      <c r="M137" s="26"/>
      <c r="N137" s="25"/>
      <c r="O137" s="25"/>
      <c r="P137" s="25"/>
      <c r="Q137" s="25"/>
    </row>
    <row r="138" spans="1:17" x14ac:dyDescent="0.35">
      <c r="A138" s="25"/>
      <c r="B138" s="25"/>
      <c r="C138" s="25"/>
      <c r="D138" s="26"/>
      <c r="E138" s="25"/>
      <c r="F138" s="25"/>
      <c r="G138" s="25"/>
      <c r="H138" s="25"/>
      <c r="I138" s="26"/>
      <c r="J138" s="26"/>
      <c r="K138" s="25"/>
      <c r="L138" s="25"/>
      <c r="M138" s="26"/>
      <c r="N138" s="25"/>
      <c r="O138" s="25"/>
      <c r="P138" s="25"/>
      <c r="Q138" s="25"/>
    </row>
    <row r="139" spans="1:17" x14ac:dyDescent="0.35">
      <c r="A139" s="25"/>
      <c r="B139" s="25"/>
      <c r="C139" s="25"/>
      <c r="D139" s="26"/>
      <c r="E139" s="25"/>
      <c r="F139" s="25"/>
      <c r="G139" s="25"/>
      <c r="H139" s="25"/>
      <c r="I139" s="26"/>
      <c r="J139" s="26"/>
      <c r="K139" s="25"/>
      <c r="L139" s="25"/>
      <c r="M139" s="26"/>
      <c r="N139" s="25"/>
      <c r="O139" s="25"/>
      <c r="P139" s="25"/>
      <c r="Q139" s="25"/>
    </row>
    <row r="140" spans="1:17" x14ac:dyDescent="0.35">
      <c r="A140" s="25"/>
      <c r="B140" s="25"/>
      <c r="C140" s="25"/>
      <c r="D140" s="26"/>
      <c r="E140" s="25"/>
      <c r="F140" s="25"/>
      <c r="G140" s="25"/>
      <c r="H140" s="25"/>
      <c r="I140" s="26"/>
      <c r="J140" s="26"/>
      <c r="K140" s="25"/>
      <c r="L140" s="25"/>
      <c r="M140" s="26"/>
      <c r="N140" s="25"/>
      <c r="O140" s="25"/>
      <c r="P140" s="25"/>
      <c r="Q140" s="25"/>
    </row>
    <row r="141" spans="1:17" x14ac:dyDescent="0.35">
      <c r="A141" s="25"/>
      <c r="B141" s="25"/>
      <c r="C141" s="25"/>
      <c r="D141" s="26"/>
      <c r="E141" s="25"/>
      <c r="F141" s="25"/>
      <c r="G141" s="25"/>
      <c r="H141" s="25"/>
      <c r="I141" s="26"/>
      <c r="J141" s="26"/>
      <c r="K141" s="25"/>
      <c r="L141" s="25"/>
      <c r="M141" s="26"/>
      <c r="N141" s="25"/>
      <c r="O141" s="25"/>
      <c r="P141" s="25"/>
      <c r="Q141" s="25"/>
    </row>
    <row r="142" spans="1:17" x14ac:dyDescent="0.35">
      <c r="A142" s="25"/>
      <c r="B142" s="25"/>
      <c r="C142" s="25"/>
      <c r="D142" s="26"/>
      <c r="E142" s="25"/>
      <c r="F142" s="25"/>
      <c r="G142" s="25"/>
      <c r="H142" s="25"/>
      <c r="I142" s="26"/>
      <c r="J142" s="26"/>
      <c r="K142" s="25"/>
      <c r="L142" s="25"/>
      <c r="M142" s="26"/>
      <c r="N142" s="25"/>
      <c r="O142" s="25"/>
      <c r="P142" s="25"/>
      <c r="Q142" s="25"/>
    </row>
    <row r="143" spans="1:17" x14ac:dyDescent="0.35">
      <c r="A143" s="25"/>
      <c r="B143" s="25"/>
      <c r="C143" s="25"/>
      <c r="D143" s="26"/>
      <c r="E143" s="25"/>
      <c r="F143" s="25"/>
      <c r="G143" s="25"/>
      <c r="H143" s="25"/>
      <c r="I143" s="26"/>
      <c r="J143" s="26"/>
      <c r="K143" s="25"/>
      <c r="L143" s="25"/>
      <c r="M143" s="26"/>
      <c r="N143" s="25"/>
      <c r="O143" s="25"/>
      <c r="P143" s="25"/>
      <c r="Q143" s="25"/>
    </row>
    <row r="144" spans="1:17" x14ac:dyDescent="0.35">
      <c r="A144" s="25"/>
      <c r="B144" s="25"/>
      <c r="C144" s="25"/>
      <c r="D144" s="26"/>
      <c r="E144" s="25"/>
      <c r="F144" s="25"/>
      <c r="G144" s="25"/>
      <c r="H144" s="25"/>
      <c r="I144" s="26"/>
      <c r="J144" s="26"/>
      <c r="K144" s="25"/>
      <c r="L144" s="25"/>
      <c r="M144" s="26"/>
      <c r="N144" s="25"/>
      <c r="O144" s="25"/>
      <c r="P144" s="25"/>
      <c r="Q144" s="25"/>
    </row>
    <row r="145" spans="1:17" x14ac:dyDescent="0.35">
      <c r="A145" s="25"/>
      <c r="B145" s="25"/>
      <c r="C145" s="25"/>
      <c r="D145" s="26"/>
      <c r="E145" s="25"/>
      <c r="F145" s="25"/>
      <c r="G145" s="25"/>
      <c r="H145" s="25"/>
      <c r="I145" s="26"/>
      <c r="J145" s="26"/>
      <c r="K145" s="25"/>
      <c r="L145" s="25"/>
      <c r="M145" s="26"/>
      <c r="N145" s="25"/>
      <c r="O145" s="25"/>
      <c r="P145" s="25"/>
      <c r="Q145" s="25"/>
    </row>
    <row r="146" spans="1:17" x14ac:dyDescent="0.35">
      <c r="A146" s="25"/>
      <c r="B146" s="25"/>
      <c r="C146" s="25"/>
      <c r="D146" s="26"/>
      <c r="E146" s="25"/>
      <c r="F146" s="25"/>
      <c r="G146" s="25"/>
      <c r="H146" s="25"/>
      <c r="I146" s="26"/>
      <c r="J146" s="26"/>
      <c r="K146" s="25"/>
      <c r="L146" s="25"/>
      <c r="M146" s="26"/>
      <c r="N146" s="25"/>
      <c r="O146" s="25"/>
      <c r="P146" s="25"/>
      <c r="Q146" s="25"/>
    </row>
    <row r="147" spans="1:17" x14ac:dyDescent="0.35">
      <c r="A147" s="25"/>
      <c r="B147" s="25"/>
      <c r="C147" s="25"/>
      <c r="D147" s="26"/>
      <c r="E147" s="25"/>
      <c r="F147" s="25"/>
      <c r="G147" s="25"/>
      <c r="H147" s="25"/>
      <c r="I147" s="26"/>
      <c r="J147" s="26"/>
      <c r="K147" s="25"/>
      <c r="L147" s="25"/>
      <c r="M147" s="26"/>
      <c r="N147" s="25"/>
      <c r="O147" s="25"/>
      <c r="P147" s="25"/>
      <c r="Q147" s="25"/>
    </row>
    <row r="148" spans="1:17" x14ac:dyDescent="0.35">
      <c r="A148" s="25"/>
      <c r="B148" s="25"/>
      <c r="C148" s="25"/>
      <c r="D148" s="26"/>
      <c r="E148" s="25"/>
      <c r="F148" s="25"/>
      <c r="G148" s="25"/>
      <c r="H148" s="25"/>
      <c r="I148" s="26"/>
      <c r="J148" s="26"/>
      <c r="K148" s="25"/>
      <c r="L148" s="25"/>
      <c r="M148" s="26"/>
      <c r="N148" s="25"/>
      <c r="O148" s="25"/>
      <c r="P148" s="25"/>
      <c r="Q148" s="25"/>
    </row>
    <row r="149" spans="1:17" x14ac:dyDescent="0.35">
      <c r="A149" s="25"/>
      <c r="B149" s="25"/>
      <c r="C149" s="25"/>
      <c r="D149" s="26"/>
      <c r="E149" s="25"/>
      <c r="F149" s="25"/>
      <c r="G149" s="25"/>
      <c r="H149" s="25"/>
      <c r="I149" s="26"/>
      <c r="J149" s="26"/>
      <c r="K149" s="25"/>
      <c r="L149" s="25"/>
      <c r="M149" s="26"/>
      <c r="N149" s="25"/>
      <c r="O149" s="25"/>
      <c r="P149" s="25"/>
      <c r="Q149" s="25"/>
    </row>
    <row r="150" spans="1:17" x14ac:dyDescent="0.35">
      <c r="A150" s="25"/>
      <c r="B150" s="25"/>
      <c r="C150" s="25"/>
      <c r="D150" s="26"/>
      <c r="E150" s="25"/>
      <c r="F150" s="25"/>
      <c r="G150" s="25"/>
      <c r="H150" s="25"/>
      <c r="I150" s="26"/>
      <c r="J150" s="26"/>
      <c r="K150" s="25"/>
      <c r="L150" s="25"/>
      <c r="M150" s="26"/>
      <c r="N150" s="25"/>
      <c r="O150" s="25"/>
      <c r="P150" s="25"/>
      <c r="Q150" s="25"/>
    </row>
    <row r="151" spans="1:17" x14ac:dyDescent="0.35">
      <c r="A151" s="25"/>
      <c r="B151" s="25"/>
      <c r="C151" s="25"/>
      <c r="D151" s="26"/>
      <c r="E151" s="25"/>
      <c r="F151" s="25"/>
      <c r="G151" s="25"/>
      <c r="H151" s="25"/>
      <c r="I151" s="26"/>
      <c r="J151" s="26"/>
      <c r="K151" s="25"/>
      <c r="L151" s="25"/>
      <c r="M151" s="26"/>
      <c r="N151" s="25"/>
      <c r="O151" s="25"/>
      <c r="P151" s="25"/>
      <c r="Q151" s="25"/>
    </row>
    <row r="152" spans="1:17" x14ac:dyDescent="0.35">
      <c r="A152" s="25"/>
      <c r="B152" s="25"/>
      <c r="C152" s="25"/>
      <c r="D152" s="26"/>
      <c r="E152" s="25"/>
      <c r="F152" s="25"/>
      <c r="G152" s="25"/>
      <c r="H152" s="25"/>
      <c r="I152" s="26"/>
      <c r="J152" s="26"/>
      <c r="K152" s="25"/>
      <c r="L152" s="25"/>
      <c r="M152" s="26"/>
      <c r="N152" s="25"/>
      <c r="O152" s="25"/>
      <c r="P152" s="25"/>
      <c r="Q152" s="25"/>
    </row>
    <row r="153" spans="1:17" x14ac:dyDescent="0.35">
      <c r="A153" s="25"/>
      <c r="B153" s="25"/>
      <c r="C153" s="25"/>
      <c r="D153" s="26"/>
      <c r="E153" s="25"/>
      <c r="F153" s="25"/>
      <c r="G153" s="25"/>
      <c r="H153" s="25"/>
      <c r="I153" s="26"/>
      <c r="J153" s="26"/>
      <c r="K153" s="25"/>
      <c r="L153" s="25"/>
      <c r="M153" s="26"/>
      <c r="N153" s="25"/>
      <c r="O153" s="25"/>
      <c r="P153" s="25"/>
      <c r="Q153" s="25"/>
    </row>
    <row r="154" spans="1:17" x14ac:dyDescent="0.35">
      <c r="A154" s="25"/>
      <c r="B154" s="25"/>
      <c r="C154" s="25"/>
      <c r="D154" s="26"/>
      <c r="E154" s="25"/>
      <c r="F154" s="25"/>
      <c r="G154" s="25"/>
      <c r="H154" s="25"/>
      <c r="I154" s="26"/>
      <c r="J154" s="26"/>
      <c r="K154" s="25"/>
      <c r="L154" s="25"/>
      <c r="M154" s="26"/>
      <c r="N154" s="25"/>
      <c r="O154" s="25"/>
      <c r="P154" s="25"/>
      <c r="Q154" s="25"/>
    </row>
  </sheetData>
  <mergeCells count="1">
    <mergeCell ref="A1:Q1"/>
  </mergeCells>
  <dataValidations count="3">
    <dataValidation type="list" allowBlank="1" sqref="B5:B154" xr:uid="{00000000-0002-0000-1400-000000000000}">
      <formula1>"Recruitment,Training,Observation,Professional Discussion,Supervision,Competency,Appraisal,Probation,Team Meeting,Other"</formula1>
    </dataValidation>
    <dataValidation type="list" allowBlank="1" sqref="O5:O154" xr:uid="{00000000-0002-0000-1400-000001000000}">
      <formula1>"Not Started,In Progress,Completed,Overdue,Closed"</formula1>
    </dataValidation>
    <dataValidation type="list" allowBlank="1" sqref="P5:P154" xr:uid="{00000000-0002-0000-1400-000002000000}">
      <formula1>"Green,Amber,Red,Grey"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S51"/>
  <sheetViews>
    <sheetView workbookViewId="0"/>
  </sheetViews>
  <sheetFormatPr defaultRowHeight="14.5" x14ac:dyDescent="0.35"/>
  <cols>
    <col min="1" max="1" width="16.6328125" customWidth="1"/>
    <col min="2" max="2" width="12.26953125" customWidth="1"/>
    <col min="3" max="3" width="26.90625" customWidth="1"/>
    <col min="4" max="4" width="9.36328125" customWidth="1"/>
    <col min="5" max="5" width="15.7265625" customWidth="1"/>
    <col min="6" max="6" width="19.36328125" customWidth="1"/>
    <col min="7" max="7" width="14" customWidth="1"/>
    <col min="8" max="8" width="15.453125" customWidth="1"/>
    <col min="9" max="9" width="15.26953125" customWidth="1"/>
    <col min="10" max="10" width="23.7265625" customWidth="1"/>
    <col min="11" max="11" width="18.90625" customWidth="1"/>
    <col min="12" max="12" width="25.6328125" customWidth="1"/>
    <col min="13" max="13" width="10.90625" customWidth="1"/>
    <col min="14" max="14" width="9.36328125" customWidth="1"/>
    <col min="15" max="15" width="20.7265625" customWidth="1"/>
    <col min="16" max="16" width="17.08984375" customWidth="1"/>
    <col min="17" max="17" width="16.08984375" customWidth="1"/>
    <col min="18" max="19" width="12.36328125" customWidth="1"/>
    <col min="20" max="20" width="9.90625" customWidth="1"/>
    <col min="21" max="21" width="10" customWidth="1"/>
    <col min="22" max="22" width="27.08984375" customWidth="1"/>
    <col min="23" max="23" width="11" customWidth="1"/>
    <col min="24" max="24" width="13.453125" customWidth="1"/>
    <col min="25" max="25" width="15.90625" customWidth="1"/>
    <col min="26" max="26" width="9.36328125" customWidth="1"/>
    <col min="27" max="27" width="10.90625" customWidth="1"/>
    <col min="28" max="28" width="12.6328125" customWidth="1"/>
    <col min="29" max="29" width="13.26953125" customWidth="1"/>
    <col min="30" max="32" width="9.36328125" customWidth="1"/>
    <col min="33" max="33" width="13.90625" customWidth="1"/>
    <col min="34" max="34" width="11.453125" customWidth="1"/>
    <col min="35" max="35" width="11.26953125" customWidth="1"/>
    <col min="36" max="36" width="6.08984375" customWidth="1"/>
    <col min="37" max="37" width="11.36328125" customWidth="1"/>
    <col min="38" max="39" width="13" customWidth="1"/>
    <col min="40" max="40" width="8.453125" customWidth="1"/>
    <col min="41" max="41" width="15.90625" customWidth="1"/>
    <col min="42" max="42" width="13.08984375" customWidth="1"/>
    <col min="43" max="43" width="14.36328125" customWidth="1"/>
    <col min="44" max="44" width="6.6328125" customWidth="1"/>
    <col min="45" max="45" width="11" customWidth="1"/>
  </cols>
  <sheetData>
    <row r="1" spans="1:45" ht="18.5" customHeight="1" x14ac:dyDescent="0.35">
      <c r="A1" s="155" t="s">
        <v>424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</row>
    <row r="2" spans="1:45" x14ac:dyDescent="0.35">
      <c r="A2" s="133" t="s">
        <v>425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</row>
    <row r="3" spans="1:45" ht="29" customHeight="1" x14ac:dyDescent="0.35">
      <c r="A3" s="41" t="s">
        <v>31</v>
      </c>
      <c r="B3" s="41" t="s">
        <v>111</v>
      </c>
      <c r="C3" s="41" t="s">
        <v>426</v>
      </c>
      <c r="D3" s="41" t="s">
        <v>427</v>
      </c>
      <c r="E3" s="41" t="s">
        <v>428</v>
      </c>
      <c r="F3" s="41" t="s">
        <v>429</v>
      </c>
      <c r="G3" s="41" t="s">
        <v>96</v>
      </c>
      <c r="H3" s="41" t="s">
        <v>430</v>
      </c>
      <c r="I3" s="41" t="s">
        <v>431</v>
      </c>
      <c r="J3" s="41" t="s">
        <v>432</v>
      </c>
      <c r="K3" s="41" t="s">
        <v>433</v>
      </c>
      <c r="L3" s="41" t="s">
        <v>434</v>
      </c>
      <c r="M3" s="41" t="s">
        <v>100</v>
      </c>
      <c r="N3" s="41" t="s">
        <v>435</v>
      </c>
      <c r="O3" s="41" t="s">
        <v>436</v>
      </c>
      <c r="P3" s="41" t="s">
        <v>437</v>
      </c>
      <c r="Q3" s="41" t="s">
        <v>438</v>
      </c>
      <c r="R3" s="41" t="s">
        <v>101</v>
      </c>
      <c r="S3" s="41" t="s">
        <v>439</v>
      </c>
      <c r="T3" s="41" t="s">
        <v>114</v>
      </c>
      <c r="U3" s="41" t="s">
        <v>116</v>
      </c>
      <c r="V3" s="41" t="s">
        <v>440</v>
      </c>
      <c r="W3" s="41" t="s">
        <v>126</v>
      </c>
      <c r="X3" s="41" t="s">
        <v>441</v>
      </c>
      <c r="Y3" s="41" t="s">
        <v>102</v>
      </c>
      <c r="Z3" s="41" t="s">
        <v>125</v>
      </c>
      <c r="AA3" s="41" t="s">
        <v>442</v>
      </c>
      <c r="AB3" s="41" t="s">
        <v>112</v>
      </c>
      <c r="AC3" s="41" t="s">
        <v>443</v>
      </c>
      <c r="AD3" s="41" t="s">
        <v>104</v>
      </c>
      <c r="AE3" s="41" t="s">
        <v>444</v>
      </c>
      <c r="AF3" s="41" t="s">
        <v>128</v>
      </c>
      <c r="AG3" s="41" t="s">
        <v>209</v>
      </c>
      <c r="AH3" s="41" t="s">
        <v>445</v>
      </c>
      <c r="AI3" s="41" t="s">
        <v>5</v>
      </c>
      <c r="AJ3" s="41" t="s">
        <v>6</v>
      </c>
      <c r="AK3" s="41" t="s">
        <v>446</v>
      </c>
      <c r="AL3" s="42" t="s">
        <v>447</v>
      </c>
      <c r="AM3" s="42" t="s">
        <v>129</v>
      </c>
      <c r="AN3" s="42" t="s">
        <v>448</v>
      </c>
      <c r="AO3" s="42" t="s">
        <v>449</v>
      </c>
      <c r="AP3" s="42" t="s">
        <v>450</v>
      </c>
      <c r="AQ3" s="42" t="s">
        <v>451</v>
      </c>
      <c r="AR3" s="42" t="s">
        <v>132</v>
      </c>
      <c r="AS3" s="42" t="s">
        <v>135</v>
      </c>
    </row>
    <row r="4" spans="1:45" ht="29" customHeight="1" x14ac:dyDescent="0.35">
      <c r="A4" s="86" t="s">
        <v>211</v>
      </c>
      <c r="B4" s="87">
        <v>46197</v>
      </c>
      <c r="C4" s="87">
        <v>46195</v>
      </c>
      <c r="D4" s="86" t="s">
        <v>212</v>
      </c>
      <c r="E4" s="87">
        <v>46125</v>
      </c>
      <c r="F4" s="87">
        <v>46125</v>
      </c>
      <c r="G4" s="87">
        <v>46197</v>
      </c>
      <c r="H4" s="86" t="s">
        <v>212</v>
      </c>
      <c r="I4" s="87">
        <v>46125</v>
      </c>
      <c r="J4" s="87">
        <v>46195</v>
      </c>
      <c r="K4" s="86" t="s">
        <v>212</v>
      </c>
      <c r="L4" s="86" t="s">
        <v>212</v>
      </c>
      <c r="M4" s="86" t="s">
        <v>212</v>
      </c>
      <c r="N4" s="87">
        <v>46194</v>
      </c>
      <c r="O4" s="87">
        <v>46196</v>
      </c>
      <c r="P4" s="87">
        <v>46197</v>
      </c>
      <c r="Q4" s="86" t="s">
        <v>212</v>
      </c>
      <c r="R4" s="87">
        <v>46194</v>
      </c>
      <c r="S4" s="87">
        <v>46196</v>
      </c>
      <c r="T4" s="87">
        <v>46196</v>
      </c>
      <c r="U4" s="87">
        <v>46197</v>
      </c>
      <c r="V4" s="87">
        <v>46197</v>
      </c>
      <c r="W4" s="87">
        <v>46193</v>
      </c>
      <c r="X4" s="87">
        <v>46194</v>
      </c>
      <c r="Y4" s="87">
        <v>46194</v>
      </c>
      <c r="Z4" s="87">
        <v>46193</v>
      </c>
      <c r="AA4" s="87">
        <v>46195</v>
      </c>
      <c r="AB4" s="87">
        <v>46196</v>
      </c>
      <c r="AC4" s="86" t="s">
        <v>212</v>
      </c>
      <c r="AD4" s="87">
        <v>46195</v>
      </c>
      <c r="AE4" s="86" t="s">
        <v>212</v>
      </c>
      <c r="AF4" s="87">
        <v>46196</v>
      </c>
      <c r="AG4" s="86">
        <f t="shared" ref="AG4:AG15" si="0">COUNT(B4:AF4)</f>
        <v>23</v>
      </c>
      <c r="AH4" s="86">
        <v>31</v>
      </c>
      <c r="AI4" s="88">
        <f t="shared" ref="AI4:AI15" si="1">AG4/AH4</f>
        <v>0.74193548387096775</v>
      </c>
      <c r="AJ4" s="86" t="str">
        <f t="shared" ref="AJ4:AJ15" si="2">IF(AI4&gt;=0.8,"GREEN",IF(AI4&gt;=0.6,"AMBER","RED"))</f>
        <v>AMBER</v>
      </c>
      <c r="AK4" s="86">
        <f t="shared" ref="AK4:AK15" si="3">AH4-AG4</f>
        <v>8</v>
      </c>
      <c r="AL4" s="43" t="s">
        <v>212</v>
      </c>
      <c r="AM4" s="43" t="s">
        <v>212</v>
      </c>
      <c r="AN4" s="43" t="s">
        <v>212</v>
      </c>
      <c r="AO4" s="43" t="s">
        <v>212</v>
      </c>
      <c r="AP4" s="43" t="s">
        <v>212</v>
      </c>
      <c r="AQ4" s="43" t="s">
        <v>212</v>
      </c>
      <c r="AR4" s="43" t="s">
        <v>212</v>
      </c>
      <c r="AS4" s="43" t="s">
        <v>212</v>
      </c>
    </row>
    <row r="5" spans="1:45" x14ac:dyDescent="0.35">
      <c r="A5" s="86" t="s">
        <v>216</v>
      </c>
      <c r="B5" s="87">
        <v>46198</v>
      </c>
      <c r="C5" s="87">
        <v>46197</v>
      </c>
      <c r="D5" s="86" t="s">
        <v>212</v>
      </c>
      <c r="E5" s="86" t="s">
        <v>212</v>
      </c>
      <c r="F5" s="87">
        <v>46125</v>
      </c>
      <c r="G5" s="86" t="s">
        <v>212</v>
      </c>
      <c r="H5" s="86" t="s">
        <v>212</v>
      </c>
      <c r="I5" s="87">
        <v>46125</v>
      </c>
      <c r="J5" s="86" t="s">
        <v>212</v>
      </c>
      <c r="K5" s="87">
        <v>46192</v>
      </c>
      <c r="L5" s="86" t="s">
        <v>212</v>
      </c>
      <c r="M5" s="87">
        <v>46198</v>
      </c>
      <c r="N5" s="87">
        <v>46195</v>
      </c>
      <c r="O5" s="87">
        <v>46198</v>
      </c>
      <c r="P5" s="86" t="s">
        <v>212</v>
      </c>
      <c r="Q5" s="86" t="s">
        <v>212</v>
      </c>
      <c r="R5" s="87">
        <v>46195</v>
      </c>
      <c r="S5" s="86" t="s">
        <v>212</v>
      </c>
      <c r="T5" s="87">
        <v>46197</v>
      </c>
      <c r="U5" s="86" t="s">
        <v>212</v>
      </c>
      <c r="V5" s="87">
        <v>46194</v>
      </c>
      <c r="W5" s="87">
        <v>46194</v>
      </c>
      <c r="X5" s="87">
        <v>46195</v>
      </c>
      <c r="Y5" s="86" t="s">
        <v>212</v>
      </c>
      <c r="Z5" s="87">
        <v>46194</v>
      </c>
      <c r="AA5" s="86" t="s">
        <v>212</v>
      </c>
      <c r="AB5" s="87">
        <v>46197</v>
      </c>
      <c r="AC5" s="87">
        <v>46201</v>
      </c>
      <c r="AD5" s="86" t="s">
        <v>212</v>
      </c>
      <c r="AE5" s="86" t="s">
        <v>212</v>
      </c>
      <c r="AF5" s="86" t="s">
        <v>212</v>
      </c>
      <c r="AG5" s="86">
        <f t="shared" si="0"/>
        <v>16</v>
      </c>
      <c r="AH5" s="86">
        <v>31</v>
      </c>
      <c r="AI5" s="88">
        <f t="shared" si="1"/>
        <v>0.5161290322580645</v>
      </c>
      <c r="AJ5" s="86" t="str">
        <f t="shared" si="2"/>
        <v>RED</v>
      </c>
      <c r="AK5" s="86">
        <f t="shared" si="3"/>
        <v>15</v>
      </c>
      <c r="AL5" s="43" t="s">
        <v>212</v>
      </c>
      <c r="AM5" s="43" t="s">
        <v>212</v>
      </c>
      <c r="AN5" s="43" t="s">
        <v>212</v>
      </c>
      <c r="AO5" s="43" t="s">
        <v>212</v>
      </c>
      <c r="AP5" s="43" t="s">
        <v>212</v>
      </c>
      <c r="AQ5" s="43" t="s">
        <v>212</v>
      </c>
      <c r="AR5" s="43" t="s">
        <v>212</v>
      </c>
      <c r="AS5" s="43" t="s">
        <v>212</v>
      </c>
    </row>
    <row r="6" spans="1:45" ht="29" customHeight="1" x14ac:dyDescent="0.35">
      <c r="A6" s="86" t="s">
        <v>218</v>
      </c>
      <c r="B6" s="86" t="s">
        <v>212</v>
      </c>
      <c r="C6" s="87">
        <v>46193</v>
      </c>
      <c r="D6" s="86" t="s">
        <v>212</v>
      </c>
      <c r="E6" s="87">
        <v>46155</v>
      </c>
      <c r="F6" s="87">
        <v>46200</v>
      </c>
      <c r="G6" s="87">
        <v>46192</v>
      </c>
      <c r="H6" s="86" t="s">
        <v>212</v>
      </c>
      <c r="I6" s="87">
        <v>46157</v>
      </c>
      <c r="J6" s="87">
        <v>46199</v>
      </c>
      <c r="K6" s="87">
        <v>46194</v>
      </c>
      <c r="L6" s="86" t="s">
        <v>212</v>
      </c>
      <c r="M6" s="87">
        <v>46194</v>
      </c>
      <c r="N6" s="87">
        <v>46194</v>
      </c>
      <c r="O6" s="87">
        <v>46195</v>
      </c>
      <c r="P6" s="87">
        <v>46195</v>
      </c>
      <c r="Q6" s="87">
        <v>46195</v>
      </c>
      <c r="R6" s="87">
        <v>46194</v>
      </c>
      <c r="S6" s="87">
        <v>46195</v>
      </c>
      <c r="T6" s="87">
        <v>46195</v>
      </c>
      <c r="U6" s="86" t="s">
        <v>212</v>
      </c>
      <c r="V6" s="87">
        <v>46194</v>
      </c>
      <c r="W6" s="87">
        <v>46192</v>
      </c>
      <c r="X6" s="87">
        <v>46194</v>
      </c>
      <c r="Y6" s="87">
        <v>46194</v>
      </c>
      <c r="Z6" s="87">
        <v>46194</v>
      </c>
      <c r="AA6" s="86" t="s">
        <v>212</v>
      </c>
      <c r="AB6" s="87">
        <v>46193</v>
      </c>
      <c r="AC6" s="87">
        <v>46196</v>
      </c>
      <c r="AD6" s="86" t="s">
        <v>212</v>
      </c>
      <c r="AE6" s="86" t="s">
        <v>212</v>
      </c>
      <c r="AF6" s="86" t="s">
        <v>212</v>
      </c>
      <c r="AG6" s="86">
        <f t="shared" si="0"/>
        <v>22</v>
      </c>
      <c r="AH6" s="86">
        <v>31</v>
      </c>
      <c r="AI6" s="88">
        <f t="shared" si="1"/>
        <v>0.70967741935483875</v>
      </c>
      <c r="AJ6" s="86" t="str">
        <f t="shared" si="2"/>
        <v>AMBER</v>
      </c>
      <c r="AK6" s="86">
        <f t="shared" si="3"/>
        <v>9</v>
      </c>
      <c r="AL6" s="43" t="s">
        <v>212</v>
      </c>
      <c r="AM6" s="43" t="s">
        <v>212</v>
      </c>
      <c r="AN6" s="43" t="s">
        <v>212</v>
      </c>
      <c r="AO6" s="43" t="s">
        <v>212</v>
      </c>
      <c r="AP6" s="43" t="s">
        <v>212</v>
      </c>
      <c r="AQ6" s="43" t="s">
        <v>212</v>
      </c>
      <c r="AR6" s="43" t="s">
        <v>212</v>
      </c>
      <c r="AS6" s="43" t="s">
        <v>212</v>
      </c>
    </row>
    <row r="7" spans="1:45" ht="29" customHeight="1" x14ac:dyDescent="0.35">
      <c r="A7" s="86" t="s">
        <v>221</v>
      </c>
      <c r="B7" s="87">
        <v>46196</v>
      </c>
      <c r="C7" s="87">
        <v>46194</v>
      </c>
      <c r="D7" s="86" t="s">
        <v>212</v>
      </c>
      <c r="E7" s="87">
        <v>46195</v>
      </c>
      <c r="F7" s="87">
        <v>46125</v>
      </c>
      <c r="G7" s="87">
        <v>46184</v>
      </c>
      <c r="H7" s="86" t="s">
        <v>212</v>
      </c>
      <c r="I7" s="87">
        <v>46125</v>
      </c>
      <c r="J7" s="86" t="s">
        <v>212</v>
      </c>
      <c r="K7" s="87">
        <v>45688</v>
      </c>
      <c r="L7" s="86" t="s">
        <v>212</v>
      </c>
      <c r="M7" s="87">
        <v>46194</v>
      </c>
      <c r="N7" s="86" t="s">
        <v>212</v>
      </c>
      <c r="O7" s="87">
        <v>46199</v>
      </c>
      <c r="P7" s="87">
        <v>46195</v>
      </c>
      <c r="Q7" s="86" t="s">
        <v>212</v>
      </c>
      <c r="R7" s="87">
        <v>46196</v>
      </c>
      <c r="S7" s="86" t="s">
        <v>212</v>
      </c>
      <c r="T7" s="87">
        <v>46199</v>
      </c>
      <c r="U7" s="86" t="s">
        <v>212</v>
      </c>
      <c r="V7" s="86" t="s">
        <v>212</v>
      </c>
      <c r="W7" s="87">
        <v>46196</v>
      </c>
      <c r="X7" s="87">
        <v>46196</v>
      </c>
      <c r="Y7" s="86" t="s">
        <v>212</v>
      </c>
      <c r="Z7" s="87">
        <v>46195</v>
      </c>
      <c r="AA7" s="87">
        <v>46199</v>
      </c>
      <c r="AB7" s="87">
        <v>46199</v>
      </c>
      <c r="AC7" s="87">
        <v>46195</v>
      </c>
      <c r="AD7" s="87">
        <v>46199</v>
      </c>
      <c r="AE7" s="86" t="s">
        <v>212</v>
      </c>
      <c r="AF7" s="86" t="s">
        <v>212</v>
      </c>
      <c r="AG7" s="86">
        <f t="shared" si="0"/>
        <v>19</v>
      </c>
      <c r="AH7" s="86">
        <v>31</v>
      </c>
      <c r="AI7" s="88">
        <f t="shared" si="1"/>
        <v>0.61290322580645162</v>
      </c>
      <c r="AJ7" s="86" t="str">
        <f t="shared" si="2"/>
        <v>AMBER</v>
      </c>
      <c r="AK7" s="86">
        <f t="shared" si="3"/>
        <v>12</v>
      </c>
      <c r="AL7" s="43" t="s">
        <v>212</v>
      </c>
      <c r="AM7" s="43" t="s">
        <v>212</v>
      </c>
      <c r="AN7" s="43" t="s">
        <v>212</v>
      </c>
      <c r="AO7" s="43" t="s">
        <v>212</v>
      </c>
      <c r="AP7" s="43" t="s">
        <v>212</v>
      </c>
      <c r="AQ7" s="43" t="s">
        <v>212</v>
      </c>
      <c r="AR7" s="43" t="s">
        <v>212</v>
      </c>
      <c r="AS7" s="43" t="s">
        <v>212</v>
      </c>
    </row>
    <row r="8" spans="1:45" ht="29" customHeight="1" x14ac:dyDescent="0.35">
      <c r="A8" s="86" t="s">
        <v>224</v>
      </c>
      <c r="B8" s="86" t="s">
        <v>212</v>
      </c>
      <c r="C8" s="86" t="s">
        <v>212</v>
      </c>
      <c r="D8" s="86" t="s">
        <v>212</v>
      </c>
      <c r="E8" s="87">
        <v>45985</v>
      </c>
      <c r="F8" s="87">
        <v>46001</v>
      </c>
      <c r="G8" s="86" t="s">
        <v>212</v>
      </c>
      <c r="H8" s="87">
        <v>46084</v>
      </c>
      <c r="I8" s="87">
        <v>45979</v>
      </c>
      <c r="J8" s="87">
        <v>45987</v>
      </c>
      <c r="K8" s="87">
        <v>46042</v>
      </c>
      <c r="L8" s="86" t="s">
        <v>212</v>
      </c>
      <c r="M8" s="87">
        <v>46076</v>
      </c>
      <c r="N8" s="87">
        <v>46043</v>
      </c>
      <c r="O8" s="87">
        <v>46076</v>
      </c>
      <c r="P8" s="87">
        <v>46076</v>
      </c>
      <c r="Q8" s="87">
        <v>46076</v>
      </c>
      <c r="R8" s="87">
        <v>46064</v>
      </c>
      <c r="S8" s="86" t="s">
        <v>212</v>
      </c>
      <c r="T8" s="86" t="s">
        <v>212</v>
      </c>
      <c r="U8" s="86" t="s">
        <v>212</v>
      </c>
      <c r="V8" s="87">
        <v>46043</v>
      </c>
      <c r="W8" s="87">
        <v>46199</v>
      </c>
      <c r="X8" s="87">
        <v>46043</v>
      </c>
      <c r="Y8" s="87">
        <v>46065</v>
      </c>
      <c r="Z8" s="87">
        <v>46059</v>
      </c>
      <c r="AA8" s="86" t="s">
        <v>212</v>
      </c>
      <c r="AB8" s="86" t="s">
        <v>212</v>
      </c>
      <c r="AC8" s="86" t="s">
        <v>212</v>
      </c>
      <c r="AD8" s="86" t="s">
        <v>212</v>
      </c>
      <c r="AE8" s="87">
        <v>46076</v>
      </c>
      <c r="AF8" s="87">
        <v>46084</v>
      </c>
      <c r="AG8" s="86">
        <f t="shared" si="0"/>
        <v>19</v>
      </c>
      <c r="AH8" s="86">
        <v>31</v>
      </c>
      <c r="AI8" s="88">
        <f t="shared" si="1"/>
        <v>0.61290322580645162</v>
      </c>
      <c r="AJ8" s="86" t="str">
        <f t="shared" si="2"/>
        <v>AMBER</v>
      </c>
      <c r="AK8" s="86">
        <f t="shared" si="3"/>
        <v>12</v>
      </c>
      <c r="AL8" s="43" t="s">
        <v>212</v>
      </c>
      <c r="AM8" s="43" t="s">
        <v>212</v>
      </c>
      <c r="AN8" s="43" t="s">
        <v>212</v>
      </c>
      <c r="AO8" s="43" t="s">
        <v>212</v>
      </c>
      <c r="AP8" s="43" t="s">
        <v>212</v>
      </c>
      <c r="AQ8" s="43" t="s">
        <v>212</v>
      </c>
      <c r="AR8" s="43" t="s">
        <v>212</v>
      </c>
      <c r="AS8" s="43" t="s">
        <v>212</v>
      </c>
    </row>
    <row r="9" spans="1:45" ht="29" customHeight="1" x14ac:dyDescent="0.35">
      <c r="A9" s="86" t="s">
        <v>232</v>
      </c>
      <c r="B9" s="86" t="s">
        <v>212</v>
      </c>
      <c r="C9" s="86" t="s">
        <v>212</v>
      </c>
      <c r="D9" s="86" t="s">
        <v>212</v>
      </c>
      <c r="E9" s="87">
        <v>45994</v>
      </c>
      <c r="F9" s="87">
        <v>46010</v>
      </c>
      <c r="G9" s="87">
        <v>46075</v>
      </c>
      <c r="H9" s="87">
        <v>46075</v>
      </c>
      <c r="I9" s="87">
        <v>45979</v>
      </c>
      <c r="J9" s="87">
        <v>46064</v>
      </c>
      <c r="K9" s="87">
        <v>46045</v>
      </c>
      <c r="L9" s="87">
        <v>46075</v>
      </c>
      <c r="M9" s="87">
        <v>46195</v>
      </c>
      <c r="N9" s="87">
        <v>46045</v>
      </c>
      <c r="O9" s="87">
        <v>46194</v>
      </c>
      <c r="P9" s="87">
        <v>46075</v>
      </c>
      <c r="Q9" s="87">
        <v>46200</v>
      </c>
      <c r="R9" s="87">
        <v>46064</v>
      </c>
      <c r="S9" s="86" t="s">
        <v>212</v>
      </c>
      <c r="T9" s="87">
        <v>46201</v>
      </c>
      <c r="U9" s="86" t="s">
        <v>212</v>
      </c>
      <c r="V9" s="87">
        <v>46195</v>
      </c>
      <c r="W9" s="87">
        <v>46193</v>
      </c>
      <c r="X9" s="87">
        <v>46045</v>
      </c>
      <c r="Y9" s="87">
        <v>46064</v>
      </c>
      <c r="Z9" s="87">
        <v>46195</v>
      </c>
      <c r="AA9" s="86" t="s">
        <v>212</v>
      </c>
      <c r="AB9" s="87">
        <v>46199</v>
      </c>
      <c r="AC9" s="87">
        <v>46075</v>
      </c>
      <c r="AD9" s="86" t="s">
        <v>212</v>
      </c>
      <c r="AE9" s="87">
        <v>46075</v>
      </c>
      <c r="AF9" s="87">
        <v>46075</v>
      </c>
      <c r="AG9" s="86">
        <f t="shared" si="0"/>
        <v>24</v>
      </c>
      <c r="AH9" s="86">
        <v>31</v>
      </c>
      <c r="AI9" s="88">
        <f t="shared" si="1"/>
        <v>0.77419354838709675</v>
      </c>
      <c r="AJ9" s="86" t="str">
        <f t="shared" si="2"/>
        <v>AMBER</v>
      </c>
      <c r="AK9" s="86">
        <f t="shared" si="3"/>
        <v>7</v>
      </c>
      <c r="AL9" s="43" t="s">
        <v>212</v>
      </c>
      <c r="AM9" s="43" t="s">
        <v>212</v>
      </c>
      <c r="AN9" s="43" t="s">
        <v>212</v>
      </c>
      <c r="AO9" s="43" t="s">
        <v>212</v>
      </c>
      <c r="AP9" s="43" t="s">
        <v>212</v>
      </c>
      <c r="AQ9" s="43" t="s">
        <v>212</v>
      </c>
      <c r="AR9" s="43" t="s">
        <v>212</v>
      </c>
      <c r="AS9" s="43" t="s">
        <v>212</v>
      </c>
    </row>
    <row r="10" spans="1:45" ht="29" customHeight="1" x14ac:dyDescent="0.35">
      <c r="A10" s="86" t="s">
        <v>235</v>
      </c>
      <c r="B10" s="86" t="s">
        <v>212</v>
      </c>
      <c r="C10" s="87">
        <v>46195</v>
      </c>
      <c r="D10" s="87">
        <v>45981</v>
      </c>
      <c r="E10" s="87">
        <v>45486</v>
      </c>
      <c r="F10" s="87">
        <v>46001</v>
      </c>
      <c r="G10" s="87">
        <v>46064</v>
      </c>
      <c r="H10" s="87">
        <v>45722</v>
      </c>
      <c r="I10" s="87">
        <v>45979</v>
      </c>
      <c r="J10" s="87">
        <v>45987</v>
      </c>
      <c r="K10" s="87">
        <v>46062</v>
      </c>
      <c r="L10" s="87">
        <v>46064</v>
      </c>
      <c r="M10" s="87">
        <v>46064</v>
      </c>
      <c r="N10" s="87">
        <v>46062</v>
      </c>
      <c r="O10" s="87">
        <v>46193</v>
      </c>
      <c r="P10" s="87">
        <v>46064</v>
      </c>
      <c r="Q10" s="87">
        <v>46064</v>
      </c>
      <c r="R10" s="87">
        <v>46059</v>
      </c>
      <c r="S10" s="87">
        <v>46194</v>
      </c>
      <c r="T10" s="87">
        <v>46193</v>
      </c>
      <c r="U10" s="86" t="s">
        <v>212</v>
      </c>
      <c r="V10" s="87">
        <v>46195</v>
      </c>
      <c r="W10" s="87">
        <v>46193</v>
      </c>
      <c r="X10" s="87">
        <v>46059</v>
      </c>
      <c r="Y10" s="87">
        <v>46059</v>
      </c>
      <c r="Z10" s="87">
        <v>46059</v>
      </c>
      <c r="AA10" s="87">
        <v>46194</v>
      </c>
      <c r="AB10" s="87">
        <v>46199</v>
      </c>
      <c r="AC10" s="87">
        <v>46075</v>
      </c>
      <c r="AD10" s="87">
        <v>46193</v>
      </c>
      <c r="AE10" s="87">
        <v>46064</v>
      </c>
      <c r="AF10" s="87">
        <v>46064</v>
      </c>
      <c r="AG10" s="86">
        <f t="shared" si="0"/>
        <v>29</v>
      </c>
      <c r="AH10" s="86">
        <v>31</v>
      </c>
      <c r="AI10" s="88">
        <f t="shared" si="1"/>
        <v>0.93548387096774188</v>
      </c>
      <c r="AJ10" s="86" t="str">
        <f t="shared" si="2"/>
        <v>GREEN</v>
      </c>
      <c r="AK10" s="86">
        <f t="shared" si="3"/>
        <v>2</v>
      </c>
      <c r="AL10" s="43" t="s">
        <v>212</v>
      </c>
      <c r="AM10" s="43" t="s">
        <v>212</v>
      </c>
      <c r="AN10" s="43" t="s">
        <v>212</v>
      </c>
      <c r="AO10" s="43" t="s">
        <v>212</v>
      </c>
      <c r="AP10" s="43" t="s">
        <v>212</v>
      </c>
      <c r="AQ10" s="43" t="s">
        <v>212</v>
      </c>
      <c r="AR10" s="43" t="s">
        <v>212</v>
      </c>
      <c r="AS10" s="43" t="s">
        <v>212</v>
      </c>
    </row>
    <row r="11" spans="1:45" x14ac:dyDescent="0.35">
      <c r="A11" s="86" t="s">
        <v>241</v>
      </c>
      <c r="B11" s="87">
        <v>46052</v>
      </c>
      <c r="C11" s="86" t="s">
        <v>212</v>
      </c>
      <c r="D11" s="87">
        <v>46131</v>
      </c>
      <c r="E11" s="86" t="s">
        <v>212</v>
      </c>
      <c r="F11" s="86" t="s">
        <v>212</v>
      </c>
      <c r="G11" s="87">
        <v>46192</v>
      </c>
      <c r="H11" s="86" t="s">
        <v>212</v>
      </c>
      <c r="I11" s="86" t="s">
        <v>212</v>
      </c>
      <c r="J11" s="86" t="s">
        <v>212</v>
      </c>
      <c r="K11" s="86" t="s">
        <v>212</v>
      </c>
      <c r="L11" s="86" t="s">
        <v>212</v>
      </c>
      <c r="M11" s="86" t="s">
        <v>212</v>
      </c>
      <c r="N11" s="86" t="s">
        <v>212</v>
      </c>
      <c r="O11" s="87">
        <v>46192</v>
      </c>
      <c r="P11" s="86" t="s">
        <v>212</v>
      </c>
      <c r="Q11" s="86" t="s">
        <v>212</v>
      </c>
      <c r="R11" s="86" t="s">
        <v>212</v>
      </c>
      <c r="S11" s="86" t="s">
        <v>212</v>
      </c>
      <c r="T11" s="86" t="s">
        <v>212</v>
      </c>
      <c r="U11" s="86" t="s">
        <v>212</v>
      </c>
      <c r="V11" s="86" t="s">
        <v>212</v>
      </c>
      <c r="W11" s="86" t="s">
        <v>212</v>
      </c>
      <c r="X11" s="86" t="s">
        <v>212</v>
      </c>
      <c r="Y11" s="86" t="s">
        <v>212</v>
      </c>
      <c r="Z11" s="86" t="s">
        <v>212</v>
      </c>
      <c r="AA11" s="86" t="s">
        <v>212</v>
      </c>
      <c r="AB11" s="87">
        <v>46192</v>
      </c>
      <c r="AC11" s="86" t="s">
        <v>212</v>
      </c>
      <c r="AD11" s="86" t="s">
        <v>212</v>
      </c>
      <c r="AE11" s="86" t="s">
        <v>212</v>
      </c>
      <c r="AF11" s="86" t="s">
        <v>212</v>
      </c>
      <c r="AG11" s="86">
        <f t="shared" si="0"/>
        <v>5</v>
      </c>
      <c r="AH11" s="86">
        <v>31</v>
      </c>
      <c r="AI11" s="88">
        <f t="shared" si="1"/>
        <v>0.16129032258064516</v>
      </c>
      <c r="AJ11" s="86" t="str">
        <f t="shared" si="2"/>
        <v>RED</v>
      </c>
      <c r="AK11" s="86">
        <f t="shared" si="3"/>
        <v>26</v>
      </c>
      <c r="AL11" s="43" t="s">
        <v>212</v>
      </c>
      <c r="AM11" s="43" t="s">
        <v>212</v>
      </c>
      <c r="AN11" s="43" t="s">
        <v>212</v>
      </c>
      <c r="AO11" s="43" t="s">
        <v>212</v>
      </c>
      <c r="AP11" s="43" t="s">
        <v>212</v>
      </c>
      <c r="AQ11" s="43" t="s">
        <v>212</v>
      </c>
      <c r="AR11" s="43" t="s">
        <v>212</v>
      </c>
      <c r="AS11" s="43" t="s">
        <v>212</v>
      </c>
    </row>
    <row r="12" spans="1:45" ht="29" customHeight="1" x14ac:dyDescent="0.35">
      <c r="A12" s="86" t="s">
        <v>244</v>
      </c>
      <c r="B12" s="87">
        <v>45935</v>
      </c>
      <c r="C12" s="87">
        <v>45227</v>
      </c>
      <c r="D12" s="87">
        <v>45981</v>
      </c>
      <c r="E12" s="87">
        <v>45994</v>
      </c>
      <c r="F12" s="87">
        <v>46001</v>
      </c>
      <c r="G12" s="87">
        <v>46193</v>
      </c>
      <c r="H12" s="87">
        <v>46194</v>
      </c>
      <c r="I12" s="87">
        <v>45979</v>
      </c>
      <c r="J12" s="87">
        <v>45987</v>
      </c>
      <c r="K12" s="87">
        <v>46193</v>
      </c>
      <c r="L12" s="87">
        <v>45228</v>
      </c>
      <c r="M12" s="87">
        <v>45228</v>
      </c>
      <c r="N12" s="87">
        <v>45228</v>
      </c>
      <c r="O12" s="87">
        <v>46193</v>
      </c>
      <c r="P12" s="87">
        <v>45228</v>
      </c>
      <c r="Q12" s="87">
        <v>46076</v>
      </c>
      <c r="R12" s="87">
        <v>46061</v>
      </c>
      <c r="S12" s="87">
        <v>46076</v>
      </c>
      <c r="T12" s="87">
        <v>46194</v>
      </c>
      <c r="U12" s="87">
        <v>46193</v>
      </c>
      <c r="V12" s="87">
        <v>45228</v>
      </c>
      <c r="W12" s="87">
        <v>46038</v>
      </c>
      <c r="X12" s="87">
        <v>46042</v>
      </c>
      <c r="Y12" s="87">
        <v>46193</v>
      </c>
      <c r="Z12" s="87">
        <v>46060</v>
      </c>
      <c r="AA12" s="86" t="s">
        <v>212</v>
      </c>
      <c r="AB12" s="87">
        <v>45227</v>
      </c>
      <c r="AC12" s="87">
        <v>46076</v>
      </c>
      <c r="AD12" s="86" t="s">
        <v>212</v>
      </c>
      <c r="AE12" s="87">
        <v>46076</v>
      </c>
      <c r="AF12" s="87">
        <v>46076</v>
      </c>
      <c r="AG12" s="86">
        <f t="shared" si="0"/>
        <v>29</v>
      </c>
      <c r="AH12" s="86">
        <v>31</v>
      </c>
      <c r="AI12" s="88">
        <f t="shared" si="1"/>
        <v>0.93548387096774188</v>
      </c>
      <c r="AJ12" s="86" t="str">
        <f t="shared" si="2"/>
        <v>GREEN</v>
      </c>
      <c r="AK12" s="86">
        <f t="shared" si="3"/>
        <v>2</v>
      </c>
      <c r="AL12" s="43" t="s">
        <v>212</v>
      </c>
      <c r="AM12" s="43" t="s">
        <v>212</v>
      </c>
      <c r="AN12" s="43" t="s">
        <v>212</v>
      </c>
      <c r="AO12" s="43" t="s">
        <v>212</v>
      </c>
      <c r="AP12" s="43" t="s">
        <v>212</v>
      </c>
      <c r="AQ12" s="43" t="s">
        <v>212</v>
      </c>
      <c r="AR12" s="43" t="s">
        <v>212</v>
      </c>
      <c r="AS12" s="43" t="s">
        <v>212</v>
      </c>
    </row>
    <row r="13" spans="1:45" ht="29" customHeight="1" x14ac:dyDescent="0.35">
      <c r="A13" s="86" t="s">
        <v>250</v>
      </c>
      <c r="B13" s="86" t="s">
        <v>212</v>
      </c>
      <c r="C13" s="86" t="s">
        <v>212</v>
      </c>
      <c r="D13" s="87">
        <v>45981</v>
      </c>
      <c r="E13" s="87">
        <v>45985</v>
      </c>
      <c r="F13" s="87">
        <v>45996</v>
      </c>
      <c r="G13" s="87">
        <v>45929</v>
      </c>
      <c r="H13" s="87">
        <v>45926</v>
      </c>
      <c r="I13" s="87">
        <v>45979</v>
      </c>
      <c r="J13" s="87">
        <v>45987</v>
      </c>
      <c r="K13" s="87">
        <v>45927</v>
      </c>
      <c r="L13" s="87">
        <v>46069</v>
      </c>
      <c r="M13" s="87">
        <v>45929</v>
      </c>
      <c r="N13" s="87">
        <v>46042</v>
      </c>
      <c r="O13" s="86" t="s">
        <v>212</v>
      </c>
      <c r="P13" s="87">
        <v>46069</v>
      </c>
      <c r="Q13" s="87">
        <v>46070</v>
      </c>
      <c r="R13" s="87">
        <v>46060</v>
      </c>
      <c r="S13" s="86" t="s">
        <v>212</v>
      </c>
      <c r="T13" s="86" t="s">
        <v>212</v>
      </c>
      <c r="U13" s="86" t="s">
        <v>212</v>
      </c>
      <c r="V13" s="87">
        <v>46042</v>
      </c>
      <c r="W13" s="86" t="s">
        <v>212</v>
      </c>
      <c r="X13" s="87">
        <v>46042</v>
      </c>
      <c r="Y13" s="87">
        <v>46060</v>
      </c>
      <c r="Z13" s="87">
        <v>46060</v>
      </c>
      <c r="AA13" s="86" t="s">
        <v>212</v>
      </c>
      <c r="AB13" s="86" t="s">
        <v>212</v>
      </c>
      <c r="AC13" s="87">
        <v>46071</v>
      </c>
      <c r="AD13" s="86" t="s">
        <v>212</v>
      </c>
      <c r="AE13" s="87">
        <v>46069</v>
      </c>
      <c r="AF13" s="87">
        <v>46070</v>
      </c>
      <c r="AG13" s="86">
        <f t="shared" si="0"/>
        <v>21</v>
      </c>
      <c r="AH13" s="86">
        <v>31</v>
      </c>
      <c r="AI13" s="88">
        <f t="shared" si="1"/>
        <v>0.67741935483870963</v>
      </c>
      <c r="AJ13" s="86" t="str">
        <f t="shared" si="2"/>
        <v>AMBER</v>
      </c>
      <c r="AK13" s="86">
        <f t="shared" si="3"/>
        <v>10</v>
      </c>
      <c r="AL13" s="43" t="s">
        <v>212</v>
      </c>
      <c r="AM13" s="43" t="s">
        <v>212</v>
      </c>
      <c r="AN13" s="43" t="s">
        <v>212</v>
      </c>
      <c r="AO13" s="43" t="s">
        <v>212</v>
      </c>
      <c r="AP13" s="43" t="s">
        <v>212</v>
      </c>
      <c r="AQ13" s="43" t="s">
        <v>212</v>
      </c>
      <c r="AR13" s="43" t="s">
        <v>212</v>
      </c>
      <c r="AS13" s="43" t="s">
        <v>212</v>
      </c>
    </row>
    <row r="14" spans="1:45" ht="29" customHeight="1" x14ac:dyDescent="0.35">
      <c r="A14" s="86" t="s">
        <v>99</v>
      </c>
      <c r="B14" s="86" t="s">
        <v>212</v>
      </c>
      <c r="C14" s="87">
        <v>45488</v>
      </c>
      <c r="D14" s="86" t="s">
        <v>212</v>
      </c>
      <c r="E14" s="87">
        <v>45985</v>
      </c>
      <c r="F14" s="87">
        <v>45996</v>
      </c>
      <c r="G14" s="87">
        <v>46064</v>
      </c>
      <c r="H14" s="87">
        <v>45714</v>
      </c>
      <c r="I14" s="87">
        <v>45979</v>
      </c>
      <c r="J14" s="87">
        <v>45987</v>
      </c>
      <c r="K14" s="87">
        <v>46079</v>
      </c>
      <c r="L14" s="86" t="s">
        <v>212</v>
      </c>
      <c r="M14" s="87">
        <v>45601</v>
      </c>
      <c r="N14" s="87">
        <v>46060</v>
      </c>
      <c r="O14" s="87">
        <v>46068</v>
      </c>
      <c r="P14" s="87">
        <v>46064</v>
      </c>
      <c r="Q14" s="87">
        <v>46064</v>
      </c>
      <c r="R14" s="87">
        <v>46059</v>
      </c>
      <c r="S14" s="86" t="s">
        <v>212</v>
      </c>
      <c r="T14" s="86" t="s">
        <v>212</v>
      </c>
      <c r="U14" s="86" t="s">
        <v>212</v>
      </c>
      <c r="V14" s="87">
        <v>46059</v>
      </c>
      <c r="W14" s="86" t="s">
        <v>212</v>
      </c>
      <c r="X14" s="87">
        <v>46061</v>
      </c>
      <c r="Y14" s="87">
        <v>46059</v>
      </c>
      <c r="Z14" s="87">
        <v>46059</v>
      </c>
      <c r="AA14" s="86" t="s">
        <v>212</v>
      </c>
      <c r="AB14" s="86" t="s">
        <v>212</v>
      </c>
      <c r="AC14" s="86" t="s">
        <v>212</v>
      </c>
      <c r="AD14" s="86" t="s">
        <v>212</v>
      </c>
      <c r="AE14" s="86" t="s">
        <v>212</v>
      </c>
      <c r="AF14" s="87">
        <v>46064</v>
      </c>
      <c r="AG14" s="86">
        <f t="shared" si="0"/>
        <v>19</v>
      </c>
      <c r="AH14" s="86">
        <v>31</v>
      </c>
      <c r="AI14" s="88">
        <f t="shared" si="1"/>
        <v>0.61290322580645162</v>
      </c>
      <c r="AJ14" s="86" t="str">
        <f t="shared" si="2"/>
        <v>AMBER</v>
      </c>
      <c r="AK14" s="86">
        <f t="shared" si="3"/>
        <v>12</v>
      </c>
      <c r="AL14" s="43" t="s">
        <v>212</v>
      </c>
      <c r="AM14" s="43" t="s">
        <v>212</v>
      </c>
      <c r="AN14" s="43" t="s">
        <v>212</v>
      </c>
      <c r="AO14" s="43" t="s">
        <v>212</v>
      </c>
      <c r="AP14" s="43" t="s">
        <v>212</v>
      </c>
      <c r="AQ14" s="43" t="s">
        <v>212</v>
      </c>
      <c r="AR14" s="43" t="s">
        <v>212</v>
      </c>
      <c r="AS14" s="43" t="s">
        <v>212</v>
      </c>
    </row>
    <row r="15" spans="1:45" ht="29" customHeight="1" x14ac:dyDescent="0.35">
      <c r="A15" s="86" t="s">
        <v>265</v>
      </c>
      <c r="B15" s="87">
        <v>46042</v>
      </c>
      <c r="C15" s="86" t="s">
        <v>212</v>
      </c>
      <c r="D15" s="87">
        <v>45981</v>
      </c>
      <c r="E15" s="87">
        <v>45985</v>
      </c>
      <c r="F15" s="87">
        <v>46010</v>
      </c>
      <c r="G15" s="87">
        <v>45925</v>
      </c>
      <c r="H15" s="87">
        <v>45937</v>
      </c>
      <c r="I15" s="87">
        <v>45979</v>
      </c>
      <c r="J15" s="87">
        <v>45941</v>
      </c>
      <c r="K15" s="87">
        <v>45964</v>
      </c>
      <c r="L15" s="87">
        <v>46070</v>
      </c>
      <c r="M15" s="87">
        <v>45942</v>
      </c>
      <c r="N15" s="86" t="s">
        <v>212</v>
      </c>
      <c r="O15" s="87">
        <v>46042</v>
      </c>
      <c r="P15" s="87">
        <v>46071</v>
      </c>
      <c r="Q15" s="87">
        <v>46071</v>
      </c>
      <c r="R15" s="87">
        <v>46060</v>
      </c>
      <c r="S15" s="86" t="s">
        <v>212</v>
      </c>
      <c r="T15" s="86" t="s">
        <v>212</v>
      </c>
      <c r="U15" s="86" t="s">
        <v>212</v>
      </c>
      <c r="V15" s="87">
        <v>46042</v>
      </c>
      <c r="W15" s="86" t="s">
        <v>212</v>
      </c>
      <c r="X15" s="87">
        <v>46042</v>
      </c>
      <c r="Y15" s="87">
        <v>46060</v>
      </c>
      <c r="Z15" s="87">
        <v>46060</v>
      </c>
      <c r="AA15" s="86" t="s">
        <v>212</v>
      </c>
      <c r="AB15" s="86" t="s">
        <v>212</v>
      </c>
      <c r="AC15" s="87">
        <v>46071</v>
      </c>
      <c r="AD15" s="86" t="s">
        <v>212</v>
      </c>
      <c r="AE15" s="87">
        <v>46071</v>
      </c>
      <c r="AF15" s="87">
        <v>46071</v>
      </c>
      <c r="AG15" s="86">
        <f t="shared" si="0"/>
        <v>22</v>
      </c>
      <c r="AH15" s="86">
        <v>31</v>
      </c>
      <c r="AI15" s="88">
        <f t="shared" si="1"/>
        <v>0.70967741935483875</v>
      </c>
      <c r="AJ15" s="86" t="str">
        <f t="shared" si="2"/>
        <v>AMBER</v>
      </c>
      <c r="AK15" s="86">
        <f t="shared" si="3"/>
        <v>9</v>
      </c>
      <c r="AL15" s="33"/>
      <c r="AM15" s="33"/>
      <c r="AN15" s="33"/>
      <c r="AO15" s="33"/>
      <c r="AP15" s="33"/>
      <c r="AQ15" s="33"/>
      <c r="AR15" s="33"/>
      <c r="AS15" s="33"/>
    </row>
    <row r="19" spans="1:6" x14ac:dyDescent="0.35">
      <c r="A19" s="156" t="s">
        <v>271</v>
      </c>
      <c r="B19" s="129"/>
      <c r="C19" s="129"/>
      <c r="D19" s="129"/>
      <c r="E19" s="129"/>
      <c r="F19" s="129"/>
    </row>
    <row r="20" spans="1:6" ht="29" customHeight="1" x14ac:dyDescent="0.35">
      <c r="A20" s="38" t="s">
        <v>9</v>
      </c>
      <c r="B20" s="38" t="s">
        <v>3</v>
      </c>
      <c r="C20" s="38" t="s">
        <v>10</v>
      </c>
      <c r="D20" s="38" t="s">
        <v>11</v>
      </c>
      <c r="E20" s="38" t="s">
        <v>6</v>
      </c>
      <c r="F20" s="38" t="s">
        <v>452</v>
      </c>
    </row>
    <row r="21" spans="1:6" x14ac:dyDescent="0.35">
      <c r="A21" s="39" t="s">
        <v>111</v>
      </c>
      <c r="B21" s="39">
        <f>COUNT(B$4:B$15)</f>
        <v>6</v>
      </c>
      <c r="C21" s="39">
        <v>12</v>
      </c>
      <c r="D21" s="40">
        <f t="shared" ref="D21:D51" si="4">B21/C21</f>
        <v>0.5</v>
      </c>
      <c r="E21" s="39" t="str">
        <f t="shared" ref="E21:E51" si="5">IF(D21&gt;=0.8,"GREEN",IF(D21&gt;=0.6,"AMBER","RED"))</f>
        <v>RED</v>
      </c>
      <c r="F21" s="39" t="s">
        <v>111</v>
      </c>
    </row>
    <row r="22" spans="1:6" ht="29" customHeight="1" x14ac:dyDescent="0.35">
      <c r="A22" s="39" t="s">
        <v>426</v>
      </c>
      <c r="B22" s="39">
        <f>COUNT(C$4:C$15)</f>
        <v>7</v>
      </c>
      <c r="C22" s="39">
        <v>12</v>
      </c>
      <c r="D22" s="40">
        <f t="shared" si="4"/>
        <v>0.58333333333333337</v>
      </c>
      <c r="E22" s="39" t="str">
        <f t="shared" si="5"/>
        <v>RED</v>
      </c>
      <c r="F22" s="39" t="s">
        <v>113</v>
      </c>
    </row>
    <row r="23" spans="1:6" ht="43.5" customHeight="1" x14ac:dyDescent="0.35">
      <c r="A23" s="39" t="s">
        <v>427</v>
      </c>
      <c r="B23" s="39">
        <f>COUNT(D$4:D$15)</f>
        <v>5</v>
      </c>
      <c r="C23" s="39">
        <v>12</v>
      </c>
      <c r="D23" s="40">
        <f t="shared" si="4"/>
        <v>0.41666666666666669</v>
      </c>
      <c r="E23" s="39" t="str">
        <f t="shared" si="5"/>
        <v>RED</v>
      </c>
      <c r="F23" s="39" t="s">
        <v>453</v>
      </c>
    </row>
    <row r="24" spans="1:6" ht="72.5" customHeight="1" x14ac:dyDescent="0.35">
      <c r="A24" s="39" t="s">
        <v>428</v>
      </c>
      <c r="B24" s="39">
        <f>COUNT(E$4:E$15)</f>
        <v>10</v>
      </c>
      <c r="C24" s="39">
        <v>12</v>
      </c>
      <c r="D24" s="40">
        <f t="shared" si="4"/>
        <v>0.83333333333333337</v>
      </c>
      <c r="E24" s="39" t="str">
        <f t="shared" si="5"/>
        <v>GREEN</v>
      </c>
      <c r="F24" s="39" t="s">
        <v>454</v>
      </c>
    </row>
    <row r="25" spans="1:6" ht="58" customHeight="1" x14ac:dyDescent="0.35">
      <c r="A25" s="39" t="s">
        <v>429</v>
      </c>
      <c r="B25" s="39">
        <f>COUNT(F$4:F$15)</f>
        <v>11</v>
      </c>
      <c r="C25" s="39">
        <v>12</v>
      </c>
      <c r="D25" s="40">
        <f t="shared" si="4"/>
        <v>0.91666666666666663</v>
      </c>
      <c r="E25" s="39" t="str">
        <f t="shared" si="5"/>
        <v>GREEN</v>
      </c>
      <c r="F25" s="39" t="s">
        <v>455</v>
      </c>
    </row>
    <row r="26" spans="1:6" x14ac:dyDescent="0.35">
      <c r="A26" s="39" t="s">
        <v>96</v>
      </c>
      <c r="B26" s="39">
        <f>COUNT(G$4:G$15)</f>
        <v>10</v>
      </c>
      <c r="C26" s="39">
        <v>12</v>
      </c>
      <c r="D26" s="40">
        <f t="shared" si="4"/>
        <v>0.83333333333333337</v>
      </c>
      <c r="E26" s="39" t="str">
        <f t="shared" si="5"/>
        <v>GREEN</v>
      </c>
      <c r="F26" s="39" t="s">
        <v>96</v>
      </c>
    </row>
    <row r="27" spans="1:6" ht="29" customHeight="1" x14ac:dyDescent="0.35">
      <c r="A27" s="39" t="s">
        <v>430</v>
      </c>
      <c r="B27" s="39">
        <f>COUNT(H$4:H$15)</f>
        <v>7</v>
      </c>
      <c r="C27" s="39">
        <v>12</v>
      </c>
      <c r="D27" s="40">
        <f t="shared" si="4"/>
        <v>0.58333333333333337</v>
      </c>
      <c r="E27" s="39" t="str">
        <f t="shared" si="5"/>
        <v>RED</v>
      </c>
      <c r="F27" s="39" t="s">
        <v>456</v>
      </c>
    </row>
    <row r="28" spans="1:6" ht="101.5" customHeight="1" x14ac:dyDescent="0.35">
      <c r="A28" s="39" t="s">
        <v>431</v>
      </c>
      <c r="B28" s="39">
        <f>COUNT(I$4:I$15)</f>
        <v>11</v>
      </c>
      <c r="C28" s="39">
        <v>12</v>
      </c>
      <c r="D28" s="40">
        <f t="shared" si="4"/>
        <v>0.91666666666666663</v>
      </c>
      <c r="E28" s="39" t="str">
        <f t="shared" si="5"/>
        <v>GREEN</v>
      </c>
      <c r="F28" s="39" t="s">
        <v>457</v>
      </c>
    </row>
    <row r="29" spans="1:6" ht="72.5" customHeight="1" x14ac:dyDescent="0.35">
      <c r="A29" s="39" t="s">
        <v>432</v>
      </c>
      <c r="B29" s="39">
        <f>COUNT(J$4:J$15)</f>
        <v>9</v>
      </c>
      <c r="C29" s="39">
        <v>12</v>
      </c>
      <c r="D29" s="40">
        <f t="shared" si="4"/>
        <v>0.75</v>
      </c>
      <c r="E29" s="39" t="str">
        <f t="shared" si="5"/>
        <v>AMBER</v>
      </c>
      <c r="F29" s="39" t="s">
        <v>458</v>
      </c>
    </row>
    <row r="30" spans="1:6" ht="29" customHeight="1" x14ac:dyDescent="0.35">
      <c r="A30" s="39" t="s">
        <v>433</v>
      </c>
      <c r="B30" s="39">
        <f>COUNT(K$4:K$15)</f>
        <v>10</v>
      </c>
      <c r="C30" s="39">
        <v>12</v>
      </c>
      <c r="D30" s="40">
        <f t="shared" si="4"/>
        <v>0.83333333333333337</v>
      </c>
      <c r="E30" s="39" t="str">
        <f t="shared" si="5"/>
        <v>GREEN</v>
      </c>
      <c r="F30" s="39" t="s">
        <v>144</v>
      </c>
    </row>
    <row r="31" spans="1:6" ht="116" customHeight="1" x14ac:dyDescent="0.35">
      <c r="A31" s="39" t="s">
        <v>434</v>
      </c>
      <c r="B31" s="39">
        <f>COUNT(L$4:L$15)</f>
        <v>5</v>
      </c>
      <c r="C31" s="39">
        <v>12</v>
      </c>
      <c r="D31" s="40">
        <f t="shared" si="4"/>
        <v>0.41666666666666669</v>
      </c>
      <c r="E31" s="39" t="str">
        <f t="shared" si="5"/>
        <v>RED</v>
      </c>
      <c r="F31" s="39" t="s">
        <v>459</v>
      </c>
    </row>
    <row r="32" spans="1:6" ht="43.5" customHeight="1" x14ac:dyDescent="0.35">
      <c r="A32" s="39" t="s">
        <v>100</v>
      </c>
      <c r="B32" s="39">
        <f>COUNT(M$4:M$15)</f>
        <v>10</v>
      </c>
      <c r="C32" s="39">
        <v>12</v>
      </c>
      <c r="D32" s="40">
        <f t="shared" si="4"/>
        <v>0.83333333333333337</v>
      </c>
      <c r="E32" s="39" t="str">
        <f t="shared" si="5"/>
        <v>GREEN</v>
      </c>
      <c r="F32" s="39" t="s">
        <v>460</v>
      </c>
    </row>
    <row r="33" spans="1:6" ht="43.5" customHeight="1" x14ac:dyDescent="0.35">
      <c r="A33" s="39" t="s">
        <v>435</v>
      </c>
      <c r="B33" s="39">
        <f>COUNT(N$4:N$15)</f>
        <v>9</v>
      </c>
      <c r="C33" s="39">
        <v>12</v>
      </c>
      <c r="D33" s="40">
        <f t="shared" si="4"/>
        <v>0.75</v>
      </c>
      <c r="E33" s="39" t="str">
        <f t="shared" si="5"/>
        <v>AMBER</v>
      </c>
      <c r="F33" s="39" t="s">
        <v>461</v>
      </c>
    </row>
    <row r="34" spans="1:6" ht="43.5" customHeight="1" x14ac:dyDescent="0.35">
      <c r="A34" s="39" t="s">
        <v>436</v>
      </c>
      <c r="B34" s="39">
        <f>COUNT(O$4:O$15)</f>
        <v>11</v>
      </c>
      <c r="C34" s="39">
        <v>12</v>
      </c>
      <c r="D34" s="40">
        <f t="shared" si="4"/>
        <v>0.91666666666666663</v>
      </c>
      <c r="E34" s="39" t="str">
        <f t="shared" si="5"/>
        <v>GREEN</v>
      </c>
      <c r="F34" s="39" t="s">
        <v>462</v>
      </c>
    </row>
    <row r="35" spans="1:6" ht="43.5" customHeight="1" x14ac:dyDescent="0.35">
      <c r="A35" s="39" t="s">
        <v>437</v>
      </c>
      <c r="B35" s="39">
        <f>COUNT(P$4:P$15)</f>
        <v>10</v>
      </c>
      <c r="C35" s="39">
        <v>12</v>
      </c>
      <c r="D35" s="40">
        <f t="shared" si="4"/>
        <v>0.83333333333333337</v>
      </c>
      <c r="E35" s="39" t="str">
        <f t="shared" si="5"/>
        <v>GREEN</v>
      </c>
      <c r="F35" s="39" t="s">
        <v>463</v>
      </c>
    </row>
    <row r="36" spans="1:6" ht="43.5" customHeight="1" x14ac:dyDescent="0.35">
      <c r="A36" s="39" t="s">
        <v>438</v>
      </c>
      <c r="B36" s="39">
        <f>COUNT(Q$4:Q$15)</f>
        <v>8</v>
      </c>
      <c r="C36" s="39">
        <v>12</v>
      </c>
      <c r="D36" s="40">
        <f t="shared" si="4"/>
        <v>0.66666666666666663</v>
      </c>
      <c r="E36" s="39" t="str">
        <f t="shared" si="5"/>
        <v>AMBER</v>
      </c>
      <c r="F36" s="39" t="s">
        <v>464</v>
      </c>
    </row>
    <row r="37" spans="1:6" ht="58" customHeight="1" x14ac:dyDescent="0.35">
      <c r="A37" s="39" t="s">
        <v>101</v>
      </c>
      <c r="B37" s="39">
        <f>COUNT(R$4:R$15)</f>
        <v>11</v>
      </c>
      <c r="C37" s="39">
        <v>12</v>
      </c>
      <c r="D37" s="40">
        <f t="shared" si="4"/>
        <v>0.91666666666666663</v>
      </c>
      <c r="E37" s="39" t="str">
        <f t="shared" si="5"/>
        <v>GREEN</v>
      </c>
      <c r="F37" s="39" t="s">
        <v>465</v>
      </c>
    </row>
    <row r="38" spans="1:6" ht="58" customHeight="1" x14ac:dyDescent="0.35">
      <c r="A38" s="39" t="s">
        <v>439</v>
      </c>
      <c r="B38" s="39">
        <f>COUNT(S$4:S$15)</f>
        <v>4</v>
      </c>
      <c r="C38" s="39">
        <v>12</v>
      </c>
      <c r="D38" s="40">
        <f t="shared" si="4"/>
        <v>0.33333333333333331</v>
      </c>
      <c r="E38" s="39" t="str">
        <f t="shared" si="5"/>
        <v>RED</v>
      </c>
      <c r="F38" s="39" t="s">
        <v>466</v>
      </c>
    </row>
    <row r="39" spans="1:6" x14ac:dyDescent="0.35">
      <c r="A39" s="39" t="s">
        <v>114</v>
      </c>
      <c r="B39" s="39">
        <f>COUNT(T$4:T$15)</f>
        <v>7</v>
      </c>
      <c r="C39" s="39">
        <v>12</v>
      </c>
      <c r="D39" s="40">
        <f t="shared" si="4"/>
        <v>0.58333333333333337</v>
      </c>
      <c r="E39" s="39" t="str">
        <f t="shared" si="5"/>
        <v>RED</v>
      </c>
      <c r="F39" s="39" t="s">
        <v>114</v>
      </c>
    </row>
    <row r="40" spans="1:6" x14ac:dyDescent="0.35">
      <c r="A40" s="39" t="s">
        <v>116</v>
      </c>
      <c r="B40" s="39">
        <f>COUNT(U$4:U$15)</f>
        <v>2</v>
      </c>
      <c r="C40" s="39">
        <v>12</v>
      </c>
      <c r="D40" s="40">
        <f t="shared" si="4"/>
        <v>0.16666666666666666</v>
      </c>
      <c r="E40" s="39" t="str">
        <f t="shared" si="5"/>
        <v>RED</v>
      </c>
      <c r="F40" s="39" t="s">
        <v>116</v>
      </c>
    </row>
    <row r="41" spans="1:6" ht="29" customHeight="1" x14ac:dyDescent="0.35">
      <c r="A41" s="39" t="s">
        <v>440</v>
      </c>
      <c r="B41" s="39">
        <f>COUNT(V$4:V$15)</f>
        <v>10</v>
      </c>
      <c r="C41" s="39">
        <v>12</v>
      </c>
      <c r="D41" s="40">
        <f t="shared" si="4"/>
        <v>0.83333333333333337</v>
      </c>
      <c r="E41" s="39" t="str">
        <f t="shared" si="5"/>
        <v>GREEN</v>
      </c>
      <c r="F41" s="39" t="s">
        <v>467</v>
      </c>
    </row>
    <row r="42" spans="1:6" x14ac:dyDescent="0.35">
      <c r="A42" s="39" t="s">
        <v>126</v>
      </c>
      <c r="B42" s="39">
        <f>COUNT(W$4:W$15)</f>
        <v>8</v>
      </c>
      <c r="C42" s="39">
        <v>12</v>
      </c>
      <c r="D42" s="40">
        <f t="shared" si="4"/>
        <v>0.66666666666666663</v>
      </c>
      <c r="E42" s="39" t="str">
        <f t="shared" si="5"/>
        <v>AMBER</v>
      </c>
      <c r="F42" s="39" t="s">
        <v>126</v>
      </c>
    </row>
    <row r="43" spans="1:6" ht="43.5" customHeight="1" x14ac:dyDescent="0.35">
      <c r="A43" s="39" t="s">
        <v>441</v>
      </c>
      <c r="B43" s="39">
        <f>COUNT(X$4:X$15)</f>
        <v>11</v>
      </c>
      <c r="C43" s="39">
        <v>12</v>
      </c>
      <c r="D43" s="40">
        <f t="shared" si="4"/>
        <v>0.91666666666666663</v>
      </c>
      <c r="E43" s="39" t="str">
        <f t="shared" si="5"/>
        <v>GREEN</v>
      </c>
      <c r="F43" s="39" t="s">
        <v>468</v>
      </c>
    </row>
    <row r="44" spans="1:6" ht="29" customHeight="1" x14ac:dyDescent="0.35">
      <c r="A44" s="39" t="s">
        <v>102</v>
      </c>
      <c r="B44" s="39">
        <f>COUNT(Y$4:Y$15)</f>
        <v>9</v>
      </c>
      <c r="C44" s="39">
        <v>12</v>
      </c>
      <c r="D44" s="40">
        <f t="shared" si="4"/>
        <v>0.75</v>
      </c>
      <c r="E44" s="39" t="str">
        <f t="shared" si="5"/>
        <v>AMBER</v>
      </c>
      <c r="F44" s="39" t="s">
        <v>102</v>
      </c>
    </row>
    <row r="45" spans="1:6" x14ac:dyDescent="0.35">
      <c r="A45" s="39" t="s">
        <v>125</v>
      </c>
      <c r="B45" s="39">
        <f>COUNT(Z$4:Z$15)</f>
        <v>11</v>
      </c>
      <c r="C45" s="39">
        <v>12</v>
      </c>
      <c r="D45" s="40">
        <f t="shared" si="4"/>
        <v>0.91666666666666663</v>
      </c>
      <c r="E45" s="39" t="str">
        <f t="shared" si="5"/>
        <v>GREEN</v>
      </c>
      <c r="F45" s="39" t="s">
        <v>125</v>
      </c>
    </row>
    <row r="46" spans="1:6" ht="58" customHeight="1" x14ac:dyDescent="0.35">
      <c r="A46" s="39" t="s">
        <v>442</v>
      </c>
      <c r="B46" s="39">
        <f>COUNT(AA$4:AA$15)</f>
        <v>3</v>
      </c>
      <c r="C46" s="39">
        <v>12</v>
      </c>
      <c r="D46" s="40">
        <f t="shared" si="4"/>
        <v>0.25</v>
      </c>
      <c r="E46" s="39" t="str">
        <f t="shared" si="5"/>
        <v>RED</v>
      </c>
      <c r="F46" s="39" t="s">
        <v>469</v>
      </c>
    </row>
    <row r="47" spans="1:6" ht="43.5" customHeight="1" x14ac:dyDescent="0.35">
      <c r="A47" s="39" t="s">
        <v>112</v>
      </c>
      <c r="B47" s="39">
        <f>COUNT(AB$4:AB$15)</f>
        <v>8</v>
      </c>
      <c r="C47" s="39">
        <v>12</v>
      </c>
      <c r="D47" s="40">
        <f t="shared" si="4"/>
        <v>0.66666666666666663</v>
      </c>
      <c r="E47" s="39" t="str">
        <f t="shared" si="5"/>
        <v>AMBER</v>
      </c>
      <c r="F47" s="39" t="s">
        <v>470</v>
      </c>
    </row>
    <row r="48" spans="1:6" ht="29" customHeight="1" x14ac:dyDescent="0.35">
      <c r="A48" s="39" t="s">
        <v>443</v>
      </c>
      <c r="B48" s="39">
        <f>COUNT(AC$4:AC$15)</f>
        <v>8</v>
      </c>
      <c r="C48" s="39">
        <v>12</v>
      </c>
      <c r="D48" s="40">
        <f t="shared" si="4"/>
        <v>0.66666666666666663</v>
      </c>
      <c r="E48" s="39" t="str">
        <f t="shared" si="5"/>
        <v>AMBER</v>
      </c>
      <c r="F48" s="39" t="s">
        <v>103</v>
      </c>
    </row>
    <row r="49" spans="1:6" ht="29" customHeight="1" x14ac:dyDescent="0.35">
      <c r="A49" s="39" t="s">
        <v>104</v>
      </c>
      <c r="B49" s="39">
        <f>COUNT(AD$4:AD$15)</f>
        <v>3</v>
      </c>
      <c r="C49" s="39">
        <v>12</v>
      </c>
      <c r="D49" s="40">
        <f t="shared" si="4"/>
        <v>0.25</v>
      </c>
      <c r="E49" s="39" t="str">
        <f t="shared" si="5"/>
        <v>RED</v>
      </c>
      <c r="F49" s="39" t="s">
        <v>471</v>
      </c>
    </row>
    <row r="50" spans="1:6" ht="29" customHeight="1" x14ac:dyDescent="0.35">
      <c r="A50" s="39" t="s">
        <v>444</v>
      </c>
      <c r="B50" s="39">
        <f>COUNT(AE$4:AE$15)</f>
        <v>6</v>
      </c>
      <c r="C50" s="39">
        <v>12</v>
      </c>
      <c r="D50" s="40">
        <f t="shared" si="4"/>
        <v>0.5</v>
      </c>
      <c r="E50" s="39" t="str">
        <f t="shared" si="5"/>
        <v>RED</v>
      </c>
      <c r="F50" s="39" t="s">
        <v>204</v>
      </c>
    </row>
    <row r="51" spans="1:6" x14ac:dyDescent="0.35">
      <c r="A51" s="39" t="s">
        <v>128</v>
      </c>
      <c r="B51" s="39">
        <f>COUNT(AF$4:AF$15)</f>
        <v>8</v>
      </c>
      <c r="C51" s="39">
        <v>12</v>
      </c>
      <c r="D51" s="40">
        <f t="shared" si="4"/>
        <v>0.66666666666666663</v>
      </c>
      <c r="E51" s="39" t="str">
        <f t="shared" si="5"/>
        <v>AMBER</v>
      </c>
      <c r="F51" s="39" t="s">
        <v>128</v>
      </c>
    </row>
  </sheetData>
  <mergeCells count="3">
    <mergeCell ref="A1:AK1"/>
    <mergeCell ref="A19:F19"/>
    <mergeCell ref="A2:AK2"/>
  </mergeCells>
  <conditionalFormatting sqref="E21:E51">
    <cfRule type="expression" dxfId="418" priority="5">
      <formula>E21="GREEN"</formula>
    </cfRule>
    <cfRule type="expression" dxfId="417" priority="6">
      <formula>OR(E21="AMBER",E21="EXPIRING SOON")</formula>
    </cfRule>
    <cfRule type="expression" dxfId="416" priority="7">
      <formula>OR(E21="RED",E21="EXPIRED")</formula>
    </cfRule>
    <cfRule type="expression" dxfId="415" priority="8">
      <formula>E21="MISSING"</formula>
    </cfRule>
  </conditionalFormatting>
  <conditionalFormatting sqref="AJ4:AJ15">
    <cfRule type="expression" dxfId="414" priority="1">
      <formula>AJ4="GREEN"</formula>
    </cfRule>
    <cfRule type="expression" dxfId="413" priority="2">
      <formula>OR(AJ4="AMBER",AJ4="EXPIRING SOON")</formula>
    </cfRule>
    <cfRule type="expression" dxfId="412" priority="3">
      <formula>OR(AJ4="RED",AJ4="EXPIRED")</formula>
    </cfRule>
    <cfRule type="expression" dxfId="411" priority="4">
      <formula>AJ4="MISSING"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F16"/>
  <sheetViews>
    <sheetView workbookViewId="0"/>
  </sheetViews>
  <sheetFormatPr defaultRowHeight="14.5" x14ac:dyDescent="0.35"/>
  <cols>
    <col min="1" max="1" width="28" customWidth="1"/>
    <col min="2" max="32" width="16" customWidth="1"/>
  </cols>
  <sheetData>
    <row r="1" spans="1:32" ht="18.5" customHeight="1" x14ac:dyDescent="0.35">
      <c r="A1" s="155" t="s">
        <v>472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</row>
    <row r="3" spans="1:32" ht="43.5" customHeight="1" x14ac:dyDescent="0.35">
      <c r="A3" s="89" t="s">
        <v>31</v>
      </c>
      <c r="B3" s="89" t="s">
        <v>111</v>
      </c>
      <c r="C3" s="89" t="s">
        <v>426</v>
      </c>
      <c r="D3" s="89" t="s">
        <v>427</v>
      </c>
      <c r="E3" s="89" t="s">
        <v>428</v>
      </c>
      <c r="F3" s="89" t="s">
        <v>429</v>
      </c>
      <c r="G3" s="89" t="s">
        <v>96</v>
      </c>
      <c r="H3" s="89" t="s">
        <v>430</v>
      </c>
      <c r="I3" s="89" t="s">
        <v>431</v>
      </c>
      <c r="J3" s="89" t="s">
        <v>432</v>
      </c>
      <c r="K3" s="89" t="s">
        <v>433</v>
      </c>
      <c r="L3" s="89" t="s">
        <v>434</v>
      </c>
      <c r="M3" s="89" t="s">
        <v>100</v>
      </c>
      <c r="N3" s="89" t="s">
        <v>435</v>
      </c>
      <c r="O3" s="89" t="s">
        <v>436</v>
      </c>
      <c r="P3" s="89" t="s">
        <v>437</v>
      </c>
      <c r="Q3" s="89" t="s">
        <v>438</v>
      </c>
      <c r="R3" s="89" t="s">
        <v>101</v>
      </c>
      <c r="S3" s="89" t="s">
        <v>439</v>
      </c>
      <c r="T3" s="89" t="s">
        <v>114</v>
      </c>
      <c r="U3" s="89" t="s">
        <v>116</v>
      </c>
      <c r="V3" s="89" t="s">
        <v>440</v>
      </c>
      <c r="W3" s="89" t="s">
        <v>126</v>
      </c>
      <c r="X3" s="89" t="s">
        <v>441</v>
      </c>
      <c r="Y3" s="89" t="s">
        <v>102</v>
      </c>
      <c r="Z3" s="89" t="s">
        <v>125</v>
      </c>
      <c r="AA3" s="89" t="s">
        <v>442</v>
      </c>
      <c r="AB3" s="89" t="s">
        <v>112</v>
      </c>
      <c r="AC3" s="89" t="s">
        <v>443</v>
      </c>
      <c r="AD3" s="89" t="s">
        <v>104</v>
      </c>
      <c r="AE3" s="89" t="s">
        <v>444</v>
      </c>
      <c r="AF3" s="89" t="s">
        <v>128</v>
      </c>
    </row>
    <row r="4" spans="1:32" x14ac:dyDescent="0.35">
      <c r="A4" s="90" t="s">
        <v>211</v>
      </c>
      <c r="B4" s="90" t="s">
        <v>212</v>
      </c>
      <c r="C4" s="91">
        <v>47291</v>
      </c>
      <c r="D4" s="90" t="s">
        <v>212</v>
      </c>
      <c r="E4" s="91">
        <v>46856</v>
      </c>
      <c r="F4" s="91">
        <v>46856</v>
      </c>
      <c r="G4" s="91">
        <v>46562</v>
      </c>
      <c r="H4" s="90" t="s">
        <v>212</v>
      </c>
      <c r="I4" s="91">
        <v>47221</v>
      </c>
      <c r="J4" s="91">
        <v>46926</v>
      </c>
      <c r="K4" s="90" t="s">
        <v>212</v>
      </c>
      <c r="L4" s="90" t="s">
        <v>212</v>
      </c>
      <c r="M4" s="90" t="s">
        <v>212</v>
      </c>
      <c r="N4" s="91">
        <v>47290</v>
      </c>
      <c r="O4" s="91">
        <v>47292</v>
      </c>
      <c r="P4" s="91">
        <v>47293</v>
      </c>
      <c r="Q4" s="90" t="s">
        <v>212</v>
      </c>
      <c r="R4" s="91">
        <v>47290</v>
      </c>
      <c r="S4" s="91">
        <v>47292</v>
      </c>
      <c r="T4" s="91">
        <v>46561</v>
      </c>
      <c r="U4" s="91">
        <v>47293</v>
      </c>
      <c r="V4" s="91">
        <v>47293</v>
      </c>
      <c r="W4" s="91">
        <v>47289</v>
      </c>
      <c r="X4" s="91">
        <v>46559</v>
      </c>
      <c r="Y4" s="91">
        <v>47290</v>
      </c>
      <c r="Z4" s="91">
        <v>47289</v>
      </c>
      <c r="AA4" s="91">
        <v>46560</v>
      </c>
      <c r="AB4" s="91">
        <v>47292</v>
      </c>
      <c r="AC4" s="90" t="s">
        <v>212</v>
      </c>
      <c r="AD4" s="91">
        <v>47291</v>
      </c>
      <c r="AE4" s="90" t="s">
        <v>212</v>
      </c>
      <c r="AF4" s="91">
        <v>47292</v>
      </c>
    </row>
    <row r="5" spans="1:32" x14ac:dyDescent="0.35">
      <c r="A5" s="90" t="s">
        <v>216</v>
      </c>
      <c r="B5" s="90" t="s">
        <v>212</v>
      </c>
      <c r="C5" s="91">
        <v>47293</v>
      </c>
      <c r="D5" s="90" t="s">
        <v>212</v>
      </c>
      <c r="E5" s="90" t="s">
        <v>212</v>
      </c>
      <c r="F5" s="91">
        <v>46856</v>
      </c>
      <c r="G5" s="90" t="s">
        <v>212</v>
      </c>
      <c r="H5" s="90" t="s">
        <v>212</v>
      </c>
      <c r="I5" s="91">
        <v>47221</v>
      </c>
      <c r="J5" s="90" t="s">
        <v>212</v>
      </c>
      <c r="K5" s="91">
        <v>47288</v>
      </c>
      <c r="L5" s="90" t="s">
        <v>212</v>
      </c>
      <c r="M5" s="91">
        <v>47294</v>
      </c>
      <c r="N5" s="91">
        <v>47291</v>
      </c>
      <c r="O5" s="91">
        <v>47294</v>
      </c>
      <c r="P5" s="90" t="s">
        <v>212</v>
      </c>
      <c r="Q5" s="90" t="s">
        <v>212</v>
      </c>
      <c r="R5" s="91">
        <v>47291</v>
      </c>
      <c r="S5" s="90" t="s">
        <v>212</v>
      </c>
      <c r="T5" s="91">
        <v>46562</v>
      </c>
      <c r="U5" s="90" t="s">
        <v>212</v>
      </c>
      <c r="V5" s="91">
        <v>47290</v>
      </c>
      <c r="W5" s="91">
        <v>47290</v>
      </c>
      <c r="X5" s="91">
        <v>46560</v>
      </c>
      <c r="Y5" s="90" t="s">
        <v>212</v>
      </c>
      <c r="Z5" s="91">
        <v>47290</v>
      </c>
      <c r="AA5" s="90" t="s">
        <v>212</v>
      </c>
      <c r="AB5" s="91">
        <v>47293</v>
      </c>
      <c r="AC5" s="91">
        <v>47297</v>
      </c>
      <c r="AD5" s="90" t="s">
        <v>212</v>
      </c>
      <c r="AE5" s="90" t="s">
        <v>212</v>
      </c>
      <c r="AF5" s="90" t="s">
        <v>212</v>
      </c>
    </row>
    <row r="6" spans="1:32" x14ac:dyDescent="0.35">
      <c r="A6" s="90" t="s">
        <v>218</v>
      </c>
      <c r="B6" s="90" t="s">
        <v>212</v>
      </c>
      <c r="C6" s="91">
        <v>47289</v>
      </c>
      <c r="D6" s="90" t="s">
        <v>212</v>
      </c>
      <c r="E6" s="91">
        <v>46886</v>
      </c>
      <c r="F6" s="91">
        <v>46931</v>
      </c>
      <c r="G6" s="91">
        <v>46557</v>
      </c>
      <c r="H6" s="90" t="s">
        <v>212</v>
      </c>
      <c r="I6" s="91">
        <v>47253</v>
      </c>
      <c r="J6" s="91">
        <v>46930</v>
      </c>
      <c r="K6" s="91">
        <v>47290</v>
      </c>
      <c r="L6" s="90" t="s">
        <v>212</v>
      </c>
      <c r="M6" s="91">
        <v>47290</v>
      </c>
      <c r="N6" s="91">
        <v>47290</v>
      </c>
      <c r="O6" s="91">
        <v>47291</v>
      </c>
      <c r="P6" s="91">
        <v>47291</v>
      </c>
      <c r="Q6" s="91">
        <v>47291</v>
      </c>
      <c r="R6" s="91">
        <v>47290</v>
      </c>
      <c r="S6" s="91">
        <v>47291</v>
      </c>
      <c r="T6" s="91">
        <v>46560</v>
      </c>
      <c r="U6" s="90" t="s">
        <v>212</v>
      </c>
      <c r="V6" s="91">
        <v>47290</v>
      </c>
      <c r="W6" s="91">
        <v>47288</v>
      </c>
      <c r="X6" s="91">
        <v>46559</v>
      </c>
      <c r="Y6" s="91">
        <v>47290</v>
      </c>
      <c r="Z6" s="91">
        <v>47290</v>
      </c>
      <c r="AA6" s="90" t="s">
        <v>212</v>
      </c>
      <c r="AB6" s="91">
        <v>47289</v>
      </c>
      <c r="AC6" s="91">
        <v>47292</v>
      </c>
      <c r="AD6" s="90" t="s">
        <v>212</v>
      </c>
      <c r="AE6" s="90" t="s">
        <v>212</v>
      </c>
      <c r="AF6" s="90" t="s">
        <v>212</v>
      </c>
    </row>
    <row r="7" spans="1:32" x14ac:dyDescent="0.35">
      <c r="A7" s="90" t="s">
        <v>221</v>
      </c>
      <c r="B7" s="90" t="s">
        <v>212</v>
      </c>
      <c r="C7" s="91">
        <v>47290</v>
      </c>
      <c r="D7" s="90" t="s">
        <v>212</v>
      </c>
      <c r="E7" s="91">
        <v>46926</v>
      </c>
      <c r="F7" s="91">
        <v>46856</v>
      </c>
      <c r="G7" s="91">
        <v>46549</v>
      </c>
      <c r="H7" s="90" t="s">
        <v>212</v>
      </c>
      <c r="I7" s="91">
        <v>47221</v>
      </c>
      <c r="J7" s="90" t="s">
        <v>212</v>
      </c>
      <c r="K7" s="91">
        <v>46783</v>
      </c>
      <c r="L7" s="90" t="s">
        <v>212</v>
      </c>
      <c r="M7" s="91">
        <v>47290</v>
      </c>
      <c r="N7" s="90" t="s">
        <v>212</v>
      </c>
      <c r="O7" s="91">
        <v>47295</v>
      </c>
      <c r="P7" s="91">
        <v>47291</v>
      </c>
      <c r="Q7" s="90" t="s">
        <v>212</v>
      </c>
      <c r="R7" s="91">
        <v>47292</v>
      </c>
      <c r="S7" s="90" t="s">
        <v>212</v>
      </c>
      <c r="T7" s="91">
        <v>46564</v>
      </c>
      <c r="U7" s="90" t="s">
        <v>212</v>
      </c>
      <c r="V7" s="90" t="s">
        <v>212</v>
      </c>
      <c r="W7" s="91">
        <v>47292</v>
      </c>
      <c r="X7" s="91">
        <v>46561</v>
      </c>
      <c r="Y7" s="90" t="s">
        <v>212</v>
      </c>
      <c r="Z7" s="91">
        <v>47291</v>
      </c>
      <c r="AA7" s="91">
        <v>46564</v>
      </c>
      <c r="AB7" s="91">
        <v>47295</v>
      </c>
      <c r="AC7" s="91">
        <v>47291</v>
      </c>
      <c r="AD7" s="91">
        <v>47295</v>
      </c>
      <c r="AE7" s="90" t="s">
        <v>212</v>
      </c>
      <c r="AF7" s="90" t="s">
        <v>212</v>
      </c>
    </row>
    <row r="8" spans="1:32" x14ac:dyDescent="0.35">
      <c r="A8" s="90" t="s">
        <v>224</v>
      </c>
      <c r="B8" s="90" t="s">
        <v>212</v>
      </c>
      <c r="C8" s="90" t="s">
        <v>212</v>
      </c>
      <c r="D8" s="90" t="s">
        <v>212</v>
      </c>
      <c r="E8" s="91">
        <v>46715</v>
      </c>
      <c r="F8" s="91">
        <v>46731</v>
      </c>
      <c r="G8" s="90" t="s">
        <v>212</v>
      </c>
      <c r="H8" s="91">
        <v>47180</v>
      </c>
      <c r="I8" s="91">
        <v>47075</v>
      </c>
      <c r="J8" s="91">
        <v>46717</v>
      </c>
      <c r="K8" s="91">
        <v>47138</v>
      </c>
      <c r="L8" s="90" t="s">
        <v>212</v>
      </c>
      <c r="M8" s="91">
        <v>47172</v>
      </c>
      <c r="N8" s="91">
        <v>47139</v>
      </c>
      <c r="O8" s="91">
        <v>47172</v>
      </c>
      <c r="P8" s="91">
        <v>47172</v>
      </c>
      <c r="Q8" s="91">
        <v>47172</v>
      </c>
      <c r="R8" s="91">
        <v>47160</v>
      </c>
      <c r="S8" s="90" t="s">
        <v>212</v>
      </c>
      <c r="T8" s="90" t="s">
        <v>212</v>
      </c>
      <c r="U8" s="90" t="s">
        <v>212</v>
      </c>
      <c r="V8" s="91">
        <v>47139</v>
      </c>
      <c r="W8" s="91">
        <v>47295</v>
      </c>
      <c r="X8" s="91">
        <v>46408</v>
      </c>
      <c r="Y8" s="91">
        <v>47161</v>
      </c>
      <c r="Z8" s="91">
        <v>47155</v>
      </c>
      <c r="AA8" s="90" t="s">
        <v>212</v>
      </c>
      <c r="AB8" s="90" t="s">
        <v>212</v>
      </c>
      <c r="AC8" s="90" t="s">
        <v>212</v>
      </c>
      <c r="AD8" s="90" t="s">
        <v>212</v>
      </c>
      <c r="AE8" s="91">
        <v>47172</v>
      </c>
      <c r="AF8" s="91">
        <v>47180</v>
      </c>
    </row>
    <row r="9" spans="1:32" x14ac:dyDescent="0.35">
      <c r="A9" s="90" t="s">
        <v>232</v>
      </c>
      <c r="B9" s="90" t="s">
        <v>212</v>
      </c>
      <c r="C9" s="90" t="s">
        <v>212</v>
      </c>
      <c r="D9" s="90" t="s">
        <v>212</v>
      </c>
      <c r="E9" s="91">
        <v>46724</v>
      </c>
      <c r="F9" s="91">
        <v>46740</v>
      </c>
      <c r="G9" s="91">
        <v>46440</v>
      </c>
      <c r="H9" s="91">
        <v>47171</v>
      </c>
      <c r="I9" s="91">
        <v>47075</v>
      </c>
      <c r="J9" s="91">
        <v>46794</v>
      </c>
      <c r="K9" s="91">
        <v>47141</v>
      </c>
      <c r="L9" s="91">
        <v>47171</v>
      </c>
      <c r="M9" s="91">
        <v>47291</v>
      </c>
      <c r="N9" s="91">
        <v>47141</v>
      </c>
      <c r="O9" s="91">
        <v>47290</v>
      </c>
      <c r="P9" s="91">
        <v>47171</v>
      </c>
      <c r="Q9" s="91">
        <v>47296</v>
      </c>
      <c r="R9" s="91">
        <v>47160</v>
      </c>
      <c r="S9" s="90" t="s">
        <v>212</v>
      </c>
      <c r="T9" s="91">
        <v>46566</v>
      </c>
      <c r="U9" s="90" t="s">
        <v>212</v>
      </c>
      <c r="V9" s="91">
        <v>47291</v>
      </c>
      <c r="W9" s="91">
        <v>47289</v>
      </c>
      <c r="X9" s="91">
        <v>46410</v>
      </c>
      <c r="Y9" s="91">
        <v>47160</v>
      </c>
      <c r="Z9" s="91">
        <v>47291</v>
      </c>
      <c r="AA9" s="90" t="s">
        <v>212</v>
      </c>
      <c r="AB9" s="91">
        <v>47295</v>
      </c>
      <c r="AC9" s="91">
        <v>47171</v>
      </c>
      <c r="AD9" s="90" t="s">
        <v>212</v>
      </c>
      <c r="AE9" s="91">
        <v>47171</v>
      </c>
      <c r="AF9" s="91">
        <v>47171</v>
      </c>
    </row>
    <row r="10" spans="1:32" x14ac:dyDescent="0.35">
      <c r="A10" s="90" t="s">
        <v>235</v>
      </c>
      <c r="B10" s="90" t="s">
        <v>212</v>
      </c>
      <c r="C10" s="91">
        <v>47291</v>
      </c>
      <c r="D10" s="90" t="s">
        <v>212</v>
      </c>
      <c r="E10" s="91">
        <v>46216</v>
      </c>
      <c r="F10" s="91">
        <v>46731</v>
      </c>
      <c r="G10" s="91">
        <v>46429</v>
      </c>
      <c r="H10" s="91">
        <v>46818</v>
      </c>
      <c r="I10" s="91">
        <v>47075</v>
      </c>
      <c r="J10" s="91">
        <v>46717</v>
      </c>
      <c r="K10" s="91">
        <v>47158</v>
      </c>
      <c r="L10" s="91">
        <v>47160</v>
      </c>
      <c r="M10" s="91">
        <v>47160</v>
      </c>
      <c r="N10" s="91">
        <v>47158</v>
      </c>
      <c r="O10" s="91">
        <v>47289</v>
      </c>
      <c r="P10" s="91">
        <v>47160</v>
      </c>
      <c r="Q10" s="91">
        <v>47160</v>
      </c>
      <c r="R10" s="91">
        <v>47155</v>
      </c>
      <c r="S10" s="91">
        <v>47290</v>
      </c>
      <c r="T10" s="91">
        <v>46558</v>
      </c>
      <c r="U10" s="90" t="s">
        <v>212</v>
      </c>
      <c r="V10" s="91">
        <v>47291</v>
      </c>
      <c r="W10" s="91">
        <v>47289</v>
      </c>
      <c r="X10" s="91">
        <v>46424</v>
      </c>
      <c r="Y10" s="91">
        <v>47155</v>
      </c>
      <c r="Z10" s="91">
        <v>47155</v>
      </c>
      <c r="AA10" s="91">
        <v>46559</v>
      </c>
      <c r="AB10" s="91">
        <v>47295</v>
      </c>
      <c r="AC10" s="91">
        <v>47171</v>
      </c>
      <c r="AD10" s="91">
        <v>47289</v>
      </c>
      <c r="AE10" s="91">
        <v>47160</v>
      </c>
      <c r="AF10" s="91">
        <v>47160</v>
      </c>
    </row>
    <row r="11" spans="1:32" x14ac:dyDescent="0.35">
      <c r="A11" s="90" t="s">
        <v>241</v>
      </c>
      <c r="B11" s="90" t="s">
        <v>212</v>
      </c>
      <c r="C11" s="90" t="s">
        <v>212</v>
      </c>
      <c r="D11" s="91">
        <v>46496</v>
      </c>
      <c r="E11" s="90" t="s">
        <v>212</v>
      </c>
      <c r="F11" s="90" t="s">
        <v>212</v>
      </c>
      <c r="G11" s="91">
        <v>46557</v>
      </c>
      <c r="H11" s="90" t="s">
        <v>212</v>
      </c>
      <c r="I11" s="90" t="s">
        <v>212</v>
      </c>
      <c r="J11" s="90" t="s">
        <v>212</v>
      </c>
      <c r="K11" s="90" t="s">
        <v>212</v>
      </c>
      <c r="L11" s="90" t="s">
        <v>212</v>
      </c>
      <c r="M11" s="90" t="s">
        <v>212</v>
      </c>
      <c r="N11" s="90" t="s">
        <v>212</v>
      </c>
      <c r="O11" s="91">
        <v>47288</v>
      </c>
      <c r="P11" s="90" t="s">
        <v>212</v>
      </c>
      <c r="Q11" s="90" t="s">
        <v>212</v>
      </c>
      <c r="R11" s="90" t="s">
        <v>212</v>
      </c>
      <c r="S11" s="90" t="s">
        <v>212</v>
      </c>
      <c r="T11" s="90" t="s">
        <v>212</v>
      </c>
      <c r="U11" s="90" t="s">
        <v>212</v>
      </c>
      <c r="V11" s="90" t="s">
        <v>212</v>
      </c>
      <c r="W11" s="90" t="s">
        <v>212</v>
      </c>
      <c r="X11" s="90" t="s">
        <v>212</v>
      </c>
      <c r="Y11" s="90" t="s">
        <v>212</v>
      </c>
      <c r="Z11" s="90" t="s">
        <v>212</v>
      </c>
      <c r="AA11" s="90" t="s">
        <v>212</v>
      </c>
      <c r="AB11" s="91">
        <v>47288</v>
      </c>
      <c r="AC11" s="90" t="s">
        <v>212</v>
      </c>
      <c r="AD11" s="90" t="s">
        <v>212</v>
      </c>
      <c r="AE11" s="90" t="s">
        <v>212</v>
      </c>
      <c r="AF11" s="90" t="s">
        <v>212</v>
      </c>
    </row>
    <row r="12" spans="1:32" x14ac:dyDescent="0.35">
      <c r="A12" s="90" t="s">
        <v>244</v>
      </c>
      <c r="B12" s="90" t="s">
        <v>212</v>
      </c>
      <c r="C12" s="91">
        <v>46323</v>
      </c>
      <c r="D12" s="91">
        <v>46292</v>
      </c>
      <c r="E12" s="91">
        <v>46624</v>
      </c>
      <c r="F12" s="91">
        <v>47097</v>
      </c>
      <c r="G12" s="91">
        <v>46558</v>
      </c>
      <c r="H12" s="91">
        <v>47290</v>
      </c>
      <c r="I12" s="90" t="s">
        <v>212</v>
      </c>
      <c r="J12" s="91">
        <v>46625</v>
      </c>
      <c r="K12" s="91">
        <v>47289</v>
      </c>
      <c r="L12" s="91">
        <v>46324</v>
      </c>
      <c r="M12" s="91">
        <v>46324</v>
      </c>
      <c r="N12" s="91">
        <v>46324</v>
      </c>
      <c r="O12" s="91">
        <v>47289</v>
      </c>
      <c r="P12" s="91">
        <v>46324</v>
      </c>
      <c r="Q12" s="91">
        <v>47172</v>
      </c>
      <c r="R12" s="91">
        <v>47157</v>
      </c>
      <c r="S12" s="91">
        <v>47172</v>
      </c>
      <c r="T12" s="91">
        <v>46559</v>
      </c>
      <c r="U12" s="91">
        <v>47289</v>
      </c>
      <c r="V12" s="91">
        <v>46324</v>
      </c>
      <c r="W12" s="91">
        <v>47134</v>
      </c>
      <c r="X12" s="91">
        <v>46407</v>
      </c>
      <c r="Y12" s="91">
        <v>47289</v>
      </c>
      <c r="Z12" s="91">
        <v>47156</v>
      </c>
      <c r="AA12" s="90" t="s">
        <v>212</v>
      </c>
      <c r="AB12" s="91">
        <v>46323</v>
      </c>
      <c r="AC12" s="91">
        <v>47172</v>
      </c>
      <c r="AD12" s="90" t="s">
        <v>212</v>
      </c>
      <c r="AE12" s="91">
        <v>47172</v>
      </c>
      <c r="AF12" s="91">
        <v>47172</v>
      </c>
    </row>
    <row r="13" spans="1:32" x14ac:dyDescent="0.35">
      <c r="A13" s="90" t="s">
        <v>250</v>
      </c>
      <c r="B13" s="90" t="s">
        <v>212</v>
      </c>
      <c r="C13" s="90" t="s">
        <v>212</v>
      </c>
      <c r="D13" s="91">
        <v>46292</v>
      </c>
      <c r="E13" s="91">
        <v>46657</v>
      </c>
      <c r="F13" s="91">
        <v>46726</v>
      </c>
      <c r="G13" s="91">
        <v>46294</v>
      </c>
      <c r="H13" s="91">
        <v>47022</v>
      </c>
      <c r="I13" s="91">
        <v>47022</v>
      </c>
      <c r="J13" s="91">
        <v>46656</v>
      </c>
      <c r="K13" s="91">
        <v>47023</v>
      </c>
      <c r="L13" s="91">
        <v>47165</v>
      </c>
      <c r="M13" s="91">
        <v>47025</v>
      </c>
      <c r="N13" s="91">
        <v>47138</v>
      </c>
      <c r="O13" s="90" t="s">
        <v>212</v>
      </c>
      <c r="P13" s="91">
        <v>47165</v>
      </c>
      <c r="Q13" s="91">
        <v>47166</v>
      </c>
      <c r="R13" s="91">
        <v>47156</v>
      </c>
      <c r="S13" s="90" t="s">
        <v>212</v>
      </c>
      <c r="T13" s="90" t="s">
        <v>212</v>
      </c>
      <c r="U13" s="90" t="s">
        <v>212</v>
      </c>
      <c r="V13" s="91">
        <v>47138</v>
      </c>
      <c r="W13" s="90" t="s">
        <v>212</v>
      </c>
      <c r="X13" s="91">
        <v>46407</v>
      </c>
      <c r="Y13" s="91">
        <v>47156</v>
      </c>
      <c r="Z13" s="91">
        <v>47156</v>
      </c>
      <c r="AA13" s="90" t="s">
        <v>212</v>
      </c>
      <c r="AB13" s="90" t="s">
        <v>212</v>
      </c>
      <c r="AC13" s="91">
        <v>47167</v>
      </c>
      <c r="AD13" s="90" t="s">
        <v>212</v>
      </c>
      <c r="AE13" s="91">
        <v>47165</v>
      </c>
      <c r="AF13" s="91">
        <v>47166</v>
      </c>
    </row>
    <row r="14" spans="1:32" x14ac:dyDescent="0.35">
      <c r="A14" s="90" t="s">
        <v>99</v>
      </c>
      <c r="B14" s="90" t="s">
        <v>212</v>
      </c>
      <c r="C14" s="91">
        <v>46583</v>
      </c>
      <c r="D14" s="90" t="s">
        <v>212</v>
      </c>
      <c r="E14" s="91">
        <v>46715</v>
      </c>
      <c r="F14" s="91">
        <v>46726</v>
      </c>
      <c r="G14" s="91">
        <v>46429</v>
      </c>
      <c r="H14" s="91">
        <v>46809</v>
      </c>
      <c r="I14" s="91">
        <v>47075</v>
      </c>
      <c r="J14" s="91">
        <v>46717</v>
      </c>
      <c r="K14" s="91">
        <v>47175</v>
      </c>
      <c r="L14" s="90" t="s">
        <v>212</v>
      </c>
      <c r="M14" s="91">
        <v>46696</v>
      </c>
      <c r="N14" s="91">
        <v>47156</v>
      </c>
      <c r="O14" s="91">
        <v>47164</v>
      </c>
      <c r="P14" s="91">
        <v>47160</v>
      </c>
      <c r="Q14" s="91">
        <v>47160</v>
      </c>
      <c r="R14" s="91">
        <v>47155</v>
      </c>
      <c r="S14" s="90" t="s">
        <v>212</v>
      </c>
      <c r="T14" s="90" t="s">
        <v>212</v>
      </c>
      <c r="U14" s="90" t="s">
        <v>212</v>
      </c>
      <c r="V14" s="91">
        <v>47155</v>
      </c>
      <c r="W14" s="90" t="s">
        <v>212</v>
      </c>
      <c r="X14" s="91">
        <v>46426</v>
      </c>
      <c r="Y14" s="91">
        <v>47155</v>
      </c>
      <c r="Z14" s="91">
        <v>47155</v>
      </c>
      <c r="AA14" s="90" t="s">
        <v>212</v>
      </c>
      <c r="AB14" s="90" t="s">
        <v>212</v>
      </c>
      <c r="AC14" s="90" t="s">
        <v>212</v>
      </c>
      <c r="AD14" s="90" t="s">
        <v>212</v>
      </c>
      <c r="AE14" s="90" t="s">
        <v>212</v>
      </c>
      <c r="AF14" s="91">
        <v>47160</v>
      </c>
    </row>
    <row r="15" spans="1:32" x14ac:dyDescent="0.35">
      <c r="A15" s="90" t="s">
        <v>265</v>
      </c>
      <c r="B15" s="90" t="s">
        <v>212</v>
      </c>
      <c r="C15" s="90" t="s">
        <v>212</v>
      </c>
      <c r="D15" s="91">
        <v>46307</v>
      </c>
      <c r="E15" s="91">
        <v>46672</v>
      </c>
      <c r="F15" s="91">
        <v>46740</v>
      </c>
      <c r="G15" s="91">
        <v>46290</v>
      </c>
      <c r="H15" s="91">
        <v>47033</v>
      </c>
      <c r="I15" s="91">
        <v>47037</v>
      </c>
      <c r="J15" s="91">
        <v>46671</v>
      </c>
      <c r="K15" s="91">
        <v>47060</v>
      </c>
      <c r="L15" s="91">
        <v>47166</v>
      </c>
      <c r="M15" s="91">
        <v>47038</v>
      </c>
      <c r="N15" s="90" t="s">
        <v>212</v>
      </c>
      <c r="O15" s="91">
        <v>47138</v>
      </c>
      <c r="P15" s="91">
        <v>47167</v>
      </c>
      <c r="Q15" s="91">
        <v>47167</v>
      </c>
      <c r="R15" s="91">
        <v>47156</v>
      </c>
      <c r="S15" s="90" t="s">
        <v>212</v>
      </c>
      <c r="T15" s="90" t="s">
        <v>212</v>
      </c>
      <c r="U15" s="90" t="s">
        <v>212</v>
      </c>
      <c r="V15" s="91">
        <v>47138</v>
      </c>
      <c r="W15" s="90" t="s">
        <v>212</v>
      </c>
      <c r="X15" s="91">
        <v>46407</v>
      </c>
      <c r="Y15" s="91">
        <v>47156</v>
      </c>
      <c r="Z15" s="91">
        <v>47156</v>
      </c>
      <c r="AA15" s="90" t="s">
        <v>212</v>
      </c>
      <c r="AB15" s="90" t="s">
        <v>212</v>
      </c>
      <c r="AC15" s="91">
        <v>47167</v>
      </c>
      <c r="AD15" s="90" t="s">
        <v>212</v>
      </c>
      <c r="AE15" s="91">
        <v>47167</v>
      </c>
      <c r="AF15" s="91">
        <v>47167</v>
      </c>
    </row>
    <row r="16" spans="1:32" x14ac:dyDescent="0.35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</row>
  </sheetData>
  <mergeCells count="1">
    <mergeCell ref="A1:AF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F15"/>
  <sheetViews>
    <sheetView workbookViewId="0"/>
  </sheetViews>
  <sheetFormatPr defaultRowHeight="14.5" x14ac:dyDescent="0.35"/>
  <cols>
    <col min="1" max="1" width="28" customWidth="1"/>
    <col min="2" max="32" width="16" customWidth="1"/>
  </cols>
  <sheetData>
    <row r="1" spans="1:32" ht="18.5" customHeight="1" x14ac:dyDescent="0.45">
      <c r="A1" s="157" t="s">
        <v>473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</row>
    <row r="3" spans="1:32" ht="43.5" customHeight="1" x14ac:dyDescent="0.35">
      <c r="A3" s="38" t="s">
        <v>31</v>
      </c>
      <c r="B3" s="38" t="s">
        <v>111</v>
      </c>
      <c r="C3" s="38" t="s">
        <v>426</v>
      </c>
      <c r="D3" s="38" t="s">
        <v>427</v>
      </c>
      <c r="E3" s="38" t="s">
        <v>428</v>
      </c>
      <c r="F3" s="38" t="s">
        <v>429</v>
      </c>
      <c r="G3" s="38" t="s">
        <v>96</v>
      </c>
      <c r="H3" s="38" t="s">
        <v>430</v>
      </c>
      <c r="I3" s="38" t="s">
        <v>431</v>
      </c>
      <c r="J3" s="38" t="s">
        <v>432</v>
      </c>
      <c r="K3" s="38" t="s">
        <v>433</v>
      </c>
      <c r="L3" s="38" t="s">
        <v>434</v>
      </c>
      <c r="M3" s="38" t="s">
        <v>100</v>
      </c>
      <c r="N3" s="38" t="s">
        <v>435</v>
      </c>
      <c r="O3" s="38" t="s">
        <v>436</v>
      </c>
      <c r="P3" s="38" t="s">
        <v>437</v>
      </c>
      <c r="Q3" s="38" t="s">
        <v>438</v>
      </c>
      <c r="R3" s="38" t="s">
        <v>101</v>
      </c>
      <c r="S3" s="38" t="s">
        <v>439</v>
      </c>
      <c r="T3" s="38" t="s">
        <v>114</v>
      </c>
      <c r="U3" s="38" t="s">
        <v>116</v>
      </c>
      <c r="V3" s="38" t="s">
        <v>440</v>
      </c>
      <c r="W3" s="38" t="s">
        <v>126</v>
      </c>
      <c r="X3" s="38" t="s">
        <v>441</v>
      </c>
      <c r="Y3" s="38" t="s">
        <v>102</v>
      </c>
      <c r="Z3" s="38" t="s">
        <v>125</v>
      </c>
      <c r="AA3" s="38" t="s">
        <v>442</v>
      </c>
      <c r="AB3" s="38" t="s">
        <v>112</v>
      </c>
      <c r="AC3" s="38" t="s">
        <v>443</v>
      </c>
      <c r="AD3" s="38" t="s">
        <v>104</v>
      </c>
      <c r="AE3" s="38" t="s">
        <v>444</v>
      </c>
      <c r="AF3" s="38" t="s">
        <v>128</v>
      </c>
    </row>
    <row r="4" spans="1:32" x14ac:dyDescent="0.35">
      <c r="A4" s="39" t="s">
        <v>211</v>
      </c>
      <c r="B4" s="39" t="str">
        <f ca="1">IF('Consolidated Expiry'!B4="NS","MISSING",IF('Consolidated Expiry'!B4&lt;TODAY(),"EXPIRED",IF('Consolidated Expiry'!B4&lt;=TODAY()+90,"EXPIRING SOON","GREEN")))</f>
        <v>MISSING</v>
      </c>
      <c r="C4" s="39" t="str">
        <f ca="1">IF('Consolidated Expiry'!C4="NS","MISSING",IF('Consolidated Expiry'!C4&lt;TODAY(),"EXPIRED",IF('Consolidated Expiry'!C4&lt;=TODAY()+90,"EXPIRING SOON","GREEN")))</f>
        <v>GREEN</v>
      </c>
      <c r="D4" s="39" t="str">
        <f ca="1">IF('Consolidated Expiry'!D4="NS","MISSING",IF('Consolidated Expiry'!D4&lt;TODAY(),"EXPIRED",IF('Consolidated Expiry'!D4&lt;=TODAY()+90,"EXPIRING SOON","GREEN")))</f>
        <v>MISSING</v>
      </c>
      <c r="E4" s="39" t="str">
        <f ca="1">IF('Consolidated Expiry'!E4="NS","MISSING",IF('Consolidated Expiry'!E4&lt;TODAY(),"EXPIRED",IF('Consolidated Expiry'!E4&lt;=TODAY()+90,"EXPIRING SOON","GREEN")))</f>
        <v>GREEN</v>
      </c>
      <c r="F4" s="39" t="str">
        <f ca="1">IF('Consolidated Expiry'!F4="NS","MISSING",IF('Consolidated Expiry'!F4&lt;TODAY(),"EXPIRED",IF('Consolidated Expiry'!F4&lt;=TODAY()+90,"EXPIRING SOON","GREEN")))</f>
        <v>GREEN</v>
      </c>
      <c r="G4" s="39" t="str">
        <f ca="1">IF('Consolidated Expiry'!G4="NS","MISSING",IF('Consolidated Expiry'!G4&lt;TODAY(),"EXPIRED",IF('Consolidated Expiry'!G4&lt;=TODAY()+90,"EXPIRING SOON","GREEN")))</f>
        <v>GREEN</v>
      </c>
      <c r="H4" s="39" t="str">
        <f ca="1">IF('Consolidated Expiry'!H4="NS","MISSING",IF('Consolidated Expiry'!H4&lt;TODAY(),"EXPIRED",IF('Consolidated Expiry'!H4&lt;=TODAY()+90,"EXPIRING SOON","GREEN")))</f>
        <v>MISSING</v>
      </c>
      <c r="I4" s="39" t="str">
        <f ca="1">IF('Consolidated Expiry'!I4="NS","MISSING",IF('Consolidated Expiry'!I4&lt;TODAY(),"EXPIRED",IF('Consolidated Expiry'!I4&lt;=TODAY()+90,"EXPIRING SOON","GREEN")))</f>
        <v>GREEN</v>
      </c>
      <c r="J4" s="39" t="str">
        <f ca="1">IF('Consolidated Expiry'!J4="NS","MISSING",IF('Consolidated Expiry'!J4&lt;TODAY(),"EXPIRED",IF('Consolidated Expiry'!J4&lt;=TODAY()+90,"EXPIRING SOON","GREEN")))</f>
        <v>GREEN</v>
      </c>
      <c r="K4" s="39" t="str">
        <f ca="1">IF('Consolidated Expiry'!K4="NS","MISSING",IF('Consolidated Expiry'!K4&lt;TODAY(),"EXPIRED",IF('Consolidated Expiry'!K4&lt;=TODAY()+90,"EXPIRING SOON","GREEN")))</f>
        <v>MISSING</v>
      </c>
      <c r="L4" s="39" t="str">
        <f ca="1">IF('Consolidated Expiry'!L4="NS","MISSING",IF('Consolidated Expiry'!L4&lt;TODAY(),"EXPIRED",IF('Consolidated Expiry'!L4&lt;=TODAY()+90,"EXPIRING SOON","GREEN")))</f>
        <v>MISSING</v>
      </c>
      <c r="M4" s="39" t="str">
        <f ca="1">IF('Consolidated Expiry'!M4="NS","MISSING",IF('Consolidated Expiry'!M4&lt;TODAY(),"EXPIRED",IF('Consolidated Expiry'!M4&lt;=TODAY()+90,"EXPIRING SOON","GREEN")))</f>
        <v>MISSING</v>
      </c>
      <c r="N4" s="39" t="str">
        <f ca="1">IF('Consolidated Expiry'!N4="NS","MISSING",IF('Consolidated Expiry'!N4&lt;TODAY(),"EXPIRED",IF('Consolidated Expiry'!N4&lt;=TODAY()+90,"EXPIRING SOON","GREEN")))</f>
        <v>GREEN</v>
      </c>
      <c r="O4" s="39" t="str">
        <f ca="1">IF('Consolidated Expiry'!O4="NS","MISSING",IF('Consolidated Expiry'!O4&lt;TODAY(),"EXPIRED",IF('Consolidated Expiry'!O4&lt;=TODAY()+90,"EXPIRING SOON","GREEN")))</f>
        <v>GREEN</v>
      </c>
      <c r="P4" s="39" t="str">
        <f ca="1">IF('Consolidated Expiry'!P4="NS","MISSING",IF('Consolidated Expiry'!P4&lt;TODAY(),"EXPIRED",IF('Consolidated Expiry'!P4&lt;=TODAY()+90,"EXPIRING SOON","GREEN")))</f>
        <v>GREEN</v>
      </c>
      <c r="Q4" s="39" t="str">
        <f ca="1">IF('Consolidated Expiry'!Q4="NS","MISSING",IF('Consolidated Expiry'!Q4&lt;TODAY(),"EXPIRED",IF('Consolidated Expiry'!Q4&lt;=TODAY()+90,"EXPIRING SOON","GREEN")))</f>
        <v>MISSING</v>
      </c>
      <c r="R4" s="39" t="str">
        <f ca="1">IF('Consolidated Expiry'!R4="NS","MISSING",IF('Consolidated Expiry'!R4&lt;TODAY(),"EXPIRED",IF('Consolidated Expiry'!R4&lt;=TODAY()+90,"EXPIRING SOON","GREEN")))</f>
        <v>GREEN</v>
      </c>
      <c r="S4" s="39" t="str">
        <f ca="1">IF('Consolidated Expiry'!S4="NS","MISSING",IF('Consolidated Expiry'!S4&lt;TODAY(),"EXPIRED",IF('Consolidated Expiry'!S4&lt;=TODAY()+90,"EXPIRING SOON","GREEN")))</f>
        <v>GREEN</v>
      </c>
      <c r="T4" s="39" t="str">
        <f ca="1">IF('Consolidated Expiry'!T4="NS","MISSING",IF('Consolidated Expiry'!T4&lt;TODAY(),"EXPIRED",IF('Consolidated Expiry'!T4&lt;=TODAY()+90,"EXPIRING SOON","GREEN")))</f>
        <v>GREEN</v>
      </c>
      <c r="U4" s="39" t="str">
        <f ca="1">IF('Consolidated Expiry'!U4="NS","MISSING",IF('Consolidated Expiry'!U4&lt;TODAY(),"EXPIRED",IF('Consolidated Expiry'!U4&lt;=TODAY()+90,"EXPIRING SOON","GREEN")))</f>
        <v>GREEN</v>
      </c>
      <c r="V4" s="39" t="str">
        <f ca="1">IF('Consolidated Expiry'!V4="NS","MISSING",IF('Consolidated Expiry'!V4&lt;TODAY(),"EXPIRED",IF('Consolidated Expiry'!V4&lt;=TODAY()+90,"EXPIRING SOON","GREEN")))</f>
        <v>GREEN</v>
      </c>
      <c r="W4" s="39" t="str">
        <f ca="1">IF('Consolidated Expiry'!W4="NS","MISSING",IF('Consolidated Expiry'!W4&lt;TODAY(),"EXPIRED",IF('Consolidated Expiry'!W4&lt;=TODAY()+90,"EXPIRING SOON","GREEN")))</f>
        <v>GREEN</v>
      </c>
      <c r="X4" s="39" t="str">
        <f ca="1">IF('Consolidated Expiry'!X4="NS","MISSING",IF('Consolidated Expiry'!X4&lt;TODAY(),"EXPIRED",IF('Consolidated Expiry'!X4&lt;=TODAY()+90,"EXPIRING SOON","GREEN")))</f>
        <v>GREEN</v>
      </c>
      <c r="Y4" s="39" t="str">
        <f ca="1">IF('Consolidated Expiry'!Y4="NS","MISSING",IF('Consolidated Expiry'!Y4&lt;TODAY(),"EXPIRED",IF('Consolidated Expiry'!Y4&lt;=TODAY()+90,"EXPIRING SOON","GREEN")))</f>
        <v>GREEN</v>
      </c>
      <c r="Z4" s="39" t="str">
        <f ca="1">IF('Consolidated Expiry'!Z4="NS","MISSING",IF('Consolidated Expiry'!Z4&lt;TODAY(),"EXPIRED",IF('Consolidated Expiry'!Z4&lt;=TODAY()+90,"EXPIRING SOON","GREEN")))</f>
        <v>GREEN</v>
      </c>
      <c r="AA4" s="39" t="str">
        <f ca="1">IF('Consolidated Expiry'!AA4="NS","MISSING",IF('Consolidated Expiry'!AA4&lt;TODAY(),"EXPIRED",IF('Consolidated Expiry'!AA4&lt;=TODAY()+90,"EXPIRING SOON","GREEN")))</f>
        <v>GREEN</v>
      </c>
      <c r="AB4" s="39" t="str">
        <f ca="1">IF('Consolidated Expiry'!AB4="NS","MISSING",IF('Consolidated Expiry'!AB4&lt;TODAY(),"EXPIRED",IF('Consolidated Expiry'!AB4&lt;=TODAY()+90,"EXPIRING SOON","GREEN")))</f>
        <v>GREEN</v>
      </c>
      <c r="AC4" s="39" t="str">
        <f ca="1">IF('Consolidated Expiry'!AC4="NS","MISSING",IF('Consolidated Expiry'!AC4&lt;TODAY(),"EXPIRED",IF('Consolidated Expiry'!AC4&lt;=TODAY()+90,"EXPIRING SOON","GREEN")))</f>
        <v>MISSING</v>
      </c>
      <c r="AD4" s="39" t="str">
        <f ca="1">IF('Consolidated Expiry'!AD4="NS","MISSING",IF('Consolidated Expiry'!AD4&lt;TODAY(),"EXPIRED",IF('Consolidated Expiry'!AD4&lt;=TODAY()+90,"EXPIRING SOON","GREEN")))</f>
        <v>GREEN</v>
      </c>
      <c r="AE4" s="39" t="str">
        <f ca="1">IF('Consolidated Expiry'!AE4="NS","MISSING",IF('Consolidated Expiry'!AE4&lt;TODAY(),"EXPIRED",IF('Consolidated Expiry'!AE4&lt;=TODAY()+90,"EXPIRING SOON","GREEN")))</f>
        <v>MISSING</v>
      </c>
      <c r="AF4" s="39" t="str">
        <f ca="1">IF('Consolidated Expiry'!AF4="NS","MISSING",IF('Consolidated Expiry'!AF4&lt;TODAY(),"EXPIRED",IF('Consolidated Expiry'!AF4&lt;=TODAY()+90,"EXPIRING SOON","GREEN")))</f>
        <v>GREEN</v>
      </c>
    </row>
    <row r="5" spans="1:32" x14ac:dyDescent="0.35">
      <c r="A5" s="39" t="s">
        <v>216</v>
      </c>
      <c r="B5" s="39" t="str">
        <f ca="1">IF('Consolidated Expiry'!B5="NS","MISSING",IF('Consolidated Expiry'!B5&lt;TODAY(),"EXPIRED",IF('Consolidated Expiry'!B5&lt;=TODAY()+90,"EXPIRING SOON","GREEN")))</f>
        <v>MISSING</v>
      </c>
      <c r="C5" s="39" t="str">
        <f ca="1">IF('Consolidated Expiry'!C5="NS","MISSING",IF('Consolidated Expiry'!C5&lt;TODAY(),"EXPIRED",IF('Consolidated Expiry'!C5&lt;=TODAY()+90,"EXPIRING SOON","GREEN")))</f>
        <v>GREEN</v>
      </c>
      <c r="D5" s="39" t="str">
        <f ca="1">IF('Consolidated Expiry'!D5="NS","MISSING",IF('Consolidated Expiry'!D5&lt;TODAY(),"EXPIRED",IF('Consolidated Expiry'!D5&lt;=TODAY()+90,"EXPIRING SOON","GREEN")))</f>
        <v>MISSING</v>
      </c>
      <c r="E5" s="39" t="str">
        <f ca="1">IF('Consolidated Expiry'!E5="NS","MISSING",IF('Consolidated Expiry'!E5&lt;TODAY(),"EXPIRED",IF('Consolidated Expiry'!E5&lt;=TODAY()+90,"EXPIRING SOON","GREEN")))</f>
        <v>MISSING</v>
      </c>
      <c r="F5" s="39" t="str">
        <f ca="1">IF('Consolidated Expiry'!F5="NS","MISSING",IF('Consolidated Expiry'!F5&lt;TODAY(),"EXPIRED",IF('Consolidated Expiry'!F5&lt;=TODAY()+90,"EXPIRING SOON","GREEN")))</f>
        <v>GREEN</v>
      </c>
      <c r="G5" s="39" t="str">
        <f ca="1">IF('Consolidated Expiry'!G5="NS","MISSING",IF('Consolidated Expiry'!G5&lt;TODAY(),"EXPIRED",IF('Consolidated Expiry'!G5&lt;=TODAY()+90,"EXPIRING SOON","GREEN")))</f>
        <v>MISSING</v>
      </c>
      <c r="H5" s="39" t="str">
        <f ca="1">IF('Consolidated Expiry'!H5="NS","MISSING",IF('Consolidated Expiry'!H5&lt;TODAY(),"EXPIRED",IF('Consolidated Expiry'!H5&lt;=TODAY()+90,"EXPIRING SOON","GREEN")))</f>
        <v>MISSING</v>
      </c>
      <c r="I5" s="39" t="str">
        <f ca="1">IF('Consolidated Expiry'!I5="NS","MISSING",IF('Consolidated Expiry'!I5&lt;TODAY(),"EXPIRED",IF('Consolidated Expiry'!I5&lt;=TODAY()+90,"EXPIRING SOON","GREEN")))</f>
        <v>GREEN</v>
      </c>
      <c r="J5" s="39" t="str">
        <f ca="1">IF('Consolidated Expiry'!J5="NS","MISSING",IF('Consolidated Expiry'!J5&lt;TODAY(),"EXPIRED",IF('Consolidated Expiry'!J5&lt;=TODAY()+90,"EXPIRING SOON","GREEN")))</f>
        <v>MISSING</v>
      </c>
      <c r="K5" s="39" t="str">
        <f ca="1">IF('Consolidated Expiry'!K5="NS","MISSING",IF('Consolidated Expiry'!K5&lt;TODAY(),"EXPIRED",IF('Consolidated Expiry'!K5&lt;=TODAY()+90,"EXPIRING SOON","GREEN")))</f>
        <v>GREEN</v>
      </c>
      <c r="L5" s="39" t="str">
        <f ca="1">IF('Consolidated Expiry'!L5="NS","MISSING",IF('Consolidated Expiry'!L5&lt;TODAY(),"EXPIRED",IF('Consolidated Expiry'!L5&lt;=TODAY()+90,"EXPIRING SOON","GREEN")))</f>
        <v>MISSING</v>
      </c>
      <c r="M5" s="39" t="str">
        <f ca="1">IF('Consolidated Expiry'!M5="NS","MISSING",IF('Consolidated Expiry'!M5&lt;TODAY(),"EXPIRED",IF('Consolidated Expiry'!M5&lt;=TODAY()+90,"EXPIRING SOON","GREEN")))</f>
        <v>GREEN</v>
      </c>
      <c r="N5" s="39" t="str">
        <f ca="1">IF('Consolidated Expiry'!N5="NS","MISSING",IF('Consolidated Expiry'!N5&lt;TODAY(),"EXPIRED",IF('Consolidated Expiry'!N5&lt;=TODAY()+90,"EXPIRING SOON","GREEN")))</f>
        <v>GREEN</v>
      </c>
      <c r="O5" s="39" t="str">
        <f ca="1">IF('Consolidated Expiry'!O5="NS","MISSING",IF('Consolidated Expiry'!O5&lt;TODAY(),"EXPIRED",IF('Consolidated Expiry'!O5&lt;=TODAY()+90,"EXPIRING SOON","GREEN")))</f>
        <v>GREEN</v>
      </c>
      <c r="P5" s="39" t="str">
        <f ca="1">IF('Consolidated Expiry'!P5="NS","MISSING",IF('Consolidated Expiry'!P5&lt;TODAY(),"EXPIRED",IF('Consolidated Expiry'!P5&lt;=TODAY()+90,"EXPIRING SOON","GREEN")))</f>
        <v>MISSING</v>
      </c>
      <c r="Q5" s="39" t="str">
        <f ca="1">IF('Consolidated Expiry'!Q5="NS","MISSING",IF('Consolidated Expiry'!Q5&lt;TODAY(),"EXPIRED",IF('Consolidated Expiry'!Q5&lt;=TODAY()+90,"EXPIRING SOON","GREEN")))</f>
        <v>MISSING</v>
      </c>
      <c r="R5" s="39" t="str">
        <f ca="1">IF('Consolidated Expiry'!R5="NS","MISSING",IF('Consolidated Expiry'!R5&lt;TODAY(),"EXPIRED",IF('Consolidated Expiry'!R5&lt;=TODAY()+90,"EXPIRING SOON","GREEN")))</f>
        <v>GREEN</v>
      </c>
      <c r="S5" s="39" t="str">
        <f ca="1">IF('Consolidated Expiry'!S5="NS","MISSING",IF('Consolidated Expiry'!S5&lt;TODAY(),"EXPIRED",IF('Consolidated Expiry'!S5&lt;=TODAY()+90,"EXPIRING SOON","GREEN")))</f>
        <v>MISSING</v>
      </c>
      <c r="T5" s="39" t="str">
        <f ca="1">IF('Consolidated Expiry'!T5="NS","MISSING",IF('Consolidated Expiry'!T5&lt;TODAY(),"EXPIRED",IF('Consolidated Expiry'!T5&lt;=TODAY()+90,"EXPIRING SOON","GREEN")))</f>
        <v>GREEN</v>
      </c>
      <c r="U5" s="39" t="str">
        <f ca="1">IF('Consolidated Expiry'!U5="NS","MISSING",IF('Consolidated Expiry'!U5&lt;TODAY(),"EXPIRED",IF('Consolidated Expiry'!U5&lt;=TODAY()+90,"EXPIRING SOON","GREEN")))</f>
        <v>MISSING</v>
      </c>
      <c r="V5" s="39" t="str">
        <f ca="1">IF('Consolidated Expiry'!V5="NS","MISSING",IF('Consolidated Expiry'!V5&lt;TODAY(),"EXPIRED",IF('Consolidated Expiry'!V5&lt;=TODAY()+90,"EXPIRING SOON","GREEN")))</f>
        <v>GREEN</v>
      </c>
      <c r="W5" s="39" t="str">
        <f ca="1">IF('Consolidated Expiry'!W5="NS","MISSING",IF('Consolidated Expiry'!W5&lt;TODAY(),"EXPIRED",IF('Consolidated Expiry'!W5&lt;=TODAY()+90,"EXPIRING SOON","GREEN")))</f>
        <v>GREEN</v>
      </c>
      <c r="X5" s="39" t="str">
        <f ca="1">IF('Consolidated Expiry'!X5="NS","MISSING",IF('Consolidated Expiry'!X5&lt;TODAY(),"EXPIRED",IF('Consolidated Expiry'!X5&lt;=TODAY()+90,"EXPIRING SOON","GREEN")))</f>
        <v>GREEN</v>
      </c>
      <c r="Y5" s="39" t="str">
        <f ca="1">IF('Consolidated Expiry'!Y5="NS","MISSING",IF('Consolidated Expiry'!Y5&lt;TODAY(),"EXPIRED",IF('Consolidated Expiry'!Y5&lt;=TODAY()+90,"EXPIRING SOON","GREEN")))</f>
        <v>MISSING</v>
      </c>
      <c r="Z5" s="39" t="str">
        <f ca="1">IF('Consolidated Expiry'!Z5="NS","MISSING",IF('Consolidated Expiry'!Z5&lt;TODAY(),"EXPIRED",IF('Consolidated Expiry'!Z5&lt;=TODAY()+90,"EXPIRING SOON","GREEN")))</f>
        <v>GREEN</v>
      </c>
      <c r="AA5" s="39" t="str">
        <f ca="1">IF('Consolidated Expiry'!AA5="NS","MISSING",IF('Consolidated Expiry'!AA5&lt;TODAY(),"EXPIRED",IF('Consolidated Expiry'!AA5&lt;=TODAY()+90,"EXPIRING SOON","GREEN")))</f>
        <v>MISSING</v>
      </c>
      <c r="AB5" s="39" t="str">
        <f ca="1">IF('Consolidated Expiry'!AB5="NS","MISSING",IF('Consolidated Expiry'!AB5&lt;TODAY(),"EXPIRED",IF('Consolidated Expiry'!AB5&lt;=TODAY()+90,"EXPIRING SOON","GREEN")))</f>
        <v>GREEN</v>
      </c>
      <c r="AC5" s="39" t="str">
        <f ca="1">IF('Consolidated Expiry'!AC5="NS","MISSING",IF('Consolidated Expiry'!AC5&lt;TODAY(),"EXPIRED",IF('Consolidated Expiry'!AC5&lt;=TODAY()+90,"EXPIRING SOON","GREEN")))</f>
        <v>GREEN</v>
      </c>
      <c r="AD5" s="39" t="str">
        <f ca="1">IF('Consolidated Expiry'!AD5="NS","MISSING",IF('Consolidated Expiry'!AD5&lt;TODAY(),"EXPIRED",IF('Consolidated Expiry'!AD5&lt;=TODAY()+90,"EXPIRING SOON","GREEN")))</f>
        <v>MISSING</v>
      </c>
      <c r="AE5" s="39" t="str">
        <f ca="1">IF('Consolidated Expiry'!AE5="NS","MISSING",IF('Consolidated Expiry'!AE5&lt;TODAY(),"EXPIRED",IF('Consolidated Expiry'!AE5&lt;=TODAY()+90,"EXPIRING SOON","GREEN")))</f>
        <v>MISSING</v>
      </c>
      <c r="AF5" s="39" t="str">
        <f ca="1">IF('Consolidated Expiry'!AF5="NS","MISSING",IF('Consolidated Expiry'!AF5&lt;TODAY(),"EXPIRED",IF('Consolidated Expiry'!AF5&lt;=TODAY()+90,"EXPIRING SOON","GREEN")))</f>
        <v>MISSING</v>
      </c>
    </row>
    <row r="6" spans="1:32" x14ac:dyDescent="0.35">
      <c r="A6" s="39" t="s">
        <v>218</v>
      </c>
      <c r="B6" s="39" t="str">
        <f ca="1">IF('Consolidated Expiry'!B6="NS","MISSING",IF('Consolidated Expiry'!B6&lt;TODAY(),"EXPIRED",IF('Consolidated Expiry'!B6&lt;=TODAY()+90,"EXPIRING SOON","GREEN")))</f>
        <v>MISSING</v>
      </c>
      <c r="C6" s="39" t="str">
        <f ca="1">IF('Consolidated Expiry'!C6="NS","MISSING",IF('Consolidated Expiry'!C6&lt;TODAY(),"EXPIRED",IF('Consolidated Expiry'!C6&lt;=TODAY()+90,"EXPIRING SOON","GREEN")))</f>
        <v>GREEN</v>
      </c>
      <c r="D6" s="39" t="str">
        <f ca="1">IF('Consolidated Expiry'!D6="NS","MISSING",IF('Consolidated Expiry'!D6&lt;TODAY(),"EXPIRED",IF('Consolidated Expiry'!D6&lt;=TODAY()+90,"EXPIRING SOON","GREEN")))</f>
        <v>MISSING</v>
      </c>
      <c r="E6" s="39" t="str">
        <f ca="1">IF('Consolidated Expiry'!E6="NS","MISSING",IF('Consolidated Expiry'!E6&lt;TODAY(),"EXPIRED",IF('Consolidated Expiry'!E6&lt;=TODAY()+90,"EXPIRING SOON","GREEN")))</f>
        <v>GREEN</v>
      </c>
      <c r="F6" s="39" t="str">
        <f ca="1">IF('Consolidated Expiry'!F6="NS","MISSING",IF('Consolidated Expiry'!F6&lt;TODAY(),"EXPIRED",IF('Consolidated Expiry'!F6&lt;=TODAY()+90,"EXPIRING SOON","GREEN")))</f>
        <v>GREEN</v>
      </c>
      <c r="G6" s="39" t="str">
        <f ca="1">IF('Consolidated Expiry'!G6="NS","MISSING",IF('Consolidated Expiry'!G6&lt;TODAY(),"EXPIRED",IF('Consolidated Expiry'!G6&lt;=TODAY()+90,"EXPIRING SOON","GREEN")))</f>
        <v>GREEN</v>
      </c>
      <c r="H6" s="39" t="str">
        <f ca="1">IF('Consolidated Expiry'!H6="NS","MISSING",IF('Consolidated Expiry'!H6&lt;TODAY(),"EXPIRED",IF('Consolidated Expiry'!H6&lt;=TODAY()+90,"EXPIRING SOON","GREEN")))</f>
        <v>MISSING</v>
      </c>
      <c r="I6" s="39" t="str">
        <f ca="1">IF('Consolidated Expiry'!I6="NS","MISSING",IF('Consolidated Expiry'!I6&lt;TODAY(),"EXPIRED",IF('Consolidated Expiry'!I6&lt;=TODAY()+90,"EXPIRING SOON","GREEN")))</f>
        <v>GREEN</v>
      </c>
      <c r="J6" s="39" t="str">
        <f ca="1">IF('Consolidated Expiry'!J6="NS","MISSING",IF('Consolidated Expiry'!J6&lt;TODAY(),"EXPIRED",IF('Consolidated Expiry'!J6&lt;=TODAY()+90,"EXPIRING SOON","GREEN")))</f>
        <v>GREEN</v>
      </c>
      <c r="K6" s="39" t="str">
        <f ca="1">IF('Consolidated Expiry'!K6="NS","MISSING",IF('Consolidated Expiry'!K6&lt;TODAY(),"EXPIRED",IF('Consolidated Expiry'!K6&lt;=TODAY()+90,"EXPIRING SOON","GREEN")))</f>
        <v>GREEN</v>
      </c>
      <c r="L6" s="39" t="str">
        <f ca="1">IF('Consolidated Expiry'!L6="NS","MISSING",IF('Consolidated Expiry'!L6&lt;TODAY(),"EXPIRED",IF('Consolidated Expiry'!L6&lt;=TODAY()+90,"EXPIRING SOON","GREEN")))</f>
        <v>MISSING</v>
      </c>
      <c r="M6" s="39" t="str">
        <f ca="1">IF('Consolidated Expiry'!M6="NS","MISSING",IF('Consolidated Expiry'!M6&lt;TODAY(),"EXPIRED",IF('Consolidated Expiry'!M6&lt;=TODAY()+90,"EXPIRING SOON","GREEN")))</f>
        <v>GREEN</v>
      </c>
      <c r="N6" s="39" t="str">
        <f ca="1">IF('Consolidated Expiry'!N6="NS","MISSING",IF('Consolidated Expiry'!N6&lt;TODAY(),"EXPIRED",IF('Consolidated Expiry'!N6&lt;=TODAY()+90,"EXPIRING SOON","GREEN")))</f>
        <v>GREEN</v>
      </c>
      <c r="O6" s="39" t="str">
        <f ca="1">IF('Consolidated Expiry'!O6="NS","MISSING",IF('Consolidated Expiry'!O6&lt;TODAY(),"EXPIRED",IF('Consolidated Expiry'!O6&lt;=TODAY()+90,"EXPIRING SOON","GREEN")))</f>
        <v>GREEN</v>
      </c>
      <c r="P6" s="39" t="str">
        <f ca="1">IF('Consolidated Expiry'!P6="NS","MISSING",IF('Consolidated Expiry'!P6&lt;TODAY(),"EXPIRED",IF('Consolidated Expiry'!P6&lt;=TODAY()+90,"EXPIRING SOON","GREEN")))</f>
        <v>GREEN</v>
      </c>
      <c r="Q6" s="39" t="str">
        <f ca="1">IF('Consolidated Expiry'!Q6="NS","MISSING",IF('Consolidated Expiry'!Q6&lt;TODAY(),"EXPIRED",IF('Consolidated Expiry'!Q6&lt;=TODAY()+90,"EXPIRING SOON","GREEN")))</f>
        <v>GREEN</v>
      </c>
      <c r="R6" s="39" t="str">
        <f ca="1">IF('Consolidated Expiry'!R6="NS","MISSING",IF('Consolidated Expiry'!R6&lt;TODAY(),"EXPIRED",IF('Consolidated Expiry'!R6&lt;=TODAY()+90,"EXPIRING SOON","GREEN")))</f>
        <v>GREEN</v>
      </c>
      <c r="S6" s="39" t="str">
        <f ca="1">IF('Consolidated Expiry'!S6="NS","MISSING",IF('Consolidated Expiry'!S6&lt;TODAY(),"EXPIRED",IF('Consolidated Expiry'!S6&lt;=TODAY()+90,"EXPIRING SOON","GREEN")))</f>
        <v>GREEN</v>
      </c>
      <c r="T6" s="39" t="str">
        <f ca="1">IF('Consolidated Expiry'!T6="NS","MISSING",IF('Consolidated Expiry'!T6&lt;TODAY(),"EXPIRED",IF('Consolidated Expiry'!T6&lt;=TODAY()+90,"EXPIRING SOON","GREEN")))</f>
        <v>GREEN</v>
      </c>
      <c r="U6" s="39" t="str">
        <f ca="1">IF('Consolidated Expiry'!U6="NS","MISSING",IF('Consolidated Expiry'!U6&lt;TODAY(),"EXPIRED",IF('Consolidated Expiry'!U6&lt;=TODAY()+90,"EXPIRING SOON","GREEN")))</f>
        <v>MISSING</v>
      </c>
      <c r="V6" s="39" t="str">
        <f ca="1">IF('Consolidated Expiry'!V6="NS","MISSING",IF('Consolidated Expiry'!V6&lt;TODAY(),"EXPIRED",IF('Consolidated Expiry'!V6&lt;=TODAY()+90,"EXPIRING SOON","GREEN")))</f>
        <v>GREEN</v>
      </c>
      <c r="W6" s="39" t="str">
        <f ca="1">IF('Consolidated Expiry'!W6="NS","MISSING",IF('Consolidated Expiry'!W6&lt;TODAY(),"EXPIRED",IF('Consolidated Expiry'!W6&lt;=TODAY()+90,"EXPIRING SOON","GREEN")))</f>
        <v>GREEN</v>
      </c>
      <c r="X6" s="39" t="str">
        <f ca="1">IF('Consolidated Expiry'!X6="NS","MISSING",IF('Consolidated Expiry'!X6&lt;TODAY(),"EXPIRED",IF('Consolidated Expiry'!X6&lt;=TODAY()+90,"EXPIRING SOON","GREEN")))</f>
        <v>GREEN</v>
      </c>
      <c r="Y6" s="39" t="str">
        <f ca="1">IF('Consolidated Expiry'!Y6="NS","MISSING",IF('Consolidated Expiry'!Y6&lt;TODAY(),"EXPIRED",IF('Consolidated Expiry'!Y6&lt;=TODAY()+90,"EXPIRING SOON","GREEN")))</f>
        <v>GREEN</v>
      </c>
      <c r="Z6" s="39" t="str">
        <f ca="1">IF('Consolidated Expiry'!Z6="NS","MISSING",IF('Consolidated Expiry'!Z6&lt;TODAY(),"EXPIRED",IF('Consolidated Expiry'!Z6&lt;=TODAY()+90,"EXPIRING SOON","GREEN")))</f>
        <v>GREEN</v>
      </c>
      <c r="AA6" s="39" t="str">
        <f ca="1">IF('Consolidated Expiry'!AA6="NS","MISSING",IF('Consolidated Expiry'!AA6&lt;TODAY(),"EXPIRED",IF('Consolidated Expiry'!AA6&lt;=TODAY()+90,"EXPIRING SOON","GREEN")))</f>
        <v>MISSING</v>
      </c>
      <c r="AB6" s="39" t="str">
        <f ca="1">IF('Consolidated Expiry'!AB6="NS","MISSING",IF('Consolidated Expiry'!AB6&lt;TODAY(),"EXPIRED",IF('Consolidated Expiry'!AB6&lt;=TODAY()+90,"EXPIRING SOON","GREEN")))</f>
        <v>GREEN</v>
      </c>
      <c r="AC6" s="39" t="str">
        <f ca="1">IF('Consolidated Expiry'!AC6="NS","MISSING",IF('Consolidated Expiry'!AC6&lt;TODAY(),"EXPIRED",IF('Consolidated Expiry'!AC6&lt;=TODAY()+90,"EXPIRING SOON","GREEN")))</f>
        <v>GREEN</v>
      </c>
      <c r="AD6" s="39" t="str">
        <f ca="1">IF('Consolidated Expiry'!AD6="NS","MISSING",IF('Consolidated Expiry'!AD6&lt;TODAY(),"EXPIRED",IF('Consolidated Expiry'!AD6&lt;=TODAY()+90,"EXPIRING SOON","GREEN")))</f>
        <v>MISSING</v>
      </c>
      <c r="AE6" s="39" t="str">
        <f ca="1">IF('Consolidated Expiry'!AE6="NS","MISSING",IF('Consolidated Expiry'!AE6&lt;TODAY(),"EXPIRED",IF('Consolidated Expiry'!AE6&lt;=TODAY()+90,"EXPIRING SOON","GREEN")))</f>
        <v>MISSING</v>
      </c>
      <c r="AF6" s="39" t="str">
        <f ca="1">IF('Consolidated Expiry'!AF6="NS","MISSING",IF('Consolidated Expiry'!AF6&lt;TODAY(),"EXPIRED",IF('Consolidated Expiry'!AF6&lt;=TODAY()+90,"EXPIRING SOON","GREEN")))</f>
        <v>MISSING</v>
      </c>
    </row>
    <row r="7" spans="1:32" x14ac:dyDescent="0.35">
      <c r="A7" s="39" t="s">
        <v>221</v>
      </c>
      <c r="B7" s="39" t="str">
        <f ca="1">IF('Consolidated Expiry'!B7="NS","MISSING",IF('Consolidated Expiry'!B7&lt;TODAY(),"EXPIRED",IF('Consolidated Expiry'!B7&lt;=TODAY()+90,"EXPIRING SOON","GREEN")))</f>
        <v>MISSING</v>
      </c>
      <c r="C7" s="39" t="str">
        <f ca="1">IF('Consolidated Expiry'!C7="NS","MISSING",IF('Consolidated Expiry'!C7&lt;TODAY(),"EXPIRED",IF('Consolidated Expiry'!C7&lt;=TODAY()+90,"EXPIRING SOON","GREEN")))</f>
        <v>GREEN</v>
      </c>
      <c r="D7" s="39" t="str">
        <f ca="1">IF('Consolidated Expiry'!D7="NS","MISSING",IF('Consolidated Expiry'!D7&lt;TODAY(),"EXPIRED",IF('Consolidated Expiry'!D7&lt;=TODAY()+90,"EXPIRING SOON","GREEN")))</f>
        <v>MISSING</v>
      </c>
      <c r="E7" s="39" t="str">
        <f ca="1">IF('Consolidated Expiry'!E7="NS","MISSING",IF('Consolidated Expiry'!E7&lt;TODAY(),"EXPIRED",IF('Consolidated Expiry'!E7&lt;=TODAY()+90,"EXPIRING SOON","GREEN")))</f>
        <v>GREEN</v>
      </c>
      <c r="F7" s="39" t="str">
        <f ca="1">IF('Consolidated Expiry'!F7="NS","MISSING",IF('Consolidated Expiry'!F7&lt;TODAY(),"EXPIRED",IF('Consolidated Expiry'!F7&lt;=TODAY()+90,"EXPIRING SOON","GREEN")))</f>
        <v>GREEN</v>
      </c>
      <c r="G7" s="39" t="str">
        <f ca="1">IF('Consolidated Expiry'!G7="NS","MISSING",IF('Consolidated Expiry'!G7&lt;TODAY(),"EXPIRED",IF('Consolidated Expiry'!G7&lt;=TODAY()+90,"EXPIRING SOON","GREEN")))</f>
        <v>GREEN</v>
      </c>
      <c r="H7" s="39" t="str">
        <f ca="1">IF('Consolidated Expiry'!H7="NS","MISSING",IF('Consolidated Expiry'!H7&lt;TODAY(),"EXPIRED",IF('Consolidated Expiry'!H7&lt;=TODAY()+90,"EXPIRING SOON","GREEN")))</f>
        <v>MISSING</v>
      </c>
      <c r="I7" s="39" t="str">
        <f ca="1">IF('Consolidated Expiry'!I7="NS","MISSING",IF('Consolidated Expiry'!I7&lt;TODAY(),"EXPIRED",IF('Consolidated Expiry'!I7&lt;=TODAY()+90,"EXPIRING SOON","GREEN")))</f>
        <v>GREEN</v>
      </c>
      <c r="J7" s="39" t="str">
        <f ca="1">IF('Consolidated Expiry'!J7="NS","MISSING",IF('Consolidated Expiry'!J7&lt;TODAY(),"EXPIRED",IF('Consolidated Expiry'!J7&lt;=TODAY()+90,"EXPIRING SOON","GREEN")))</f>
        <v>MISSING</v>
      </c>
      <c r="K7" s="39" t="str">
        <f ca="1">IF('Consolidated Expiry'!K7="NS","MISSING",IF('Consolidated Expiry'!K7&lt;TODAY(),"EXPIRED",IF('Consolidated Expiry'!K7&lt;=TODAY()+90,"EXPIRING SOON","GREEN")))</f>
        <v>GREEN</v>
      </c>
      <c r="L7" s="39" t="str">
        <f ca="1">IF('Consolidated Expiry'!L7="NS","MISSING",IF('Consolidated Expiry'!L7&lt;TODAY(),"EXPIRED",IF('Consolidated Expiry'!L7&lt;=TODAY()+90,"EXPIRING SOON","GREEN")))</f>
        <v>MISSING</v>
      </c>
      <c r="M7" s="39" t="str">
        <f ca="1">IF('Consolidated Expiry'!M7="NS","MISSING",IF('Consolidated Expiry'!M7&lt;TODAY(),"EXPIRED",IF('Consolidated Expiry'!M7&lt;=TODAY()+90,"EXPIRING SOON","GREEN")))</f>
        <v>GREEN</v>
      </c>
      <c r="N7" s="39" t="str">
        <f ca="1">IF('Consolidated Expiry'!N7="NS","MISSING",IF('Consolidated Expiry'!N7&lt;TODAY(),"EXPIRED",IF('Consolidated Expiry'!N7&lt;=TODAY()+90,"EXPIRING SOON","GREEN")))</f>
        <v>MISSING</v>
      </c>
      <c r="O7" s="39" t="str">
        <f ca="1">IF('Consolidated Expiry'!O7="NS","MISSING",IF('Consolidated Expiry'!O7&lt;TODAY(),"EXPIRED",IF('Consolidated Expiry'!O7&lt;=TODAY()+90,"EXPIRING SOON","GREEN")))</f>
        <v>GREEN</v>
      </c>
      <c r="P7" s="39" t="str">
        <f ca="1">IF('Consolidated Expiry'!P7="NS","MISSING",IF('Consolidated Expiry'!P7&lt;TODAY(),"EXPIRED",IF('Consolidated Expiry'!P7&lt;=TODAY()+90,"EXPIRING SOON","GREEN")))</f>
        <v>GREEN</v>
      </c>
      <c r="Q7" s="39" t="str">
        <f ca="1">IF('Consolidated Expiry'!Q7="NS","MISSING",IF('Consolidated Expiry'!Q7&lt;TODAY(),"EXPIRED",IF('Consolidated Expiry'!Q7&lt;=TODAY()+90,"EXPIRING SOON","GREEN")))</f>
        <v>MISSING</v>
      </c>
      <c r="R7" s="39" t="str">
        <f ca="1">IF('Consolidated Expiry'!R7="NS","MISSING",IF('Consolidated Expiry'!R7&lt;TODAY(),"EXPIRED",IF('Consolidated Expiry'!R7&lt;=TODAY()+90,"EXPIRING SOON","GREEN")))</f>
        <v>GREEN</v>
      </c>
      <c r="S7" s="39" t="str">
        <f ca="1">IF('Consolidated Expiry'!S7="NS","MISSING",IF('Consolidated Expiry'!S7&lt;TODAY(),"EXPIRED",IF('Consolidated Expiry'!S7&lt;=TODAY()+90,"EXPIRING SOON","GREEN")))</f>
        <v>MISSING</v>
      </c>
      <c r="T7" s="39" t="str">
        <f ca="1">IF('Consolidated Expiry'!T7="NS","MISSING",IF('Consolidated Expiry'!T7&lt;TODAY(),"EXPIRED",IF('Consolidated Expiry'!T7&lt;=TODAY()+90,"EXPIRING SOON","GREEN")))</f>
        <v>GREEN</v>
      </c>
      <c r="U7" s="39" t="str">
        <f ca="1">IF('Consolidated Expiry'!U7="NS","MISSING",IF('Consolidated Expiry'!U7&lt;TODAY(),"EXPIRED",IF('Consolidated Expiry'!U7&lt;=TODAY()+90,"EXPIRING SOON","GREEN")))</f>
        <v>MISSING</v>
      </c>
      <c r="V7" s="39" t="str">
        <f ca="1">IF('Consolidated Expiry'!V7="NS","MISSING",IF('Consolidated Expiry'!V7&lt;TODAY(),"EXPIRED",IF('Consolidated Expiry'!V7&lt;=TODAY()+90,"EXPIRING SOON","GREEN")))</f>
        <v>MISSING</v>
      </c>
      <c r="W7" s="39" t="str">
        <f ca="1">IF('Consolidated Expiry'!W7="NS","MISSING",IF('Consolidated Expiry'!W7&lt;TODAY(),"EXPIRED",IF('Consolidated Expiry'!W7&lt;=TODAY()+90,"EXPIRING SOON","GREEN")))</f>
        <v>GREEN</v>
      </c>
      <c r="X7" s="39" t="str">
        <f ca="1">IF('Consolidated Expiry'!X7="NS","MISSING",IF('Consolidated Expiry'!X7&lt;TODAY(),"EXPIRED",IF('Consolidated Expiry'!X7&lt;=TODAY()+90,"EXPIRING SOON","GREEN")))</f>
        <v>GREEN</v>
      </c>
      <c r="Y7" s="39" t="str">
        <f ca="1">IF('Consolidated Expiry'!Y7="NS","MISSING",IF('Consolidated Expiry'!Y7&lt;TODAY(),"EXPIRED",IF('Consolidated Expiry'!Y7&lt;=TODAY()+90,"EXPIRING SOON","GREEN")))</f>
        <v>MISSING</v>
      </c>
      <c r="Z7" s="39" t="str">
        <f ca="1">IF('Consolidated Expiry'!Z7="NS","MISSING",IF('Consolidated Expiry'!Z7&lt;TODAY(),"EXPIRED",IF('Consolidated Expiry'!Z7&lt;=TODAY()+90,"EXPIRING SOON","GREEN")))</f>
        <v>GREEN</v>
      </c>
      <c r="AA7" s="39" t="str">
        <f ca="1">IF('Consolidated Expiry'!AA7="NS","MISSING",IF('Consolidated Expiry'!AA7&lt;TODAY(),"EXPIRED",IF('Consolidated Expiry'!AA7&lt;=TODAY()+90,"EXPIRING SOON","GREEN")))</f>
        <v>GREEN</v>
      </c>
      <c r="AB7" s="39" t="str">
        <f ca="1">IF('Consolidated Expiry'!AB7="NS","MISSING",IF('Consolidated Expiry'!AB7&lt;TODAY(),"EXPIRED",IF('Consolidated Expiry'!AB7&lt;=TODAY()+90,"EXPIRING SOON","GREEN")))</f>
        <v>GREEN</v>
      </c>
      <c r="AC7" s="39" t="str">
        <f ca="1">IF('Consolidated Expiry'!AC7="NS","MISSING",IF('Consolidated Expiry'!AC7&lt;TODAY(),"EXPIRED",IF('Consolidated Expiry'!AC7&lt;=TODAY()+90,"EXPIRING SOON","GREEN")))</f>
        <v>GREEN</v>
      </c>
      <c r="AD7" s="39" t="str">
        <f ca="1">IF('Consolidated Expiry'!AD7="NS","MISSING",IF('Consolidated Expiry'!AD7&lt;TODAY(),"EXPIRED",IF('Consolidated Expiry'!AD7&lt;=TODAY()+90,"EXPIRING SOON","GREEN")))</f>
        <v>GREEN</v>
      </c>
      <c r="AE7" s="39" t="str">
        <f ca="1">IF('Consolidated Expiry'!AE7="NS","MISSING",IF('Consolidated Expiry'!AE7&lt;TODAY(),"EXPIRED",IF('Consolidated Expiry'!AE7&lt;=TODAY()+90,"EXPIRING SOON","GREEN")))</f>
        <v>MISSING</v>
      </c>
      <c r="AF7" s="39" t="str">
        <f ca="1">IF('Consolidated Expiry'!AF7="NS","MISSING",IF('Consolidated Expiry'!AF7&lt;TODAY(),"EXPIRED",IF('Consolidated Expiry'!AF7&lt;=TODAY()+90,"EXPIRING SOON","GREEN")))</f>
        <v>MISSING</v>
      </c>
    </row>
    <row r="8" spans="1:32" x14ac:dyDescent="0.35">
      <c r="A8" s="39" t="s">
        <v>224</v>
      </c>
      <c r="B8" s="39" t="str">
        <f ca="1">IF('Consolidated Expiry'!B8="NS","MISSING",IF('Consolidated Expiry'!B8&lt;TODAY(),"EXPIRED",IF('Consolidated Expiry'!B8&lt;=TODAY()+90,"EXPIRING SOON","GREEN")))</f>
        <v>MISSING</v>
      </c>
      <c r="C8" s="39" t="str">
        <f ca="1">IF('Consolidated Expiry'!C8="NS","MISSING",IF('Consolidated Expiry'!C8&lt;TODAY(),"EXPIRED",IF('Consolidated Expiry'!C8&lt;=TODAY()+90,"EXPIRING SOON","GREEN")))</f>
        <v>MISSING</v>
      </c>
      <c r="D8" s="39" t="str">
        <f ca="1">IF('Consolidated Expiry'!D8="NS","MISSING",IF('Consolidated Expiry'!D8&lt;TODAY(),"EXPIRED",IF('Consolidated Expiry'!D8&lt;=TODAY()+90,"EXPIRING SOON","GREEN")))</f>
        <v>MISSING</v>
      </c>
      <c r="E8" s="39" t="str">
        <f ca="1">IF('Consolidated Expiry'!E8="NS","MISSING",IF('Consolidated Expiry'!E8&lt;TODAY(),"EXPIRED",IF('Consolidated Expiry'!E8&lt;=TODAY()+90,"EXPIRING SOON","GREEN")))</f>
        <v>GREEN</v>
      </c>
      <c r="F8" s="39" t="str">
        <f ca="1">IF('Consolidated Expiry'!F8="NS","MISSING",IF('Consolidated Expiry'!F8&lt;TODAY(),"EXPIRED",IF('Consolidated Expiry'!F8&lt;=TODAY()+90,"EXPIRING SOON","GREEN")))</f>
        <v>GREEN</v>
      </c>
      <c r="G8" s="39" t="str">
        <f ca="1">IF('Consolidated Expiry'!G8="NS","MISSING",IF('Consolidated Expiry'!G8&lt;TODAY(),"EXPIRED",IF('Consolidated Expiry'!G8&lt;=TODAY()+90,"EXPIRING SOON","GREEN")))</f>
        <v>MISSING</v>
      </c>
      <c r="H8" s="39" t="str">
        <f ca="1">IF('Consolidated Expiry'!H8="NS","MISSING",IF('Consolidated Expiry'!H8&lt;TODAY(),"EXPIRED",IF('Consolidated Expiry'!H8&lt;=TODAY()+90,"EXPIRING SOON","GREEN")))</f>
        <v>GREEN</v>
      </c>
      <c r="I8" s="39" t="str">
        <f ca="1">IF('Consolidated Expiry'!I8="NS","MISSING",IF('Consolidated Expiry'!I8&lt;TODAY(),"EXPIRED",IF('Consolidated Expiry'!I8&lt;=TODAY()+90,"EXPIRING SOON","GREEN")))</f>
        <v>GREEN</v>
      </c>
      <c r="J8" s="39" t="str">
        <f ca="1">IF('Consolidated Expiry'!J8="NS","MISSING",IF('Consolidated Expiry'!J8&lt;TODAY(),"EXPIRED",IF('Consolidated Expiry'!J8&lt;=TODAY()+90,"EXPIRING SOON","GREEN")))</f>
        <v>GREEN</v>
      </c>
      <c r="K8" s="39" t="str">
        <f ca="1">IF('Consolidated Expiry'!K8="NS","MISSING",IF('Consolidated Expiry'!K8&lt;TODAY(),"EXPIRED",IF('Consolidated Expiry'!K8&lt;=TODAY()+90,"EXPIRING SOON","GREEN")))</f>
        <v>GREEN</v>
      </c>
      <c r="L8" s="39" t="str">
        <f ca="1">IF('Consolidated Expiry'!L8="NS","MISSING",IF('Consolidated Expiry'!L8&lt;TODAY(),"EXPIRED",IF('Consolidated Expiry'!L8&lt;=TODAY()+90,"EXPIRING SOON","GREEN")))</f>
        <v>MISSING</v>
      </c>
      <c r="M8" s="39" t="str">
        <f ca="1">IF('Consolidated Expiry'!M8="NS","MISSING",IF('Consolidated Expiry'!M8&lt;TODAY(),"EXPIRED",IF('Consolidated Expiry'!M8&lt;=TODAY()+90,"EXPIRING SOON","GREEN")))</f>
        <v>GREEN</v>
      </c>
      <c r="N8" s="39" t="str">
        <f ca="1">IF('Consolidated Expiry'!N8="NS","MISSING",IF('Consolidated Expiry'!N8&lt;TODAY(),"EXPIRED",IF('Consolidated Expiry'!N8&lt;=TODAY()+90,"EXPIRING SOON","GREEN")))</f>
        <v>GREEN</v>
      </c>
      <c r="O8" s="39" t="str">
        <f ca="1">IF('Consolidated Expiry'!O8="NS","MISSING",IF('Consolidated Expiry'!O8&lt;TODAY(),"EXPIRED",IF('Consolidated Expiry'!O8&lt;=TODAY()+90,"EXPIRING SOON","GREEN")))</f>
        <v>GREEN</v>
      </c>
      <c r="P8" s="39" t="str">
        <f ca="1">IF('Consolidated Expiry'!P8="NS","MISSING",IF('Consolidated Expiry'!P8&lt;TODAY(),"EXPIRED",IF('Consolidated Expiry'!P8&lt;=TODAY()+90,"EXPIRING SOON","GREEN")))</f>
        <v>GREEN</v>
      </c>
      <c r="Q8" s="39" t="str">
        <f ca="1">IF('Consolidated Expiry'!Q8="NS","MISSING",IF('Consolidated Expiry'!Q8&lt;TODAY(),"EXPIRED",IF('Consolidated Expiry'!Q8&lt;=TODAY()+90,"EXPIRING SOON","GREEN")))</f>
        <v>GREEN</v>
      </c>
      <c r="R8" s="39" t="str">
        <f ca="1">IF('Consolidated Expiry'!R8="NS","MISSING",IF('Consolidated Expiry'!R8&lt;TODAY(),"EXPIRED",IF('Consolidated Expiry'!R8&lt;=TODAY()+90,"EXPIRING SOON","GREEN")))</f>
        <v>GREEN</v>
      </c>
      <c r="S8" s="39" t="str">
        <f ca="1">IF('Consolidated Expiry'!S8="NS","MISSING",IF('Consolidated Expiry'!S8&lt;TODAY(),"EXPIRED",IF('Consolidated Expiry'!S8&lt;=TODAY()+90,"EXPIRING SOON","GREEN")))</f>
        <v>MISSING</v>
      </c>
      <c r="T8" s="39" t="str">
        <f ca="1">IF('Consolidated Expiry'!T8="NS","MISSING",IF('Consolidated Expiry'!T8&lt;TODAY(),"EXPIRED",IF('Consolidated Expiry'!T8&lt;=TODAY()+90,"EXPIRING SOON","GREEN")))</f>
        <v>MISSING</v>
      </c>
      <c r="U8" s="39" t="str">
        <f ca="1">IF('Consolidated Expiry'!U8="NS","MISSING",IF('Consolidated Expiry'!U8&lt;TODAY(),"EXPIRED",IF('Consolidated Expiry'!U8&lt;=TODAY()+90,"EXPIRING SOON","GREEN")))</f>
        <v>MISSING</v>
      </c>
      <c r="V8" s="39" t="str">
        <f ca="1">IF('Consolidated Expiry'!V8="NS","MISSING",IF('Consolidated Expiry'!V8&lt;TODAY(),"EXPIRED",IF('Consolidated Expiry'!V8&lt;=TODAY()+90,"EXPIRING SOON","GREEN")))</f>
        <v>GREEN</v>
      </c>
      <c r="W8" s="39" t="str">
        <f ca="1">IF('Consolidated Expiry'!W8="NS","MISSING",IF('Consolidated Expiry'!W8&lt;TODAY(),"EXPIRED",IF('Consolidated Expiry'!W8&lt;=TODAY()+90,"EXPIRING SOON","GREEN")))</f>
        <v>GREEN</v>
      </c>
      <c r="X8" s="39" t="str">
        <f ca="1">IF('Consolidated Expiry'!X8="NS","MISSING",IF('Consolidated Expiry'!X8&lt;TODAY(),"EXPIRED",IF('Consolidated Expiry'!X8&lt;=TODAY()+90,"EXPIRING SOON","GREEN")))</f>
        <v>GREEN</v>
      </c>
      <c r="Y8" s="39" t="str">
        <f ca="1">IF('Consolidated Expiry'!Y8="NS","MISSING",IF('Consolidated Expiry'!Y8&lt;TODAY(),"EXPIRED",IF('Consolidated Expiry'!Y8&lt;=TODAY()+90,"EXPIRING SOON","GREEN")))</f>
        <v>GREEN</v>
      </c>
      <c r="Z8" s="39" t="str">
        <f ca="1">IF('Consolidated Expiry'!Z8="NS","MISSING",IF('Consolidated Expiry'!Z8&lt;TODAY(),"EXPIRED",IF('Consolidated Expiry'!Z8&lt;=TODAY()+90,"EXPIRING SOON","GREEN")))</f>
        <v>GREEN</v>
      </c>
      <c r="AA8" s="39" t="str">
        <f ca="1">IF('Consolidated Expiry'!AA8="NS","MISSING",IF('Consolidated Expiry'!AA8&lt;TODAY(),"EXPIRED",IF('Consolidated Expiry'!AA8&lt;=TODAY()+90,"EXPIRING SOON","GREEN")))</f>
        <v>MISSING</v>
      </c>
      <c r="AB8" s="39" t="str">
        <f ca="1">IF('Consolidated Expiry'!AB8="NS","MISSING",IF('Consolidated Expiry'!AB8&lt;TODAY(),"EXPIRED",IF('Consolidated Expiry'!AB8&lt;=TODAY()+90,"EXPIRING SOON","GREEN")))</f>
        <v>MISSING</v>
      </c>
      <c r="AC8" s="39" t="str">
        <f ca="1">IF('Consolidated Expiry'!AC8="NS","MISSING",IF('Consolidated Expiry'!AC8&lt;TODAY(),"EXPIRED",IF('Consolidated Expiry'!AC8&lt;=TODAY()+90,"EXPIRING SOON","GREEN")))</f>
        <v>MISSING</v>
      </c>
      <c r="AD8" s="39" t="str">
        <f ca="1">IF('Consolidated Expiry'!AD8="NS","MISSING",IF('Consolidated Expiry'!AD8&lt;TODAY(),"EXPIRED",IF('Consolidated Expiry'!AD8&lt;=TODAY()+90,"EXPIRING SOON","GREEN")))</f>
        <v>MISSING</v>
      </c>
      <c r="AE8" s="39" t="str">
        <f ca="1">IF('Consolidated Expiry'!AE8="NS","MISSING",IF('Consolidated Expiry'!AE8&lt;TODAY(),"EXPIRED",IF('Consolidated Expiry'!AE8&lt;=TODAY()+90,"EXPIRING SOON","GREEN")))</f>
        <v>GREEN</v>
      </c>
      <c r="AF8" s="39" t="str">
        <f ca="1">IF('Consolidated Expiry'!AF8="NS","MISSING",IF('Consolidated Expiry'!AF8&lt;TODAY(),"EXPIRED",IF('Consolidated Expiry'!AF8&lt;=TODAY()+90,"EXPIRING SOON","GREEN")))</f>
        <v>GREEN</v>
      </c>
    </row>
    <row r="9" spans="1:32" x14ac:dyDescent="0.35">
      <c r="A9" s="39" t="s">
        <v>232</v>
      </c>
      <c r="B9" s="39" t="str">
        <f ca="1">IF('Consolidated Expiry'!B9="NS","MISSING",IF('Consolidated Expiry'!B9&lt;TODAY(),"EXPIRED",IF('Consolidated Expiry'!B9&lt;=TODAY()+90,"EXPIRING SOON","GREEN")))</f>
        <v>MISSING</v>
      </c>
      <c r="C9" s="39" t="str">
        <f ca="1">IF('Consolidated Expiry'!C9="NS","MISSING",IF('Consolidated Expiry'!C9&lt;TODAY(),"EXPIRED",IF('Consolidated Expiry'!C9&lt;=TODAY()+90,"EXPIRING SOON","GREEN")))</f>
        <v>MISSING</v>
      </c>
      <c r="D9" s="39" t="str">
        <f ca="1">IF('Consolidated Expiry'!D9="NS","MISSING",IF('Consolidated Expiry'!D9&lt;TODAY(),"EXPIRED",IF('Consolidated Expiry'!D9&lt;=TODAY()+90,"EXPIRING SOON","GREEN")))</f>
        <v>MISSING</v>
      </c>
      <c r="E9" s="39" t="str">
        <f ca="1">IF('Consolidated Expiry'!E9="NS","MISSING",IF('Consolidated Expiry'!E9&lt;TODAY(),"EXPIRED",IF('Consolidated Expiry'!E9&lt;=TODAY()+90,"EXPIRING SOON","GREEN")))</f>
        <v>GREEN</v>
      </c>
      <c r="F9" s="39" t="str">
        <f ca="1">IF('Consolidated Expiry'!F9="NS","MISSING",IF('Consolidated Expiry'!F9&lt;TODAY(),"EXPIRED",IF('Consolidated Expiry'!F9&lt;=TODAY()+90,"EXPIRING SOON","GREEN")))</f>
        <v>GREEN</v>
      </c>
      <c r="G9" s="39" t="str">
        <f ca="1">IF('Consolidated Expiry'!G9="NS","MISSING",IF('Consolidated Expiry'!G9&lt;TODAY(),"EXPIRED",IF('Consolidated Expiry'!G9&lt;=TODAY()+90,"EXPIRING SOON","GREEN")))</f>
        <v>GREEN</v>
      </c>
      <c r="H9" s="39" t="str">
        <f ca="1">IF('Consolidated Expiry'!H9="NS","MISSING",IF('Consolidated Expiry'!H9&lt;TODAY(),"EXPIRED",IF('Consolidated Expiry'!H9&lt;=TODAY()+90,"EXPIRING SOON","GREEN")))</f>
        <v>GREEN</v>
      </c>
      <c r="I9" s="39" t="str">
        <f ca="1">IF('Consolidated Expiry'!I9="NS","MISSING",IF('Consolidated Expiry'!I9&lt;TODAY(),"EXPIRED",IF('Consolidated Expiry'!I9&lt;=TODAY()+90,"EXPIRING SOON","GREEN")))</f>
        <v>GREEN</v>
      </c>
      <c r="J9" s="39" t="str">
        <f ca="1">IF('Consolidated Expiry'!J9="NS","MISSING",IF('Consolidated Expiry'!J9&lt;TODAY(),"EXPIRED",IF('Consolidated Expiry'!J9&lt;=TODAY()+90,"EXPIRING SOON","GREEN")))</f>
        <v>GREEN</v>
      </c>
      <c r="K9" s="39" t="str">
        <f ca="1">IF('Consolidated Expiry'!K9="NS","MISSING",IF('Consolidated Expiry'!K9&lt;TODAY(),"EXPIRED",IF('Consolidated Expiry'!K9&lt;=TODAY()+90,"EXPIRING SOON","GREEN")))</f>
        <v>GREEN</v>
      </c>
      <c r="L9" s="39" t="str">
        <f ca="1">IF('Consolidated Expiry'!L9="NS","MISSING",IF('Consolidated Expiry'!L9&lt;TODAY(),"EXPIRED",IF('Consolidated Expiry'!L9&lt;=TODAY()+90,"EXPIRING SOON","GREEN")))</f>
        <v>GREEN</v>
      </c>
      <c r="M9" s="39" t="str">
        <f ca="1">IF('Consolidated Expiry'!M9="NS","MISSING",IF('Consolidated Expiry'!M9&lt;TODAY(),"EXPIRED",IF('Consolidated Expiry'!M9&lt;=TODAY()+90,"EXPIRING SOON","GREEN")))</f>
        <v>GREEN</v>
      </c>
      <c r="N9" s="39" t="str">
        <f ca="1">IF('Consolidated Expiry'!N9="NS","MISSING",IF('Consolidated Expiry'!N9&lt;TODAY(),"EXPIRED",IF('Consolidated Expiry'!N9&lt;=TODAY()+90,"EXPIRING SOON","GREEN")))</f>
        <v>GREEN</v>
      </c>
      <c r="O9" s="39" t="str">
        <f ca="1">IF('Consolidated Expiry'!O9="NS","MISSING",IF('Consolidated Expiry'!O9&lt;TODAY(),"EXPIRED",IF('Consolidated Expiry'!O9&lt;=TODAY()+90,"EXPIRING SOON","GREEN")))</f>
        <v>GREEN</v>
      </c>
      <c r="P9" s="39" t="str">
        <f ca="1">IF('Consolidated Expiry'!P9="NS","MISSING",IF('Consolidated Expiry'!P9&lt;TODAY(),"EXPIRED",IF('Consolidated Expiry'!P9&lt;=TODAY()+90,"EXPIRING SOON","GREEN")))</f>
        <v>GREEN</v>
      </c>
      <c r="Q9" s="39" t="str">
        <f ca="1">IF('Consolidated Expiry'!Q9="NS","MISSING",IF('Consolidated Expiry'!Q9&lt;TODAY(),"EXPIRED",IF('Consolidated Expiry'!Q9&lt;=TODAY()+90,"EXPIRING SOON","GREEN")))</f>
        <v>GREEN</v>
      </c>
      <c r="R9" s="39" t="str">
        <f ca="1">IF('Consolidated Expiry'!R9="NS","MISSING",IF('Consolidated Expiry'!R9&lt;TODAY(),"EXPIRED",IF('Consolidated Expiry'!R9&lt;=TODAY()+90,"EXPIRING SOON","GREEN")))</f>
        <v>GREEN</v>
      </c>
      <c r="S9" s="39" t="str">
        <f ca="1">IF('Consolidated Expiry'!S9="NS","MISSING",IF('Consolidated Expiry'!S9&lt;TODAY(),"EXPIRED",IF('Consolidated Expiry'!S9&lt;=TODAY()+90,"EXPIRING SOON","GREEN")))</f>
        <v>MISSING</v>
      </c>
      <c r="T9" s="39" t="str">
        <f ca="1">IF('Consolidated Expiry'!T9="NS","MISSING",IF('Consolidated Expiry'!T9&lt;TODAY(),"EXPIRED",IF('Consolidated Expiry'!T9&lt;=TODAY()+90,"EXPIRING SOON","GREEN")))</f>
        <v>GREEN</v>
      </c>
      <c r="U9" s="39" t="str">
        <f ca="1">IF('Consolidated Expiry'!U9="NS","MISSING",IF('Consolidated Expiry'!U9&lt;TODAY(),"EXPIRED",IF('Consolidated Expiry'!U9&lt;=TODAY()+90,"EXPIRING SOON","GREEN")))</f>
        <v>MISSING</v>
      </c>
      <c r="V9" s="39" t="str">
        <f ca="1">IF('Consolidated Expiry'!V9="NS","MISSING",IF('Consolidated Expiry'!V9&lt;TODAY(),"EXPIRED",IF('Consolidated Expiry'!V9&lt;=TODAY()+90,"EXPIRING SOON","GREEN")))</f>
        <v>GREEN</v>
      </c>
      <c r="W9" s="39" t="str">
        <f ca="1">IF('Consolidated Expiry'!W9="NS","MISSING",IF('Consolidated Expiry'!W9&lt;TODAY(),"EXPIRED",IF('Consolidated Expiry'!W9&lt;=TODAY()+90,"EXPIRING SOON","GREEN")))</f>
        <v>GREEN</v>
      </c>
      <c r="X9" s="39" t="str">
        <f ca="1">IF('Consolidated Expiry'!X9="NS","MISSING",IF('Consolidated Expiry'!X9&lt;TODAY(),"EXPIRED",IF('Consolidated Expiry'!X9&lt;=TODAY()+90,"EXPIRING SOON","GREEN")))</f>
        <v>GREEN</v>
      </c>
      <c r="Y9" s="39" t="str">
        <f ca="1">IF('Consolidated Expiry'!Y9="NS","MISSING",IF('Consolidated Expiry'!Y9&lt;TODAY(),"EXPIRED",IF('Consolidated Expiry'!Y9&lt;=TODAY()+90,"EXPIRING SOON","GREEN")))</f>
        <v>GREEN</v>
      </c>
      <c r="Z9" s="39" t="str">
        <f ca="1">IF('Consolidated Expiry'!Z9="NS","MISSING",IF('Consolidated Expiry'!Z9&lt;TODAY(),"EXPIRED",IF('Consolidated Expiry'!Z9&lt;=TODAY()+90,"EXPIRING SOON","GREEN")))</f>
        <v>GREEN</v>
      </c>
      <c r="AA9" s="39" t="str">
        <f ca="1">IF('Consolidated Expiry'!AA9="NS","MISSING",IF('Consolidated Expiry'!AA9&lt;TODAY(),"EXPIRED",IF('Consolidated Expiry'!AA9&lt;=TODAY()+90,"EXPIRING SOON","GREEN")))</f>
        <v>MISSING</v>
      </c>
      <c r="AB9" s="39" t="str">
        <f ca="1">IF('Consolidated Expiry'!AB9="NS","MISSING",IF('Consolidated Expiry'!AB9&lt;TODAY(),"EXPIRED",IF('Consolidated Expiry'!AB9&lt;=TODAY()+90,"EXPIRING SOON","GREEN")))</f>
        <v>GREEN</v>
      </c>
      <c r="AC9" s="39" t="str">
        <f ca="1">IF('Consolidated Expiry'!AC9="NS","MISSING",IF('Consolidated Expiry'!AC9&lt;TODAY(),"EXPIRED",IF('Consolidated Expiry'!AC9&lt;=TODAY()+90,"EXPIRING SOON","GREEN")))</f>
        <v>GREEN</v>
      </c>
      <c r="AD9" s="39" t="str">
        <f ca="1">IF('Consolidated Expiry'!AD9="NS","MISSING",IF('Consolidated Expiry'!AD9&lt;TODAY(),"EXPIRED",IF('Consolidated Expiry'!AD9&lt;=TODAY()+90,"EXPIRING SOON","GREEN")))</f>
        <v>MISSING</v>
      </c>
      <c r="AE9" s="39" t="str">
        <f ca="1">IF('Consolidated Expiry'!AE9="NS","MISSING",IF('Consolidated Expiry'!AE9&lt;TODAY(),"EXPIRED",IF('Consolidated Expiry'!AE9&lt;=TODAY()+90,"EXPIRING SOON","GREEN")))</f>
        <v>GREEN</v>
      </c>
      <c r="AF9" s="39" t="str">
        <f ca="1">IF('Consolidated Expiry'!AF9="NS","MISSING",IF('Consolidated Expiry'!AF9&lt;TODAY(),"EXPIRED",IF('Consolidated Expiry'!AF9&lt;=TODAY()+90,"EXPIRING SOON","GREEN")))</f>
        <v>GREEN</v>
      </c>
    </row>
    <row r="10" spans="1:32" x14ac:dyDescent="0.35">
      <c r="A10" s="39" t="s">
        <v>235</v>
      </c>
      <c r="B10" s="39" t="str">
        <f ca="1">IF('Consolidated Expiry'!B10="NS","MISSING",IF('Consolidated Expiry'!B10&lt;TODAY(),"EXPIRED",IF('Consolidated Expiry'!B10&lt;=TODAY()+90,"EXPIRING SOON","GREEN")))</f>
        <v>MISSING</v>
      </c>
      <c r="C10" s="39" t="str">
        <f ca="1">IF('Consolidated Expiry'!C10="NS","MISSING",IF('Consolidated Expiry'!C10&lt;TODAY(),"EXPIRED",IF('Consolidated Expiry'!C10&lt;=TODAY()+90,"EXPIRING SOON","GREEN")))</f>
        <v>GREEN</v>
      </c>
      <c r="D10" s="39" t="str">
        <f ca="1">IF('Consolidated Expiry'!D10="NS","MISSING",IF('Consolidated Expiry'!D10&lt;TODAY(),"EXPIRED",IF('Consolidated Expiry'!D10&lt;=TODAY()+90,"EXPIRING SOON","GREEN")))</f>
        <v>MISSING</v>
      </c>
      <c r="E10" s="39" t="str">
        <f ca="1">IF('Consolidated Expiry'!E10="NS","MISSING",IF('Consolidated Expiry'!E10&lt;TODAY(),"EXPIRED",IF('Consolidated Expiry'!E10&lt;=TODAY()+90,"EXPIRING SOON","GREEN")))</f>
        <v>EXPIRING SOON</v>
      </c>
      <c r="F10" s="39" t="str">
        <f ca="1">IF('Consolidated Expiry'!F10="NS","MISSING",IF('Consolidated Expiry'!F10&lt;TODAY(),"EXPIRED",IF('Consolidated Expiry'!F10&lt;=TODAY()+90,"EXPIRING SOON","GREEN")))</f>
        <v>GREEN</v>
      </c>
      <c r="G10" s="39" t="str">
        <f ca="1">IF('Consolidated Expiry'!G10="NS","MISSING",IF('Consolidated Expiry'!G10&lt;TODAY(),"EXPIRED",IF('Consolidated Expiry'!G10&lt;=TODAY()+90,"EXPIRING SOON","GREEN")))</f>
        <v>GREEN</v>
      </c>
      <c r="H10" s="39" t="str">
        <f ca="1">IF('Consolidated Expiry'!H10="NS","MISSING",IF('Consolidated Expiry'!H10&lt;TODAY(),"EXPIRED",IF('Consolidated Expiry'!H10&lt;=TODAY()+90,"EXPIRING SOON","GREEN")))</f>
        <v>GREEN</v>
      </c>
      <c r="I10" s="39" t="str">
        <f ca="1">IF('Consolidated Expiry'!I10="NS","MISSING",IF('Consolidated Expiry'!I10&lt;TODAY(),"EXPIRED",IF('Consolidated Expiry'!I10&lt;=TODAY()+90,"EXPIRING SOON","GREEN")))</f>
        <v>GREEN</v>
      </c>
      <c r="J10" s="39" t="str">
        <f ca="1">IF('Consolidated Expiry'!J10="NS","MISSING",IF('Consolidated Expiry'!J10&lt;TODAY(),"EXPIRED",IF('Consolidated Expiry'!J10&lt;=TODAY()+90,"EXPIRING SOON","GREEN")))</f>
        <v>GREEN</v>
      </c>
      <c r="K10" s="39" t="str">
        <f ca="1">IF('Consolidated Expiry'!K10="NS","MISSING",IF('Consolidated Expiry'!K10&lt;TODAY(),"EXPIRED",IF('Consolidated Expiry'!K10&lt;=TODAY()+90,"EXPIRING SOON","GREEN")))</f>
        <v>GREEN</v>
      </c>
      <c r="L10" s="39" t="str">
        <f ca="1">IF('Consolidated Expiry'!L10="NS","MISSING",IF('Consolidated Expiry'!L10&lt;TODAY(),"EXPIRED",IF('Consolidated Expiry'!L10&lt;=TODAY()+90,"EXPIRING SOON","GREEN")))</f>
        <v>GREEN</v>
      </c>
      <c r="M10" s="39" t="str">
        <f ca="1">IF('Consolidated Expiry'!M10="NS","MISSING",IF('Consolidated Expiry'!M10&lt;TODAY(),"EXPIRED",IF('Consolidated Expiry'!M10&lt;=TODAY()+90,"EXPIRING SOON","GREEN")))</f>
        <v>GREEN</v>
      </c>
      <c r="N10" s="39" t="str">
        <f ca="1">IF('Consolidated Expiry'!N10="NS","MISSING",IF('Consolidated Expiry'!N10&lt;TODAY(),"EXPIRED",IF('Consolidated Expiry'!N10&lt;=TODAY()+90,"EXPIRING SOON","GREEN")))</f>
        <v>GREEN</v>
      </c>
      <c r="O10" s="39" t="str">
        <f ca="1">IF('Consolidated Expiry'!O10="NS","MISSING",IF('Consolidated Expiry'!O10&lt;TODAY(),"EXPIRED",IF('Consolidated Expiry'!O10&lt;=TODAY()+90,"EXPIRING SOON","GREEN")))</f>
        <v>GREEN</v>
      </c>
      <c r="P10" s="39" t="str">
        <f ca="1">IF('Consolidated Expiry'!P10="NS","MISSING",IF('Consolidated Expiry'!P10&lt;TODAY(),"EXPIRED",IF('Consolidated Expiry'!P10&lt;=TODAY()+90,"EXPIRING SOON","GREEN")))</f>
        <v>GREEN</v>
      </c>
      <c r="Q10" s="39" t="str">
        <f ca="1">IF('Consolidated Expiry'!Q10="NS","MISSING",IF('Consolidated Expiry'!Q10&lt;TODAY(),"EXPIRED",IF('Consolidated Expiry'!Q10&lt;=TODAY()+90,"EXPIRING SOON","GREEN")))</f>
        <v>GREEN</v>
      </c>
      <c r="R10" s="39" t="str">
        <f ca="1">IF('Consolidated Expiry'!R10="NS","MISSING",IF('Consolidated Expiry'!R10&lt;TODAY(),"EXPIRED",IF('Consolidated Expiry'!R10&lt;=TODAY()+90,"EXPIRING SOON","GREEN")))</f>
        <v>GREEN</v>
      </c>
      <c r="S10" s="39" t="str">
        <f ca="1">IF('Consolidated Expiry'!S10="NS","MISSING",IF('Consolidated Expiry'!S10&lt;TODAY(),"EXPIRED",IF('Consolidated Expiry'!S10&lt;=TODAY()+90,"EXPIRING SOON","GREEN")))</f>
        <v>GREEN</v>
      </c>
      <c r="T10" s="39" t="str">
        <f ca="1">IF('Consolidated Expiry'!T10="NS","MISSING",IF('Consolidated Expiry'!T10&lt;TODAY(),"EXPIRED",IF('Consolidated Expiry'!T10&lt;=TODAY()+90,"EXPIRING SOON","GREEN")))</f>
        <v>GREEN</v>
      </c>
      <c r="U10" s="39" t="str">
        <f ca="1">IF('Consolidated Expiry'!U10="NS","MISSING",IF('Consolidated Expiry'!U10&lt;TODAY(),"EXPIRED",IF('Consolidated Expiry'!U10&lt;=TODAY()+90,"EXPIRING SOON","GREEN")))</f>
        <v>MISSING</v>
      </c>
      <c r="V10" s="39" t="str">
        <f ca="1">IF('Consolidated Expiry'!V10="NS","MISSING",IF('Consolidated Expiry'!V10&lt;TODAY(),"EXPIRED",IF('Consolidated Expiry'!V10&lt;=TODAY()+90,"EXPIRING SOON","GREEN")))</f>
        <v>GREEN</v>
      </c>
      <c r="W10" s="39" t="str">
        <f ca="1">IF('Consolidated Expiry'!W10="NS","MISSING",IF('Consolidated Expiry'!W10&lt;TODAY(),"EXPIRED",IF('Consolidated Expiry'!W10&lt;=TODAY()+90,"EXPIRING SOON","GREEN")))</f>
        <v>GREEN</v>
      </c>
      <c r="X10" s="39" t="str">
        <f ca="1">IF('Consolidated Expiry'!X10="NS","MISSING",IF('Consolidated Expiry'!X10&lt;TODAY(),"EXPIRED",IF('Consolidated Expiry'!X10&lt;=TODAY()+90,"EXPIRING SOON","GREEN")))</f>
        <v>GREEN</v>
      </c>
      <c r="Y10" s="39" t="str">
        <f ca="1">IF('Consolidated Expiry'!Y10="NS","MISSING",IF('Consolidated Expiry'!Y10&lt;TODAY(),"EXPIRED",IF('Consolidated Expiry'!Y10&lt;=TODAY()+90,"EXPIRING SOON","GREEN")))</f>
        <v>GREEN</v>
      </c>
      <c r="Z10" s="39" t="str">
        <f ca="1">IF('Consolidated Expiry'!Z10="NS","MISSING",IF('Consolidated Expiry'!Z10&lt;TODAY(),"EXPIRED",IF('Consolidated Expiry'!Z10&lt;=TODAY()+90,"EXPIRING SOON","GREEN")))</f>
        <v>GREEN</v>
      </c>
      <c r="AA10" s="39" t="str">
        <f ca="1">IF('Consolidated Expiry'!AA10="NS","MISSING",IF('Consolidated Expiry'!AA10&lt;TODAY(),"EXPIRED",IF('Consolidated Expiry'!AA10&lt;=TODAY()+90,"EXPIRING SOON","GREEN")))</f>
        <v>GREEN</v>
      </c>
      <c r="AB10" s="39" t="str">
        <f ca="1">IF('Consolidated Expiry'!AB10="NS","MISSING",IF('Consolidated Expiry'!AB10&lt;TODAY(),"EXPIRED",IF('Consolidated Expiry'!AB10&lt;=TODAY()+90,"EXPIRING SOON","GREEN")))</f>
        <v>GREEN</v>
      </c>
      <c r="AC10" s="39" t="str">
        <f ca="1">IF('Consolidated Expiry'!AC10="NS","MISSING",IF('Consolidated Expiry'!AC10&lt;TODAY(),"EXPIRED",IF('Consolidated Expiry'!AC10&lt;=TODAY()+90,"EXPIRING SOON","GREEN")))</f>
        <v>GREEN</v>
      </c>
      <c r="AD10" s="39" t="str">
        <f ca="1">IF('Consolidated Expiry'!AD10="NS","MISSING",IF('Consolidated Expiry'!AD10&lt;TODAY(),"EXPIRED",IF('Consolidated Expiry'!AD10&lt;=TODAY()+90,"EXPIRING SOON","GREEN")))</f>
        <v>GREEN</v>
      </c>
      <c r="AE10" s="39" t="str">
        <f ca="1">IF('Consolidated Expiry'!AE10="NS","MISSING",IF('Consolidated Expiry'!AE10&lt;TODAY(),"EXPIRED",IF('Consolidated Expiry'!AE10&lt;=TODAY()+90,"EXPIRING SOON","GREEN")))</f>
        <v>GREEN</v>
      </c>
      <c r="AF10" s="39" t="str">
        <f ca="1">IF('Consolidated Expiry'!AF10="NS","MISSING",IF('Consolidated Expiry'!AF10&lt;TODAY(),"EXPIRED",IF('Consolidated Expiry'!AF10&lt;=TODAY()+90,"EXPIRING SOON","GREEN")))</f>
        <v>GREEN</v>
      </c>
    </row>
    <row r="11" spans="1:32" x14ac:dyDescent="0.35">
      <c r="A11" s="39" t="s">
        <v>241</v>
      </c>
      <c r="B11" s="39" t="str">
        <f ca="1">IF('Consolidated Expiry'!B11="NS","MISSING",IF('Consolidated Expiry'!B11&lt;TODAY(),"EXPIRED",IF('Consolidated Expiry'!B11&lt;=TODAY()+90,"EXPIRING SOON","GREEN")))</f>
        <v>MISSING</v>
      </c>
      <c r="C11" s="39" t="str">
        <f ca="1">IF('Consolidated Expiry'!C11="NS","MISSING",IF('Consolidated Expiry'!C11&lt;TODAY(),"EXPIRED",IF('Consolidated Expiry'!C11&lt;=TODAY()+90,"EXPIRING SOON","GREEN")))</f>
        <v>MISSING</v>
      </c>
      <c r="D11" s="39" t="str">
        <f ca="1">IF('Consolidated Expiry'!D11="NS","MISSING",IF('Consolidated Expiry'!D11&lt;TODAY(),"EXPIRED",IF('Consolidated Expiry'!D11&lt;=TODAY()+90,"EXPIRING SOON","GREEN")))</f>
        <v>GREEN</v>
      </c>
      <c r="E11" s="39" t="str">
        <f ca="1">IF('Consolidated Expiry'!E11="NS","MISSING",IF('Consolidated Expiry'!E11&lt;TODAY(),"EXPIRED",IF('Consolidated Expiry'!E11&lt;=TODAY()+90,"EXPIRING SOON","GREEN")))</f>
        <v>MISSING</v>
      </c>
      <c r="F11" s="39" t="str">
        <f ca="1">IF('Consolidated Expiry'!F11="NS","MISSING",IF('Consolidated Expiry'!F11&lt;TODAY(),"EXPIRED",IF('Consolidated Expiry'!F11&lt;=TODAY()+90,"EXPIRING SOON","GREEN")))</f>
        <v>MISSING</v>
      </c>
      <c r="G11" s="39" t="str">
        <f ca="1">IF('Consolidated Expiry'!G11="NS","MISSING",IF('Consolidated Expiry'!G11&lt;TODAY(),"EXPIRED",IF('Consolidated Expiry'!G11&lt;=TODAY()+90,"EXPIRING SOON","GREEN")))</f>
        <v>GREEN</v>
      </c>
      <c r="H11" s="39" t="str">
        <f ca="1">IF('Consolidated Expiry'!H11="NS","MISSING",IF('Consolidated Expiry'!H11&lt;TODAY(),"EXPIRED",IF('Consolidated Expiry'!H11&lt;=TODAY()+90,"EXPIRING SOON","GREEN")))</f>
        <v>MISSING</v>
      </c>
      <c r="I11" s="39" t="str">
        <f ca="1">IF('Consolidated Expiry'!I11="NS","MISSING",IF('Consolidated Expiry'!I11&lt;TODAY(),"EXPIRED",IF('Consolidated Expiry'!I11&lt;=TODAY()+90,"EXPIRING SOON","GREEN")))</f>
        <v>MISSING</v>
      </c>
      <c r="J11" s="39" t="str">
        <f ca="1">IF('Consolidated Expiry'!J11="NS","MISSING",IF('Consolidated Expiry'!J11&lt;TODAY(),"EXPIRED",IF('Consolidated Expiry'!J11&lt;=TODAY()+90,"EXPIRING SOON","GREEN")))</f>
        <v>MISSING</v>
      </c>
      <c r="K11" s="39" t="str">
        <f ca="1">IF('Consolidated Expiry'!K11="NS","MISSING",IF('Consolidated Expiry'!K11&lt;TODAY(),"EXPIRED",IF('Consolidated Expiry'!K11&lt;=TODAY()+90,"EXPIRING SOON","GREEN")))</f>
        <v>MISSING</v>
      </c>
      <c r="L11" s="39" t="str">
        <f ca="1">IF('Consolidated Expiry'!L11="NS","MISSING",IF('Consolidated Expiry'!L11&lt;TODAY(),"EXPIRED",IF('Consolidated Expiry'!L11&lt;=TODAY()+90,"EXPIRING SOON","GREEN")))</f>
        <v>MISSING</v>
      </c>
      <c r="M11" s="39" t="str">
        <f ca="1">IF('Consolidated Expiry'!M11="NS","MISSING",IF('Consolidated Expiry'!M11&lt;TODAY(),"EXPIRED",IF('Consolidated Expiry'!M11&lt;=TODAY()+90,"EXPIRING SOON","GREEN")))</f>
        <v>MISSING</v>
      </c>
      <c r="N11" s="39" t="str">
        <f ca="1">IF('Consolidated Expiry'!N11="NS","MISSING",IF('Consolidated Expiry'!N11&lt;TODAY(),"EXPIRED",IF('Consolidated Expiry'!N11&lt;=TODAY()+90,"EXPIRING SOON","GREEN")))</f>
        <v>MISSING</v>
      </c>
      <c r="O11" s="39" t="str">
        <f ca="1">IF('Consolidated Expiry'!O11="NS","MISSING",IF('Consolidated Expiry'!O11&lt;TODAY(),"EXPIRED",IF('Consolidated Expiry'!O11&lt;=TODAY()+90,"EXPIRING SOON","GREEN")))</f>
        <v>GREEN</v>
      </c>
      <c r="P11" s="39" t="str">
        <f ca="1">IF('Consolidated Expiry'!P11="NS","MISSING",IF('Consolidated Expiry'!P11&lt;TODAY(),"EXPIRED",IF('Consolidated Expiry'!P11&lt;=TODAY()+90,"EXPIRING SOON","GREEN")))</f>
        <v>MISSING</v>
      </c>
      <c r="Q11" s="39" t="str">
        <f ca="1">IF('Consolidated Expiry'!Q11="NS","MISSING",IF('Consolidated Expiry'!Q11&lt;TODAY(),"EXPIRED",IF('Consolidated Expiry'!Q11&lt;=TODAY()+90,"EXPIRING SOON","GREEN")))</f>
        <v>MISSING</v>
      </c>
      <c r="R11" s="39" t="str">
        <f ca="1">IF('Consolidated Expiry'!R11="NS","MISSING",IF('Consolidated Expiry'!R11&lt;TODAY(),"EXPIRED",IF('Consolidated Expiry'!R11&lt;=TODAY()+90,"EXPIRING SOON","GREEN")))</f>
        <v>MISSING</v>
      </c>
      <c r="S11" s="39" t="str">
        <f ca="1">IF('Consolidated Expiry'!S11="NS","MISSING",IF('Consolidated Expiry'!S11&lt;TODAY(),"EXPIRED",IF('Consolidated Expiry'!S11&lt;=TODAY()+90,"EXPIRING SOON","GREEN")))</f>
        <v>MISSING</v>
      </c>
      <c r="T11" s="39" t="str">
        <f ca="1">IF('Consolidated Expiry'!T11="NS","MISSING",IF('Consolidated Expiry'!T11&lt;TODAY(),"EXPIRED",IF('Consolidated Expiry'!T11&lt;=TODAY()+90,"EXPIRING SOON","GREEN")))</f>
        <v>MISSING</v>
      </c>
      <c r="U11" s="39" t="str">
        <f ca="1">IF('Consolidated Expiry'!U11="NS","MISSING",IF('Consolidated Expiry'!U11&lt;TODAY(),"EXPIRED",IF('Consolidated Expiry'!U11&lt;=TODAY()+90,"EXPIRING SOON","GREEN")))</f>
        <v>MISSING</v>
      </c>
      <c r="V11" s="39" t="str">
        <f ca="1">IF('Consolidated Expiry'!V11="NS","MISSING",IF('Consolidated Expiry'!V11&lt;TODAY(),"EXPIRED",IF('Consolidated Expiry'!V11&lt;=TODAY()+90,"EXPIRING SOON","GREEN")))</f>
        <v>MISSING</v>
      </c>
      <c r="W11" s="39" t="str">
        <f ca="1">IF('Consolidated Expiry'!W11="NS","MISSING",IF('Consolidated Expiry'!W11&lt;TODAY(),"EXPIRED",IF('Consolidated Expiry'!W11&lt;=TODAY()+90,"EXPIRING SOON","GREEN")))</f>
        <v>MISSING</v>
      </c>
      <c r="X11" s="39" t="str">
        <f ca="1">IF('Consolidated Expiry'!X11="NS","MISSING",IF('Consolidated Expiry'!X11&lt;TODAY(),"EXPIRED",IF('Consolidated Expiry'!X11&lt;=TODAY()+90,"EXPIRING SOON","GREEN")))</f>
        <v>MISSING</v>
      </c>
      <c r="Y11" s="39" t="str">
        <f ca="1">IF('Consolidated Expiry'!Y11="NS","MISSING",IF('Consolidated Expiry'!Y11&lt;TODAY(),"EXPIRED",IF('Consolidated Expiry'!Y11&lt;=TODAY()+90,"EXPIRING SOON","GREEN")))</f>
        <v>MISSING</v>
      </c>
      <c r="Z11" s="39" t="str">
        <f ca="1">IF('Consolidated Expiry'!Z11="NS","MISSING",IF('Consolidated Expiry'!Z11&lt;TODAY(),"EXPIRED",IF('Consolidated Expiry'!Z11&lt;=TODAY()+90,"EXPIRING SOON","GREEN")))</f>
        <v>MISSING</v>
      </c>
      <c r="AA11" s="39" t="str">
        <f ca="1">IF('Consolidated Expiry'!AA11="NS","MISSING",IF('Consolidated Expiry'!AA11&lt;TODAY(),"EXPIRED",IF('Consolidated Expiry'!AA11&lt;=TODAY()+90,"EXPIRING SOON","GREEN")))</f>
        <v>MISSING</v>
      </c>
      <c r="AB11" s="39" t="str">
        <f ca="1">IF('Consolidated Expiry'!AB11="NS","MISSING",IF('Consolidated Expiry'!AB11&lt;TODAY(),"EXPIRED",IF('Consolidated Expiry'!AB11&lt;=TODAY()+90,"EXPIRING SOON","GREEN")))</f>
        <v>GREEN</v>
      </c>
      <c r="AC11" s="39" t="str">
        <f ca="1">IF('Consolidated Expiry'!AC11="NS","MISSING",IF('Consolidated Expiry'!AC11&lt;TODAY(),"EXPIRED",IF('Consolidated Expiry'!AC11&lt;=TODAY()+90,"EXPIRING SOON","GREEN")))</f>
        <v>MISSING</v>
      </c>
      <c r="AD11" s="39" t="str">
        <f ca="1">IF('Consolidated Expiry'!AD11="NS","MISSING",IF('Consolidated Expiry'!AD11&lt;TODAY(),"EXPIRED",IF('Consolidated Expiry'!AD11&lt;=TODAY()+90,"EXPIRING SOON","GREEN")))</f>
        <v>MISSING</v>
      </c>
      <c r="AE11" s="39" t="str">
        <f ca="1">IF('Consolidated Expiry'!AE11="NS","MISSING",IF('Consolidated Expiry'!AE11&lt;TODAY(),"EXPIRED",IF('Consolidated Expiry'!AE11&lt;=TODAY()+90,"EXPIRING SOON","GREEN")))</f>
        <v>MISSING</v>
      </c>
      <c r="AF11" s="39" t="str">
        <f ca="1">IF('Consolidated Expiry'!AF11="NS","MISSING",IF('Consolidated Expiry'!AF11&lt;TODAY(),"EXPIRED",IF('Consolidated Expiry'!AF11&lt;=TODAY()+90,"EXPIRING SOON","GREEN")))</f>
        <v>MISSING</v>
      </c>
    </row>
    <row r="12" spans="1:32" x14ac:dyDescent="0.35">
      <c r="A12" s="39" t="s">
        <v>244</v>
      </c>
      <c r="B12" s="39" t="str">
        <f ca="1">IF('Consolidated Expiry'!B12="NS","MISSING",IF('Consolidated Expiry'!B12&lt;TODAY(),"EXPIRED",IF('Consolidated Expiry'!B12&lt;=TODAY()+90,"EXPIRING SOON","GREEN")))</f>
        <v>MISSING</v>
      </c>
      <c r="C12" s="39" t="str">
        <f ca="1">IF('Consolidated Expiry'!C12="NS","MISSING",IF('Consolidated Expiry'!C12&lt;TODAY(),"EXPIRED",IF('Consolidated Expiry'!C12&lt;=TODAY()+90,"EXPIRING SOON","GREEN")))</f>
        <v>GREEN</v>
      </c>
      <c r="D12" s="39" t="str">
        <f ca="1">IF('Consolidated Expiry'!D12="NS","MISSING",IF('Consolidated Expiry'!D12&lt;TODAY(),"EXPIRED",IF('Consolidated Expiry'!D12&lt;=TODAY()+90,"EXPIRING SOON","GREEN")))</f>
        <v>EXPIRING SOON</v>
      </c>
      <c r="E12" s="39" t="str">
        <f ca="1">IF('Consolidated Expiry'!E12="NS","MISSING",IF('Consolidated Expiry'!E12&lt;TODAY(),"EXPIRED",IF('Consolidated Expiry'!E12&lt;=TODAY()+90,"EXPIRING SOON","GREEN")))</f>
        <v>GREEN</v>
      </c>
      <c r="F12" s="39" t="str">
        <f ca="1">IF('Consolidated Expiry'!F12="NS","MISSING",IF('Consolidated Expiry'!F12&lt;TODAY(),"EXPIRED",IF('Consolidated Expiry'!F12&lt;=TODAY()+90,"EXPIRING SOON","GREEN")))</f>
        <v>GREEN</v>
      </c>
      <c r="G12" s="39" t="str">
        <f ca="1">IF('Consolidated Expiry'!G12="NS","MISSING",IF('Consolidated Expiry'!G12&lt;TODAY(),"EXPIRED",IF('Consolidated Expiry'!G12&lt;=TODAY()+90,"EXPIRING SOON","GREEN")))</f>
        <v>GREEN</v>
      </c>
      <c r="H12" s="39" t="str">
        <f ca="1">IF('Consolidated Expiry'!H12="NS","MISSING",IF('Consolidated Expiry'!H12&lt;TODAY(),"EXPIRED",IF('Consolidated Expiry'!H12&lt;=TODAY()+90,"EXPIRING SOON","GREEN")))</f>
        <v>GREEN</v>
      </c>
      <c r="I12" s="39" t="str">
        <f ca="1">IF('Consolidated Expiry'!I12="NS","MISSING",IF('Consolidated Expiry'!I12&lt;TODAY(),"EXPIRED",IF('Consolidated Expiry'!I12&lt;=TODAY()+90,"EXPIRING SOON","GREEN")))</f>
        <v>MISSING</v>
      </c>
      <c r="J12" s="39" t="str">
        <f ca="1">IF('Consolidated Expiry'!J12="NS","MISSING",IF('Consolidated Expiry'!J12&lt;TODAY(),"EXPIRED",IF('Consolidated Expiry'!J12&lt;=TODAY()+90,"EXPIRING SOON","GREEN")))</f>
        <v>GREEN</v>
      </c>
      <c r="K12" s="39" t="str">
        <f ca="1">IF('Consolidated Expiry'!K12="NS","MISSING",IF('Consolidated Expiry'!K12&lt;TODAY(),"EXPIRED",IF('Consolidated Expiry'!K12&lt;=TODAY()+90,"EXPIRING SOON","GREEN")))</f>
        <v>GREEN</v>
      </c>
      <c r="L12" s="39" t="str">
        <f ca="1">IF('Consolidated Expiry'!L12="NS","MISSING",IF('Consolidated Expiry'!L12&lt;TODAY(),"EXPIRED",IF('Consolidated Expiry'!L12&lt;=TODAY()+90,"EXPIRING SOON","GREEN")))</f>
        <v>GREEN</v>
      </c>
      <c r="M12" s="39" t="str">
        <f ca="1">IF('Consolidated Expiry'!M12="NS","MISSING",IF('Consolidated Expiry'!M12&lt;TODAY(),"EXPIRED",IF('Consolidated Expiry'!M12&lt;=TODAY()+90,"EXPIRING SOON","GREEN")))</f>
        <v>GREEN</v>
      </c>
      <c r="N12" s="39" t="str">
        <f ca="1">IF('Consolidated Expiry'!N12="NS","MISSING",IF('Consolidated Expiry'!N12&lt;TODAY(),"EXPIRED",IF('Consolidated Expiry'!N12&lt;=TODAY()+90,"EXPIRING SOON","GREEN")))</f>
        <v>GREEN</v>
      </c>
      <c r="O12" s="39" t="str">
        <f ca="1">IF('Consolidated Expiry'!O12="NS","MISSING",IF('Consolidated Expiry'!O12&lt;TODAY(),"EXPIRED",IF('Consolidated Expiry'!O12&lt;=TODAY()+90,"EXPIRING SOON","GREEN")))</f>
        <v>GREEN</v>
      </c>
      <c r="P12" s="39" t="str">
        <f ca="1">IF('Consolidated Expiry'!P12="NS","MISSING",IF('Consolidated Expiry'!P12&lt;TODAY(),"EXPIRED",IF('Consolidated Expiry'!P12&lt;=TODAY()+90,"EXPIRING SOON","GREEN")))</f>
        <v>GREEN</v>
      </c>
      <c r="Q12" s="39" t="str">
        <f ca="1">IF('Consolidated Expiry'!Q12="NS","MISSING",IF('Consolidated Expiry'!Q12&lt;TODAY(),"EXPIRED",IF('Consolidated Expiry'!Q12&lt;=TODAY()+90,"EXPIRING SOON","GREEN")))</f>
        <v>GREEN</v>
      </c>
      <c r="R12" s="39" t="str">
        <f ca="1">IF('Consolidated Expiry'!R12="NS","MISSING",IF('Consolidated Expiry'!R12&lt;TODAY(),"EXPIRED",IF('Consolidated Expiry'!R12&lt;=TODAY()+90,"EXPIRING SOON","GREEN")))</f>
        <v>GREEN</v>
      </c>
      <c r="S12" s="39" t="str">
        <f ca="1">IF('Consolidated Expiry'!S12="NS","MISSING",IF('Consolidated Expiry'!S12&lt;TODAY(),"EXPIRED",IF('Consolidated Expiry'!S12&lt;=TODAY()+90,"EXPIRING SOON","GREEN")))</f>
        <v>GREEN</v>
      </c>
      <c r="T12" s="39" t="str">
        <f ca="1">IF('Consolidated Expiry'!T12="NS","MISSING",IF('Consolidated Expiry'!T12&lt;TODAY(),"EXPIRED",IF('Consolidated Expiry'!T12&lt;=TODAY()+90,"EXPIRING SOON","GREEN")))</f>
        <v>GREEN</v>
      </c>
      <c r="U12" s="39" t="str">
        <f ca="1">IF('Consolidated Expiry'!U12="NS","MISSING",IF('Consolidated Expiry'!U12&lt;TODAY(),"EXPIRED",IF('Consolidated Expiry'!U12&lt;=TODAY()+90,"EXPIRING SOON","GREEN")))</f>
        <v>GREEN</v>
      </c>
      <c r="V12" s="39" t="str">
        <f ca="1">IF('Consolidated Expiry'!V12="NS","MISSING",IF('Consolidated Expiry'!V12&lt;TODAY(),"EXPIRED",IF('Consolidated Expiry'!V12&lt;=TODAY()+90,"EXPIRING SOON","GREEN")))</f>
        <v>GREEN</v>
      </c>
      <c r="W12" s="39" t="str">
        <f ca="1">IF('Consolidated Expiry'!W12="NS","MISSING",IF('Consolidated Expiry'!W12&lt;TODAY(),"EXPIRED",IF('Consolidated Expiry'!W12&lt;=TODAY()+90,"EXPIRING SOON","GREEN")))</f>
        <v>GREEN</v>
      </c>
      <c r="X12" s="39" t="str">
        <f ca="1">IF('Consolidated Expiry'!X12="NS","MISSING",IF('Consolidated Expiry'!X12&lt;TODAY(),"EXPIRED",IF('Consolidated Expiry'!X12&lt;=TODAY()+90,"EXPIRING SOON","GREEN")))</f>
        <v>GREEN</v>
      </c>
      <c r="Y12" s="39" t="str">
        <f ca="1">IF('Consolidated Expiry'!Y12="NS","MISSING",IF('Consolidated Expiry'!Y12&lt;TODAY(),"EXPIRED",IF('Consolidated Expiry'!Y12&lt;=TODAY()+90,"EXPIRING SOON","GREEN")))</f>
        <v>GREEN</v>
      </c>
      <c r="Z12" s="39" t="str">
        <f ca="1">IF('Consolidated Expiry'!Z12="NS","MISSING",IF('Consolidated Expiry'!Z12&lt;TODAY(),"EXPIRED",IF('Consolidated Expiry'!Z12&lt;=TODAY()+90,"EXPIRING SOON","GREEN")))</f>
        <v>GREEN</v>
      </c>
      <c r="AA12" s="39" t="str">
        <f ca="1">IF('Consolidated Expiry'!AA12="NS","MISSING",IF('Consolidated Expiry'!AA12&lt;TODAY(),"EXPIRED",IF('Consolidated Expiry'!AA12&lt;=TODAY()+90,"EXPIRING SOON","GREEN")))</f>
        <v>MISSING</v>
      </c>
      <c r="AB12" s="39" t="str">
        <f ca="1">IF('Consolidated Expiry'!AB12="NS","MISSING",IF('Consolidated Expiry'!AB12&lt;TODAY(),"EXPIRED",IF('Consolidated Expiry'!AB12&lt;=TODAY()+90,"EXPIRING SOON","GREEN")))</f>
        <v>GREEN</v>
      </c>
      <c r="AC12" s="39" t="str">
        <f ca="1">IF('Consolidated Expiry'!AC12="NS","MISSING",IF('Consolidated Expiry'!AC12&lt;TODAY(),"EXPIRED",IF('Consolidated Expiry'!AC12&lt;=TODAY()+90,"EXPIRING SOON","GREEN")))</f>
        <v>GREEN</v>
      </c>
      <c r="AD12" s="39" t="str">
        <f ca="1">IF('Consolidated Expiry'!AD12="NS","MISSING",IF('Consolidated Expiry'!AD12&lt;TODAY(),"EXPIRED",IF('Consolidated Expiry'!AD12&lt;=TODAY()+90,"EXPIRING SOON","GREEN")))</f>
        <v>MISSING</v>
      </c>
      <c r="AE12" s="39" t="str">
        <f ca="1">IF('Consolidated Expiry'!AE12="NS","MISSING",IF('Consolidated Expiry'!AE12&lt;TODAY(),"EXPIRED",IF('Consolidated Expiry'!AE12&lt;=TODAY()+90,"EXPIRING SOON","GREEN")))</f>
        <v>GREEN</v>
      </c>
      <c r="AF12" s="39" t="str">
        <f ca="1">IF('Consolidated Expiry'!AF12="NS","MISSING",IF('Consolidated Expiry'!AF12&lt;TODAY(),"EXPIRED",IF('Consolidated Expiry'!AF12&lt;=TODAY()+90,"EXPIRING SOON","GREEN")))</f>
        <v>GREEN</v>
      </c>
    </row>
    <row r="13" spans="1:32" x14ac:dyDescent="0.35">
      <c r="A13" s="39" t="s">
        <v>250</v>
      </c>
      <c r="B13" s="39" t="str">
        <f ca="1">IF('Consolidated Expiry'!B13="NS","MISSING",IF('Consolidated Expiry'!B13&lt;TODAY(),"EXPIRED",IF('Consolidated Expiry'!B13&lt;=TODAY()+90,"EXPIRING SOON","GREEN")))</f>
        <v>MISSING</v>
      </c>
      <c r="C13" s="39" t="str">
        <f ca="1">IF('Consolidated Expiry'!C13="NS","MISSING",IF('Consolidated Expiry'!C13&lt;TODAY(),"EXPIRED",IF('Consolidated Expiry'!C13&lt;=TODAY()+90,"EXPIRING SOON","GREEN")))</f>
        <v>MISSING</v>
      </c>
      <c r="D13" s="39" t="str">
        <f ca="1">IF('Consolidated Expiry'!D13="NS","MISSING",IF('Consolidated Expiry'!D13&lt;TODAY(),"EXPIRED",IF('Consolidated Expiry'!D13&lt;=TODAY()+90,"EXPIRING SOON","GREEN")))</f>
        <v>EXPIRING SOON</v>
      </c>
      <c r="E13" s="39" t="str">
        <f ca="1">IF('Consolidated Expiry'!E13="NS","MISSING",IF('Consolidated Expiry'!E13&lt;TODAY(),"EXPIRED",IF('Consolidated Expiry'!E13&lt;=TODAY()+90,"EXPIRING SOON","GREEN")))</f>
        <v>GREEN</v>
      </c>
      <c r="F13" s="39" t="str">
        <f ca="1">IF('Consolidated Expiry'!F13="NS","MISSING",IF('Consolidated Expiry'!F13&lt;TODAY(),"EXPIRED",IF('Consolidated Expiry'!F13&lt;=TODAY()+90,"EXPIRING SOON","GREEN")))</f>
        <v>GREEN</v>
      </c>
      <c r="G13" s="39" t="str">
        <f ca="1">IF('Consolidated Expiry'!G13="NS","MISSING",IF('Consolidated Expiry'!G13&lt;TODAY(),"EXPIRED",IF('Consolidated Expiry'!G13&lt;=TODAY()+90,"EXPIRING SOON","GREEN")))</f>
        <v>GREEN</v>
      </c>
      <c r="H13" s="39" t="str">
        <f ca="1">IF('Consolidated Expiry'!H13="NS","MISSING",IF('Consolidated Expiry'!H13&lt;TODAY(),"EXPIRED",IF('Consolidated Expiry'!H13&lt;=TODAY()+90,"EXPIRING SOON","GREEN")))</f>
        <v>GREEN</v>
      </c>
      <c r="I13" s="39" t="str">
        <f ca="1">IF('Consolidated Expiry'!I13="NS","MISSING",IF('Consolidated Expiry'!I13&lt;TODAY(),"EXPIRED",IF('Consolidated Expiry'!I13&lt;=TODAY()+90,"EXPIRING SOON","GREEN")))</f>
        <v>GREEN</v>
      </c>
      <c r="J13" s="39" t="str">
        <f ca="1">IF('Consolidated Expiry'!J13="NS","MISSING",IF('Consolidated Expiry'!J13&lt;TODAY(),"EXPIRED",IF('Consolidated Expiry'!J13&lt;=TODAY()+90,"EXPIRING SOON","GREEN")))</f>
        <v>GREEN</v>
      </c>
      <c r="K13" s="39" t="str">
        <f ca="1">IF('Consolidated Expiry'!K13="NS","MISSING",IF('Consolidated Expiry'!K13&lt;TODAY(),"EXPIRED",IF('Consolidated Expiry'!K13&lt;=TODAY()+90,"EXPIRING SOON","GREEN")))</f>
        <v>GREEN</v>
      </c>
      <c r="L13" s="39" t="str">
        <f ca="1">IF('Consolidated Expiry'!L13="NS","MISSING",IF('Consolidated Expiry'!L13&lt;TODAY(),"EXPIRED",IF('Consolidated Expiry'!L13&lt;=TODAY()+90,"EXPIRING SOON","GREEN")))</f>
        <v>GREEN</v>
      </c>
      <c r="M13" s="39" t="str">
        <f ca="1">IF('Consolidated Expiry'!M13="NS","MISSING",IF('Consolidated Expiry'!M13&lt;TODAY(),"EXPIRED",IF('Consolidated Expiry'!M13&lt;=TODAY()+90,"EXPIRING SOON","GREEN")))</f>
        <v>GREEN</v>
      </c>
      <c r="N13" s="39" t="str">
        <f ca="1">IF('Consolidated Expiry'!N13="NS","MISSING",IF('Consolidated Expiry'!N13&lt;TODAY(),"EXPIRED",IF('Consolidated Expiry'!N13&lt;=TODAY()+90,"EXPIRING SOON","GREEN")))</f>
        <v>GREEN</v>
      </c>
      <c r="O13" s="39" t="str">
        <f ca="1">IF('Consolidated Expiry'!O13="NS","MISSING",IF('Consolidated Expiry'!O13&lt;TODAY(),"EXPIRED",IF('Consolidated Expiry'!O13&lt;=TODAY()+90,"EXPIRING SOON","GREEN")))</f>
        <v>MISSING</v>
      </c>
      <c r="P13" s="39" t="str">
        <f ca="1">IF('Consolidated Expiry'!P13="NS","MISSING",IF('Consolidated Expiry'!P13&lt;TODAY(),"EXPIRED",IF('Consolidated Expiry'!P13&lt;=TODAY()+90,"EXPIRING SOON","GREEN")))</f>
        <v>GREEN</v>
      </c>
      <c r="Q13" s="39" t="str">
        <f ca="1">IF('Consolidated Expiry'!Q13="NS","MISSING",IF('Consolidated Expiry'!Q13&lt;TODAY(),"EXPIRED",IF('Consolidated Expiry'!Q13&lt;=TODAY()+90,"EXPIRING SOON","GREEN")))</f>
        <v>GREEN</v>
      </c>
      <c r="R13" s="39" t="str">
        <f ca="1">IF('Consolidated Expiry'!R13="NS","MISSING",IF('Consolidated Expiry'!R13&lt;TODAY(),"EXPIRED",IF('Consolidated Expiry'!R13&lt;=TODAY()+90,"EXPIRING SOON","GREEN")))</f>
        <v>GREEN</v>
      </c>
      <c r="S13" s="39" t="str">
        <f ca="1">IF('Consolidated Expiry'!S13="NS","MISSING",IF('Consolidated Expiry'!S13&lt;TODAY(),"EXPIRED",IF('Consolidated Expiry'!S13&lt;=TODAY()+90,"EXPIRING SOON","GREEN")))</f>
        <v>MISSING</v>
      </c>
      <c r="T13" s="39" t="str">
        <f ca="1">IF('Consolidated Expiry'!T13="NS","MISSING",IF('Consolidated Expiry'!T13&lt;TODAY(),"EXPIRED",IF('Consolidated Expiry'!T13&lt;=TODAY()+90,"EXPIRING SOON","GREEN")))</f>
        <v>MISSING</v>
      </c>
      <c r="U13" s="39" t="str">
        <f ca="1">IF('Consolidated Expiry'!U13="NS","MISSING",IF('Consolidated Expiry'!U13&lt;TODAY(),"EXPIRED",IF('Consolidated Expiry'!U13&lt;=TODAY()+90,"EXPIRING SOON","GREEN")))</f>
        <v>MISSING</v>
      </c>
      <c r="V13" s="39" t="str">
        <f ca="1">IF('Consolidated Expiry'!V13="NS","MISSING",IF('Consolidated Expiry'!V13&lt;TODAY(),"EXPIRED",IF('Consolidated Expiry'!V13&lt;=TODAY()+90,"EXPIRING SOON","GREEN")))</f>
        <v>GREEN</v>
      </c>
      <c r="W13" s="39" t="str">
        <f ca="1">IF('Consolidated Expiry'!W13="NS","MISSING",IF('Consolidated Expiry'!W13&lt;TODAY(),"EXPIRED",IF('Consolidated Expiry'!W13&lt;=TODAY()+90,"EXPIRING SOON","GREEN")))</f>
        <v>MISSING</v>
      </c>
      <c r="X13" s="39" t="str">
        <f ca="1">IF('Consolidated Expiry'!X13="NS","MISSING",IF('Consolidated Expiry'!X13&lt;TODAY(),"EXPIRED",IF('Consolidated Expiry'!X13&lt;=TODAY()+90,"EXPIRING SOON","GREEN")))</f>
        <v>GREEN</v>
      </c>
      <c r="Y13" s="39" t="str">
        <f ca="1">IF('Consolidated Expiry'!Y13="NS","MISSING",IF('Consolidated Expiry'!Y13&lt;TODAY(),"EXPIRED",IF('Consolidated Expiry'!Y13&lt;=TODAY()+90,"EXPIRING SOON","GREEN")))</f>
        <v>GREEN</v>
      </c>
      <c r="Z13" s="39" t="str">
        <f ca="1">IF('Consolidated Expiry'!Z13="NS","MISSING",IF('Consolidated Expiry'!Z13&lt;TODAY(),"EXPIRED",IF('Consolidated Expiry'!Z13&lt;=TODAY()+90,"EXPIRING SOON","GREEN")))</f>
        <v>GREEN</v>
      </c>
      <c r="AA13" s="39" t="str">
        <f ca="1">IF('Consolidated Expiry'!AA13="NS","MISSING",IF('Consolidated Expiry'!AA13&lt;TODAY(),"EXPIRED",IF('Consolidated Expiry'!AA13&lt;=TODAY()+90,"EXPIRING SOON","GREEN")))</f>
        <v>MISSING</v>
      </c>
      <c r="AB13" s="39" t="str">
        <f ca="1">IF('Consolidated Expiry'!AB13="NS","MISSING",IF('Consolidated Expiry'!AB13&lt;TODAY(),"EXPIRED",IF('Consolidated Expiry'!AB13&lt;=TODAY()+90,"EXPIRING SOON","GREEN")))</f>
        <v>MISSING</v>
      </c>
      <c r="AC13" s="39" t="str">
        <f ca="1">IF('Consolidated Expiry'!AC13="NS","MISSING",IF('Consolidated Expiry'!AC13&lt;TODAY(),"EXPIRED",IF('Consolidated Expiry'!AC13&lt;=TODAY()+90,"EXPIRING SOON","GREEN")))</f>
        <v>GREEN</v>
      </c>
      <c r="AD13" s="39" t="str">
        <f ca="1">IF('Consolidated Expiry'!AD13="NS","MISSING",IF('Consolidated Expiry'!AD13&lt;TODAY(),"EXPIRED",IF('Consolidated Expiry'!AD13&lt;=TODAY()+90,"EXPIRING SOON","GREEN")))</f>
        <v>MISSING</v>
      </c>
      <c r="AE13" s="39" t="str">
        <f ca="1">IF('Consolidated Expiry'!AE13="NS","MISSING",IF('Consolidated Expiry'!AE13&lt;TODAY(),"EXPIRED",IF('Consolidated Expiry'!AE13&lt;=TODAY()+90,"EXPIRING SOON","GREEN")))</f>
        <v>GREEN</v>
      </c>
      <c r="AF13" s="39" t="str">
        <f ca="1">IF('Consolidated Expiry'!AF13="NS","MISSING",IF('Consolidated Expiry'!AF13&lt;TODAY(),"EXPIRED",IF('Consolidated Expiry'!AF13&lt;=TODAY()+90,"EXPIRING SOON","GREEN")))</f>
        <v>GREEN</v>
      </c>
    </row>
    <row r="14" spans="1:32" x14ac:dyDescent="0.35">
      <c r="A14" s="39" t="s">
        <v>99</v>
      </c>
      <c r="B14" s="39" t="str">
        <f ca="1">IF('Consolidated Expiry'!B14="NS","MISSING",IF('Consolidated Expiry'!B14&lt;TODAY(),"EXPIRED",IF('Consolidated Expiry'!B14&lt;=TODAY()+90,"EXPIRING SOON","GREEN")))</f>
        <v>MISSING</v>
      </c>
      <c r="C14" s="39" t="str">
        <f ca="1">IF('Consolidated Expiry'!C14="NS","MISSING",IF('Consolidated Expiry'!C14&lt;TODAY(),"EXPIRED",IF('Consolidated Expiry'!C14&lt;=TODAY()+90,"EXPIRING SOON","GREEN")))</f>
        <v>GREEN</v>
      </c>
      <c r="D14" s="39" t="str">
        <f ca="1">IF('Consolidated Expiry'!D14="NS","MISSING",IF('Consolidated Expiry'!D14&lt;TODAY(),"EXPIRED",IF('Consolidated Expiry'!D14&lt;=TODAY()+90,"EXPIRING SOON","GREEN")))</f>
        <v>MISSING</v>
      </c>
      <c r="E14" s="39" t="str">
        <f ca="1">IF('Consolidated Expiry'!E14="NS","MISSING",IF('Consolidated Expiry'!E14&lt;TODAY(),"EXPIRED",IF('Consolidated Expiry'!E14&lt;=TODAY()+90,"EXPIRING SOON","GREEN")))</f>
        <v>GREEN</v>
      </c>
      <c r="F14" s="39" t="str">
        <f ca="1">IF('Consolidated Expiry'!F14="NS","MISSING",IF('Consolidated Expiry'!F14&lt;TODAY(),"EXPIRED",IF('Consolidated Expiry'!F14&lt;=TODAY()+90,"EXPIRING SOON","GREEN")))</f>
        <v>GREEN</v>
      </c>
      <c r="G14" s="39" t="str">
        <f ca="1">IF('Consolidated Expiry'!G14="NS","MISSING",IF('Consolidated Expiry'!G14&lt;TODAY(),"EXPIRED",IF('Consolidated Expiry'!G14&lt;=TODAY()+90,"EXPIRING SOON","GREEN")))</f>
        <v>GREEN</v>
      </c>
      <c r="H14" s="39" t="str">
        <f ca="1">IF('Consolidated Expiry'!H14="NS","MISSING",IF('Consolidated Expiry'!H14&lt;TODAY(),"EXPIRED",IF('Consolidated Expiry'!H14&lt;=TODAY()+90,"EXPIRING SOON","GREEN")))</f>
        <v>GREEN</v>
      </c>
      <c r="I14" s="39" t="str">
        <f ca="1">IF('Consolidated Expiry'!I14="NS","MISSING",IF('Consolidated Expiry'!I14&lt;TODAY(),"EXPIRED",IF('Consolidated Expiry'!I14&lt;=TODAY()+90,"EXPIRING SOON","GREEN")))</f>
        <v>GREEN</v>
      </c>
      <c r="J14" s="39" t="str">
        <f ca="1">IF('Consolidated Expiry'!J14="NS","MISSING",IF('Consolidated Expiry'!J14&lt;TODAY(),"EXPIRED",IF('Consolidated Expiry'!J14&lt;=TODAY()+90,"EXPIRING SOON","GREEN")))</f>
        <v>GREEN</v>
      </c>
      <c r="K14" s="39" t="str">
        <f ca="1">IF('Consolidated Expiry'!K14="NS","MISSING",IF('Consolidated Expiry'!K14&lt;TODAY(),"EXPIRED",IF('Consolidated Expiry'!K14&lt;=TODAY()+90,"EXPIRING SOON","GREEN")))</f>
        <v>GREEN</v>
      </c>
      <c r="L14" s="39" t="str">
        <f ca="1">IF('Consolidated Expiry'!L14="NS","MISSING",IF('Consolidated Expiry'!L14&lt;TODAY(),"EXPIRED",IF('Consolidated Expiry'!L14&lt;=TODAY()+90,"EXPIRING SOON","GREEN")))</f>
        <v>MISSING</v>
      </c>
      <c r="M14" s="39" t="str">
        <f ca="1">IF('Consolidated Expiry'!M14="NS","MISSING",IF('Consolidated Expiry'!M14&lt;TODAY(),"EXPIRED",IF('Consolidated Expiry'!M14&lt;=TODAY()+90,"EXPIRING SOON","GREEN")))</f>
        <v>GREEN</v>
      </c>
      <c r="N14" s="39" t="str">
        <f ca="1">IF('Consolidated Expiry'!N14="NS","MISSING",IF('Consolidated Expiry'!N14&lt;TODAY(),"EXPIRED",IF('Consolidated Expiry'!N14&lt;=TODAY()+90,"EXPIRING SOON","GREEN")))</f>
        <v>GREEN</v>
      </c>
      <c r="O14" s="39" t="str">
        <f ca="1">IF('Consolidated Expiry'!O14="NS","MISSING",IF('Consolidated Expiry'!O14&lt;TODAY(),"EXPIRED",IF('Consolidated Expiry'!O14&lt;=TODAY()+90,"EXPIRING SOON","GREEN")))</f>
        <v>GREEN</v>
      </c>
      <c r="P14" s="39" t="str">
        <f ca="1">IF('Consolidated Expiry'!P14="NS","MISSING",IF('Consolidated Expiry'!P14&lt;TODAY(),"EXPIRED",IF('Consolidated Expiry'!P14&lt;=TODAY()+90,"EXPIRING SOON","GREEN")))</f>
        <v>GREEN</v>
      </c>
      <c r="Q14" s="39" t="str">
        <f ca="1">IF('Consolidated Expiry'!Q14="NS","MISSING",IF('Consolidated Expiry'!Q14&lt;TODAY(),"EXPIRED",IF('Consolidated Expiry'!Q14&lt;=TODAY()+90,"EXPIRING SOON","GREEN")))</f>
        <v>GREEN</v>
      </c>
      <c r="R14" s="39" t="str">
        <f ca="1">IF('Consolidated Expiry'!R14="NS","MISSING",IF('Consolidated Expiry'!R14&lt;TODAY(),"EXPIRED",IF('Consolidated Expiry'!R14&lt;=TODAY()+90,"EXPIRING SOON","GREEN")))</f>
        <v>GREEN</v>
      </c>
      <c r="S14" s="39" t="str">
        <f ca="1">IF('Consolidated Expiry'!S14="NS","MISSING",IF('Consolidated Expiry'!S14&lt;TODAY(),"EXPIRED",IF('Consolidated Expiry'!S14&lt;=TODAY()+90,"EXPIRING SOON","GREEN")))</f>
        <v>MISSING</v>
      </c>
      <c r="T14" s="39" t="str">
        <f ca="1">IF('Consolidated Expiry'!T14="NS","MISSING",IF('Consolidated Expiry'!T14&lt;TODAY(),"EXPIRED",IF('Consolidated Expiry'!T14&lt;=TODAY()+90,"EXPIRING SOON","GREEN")))</f>
        <v>MISSING</v>
      </c>
      <c r="U14" s="39" t="str">
        <f ca="1">IF('Consolidated Expiry'!U14="NS","MISSING",IF('Consolidated Expiry'!U14&lt;TODAY(),"EXPIRED",IF('Consolidated Expiry'!U14&lt;=TODAY()+90,"EXPIRING SOON","GREEN")))</f>
        <v>MISSING</v>
      </c>
      <c r="V14" s="39" t="str">
        <f ca="1">IF('Consolidated Expiry'!V14="NS","MISSING",IF('Consolidated Expiry'!V14&lt;TODAY(),"EXPIRED",IF('Consolidated Expiry'!V14&lt;=TODAY()+90,"EXPIRING SOON","GREEN")))</f>
        <v>GREEN</v>
      </c>
      <c r="W14" s="39" t="str">
        <f ca="1">IF('Consolidated Expiry'!W14="NS","MISSING",IF('Consolidated Expiry'!W14&lt;TODAY(),"EXPIRED",IF('Consolidated Expiry'!W14&lt;=TODAY()+90,"EXPIRING SOON","GREEN")))</f>
        <v>MISSING</v>
      </c>
      <c r="X14" s="39" t="str">
        <f ca="1">IF('Consolidated Expiry'!X14="NS","MISSING",IF('Consolidated Expiry'!X14&lt;TODAY(),"EXPIRED",IF('Consolidated Expiry'!X14&lt;=TODAY()+90,"EXPIRING SOON","GREEN")))</f>
        <v>GREEN</v>
      </c>
      <c r="Y14" s="39" t="str">
        <f ca="1">IF('Consolidated Expiry'!Y14="NS","MISSING",IF('Consolidated Expiry'!Y14&lt;TODAY(),"EXPIRED",IF('Consolidated Expiry'!Y14&lt;=TODAY()+90,"EXPIRING SOON","GREEN")))</f>
        <v>GREEN</v>
      </c>
      <c r="Z14" s="39" t="str">
        <f ca="1">IF('Consolidated Expiry'!Z14="NS","MISSING",IF('Consolidated Expiry'!Z14&lt;TODAY(),"EXPIRED",IF('Consolidated Expiry'!Z14&lt;=TODAY()+90,"EXPIRING SOON","GREEN")))</f>
        <v>GREEN</v>
      </c>
      <c r="AA14" s="39" t="str">
        <f ca="1">IF('Consolidated Expiry'!AA14="NS","MISSING",IF('Consolidated Expiry'!AA14&lt;TODAY(),"EXPIRED",IF('Consolidated Expiry'!AA14&lt;=TODAY()+90,"EXPIRING SOON","GREEN")))</f>
        <v>MISSING</v>
      </c>
      <c r="AB14" s="39" t="str">
        <f ca="1">IF('Consolidated Expiry'!AB14="NS","MISSING",IF('Consolidated Expiry'!AB14&lt;TODAY(),"EXPIRED",IF('Consolidated Expiry'!AB14&lt;=TODAY()+90,"EXPIRING SOON","GREEN")))</f>
        <v>MISSING</v>
      </c>
      <c r="AC14" s="39" t="str">
        <f ca="1">IF('Consolidated Expiry'!AC14="NS","MISSING",IF('Consolidated Expiry'!AC14&lt;TODAY(),"EXPIRED",IF('Consolidated Expiry'!AC14&lt;=TODAY()+90,"EXPIRING SOON","GREEN")))</f>
        <v>MISSING</v>
      </c>
      <c r="AD14" s="39" t="str">
        <f ca="1">IF('Consolidated Expiry'!AD14="NS","MISSING",IF('Consolidated Expiry'!AD14&lt;TODAY(),"EXPIRED",IF('Consolidated Expiry'!AD14&lt;=TODAY()+90,"EXPIRING SOON","GREEN")))</f>
        <v>MISSING</v>
      </c>
      <c r="AE14" s="39" t="str">
        <f ca="1">IF('Consolidated Expiry'!AE14="NS","MISSING",IF('Consolidated Expiry'!AE14&lt;TODAY(),"EXPIRED",IF('Consolidated Expiry'!AE14&lt;=TODAY()+90,"EXPIRING SOON","GREEN")))</f>
        <v>MISSING</v>
      </c>
      <c r="AF14" s="39" t="str">
        <f ca="1">IF('Consolidated Expiry'!AF14="NS","MISSING",IF('Consolidated Expiry'!AF14&lt;TODAY(),"EXPIRED",IF('Consolidated Expiry'!AF14&lt;=TODAY()+90,"EXPIRING SOON","GREEN")))</f>
        <v>GREEN</v>
      </c>
    </row>
    <row r="15" spans="1:32" x14ac:dyDescent="0.35">
      <c r="A15" s="39" t="s">
        <v>265</v>
      </c>
      <c r="B15" s="39" t="str">
        <f ca="1">IF('Consolidated Expiry'!B15="NS","MISSING",IF('Consolidated Expiry'!B15&lt;TODAY(),"EXPIRED",IF('Consolidated Expiry'!B15&lt;=TODAY()+90,"EXPIRING SOON","GREEN")))</f>
        <v>MISSING</v>
      </c>
      <c r="C15" s="39" t="str">
        <f ca="1">IF('Consolidated Expiry'!C15="NS","MISSING",IF('Consolidated Expiry'!C15&lt;TODAY(),"EXPIRED",IF('Consolidated Expiry'!C15&lt;=TODAY()+90,"EXPIRING SOON","GREEN")))</f>
        <v>MISSING</v>
      </c>
      <c r="D15" s="39" t="str">
        <f ca="1">IF('Consolidated Expiry'!D15="NS","MISSING",IF('Consolidated Expiry'!D15&lt;TODAY(),"EXPIRED",IF('Consolidated Expiry'!D15&lt;=TODAY()+90,"EXPIRING SOON","GREEN")))</f>
        <v>GREEN</v>
      </c>
      <c r="E15" s="39" t="str">
        <f ca="1">IF('Consolidated Expiry'!E15="NS","MISSING",IF('Consolidated Expiry'!E15&lt;TODAY(),"EXPIRED",IF('Consolidated Expiry'!E15&lt;=TODAY()+90,"EXPIRING SOON","GREEN")))</f>
        <v>GREEN</v>
      </c>
      <c r="F15" s="39" t="str">
        <f ca="1">IF('Consolidated Expiry'!F15="NS","MISSING",IF('Consolidated Expiry'!F15&lt;TODAY(),"EXPIRED",IF('Consolidated Expiry'!F15&lt;=TODAY()+90,"EXPIRING SOON","GREEN")))</f>
        <v>GREEN</v>
      </c>
      <c r="G15" s="39" t="str">
        <f ca="1">IF('Consolidated Expiry'!G15="NS","MISSING",IF('Consolidated Expiry'!G15&lt;TODAY(),"EXPIRED",IF('Consolidated Expiry'!G15&lt;=TODAY()+90,"EXPIRING SOON","GREEN")))</f>
        <v>EXPIRING SOON</v>
      </c>
      <c r="H15" s="39" t="str">
        <f ca="1">IF('Consolidated Expiry'!H15="NS","MISSING",IF('Consolidated Expiry'!H15&lt;TODAY(),"EXPIRED",IF('Consolidated Expiry'!H15&lt;=TODAY()+90,"EXPIRING SOON","GREEN")))</f>
        <v>GREEN</v>
      </c>
      <c r="I15" s="39" t="str">
        <f ca="1">IF('Consolidated Expiry'!I15="NS","MISSING",IF('Consolidated Expiry'!I15&lt;TODAY(),"EXPIRED",IF('Consolidated Expiry'!I15&lt;=TODAY()+90,"EXPIRING SOON","GREEN")))</f>
        <v>GREEN</v>
      </c>
      <c r="J15" s="39" t="str">
        <f ca="1">IF('Consolidated Expiry'!J15="NS","MISSING",IF('Consolidated Expiry'!J15&lt;TODAY(),"EXPIRED",IF('Consolidated Expiry'!J15&lt;=TODAY()+90,"EXPIRING SOON","GREEN")))</f>
        <v>GREEN</v>
      </c>
      <c r="K15" s="39" t="str">
        <f ca="1">IF('Consolidated Expiry'!K15="NS","MISSING",IF('Consolidated Expiry'!K15&lt;TODAY(),"EXPIRED",IF('Consolidated Expiry'!K15&lt;=TODAY()+90,"EXPIRING SOON","GREEN")))</f>
        <v>GREEN</v>
      </c>
      <c r="L15" s="39" t="str">
        <f ca="1">IF('Consolidated Expiry'!L15="NS","MISSING",IF('Consolidated Expiry'!L15&lt;TODAY(),"EXPIRED",IF('Consolidated Expiry'!L15&lt;=TODAY()+90,"EXPIRING SOON","GREEN")))</f>
        <v>GREEN</v>
      </c>
      <c r="M15" s="39" t="str">
        <f ca="1">IF('Consolidated Expiry'!M15="NS","MISSING",IF('Consolidated Expiry'!M15&lt;TODAY(),"EXPIRED",IF('Consolidated Expiry'!M15&lt;=TODAY()+90,"EXPIRING SOON","GREEN")))</f>
        <v>GREEN</v>
      </c>
      <c r="N15" s="39" t="str">
        <f ca="1">IF('Consolidated Expiry'!N15="NS","MISSING",IF('Consolidated Expiry'!N15&lt;TODAY(),"EXPIRED",IF('Consolidated Expiry'!N15&lt;=TODAY()+90,"EXPIRING SOON","GREEN")))</f>
        <v>MISSING</v>
      </c>
      <c r="O15" s="39" t="str">
        <f ca="1">IF('Consolidated Expiry'!O15="NS","MISSING",IF('Consolidated Expiry'!O15&lt;TODAY(),"EXPIRED",IF('Consolidated Expiry'!O15&lt;=TODAY()+90,"EXPIRING SOON","GREEN")))</f>
        <v>GREEN</v>
      </c>
      <c r="P15" s="39" t="str">
        <f ca="1">IF('Consolidated Expiry'!P15="NS","MISSING",IF('Consolidated Expiry'!P15&lt;TODAY(),"EXPIRED",IF('Consolidated Expiry'!P15&lt;=TODAY()+90,"EXPIRING SOON","GREEN")))</f>
        <v>GREEN</v>
      </c>
      <c r="Q15" s="39" t="str">
        <f ca="1">IF('Consolidated Expiry'!Q15="NS","MISSING",IF('Consolidated Expiry'!Q15&lt;TODAY(),"EXPIRED",IF('Consolidated Expiry'!Q15&lt;=TODAY()+90,"EXPIRING SOON","GREEN")))</f>
        <v>GREEN</v>
      </c>
      <c r="R15" s="39" t="str">
        <f ca="1">IF('Consolidated Expiry'!R15="NS","MISSING",IF('Consolidated Expiry'!R15&lt;TODAY(),"EXPIRED",IF('Consolidated Expiry'!R15&lt;=TODAY()+90,"EXPIRING SOON","GREEN")))</f>
        <v>GREEN</v>
      </c>
      <c r="S15" s="39" t="str">
        <f ca="1">IF('Consolidated Expiry'!S15="NS","MISSING",IF('Consolidated Expiry'!S15&lt;TODAY(),"EXPIRED",IF('Consolidated Expiry'!S15&lt;=TODAY()+90,"EXPIRING SOON","GREEN")))</f>
        <v>MISSING</v>
      </c>
      <c r="T15" s="39" t="str">
        <f ca="1">IF('Consolidated Expiry'!T15="NS","MISSING",IF('Consolidated Expiry'!T15&lt;TODAY(),"EXPIRED",IF('Consolidated Expiry'!T15&lt;=TODAY()+90,"EXPIRING SOON","GREEN")))</f>
        <v>MISSING</v>
      </c>
      <c r="U15" s="39" t="str">
        <f ca="1">IF('Consolidated Expiry'!U15="NS","MISSING",IF('Consolidated Expiry'!U15&lt;TODAY(),"EXPIRED",IF('Consolidated Expiry'!U15&lt;=TODAY()+90,"EXPIRING SOON","GREEN")))</f>
        <v>MISSING</v>
      </c>
      <c r="V15" s="39" t="str">
        <f ca="1">IF('Consolidated Expiry'!V15="NS","MISSING",IF('Consolidated Expiry'!V15&lt;TODAY(),"EXPIRED",IF('Consolidated Expiry'!V15&lt;=TODAY()+90,"EXPIRING SOON","GREEN")))</f>
        <v>GREEN</v>
      </c>
      <c r="W15" s="39" t="str">
        <f ca="1">IF('Consolidated Expiry'!W15="NS","MISSING",IF('Consolidated Expiry'!W15&lt;TODAY(),"EXPIRED",IF('Consolidated Expiry'!W15&lt;=TODAY()+90,"EXPIRING SOON","GREEN")))</f>
        <v>MISSING</v>
      </c>
      <c r="X15" s="39" t="str">
        <f ca="1">IF('Consolidated Expiry'!X15="NS","MISSING",IF('Consolidated Expiry'!X15&lt;TODAY(),"EXPIRED",IF('Consolidated Expiry'!X15&lt;=TODAY()+90,"EXPIRING SOON","GREEN")))</f>
        <v>GREEN</v>
      </c>
      <c r="Y15" s="39" t="str">
        <f ca="1">IF('Consolidated Expiry'!Y15="NS","MISSING",IF('Consolidated Expiry'!Y15&lt;TODAY(),"EXPIRED",IF('Consolidated Expiry'!Y15&lt;=TODAY()+90,"EXPIRING SOON","GREEN")))</f>
        <v>GREEN</v>
      </c>
      <c r="Z15" s="39" t="str">
        <f ca="1">IF('Consolidated Expiry'!Z15="NS","MISSING",IF('Consolidated Expiry'!Z15&lt;TODAY(),"EXPIRED",IF('Consolidated Expiry'!Z15&lt;=TODAY()+90,"EXPIRING SOON","GREEN")))</f>
        <v>GREEN</v>
      </c>
      <c r="AA15" s="39" t="str">
        <f ca="1">IF('Consolidated Expiry'!AA15="NS","MISSING",IF('Consolidated Expiry'!AA15&lt;TODAY(),"EXPIRED",IF('Consolidated Expiry'!AA15&lt;=TODAY()+90,"EXPIRING SOON","GREEN")))</f>
        <v>MISSING</v>
      </c>
      <c r="AB15" s="39" t="str">
        <f ca="1">IF('Consolidated Expiry'!AB15="NS","MISSING",IF('Consolidated Expiry'!AB15&lt;TODAY(),"EXPIRED",IF('Consolidated Expiry'!AB15&lt;=TODAY()+90,"EXPIRING SOON","GREEN")))</f>
        <v>MISSING</v>
      </c>
      <c r="AC15" s="39" t="str">
        <f ca="1">IF('Consolidated Expiry'!AC15="NS","MISSING",IF('Consolidated Expiry'!AC15&lt;TODAY(),"EXPIRED",IF('Consolidated Expiry'!AC15&lt;=TODAY()+90,"EXPIRING SOON","GREEN")))</f>
        <v>GREEN</v>
      </c>
      <c r="AD15" s="39" t="str">
        <f ca="1">IF('Consolidated Expiry'!AD15="NS","MISSING",IF('Consolidated Expiry'!AD15&lt;TODAY(),"EXPIRED",IF('Consolidated Expiry'!AD15&lt;=TODAY()+90,"EXPIRING SOON","GREEN")))</f>
        <v>MISSING</v>
      </c>
      <c r="AE15" s="39" t="str">
        <f ca="1">IF('Consolidated Expiry'!AE15="NS","MISSING",IF('Consolidated Expiry'!AE15&lt;TODAY(),"EXPIRED",IF('Consolidated Expiry'!AE15&lt;=TODAY()+90,"EXPIRING SOON","GREEN")))</f>
        <v>GREEN</v>
      </c>
      <c r="AF15" s="39" t="str">
        <f ca="1">IF('Consolidated Expiry'!AF15="NS","MISSING",IF('Consolidated Expiry'!AF15&lt;TODAY(),"EXPIRED",IF('Consolidated Expiry'!AF15&lt;=TODAY()+90,"EXPIRING SOON","GREEN")))</f>
        <v>GREEN</v>
      </c>
    </row>
  </sheetData>
  <mergeCells count="1">
    <mergeCell ref="A1:AF1"/>
  </mergeCells>
  <conditionalFormatting sqref="B4:AF15">
    <cfRule type="expression" dxfId="410" priority="1">
      <formula>B4="GREEN"</formula>
    </cfRule>
    <cfRule type="expression" dxfId="409" priority="2">
      <formula>OR(B4="AMBER",B4="EXPIRING SOON")</formula>
    </cfRule>
    <cfRule type="expression" dxfId="408" priority="3">
      <formula>OR(B4="RED",B4="EXPIRED")</formula>
    </cfRule>
    <cfRule type="expression" dxfId="407" priority="4">
      <formula>B4="MISSING"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33"/>
  <sheetViews>
    <sheetView workbookViewId="0"/>
  </sheetViews>
  <sheetFormatPr defaultRowHeight="14.5" x14ac:dyDescent="0.35"/>
  <cols>
    <col min="1" max="1" width="34" customWidth="1"/>
    <col min="2" max="2" width="70" customWidth="1"/>
    <col min="3" max="3" width="24" customWidth="1"/>
  </cols>
  <sheetData>
    <row r="1" spans="1:3" ht="18.5" customHeight="1" x14ac:dyDescent="0.45">
      <c r="A1" s="157" t="s">
        <v>474</v>
      </c>
      <c r="B1" s="129"/>
      <c r="C1" s="129"/>
    </row>
    <row r="2" spans="1:3" x14ac:dyDescent="0.35">
      <c r="A2" s="38" t="s">
        <v>475</v>
      </c>
      <c r="B2" s="38" t="s">
        <v>476</v>
      </c>
      <c r="C2" s="38" t="s">
        <v>477</v>
      </c>
    </row>
    <row r="3" spans="1:3" x14ac:dyDescent="0.35">
      <c r="A3" s="39" t="s">
        <v>111</v>
      </c>
      <c r="B3" s="39" t="s">
        <v>111</v>
      </c>
      <c r="C3" s="39" t="s">
        <v>478</v>
      </c>
    </row>
    <row r="4" spans="1:3" x14ac:dyDescent="0.35">
      <c r="A4" s="39" t="s">
        <v>426</v>
      </c>
      <c r="B4" s="39" t="s">
        <v>113</v>
      </c>
      <c r="C4" s="39" t="s">
        <v>479</v>
      </c>
    </row>
    <row r="5" spans="1:3" x14ac:dyDescent="0.35">
      <c r="A5" s="39" t="s">
        <v>427</v>
      </c>
      <c r="B5" s="39" t="s">
        <v>453</v>
      </c>
      <c r="C5" s="39" t="s">
        <v>480</v>
      </c>
    </row>
    <row r="6" spans="1:3" ht="29" customHeight="1" x14ac:dyDescent="0.35">
      <c r="A6" s="39" t="s">
        <v>428</v>
      </c>
      <c r="B6" s="39" t="s">
        <v>454</v>
      </c>
      <c r="C6" s="39" t="s">
        <v>481</v>
      </c>
    </row>
    <row r="7" spans="1:3" x14ac:dyDescent="0.35">
      <c r="A7" s="39" t="s">
        <v>429</v>
      </c>
      <c r="B7" s="39" t="s">
        <v>455</v>
      </c>
      <c r="C7" s="39" t="s">
        <v>481</v>
      </c>
    </row>
    <row r="8" spans="1:3" x14ac:dyDescent="0.35">
      <c r="A8" s="39" t="s">
        <v>96</v>
      </c>
      <c r="B8" s="39" t="s">
        <v>96</v>
      </c>
      <c r="C8" s="39" t="s">
        <v>480</v>
      </c>
    </row>
    <row r="9" spans="1:3" x14ac:dyDescent="0.35">
      <c r="A9" s="39" t="s">
        <v>430</v>
      </c>
      <c r="B9" s="39" t="s">
        <v>456</v>
      </c>
      <c r="C9" s="39" t="s">
        <v>479</v>
      </c>
    </row>
    <row r="10" spans="1:3" ht="29" customHeight="1" x14ac:dyDescent="0.35">
      <c r="A10" s="39" t="s">
        <v>431</v>
      </c>
      <c r="B10" s="39" t="s">
        <v>457</v>
      </c>
      <c r="C10" s="39" t="s">
        <v>479</v>
      </c>
    </row>
    <row r="11" spans="1:3" ht="29" customHeight="1" x14ac:dyDescent="0.35">
      <c r="A11" s="39" t="s">
        <v>432</v>
      </c>
      <c r="B11" s="39" t="s">
        <v>458</v>
      </c>
      <c r="C11" s="39" t="s">
        <v>481</v>
      </c>
    </row>
    <row r="12" spans="1:3" x14ac:dyDescent="0.35">
      <c r="A12" s="39" t="s">
        <v>433</v>
      </c>
      <c r="B12" s="39" t="s">
        <v>144</v>
      </c>
      <c r="C12" s="39" t="s">
        <v>479</v>
      </c>
    </row>
    <row r="13" spans="1:3" ht="29" customHeight="1" x14ac:dyDescent="0.35">
      <c r="A13" s="39" t="s">
        <v>434</v>
      </c>
      <c r="B13" s="39" t="s">
        <v>459</v>
      </c>
      <c r="C13" s="39" t="s">
        <v>479</v>
      </c>
    </row>
    <row r="14" spans="1:3" x14ac:dyDescent="0.35">
      <c r="A14" s="39" t="s">
        <v>100</v>
      </c>
      <c r="B14" s="39" t="s">
        <v>460</v>
      </c>
      <c r="C14" s="39" t="s">
        <v>479</v>
      </c>
    </row>
    <row r="15" spans="1:3" x14ac:dyDescent="0.35">
      <c r="A15" s="39" t="s">
        <v>435</v>
      </c>
      <c r="B15" s="39" t="s">
        <v>461</v>
      </c>
      <c r="C15" s="39" t="s">
        <v>479</v>
      </c>
    </row>
    <row r="16" spans="1:3" x14ac:dyDescent="0.35">
      <c r="A16" s="39" t="s">
        <v>436</v>
      </c>
      <c r="B16" s="39" t="s">
        <v>462</v>
      </c>
      <c r="C16" s="39" t="s">
        <v>479</v>
      </c>
    </row>
    <row r="17" spans="1:3" x14ac:dyDescent="0.35">
      <c r="A17" s="39" t="s">
        <v>437</v>
      </c>
      <c r="B17" s="39" t="s">
        <v>463</v>
      </c>
      <c r="C17" s="39" t="s">
        <v>479</v>
      </c>
    </row>
    <row r="18" spans="1:3" x14ac:dyDescent="0.35">
      <c r="A18" s="39" t="s">
        <v>438</v>
      </c>
      <c r="B18" s="39" t="s">
        <v>464</v>
      </c>
      <c r="C18" s="39" t="s">
        <v>479</v>
      </c>
    </row>
    <row r="19" spans="1:3" x14ac:dyDescent="0.35">
      <c r="A19" s="39" t="s">
        <v>101</v>
      </c>
      <c r="B19" s="39" t="s">
        <v>465</v>
      </c>
      <c r="C19" s="39" t="s">
        <v>479</v>
      </c>
    </row>
    <row r="20" spans="1:3" x14ac:dyDescent="0.35">
      <c r="A20" s="39" t="s">
        <v>439</v>
      </c>
      <c r="B20" s="39" t="s">
        <v>466</v>
      </c>
      <c r="C20" s="39" t="s">
        <v>479</v>
      </c>
    </row>
    <row r="21" spans="1:3" x14ac:dyDescent="0.35">
      <c r="A21" s="39" t="s">
        <v>114</v>
      </c>
      <c r="B21" s="39" t="s">
        <v>114</v>
      </c>
      <c r="C21" s="39" t="s">
        <v>480</v>
      </c>
    </row>
    <row r="22" spans="1:3" x14ac:dyDescent="0.35">
      <c r="A22" s="39" t="s">
        <v>116</v>
      </c>
      <c r="B22" s="39" t="s">
        <v>116</v>
      </c>
      <c r="C22" s="39" t="s">
        <v>479</v>
      </c>
    </row>
    <row r="23" spans="1:3" x14ac:dyDescent="0.35">
      <c r="A23" s="39" t="s">
        <v>440</v>
      </c>
      <c r="B23" s="39" t="s">
        <v>467</v>
      </c>
      <c r="C23" s="39" t="s">
        <v>479</v>
      </c>
    </row>
    <row r="24" spans="1:3" x14ac:dyDescent="0.35">
      <c r="A24" s="39" t="s">
        <v>126</v>
      </c>
      <c r="B24" s="39" t="s">
        <v>126</v>
      </c>
      <c r="C24" s="39" t="s">
        <v>479</v>
      </c>
    </row>
    <row r="25" spans="1:3" x14ac:dyDescent="0.35">
      <c r="A25" s="39" t="s">
        <v>441</v>
      </c>
      <c r="B25" s="39" t="s">
        <v>468</v>
      </c>
      <c r="C25" s="39" t="s">
        <v>480</v>
      </c>
    </row>
    <row r="26" spans="1:3" x14ac:dyDescent="0.35">
      <c r="A26" s="39" t="s">
        <v>102</v>
      </c>
      <c r="B26" s="39" t="s">
        <v>102</v>
      </c>
      <c r="C26" s="39" t="s">
        <v>479</v>
      </c>
    </row>
    <row r="27" spans="1:3" x14ac:dyDescent="0.35">
      <c r="A27" s="39" t="s">
        <v>125</v>
      </c>
      <c r="B27" s="39" t="s">
        <v>125</v>
      </c>
      <c r="C27" s="39" t="s">
        <v>479</v>
      </c>
    </row>
    <row r="28" spans="1:3" x14ac:dyDescent="0.35">
      <c r="A28" s="39" t="s">
        <v>442</v>
      </c>
      <c r="B28" s="39" t="s">
        <v>469</v>
      </c>
      <c r="C28" s="39" t="s">
        <v>480</v>
      </c>
    </row>
    <row r="29" spans="1:3" x14ac:dyDescent="0.35">
      <c r="A29" s="39" t="s">
        <v>112</v>
      </c>
      <c r="B29" s="39" t="s">
        <v>470</v>
      </c>
      <c r="C29" s="39" t="s">
        <v>479</v>
      </c>
    </row>
    <row r="30" spans="1:3" x14ac:dyDescent="0.35">
      <c r="A30" s="39" t="s">
        <v>443</v>
      </c>
      <c r="B30" s="39" t="s">
        <v>103</v>
      </c>
      <c r="C30" s="39" t="s">
        <v>479</v>
      </c>
    </row>
    <row r="31" spans="1:3" x14ac:dyDescent="0.35">
      <c r="A31" s="39" t="s">
        <v>104</v>
      </c>
      <c r="B31" s="39" t="s">
        <v>471</v>
      </c>
      <c r="C31" s="39" t="s">
        <v>479</v>
      </c>
    </row>
    <row r="32" spans="1:3" x14ac:dyDescent="0.35">
      <c r="A32" s="39" t="s">
        <v>444</v>
      </c>
      <c r="B32" s="39" t="s">
        <v>204</v>
      </c>
      <c r="C32" s="39" t="s">
        <v>479</v>
      </c>
    </row>
    <row r="33" spans="1:3" x14ac:dyDescent="0.35">
      <c r="A33" s="39" t="s">
        <v>128</v>
      </c>
      <c r="B33" s="39" t="s">
        <v>128</v>
      </c>
      <c r="C33" s="39" t="s">
        <v>479</v>
      </c>
    </row>
  </sheetData>
  <mergeCells count="1">
    <mergeCell ref="A1:C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42"/>
  <sheetViews>
    <sheetView showGridLines="0" workbookViewId="0"/>
  </sheetViews>
  <sheetFormatPr defaultRowHeight="14.5" x14ac:dyDescent="0.35"/>
  <cols>
    <col min="1" max="1" width="24" customWidth="1"/>
    <col min="2" max="2" width="18" customWidth="1"/>
    <col min="3" max="3" width="20" customWidth="1"/>
    <col min="4" max="6" width="18" customWidth="1"/>
    <col min="7" max="7" width="20" customWidth="1"/>
    <col min="8" max="12" width="18" customWidth="1"/>
  </cols>
  <sheetData>
    <row r="1" spans="1:12" ht="34" customHeight="1" x14ac:dyDescent="0.35">
      <c r="A1" s="139" t="s">
        <v>482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/>
    </row>
    <row r="2" spans="1:12" ht="22" customHeight="1" x14ac:dyDescent="0.35">
      <c r="A2" s="158" t="s">
        <v>483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8"/>
    </row>
    <row r="3" spans="1:12" ht="22" customHeight="1" x14ac:dyDescent="0.35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2" ht="22" customHeight="1" x14ac:dyDescent="0.35">
      <c r="A4" s="52" t="s">
        <v>299</v>
      </c>
      <c r="B4" s="52" t="s">
        <v>484</v>
      </c>
      <c r="C4" s="52" t="s">
        <v>485</v>
      </c>
      <c r="D4" s="54"/>
      <c r="E4" s="54"/>
      <c r="F4" s="54"/>
      <c r="G4" s="54"/>
      <c r="H4" s="54"/>
      <c r="I4" s="54"/>
      <c r="J4" s="54"/>
      <c r="K4" s="54"/>
      <c r="L4" s="54"/>
    </row>
    <row r="5" spans="1:12" ht="22" customHeight="1" x14ac:dyDescent="0.35">
      <c r="A5" s="73" t="s">
        <v>10</v>
      </c>
      <c r="B5" s="56">
        <f>COUNTA('Consolidated Matrix'!$A$4:$A$14)</f>
        <v>11</v>
      </c>
      <c r="C5" s="55" t="s">
        <v>486</v>
      </c>
      <c r="D5" s="50"/>
      <c r="E5" s="50"/>
      <c r="F5" s="50"/>
      <c r="G5" s="50"/>
      <c r="H5" s="50"/>
      <c r="I5" s="50"/>
      <c r="J5" s="50"/>
      <c r="K5" s="50"/>
      <c r="L5" s="50"/>
    </row>
    <row r="6" spans="1:12" ht="22" customHeight="1" x14ac:dyDescent="0.35">
      <c r="A6" s="52" t="s">
        <v>487</v>
      </c>
      <c r="B6" s="53">
        <v>30</v>
      </c>
      <c r="C6" s="52" t="s">
        <v>488</v>
      </c>
      <c r="D6" s="54"/>
      <c r="E6" s="54"/>
      <c r="F6" s="54"/>
      <c r="G6" s="54"/>
      <c r="H6" s="54"/>
      <c r="I6" s="54"/>
      <c r="J6" s="54"/>
      <c r="K6" s="54"/>
      <c r="L6" s="54"/>
    </row>
    <row r="7" spans="1:12" ht="22" customHeight="1" x14ac:dyDescent="0.35">
      <c r="A7" s="73" t="s">
        <v>489</v>
      </c>
      <c r="B7" s="57">
        <f ca="1">IFERROR(AVERAGE(F13:F42),0)</f>
        <v>0.54242424242424236</v>
      </c>
      <c r="C7" s="55" t="s">
        <v>490</v>
      </c>
      <c r="D7" s="50"/>
      <c r="E7" s="50"/>
      <c r="F7" s="50"/>
      <c r="G7" s="50"/>
      <c r="H7" s="50"/>
      <c r="I7" s="50"/>
      <c r="J7" s="50"/>
      <c r="K7" s="50"/>
      <c r="L7" s="50"/>
    </row>
    <row r="8" spans="1:12" ht="22" customHeight="1" x14ac:dyDescent="0.35">
      <c r="A8" s="73" t="s">
        <v>491</v>
      </c>
      <c r="B8" s="56">
        <f ca="1">COUNTIF(G13:G42,"GREEN")</f>
        <v>7</v>
      </c>
      <c r="C8" s="55" t="s">
        <v>492</v>
      </c>
      <c r="D8" s="50"/>
      <c r="E8" s="50"/>
      <c r="F8" s="50"/>
      <c r="G8" s="50"/>
      <c r="H8" s="50"/>
      <c r="I8" s="50"/>
      <c r="J8" s="50"/>
      <c r="K8" s="50"/>
      <c r="L8" s="50"/>
    </row>
    <row r="9" spans="1:12" ht="22" customHeight="1" x14ac:dyDescent="0.35">
      <c r="A9" s="52" t="s">
        <v>493</v>
      </c>
      <c r="B9" s="53">
        <f ca="1">COUNTIF(G13:G42,"AMBER")</f>
        <v>4</v>
      </c>
      <c r="C9" s="52" t="s">
        <v>494</v>
      </c>
      <c r="D9" s="54"/>
      <c r="E9" s="54"/>
      <c r="F9" s="54"/>
      <c r="G9" s="54"/>
      <c r="H9" s="54"/>
      <c r="I9" s="54"/>
      <c r="J9" s="54"/>
      <c r="K9" s="54"/>
      <c r="L9" s="54"/>
    </row>
    <row r="10" spans="1:12" ht="22" customHeight="1" x14ac:dyDescent="0.35">
      <c r="A10" s="73" t="s">
        <v>495</v>
      </c>
      <c r="B10" s="56">
        <f ca="1">COUNTIF(G13:G42,"RED")</f>
        <v>19</v>
      </c>
      <c r="C10" s="55" t="s">
        <v>496</v>
      </c>
      <c r="D10" s="50"/>
      <c r="E10" s="50"/>
      <c r="F10" s="50"/>
      <c r="G10" s="50"/>
      <c r="H10" s="50"/>
      <c r="I10" s="50"/>
      <c r="J10" s="50"/>
      <c r="K10" s="50"/>
      <c r="L10" s="50"/>
    </row>
    <row r="11" spans="1:12" ht="22" customHeight="1" x14ac:dyDescent="0.35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</row>
    <row r="12" spans="1:12" ht="22" customHeight="1" x14ac:dyDescent="0.35">
      <c r="A12" s="52" t="s">
        <v>9</v>
      </c>
      <c r="B12" s="52" t="s">
        <v>497</v>
      </c>
      <c r="C12" s="52" t="s">
        <v>3</v>
      </c>
      <c r="D12" s="52" t="s">
        <v>498</v>
      </c>
      <c r="E12" s="52" t="s">
        <v>499</v>
      </c>
      <c r="F12" s="52" t="s">
        <v>11</v>
      </c>
      <c r="G12" s="52" t="s">
        <v>6</v>
      </c>
      <c r="H12" s="52" t="s">
        <v>500</v>
      </c>
      <c r="I12" s="54"/>
      <c r="J12" s="54"/>
      <c r="K12" s="54"/>
      <c r="L12" s="54"/>
    </row>
    <row r="13" spans="1:12" ht="22" customHeight="1" x14ac:dyDescent="0.35">
      <c r="A13" s="55" t="s">
        <v>125</v>
      </c>
      <c r="B13" s="55" t="s">
        <v>125</v>
      </c>
      <c r="C13" s="56">
        <f>COUNT('Consolidated Matrix'!$Z$4:$Z$14)+COUNTIF('Consolidated Matrix'!$Z$4:$Z$14,"??/??/????")</f>
        <v>10</v>
      </c>
      <c r="D13" s="56">
        <f>COUNTA('Consolidated Matrix'!$A$4:$A$14)</f>
        <v>11</v>
      </c>
      <c r="E13" s="56">
        <f>MAX(0,D13-C13)</f>
        <v>1</v>
      </c>
      <c r="F13" s="57">
        <f>IFERROR(C13/D13,0)</f>
        <v>0.90909090909090906</v>
      </c>
      <c r="G13" s="55" t="str">
        <f t="shared" ref="G13:G42" si="0">IF(F13&gt;=0.9,"GREEN",IF(F13&gt;=0.75,"AMBER","RED"))</f>
        <v>GREEN</v>
      </c>
      <c r="H13" s="55" t="s">
        <v>501</v>
      </c>
      <c r="I13" s="50"/>
      <c r="J13" s="50"/>
      <c r="K13" s="50"/>
      <c r="L13" s="50"/>
    </row>
    <row r="14" spans="1:12" ht="22" customHeight="1" x14ac:dyDescent="0.35">
      <c r="A14" s="55" t="s">
        <v>126</v>
      </c>
      <c r="B14" s="55" t="s">
        <v>126</v>
      </c>
      <c r="C14" s="56">
        <f>COUNT('Consolidated Matrix'!$W$4:$W$14)+COUNTIF('Consolidated Matrix'!$W$4:$W$14,"??/??/????")</f>
        <v>8</v>
      </c>
      <c r="D14" s="56">
        <f>COUNTA('Consolidated Matrix'!$A$4:$A$14)</f>
        <v>11</v>
      </c>
      <c r="E14" s="56">
        <f>MAX(0,D14-C14)</f>
        <v>3</v>
      </c>
      <c r="F14" s="57">
        <f>IFERROR(C14/D14,0)</f>
        <v>0.72727272727272729</v>
      </c>
      <c r="G14" s="55" t="str">
        <f t="shared" si="0"/>
        <v>RED</v>
      </c>
      <c r="H14" s="55" t="s">
        <v>502</v>
      </c>
      <c r="I14" s="50"/>
      <c r="J14" s="50"/>
      <c r="K14" s="50"/>
      <c r="L14" s="50"/>
    </row>
    <row r="15" spans="1:12" ht="22" customHeight="1" x14ac:dyDescent="0.35">
      <c r="A15" s="55" t="s">
        <v>503</v>
      </c>
      <c r="B15" s="55" t="s">
        <v>433</v>
      </c>
      <c r="C15" s="56">
        <f>COUNT('Consolidated Matrix'!$K$4:$K$14)+COUNTIF('Consolidated Matrix'!$K$4:$K$14,"??/??/????")</f>
        <v>9</v>
      </c>
      <c r="D15" s="56">
        <f>COUNTA('Consolidated Matrix'!$A$4:$A$14)</f>
        <v>11</v>
      </c>
      <c r="E15" s="56">
        <f>MAX(0,D15-C15)</f>
        <v>2</v>
      </c>
      <c r="F15" s="57">
        <f>IFERROR(C15/D15,0)</f>
        <v>0.81818181818181823</v>
      </c>
      <c r="G15" s="55" t="str">
        <f t="shared" si="0"/>
        <v>AMBER</v>
      </c>
      <c r="H15" s="55" t="s">
        <v>504</v>
      </c>
      <c r="I15" s="50"/>
      <c r="J15" s="50"/>
      <c r="K15" s="50"/>
      <c r="L15" s="50"/>
    </row>
    <row r="16" spans="1:12" ht="22" customHeight="1" x14ac:dyDescent="0.35">
      <c r="A16" s="55" t="s">
        <v>117</v>
      </c>
      <c r="B16" s="55" t="s">
        <v>440</v>
      </c>
      <c r="C16" s="56">
        <f ca="1">MIN(VALUE(D16),COUNT('Consolidated Matrix'!$V$4:$V$14)+COUNTIF('Consolidated Matrix'!$V$4:$V$14,"??/??/????"))</f>
        <v>6</v>
      </c>
      <c r="D16" s="56" t="str">
        <f ca="1">TEXT(COUNTA('Consolidated Matrix'!$A$4:$A$14)-COUNTIFS('Consolidated Matrix'!$B$4:$B$14,"&gt;="&amp;TODAY()-365),"0")</f>
        <v>6</v>
      </c>
      <c r="E16" s="56">
        <f ca="1">MAX(0,VALUE(D16)-C16)</f>
        <v>0</v>
      </c>
      <c r="F16" s="57">
        <f ca="1">IFERROR(C16/VALUE(D16),0)</f>
        <v>1</v>
      </c>
      <c r="G16" s="55" t="str">
        <f t="shared" ca="1" si="0"/>
        <v>GREEN</v>
      </c>
      <c r="H16" s="55" t="s">
        <v>505</v>
      </c>
      <c r="I16" s="50"/>
      <c r="J16" s="50"/>
      <c r="K16" s="50"/>
      <c r="L16" s="50"/>
    </row>
    <row r="17" spans="1:12" ht="22" customHeight="1" x14ac:dyDescent="0.35">
      <c r="A17" s="55" t="s">
        <v>506</v>
      </c>
      <c r="B17" s="55" t="s">
        <v>436</v>
      </c>
      <c r="C17" s="56">
        <f>COUNT('Consolidated Matrix'!$O$4:$O$14)+COUNTIF('Consolidated Matrix'!$O$4:$O$14,"??/??/????")</f>
        <v>10</v>
      </c>
      <c r="D17" s="56">
        <f>COUNTA('Consolidated Matrix'!$A$4:$A$14)</f>
        <v>11</v>
      </c>
      <c r="E17" s="56">
        <f>MAX(0,D17-C17)</f>
        <v>1</v>
      </c>
      <c r="F17" s="57">
        <f>IFERROR(C17/D17,0)</f>
        <v>0.90909090909090906</v>
      </c>
      <c r="G17" s="55" t="str">
        <f t="shared" si="0"/>
        <v>GREEN</v>
      </c>
      <c r="H17" s="55" t="s">
        <v>507</v>
      </c>
      <c r="I17" s="50"/>
      <c r="J17" s="50"/>
      <c r="K17" s="50"/>
      <c r="L17" s="50"/>
    </row>
    <row r="18" spans="1:12" ht="22" customHeight="1" x14ac:dyDescent="0.35">
      <c r="A18" s="52" t="s">
        <v>508</v>
      </c>
      <c r="B18" s="52" t="s">
        <v>444</v>
      </c>
      <c r="C18" s="53">
        <f>COUNT('Consolidated Matrix'!$AE$4:$AE$14)+COUNTIF('Consolidated Matrix'!$AE$4:$AE$14,"??/??/????")</f>
        <v>5</v>
      </c>
      <c r="D18" s="53">
        <f>COUNTA('Consolidated Matrix'!$A$4:$A$14)</f>
        <v>11</v>
      </c>
      <c r="E18" s="53">
        <f>MAX(0,D18-C18)</f>
        <v>6</v>
      </c>
      <c r="F18" s="58">
        <f>IFERROR(C18/D18,0)</f>
        <v>0.45454545454545453</v>
      </c>
      <c r="G18" s="52" t="str">
        <f t="shared" si="0"/>
        <v>RED</v>
      </c>
      <c r="H18" s="54"/>
      <c r="I18" s="54"/>
      <c r="J18" s="54"/>
      <c r="K18" s="54"/>
      <c r="L18" s="54"/>
    </row>
    <row r="19" spans="1:12" ht="22" customHeight="1" x14ac:dyDescent="0.35">
      <c r="A19" s="52" t="s">
        <v>509</v>
      </c>
      <c r="B19" s="52" t="s">
        <v>447</v>
      </c>
      <c r="C19" s="53">
        <f>COUNT('Consolidated Matrix'!$AL$4:$AL$14)+COUNTIF('Consolidated Matrix'!$AL$4:$AL$14,"??/??/????")</f>
        <v>0</v>
      </c>
      <c r="D19" s="53">
        <f>COUNTA('Consolidated Matrix'!$A$4:$A$14)</f>
        <v>11</v>
      </c>
      <c r="E19" s="53">
        <f>MAX(0,D19-C19)</f>
        <v>11</v>
      </c>
      <c r="F19" s="58">
        <f>IFERROR(C19/D19,0)</f>
        <v>0</v>
      </c>
      <c r="G19" s="52" t="str">
        <f t="shared" si="0"/>
        <v>RED</v>
      </c>
      <c r="H19" s="52" t="s">
        <v>510</v>
      </c>
      <c r="I19" s="54"/>
      <c r="J19" s="54"/>
      <c r="K19" s="54"/>
      <c r="L19" s="54"/>
    </row>
    <row r="20" spans="1:12" ht="22" customHeight="1" x14ac:dyDescent="0.35">
      <c r="A20" s="55" t="s">
        <v>511</v>
      </c>
      <c r="B20" s="55" t="s">
        <v>440</v>
      </c>
      <c r="C20" s="56">
        <f>COUNT('Consolidated Matrix'!$V$4:$V$14)+COUNTIF('Consolidated Matrix'!$V$4:$V$14,"??/??/????")</f>
        <v>9</v>
      </c>
      <c r="D20" s="56">
        <f>COUNTA('Consolidated Matrix'!$A$4:$A$14)</f>
        <v>11</v>
      </c>
      <c r="E20" s="56">
        <f>MAX(0,D20-C20)</f>
        <v>2</v>
      </c>
      <c r="F20" s="57">
        <f>IFERROR(C20/D20,0)</f>
        <v>0.81818181818181823</v>
      </c>
      <c r="G20" s="55" t="str">
        <f t="shared" si="0"/>
        <v>AMBER</v>
      </c>
      <c r="H20" s="55" t="s">
        <v>512</v>
      </c>
      <c r="I20" s="50"/>
      <c r="J20" s="50"/>
      <c r="K20" s="50"/>
      <c r="L20" s="50"/>
    </row>
    <row r="21" spans="1:12" ht="22" customHeight="1" x14ac:dyDescent="0.35">
      <c r="A21" s="55" t="s">
        <v>435</v>
      </c>
      <c r="B21" s="55" t="s">
        <v>435</v>
      </c>
      <c r="C21" s="56">
        <f ca="1">MIN(VALUE(D21),COUNT('Consolidated Matrix'!$N$4:$N$14)+COUNTIF('Consolidated Matrix'!$N$4:$N$14,"??/??/????"))</f>
        <v>6</v>
      </c>
      <c r="D21" s="56" t="str">
        <f ca="1">TEXT(COUNTA('Consolidated Matrix'!$A$4:$A$14)-COUNTIFS('Consolidated Matrix'!$B$4:$B$14,"&gt;="&amp;TODAY()-365),"0")</f>
        <v>6</v>
      </c>
      <c r="E21" s="56">
        <f ca="1">MAX(0,VALUE(D21)-C21)</f>
        <v>0</v>
      </c>
      <c r="F21" s="57">
        <f ca="1">IFERROR(C21/VALUE(D21),0)</f>
        <v>1</v>
      </c>
      <c r="G21" s="55" t="str">
        <f t="shared" ca="1" si="0"/>
        <v>GREEN</v>
      </c>
      <c r="H21" s="55" t="s">
        <v>505</v>
      </c>
      <c r="I21" s="50"/>
      <c r="J21" s="50"/>
      <c r="K21" s="50"/>
      <c r="L21" s="50"/>
    </row>
    <row r="22" spans="1:12" ht="22" customHeight="1" x14ac:dyDescent="0.35">
      <c r="A22" s="55" t="s">
        <v>513</v>
      </c>
      <c r="B22" s="55" t="s">
        <v>102</v>
      </c>
      <c r="C22" s="56">
        <f>COUNT('Consolidated Matrix'!$Y$4:$Y$14)+COUNTIF('Consolidated Matrix'!$Y$4:$Y$14,"??/??/????")</f>
        <v>8</v>
      </c>
      <c r="D22" s="56">
        <f>COUNTA('Consolidated Matrix'!$A$4:$A$14)</f>
        <v>11</v>
      </c>
      <c r="E22" s="56">
        <f t="shared" ref="E22:E42" si="1">MAX(0,D22-C22)</f>
        <v>3</v>
      </c>
      <c r="F22" s="57">
        <f t="shared" ref="F22:F42" si="2">IFERROR(C22/D22,0)</f>
        <v>0.72727272727272729</v>
      </c>
      <c r="G22" s="55" t="str">
        <f t="shared" si="0"/>
        <v>RED</v>
      </c>
      <c r="H22" s="50"/>
      <c r="I22" s="50"/>
      <c r="J22" s="50"/>
      <c r="K22" s="50"/>
      <c r="L22" s="50"/>
    </row>
    <row r="23" spans="1:12" ht="22" customHeight="1" x14ac:dyDescent="0.35">
      <c r="A23" s="55" t="s">
        <v>514</v>
      </c>
      <c r="B23" s="55" t="s">
        <v>129</v>
      </c>
      <c r="C23" s="56">
        <f>COUNT('Consolidated Matrix'!$AM$4:$AM$14)+COUNTIF('Consolidated Matrix'!$AM$4:$AM$14,"??/??/????")</f>
        <v>0</v>
      </c>
      <c r="D23" s="56">
        <f>COUNTA('Consolidated Matrix'!$A$4:$A$14)</f>
        <v>11</v>
      </c>
      <c r="E23" s="56">
        <f t="shared" si="1"/>
        <v>11</v>
      </c>
      <c r="F23" s="57">
        <f t="shared" si="2"/>
        <v>0</v>
      </c>
      <c r="G23" s="55" t="str">
        <f t="shared" si="0"/>
        <v>RED</v>
      </c>
      <c r="H23" s="55" t="s">
        <v>510</v>
      </c>
      <c r="I23" s="50"/>
      <c r="J23" s="50"/>
      <c r="K23" s="50"/>
      <c r="L23" s="50"/>
    </row>
    <row r="24" spans="1:12" ht="22" customHeight="1" x14ac:dyDescent="0.35">
      <c r="A24" s="55" t="s">
        <v>123</v>
      </c>
      <c r="B24" s="55" t="s">
        <v>441</v>
      </c>
      <c r="C24" s="56">
        <f>COUNT('Consolidated Matrix'!$X$4:$X$14)+COUNTIF('Consolidated Matrix'!$X$4:$X$14,"??/??/????")</f>
        <v>10</v>
      </c>
      <c r="D24" s="56">
        <f>COUNTA('Consolidated Matrix'!$A$4:$A$14)</f>
        <v>11</v>
      </c>
      <c r="E24" s="56">
        <f t="shared" si="1"/>
        <v>1</v>
      </c>
      <c r="F24" s="57">
        <f t="shared" si="2"/>
        <v>0.90909090909090906</v>
      </c>
      <c r="G24" s="55" t="str">
        <f t="shared" si="0"/>
        <v>GREEN</v>
      </c>
      <c r="H24" s="50"/>
      <c r="I24" s="50"/>
      <c r="J24" s="50"/>
      <c r="K24" s="50"/>
      <c r="L24" s="50"/>
    </row>
    <row r="25" spans="1:12" ht="22" customHeight="1" x14ac:dyDescent="0.35">
      <c r="A25" s="52" t="s">
        <v>448</v>
      </c>
      <c r="B25" s="52" t="s">
        <v>448</v>
      </c>
      <c r="C25" s="53">
        <f>COUNT('Consolidated Matrix'!$AN$4:$AN$14)+COUNTIF('Consolidated Matrix'!$AN$4:$AN$14,"??/??/????")</f>
        <v>0</v>
      </c>
      <c r="D25" s="53">
        <f>COUNTA('Consolidated Matrix'!$A$4:$A$14)</f>
        <v>11</v>
      </c>
      <c r="E25" s="53">
        <f t="shared" si="1"/>
        <v>11</v>
      </c>
      <c r="F25" s="58">
        <f t="shared" si="2"/>
        <v>0</v>
      </c>
      <c r="G25" s="52" t="str">
        <f t="shared" si="0"/>
        <v>RED</v>
      </c>
      <c r="H25" s="52" t="s">
        <v>510</v>
      </c>
      <c r="I25" s="54"/>
      <c r="J25" s="54"/>
      <c r="K25" s="54"/>
      <c r="L25" s="54"/>
    </row>
    <row r="26" spans="1:12" ht="22" customHeight="1" x14ac:dyDescent="0.35">
      <c r="A26" s="55" t="s">
        <v>101</v>
      </c>
      <c r="B26" s="55" t="s">
        <v>101</v>
      </c>
      <c r="C26" s="56">
        <f>COUNT('Consolidated Matrix'!$R$4:$R$14)+COUNTIF('Consolidated Matrix'!$R$4:$R$14,"??/??/????")</f>
        <v>10</v>
      </c>
      <c r="D26" s="56">
        <f>COUNTA('Consolidated Matrix'!$A$4:$A$14)</f>
        <v>11</v>
      </c>
      <c r="E26" s="56">
        <f t="shared" si="1"/>
        <v>1</v>
      </c>
      <c r="F26" s="57">
        <f t="shared" si="2"/>
        <v>0.90909090909090906</v>
      </c>
      <c r="G26" s="55" t="str">
        <f t="shared" si="0"/>
        <v>GREEN</v>
      </c>
      <c r="H26" s="50"/>
      <c r="I26" s="50"/>
      <c r="J26" s="50"/>
      <c r="K26" s="50"/>
      <c r="L26" s="50"/>
    </row>
    <row r="27" spans="1:12" ht="22" customHeight="1" x14ac:dyDescent="0.35">
      <c r="A27" s="55" t="s">
        <v>114</v>
      </c>
      <c r="B27" s="55" t="s">
        <v>114</v>
      </c>
      <c r="C27" s="56">
        <f>COUNT('Consolidated Matrix'!$T$4:$T$14)+COUNTIF('Consolidated Matrix'!$T$4:$T$14,"??/??/????")</f>
        <v>7</v>
      </c>
      <c r="D27" s="56">
        <f>COUNTA('Consolidated Matrix'!$A$4:$A$14)</f>
        <v>11</v>
      </c>
      <c r="E27" s="56">
        <f t="shared" si="1"/>
        <v>4</v>
      </c>
      <c r="F27" s="57">
        <f t="shared" si="2"/>
        <v>0.63636363636363635</v>
      </c>
      <c r="G27" s="55" t="str">
        <f t="shared" si="0"/>
        <v>RED</v>
      </c>
      <c r="H27" s="50"/>
      <c r="I27" s="50"/>
      <c r="J27" s="50"/>
      <c r="K27" s="50"/>
      <c r="L27" s="50"/>
    </row>
    <row r="28" spans="1:12" ht="22" customHeight="1" x14ac:dyDescent="0.35">
      <c r="A28" s="55" t="s">
        <v>515</v>
      </c>
      <c r="B28" s="55" t="s">
        <v>426</v>
      </c>
      <c r="C28" s="56">
        <f>COUNT('Consolidated Matrix'!$C$4:$C$14)+COUNTIF('Consolidated Matrix'!$C$4:$C$14,"??/??/????")</f>
        <v>7</v>
      </c>
      <c r="D28" s="56">
        <f>COUNTA('Consolidated Matrix'!$A$4:$A$14)</f>
        <v>11</v>
      </c>
      <c r="E28" s="56">
        <f t="shared" si="1"/>
        <v>4</v>
      </c>
      <c r="F28" s="57">
        <f t="shared" si="2"/>
        <v>0.63636363636363635</v>
      </c>
      <c r="G28" s="55" t="str">
        <f t="shared" si="0"/>
        <v>RED</v>
      </c>
      <c r="H28" s="50"/>
      <c r="I28" s="50"/>
      <c r="J28" s="50"/>
      <c r="K28" s="50"/>
      <c r="L28" s="50"/>
    </row>
    <row r="29" spans="1:12" ht="22" customHeight="1" x14ac:dyDescent="0.35">
      <c r="A29" s="55" t="s">
        <v>516</v>
      </c>
      <c r="B29" s="55" t="s">
        <v>112</v>
      </c>
      <c r="C29" s="56">
        <f>COUNT('Consolidated Matrix'!$AB$4:$AB$14)+COUNTIF('Consolidated Matrix'!$AB$4:$AB$14,"??/??/????")</f>
        <v>8</v>
      </c>
      <c r="D29" s="56">
        <f>COUNTA('Consolidated Matrix'!$A$4:$A$14)</f>
        <v>11</v>
      </c>
      <c r="E29" s="56">
        <f t="shared" si="1"/>
        <v>3</v>
      </c>
      <c r="F29" s="57">
        <f t="shared" si="2"/>
        <v>0.72727272727272729</v>
      </c>
      <c r="G29" s="55" t="str">
        <f t="shared" si="0"/>
        <v>RED</v>
      </c>
      <c r="H29" s="50"/>
      <c r="I29" s="50"/>
      <c r="J29" s="50"/>
      <c r="K29" s="50"/>
      <c r="L29" s="50"/>
    </row>
    <row r="30" spans="1:12" ht="22" customHeight="1" x14ac:dyDescent="0.35">
      <c r="A30" s="52" t="s">
        <v>517</v>
      </c>
      <c r="B30" s="52" t="s">
        <v>437</v>
      </c>
      <c r="C30" s="53">
        <f>COUNT('Consolidated Matrix'!$P$4:$P$14)+COUNTIF('Consolidated Matrix'!$P$4:$P$14,"??/??/????")</f>
        <v>9</v>
      </c>
      <c r="D30" s="53">
        <f>COUNTA('Consolidated Matrix'!$A$4:$A$14)</f>
        <v>11</v>
      </c>
      <c r="E30" s="53">
        <f t="shared" si="1"/>
        <v>2</v>
      </c>
      <c r="F30" s="58">
        <f t="shared" si="2"/>
        <v>0.81818181818181823</v>
      </c>
      <c r="G30" s="52" t="str">
        <f t="shared" si="0"/>
        <v>AMBER</v>
      </c>
      <c r="H30" s="54"/>
      <c r="I30" s="54"/>
      <c r="J30" s="54"/>
      <c r="K30" s="54"/>
      <c r="L30" s="54"/>
    </row>
    <row r="31" spans="1:12" ht="22" customHeight="1" x14ac:dyDescent="0.35">
      <c r="A31" s="55" t="s">
        <v>518</v>
      </c>
      <c r="B31" s="55" t="s">
        <v>100</v>
      </c>
      <c r="C31" s="56">
        <f>COUNT('Consolidated Matrix'!$M$4:$M$14)+COUNTIF('Consolidated Matrix'!$M$4:$M$14,"??/??/????")</f>
        <v>9</v>
      </c>
      <c r="D31" s="56">
        <f>COUNTA('Consolidated Matrix'!$A$4:$A$14)</f>
        <v>11</v>
      </c>
      <c r="E31" s="56">
        <f t="shared" si="1"/>
        <v>2</v>
      </c>
      <c r="F31" s="57">
        <f t="shared" si="2"/>
        <v>0.81818181818181823</v>
      </c>
      <c r="G31" s="55" t="str">
        <f t="shared" si="0"/>
        <v>AMBER</v>
      </c>
      <c r="H31" s="55" t="s">
        <v>519</v>
      </c>
      <c r="I31" s="50"/>
      <c r="J31" s="50"/>
      <c r="K31" s="50"/>
      <c r="L31" s="50"/>
    </row>
    <row r="32" spans="1:12" ht="22" customHeight="1" x14ac:dyDescent="0.35">
      <c r="A32" s="55" t="s">
        <v>520</v>
      </c>
      <c r="B32" s="55" t="s">
        <v>449</v>
      </c>
      <c r="C32" s="56">
        <f>COUNT('Consolidated Matrix'!$AO$4:$AO$14)+COUNTIF('Consolidated Matrix'!$AO$4:$AO$14,"??/??/????")</f>
        <v>0</v>
      </c>
      <c r="D32" s="56">
        <f>COUNTA('Consolidated Matrix'!$A$4:$A$14)</f>
        <v>11</v>
      </c>
      <c r="E32" s="56">
        <f t="shared" si="1"/>
        <v>11</v>
      </c>
      <c r="F32" s="57">
        <f t="shared" si="2"/>
        <v>0</v>
      </c>
      <c r="G32" s="55" t="str">
        <f t="shared" si="0"/>
        <v>RED</v>
      </c>
      <c r="H32" s="55" t="s">
        <v>510</v>
      </c>
      <c r="I32" s="50"/>
      <c r="J32" s="50"/>
      <c r="K32" s="50"/>
      <c r="L32" s="50"/>
    </row>
    <row r="33" spans="1:12" ht="22" customHeight="1" x14ac:dyDescent="0.35">
      <c r="A33" s="55" t="s">
        <v>521</v>
      </c>
      <c r="B33" s="55" t="s">
        <v>432</v>
      </c>
      <c r="C33" s="56">
        <f>COUNT('Consolidated Matrix'!$J$4:$J$14)+COUNTIF('Consolidated Matrix'!$J$4:$J$14,"??/??/????")</f>
        <v>8</v>
      </c>
      <c r="D33" s="56">
        <f>COUNTA('Consolidated Matrix'!$A$4:$A$14)</f>
        <v>11</v>
      </c>
      <c r="E33" s="56">
        <f t="shared" si="1"/>
        <v>3</v>
      </c>
      <c r="F33" s="57">
        <f t="shared" si="2"/>
        <v>0.72727272727272729</v>
      </c>
      <c r="G33" s="55" t="str">
        <f t="shared" si="0"/>
        <v>RED</v>
      </c>
      <c r="H33" s="50"/>
      <c r="I33" s="50"/>
      <c r="J33" s="50"/>
      <c r="K33" s="50"/>
      <c r="L33" s="50"/>
    </row>
    <row r="34" spans="1:12" ht="22" customHeight="1" x14ac:dyDescent="0.35">
      <c r="A34" s="55" t="s">
        <v>450</v>
      </c>
      <c r="B34" s="55" t="s">
        <v>450</v>
      </c>
      <c r="C34" s="56">
        <f>COUNT('Consolidated Matrix'!$AP$4:$AP$14)+COUNTIF('Consolidated Matrix'!$AP$4:$AP$14,"??/??/????")</f>
        <v>0</v>
      </c>
      <c r="D34" s="56">
        <f>COUNTA('Consolidated Matrix'!$A$4:$A$14)</f>
        <v>11</v>
      </c>
      <c r="E34" s="56">
        <f t="shared" si="1"/>
        <v>11</v>
      </c>
      <c r="F34" s="57">
        <f t="shared" si="2"/>
        <v>0</v>
      </c>
      <c r="G34" s="55" t="str">
        <f t="shared" si="0"/>
        <v>RED</v>
      </c>
      <c r="H34" s="55" t="s">
        <v>510</v>
      </c>
      <c r="I34" s="50"/>
      <c r="J34" s="50"/>
      <c r="K34" s="50"/>
      <c r="L34" s="50"/>
    </row>
    <row r="35" spans="1:12" ht="22" customHeight="1" x14ac:dyDescent="0.35">
      <c r="A35" s="55" t="s">
        <v>522</v>
      </c>
      <c r="B35" s="55" t="s">
        <v>451</v>
      </c>
      <c r="C35" s="56">
        <f>COUNT('Consolidated Matrix'!$AQ$4:$AQ$14)+COUNTIF('Consolidated Matrix'!$AQ$4:$AQ$14,"??/??/????")</f>
        <v>0</v>
      </c>
      <c r="D35" s="56">
        <f>COUNTA('Consolidated Matrix'!$A$4:$A$14)</f>
        <v>11</v>
      </c>
      <c r="E35" s="56">
        <f t="shared" si="1"/>
        <v>11</v>
      </c>
      <c r="F35" s="57">
        <f t="shared" si="2"/>
        <v>0</v>
      </c>
      <c r="G35" s="55" t="str">
        <f t="shared" si="0"/>
        <v>RED</v>
      </c>
      <c r="H35" s="55" t="s">
        <v>510</v>
      </c>
      <c r="I35" s="50"/>
      <c r="J35" s="50"/>
      <c r="K35" s="50"/>
      <c r="L35" s="50"/>
    </row>
    <row r="36" spans="1:12" ht="22" customHeight="1" x14ac:dyDescent="0.35">
      <c r="A36" s="55" t="s">
        <v>104</v>
      </c>
      <c r="B36" s="55" t="s">
        <v>104</v>
      </c>
      <c r="C36" s="56">
        <f>COUNT('Consolidated Matrix'!$AD$4:$AD$14)+COUNTIF('Consolidated Matrix'!$AD$4:$AD$14,"??/??/????")</f>
        <v>3</v>
      </c>
      <c r="D36" s="56">
        <f>COUNTA('Consolidated Matrix'!$A$4:$A$14)</f>
        <v>11</v>
      </c>
      <c r="E36" s="56">
        <f t="shared" si="1"/>
        <v>8</v>
      </c>
      <c r="F36" s="57">
        <f t="shared" si="2"/>
        <v>0.27272727272727271</v>
      </c>
      <c r="G36" s="55" t="str">
        <f t="shared" si="0"/>
        <v>RED</v>
      </c>
      <c r="H36" s="50"/>
      <c r="I36" s="50"/>
      <c r="J36" s="50"/>
      <c r="K36" s="50"/>
      <c r="L36" s="50"/>
    </row>
    <row r="37" spans="1:12" ht="22" customHeight="1" x14ac:dyDescent="0.35">
      <c r="A37" s="55" t="s">
        <v>523</v>
      </c>
      <c r="B37" s="55" t="s">
        <v>132</v>
      </c>
      <c r="C37" s="56">
        <f>COUNT('Consolidated Matrix'!$AR$4:$AR$14)+COUNTIF('Consolidated Matrix'!$AR$4:$AR$14,"??/??/????")</f>
        <v>0</v>
      </c>
      <c r="D37" s="56">
        <f>COUNTA('Consolidated Matrix'!$A$4:$A$14)</f>
        <v>11</v>
      </c>
      <c r="E37" s="56">
        <f t="shared" si="1"/>
        <v>11</v>
      </c>
      <c r="F37" s="57">
        <f t="shared" si="2"/>
        <v>0</v>
      </c>
      <c r="G37" s="55" t="str">
        <f t="shared" si="0"/>
        <v>RED</v>
      </c>
      <c r="H37" s="55" t="s">
        <v>510</v>
      </c>
      <c r="I37" s="50"/>
      <c r="J37" s="50"/>
      <c r="K37" s="50"/>
      <c r="L37" s="50"/>
    </row>
    <row r="38" spans="1:12" ht="22" customHeight="1" x14ac:dyDescent="0.35">
      <c r="A38" s="55" t="s">
        <v>524</v>
      </c>
      <c r="B38" s="55" t="s">
        <v>442</v>
      </c>
      <c r="C38" s="56">
        <f>COUNT('Consolidated Matrix'!$AA$4:$AA$14)+COUNTIF('Consolidated Matrix'!$AA$4:$AA$14,"??/??/????")</f>
        <v>3</v>
      </c>
      <c r="D38" s="56">
        <f>COUNTA('Consolidated Matrix'!$A$4:$A$14)</f>
        <v>11</v>
      </c>
      <c r="E38" s="56">
        <f t="shared" si="1"/>
        <v>8</v>
      </c>
      <c r="F38" s="57">
        <f t="shared" si="2"/>
        <v>0.27272727272727271</v>
      </c>
      <c r="G38" s="55" t="str">
        <f t="shared" si="0"/>
        <v>RED</v>
      </c>
      <c r="H38" s="50"/>
      <c r="I38" s="50"/>
      <c r="J38" s="50"/>
      <c r="K38" s="50"/>
      <c r="L38" s="50"/>
    </row>
    <row r="39" spans="1:12" ht="22" customHeight="1" x14ac:dyDescent="0.35">
      <c r="A39" s="55" t="s">
        <v>525</v>
      </c>
      <c r="B39" s="55" t="s">
        <v>436</v>
      </c>
      <c r="C39" s="56">
        <f>COUNT('Consolidated Matrix'!$O$4:$O$14)+COUNTIF('Consolidated Matrix'!$O$4:$O$14,"??/??/????")</f>
        <v>10</v>
      </c>
      <c r="D39" s="56">
        <f>COUNTA('Consolidated Matrix'!$A$4:$A$14)</f>
        <v>11</v>
      </c>
      <c r="E39" s="56">
        <f t="shared" si="1"/>
        <v>1</v>
      </c>
      <c r="F39" s="57">
        <f t="shared" si="2"/>
        <v>0.90909090909090906</v>
      </c>
      <c r="G39" s="55" t="str">
        <f t="shared" si="0"/>
        <v>GREEN</v>
      </c>
      <c r="H39" s="55" t="s">
        <v>526</v>
      </c>
      <c r="I39" s="50"/>
      <c r="J39" s="50"/>
      <c r="K39" s="50"/>
      <c r="L39" s="50"/>
    </row>
    <row r="40" spans="1:12" ht="22" customHeight="1" x14ac:dyDescent="0.35">
      <c r="A40" s="52" t="s">
        <v>527</v>
      </c>
      <c r="B40" s="52" t="s">
        <v>135</v>
      </c>
      <c r="C40" s="53">
        <f>COUNT('Consolidated Matrix'!$AS$4:$AS$14)+COUNTIF('Consolidated Matrix'!$AS$4:$AS$14,"??/??/????")</f>
        <v>0</v>
      </c>
      <c r="D40" s="53">
        <f>COUNTA('Consolidated Matrix'!$A$4:$A$14)</f>
        <v>11</v>
      </c>
      <c r="E40" s="53">
        <f t="shared" si="1"/>
        <v>11</v>
      </c>
      <c r="F40" s="58">
        <f t="shared" si="2"/>
        <v>0</v>
      </c>
      <c r="G40" s="52" t="str">
        <f t="shared" si="0"/>
        <v>RED</v>
      </c>
      <c r="H40" s="52" t="s">
        <v>510</v>
      </c>
      <c r="I40" s="54"/>
      <c r="J40" s="54"/>
      <c r="K40" s="54"/>
      <c r="L40" s="54"/>
    </row>
    <row r="41" spans="1:12" ht="22" customHeight="1" x14ac:dyDescent="0.35">
      <c r="A41" s="55" t="s">
        <v>528</v>
      </c>
      <c r="B41" s="55" t="s">
        <v>438</v>
      </c>
      <c r="C41" s="56">
        <f>COUNT('Consolidated Matrix'!$Q$4:$Q$14)+COUNTIF('Consolidated Matrix'!$Q$4:$Q$14,"??/??/????")</f>
        <v>7</v>
      </c>
      <c r="D41" s="56">
        <f>COUNTA('Consolidated Matrix'!$A$4:$A$14)</f>
        <v>11</v>
      </c>
      <c r="E41" s="56">
        <f t="shared" si="1"/>
        <v>4</v>
      </c>
      <c r="F41" s="57">
        <f t="shared" si="2"/>
        <v>0.63636363636363635</v>
      </c>
      <c r="G41" s="55" t="str">
        <f t="shared" si="0"/>
        <v>RED</v>
      </c>
      <c r="H41" s="55" t="s">
        <v>529</v>
      </c>
      <c r="I41" s="50"/>
      <c r="J41" s="50"/>
      <c r="K41" s="50"/>
      <c r="L41" s="50"/>
    </row>
    <row r="42" spans="1:12" ht="22" customHeight="1" x14ac:dyDescent="0.35">
      <c r="A42" s="55" t="s">
        <v>530</v>
      </c>
      <c r="B42" s="55" t="s">
        <v>128</v>
      </c>
      <c r="C42" s="56">
        <f>COUNT('Consolidated Matrix'!$AF$4:$AF$14)+COUNTIF('Consolidated Matrix'!$AF$4:$AF$14,"??/??/????")</f>
        <v>7</v>
      </c>
      <c r="D42" s="56">
        <f>COUNTA('Consolidated Matrix'!$A$4:$A$14)</f>
        <v>11</v>
      </c>
      <c r="E42" s="56">
        <f t="shared" si="1"/>
        <v>4</v>
      </c>
      <c r="F42" s="57">
        <f t="shared" si="2"/>
        <v>0.63636363636363635</v>
      </c>
      <c r="G42" s="55" t="str">
        <f t="shared" si="0"/>
        <v>RED</v>
      </c>
      <c r="H42" s="50"/>
      <c r="I42" s="50"/>
      <c r="J42" s="50"/>
      <c r="K42" s="50"/>
      <c r="L42" s="50"/>
    </row>
  </sheetData>
  <mergeCells count="2">
    <mergeCell ref="A2:L2"/>
    <mergeCell ref="A1:L1"/>
  </mergeCells>
  <conditionalFormatting sqref="F13:F42">
    <cfRule type="dataBar" priority="4">
      <dataBar>
        <cfvo type="min"/>
        <cfvo type="max"/>
        <color rgb="FF0F766E"/>
      </dataBar>
    </cfRule>
    <cfRule type="dataBar" priority="5">
      <dataBar>
        <cfvo type="min"/>
        <cfvo type="max"/>
        <color rgb="FF0F766E"/>
      </dataBar>
    </cfRule>
    <cfRule type="dataBar" priority="6">
      <dataBar>
        <cfvo type="min"/>
        <cfvo type="max"/>
        <color rgb="FF0F766E"/>
      </dataBar>
    </cfRule>
  </conditionalFormatting>
  <conditionalFormatting sqref="G13:G42">
    <cfRule type="expression" dxfId="406" priority="1">
      <formula>G13="GREEN"</formula>
    </cfRule>
    <cfRule type="expression" dxfId="405" priority="2">
      <formula>G13="AMBER"</formula>
    </cfRule>
    <cfRule type="expression" dxfId="404" priority="3">
      <formula>G13="RED"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51"/>
  <sheetViews>
    <sheetView showGridLines="0" workbookViewId="0"/>
  </sheetViews>
  <sheetFormatPr defaultRowHeight="14.5" x14ac:dyDescent="0.35"/>
  <cols>
    <col min="1" max="1" width="24" customWidth="1"/>
    <col min="2" max="2" width="18" customWidth="1"/>
    <col min="3" max="3" width="20" customWidth="1"/>
    <col min="4" max="6" width="18" customWidth="1"/>
    <col min="7" max="7" width="20" customWidth="1"/>
    <col min="8" max="10" width="18" customWidth="1"/>
  </cols>
  <sheetData>
    <row r="1" spans="1:10" ht="34" customHeight="1" x14ac:dyDescent="0.35">
      <c r="A1" s="139" t="s">
        <v>531</v>
      </c>
      <c r="B1" s="137"/>
      <c r="C1" s="137"/>
      <c r="D1" s="137"/>
      <c r="E1" s="137"/>
      <c r="F1" s="137"/>
      <c r="G1" s="137"/>
      <c r="H1" s="137"/>
      <c r="I1" s="137"/>
      <c r="J1" s="138"/>
    </row>
    <row r="2" spans="1:10" ht="22" customHeight="1" x14ac:dyDescent="0.35">
      <c r="A2" s="159" t="s">
        <v>532</v>
      </c>
      <c r="B2" s="137"/>
      <c r="C2" s="137"/>
      <c r="D2" s="137"/>
      <c r="E2" s="137"/>
      <c r="F2" s="137"/>
      <c r="G2" s="137"/>
      <c r="H2" s="137"/>
      <c r="I2" s="137"/>
      <c r="J2" s="138"/>
    </row>
    <row r="3" spans="1:10" ht="22" customHeight="1" x14ac:dyDescent="0.35">
      <c r="A3" s="50"/>
      <c r="B3" s="50"/>
      <c r="C3" s="50"/>
      <c r="D3" s="50"/>
      <c r="E3" s="50"/>
      <c r="F3" s="50"/>
      <c r="G3" s="50"/>
      <c r="H3" s="50"/>
      <c r="I3" s="50"/>
      <c r="J3" s="50"/>
    </row>
    <row r="4" spans="1:10" ht="22" customHeight="1" x14ac:dyDescent="0.35">
      <c r="A4" s="52" t="s">
        <v>299</v>
      </c>
      <c r="B4" s="52" t="s">
        <v>300</v>
      </c>
      <c r="C4" s="52" t="s">
        <v>485</v>
      </c>
      <c r="D4" s="52" t="s">
        <v>533</v>
      </c>
      <c r="E4" s="52" t="s">
        <v>24</v>
      </c>
      <c r="F4" s="54"/>
      <c r="G4" s="54"/>
      <c r="H4" s="54"/>
      <c r="I4" s="54"/>
      <c r="J4" s="54"/>
    </row>
    <row r="5" spans="1:10" ht="22" customHeight="1" x14ac:dyDescent="0.35">
      <c r="A5" s="55" t="s">
        <v>10</v>
      </c>
      <c r="B5" s="56">
        <f>COUNTA('Consolidated Matrix'!$A$4:$A$14)</f>
        <v>11</v>
      </c>
      <c r="C5" s="55" t="s">
        <v>534</v>
      </c>
      <c r="D5" s="55" t="s">
        <v>535</v>
      </c>
      <c r="E5" s="56">
        <f>COUNTIF(F13:F51,"GREEN")</f>
        <v>6</v>
      </c>
      <c r="F5" s="50"/>
      <c r="G5" s="50"/>
      <c r="H5" s="50"/>
      <c r="I5" s="50"/>
      <c r="J5" s="50"/>
    </row>
    <row r="6" spans="1:10" ht="22" customHeight="1" x14ac:dyDescent="0.35">
      <c r="A6" s="52" t="s">
        <v>536</v>
      </c>
      <c r="B6" s="53">
        <f>COUNTA('Consolidated Matrix'!$B$3:$AF$3)+COUNTA('Consolidated Matrix'!$AL$3:$AS$3)</f>
        <v>39</v>
      </c>
      <c r="C6" s="52" t="s">
        <v>537</v>
      </c>
      <c r="D6" s="52" t="s">
        <v>538</v>
      </c>
      <c r="E6" s="53">
        <f>COUNTIF(F13:F51,"AMBER")</f>
        <v>7</v>
      </c>
      <c r="F6" s="54"/>
      <c r="G6" s="54"/>
      <c r="H6" s="54"/>
      <c r="I6" s="54"/>
      <c r="J6" s="54"/>
    </row>
    <row r="7" spans="1:10" ht="22" customHeight="1" x14ac:dyDescent="0.35">
      <c r="A7" s="55" t="s">
        <v>539</v>
      </c>
      <c r="B7" s="57">
        <f>IFERROR(AVERAGE(D13:D51),0)</f>
        <v>0.52680652680652673</v>
      </c>
      <c r="C7" s="55" t="s">
        <v>540</v>
      </c>
      <c r="D7" s="55" t="s">
        <v>541</v>
      </c>
      <c r="E7" s="56">
        <f>COUNTIF(F13:F51,"RED")</f>
        <v>26</v>
      </c>
      <c r="F7" s="50"/>
      <c r="G7" s="50"/>
      <c r="H7" s="50"/>
      <c r="I7" s="50"/>
      <c r="J7" s="50"/>
    </row>
    <row r="8" spans="1:10" ht="22" customHeight="1" x14ac:dyDescent="0.35">
      <c r="A8" s="55" t="s">
        <v>499</v>
      </c>
      <c r="B8" s="56">
        <f>SUM(E13:E51)</f>
        <v>203</v>
      </c>
      <c r="C8" s="55" t="s">
        <v>542</v>
      </c>
      <c r="D8" s="50"/>
      <c r="E8" s="50"/>
      <c r="F8" s="50"/>
      <c r="G8" s="50"/>
      <c r="H8" s="50"/>
      <c r="I8" s="50"/>
      <c r="J8" s="50"/>
    </row>
    <row r="9" spans="1:10" ht="22" customHeight="1" x14ac:dyDescent="0.35">
      <c r="A9" s="52" t="s">
        <v>543</v>
      </c>
      <c r="B9" s="53">
        <f>COUNTIF(F13:F51,"RED")</f>
        <v>26</v>
      </c>
      <c r="C9" s="52" t="s">
        <v>544</v>
      </c>
      <c r="D9" s="54"/>
      <c r="E9" s="54"/>
      <c r="F9" s="54"/>
      <c r="G9" s="54"/>
      <c r="H9" s="54"/>
      <c r="I9" s="54"/>
      <c r="J9" s="54"/>
    </row>
    <row r="10" spans="1:10" ht="22" customHeight="1" x14ac:dyDescent="0.35">
      <c r="A10" s="50"/>
      <c r="B10" s="50"/>
      <c r="C10" s="50"/>
      <c r="D10" s="50"/>
      <c r="E10" s="50"/>
      <c r="F10" s="50"/>
      <c r="G10" s="50"/>
      <c r="H10" s="50"/>
      <c r="I10" s="50"/>
      <c r="J10" s="50"/>
    </row>
    <row r="11" spans="1:10" ht="22" customHeight="1" x14ac:dyDescent="0.35">
      <c r="A11" s="50"/>
      <c r="B11" s="50"/>
      <c r="C11" s="50"/>
      <c r="D11" s="50"/>
      <c r="E11" s="50"/>
      <c r="F11" s="50"/>
      <c r="G11" s="50"/>
      <c r="H11" s="50"/>
      <c r="I11" s="50"/>
      <c r="J11" s="50"/>
    </row>
    <row r="12" spans="1:10" ht="22" customHeight="1" x14ac:dyDescent="0.35">
      <c r="A12" s="52" t="s">
        <v>545</v>
      </c>
      <c r="B12" s="52" t="s">
        <v>3</v>
      </c>
      <c r="C12" s="52" t="s">
        <v>10</v>
      </c>
      <c r="D12" s="52" t="s">
        <v>11</v>
      </c>
      <c r="E12" s="52" t="s">
        <v>546</v>
      </c>
      <c r="F12" s="52" t="s">
        <v>6</v>
      </c>
      <c r="G12" s="54"/>
      <c r="H12" s="54"/>
      <c r="I12" s="54"/>
      <c r="J12" s="54"/>
    </row>
    <row r="13" spans="1:10" ht="22" customHeight="1" x14ac:dyDescent="0.35">
      <c r="A13" s="55" t="s">
        <v>111</v>
      </c>
      <c r="B13" s="56">
        <f>COUNT('Consolidated Matrix'!$B$4:$B$14)+COUNTIF('Consolidated Matrix'!$B$4:$B$14,"??/??/????")</f>
        <v>5</v>
      </c>
      <c r="C13" s="56">
        <f>COUNTA('Consolidated Matrix'!$A$4:$A$14)</f>
        <v>11</v>
      </c>
      <c r="D13" s="57">
        <f t="shared" ref="D13:D51" si="0">IFERROR(B13/C13,0)</f>
        <v>0.45454545454545453</v>
      </c>
      <c r="E13" s="56">
        <f t="shared" ref="E13:E51" si="1">MAX(0,C13-B13)</f>
        <v>6</v>
      </c>
      <c r="F13" s="55" t="str">
        <f t="shared" ref="F13:F51" si="2">IF(D13&gt;=0.9,"GREEN",IF(D13&gt;=0.75,"AMBER","RED"))</f>
        <v>RED</v>
      </c>
      <c r="G13" s="50"/>
      <c r="H13" s="50"/>
      <c r="I13" s="50"/>
      <c r="J13" s="50"/>
    </row>
    <row r="14" spans="1:10" ht="22" customHeight="1" x14ac:dyDescent="0.35">
      <c r="A14" s="55" t="s">
        <v>426</v>
      </c>
      <c r="B14" s="56">
        <f>COUNT('Consolidated Matrix'!$C$4:$C$14)+COUNTIF('Consolidated Matrix'!$C$4:$C$14,"??/??/????")</f>
        <v>7</v>
      </c>
      <c r="C14" s="56">
        <f>COUNTA('Consolidated Matrix'!$A$4:$A$14)</f>
        <v>11</v>
      </c>
      <c r="D14" s="57">
        <f t="shared" si="0"/>
        <v>0.63636363636363635</v>
      </c>
      <c r="E14" s="56">
        <f t="shared" si="1"/>
        <v>4</v>
      </c>
      <c r="F14" s="55" t="str">
        <f t="shared" si="2"/>
        <v>RED</v>
      </c>
      <c r="G14" s="50"/>
      <c r="H14" s="50"/>
      <c r="I14" s="50"/>
      <c r="J14" s="50"/>
    </row>
    <row r="15" spans="1:10" ht="22" customHeight="1" x14ac:dyDescent="0.35">
      <c r="A15" s="55" t="s">
        <v>427</v>
      </c>
      <c r="B15" s="56">
        <f>COUNT('Consolidated Matrix'!$D$4:$D$14)+COUNTIF('Consolidated Matrix'!$D$4:$D$14,"??/??/????")</f>
        <v>4</v>
      </c>
      <c r="C15" s="56">
        <f>COUNTA('Consolidated Matrix'!$A$4:$A$14)</f>
        <v>11</v>
      </c>
      <c r="D15" s="57">
        <f t="shared" si="0"/>
        <v>0.36363636363636365</v>
      </c>
      <c r="E15" s="56">
        <f t="shared" si="1"/>
        <v>7</v>
      </c>
      <c r="F15" s="55" t="str">
        <f t="shared" si="2"/>
        <v>RED</v>
      </c>
      <c r="G15" s="50"/>
      <c r="H15" s="50"/>
      <c r="I15" s="50"/>
      <c r="J15" s="50"/>
    </row>
    <row r="16" spans="1:10" ht="22" customHeight="1" x14ac:dyDescent="0.35">
      <c r="A16" s="55" t="s">
        <v>428</v>
      </c>
      <c r="B16" s="56">
        <f>COUNT('Consolidated Matrix'!$E$4:$E$14)+COUNTIF('Consolidated Matrix'!$E$4:$E$14,"??/??/????")</f>
        <v>9</v>
      </c>
      <c r="C16" s="56">
        <f>COUNTA('Consolidated Matrix'!$A$4:$A$14)</f>
        <v>11</v>
      </c>
      <c r="D16" s="57">
        <f t="shared" si="0"/>
        <v>0.81818181818181823</v>
      </c>
      <c r="E16" s="56">
        <f t="shared" si="1"/>
        <v>2</v>
      </c>
      <c r="F16" s="55" t="str">
        <f t="shared" si="2"/>
        <v>AMBER</v>
      </c>
      <c r="G16" s="50"/>
      <c r="H16" s="50"/>
      <c r="I16" s="50"/>
      <c r="J16" s="50"/>
    </row>
    <row r="17" spans="1:10" ht="22" customHeight="1" x14ac:dyDescent="0.35">
      <c r="A17" s="55" t="s">
        <v>429</v>
      </c>
      <c r="B17" s="56">
        <f>COUNT('Consolidated Matrix'!$F$4:$F$14)+COUNTIF('Consolidated Matrix'!$F$4:$F$14,"??/??/????")</f>
        <v>10</v>
      </c>
      <c r="C17" s="56">
        <f>COUNTA('Consolidated Matrix'!$A$4:$A$14)</f>
        <v>11</v>
      </c>
      <c r="D17" s="57">
        <f t="shared" si="0"/>
        <v>0.90909090909090906</v>
      </c>
      <c r="E17" s="56">
        <f t="shared" si="1"/>
        <v>1</v>
      </c>
      <c r="F17" s="55" t="str">
        <f t="shared" si="2"/>
        <v>GREEN</v>
      </c>
      <c r="G17" s="50"/>
      <c r="H17" s="50"/>
      <c r="I17" s="50"/>
      <c r="J17" s="50"/>
    </row>
    <row r="18" spans="1:10" ht="22" customHeight="1" x14ac:dyDescent="0.35">
      <c r="A18" s="52" t="s">
        <v>96</v>
      </c>
      <c r="B18" s="53">
        <f>COUNT('Consolidated Matrix'!$G$4:$G$14)+COUNTIF('Consolidated Matrix'!$G$4:$G$14,"??/??/????")</f>
        <v>9</v>
      </c>
      <c r="C18" s="53">
        <f>COUNTA('Consolidated Matrix'!$A$4:$A$14)</f>
        <v>11</v>
      </c>
      <c r="D18" s="58">
        <f t="shared" si="0"/>
        <v>0.81818181818181823</v>
      </c>
      <c r="E18" s="53">
        <f t="shared" si="1"/>
        <v>2</v>
      </c>
      <c r="F18" s="52" t="str">
        <f t="shared" si="2"/>
        <v>AMBER</v>
      </c>
      <c r="G18" s="54"/>
      <c r="H18" s="54"/>
      <c r="I18" s="54"/>
      <c r="J18" s="54"/>
    </row>
    <row r="19" spans="1:10" ht="22" customHeight="1" x14ac:dyDescent="0.35">
      <c r="A19" s="52" t="s">
        <v>430</v>
      </c>
      <c r="B19" s="53">
        <f>COUNT('Consolidated Matrix'!$H$4:$H$14)+COUNTIF('Consolidated Matrix'!$H$4:$H$14,"??/??/????")</f>
        <v>6</v>
      </c>
      <c r="C19" s="53">
        <f>COUNTA('Consolidated Matrix'!$A$4:$A$14)</f>
        <v>11</v>
      </c>
      <c r="D19" s="58">
        <f t="shared" si="0"/>
        <v>0.54545454545454541</v>
      </c>
      <c r="E19" s="53">
        <f t="shared" si="1"/>
        <v>5</v>
      </c>
      <c r="F19" s="52" t="str">
        <f t="shared" si="2"/>
        <v>RED</v>
      </c>
      <c r="G19" s="54"/>
      <c r="H19" s="54"/>
      <c r="I19" s="54"/>
      <c r="J19" s="54"/>
    </row>
    <row r="20" spans="1:10" ht="22" customHeight="1" x14ac:dyDescent="0.35">
      <c r="A20" s="55" t="s">
        <v>431</v>
      </c>
      <c r="B20" s="56">
        <f>COUNT('Consolidated Matrix'!$I$4:$I$14)+COUNTIF('Consolidated Matrix'!$I$4:$I$14,"??/??/????")</f>
        <v>10</v>
      </c>
      <c r="C20" s="56">
        <f>COUNTA('Consolidated Matrix'!$A$4:$A$14)</f>
        <v>11</v>
      </c>
      <c r="D20" s="57">
        <f t="shared" si="0"/>
        <v>0.90909090909090906</v>
      </c>
      <c r="E20" s="56">
        <f t="shared" si="1"/>
        <v>1</v>
      </c>
      <c r="F20" s="55" t="str">
        <f t="shared" si="2"/>
        <v>GREEN</v>
      </c>
      <c r="G20" s="50"/>
      <c r="H20" s="50"/>
      <c r="I20" s="50"/>
      <c r="J20" s="50"/>
    </row>
    <row r="21" spans="1:10" ht="22" customHeight="1" x14ac:dyDescent="0.35">
      <c r="A21" s="55" t="s">
        <v>432</v>
      </c>
      <c r="B21" s="56">
        <f>COUNT('Consolidated Matrix'!$J$4:$J$14)+COUNTIF('Consolidated Matrix'!$J$4:$J$14,"??/??/????")</f>
        <v>8</v>
      </c>
      <c r="C21" s="56">
        <f>COUNTA('Consolidated Matrix'!$A$4:$A$14)</f>
        <v>11</v>
      </c>
      <c r="D21" s="57">
        <f t="shared" si="0"/>
        <v>0.72727272727272729</v>
      </c>
      <c r="E21" s="56">
        <f t="shared" si="1"/>
        <v>3</v>
      </c>
      <c r="F21" s="55" t="str">
        <f t="shared" si="2"/>
        <v>RED</v>
      </c>
      <c r="G21" s="50"/>
      <c r="H21" s="50"/>
      <c r="I21" s="50"/>
      <c r="J21" s="50"/>
    </row>
    <row r="22" spans="1:10" ht="22" customHeight="1" x14ac:dyDescent="0.35">
      <c r="A22" s="55" t="s">
        <v>433</v>
      </c>
      <c r="B22" s="56">
        <f>COUNT('Consolidated Matrix'!$K$4:$K$14)+COUNTIF('Consolidated Matrix'!$K$4:$K$14,"??/??/????")</f>
        <v>9</v>
      </c>
      <c r="C22" s="56">
        <f>COUNTA('Consolidated Matrix'!$A$4:$A$14)</f>
        <v>11</v>
      </c>
      <c r="D22" s="57">
        <f t="shared" si="0"/>
        <v>0.81818181818181823</v>
      </c>
      <c r="E22" s="56">
        <f t="shared" si="1"/>
        <v>2</v>
      </c>
      <c r="F22" s="55" t="str">
        <f t="shared" si="2"/>
        <v>AMBER</v>
      </c>
      <c r="G22" s="50"/>
      <c r="H22" s="50"/>
      <c r="I22" s="50"/>
      <c r="J22" s="50"/>
    </row>
    <row r="23" spans="1:10" ht="22" customHeight="1" x14ac:dyDescent="0.35">
      <c r="A23" s="55" t="s">
        <v>434</v>
      </c>
      <c r="B23" s="56">
        <f>COUNT('Consolidated Matrix'!$L$4:$L$14)+COUNTIF('Consolidated Matrix'!$L$4:$L$14,"??/??/????")</f>
        <v>4</v>
      </c>
      <c r="C23" s="56">
        <f>COUNTA('Consolidated Matrix'!$A$4:$A$14)</f>
        <v>11</v>
      </c>
      <c r="D23" s="57">
        <f t="shared" si="0"/>
        <v>0.36363636363636365</v>
      </c>
      <c r="E23" s="56">
        <f t="shared" si="1"/>
        <v>7</v>
      </c>
      <c r="F23" s="55" t="str">
        <f t="shared" si="2"/>
        <v>RED</v>
      </c>
      <c r="G23" s="50"/>
      <c r="H23" s="50"/>
      <c r="I23" s="50"/>
      <c r="J23" s="50"/>
    </row>
    <row r="24" spans="1:10" ht="22" customHeight="1" x14ac:dyDescent="0.35">
      <c r="A24" s="55" t="s">
        <v>100</v>
      </c>
      <c r="B24" s="56">
        <f>COUNT('Consolidated Matrix'!$M$4:$M$14)+COUNTIF('Consolidated Matrix'!$M$4:$M$14,"??/??/????")</f>
        <v>9</v>
      </c>
      <c r="C24" s="56">
        <f>COUNTA('Consolidated Matrix'!$A$4:$A$14)</f>
        <v>11</v>
      </c>
      <c r="D24" s="57">
        <f t="shared" si="0"/>
        <v>0.81818181818181823</v>
      </c>
      <c r="E24" s="56">
        <f t="shared" si="1"/>
        <v>2</v>
      </c>
      <c r="F24" s="55" t="str">
        <f t="shared" si="2"/>
        <v>AMBER</v>
      </c>
      <c r="G24" s="50"/>
      <c r="H24" s="50"/>
      <c r="I24" s="50"/>
      <c r="J24" s="50"/>
    </row>
    <row r="25" spans="1:10" ht="22" customHeight="1" x14ac:dyDescent="0.35">
      <c r="A25" s="52" t="s">
        <v>435</v>
      </c>
      <c r="B25" s="53">
        <f>COUNT('Consolidated Matrix'!$N$4:$N$14)+COUNTIF('Consolidated Matrix'!$N$4:$N$14,"??/??/????")</f>
        <v>9</v>
      </c>
      <c r="C25" s="53">
        <f>COUNTA('Consolidated Matrix'!$A$4:$A$14)</f>
        <v>11</v>
      </c>
      <c r="D25" s="58">
        <f t="shared" si="0"/>
        <v>0.81818181818181823</v>
      </c>
      <c r="E25" s="53">
        <f t="shared" si="1"/>
        <v>2</v>
      </c>
      <c r="F25" s="52" t="str">
        <f t="shared" si="2"/>
        <v>AMBER</v>
      </c>
      <c r="G25" s="54"/>
      <c r="H25" s="54"/>
      <c r="I25" s="54"/>
      <c r="J25" s="54"/>
    </row>
    <row r="26" spans="1:10" ht="22" customHeight="1" x14ac:dyDescent="0.35">
      <c r="A26" s="55" t="s">
        <v>436</v>
      </c>
      <c r="B26" s="56">
        <f>COUNT('Consolidated Matrix'!$O$4:$O$14)+COUNTIF('Consolidated Matrix'!$O$4:$O$14,"??/??/????")</f>
        <v>10</v>
      </c>
      <c r="C26" s="56">
        <f>COUNTA('Consolidated Matrix'!$A$4:$A$14)</f>
        <v>11</v>
      </c>
      <c r="D26" s="57">
        <f t="shared" si="0"/>
        <v>0.90909090909090906</v>
      </c>
      <c r="E26" s="56">
        <f t="shared" si="1"/>
        <v>1</v>
      </c>
      <c r="F26" s="55" t="str">
        <f t="shared" si="2"/>
        <v>GREEN</v>
      </c>
      <c r="G26" s="50"/>
      <c r="H26" s="50"/>
      <c r="I26" s="50"/>
      <c r="J26" s="50"/>
    </row>
    <row r="27" spans="1:10" ht="22" customHeight="1" x14ac:dyDescent="0.35">
      <c r="A27" s="55" t="s">
        <v>437</v>
      </c>
      <c r="B27" s="56">
        <f>COUNT('Consolidated Matrix'!$P$4:$P$14)+COUNTIF('Consolidated Matrix'!$P$4:$P$14,"??/??/????")</f>
        <v>9</v>
      </c>
      <c r="C27" s="56">
        <f>COUNTA('Consolidated Matrix'!$A$4:$A$14)</f>
        <v>11</v>
      </c>
      <c r="D27" s="57">
        <f t="shared" si="0"/>
        <v>0.81818181818181823</v>
      </c>
      <c r="E27" s="56">
        <f t="shared" si="1"/>
        <v>2</v>
      </c>
      <c r="F27" s="55" t="str">
        <f t="shared" si="2"/>
        <v>AMBER</v>
      </c>
      <c r="G27" s="50"/>
      <c r="H27" s="50"/>
      <c r="I27" s="50"/>
      <c r="J27" s="50"/>
    </row>
    <row r="28" spans="1:10" ht="22" customHeight="1" x14ac:dyDescent="0.35">
      <c r="A28" s="55" t="s">
        <v>438</v>
      </c>
      <c r="B28" s="56">
        <f>COUNT('Consolidated Matrix'!$Q$4:$Q$14)+COUNTIF('Consolidated Matrix'!$Q$4:$Q$14,"??/??/????")</f>
        <v>7</v>
      </c>
      <c r="C28" s="56">
        <f>COUNTA('Consolidated Matrix'!$A$4:$A$14)</f>
        <v>11</v>
      </c>
      <c r="D28" s="57">
        <f t="shared" si="0"/>
        <v>0.63636363636363635</v>
      </c>
      <c r="E28" s="56">
        <f t="shared" si="1"/>
        <v>4</v>
      </c>
      <c r="F28" s="55" t="str">
        <f t="shared" si="2"/>
        <v>RED</v>
      </c>
      <c r="G28" s="50"/>
      <c r="H28" s="50"/>
      <c r="I28" s="50"/>
      <c r="J28" s="50"/>
    </row>
    <row r="29" spans="1:10" ht="22" customHeight="1" x14ac:dyDescent="0.35">
      <c r="A29" s="55" t="s">
        <v>101</v>
      </c>
      <c r="B29" s="56">
        <f>COUNT('Consolidated Matrix'!$R$4:$R$14)+COUNTIF('Consolidated Matrix'!$R$4:$R$14,"??/??/????")</f>
        <v>10</v>
      </c>
      <c r="C29" s="56">
        <f>COUNTA('Consolidated Matrix'!$A$4:$A$14)</f>
        <v>11</v>
      </c>
      <c r="D29" s="57">
        <f t="shared" si="0"/>
        <v>0.90909090909090906</v>
      </c>
      <c r="E29" s="56">
        <f t="shared" si="1"/>
        <v>1</v>
      </c>
      <c r="F29" s="55" t="str">
        <f t="shared" si="2"/>
        <v>GREEN</v>
      </c>
      <c r="G29" s="50"/>
      <c r="H29" s="50"/>
      <c r="I29" s="50"/>
      <c r="J29" s="50"/>
    </row>
    <row r="30" spans="1:10" ht="22" customHeight="1" x14ac:dyDescent="0.35">
      <c r="A30" s="52" t="s">
        <v>439</v>
      </c>
      <c r="B30" s="53">
        <f>COUNT('Consolidated Matrix'!$S$4:$S$14)+COUNTIF('Consolidated Matrix'!$S$4:$S$14,"??/??/????")</f>
        <v>4</v>
      </c>
      <c r="C30" s="53">
        <f>COUNTA('Consolidated Matrix'!$A$4:$A$14)</f>
        <v>11</v>
      </c>
      <c r="D30" s="58">
        <f t="shared" si="0"/>
        <v>0.36363636363636365</v>
      </c>
      <c r="E30" s="53">
        <f t="shared" si="1"/>
        <v>7</v>
      </c>
      <c r="F30" s="52" t="str">
        <f t="shared" si="2"/>
        <v>RED</v>
      </c>
      <c r="G30" s="54"/>
      <c r="H30" s="54"/>
      <c r="I30" s="54"/>
      <c r="J30" s="54"/>
    </row>
    <row r="31" spans="1:10" ht="22" customHeight="1" x14ac:dyDescent="0.35">
      <c r="A31" s="55" t="s">
        <v>114</v>
      </c>
      <c r="B31" s="56">
        <f>COUNT('Consolidated Matrix'!$T$4:$T$14)+COUNTIF('Consolidated Matrix'!$T$4:$T$14,"??/??/????")</f>
        <v>7</v>
      </c>
      <c r="C31" s="56">
        <f>COUNTA('Consolidated Matrix'!$A$4:$A$14)</f>
        <v>11</v>
      </c>
      <c r="D31" s="57">
        <f t="shared" si="0"/>
        <v>0.63636363636363635</v>
      </c>
      <c r="E31" s="56">
        <f t="shared" si="1"/>
        <v>4</v>
      </c>
      <c r="F31" s="55" t="str">
        <f t="shared" si="2"/>
        <v>RED</v>
      </c>
      <c r="G31" s="50"/>
      <c r="H31" s="50"/>
      <c r="I31" s="50"/>
      <c r="J31" s="50"/>
    </row>
    <row r="32" spans="1:10" ht="22" customHeight="1" x14ac:dyDescent="0.35">
      <c r="A32" s="55" t="s">
        <v>116</v>
      </c>
      <c r="B32" s="56">
        <f>COUNT('Consolidated Matrix'!$U$4:$U$14)+COUNTIF('Consolidated Matrix'!$U$4:$U$14,"??/??/????")</f>
        <v>2</v>
      </c>
      <c r="C32" s="56">
        <f>COUNTA('Consolidated Matrix'!$A$4:$A$14)</f>
        <v>11</v>
      </c>
      <c r="D32" s="57">
        <f t="shared" si="0"/>
        <v>0.18181818181818182</v>
      </c>
      <c r="E32" s="56">
        <f t="shared" si="1"/>
        <v>9</v>
      </c>
      <c r="F32" s="55" t="str">
        <f t="shared" si="2"/>
        <v>RED</v>
      </c>
      <c r="G32" s="50"/>
      <c r="H32" s="50"/>
      <c r="I32" s="50"/>
      <c r="J32" s="50"/>
    </row>
    <row r="33" spans="1:10" ht="22" customHeight="1" x14ac:dyDescent="0.35">
      <c r="A33" s="55" t="s">
        <v>440</v>
      </c>
      <c r="B33" s="56">
        <f>COUNT('Consolidated Matrix'!$V$4:$V$14)+COUNTIF('Consolidated Matrix'!$V$4:$V$14,"??/??/????")</f>
        <v>9</v>
      </c>
      <c r="C33" s="56">
        <f>COUNTA('Consolidated Matrix'!$A$4:$A$14)</f>
        <v>11</v>
      </c>
      <c r="D33" s="57">
        <f t="shared" si="0"/>
        <v>0.81818181818181823</v>
      </c>
      <c r="E33" s="56">
        <f t="shared" si="1"/>
        <v>2</v>
      </c>
      <c r="F33" s="55" t="str">
        <f t="shared" si="2"/>
        <v>AMBER</v>
      </c>
      <c r="G33" s="50"/>
      <c r="H33" s="50"/>
      <c r="I33" s="50"/>
      <c r="J33" s="50"/>
    </row>
    <row r="34" spans="1:10" ht="22" customHeight="1" x14ac:dyDescent="0.35">
      <c r="A34" s="55" t="s">
        <v>126</v>
      </c>
      <c r="B34" s="56">
        <f>COUNT('Consolidated Matrix'!$W$4:$W$14)+COUNTIF('Consolidated Matrix'!$W$4:$W$14,"??/??/????")</f>
        <v>8</v>
      </c>
      <c r="C34" s="56">
        <f>COUNTA('Consolidated Matrix'!$A$4:$A$14)</f>
        <v>11</v>
      </c>
      <c r="D34" s="57">
        <f t="shared" si="0"/>
        <v>0.72727272727272729</v>
      </c>
      <c r="E34" s="56">
        <f t="shared" si="1"/>
        <v>3</v>
      </c>
      <c r="F34" s="55" t="str">
        <f t="shared" si="2"/>
        <v>RED</v>
      </c>
      <c r="G34" s="50"/>
      <c r="H34" s="50"/>
      <c r="I34" s="50"/>
      <c r="J34" s="50"/>
    </row>
    <row r="35" spans="1:10" ht="22" customHeight="1" x14ac:dyDescent="0.35">
      <c r="A35" s="55" t="s">
        <v>441</v>
      </c>
      <c r="B35" s="56">
        <f>COUNT('Consolidated Matrix'!$X$4:$X$14)+COUNTIF('Consolidated Matrix'!$X$4:$X$14,"??/??/????")</f>
        <v>10</v>
      </c>
      <c r="C35" s="56">
        <f>COUNTA('Consolidated Matrix'!$A$4:$A$14)</f>
        <v>11</v>
      </c>
      <c r="D35" s="57">
        <f t="shared" si="0"/>
        <v>0.90909090909090906</v>
      </c>
      <c r="E35" s="56">
        <f t="shared" si="1"/>
        <v>1</v>
      </c>
      <c r="F35" s="55" t="str">
        <f t="shared" si="2"/>
        <v>GREEN</v>
      </c>
      <c r="G35" s="50"/>
      <c r="H35" s="50"/>
      <c r="I35" s="50"/>
      <c r="J35" s="50"/>
    </row>
    <row r="36" spans="1:10" ht="22" customHeight="1" x14ac:dyDescent="0.35">
      <c r="A36" s="55" t="s">
        <v>102</v>
      </c>
      <c r="B36" s="56">
        <f>COUNT('Consolidated Matrix'!$Y$4:$Y$14)+COUNTIF('Consolidated Matrix'!$Y$4:$Y$14,"??/??/????")</f>
        <v>8</v>
      </c>
      <c r="C36" s="56">
        <f>COUNTA('Consolidated Matrix'!$A$4:$A$14)</f>
        <v>11</v>
      </c>
      <c r="D36" s="57">
        <f t="shared" si="0"/>
        <v>0.72727272727272729</v>
      </c>
      <c r="E36" s="56">
        <f t="shared" si="1"/>
        <v>3</v>
      </c>
      <c r="F36" s="55" t="str">
        <f t="shared" si="2"/>
        <v>RED</v>
      </c>
      <c r="G36" s="50"/>
      <c r="H36" s="50"/>
      <c r="I36" s="50"/>
      <c r="J36" s="50"/>
    </row>
    <row r="37" spans="1:10" ht="22" customHeight="1" x14ac:dyDescent="0.35">
      <c r="A37" s="55" t="s">
        <v>125</v>
      </c>
      <c r="B37" s="56">
        <f>COUNT('Consolidated Matrix'!$Z$4:$Z$14)+COUNTIF('Consolidated Matrix'!$Z$4:$Z$14,"??/??/????")</f>
        <v>10</v>
      </c>
      <c r="C37" s="56">
        <f>COUNTA('Consolidated Matrix'!$A$4:$A$14)</f>
        <v>11</v>
      </c>
      <c r="D37" s="57">
        <f t="shared" si="0"/>
        <v>0.90909090909090906</v>
      </c>
      <c r="E37" s="56">
        <f t="shared" si="1"/>
        <v>1</v>
      </c>
      <c r="F37" s="55" t="str">
        <f t="shared" si="2"/>
        <v>GREEN</v>
      </c>
      <c r="G37" s="50"/>
      <c r="H37" s="50"/>
      <c r="I37" s="50"/>
      <c r="J37" s="50"/>
    </row>
    <row r="38" spans="1:10" ht="22" customHeight="1" x14ac:dyDescent="0.35">
      <c r="A38" s="55" t="s">
        <v>442</v>
      </c>
      <c r="B38" s="56">
        <f>COUNT('Consolidated Matrix'!$AA$4:$AA$14)+COUNTIF('Consolidated Matrix'!$AA$4:$AA$14,"??/??/????")</f>
        <v>3</v>
      </c>
      <c r="C38" s="56">
        <f>COUNTA('Consolidated Matrix'!$A$4:$A$14)</f>
        <v>11</v>
      </c>
      <c r="D38" s="57">
        <f t="shared" si="0"/>
        <v>0.27272727272727271</v>
      </c>
      <c r="E38" s="56">
        <f t="shared" si="1"/>
        <v>8</v>
      </c>
      <c r="F38" s="55" t="str">
        <f t="shared" si="2"/>
        <v>RED</v>
      </c>
      <c r="G38" s="50"/>
      <c r="H38" s="50"/>
      <c r="I38" s="50"/>
      <c r="J38" s="50"/>
    </row>
    <row r="39" spans="1:10" ht="22" customHeight="1" x14ac:dyDescent="0.35">
      <c r="A39" s="55" t="s">
        <v>112</v>
      </c>
      <c r="B39" s="56">
        <f>COUNT('Consolidated Matrix'!$AB$4:$AB$14)+COUNTIF('Consolidated Matrix'!$AB$4:$AB$14,"??/??/????")</f>
        <v>8</v>
      </c>
      <c r="C39" s="56">
        <f>COUNTA('Consolidated Matrix'!$A$4:$A$14)</f>
        <v>11</v>
      </c>
      <c r="D39" s="57">
        <f t="shared" si="0"/>
        <v>0.72727272727272729</v>
      </c>
      <c r="E39" s="56">
        <f t="shared" si="1"/>
        <v>3</v>
      </c>
      <c r="F39" s="55" t="str">
        <f t="shared" si="2"/>
        <v>RED</v>
      </c>
      <c r="G39" s="50"/>
      <c r="H39" s="50"/>
      <c r="I39" s="50"/>
      <c r="J39" s="50"/>
    </row>
    <row r="40" spans="1:10" ht="22" customHeight="1" x14ac:dyDescent="0.35">
      <c r="A40" s="52" t="s">
        <v>443</v>
      </c>
      <c r="B40" s="53">
        <f>COUNT('Consolidated Matrix'!$AC$4:$AC$14)+COUNTIF('Consolidated Matrix'!$AC$4:$AC$14,"??/??/????")</f>
        <v>7</v>
      </c>
      <c r="C40" s="53">
        <f>COUNTA('Consolidated Matrix'!$A$4:$A$14)</f>
        <v>11</v>
      </c>
      <c r="D40" s="58">
        <f t="shared" si="0"/>
        <v>0.63636363636363635</v>
      </c>
      <c r="E40" s="53">
        <f t="shared" si="1"/>
        <v>4</v>
      </c>
      <c r="F40" s="52" t="str">
        <f t="shared" si="2"/>
        <v>RED</v>
      </c>
      <c r="G40" s="54"/>
      <c r="H40" s="54"/>
      <c r="I40" s="54"/>
      <c r="J40" s="54"/>
    </row>
    <row r="41" spans="1:10" ht="22" customHeight="1" x14ac:dyDescent="0.35">
      <c r="A41" s="55" t="s">
        <v>104</v>
      </c>
      <c r="B41" s="56">
        <f>COUNT('Consolidated Matrix'!$AD$4:$AD$14)+COUNTIF('Consolidated Matrix'!$AD$4:$AD$14,"??/??/????")</f>
        <v>3</v>
      </c>
      <c r="C41" s="56">
        <f>COUNTA('Consolidated Matrix'!$A$4:$A$14)</f>
        <v>11</v>
      </c>
      <c r="D41" s="57">
        <f t="shared" si="0"/>
        <v>0.27272727272727271</v>
      </c>
      <c r="E41" s="56">
        <f t="shared" si="1"/>
        <v>8</v>
      </c>
      <c r="F41" s="55" t="str">
        <f t="shared" si="2"/>
        <v>RED</v>
      </c>
      <c r="G41" s="50"/>
      <c r="H41" s="50"/>
      <c r="I41" s="50"/>
      <c r="J41" s="50"/>
    </row>
    <row r="42" spans="1:10" ht="22" customHeight="1" x14ac:dyDescent="0.35">
      <c r="A42" s="55" t="s">
        <v>444</v>
      </c>
      <c r="B42" s="56">
        <f>COUNT('Consolidated Matrix'!$AE$4:$AE$14)+COUNTIF('Consolidated Matrix'!$AE$4:$AE$14,"??/??/????")</f>
        <v>5</v>
      </c>
      <c r="C42" s="56">
        <f>COUNTA('Consolidated Matrix'!$A$4:$A$14)</f>
        <v>11</v>
      </c>
      <c r="D42" s="57">
        <f t="shared" si="0"/>
        <v>0.45454545454545453</v>
      </c>
      <c r="E42" s="56">
        <f t="shared" si="1"/>
        <v>6</v>
      </c>
      <c r="F42" s="55" t="str">
        <f t="shared" si="2"/>
        <v>RED</v>
      </c>
      <c r="G42" s="50"/>
      <c r="H42" s="50"/>
      <c r="I42" s="50"/>
      <c r="J42" s="50"/>
    </row>
    <row r="43" spans="1:10" ht="22" customHeight="1" x14ac:dyDescent="0.35">
      <c r="A43" s="55" t="s">
        <v>128</v>
      </c>
      <c r="B43" s="56">
        <f>COUNT('Consolidated Matrix'!$AF$4:$AF$14)+COUNTIF('Consolidated Matrix'!$AF$4:$AF$14,"??/??/????")</f>
        <v>7</v>
      </c>
      <c r="C43" s="56">
        <f>COUNTA('Consolidated Matrix'!$A$4:$A$14)</f>
        <v>11</v>
      </c>
      <c r="D43" s="57">
        <f t="shared" si="0"/>
        <v>0.63636363636363635</v>
      </c>
      <c r="E43" s="56">
        <f t="shared" si="1"/>
        <v>4</v>
      </c>
      <c r="F43" s="55" t="str">
        <f t="shared" si="2"/>
        <v>RED</v>
      </c>
      <c r="G43" s="50"/>
      <c r="H43" s="50"/>
      <c r="I43" s="50"/>
      <c r="J43" s="50"/>
    </row>
    <row r="44" spans="1:10" ht="22" customHeight="1" x14ac:dyDescent="0.35">
      <c r="A44" s="55" t="s">
        <v>447</v>
      </c>
      <c r="B44" s="56">
        <f>COUNT('Consolidated Matrix'!$AL$4:$AL$14)+COUNTIF('Consolidated Matrix'!$AL$4:$AL$14,"??/??/????")</f>
        <v>0</v>
      </c>
      <c r="C44" s="56">
        <f>COUNTA('Consolidated Matrix'!$A$4:$A$14)</f>
        <v>11</v>
      </c>
      <c r="D44" s="57">
        <f t="shared" si="0"/>
        <v>0</v>
      </c>
      <c r="E44" s="56">
        <f t="shared" si="1"/>
        <v>11</v>
      </c>
      <c r="F44" s="55" t="str">
        <f t="shared" si="2"/>
        <v>RED</v>
      </c>
      <c r="G44" s="50"/>
      <c r="H44" s="50"/>
      <c r="I44" s="50"/>
      <c r="J44" s="50"/>
    </row>
    <row r="45" spans="1:10" ht="22" customHeight="1" x14ac:dyDescent="0.35">
      <c r="A45" s="55" t="s">
        <v>129</v>
      </c>
      <c r="B45" s="56">
        <f>COUNT('Consolidated Matrix'!$AM$4:$AM$14)+COUNTIF('Consolidated Matrix'!$AM$4:$AM$14,"??/??/????")</f>
        <v>0</v>
      </c>
      <c r="C45" s="56">
        <f>COUNTA('Consolidated Matrix'!$A$4:$A$14)</f>
        <v>11</v>
      </c>
      <c r="D45" s="57">
        <f t="shared" si="0"/>
        <v>0</v>
      </c>
      <c r="E45" s="56">
        <f t="shared" si="1"/>
        <v>11</v>
      </c>
      <c r="F45" s="55" t="str">
        <f t="shared" si="2"/>
        <v>RED</v>
      </c>
      <c r="G45" s="50"/>
      <c r="H45" s="50"/>
      <c r="I45" s="50"/>
      <c r="J45" s="50"/>
    </row>
    <row r="46" spans="1:10" ht="22" customHeight="1" x14ac:dyDescent="0.35">
      <c r="A46" s="55" t="s">
        <v>448</v>
      </c>
      <c r="B46" s="56">
        <f>COUNT('Consolidated Matrix'!$AN$4:$AN$14)+COUNTIF('Consolidated Matrix'!$AN$4:$AN$14,"??/??/????")</f>
        <v>0</v>
      </c>
      <c r="C46" s="56">
        <f>COUNTA('Consolidated Matrix'!$A$4:$A$14)</f>
        <v>11</v>
      </c>
      <c r="D46" s="57">
        <f t="shared" si="0"/>
        <v>0</v>
      </c>
      <c r="E46" s="56">
        <f t="shared" si="1"/>
        <v>11</v>
      </c>
      <c r="F46" s="55" t="str">
        <f t="shared" si="2"/>
        <v>RED</v>
      </c>
      <c r="G46" s="50"/>
      <c r="H46" s="50"/>
      <c r="I46" s="50"/>
      <c r="J46" s="50"/>
    </row>
    <row r="47" spans="1:10" ht="22" customHeight="1" x14ac:dyDescent="0.35">
      <c r="A47" s="55" t="s">
        <v>449</v>
      </c>
      <c r="B47" s="56">
        <f>COUNT('Consolidated Matrix'!$AO$4:$AO$14)+COUNTIF('Consolidated Matrix'!$AO$4:$AO$14,"??/??/????")</f>
        <v>0</v>
      </c>
      <c r="C47" s="56">
        <f>COUNTA('Consolidated Matrix'!$A$4:$A$14)</f>
        <v>11</v>
      </c>
      <c r="D47" s="57">
        <f t="shared" si="0"/>
        <v>0</v>
      </c>
      <c r="E47" s="56">
        <f t="shared" si="1"/>
        <v>11</v>
      </c>
      <c r="F47" s="55" t="str">
        <f t="shared" si="2"/>
        <v>RED</v>
      </c>
      <c r="G47" s="50"/>
      <c r="H47" s="50"/>
      <c r="I47" s="50"/>
      <c r="J47" s="50"/>
    </row>
    <row r="48" spans="1:10" ht="22" customHeight="1" x14ac:dyDescent="0.35">
      <c r="A48" s="55" t="s">
        <v>450</v>
      </c>
      <c r="B48" s="56">
        <f>COUNT('Consolidated Matrix'!$AP$4:$AP$14)+COUNTIF('Consolidated Matrix'!$AP$4:$AP$14,"??/??/????")</f>
        <v>0</v>
      </c>
      <c r="C48" s="56">
        <f>COUNTA('Consolidated Matrix'!$A$4:$A$14)</f>
        <v>11</v>
      </c>
      <c r="D48" s="57">
        <f t="shared" si="0"/>
        <v>0</v>
      </c>
      <c r="E48" s="56">
        <f t="shared" si="1"/>
        <v>11</v>
      </c>
      <c r="F48" s="55" t="str">
        <f t="shared" si="2"/>
        <v>RED</v>
      </c>
      <c r="G48" s="50"/>
      <c r="H48" s="50"/>
      <c r="I48" s="50"/>
      <c r="J48" s="50"/>
    </row>
    <row r="49" spans="1:10" ht="22" customHeight="1" x14ac:dyDescent="0.35">
      <c r="A49" s="55" t="s">
        <v>451</v>
      </c>
      <c r="B49" s="56">
        <f>COUNT('Consolidated Matrix'!$AQ$4:$AQ$14)+COUNTIF('Consolidated Matrix'!$AQ$4:$AQ$14,"??/??/????")</f>
        <v>0</v>
      </c>
      <c r="C49" s="56">
        <f>COUNTA('Consolidated Matrix'!$A$4:$A$14)</f>
        <v>11</v>
      </c>
      <c r="D49" s="57">
        <f t="shared" si="0"/>
        <v>0</v>
      </c>
      <c r="E49" s="56">
        <f t="shared" si="1"/>
        <v>11</v>
      </c>
      <c r="F49" s="55" t="str">
        <f t="shared" si="2"/>
        <v>RED</v>
      </c>
      <c r="G49" s="50"/>
      <c r="H49" s="50"/>
      <c r="I49" s="50"/>
      <c r="J49" s="50"/>
    </row>
    <row r="50" spans="1:10" ht="22" customHeight="1" x14ac:dyDescent="0.35">
      <c r="A50" s="52" t="s">
        <v>132</v>
      </c>
      <c r="B50" s="53">
        <f>COUNT('Consolidated Matrix'!$AR$4:$AR$14)+COUNTIF('Consolidated Matrix'!$AR$4:$AR$14,"??/??/????")</f>
        <v>0</v>
      </c>
      <c r="C50" s="53">
        <f>COUNTA('Consolidated Matrix'!$A$4:$A$14)</f>
        <v>11</v>
      </c>
      <c r="D50" s="58">
        <f t="shared" si="0"/>
        <v>0</v>
      </c>
      <c r="E50" s="53">
        <f t="shared" si="1"/>
        <v>11</v>
      </c>
      <c r="F50" s="52" t="str">
        <f t="shared" si="2"/>
        <v>RED</v>
      </c>
      <c r="G50" s="54"/>
      <c r="H50" s="54"/>
      <c r="I50" s="54"/>
      <c r="J50" s="54"/>
    </row>
    <row r="51" spans="1:10" ht="22" customHeight="1" x14ac:dyDescent="0.35">
      <c r="A51" s="55" t="s">
        <v>135</v>
      </c>
      <c r="B51" s="56">
        <f>COUNT('Consolidated Matrix'!$AS$4:$AS$14)+COUNTIF('Consolidated Matrix'!$AS$4:$AS$14,"??/??/????")</f>
        <v>0</v>
      </c>
      <c r="C51" s="56">
        <f>COUNTA('Consolidated Matrix'!$A$4:$A$14)</f>
        <v>11</v>
      </c>
      <c r="D51" s="57">
        <f t="shared" si="0"/>
        <v>0</v>
      </c>
      <c r="E51" s="56">
        <f t="shared" si="1"/>
        <v>11</v>
      </c>
      <c r="F51" s="55" t="str">
        <f t="shared" si="2"/>
        <v>RED</v>
      </c>
      <c r="G51" s="50"/>
      <c r="H51" s="50"/>
      <c r="I51" s="50"/>
      <c r="J51" s="50"/>
    </row>
  </sheetData>
  <mergeCells count="2">
    <mergeCell ref="A1:J1"/>
    <mergeCell ref="A2:J2"/>
  </mergeCells>
  <conditionalFormatting sqref="D13:D51">
    <cfRule type="dataBar" priority="4">
      <dataBar>
        <cfvo type="min"/>
        <cfvo type="max"/>
        <color rgb="FF0F766E"/>
      </dataBar>
    </cfRule>
    <cfRule type="dataBar" priority="5">
      <dataBar>
        <cfvo type="min"/>
        <cfvo type="max"/>
        <color rgb="FF0F766E"/>
      </dataBar>
    </cfRule>
    <cfRule type="dataBar" priority="6">
      <dataBar>
        <cfvo type="min"/>
        <cfvo type="max"/>
        <color rgb="FF0F766E"/>
      </dataBar>
    </cfRule>
  </conditionalFormatting>
  <conditionalFormatting sqref="F13:F51">
    <cfRule type="expression" dxfId="403" priority="1">
      <formula>F13="GREEN"</formula>
    </cfRule>
    <cfRule type="expression" dxfId="402" priority="2">
      <formula>F13="AMBER"</formula>
    </cfRule>
    <cfRule type="expression" dxfId="401" priority="3">
      <formula>F13="RED"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33"/>
  <sheetViews>
    <sheetView workbookViewId="0"/>
  </sheetViews>
  <sheetFormatPr defaultRowHeight="14.5" x14ac:dyDescent="0.35"/>
  <cols>
    <col min="1" max="2" width="36" customWidth="1"/>
    <col min="3" max="3" width="42" customWidth="1"/>
    <col min="4" max="4" width="40" customWidth="1"/>
    <col min="6" max="6" width="28" customWidth="1"/>
    <col min="7" max="7" width="58" customWidth="1"/>
    <col min="8" max="8" width="28" customWidth="1"/>
    <col min="9" max="9" width="18" customWidth="1"/>
  </cols>
  <sheetData>
    <row r="1" spans="1:9" ht="18.5" customHeight="1" x14ac:dyDescent="0.45">
      <c r="A1" s="160" t="s">
        <v>547</v>
      </c>
      <c r="B1" s="129"/>
      <c r="C1" s="129"/>
      <c r="D1" s="129"/>
      <c r="F1" s="161" t="s">
        <v>548</v>
      </c>
      <c r="G1" s="129"/>
      <c r="H1" s="129"/>
      <c r="I1" s="129"/>
    </row>
    <row r="2" spans="1:9" x14ac:dyDescent="0.35">
      <c r="F2" s="45" t="s">
        <v>549</v>
      </c>
      <c r="G2" s="45" t="s">
        <v>550</v>
      </c>
      <c r="H2" s="45" t="s">
        <v>551</v>
      </c>
      <c r="I2" s="45" t="s">
        <v>552</v>
      </c>
    </row>
    <row r="3" spans="1:9" ht="29" customHeight="1" x14ac:dyDescent="0.35">
      <c r="A3" s="44" t="s">
        <v>553</v>
      </c>
      <c r="B3" s="44" t="s">
        <v>554</v>
      </c>
      <c r="C3" s="44" t="s">
        <v>555</v>
      </c>
      <c r="D3" s="44" t="s">
        <v>43</v>
      </c>
      <c r="F3" s="21" t="s">
        <v>556</v>
      </c>
      <c r="G3" s="21" t="s">
        <v>557</v>
      </c>
      <c r="H3" s="21" t="s">
        <v>558</v>
      </c>
      <c r="I3" s="21" t="s">
        <v>559</v>
      </c>
    </row>
    <row r="4" spans="1:9" ht="29" customHeight="1" x14ac:dyDescent="0.35">
      <c r="A4" s="21" t="s">
        <v>125</v>
      </c>
      <c r="B4" s="21" t="s">
        <v>125</v>
      </c>
      <c r="C4" s="21" t="s">
        <v>560</v>
      </c>
      <c r="D4" s="21" t="s">
        <v>501</v>
      </c>
      <c r="F4" s="21" t="s">
        <v>561</v>
      </c>
      <c r="G4" s="21" t="s">
        <v>562</v>
      </c>
      <c r="H4" s="21" t="s">
        <v>558</v>
      </c>
      <c r="I4" s="21" t="s">
        <v>559</v>
      </c>
    </row>
    <row r="5" spans="1:9" ht="29" customHeight="1" x14ac:dyDescent="0.35">
      <c r="A5" s="21" t="s">
        <v>126</v>
      </c>
      <c r="B5" s="21" t="s">
        <v>126</v>
      </c>
      <c r="C5" s="21" t="s">
        <v>560</v>
      </c>
      <c r="D5" s="21" t="s">
        <v>502</v>
      </c>
      <c r="F5" s="21" t="s">
        <v>563</v>
      </c>
      <c r="G5" s="21" t="s">
        <v>564</v>
      </c>
      <c r="H5" s="21" t="s">
        <v>558</v>
      </c>
      <c r="I5" s="21" t="s">
        <v>559</v>
      </c>
    </row>
    <row r="6" spans="1:9" ht="29" customHeight="1" x14ac:dyDescent="0.35">
      <c r="A6" s="21" t="s">
        <v>503</v>
      </c>
      <c r="B6" s="21" t="s">
        <v>433</v>
      </c>
      <c r="C6" s="21" t="s">
        <v>560</v>
      </c>
      <c r="D6" s="21" t="s">
        <v>504</v>
      </c>
      <c r="F6" s="21" t="s">
        <v>565</v>
      </c>
      <c r="G6" s="21" t="s">
        <v>566</v>
      </c>
      <c r="H6" s="21" t="s">
        <v>558</v>
      </c>
      <c r="I6" s="21" t="s">
        <v>559</v>
      </c>
    </row>
    <row r="7" spans="1:9" ht="29" customHeight="1" x14ac:dyDescent="0.35">
      <c r="A7" s="21" t="s">
        <v>117</v>
      </c>
      <c r="B7" s="21" t="s">
        <v>440</v>
      </c>
      <c r="C7" s="21" t="s">
        <v>567</v>
      </c>
      <c r="D7" s="21" t="s">
        <v>505</v>
      </c>
    </row>
    <row r="8" spans="1:9" ht="29" customHeight="1" x14ac:dyDescent="0.35">
      <c r="A8" s="21" t="s">
        <v>506</v>
      </c>
      <c r="B8" s="21" t="s">
        <v>436</v>
      </c>
      <c r="C8" s="21" t="s">
        <v>560</v>
      </c>
      <c r="D8" s="21" t="s">
        <v>507</v>
      </c>
    </row>
    <row r="9" spans="1:9" x14ac:dyDescent="0.35">
      <c r="A9" s="21" t="s">
        <v>508</v>
      </c>
      <c r="B9" s="21" t="s">
        <v>444</v>
      </c>
      <c r="C9" s="21" t="s">
        <v>560</v>
      </c>
      <c r="D9" s="21"/>
    </row>
    <row r="10" spans="1:9" x14ac:dyDescent="0.35">
      <c r="A10" s="21" t="s">
        <v>509</v>
      </c>
      <c r="B10" s="21" t="s">
        <v>447</v>
      </c>
      <c r="C10" s="21" t="s">
        <v>560</v>
      </c>
      <c r="D10" s="21" t="s">
        <v>510</v>
      </c>
    </row>
    <row r="11" spans="1:9" ht="29" customHeight="1" x14ac:dyDescent="0.35">
      <c r="A11" s="21" t="s">
        <v>511</v>
      </c>
      <c r="B11" s="21" t="s">
        <v>440</v>
      </c>
      <c r="C11" s="21" t="s">
        <v>568</v>
      </c>
      <c r="D11" s="21" t="s">
        <v>512</v>
      </c>
    </row>
    <row r="12" spans="1:9" ht="29" customHeight="1" x14ac:dyDescent="0.35">
      <c r="A12" s="21" t="s">
        <v>435</v>
      </c>
      <c r="B12" s="21" t="s">
        <v>435</v>
      </c>
      <c r="C12" s="21" t="s">
        <v>567</v>
      </c>
      <c r="D12" s="21" t="s">
        <v>505</v>
      </c>
    </row>
    <row r="13" spans="1:9" x14ac:dyDescent="0.35">
      <c r="A13" s="21" t="s">
        <v>513</v>
      </c>
      <c r="B13" s="21" t="s">
        <v>102</v>
      </c>
      <c r="C13" s="21" t="s">
        <v>560</v>
      </c>
      <c r="D13" s="21"/>
    </row>
    <row r="14" spans="1:9" x14ac:dyDescent="0.35">
      <c r="A14" s="21" t="s">
        <v>514</v>
      </c>
      <c r="B14" s="21" t="s">
        <v>129</v>
      </c>
      <c r="C14" s="21" t="s">
        <v>560</v>
      </c>
      <c r="D14" s="21" t="s">
        <v>510</v>
      </c>
    </row>
    <row r="15" spans="1:9" x14ac:dyDescent="0.35">
      <c r="A15" s="21" t="s">
        <v>123</v>
      </c>
      <c r="B15" s="21" t="s">
        <v>441</v>
      </c>
      <c r="C15" s="21" t="s">
        <v>560</v>
      </c>
      <c r="D15" s="21"/>
    </row>
    <row r="16" spans="1:9" x14ac:dyDescent="0.35">
      <c r="A16" s="21" t="s">
        <v>448</v>
      </c>
      <c r="B16" s="21" t="s">
        <v>448</v>
      </c>
      <c r="C16" s="21" t="s">
        <v>560</v>
      </c>
      <c r="D16" s="21" t="s">
        <v>510</v>
      </c>
    </row>
    <row r="17" spans="1:4" x14ac:dyDescent="0.35">
      <c r="A17" s="21" t="s">
        <v>101</v>
      </c>
      <c r="B17" s="21" t="s">
        <v>101</v>
      </c>
      <c r="C17" s="21" t="s">
        <v>560</v>
      </c>
      <c r="D17" s="21"/>
    </row>
    <row r="18" spans="1:4" x14ac:dyDescent="0.35">
      <c r="A18" s="21" t="s">
        <v>114</v>
      </c>
      <c r="B18" s="21" t="s">
        <v>114</v>
      </c>
      <c r="C18" s="21" t="s">
        <v>560</v>
      </c>
      <c r="D18" s="21"/>
    </row>
    <row r="19" spans="1:4" x14ac:dyDescent="0.35">
      <c r="A19" s="21" t="s">
        <v>515</v>
      </c>
      <c r="B19" s="21" t="s">
        <v>426</v>
      </c>
      <c r="C19" s="21" t="s">
        <v>560</v>
      </c>
      <c r="D19" s="21"/>
    </row>
    <row r="20" spans="1:4" x14ac:dyDescent="0.35">
      <c r="A20" s="21" t="s">
        <v>516</v>
      </c>
      <c r="B20" s="21" t="s">
        <v>112</v>
      </c>
      <c r="C20" s="21" t="s">
        <v>560</v>
      </c>
      <c r="D20" s="21"/>
    </row>
    <row r="21" spans="1:4" x14ac:dyDescent="0.35">
      <c r="A21" s="21" t="s">
        <v>517</v>
      </c>
      <c r="B21" s="21" t="s">
        <v>437</v>
      </c>
      <c r="C21" s="21" t="s">
        <v>560</v>
      </c>
      <c r="D21" s="21"/>
    </row>
    <row r="22" spans="1:4" ht="29" customHeight="1" x14ac:dyDescent="0.35">
      <c r="A22" s="21" t="s">
        <v>518</v>
      </c>
      <c r="B22" s="21" t="s">
        <v>100</v>
      </c>
      <c r="C22" s="21" t="s">
        <v>569</v>
      </c>
      <c r="D22" s="21" t="s">
        <v>519</v>
      </c>
    </row>
    <row r="23" spans="1:4" x14ac:dyDescent="0.35">
      <c r="A23" s="21" t="s">
        <v>520</v>
      </c>
      <c r="B23" s="21" t="s">
        <v>449</v>
      </c>
      <c r="C23" s="21" t="s">
        <v>560</v>
      </c>
      <c r="D23" s="21" t="s">
        <v>510</v>
      </c>
    </row>
    <row r="24" spans="1:4" x14ac:dyDescent="0.35">
      <c r="A24" s="21" t="s">
        <v>521</v>
      </c>
      <c r="B24" s="21" t="s">
        <v>432</v>
      </c>
      <c r="C24" s="21" t="s">
        <v>560</v>
      </c>
      <c r="D24" s="21"/>
    </row>
    <row r="25" spans="1:4" x14ac:dyDescent="0.35">
      <c r="A25" s="21" t="s">
        <v>450</v>
      </c>
      <c r="B25" s="21" t="s">
        <v>450</v>
      </c>
      <c r="C25" s="21" t="s">
        <v>560</v>
      </c>
      <c r="D25" s="21" t="s">
        <v>510</v>
      </c>
    </row>
    <row r="26" spans="1:4" x14ac:dyDescent="0.35">
      <c r="A26" s="21" t="s">
        <v>522</v>
      </c>
      <c r="B26" s="21" t="s">
        <v>451</v>
      </c>
      <c r="C26" s="21" t="s">
        <v>560</v>
      </c>
      <c r="D26" s="21" t="s">
        <v>510</v>
      </c>
    </row>
    <row r="27" spans="1:4" x14ac:dyDescent="0.35">
      <c r="A27" s="21" t="s">
        <v>104</v>
      </c>
      <c r="B27" s="21" t="s">
        <v>104</v>
      </c>
      <c r="C27" s="21" t="s">
        <v>560</v>
      </c>
      <c r="D27" s="21"/>
    </row>
    <row r="28" spans="1:4" x14ac:dyDescent="0.35">
      <c r="A28" s="21" t="s">
        <v>523</v>
      </c>
      <c r="B28" s="21" t="s">
        <v>132</v>
      </c>
      <c r="C28" s="21" t="s">
        <v>560</v>
      </c>
      <c r="D28" s="21" t="s">
        <v>510</v>
      </c>
    </row>
    <row r="29" spans="1:4" x14ac:dyDescent="0.35">
      <c r="A29" s="21" t="s">
        <v>524</v>
      </c>
      <c r="B29" s="21" t="s">
        <v>442</v>
      </c>
      <c r="C29" s="21" t="s">
        <v>560</v>
      </c>
      <c r="D29" s="21"/>
    </row>
    <row r="30" spans="1:4" x14ac:dyDescent="0.35">
      <c r="A30" s="21" t="s">
        <v>525</v>
      </c>
      <c r="B30" s="21" t="s">
        <v>436</v>
      </c>
      <c r="C30" s="21" t="s">
        <v>560</v>
      </c>
      <c r="D30" s="21" t="s">
        <v>526</v>
      </c>
    </row>
    <row r="31" spans="1:4" x14ac:dyDescent="0.35">
      <c r="A31" s="21" t="s">
        <v>527</v>
      </c>
      <c r="B31" s="21" t="s">
        <v>135</v>
      </c>
      <c r="C31" s="21" t="s">
        <v>560</v>
      </c>
      <c r="D31" s="21" t="s">
        <v>510</v>
      </c>
    </row>
    <row r="32" spans="1:4" ht="29" customHeight="1" x14ac:dyDescent="0.35">
      <c r="A32" s="21" t="s">
        <v>528</v>
      </c>
      <c r="B32" s="21" t="s">
        <v>438</v>
      </c>
      <c r="C32" s="21" t="s">
        <v>560</v>
      </c>
      <c r="D32" s="21" t="s">
        <v>529</v>
      </c>
    </row>
    <row r="33" spans="1:4" x14ac:dyDescent="0.35">
      <c r="A33" s="21" t="s">
        <v>530</v>
      </c>
      <c r="B33" s="21" t="s">
        <v>128</v>
      </c>
      <c r="C33" s="21" t="s">
        <v>560</v>
      </c>
      <c r="D33" s="21"/>
    </row>
  </sheetData>
  <mergeCells count="2">
    <mergeCell ref="A1:D1"/>
    <mergeCell ref="F1:I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45"/>
  <sheetViews>
    <sheetView showGridLines="0" workbookViewId="0"/>
  </sheetViews>
  <sheetFormatPr defaultRowHeight="14.5" x14ac:dyDescent="0.35"/>
  <cols>
    <col min="1" max="1" width="24" customWidth="1"/>
    <col min="2" max="2" width="18" customWidth="1"/>
    <col min="3" max="3" width="20" customWidth="1"/>
    <col min="4" max="6" width="18" customWidth="1"/>
    <col min="7" max="7" width="20" customWidth="1"/>
    <col min="8" max="13" width="18" customWidth="1"/>
  </cols>
  <sheetData>
    <row r="1" spans="1:13" ht="34" customHeight="1" x14ac:dyDescent="0.35">
      <c r="A1" s="139" t="s">
        <v>570</v>
      </c>
      <c r="B1" s="137"/>
      <c r="C1" s="137"/>
      <c r="D1" s="137"/>
      <c r="E1" s="137"/>
      <c r="F1" s="137"/>
      <c r="G1" s="137"/>
      <c r="H1" s="138"/>
      <c r="I1" s="50"/>
      <c r="J1" s="165" t="s">
        <v>571</v>
      </c>
      <c r="K1" s="137"/>
      <c r="L1" s="137"/>
      <c r="M1" s="138"/>
    </row>
    <row r="2" spans="1:13" ht="22" customHeight="1" x14ac:dyDescent="0.35">
      <c r="A2" s="162" t="s">
        <v>572</v>
      </c>
      <c r="B2" s="137"/>
      <c r="C2" s="137"/>
      <c r="D2" s="137"/>
      <c r="E2" s="137"/>
      <c r="F2" s="137"/>
      <c r="G2" s="137"/>
      <c r="H2" s="138"/>
      <c r="I2" s="50"/>
      <c r="J2" s="50"/>
      <c r="K2" s="50"/>
      <c r="L2" s="50"/>
      <c r="M2" s="50"/>
    </row>
    <row r="3" spans="1:13" ht="22" customHeight="1" x14ac:dyDescent="0.35">
      <c r="A3" s="50"/>
      <c r="B3" s="50"/>
      <c r="C3" s="50"/>
      <c r="D3" s="50"/>
      <c r="E3" s="50"/>
      <c r="F3" s="50"/>
      <c r="G3" s="50"/>
      <c r="H3" s="50"/>
      <c r="I3" s="50"/>
      <c r="J3" s="74" t="s">
        <v>573</v>
      </c>
      <c r="K3" s="74" t="s">
        <v>11</v>
      </c>
      <c r="L3" s="74" t="s">
        <v>91</v>
      </c>
      <c r="M3" s="74" t="s">
        <v>43</v>
      </c>
    </row>
    <row r="4" spans="1:13" ht="22" customHeight="1" x14ac:dyDescent="0.35">
      <c r="A4" s="52" t="s">
        <v>10</v>
      </c>
      <c r="B4" s="52" t="s">
        <v>574</v>
      </c>
      <c r="C4" s="52" t="s">
        <v>491</v>
      </c>
      <c r="D4" s="52" t="s">
        <v>493</v>
      </c>
      <c r="E4" s="52" t="s">
        <v>495</v>
      </c>
      <c r="F4" s="52" t="s">
        <v>575</v>
      </c>
      <c r="G4" s="52" t="s">
        <v>576</v>
      </c>
      <c r="H4" s="52" t="s">
        <v>577</v>
      </c>
      <c r="I4" s="54"/>
      <c r="J4" s="52" t="str">
        <f>Summary!A6</f>
        <v>Safeguarding and Protection of Adults</v>
      </c>
      <c r="K4" s="58">
        <f>Summary!B6</f>
        <v>0.83333333333333337</v>
      </c>
      <c r="L4" s="52" t="str">
        <f>Summary!C6</f>
        <v>10/12</v>
      </c>
      <c r="M4" s="55">
        <f>Summary!D6</f>
        <v>0</v>
      </c>
    </row>
    <row r="5" spans="1:13" ht="22" customHeight="1" x14ac:dyDescent="0.35">
      <c r="A5" s="75">
        <f>COUNTA(Matrix!$A$3:$A$14)</f>
        <v>12</v>
      </c>
      <c r="B5" s="76">
        <f>IFERROR(AVERAGE(E9:E41),0)</f>
        <v>0.58838383838383845</v>
      </c>
      <c r="C5" s="75">
        <f>COUNTIF(F9:F41,"GREEN")</f>
        <v>0</v>
      </c>
      <c r="D5" s="75">
        <f>COUNTIF(F9:F41,"AMBER")</f>
        <v>7</v>
      </c>
      <c r="E5" s="75">
        <f>COUNTIF(F9:F41,"RED")</f>
        <v>26</v>
      </c>
      <c r="F5" s="75" t="str">
        <f>INDEX(A9:A41,MATCH(MIN(E9:E41),E9:E41,0))</f>
        <v>Emollients</v>
      </c>
      <c r="G5" s="75" t="str">
        <f>COUNTIF(F9:F41,"RED")&amp;" red topics"</f>
        <v>26 red topics</v>
      </c>
      <c r="H5" s="77">
        <v>46201.822595983787</v>
      </c>
      <c r="I5" s="50"/>
      <c r="J5" s="55" t="str">
        <f>Summary!A7</f>
        <v>Fire Safety</v>
      </c>
      <c r="K5" s="57">
        <f>Summary!B7</f>
        <v>0.16666666666666666</v>
      </c>
      <c r="L5" s="55" t="str">
        <f>Summary!C7</f>
        <v>2/12</v>
      </c>
      <c r="M5" s="55">
        <f>Summary!D7</f>
        <v>0</v>
      </c>
    </row>
    <row r="6" spans="1:13" ht="22" customHeight="1" x14ac:dyDescent="0.35">
      <c r="A6" s="54"/>
      <c r="B6" s="54"/>
      <c r="C6" s="54"/>
      <c r="D6" s="54"/>
      <c r="E6" s="54"/>
      <c r="F6" s="54"/>
      <c r="G6" s="54"/>
      <c r="H6" s="54"/>
      <c r="I6" s="54"/>
      <c r="J6" s="52" t="str">
        <f>Summary!A8</f>
        <v>Fire Marshal / Fire Warden</v>
      </c>
      <c r="K6" s="58">
        <f>Summary!B8</f>
        <v>0.91666666666666663</v>
      </c>
      <c r="L6" s="52" t="str">
        <f>Summary!C8</f>
        <v>11/12</v>
      </c>
      <c r="M6" s="55">
        <f>Summary!D8</f>
        <v>0</v>
      </c>
    </row>
    <row r="7" spans="1:13" ht="22" customHeight="1" x14ac:dyDescent="0.35">
      <c r="A7" s="50"/>
      <c r="B7" s="50"/>
      <c r="C7" s="50"/>
      <c r="D7" s="50"/>
      <c r="E7" s="50"/>
      <c r="F7" s="50"/>
      <c r="G7" s="50"/>
      <c r="H7" s="50"/>
      <c r="I7" s="50"/>
      <c r="J7" s="55" t="str">
        <f>Summary!A9</f>
        <v>Moving and Handling</v>
      </c>
      <c r="K7" s="57">
        <f>Summary!B9</f>
        <v>0.91666666666666663</v>
      </c>
      <c r="L7" s="55" t="str">
        <f>Summary!C9</f>
        <v>11/12</v>
      </c>
      <c r="M7" s="55">
        <f>Summary!D9</f>
        <v>0</v>
      </c>
    </row>
    <row r="8" spans="1:13" ht="22" customHeight="1" x14ac:dyDescent="0.35">
      <c r="A8" s="74" t="s">
        <v>9</v>
      </c>
      <c r="B8" s="74" t="s">
        <v>578</v>
      </c>
      <c r="C8" s="74" t="s">
        <v>3</v>
      </c>
      <c r="D8" s="74" t="s">
        <v>10</v>
      </c>
      <c r="E8" s="74" t="s">
        <v>11</v>
      </c>
      <c r="F8" s="74" t="s">
        <v>6</v>
      </c>
      <c r="G8" s="74" t="s">
        <v>579</v>
      </c>
      <c r="H8" s="74" t="s">
        <v>580</v>
      </c>
      <c r="I8" s="50"/>
      <c r="J8" s="55" t="str">
        <f>Summary!A10</f>
        <v>Basic Life Support</v>
      </c>
      <c r="K8" s="57">
        <f>Summary!B10</f>
        <v>0.83333333333333337</v>
      </c>
      <c r="L8" s="55" t="str">
        <f>Summary!C10</f>
        <v>10/12</v>
      </c>
      <c r="M8" s="55">
        <f>Summary!D10</f>
        <v>0</v>
      </c>
    </row>
    <row r="9" spans="1:13" ht="22" customHeight="1" x14ac:dyDescent="0.35">
      <c r="A9" s="52" t="s">
        <v>125</v>
      </c>
      <c r="B9" s="52" t="s">
        <v>125</v>
      </c>
      <c r="C9" s="52">
        <f>SUMPRODUCT(--((((Matrix!$T$3:$T$14&lt;&gt;"")*(Matrix!$T$3:$T$14&lt;&gt;"NS")*(Matrix!$T$3:$T$14&lt;&gt;"IP")*(Matrix!$T$3:$T$14&lt;&gt;"Failed")))&gt;0))</f>
        <v>11</v>
      </c>
      <c r="D9" s="52">
        <f t="shared" ref="D9:D41" si="0">$A$5</f>
        <v>12</v>
      </c>
      <c r="E9" s="58">
        <f t="shared" ref="E9:E41" si="1">IFERROR(C9/D9,0)</f>
        <v>0.91666666666666663</v>
      </c>
      <c r="F9" s="52" t="str">
        <f t="shared" ref="F9:F41" si="2">IF(E9&gt;=0.95,"GREEN",IF(E9&gt;=0.85,"AMBER","RED"))</f>
        <v>AMBER</v>
      </c>
      <c r="G9" s="52" t="str">
        <f t="shared" ref="G9:G41" si="3">IF(F9="GREEN","Maintain evidence",IF(F9="AMBER","Book refresher / check gaps","Immediate action required"))</f>
        <v>Book refresher / check gaps</v>
      </c>
      <c r="H9" s="52" t="s">
        <v>581</v>
      </c>
      <c r="I9" s="54"/>
      <c r="J9" s="52" t="str">
        <f>Summary!A11</f>
        <v>Infection Control</v>
      </c>
      <c r="K9" s="58">
        <f>Summary!B11</f>
        <v>0.75</v>
      </c>
      <c r="L9" s="52" t="str">
        <f>Summary!C11</f>
        <v>9/12</v>
      </c>
      <c r="M9" s="55">
        <f>Summary!D11</f>
        <v>0</v>
      </c>
    </row>
    <row r="10" spans="1:13" ht="22" customHeight="1" x14ac:dyDescent="0.35">
      <c r="A10" s="55" t="s">
        <v>126</v>
      </c>
      <c r="B10" s="55" t="s">
        <v>126</v>
      </c>
      <c r="C10" s="55">
        <f>SUMPRODUCT(--((((Matrix!$U$3:$U$14&lt;&gt;"")*(Matrix!$U$3:$U$14&lt;&gt;"NS")*(Matrix!$U$3:$U$14&lt;&gt;"IP")*(Matrix!$U$3:$U$14&lt;&gt;"Failed")))&gt;0))</f>
        <v>8</v>
      </c>
      <c r="D10" s="55">
        <f t="shared" si="0"/>
        <v>12</v>
      </c>
      <c r="E10" s="57">
        <f t="shared" si="1"/>
        <v>0.66666666666666663</v>
      </c>
      <c r="F10" s="55" t="str">
        <f t="shared" si="2"/>
        <v>RED</v>
      </c>
      <c r="G10" s="55" t="str">
        <f t="shared" si="3"/>
        <v>Immediate action required</v>
      </c>
      <c r="H10" s="55" t="s">
        <v>581</v>
      </c>
      <c r="I10" s="50"/>
      <c r="J10" s="55" t="str">
        <f>Summary!A12</f>
        <v>Dementia Awareness</v>
      </c>
      <c r="K10" s="57">
        <f>Summary!B12</f>
        <v>0.75</v>
      </c>
      <c r="L10" s="55" t="str">
        <f>Summary!C12</f>
        <v>9/12</v>
      </c>
      <c r="M10" s="55">
        <f>Summary!D12</f>
        <v>0</v>
      </c>
    </row>
    <row r="11" spans="1:13" ht="22" customHeight="1" x14ac:dyDescent="0.35">
      <c r="A11" s="55" t="s">
        <v>582</v>
      </c>
      <c r="B11" s="55" t="s">
        <v>144</v>
      </c>
      <c r="C11" s="55">
        <f>SUMPRODUCT(--((((Matrix!$AQ$3:$AQ$14&lt;&gt;"")*(Matrix!$AQ$3:$AQ$14&lt;&gt;"NS")*(Matrix!$AQ$3:$AQ$14&lt;&gt;"IP")*(Matrix!$AQ$3:$AQ$14&lt;&gt;"Failed")))&gt;0))</f>
        <v>10</v>
      </c>
      <c r="D11" s="55">
        <f t="shared" si="0"/>
        <v>12</v>
      </c>
      <c r="E11" s="57">
        <f t="shared" si="1"/>
        <v>0.83333333333333337</v>
      </c>
      <c r="F11" s="55" t="str">
        <f t="shared" si="2"/>
        <v>RED</v>
      </c>
      <c r="G11" s="55" t="str">
        <f t="shared" si="3"/>
        <v>Immediate action required</v>
      </c>
      <c r="H11" s="55" t="s">
        <v>581</v>
      </c>
      <c r="I11" s="50"/>
      <c r="J11" s="55" t="str">
        <f>Summary!A13</f>
        <v>Carol (Domestic)</v>
      </c>
      <c r="K11" s="57">
        <f>Summary!B13</f>
        <v>0.83333333333333337</v>
      </c>
      <c r="L11" s="55" t="str">
        <f>Summary!C13</f>
        <v>10/12</v>
      </c>
      <c r="M11" s="55">
        <f>Summary!D13</f>
        <v>0</v>
      </c>
    </row>
    <row r="12" spans="1:13" ht="22" customHeight="1" x14ac:dyDescent="0.35">
      <c r="A12" s="52" t="s">
        <v>440</v>
      </c>
      <c r="B12" s="52" t="s">
        <v>467</v>
      </c>
      <c r="C12" s="52">
        <f>SUMPRODUCT(--((((Matrix!$J$3:$J$14&lt;&gt;"")*(Matrix!$J$3:$J$14&lt;&gt;"NS")*(Matrix!$J$3:$J$14&lt;&gt;"IP")*(Matrix!$J$3:$J$14&lt;&gt;"Failed")) + ((Matrix!$Z$3:$Z$14&lt;&gt;"")*(Matrix!$Z$3:$Z$14&lt;&gt;"NS")*(Matrix!$Z$3:$Z$14&lt;&gt;"IP")*(Matrix!$Z$3:$Z$14&lt;&gt;"Failed")) + ((Matrix!$AA$3:$AA$14&lt;&gt;"")*(Matrix!$AA$3:$AA$14&lt;&gt;"NS")*(Matrix!$AA$3:$AA$14&lt;&gt;"IP")*(Matrix!$AA$3:$AA$14&lt;&gt;"Failed")))&gt;0))</f>
        <v>10</v>
      </c>
      <c r="D12" s="52">
        <f t="shared" si="0"/>
        <v>12</v>
      </c>
      <c r="E12" s="58">
        <f t="shared" si="1"/>
        <v>0.83333333333333337</v>
      </c>
      <c r="F12" s="52" t="str">
        <f t="shared" si="2"/>
        <v>RED</v>
      </c>
      <c r="G12" s="52" t="str">
        <f t="shared" si="3"/>
        <v>Immediate action required</v>
      </c>
      <c r="H12" s="52" t="s">
        <v>581</v>
      </c>
      <c r="I12" s="54"/>
      <c r="J12" s="52" t="str">
        <f>Summary!A14</f>
        <v>Food Hygiene</v>
      </c>
      <c r="K12" s="58">
        <f>Summary!B14</f>
        <v>0.66666666666666663</v>
      </c>
      <c r="L12" s="52" t="str">
        <f>Summary!C14</f>
        <v>8/12</v>
      </c>
      <c r="M12" s="55">
        <f>Summary!D14</f>
        <v>0</v>
      </c>
    </row>
    <row r="13" spans="1:13" ht="22" customHeight="1" x14ac:dyDescent="0.35">
      <c r="A13" s="55" t="s">
        <v>583</v>
      </c>
      <c r="B13" s="55" t="s">
        <v>462</v>
      </c>
      <c r="C13" s="55">
        <f>SUMPRODUCT(--((((Matrix!$AG$3:$AG$14&lt;&gt;"")*(Matrix!$AG$3:$AG$14&lt;&gt;"NS")*(Matrix!$AG$3:$AG$14&lt;&gt;"IP")*(Matrix!$AG$3:$AG$14&lt;&gt;"Failed")) + ((Matrix!$V$3:$V$14&lt;&gt;"")*(Matrix!$V$3:$V$14&lt;&gt;"NS")*(Matrix!$V$3:$V$14&lt;&gt;"IP")*(Matrix!$V$3:$V$14&lt;&gt;"Failed")))&gt;0))</f>
        <v>11</v>
      </c>
      <c r="D13" s="55">
        <f t="shared" si="0"/>
        <v>12</v>
      </c>
      <c r="E13" s="57">
        <f t="shared" si="1"/>
        <v>0.91666666666666663</v>
      </c>
      <c r="F13" s="55" t="str">
        <f t="shared" si="2"/>
        <v>AMBER</v>
      </c>
      <c r="G13" s="55" t="str">
        <f t="shared" si="3"/>
        <v>Book refresher / check gaps</v>
      </c>
      <c r="H13" s="55" t="s">
        <v>581</v>
      </c>
      <c r="I13" s="50"/>
      <c r="J13" s="55" t="str">
        <f>Summary!A15</f>
        <v>End of Life Care</v>
      </c>
      <c r="K13" s="57">
        <f>Summary!B15</f>
        <v>0.91666666666666663</v>
      </c>
      <c r="L13" s="55" t="str">
        <f>Summary!C15</f>
        <v>11/12</v>
      </c>
      <c r="M13" s="55">
        <f>Summary!D15</f>
        <v>0</v>
      </c>
    </row>
    <row r="14" spans="1:13" ht="22" customHeight="1" x14ac:dyDescent="0.35">
      <c r="A14" s="55" t="s">
        <v>204</v>
      </c>
      <c r="B14" s="55" t="s">
        <v>204</v>
      </c>
      <c r="C14" s="55">
        <f>SUMPRODUCT(--((((Matrix!$DA$3:$DA$14&lt;&gt;"")*(Matrix!$DA$3:$DA$14&lt;&gt;"NS")*(Matrix!$DA$3:$DA$14&lt;&gt;"IP")*(Matrix!$DA$3:$DA$14&lt;&gt;"Failed")))&gt;0))</f>
        <v>6</v>
      </c>
      <c r="D14" s="55">
        <f t="shared" si="0"/>
        <v>12</v>
      </c>
      <c r="E14" s="57">
        <f t="shared" si="1"/>
        <v>0.5</v>
      </c>
      <c r="F14" s="55" t="str">
        <f t="shared" si="2"/>
        <v>RED</v>
      </c>
      <c r="G14" s="55" t="str">
        <f t="shared" si="3"/>
        <v>Immediate action required</v>
      </c>
      <c r="H14" s="55" t="s">
        <v>581</v>
      </c>
      <c r="I14" s="50"/>
      <c r="J14" s="55" t="str">
        <f>Summary!A16</f>
        <v>Diabetes Awareness</v>
      </c>
      <c r="K14" s="57">
        <f>Summary!B16</f>
        <v>0.75</v>
      </c>
      <c r="L14" s="55" t="str">
        <f>Summary!C16</f>
        <v>9/12</v>
      </c>
      <c r="M14" s="55">
        <f>Summary!D16</f>
        <v>0</v>
      </c>
    </row>
    <row r="15" spans="1:13" ht="22" customHeight="1" x14ac:dyDescent="0.35">
      <c r="A15" s="55" t="s">
        <v>447</v>
      </c>
      <c r="B15" s="55" t="s">
        <v>584</v>
      </c>
      <c r="C15" s="55">
        <f>SUMPRODUCT(--((((Matrix!$M$3:$M$14&lt;&gt;"")*(Matrix!$M$3:$M$14&lt;&gt;"NS")*(Matrix!$M$3:$M$14&lt;&gt;"IP")*(Matrix!$M$3:$M$14&lt;&gt;"Failed")) + ((Matrix!$AN$3:$AN$14&lt;&gt;"")*(Matrix!$AN$3:$AN$14&lt;&gt;"NS")*(Matrix!$AN$3:$AN$14&lt;&gt;"IP")*(Matrix!$AN$3:$AN$14&lt;&gt;"Failed")))&gt;0))</f>
        <v>5</v>
      </c>
      <c r="D15" s="55">
        <f t="shared" si="0"/>
        <v>12</v>
      </c>
      <c r="E15" s="57">
        <f t="shared" si="1"/>
        <v>0.41666666666666669</v>
      </c>
      <c r="F15" s="55" t="str">
        <f t="shared" si="2"/>
        <v>RED</v>
      </c>
      <c r="G15" s="55" t="str">
        <f t="shared" si="3"/>
        <v>Immediate action required</v>
      </c>
      <c r="H15" s="55" t="s">
        <v>581</v>
      </c>
      <c r="I15" s="50"/>
      <c r="J15" s="55" t="str">
        <f>Summary!A17</f>
        <v>The Oliver McGowan Mandatory Training</v>
      </c>
      <c r="K15" s="57">
        <f>Summary!B17</f>
        <v>0.66666666666666663</v>
      </c>
      <c r="L15" s="55" t="str">
        <f>Summary!C17</f>
        <v>8/12</v>
      </c>
      <c r="M15" s="55">
        <f>Summary!D17</f>
        <v>0</v>
      </c>
    </row>
    <row r="16" spans="1:13" ht="22" customHeight="1" x14ac:dyDescent="0.35">
      <c r="A16" s="55" t="s">
        <v>131</v>
      </c>
      <c r="B16" s="55" t="s">
        <v>131</v>
      </c>
      <c r="C16" s="55">
        <f>SUMPRODUCT(--((((Matrix!$Z$3:$Z$14&lt;&gt;"")*(Matrix!$Z$3:$Z$14&lt;&gt;"NS")*(Matrix!$Z$3:$Z$14&lt;&gt;"IP")*(Matrix!$Z$3:$Z$14&lt;&gt;"Failed")))&gt;0))</f>
        <v>5</v>
      </c>
      <c r="D16" s="55">
        <f t="shared" si="0"/>
        <v>12</v>
      </c>
      <c r="E16" s="57">
        <f t="shared" si="1"/>
        <v>0.41666666666666669</v>
      </c>
      <c r="F16" s="55" t="str">
        <f t="shared" si="2"/>
        <v>RED</v>
      </c>
      <c r="G16" s="55" t="str">
        <f t="shared" si="3"/>
        <v>Immediate action required</v>
      </c>
      <c r="H16" s="55" t="s">
        <v>581</v>
      </c>
      <c r="I16" s="50"/>
      <c r="J16" s="55" t="str">
        <f>Summary!A18</f>
        <v>Sepsis</v>
      </c>
      <c r="K16" s="57">
        <f>Summary!B18</f>
        <v>8.3333333333333329E-2</v>
      </c>
      <c r="L16" s="55" t="str">
        <f>Summary!C18</f>
        <v>3/12</v>
      </c>
      <c r="M16" s="55">
        <f>Summary!D18</f>
        <v>0</v>
      </c>
    </row>
    <row r="17" spans="1:13" ht="22" customHeight="1" x14ac:dyDescent="0.35">
      <c r="A17" s="55" t="s">
        <v>435</v>
      </c>
      <c r="B17" s="55" t="s">
        <v>461</v>
      </c>
      <c r="C17" s="55">
        <f>SUMPRODUCT(--((((Matrix!$AE$3:$AE$14&lt;&gt;"")*(Matrix!$AE$3:$AE$14&lt;&gt;"NS")*(Matrix!$AE$3:$AE$14&lt;&gt;"IP")*(Matrix!$AE$3:$AE$14&lt;&gt;"Failed")) + ((Matrix!$BP$3:$BP$14&lt;&gt;"")*(Matrix!$BP$3:$BP$14&lt;&gt;"NS")*(Matrix!$BP$3:$BP$14&lt;&gt;"IP")*(Matrix!$BP$3:$BP$14&lt;&gt;"Failed")))&gt;0))</f>
        <v>9</v>
      </c>
      <c r="D17" s="55">
        <f t="shared" si="0"/>
        <v>12</v>
      </c>
      <c r="E17" s="57">
        <f t="shared" si="1"/>
        <v>0.75</v>
      </c>
      <c r="F17" s="55" t="str">
        <f t="shared" si="2"/>
        <v>RED</v>
      </c>
      <c r="G17" s="55" t="str">
        <f t="shared" si="3"/>
        <v>Immediate action required</v>
      </c>
      <c r="H17" s="55" t="s">
        <v>581</v>
      </c>
      <c r="I17" s="50"/>
      <c r="J17" s="50"/>
      <c r="K17" s="50"/>
      <c r="L17" s="50"/>
      <c r="M17" s="50"/>
    </row>
    <row r="18" spans="1:13" ht="22" customHeight="1" x14ac:dyDescent="0.35">
      <c r="A18" s="52" t="s">
        <v>513</v>
      </c>
      <c r="B18" s="52" t="s">
        <v>102</v>
      </c>
      <c r="C18" s="52">
        <f>SUMPRODUCT(--((((Matrix!$AP$3:$AP$14&lt;&gt;"")*(Matrix!$AP$3:$AP$14&lt;&gt;"NS")*(Matrix!$AP$3:$AP$14&lt;&gt;"IP")*(Matrix!$AP$3:$AP$14&lt;&gt;"Failed")))&gt;0))</f>
        <v>9</v>
      </c>
      <c r="D18" s="52">
        <f t="shared" si="0"/>
        <v>12</v>
      </c>
      <c r="E18" s="58">
        <f t="shared" si="1"/>
        <v>0.75</v>
      </c>
      <c r="F18" s="52" t="str">
        <f t="shared" si="2"/>
        <v>RED</v>
      </c>
      <c r="G18" s="52" t="str">
        <f t="shared" si="3"/>
        <v>Immediate action required</v>
      </c>
      <c r="H18" s="52" t="s">
        <v>581</v>
      </c>
      <c r="I18" s="54"/>
      <c r="J18" s="54"/>
      <c r="K18" s="54"/>
      <c r="L18" s="54"/>
      <c r="M18" s="50"/>
    </row>
    <row r="19" spans="1:13" ht="22" customHeight="1" x14ac:dyDescent="0.35">
      <c r="A19" s="52" t="s">
        <v>129</v>
      </c>
      <c r="B19" s="52" t="s">
        <v>129</v>
      </c>
      <c r="C19" s="52">
        <f>SUMPRODUCT(--((((Matrix!$X$3:$X$14&lt;&gt;"")*(Matrix!$X$3:$X$14&lt;&gt;"NS")*(Matrix!$X$3:$X$14&lt;&gt;"IP")*(Matrix!$X$3:$X$14&lt;&gt;"Failed")))&gt;0))</f>
        <v>3</v>
      </c>
      <c r="D19" s="52">
        <f t="shared" si="0"/>
        <v>12</v>
      </c>
      <c r="E19" s="58">
        <f t="shared" si="1"/>
        <v>0.25</v>
      </c>
      <c r="F19" s="52" t="str">
        <f t="shared" si="2"/>
        <v>RED</v>
      </c>
      <c r="G19" s="52" t="str">
        <f t="shared" si="3"/>
        <v>Immediate action required</v>
      </c>
      <c r="H19" s="52" t="s">
        <v>581</v>
      </c>
      <c r="I19" s="54"/>
      <c r="J19" s="54"/>
      <c r="K19" s="54"/>
      <c r="L19" s="54"/>
      <c r="M19" s="50"/>
    </row>
    <row r="20" spans="1:13" ht="22" customHeight="1" x14ac:dyDescent="0.35">
      <c r="A20" s="55" t="s">
        <v>441</v>
      </c>
      <c r="B20" s="55" t="s">
        <v>468</v>
      </c>
      <c r="C20" s="55">
        <f>SUMPRODUCT(--((((Matrix!$R$3:$R$14&lt;&gt;"")*(Matrix!$R$3:$R$14&lt;&gt;"NS")*(Matrix!$R$3:$R$14&lt;&gt;"IP")*(Matrix!$R$3:$R$14&lt;&gt;"Failed")) + ((Matrix!$CH$3:$CH$14&lt;&gt;"")*(Matrix!$CH$3:$CH$14&lt;&gt;"NS")*(Matrix!$CH$3:$CH$14&lt;&gt;"IP")*(Matrix!$CH$3:$CH$14&lt;&gt;"Failed")))&gt;0))</f>
        <v>11</v>
      </c>
      <c r="D20" s="55">
        <f t="shared" si="0"/>
        <v>12</v>
      </c>
      <c r="E20" s="57">
        <f t="shared" si="1"/>
        <v>0.91666666666666663</v>
      </c>
      <c r="F20" s="55" t="str">
        <f t="shared" si="2"/>
        <v>AMBER</v>
      </c>
      <c r="G20" s="55" t="str">
        <f t="shared" si="3"/>
        <v>Book refresher / check gaps</v>
      </c>
      <c r="H20" s="55" t="s">
        <v>581</v>
      </c>
      <c r="I20" s="50"/>
      <c r="J20" s="50"/>
      <c r="K20" s="50"/>
      <c r="L20" s="50"/>
      <c r="M20" s="50"/>
    </row>
    <row r="21" spans="1:13" ht="22" customHeight="1" x14ac:dyDescent="0.35">
      <c r="A21" s="55" t="s">
        <v>448</v>
      </c>
      <c r="B21" s="55" t="s">
        <v>585</v>
      </c>
      <c r="C21" s="55">
        <f>0</f>
        <v>0</v>
      </c>
      <c r="D21" s="55">
        <f t="shared" si="0"/>
        <v>12</v>
      </c>
      <c r="E21" s="57">
        <f t="shared" si="1"/>
        <v>0</v>
      </c>
      <c r="F21" s="55" t="str">
        <f t="shared" si="2"/>
        <v>RED</v>
      </c>
      <c r="G21" s="55" t="str">
        <f t="shared" si="3"/>
        <v>Immediate action required</v>
      </c>
      <c r="H21" s="55" t="s">
        <v>581</v>
      </c>
      <c r="I21" s="50"/>
      <c r="J21" s="50"/>
      <c r="K21" s="50"/>
      <c r="L21" s="50"/>
      <c r="M21" s="50"/>
    </row>
    <row r="22" spans="1:13" ht="22" customHeight="1" x14ac:dyDescent="0.35">
      <c r="A22" s="55" t="s">
        <v>101</v>
      </c>
      <c r="B22" s="55" t="s">
        <v>465</v>
      </c>
      <c r="C22" s="55">
        <f>SUMPRODUCT(--((((Matrix!$Q$3:$Q$14&lt;&gt;"")*(Matrix!$Q$3:$Q$14&lt;&gt;"NS")*(Matrix!$Q$3:$Q$14&lt;&gt;"IP")*(Matrix!$Q$3:$Q$14&lt;&gt;"Failed")) + ((Matrix!$BQ$3:$BQ$14&lt;&gt;"")*(Matrix!$BQ$3:$BQ$14&lt;&gt;"NS")*(Matrix!$BQ$3:$BQ$14&lt;&gt;"IP")*(Matrix!$BQ$3:$BQ$14&lt;&gt;"Failed")) + ((Matrix!$CY$3:$CY$14&lt;&gt;"")*(Matrix!$CY$3:$CY$14&lt;&gt;"NS")*(Matrix!$CY$3:$CY$14&lt;&gt;"IP")*(Matrix!$CY$3:$CY$14&lt;&gt;"Failed")))&gt;0))</f>
        <v>11</v>
      </c>
      <c r="D22" s="55">
        <f t="shared" si="0"/>
        <v>12</v>
      </c>
      <c r="E22" s="57">
        <f t="shared" si="1"/>
        <v>0.91666666666666663</v>
      </c>
      <c r="F22" s="55" t="str">
        <f t="shared" si="2"/>
        <v>AMBER</v>
      </c>
      <c r="G22" s="55" t="str">
        <f t="shared" si="3"/>
        <v>Book refresher / check gaps</v>
      </c>
      <c r="H22" s="55" t="s">
        <v>581</v>
      </c>
      <c r="I22" s="50"/>
      <c r="J22" s="50"/>
      <c r="K22" s="50"/>
      <c r="L22" s="50"/>
      <c r="M22" s="50"/>
    </row>
    <row r="23" spans="1:13" ht="22" customHeight="1" x14ac:dyDescent="0.35">
      <c r="A23" s="55" t="s">
        <v>114</v>
      </c>
      <c r="B23" s="55" t="s">
        <v>114</v>
      </c>
      <c r="C23" s="55">
        <f>SUMPRODUCT(--((((Matrix!$G$3:$G$14&lt;&gt;"")*(Matrix!$G$3:$G$14&lt;&gt;"NS")*(Matrix!$G$3:$G$14&lt;&gt;"IP")*(Matrix!$G$3:$G$14&lt;&gt;"Failed")))&gt;0))</f>
        <v>7</v>
      </c>
      <c r="D23" s="55">
        <f t="shared" si="0"/>
        <v>12</v>
      </c>
      <c r="E23" s="57">
        <f t="shared" si="1"/>
        <v>0.58333333333333337</v>
      </c>
      <c r="F23" s="55" t="str">
        <f t="shared" si="2"/>
        <v>RED</v>
      </c>
      <c r="G23" s="55" t="str">
        <f t="shared" si="3"/>
        <v>Immediate action required</v>
      </c>
      <c r="H23" s="55" t="s">
        <v>581</v>
      </c>
      <c r="I23" s="50"/>
      <c r="J23" s="50"/>
      <c r="K23" s="50"/>
      <c r="L23" s="50"/>
      <c r="M23" s="50"/>
    </row>
    <row r="24" spans="1:13" ht="22" customHeight="1" x14ac:dyDescent="0.35">
      <c r="A24" s="55" t="s">
        <v>515</v>
      </c>
      <c r="B24" s="55" t="s">
        <v>113</v>
      </c>
      <c r="C24" s="55">
        <f>SUMPRODUCT(--((((Matrix!$F$3:$F$14&lt;&gt;"")*(Matrix!$F$3:$F$14&lt;&gt;"NS")*(Matrix!$F$3:$F$14&lt;&gt;"IP")*(Matrix!$F$3:$F$14&lt;&gt;"Failed")))&gt;0))</f>
        <v>7</v>
      </c>
      <c r="D24" s="55">
        <f t="shared" si="0"/>
        <v>12</v>
      </c>
      <c r="E24" s="57">
        <f t="shared" si="1"/>
        <v>0.58333333333333337</v>
      </c>
      <c r="F24" s="55" t="str">
        <f t="shared" si="2"/>
        <v>RED</v>
      </c>
      <c r="G24" s="55" t="str">
        <f t="shared" si="3"/>
        <v>Immediate action required</v>
      </c>
      <c r="H24" s="55" t="s">
        <v>581</v>
      </c>
      <c r="I24" s="50"/>
      <c r="J24" s="50"/>
      <c r="K24" s="50"/>
      <c r="L24" s="50"/>
      <c r="M24" s="50"/>
    </row>
    <row r="25" spans="1:13" ht="22" customHeight="1" x14ac:dyDescent="0.35">
      <c r="A25" s="52" t="s">
        <v>586</v>
      </c>
      <c r="B25" s="52" t="s">
        <v>470</v>
      </c>
      <c r="C25" s="52">
        <f>SUMPRODUCT(--((((Matrix!$D$3:$D$14&lt;&gt;"")*(Matrix!$D$3:$D$14&lt;&gt;"NS")*(Matrix!$D$3:$D$14&lt;&gt;"IP")*(Matrix!$D$3:$D$14&lt;&gt;"Failed")) + ((Matrix!$S$3:$S$14&lt;&gt;"")*(Matrix!$S$3:$S$14&lt;&gt;"NS")*(Matrix!$S$3:$S$14&lt;&gt;"IP")*(Matrix!$S$3:$S$14&lt;&gt;"Failed")))&gt;0))</f>
        <v>8</v>
      </c>
      <c r="D25" s="52">
        <f t="shared" si="0"/>
        <v>12</v>
      </c>
      <c r="E25" s="58">
        <f t="shared" si="1"/>
        <v>0.66666666666666663</v>
      </c>
      <c r="F25" s="52" t="str">
        <f t="shared" si="2"/>
        <v>RED</v>
      </c>
      <c r="G25" s="52" t="str">
        <f t="shared" si="3"/>
        <v>Immediate action required</v>
      </c>
      <c r="H25" s="52" t="s">
        <v>581</v>
      </c>
      <c r="I25" s="54"/>
      <c r="J25" s="54"/>
      <c r="K25" s="54"/>
      <c r="L25" s="54"/>
      <c r="M25" s="50"/>
    </row>
    <row r="26" spans="1:13" ht="22" customHeight="1" x14ac:dyDescent="0.35">
      <c r="A26" s="55" t="s">
        <v>587</v>
      </c>
      <c r="B26" s="55" t="s">
        <v>463</v>
      </c>
      <c r="C26" s="55">
        <f>SUMPRODUCT(--((((Matrix!$H$3:$H$14&lt;&gt;"")*(Matrix!$H$3:$H$14&lt;&gt;"NS")*(Matrix!$H$3:$H$14&lt;&gt;"IP")*(Matrix!$H$3:$H$14&lt;&gt;"Failed")) + ((Matrix!$DB$3:$DB$14&lt;&gt;"")*(Matrix!$DB$3:$DB$14&lt;&gt;"NS")*(Matrix!$DB$3:$DB$14&lt;&gt;"IP")*(Matrix!$DB$3:$DB$14&lt;&gt;"Failed")))&gt;0))</f>
        <v>10</v>
      </c>
      <c r="D26" s="55">
        <f t="shared" si="0"/>
        <v>12</v>
      </c>
      <c r="E26" s="57">
        <f t="shared" si="1"/>
        <v>0.83333333333333337</v>
      </c>
      <c r="F26" s="55" t="str">
        <f t="shared" si="2"/>
        <v>RED</v>
      </c>
      <c r="G26" s="55" t="str">
        <f t="shared" si="3"/>
        <v>Immediate action required</v>
      </c>
      <c r="H26" s="55" t="s">
        <v>581</v>
      </c>
      <c r="I26" s="50"/>
      <c r="J26" s="50"/>
      <c r="K26" s="50"/>
      <c r="L26" s="50"/>
      <c r="M26" s="50"/>
    </row>
    <row r="27" spans="1:13" ht="22" customHeight="1" x14ac:dyDescent="0.35">
      <c r="A27" s="55" t="s">
        <v>588</v>
      </c>
      <c r="B27" s="55" t="s">
        <v>589</v>
      </c>
      <c r="C27" s="55">
        <f>SUMPRODUCT(--((((Matrix!$C$3:$C$14&lt;&gt;"")*(Matrix!$C$3:$C$14&lt;&gt;"NS")*(Matrix!$C$3:$C$14&lt;&gt;"IP")*(Matrix!$C$3:$C$14&lt;&gt;"Failed")) + ((Matrix!$DF$3:$DF$14&lt;&gt;"")*(Matrix!$DF$3:$DF$14&lt;&gt;"NS")*(Matrix!$DF$3:$DF$14&lt;&gt;"IP")*(Matrix!$DF$3:$DF$14&lt;&gt;"Failed")) + ((Matrix!$Y$3:$Y$14&lt;&gt;"")*(Matrix!$Y$3:$Y$14&lt;&gt;"NS")*(Matrix!$Y$3:$Y$14&lt;&gt;"IP")*(Matrix!$Y$3:$Y$14&lt;&gt;"Failed")))&gt;0))</f>
        <v>10</v>
      </c>
      <c r="D27" s="55">
        <f t="shared" si="0"/>
        <v>12</v>
      </c>
      <c r="E27" s="57">
        <f t="shared" si="1"/>
        <v>0.83333333333333337</v>
      </c>
      <c r="F27" s="55" t="str">
        <f t="shared" si="2"/>
        <v>RED</v>
      </c>
      <c r="G27" s="55" t="str">
        <f t="shared" si="3"/>
        <v>Immediate action required</v>
      </c>
      <c r="H27" s="55" t="s">
        <v>581</v>
      </c>
      <c r="I27" s="50"/>
      <c r="J27" s="50"/>
      <c r="K27" s="50"/>
      <c r="L27" s="50"/>
      <c r="M27" s="50"/>
    </row>
    <row r="28" spans="1:13" ht="22" customHeight="1" x14ac:dyDescent="0.35">
      <c r="A28" s="55" t="s">
        <v>520</v>
      </c>
      <c r="B28" s="55" t="s">
        <v>590</v>
      </c>
      <c r="C28" s="55">
        <f>SUMPRODUCT(--((((Matrix!$AR$3:$AR$14&lt;&gt;"")*(Matrix!$AR$3:$AR$14&lt;&gt;"NS")*(Matrix!$AR$3:$AR$14&lt;&gt;"IP")*(Matrix!$AR$3:$AR$14&lt;&gt;"Failed")) + ((Matrix!$AS$3:$AS$14&lt;&gt;"")*(Matrix!$AS$3:$AS$14&lt;&gt;"NS")*(Matrix!$AS$3:$AS$14&lt;&gt;"IP")*(Matrix!$AS$3:$AS$14&lt;&gt;"Failed")))&gt;0))</f>
        <v>2</v>
      </c>
      <c r="D28" s="55">
        <f t="shared" si="0"/>
        <v>12</v>
      </c>
      <c r="E28" s="57">
        <f t="shared" si="1"/>
        <v>0.16666666666666666</v>
      </c>
      <c r="F28" s="55" t="str">
        <f t="shared" si="2"/>
        <v>RED</v>
      </c>
      <c r="G28" s="55" t="str">
        <f t="shared" si="3"/>
        <v>Immediate action required</v>
      </c>
      <c r="H28" s="55" t="s">
        <v>581</v>
      </c>
      <c r="I28" s="50"/>
      <c r="J28" s="50"/>
      <c r="K28" s="50"/>
      <c r="L28" s="50"/>
      <c r="M28" s="50"/>
    </row>
    <row r="29" spans="1:13" ht="22" customHeight="1" x14ac:dyDescent="0.35">
      <c r="A29" s="55" t="s">
        <v>97</v>
      </c>
      <c r="B29" s="55" t="s">
        <v>458</v>
      </c>
      <c r="C29" s="55">
        <f>SUMPRODUCT(--((((Matrix!$AK$3:$AK$14&lt;&gt;"")*(Matrix!$AK$3:$AK$14&lt;&gt;"NS")*(Matrix!$AK$3:$AK$14&lt;&gt;"IP")*(Matrix!$AK$3:$AK$14&lt;&gt;"Failed")) + ((Matrix!$BS$3:$BS$14&lt;&gt;"")*(Matrix!$BS$3:$BS$14&lt;&gt;"NS")*(Matrix!$BS$3:$BS$14&lt;&gt;"IP")*(Matrix!$BS$3:$BS$14&lt;&gt;"Failed")) + ((Matrix!$CP$3:$CP$14&lt;&gt;"")*(Matrix!$CP$3:$CP$14&lt;&gt;"NS")*(Matrix!$CP$3:$CP$14&lt;&gt;"IP")*(Matrix!$CP$3:$CP$14&lt;&gt;"Failed")))&gt;0))</f>
        <v>9</v>
      </c>
      <c r="D29" s="55">
        <f t="shared" si="0"/>
        <v>12</v>
      </c>
      <c r="E29" s="57">
        <f t="shared" si="1"/>
        <v>0.75</v>
      </c>
      <c r="F29" s="55" t="str">
        <f t="shared" si="2"/>
        <v>RED</v>
      </c>
      <c r="G29" s="55" t="str">
        <f t="shared" si="3"/>
        <v>Immediate action required</v>
      </c>
      <c r="H29" s="55" t="s">
        <v>581</v>
      </c>
      <c r="I29" s="50"/>
      <c r="J29" s="50"/>
      <c r="K29" s="50"/>
      <c r="L29" s="50"/>
      <c r="M29" s="50"/>
    </row>
    <row r="30" spans="1:13" ht="22" customHeight="1" x14ac:dyDescent="0.35">
      <c r="A30" s="52" t="s">
        <v>591</v>
      </c>
      <c r="B30" s="52" t="s">
        <v>152</v>
      </c>
      <c r="C30" s="52">
        <f>SUMPRODUCT(--((((Matrix!$AY$3:$AY$14&lt;&gt;"")*(Matrix!$AY$3:$AY$14&lt;&gt;"NS")*(Matrix!$AY$3:$AY$14&lt;&gt;"IP")*(Matrix!$AY$3:$AY$14&lt;&gt;"Failed")))&gt;0))</f>
        <v>2</v>
      </c>
      <c r="D30" s="52">
        <f t="shared" si="0"/>
        <v>12</v>
      </c>
      <c r="E30" s="58">
        <f t="shared" si="1"/>
        <v>0.16666666666666666</v>
      </c>
      <c r="F30" s="52" t="str">
        <f t="shared" si="2"/>
        <v>RED</v>
      </c>
      <c r="G30" s="52" t="str">
        <f t="shared" si="3"/>
        <v>Immediate action required</v>
      </c>
      <c r="H30" s="52" t="s">
        <v>581</v>
      </c>
      <c r="I30" s="54"/>
      <c r="J30" s="54"/>
      <c r="K30" s="54"/>
      <c r="L30" s="54"/>
      <c r="M30" s="50"/>
    </row>
    <row r="31" spans="1:13" ht="22" customHeight="1" x14ac:dyDescent="0.35">
      <c r="A31" s="55" t="s">
        <v>522</v>
      </c>
      <c r="B31" s="55" t="s">
        <v>585</v>
      </c>
      <c r="C31" s="55">
        <f>0</f>
        <v>0</v>
      </c>
      <c r="D31" s="55">
        <f t="shared" si="0"/>
        <v>12</v>
      </c>
      <c r="E31" s="57">
        <f t="shared" si="1"/>
        <v>0</v>
      </c>
      <c r="F31" s="55" t="str">
        <f t="shared" si="2"/>
        <v>RED</v>
      </c>
      <c r="G31" s="55" t="str">
        <f t="shared" si="3"/>
        <v>Immediate action required</v>
      </c>
      <c r="H31" s="55" t="s">
        <v>581</v>
      </c>
      <c r="I31" s="50"/>
      <c r="J31" s="50"/>
      <c r="K31" s="50"/>
      <c r="L31" s="50"/>
      <c r="M31" s="50"/>
    </row>
    <row r="32" spans="1:13" ht="22" customHeight="1" x14ac:dyDescent="0.35">
      <c r="A32" s="55" t="s">
        <v>104</v>
      </c>
      <c r="B32" s="55" t="s">
        <v>471</v>
      </c>
      <c r="C32" s="55">
        <f>SUMPRODUCT(--((((Matrix!$DG$3:$DG$14&lt;&gt;"")*(Matrix!$DG$3:$DG$14&lt;&gt;"NS")*(Matrix!$DG$3:$DG$14&lt;&gt;"IP")*(Matrix!$DG$3:$DG$14&lt;&gt;"Failed")) + ((Matrix!$CU$3:$CU$14&lt;&gt;"")*(Matrix!$CU$3:$CU$14&lt;&gt;"NS")*(Matrix!$CU$3:$CU$14&lt;&gt;"IP")*(Matrix!$CU$3:$CU$14&lt;&gt;"Failed")))&gt;0))</f>
        <v>3</v>
      </c>
      <c r="D32" s="55">
        <f t="shared" si="0"/>
        <v>12</v>
      </c>
      <c r="E32" s="57">
        <f t="shared" si="1"/>
        <v>0.25</v>
      </c>
      <c r="F32" s="55" t="str">
        <f t="shared" si="2"/>
        <v>RED</v>
      </c>
      <c r="G32" s="55" t="str">
        <f t="shared" si="3"/>
        <v>Immediate action required</v>
      </c>
      <c r="H32" s="55" t="s">
        <v>581</v>
      </c>
      <c r="I32" s="50"/>
      <c r="J32" s="50"/>
      <c r="K32" s="50"/>
      <c r="L32" s="50"/>
      <c r="M32" s="50"/>
    </row>
    <row r="33" spans="1:13" ht="22" customHeight="1" x14ac:dyDescent="0.35">
      <c r="A33" s="55" t="s">
        <v>132</v>
      </c>
      <c r="B33" s="55" t="s">
        <v>132</v>
      </c>
      <c r="C33" s="55">
        <f>SUMPRODUCT(--((((Matrix!$AA$3:$AA$14&lt;&gt;"")*(Matrix!$AA$3:$AA$14&lt;&gt;"NS")*(Matrix!$AA$3:$AA$14&lt;&gt;"IP")*(Matrix!$AA$3:$AA$14&lt;&gt;"Failed")))&gt;0))</f>
        <v>2</v>
      </c>
      <c r="D33" s="55">
        <f t="shared" si="0"/>
        <v>12</v>
      </c>
      <c r="E33" s="57">
        <f t="shared" si="1"/>
        <v>0.16666666666666666</v>
      </c>
      <c r="F33" s="55" t="str">
        <f t="shared" si="2"/>
        <v>RED</v>
      </c>
      <c r="G33" s="55" t="str">
        <f t="shared" si="3"/>
        <v>Immediate action required</v>
      </c>
      <c r="H33" s="55" t="s">
        <v>581</v>
      </c>
      <c r="I33" s="50"/>
      <c r="J33" s="50"/>
      <c r="K33" s="50"/>
      <c r="L33" s="50"/>
      <c r="M33" s="50"/>
    </row>
    <row r="34" spans="1:13" ht="22" customHeight="1" x14ac:dyDescent="0.35">
      <c r="A34" s="55" t="s">
        <v>442</v>
      </c>
      <c r="B34" s="55" t="s">
        <v>592</v>
      </c>
      <c r="C34" s="55">
        <f>SUMPRODUCT(--((((Matrix!$AI$3:$AI$14&lt;&gt;"")*(Matrix!$AI$3:$AI$14&lt;&gt;"NS")*(Matrix!$AI$3:$AI$14&lt;&gt;"IP")*(Matrix!$AI$3:$AI$14&lt;&gt;"Failed")) + ((Matrix!$BK$3:$BK$14&lt;&gt;"")*(Matrix!$BK$3:$BK$14&lt;&gt;"NS")*(Matrix!$BK$3:$BK$14&lt;&gt;"IP")*(Matrix!$BK$3:$BK$14&lt;&gt;"Failed")))&gt;0))</f>
        <v>3</v>
      </c>
      <c r="D34" s="55">
        <f t="shared" si="0"/>
        <v>12</v>
      </c>
      <c r="E34" s="57">
        <f t="shared" si="1"/>
        <v>0.25</v>
      </c>
      <c r="F34" s="55" t="str">
        <f t="shared" si="2"/>
        <v>RED</v>
      </c>
      <c r="G34" s="55" t="str">
        <f t="shared" si="3"/>
        <v>Immediate action required</v>
      </c>
      <c r="H34" s="55" t="s">
        <v>581</v>
      </c>
      <c r="I34" s="50"/>
      <c r="J34" s="50"/>
      <c r="K34" s="50"/>
      <c r="L34" s="50"/>
      <c r="M34" s="50"/>
    </row>
    <row r="35" spans="1:13" ht="22" customHeight="1" x14ac:dyDescent="0.35">
      <c r="A35" s="55" t="s">
        <v>135</v>
      </c>
      <c r="B35" s="55" t="s">
        <v>135</v>
      </c>
      <c r="C35" s="55">
        <f>SUMPRODUCT(--((((Matrix!$AF$3:$AF$14&lt;&gt;"")*(Matrix!$AF$3:$AF$14&lt;&gt;"NS")*(Matrix!$AF$3:$AF$14&lt;&gt;"IP")*(Matrix!$AF$3:$AF$14&lt;&gt;"Failed")))&gt;0))</f>
        <v>5</v>
      </c>
      <c r="D35" s="55">
        <f t="shared" si="0"/>
        <v>12</v>
      </c>
      <c r="E35" s="57">
        <f t="shared" si="1"/>
        <v>0.41666666666666669</v>
      </c>
      <c r="F35" s="55" t="str">
        <f t="shared" si="2"/>
        <v>RED</v>
      </c>
      <c r="G35" s="55" t="str">
        <f t="shared" si="3"/>
        <v>Immediate action required</v>
      </c>
      <c r="H35" s="55" t="s">
        <v>581</v>
      </c>
      <c r="I35" s="50"/>
      <c r="J35" s="50"/>
      <c r="K35" s="50"/>
      <c r="L35" s="50"/>
      <c r="M35" s="50"/>
    </row>
    <row r="36" spans="1:13" ht="22" customHeight="1" x14ac:dyDescent="0.35">
      <c r="A36" s="55" t="s">
        <v>593</v>
      </c>
      <c r="B36" s="55" t="s">
        <v>594</v>
      </c>
      <c r="C36" s="55">
        <f>SUMPRODUCT(--((((Matrix!$AH$3:$AH$14&lt;&gt;"")*(Matrix!$AH$3:$AH$14&lt;&gt;"NS")*(Matrix!$AH$3:$AH$14&lt;&gt;"IP")*(Matrix!$AH$3:$AH$14&lt;&gt;"Failed")) + ((Matrix!$DE$3:$DE$14&lt;&gt;"")*(Matrix!$DE$3:$DE$14&lt;&gt;"NS")*(Matrix!$DE$3:$DE$14&lt;&gt;"IP")*(Matrix!$DE$3:$DE$14&lt;&gt;"Failed")) + ((Matrix!$AD$3:$AD$14&lt;&gt;"")*(Matrix!$AD$3:$AD$14&lt;&gt;"NS")*(Matrix!$AD$3:$AD$14&lt;&gt;"IP")*(Matrix!$AD$3:$AD$14&lt;&gt;"Failed")) + ((Matrix!$K$3:$K$14&lt;&gt;"")*(Matrix!$K$3:$K$14&lt;&gt;"NS")*(Matrix!$K$3:$K$14&lt;&gt;"IP")*(Matrix!$K$3:$K$14&lt;&gt;"Failed")) + ((Matrix!$U$3:$U$14&lt;&gt;"")*(Matrix!$U$3:$U$14&lt;&gt;"NS")*(Matrix!$U$3:$U$14&lt;&gt;"IP")*(Matrix!$U$3:$U$14&lt;&gt;"Failed")))&gt;0))</f>
        <v>11</v>
      </c>
      <c r="D36" s="55">
        <f t="shared" si="0"/>
        <v>12</v>
      </c>
      <c r="E36" s="57">
        <f t="shared" si="1"/>
        <v>0.91666666666666663</v>
      </c>
      <c r="F36" s="55" t="str">
        <f t="shared" si="2"/>
        <v>AMBER</v>
      </c>
      <c r="G36" s="55" t="str">
        <f t="shared" si="3"/>
        <v>Book refresher / check gaps</v>
      </c>
      <c r="H36" s="55" t="s">
        <v>581</v>
      </c>
      <c r="I36" s="50"/>
      <c r="J36" s="50"/>
      <c r="K36" s="50"/>
      <c r="L36" s="50"/>
      <c r="M36" s="50"/>
    </row>
    <row r="37" spans="1:13" ht="22" customHeight="1" x14ac:dyDescent="0.35">
      <c r="A37" s="55" t="s">
        <v>128</v>
      </c>
      <c r="B37" s="55" t="s">
        <v>128</v>
      </c>
      <c r="C37" s="55">
        <f>SUMPRODUCT(--((((Matrix!$W$3:$W$14&lt;&gt;"")*(Matrix!$W$3:$W$14&lt;&gt;"NS")*(Matrix!$W$3:$W$14&lt;&gt;"IP")*(Matrix!$W$3:$W$14&lt;&gt;"Failed")))&gt;0))</f>
        <v>8</v>
      </c>
      <c r="D37" s="55">
        <f t="shared" si="0"/>
        <v>12</v>
      </c>
      <c r="E37" s="57">
        <f t="shared" si="1"/>
        <v>0.66666666666666663</v>
      </c>
      <c r="F37" s="55" t="str">
        <f t="shared" si="2"/>
        <v>RED</v>
      </c>
      <c r="G37" s="55" t="str">
        <f t="shared" si="3"/>
        <v>Immediate action required</v>
      </c>
      <c r="H37" s="55" t="s">
        <v>581</v>
      </c>
      <c r="I37" s="50"/>
      <c r="J37" s="50"/>
      <c r="K37" s="50"/>
      <c r="L37" s="50"/>
      <c r="M37" s="50"/>
    </row>
    <row r="38" spans="1:13" ht="22" customHeight="1" x14ac:dyDescent="0.35">
      <c r="A38" s="55" t="s">
        <v>556</v>
      </c>
      <c r="B38" s="55" t="s">
        <v>454</v>
      </c>
      <c r="C38" s="55">
        <f>SUMPRODUCT(--((((Matrix!$AB$3:$AB$14&lt;&gt;"")*(Matrix!$AB$3:$AB$14&lt;&gt;"NS")*(Matrix!$AB$3:$AB$14&lt;&gt;"IP")*(Matrix!$AB$3:$AB$14&lt;&gt;"Failed")) + ((Matrix!$CZ$3:$CZ$14&lt;&gt;"")*(Matrix!$CZ$3:$CZ$14&lt;&gt;"NS")*(Matrix!$CZ$3:$CZ$14&lt;&gt;"IP")*(Matrix!$CZ$3:$CZ$14&lt;&gt;"Failed")))&gt;0))</f>
        <v>10</v>
      </c>
      <c r="D38" s="55">
        <f t="shared" si="0"/>
        <v>12</v>
      </c>
      <c r="E38" s="57">
        <f t="shared" si="1"/>
        <v>0.83333333333333337</v>
      </c>
      <c r="F38" s="55" t="str">
        <f t="shared" si="2"/>
        <v>RED</v>
      </c>
      <c r="G38" s="55" t="str">
        <f t="shared" si="3"/>
        <v>Immediate action required</v>
      </c>
      <c r="H38" s="55" t="s">
        <v>581</v>
      </c>
      <c r="I38" s="50"/>
      <c r="J38" s="50"/>
      <c r="K38" s="50"/>
      <c r="L38" s="50"/>
      <c r="M38" s="50"/>
    </row>
    <row r="39" spans="1:13" ht="22" customHeight="1" x14ac:dyDescent="0.35">
      <c r="A39" s="55" t="s">
        <v>561</v>
      </c>
      <c r="B39" s="55" t="s">
        <v>457</v>
      </c>
      <c r="C39" s="55">
        <f>SUMPRODUCT(--((((Matrix!$BF$3:$BF$14&lt;&gt;"")*(Matrix!$BF$3:$BF$14&lt;&gt;"NS")*(Matrix!$BF$3:$BF$14&lt;&gt;"IP")*(Matrix!$BF$3:$BF$14&lt;&gt;"Failed")) + ((Matrix!$BJ$3:$BJ$14&lt;&gt;"")*(Matrix!$BJ$3:$BJ$14&lt;&gt;"NS")*(Matrix!$BJ$3:$BJ$14&lt;&gt;"IP")*(Matrix!$BJ$3:$BJ$14&lt;&gt;"Failed")) + ((Matrix!$BT$3:$BT$14&lt;&gt;"")*(Matrix!$BT$3:$BT$14&lt;&gt;"NS")*(Matrix!$BT$3:$BT$14&lt;&gt;"IP")*(Matrix!$BT$3:$BT$14&lt;&gt;"Failed")) + ((Matrix!$CW$3:$CW$14&lt;&gt;"")*(Matrix!$CW$3:$CW$14&lt;&gt;"NS")*(Matrix!$CW$3:$CW$14&lt;&gt;"IP")*(Matrix!$CW$3:$CW$14&lt;&gt;"Failed")))&gt;0))</f>
        <v>11</v>
      </c>
      <c r="D39" s="55">
        <f t="shared" si="0"/>
        <v>12</v>
      </c>
      <c r="E39" s="57">
        <f t="shared" si="1"/>
        <v>0.91666666666666663</v>
      </c>
      <c r="F39" s="55" t="str">
        <f t="shared" si="2"/>
        <v>AMBER</v>
      </c>
      <c r="G39" s="55" t="str">
        <f t="shared" si="3"/>
        <v>Book refresher / check gaps</v>
      </c>
      <c r="H39" s="55" t="s">
        <v>581</v>
      </c>
      <c r="I39" s="50"/>
      <c r="J39" s="50"/>
      <c r="K39" s="50"/>
      <c r="L39" s="50"/>
      <c r="M39" s="50"/>
    </row>
    <row r="40" spans="1:13" ht="22" customHeight="1" x14ac:dyDescent="0.35">
      <c r="A40" s="52" t="s">
        <v>565</v>
      </c>
      <c r="B40" s="52" t="s">
        <v>453</v>
      </c>
      <c r="C40" s="52">
        <f>SUMPRODUCT(--((((Matrix!$BU$3:$BU$14&lt;&gt;"")*(Matrix!$BU$3:$BU$14&lt;&gt;"NS")*(Matrix!$BU$3:$BU$14&lt;&gt;"IP")*(Matrix!$BU$3:$BU$14&lt;&gt;"Failed")) + ((Matrix!$BV$3:$BV$14&lt;&gt;"")*(Matrix!$BV$3:$BV$14&lt;&gt;"NS")*(Matrix!$BV$3:$BV$14&lt;&gt;"IP")*(Matrix!$BV$3:$BV$14&lt;&gt;"Failed")))&gt;0))</f>
        <v>5</v>
      </c>
      <c r="D40" s="52">
        <f t="shared" si="0"/>
        <v>12</v>
      </c>
      <c r="E40" s="58">
        <f t="shared" si="1"/>
        <v>0.41666666666666669</v>
      </c>
      <c r="F40" s="52" t="str">
        <f t="shared" si="2"/>
        <v>RED</v>
      </c>
      <c r="G40" s="52" t="str">
        <f t="shared" si="3"/>
        <v>Immediate action required</v>
      </c>
      <c r="H40" s="52" t="s">
        <v>581</v>
      </c>
      <c r="I40" s="54"/>
      <c r="J40" s="54"/>
      <c r="K40" s="54"/>
      <c r="L40" s="54"/>
      <c r="M40" s="50"/>
    </row>
    <row r="41" spans="1:13" ht="22" customHeight="1" x14ac:dyDescent="0.35">
      <c r="A41" s="55" t="s">
        <v>563</v>
      </c>
      <c r="B41" s="55" t="s">
        <v>455</v>
      </c>
      <c r="C41" s="55">
        <f>SUMPRODUCT(--((((Matrix!$BG$3:$BG$14&lt;&gt;"")*(Matrix!$BG$3:$BG$14&lt;&gt;"NS")*(Matrix!$BG$3:$BG$14&lt;&gt;"IP")*(Matrix!$BG$3:$BG$14&lt;&gt;"Failed")) + ((Matrix!$BH$3:$BH$14&lt;&gt;"")*(Matrix!$BH$3:$BH$14&lt;&gt;"NS")*(Matrix!$BH$3:$BH$14&lt;&gt;"IP")*(Matrix!$BH$3:$BH$14&lt;&gt;"Failed")) + ((Matrix!$DC$3:$DC$14&lt;&gt;"")*(Matrix!$DC$3:$DC$14&lt;&gt;"NS")*(Matrix!$DC$3:$DC$14&lt;&gt;"IP")*(Matrix!$DC$3:$DC$14&lt;&gt;"Failed")))&gt;0))</f>
        <v>11</v>
      </c>
      <c r="D41" s="55">
        <f t="shared" si="0"/>
        <v>12</v>
      </c>
      <c r="E41" s="57">
        <f t="shared" si="1"/>
        <v>0.91666666666666663</v>
      </c>
      <c r="F41" s="55" t="str">
        <f t="shared" si="2"/>
        <v>AMBER</v>
      </c>
      <c r="G41" s="55" t="str">
        <f t="shared" si="3"/>
        <v>Book refresher / check gaps</v>
      </c>
      <c r="H41" s="55" t="s">
        <v>581</v>
      </c>
      <c r="I41" s="50"/>
      <c r="J41" s="50"/>
      <c r="K41" s="50"/>
      <c r="L41" s="50"/>
      <c r="M41" s="50"/>
    </row>
    <row r="42" spans="1:13" ht="22" customHeight="1" x14ac:dyDescent="0.3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</row>
    <row r="43" spans="1:13" ht="22" customHeight="1" x14ac:dyDescent="0.3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</row>
    <row r="44" spans="1:13" ht="22" customHeight="1" x14ac:dyDescent="0.35">
      <c r="A44" s="163" t="s">
        <v>595</v>
      </c>
      <c r="B44" s="137"/>
      <c r="C44" s="137"/>
      <c r="D44" s="137"/>
      <c r="E44" s="137"/>
      <c r="F44" s="137"/>
      <c r="G44" s="137"/>
      <c r="H44" s="138"/>
      <c r="I44" s="50"/>
      <c r="J44" s="50"/>
      <c r="K44" s="50"/>
      <c r="L44" s="50"/>
      <c r="M44" s="50"/>
    </row>
    <row r="45" spans="1:13" ht="22" customHeight="1" x14ac:dyDescent="0.35">
      <c r="A45" s="164" t="s">
        <v>596</v>
      </c>
      <c r="B45" s="137"/>
      <c r="C45" s="137"/>
      <c r="D45" s="137"/>
      <c r="E45" s="137"/>
      <c r="F45" s="137"/>
      <c r="G45" s="137"/>
      <c r="H45" s="138"/>
      <c r="I45" s="50"/>
      <c r="J45" s="50"/>
      <c r="K45" s="50"/>
      <c r="L45" s="50"/>
      <c r="M45" s="50"/>
    </row>
  </sheetData>
  <mergeCells count="5">
    <mergeCell ref="A1:H1"/>
    <mergeCell ref="A2:H2"/>
    <mergeCell ref="A44:H44"/>
    <mergeCell ref="A45:H45"/>
    <mergeCell ref="J1:M1"/>
  </mergeCells>
  <conditionalFormatting sqref="E9:E41">
    <cfRule type="colorScale" priority="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F9:F41">
    <cfRule type="expression" dxfId="400" priority="1">
      <formula>F9="GREEN"</formula>
    </cfRule>
    <cfRule type="expression" dxfId="399" priority="2">
      <formula>F9="AMBER"</formula>
    </cfRule>
    <cfRule type="expression" dxfId="398" priority="3">
      <formula>F9="RED"</formula>
    </cfRule>
  </conditionalFormatting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644"/>
  <sheetViews>
    <sheetView workbookViewId="0"/>
  </sheetViews>
  <sheetFormatPr defaultRowHeight="14.5" x14ac:dyDescent="0.35"/>
  <cols>
    <col min="1" max="1" width="5" customWidth="1"/>
    <col min="2" max="2" width="46" customWidth="1"/>
    <col min="3" max="3" width="20" customWidth="1"/>
    <col min="4" max="4" width="30" customWidth="1"/>
    <col min="5" max="7" width="7" customWidth="1"/>
    <col min="8" max="8" width="13" customWidth="1"/>
    <col min="9" max="9" width="30" customWidth="1"/>
    <col min="10" max="10" width="26" customWidth="1"/>
    <col min="11" max="11" width="14" customWidth="1"/>
    <col min="12" max="12" width="13" customWidth="1"/>
    <col min="13" max="15" width="14" customWidth="1"/>
    <col min="16" max="16" width="16" customWidth="1"/>
    <col min="17" max="17" width="28" customWidth="1"/>
    <col min="18" max="18" width="40" customWidth="1"/>
    <col min="19" max="19" width="14" customWidth="1"/>
    <col min="20" max="20" width="12" customWidth="1"/>
  </cols>
  <sheetData>
    <row r="1" spans="1:20" ht="28" customHeight="1" x14ac:dyDescent="0.35">
      <c r="A1" s="145" t="s">
        <v>597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2"/>
    </row>
    <row r="2" spans="1:20" x14ac:dyDescent="0.35">
      <c r="A2" s="168" t="s">
        <v>598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2"/>
    </row>
    <row r="3" spans="1:20" x14ac:dyDescent="0.35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0" ht="29" customHeight="1" x14ac:dyDescent="0.35">
      <c r="A4" s="167" t="s">
        <v>599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2"/>
    </row>
    <row r="5" spans="1:20" ht="29" customHeight="1" x14ac:dyDescent="0.35">
      <c r="A5" s="108" t="s">
        <v>600</v>
      </c>
      <c r="B5" s="108"/>
      <c r="C5" s="108" t="s">
        <v>601</v>
      </c>
      <c r="D5" s="108"/>
      <c r="E5" s="108" t="s">
        <v>602</v>
      </c>
      <c r="F5" s="108"/>
      <c r="G5" s="108" t="s">
        <v>603</v>
      </c>
      <c r="H5" s="108"/>
      <c r="I5" s="108" t="s">
        <v>604</v>
      </c>
      <c r="J5" s="108"/>
      <c r="K5" s="108" t="s">
        <v>6</v>
      </c>
      <c r="L5" s="108"/>
      <c r="M5" s="108" t="s">
        <v>605</v>
      </c>
      <c r="N5" s="108"/>
      <c r="O5" s="108"/>
    </row>
    <row r="6" spans="1:20" ht="72.5" x14ac:dyDescent="0.35">
      <c r="A6" s="108" t="s">
        <v>606</v>
      </c>
      <c r="B6" s="108"/>
      <c r="C6" s="108" t="s">
        <v>607</v>
      </c>
      <c r="D6" s="108"/>
      <c r="E6" s="108" t="s">
        <v>608</v>
      </c>
      <c r="F6" s="108"/>
      <c r="G6" s="108" t="s">
        <v>609</v>
      </c>
      <c r="H6" s="108"/>
      <c r="I6" s="108" t="s">
        <v>610</v>
      </c>
      <c r="J6" s="109">
        <f>IFERROR(COUNTIF(E9:E47,"Yes")/(COUNTIF(E9:E47,"Yes")+COUNTIF(F9:F47,"No")),0)</f>
        <v>0</v>
      </c>
      <c r="K6" s="108"/>
      <c r="L6" s="108" t="str">
        <f>IF(J6&gt;=0.9,"Green",IF(J6&gt;=0.75,"Amber","Red"))</f>
        <v>Red</v>
      </c>
      <c r="M6" s="108"/>
      <c r="N6" s="108"/>
      <c r="O6" s="108"/>
    </row>
    <row r="7" spans="1:20" x14ac:dyDescent="0.35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</row>
    <row r="8" spans="1:20" ht="29" x14ac:dyDescent="0.35">
      <c r="A8" s="110" t="s">
        <v>611</v>
      </c>
      <c r="B8" s="110" t="s">
        <v>612</v>
      </c>
      <c r="C8" s="110" t="s">
        <v>613</v>
      </c>
      <c r="D8" s="110" t="s">
        <v>614</v>
      </c>
      <c r="E8" s="110" t="s">
        <v>81</v>
      </c>
      <c r="F8" s="110" t="s">
        <v>615</v>
      </c>
      <c r="G8" s="110" t="s">
        <v>616</v>
      </c>
      <c r="H8" s="110" t="s">
        <v>617</v>
      </c>
      <c r="I8" s="110" t="s">
        <v>618</v>
      </c>
      <c r="J8" s="110" t="s">
        <v>390</v>
      </c>
      <c r="K8" s="110" t="s">
        <v>351</v>
      </c>
      <c r="L8" s="110" t="s">
        <v>352</v>
      </c>
      <c r="M8" s="110" t="s">
        <v>292</v>
      </c>
      <c r="N8" s="110" t="s">
        <v>353</v>
      </c>
      <c r="O8" s="110" t="s">
        <v>619</v>
      </c>
    </row>
    <row r="9" spans="1:20" ht="29" customHeight="1" x14ac:dyDescent="0.35">
      <c r="A9" s="105" t="s">
        <v>620</v>
      </c>
      <c r="B9" s="105" t="s">
        <v>621</v>
      </c>
      <c r="C9" s="105" t="s">
        <v>622</v>
      </c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</row>
    <row r="10" spans="1:20" ht="29" customHeight="1" x14ac:dyDescent="0.35">
      <c r="A10" s="105" t="s">
        <v>623</v>
      </c>
      <c r="B10" s="105" t="s">
        <v>624</v>
      </c>
      <c r="C10" s="105" t="s">
        <v>622</v>
      </c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</row>
    <row r="11" spans="1:20" ht="29" x14ac:dyDescent="0.35">
      <c r="A11" s="105" t="s">
        <v>625</v>
      </c>
      <c r="B11" s="105" t="s">
        <v>626</v>
      </c>
      <c r="C11" s="105" t="s">
        <v>622</v>
      </c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</row>
    <row r="12" spans="1:20" ht="29" x14ac:dyDescent="0.35">
      <c r="A12" s="105" t="s">
        <v>627</v>
      </c>
      <c r="B12" s="105" t="s">
        <v>628</v>
      </c>
      <c r="C12" s="105" t="s">
        <v>622</v>
      </c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</row>
    <row r="13" spans="1:20" ht="29" x14ac:dyDescent="0.35">
      <c r="A13" s="105" t="s">
        <v>629</v>
      </c>
      <c r="B13" s="105" t="s">
        <v>630</v>
      </c>
      <c r="C13" s="105" t="s">
        <v>622</v>
      </c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</row>
    <row r="14" spans="1:20" ht="29" x14ac:dyDescent="0.35">
      <c r="A14" s="105" t="s">
        <v>631</v>
      </c>
      <c r="B14" s="105" t="s">
        <v>632</v>
      </c>
      <c r="C14" s="105" t="s">
        <v>622</v>
      </c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</row>
    <row r="15" spans="1:20" ht="29" x14ac:dyDescent="0.35">
      <c r="A15" s="105" t="s">
        <v>633</v>
      </c>
      <c r="B15" s="105" t="s">
        <v>634</v>
      </c>
      <c r="C15" s="105" t="s">
        <v>622</v>
      </c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</row>
    <row r="16" spans="1:20" ht="29" x14ac:dyDescent="0.35">
      <c r="A16" s="105" t="s">
        <v>635</v>
      </c>
      <c r="B16" s="105" t="s">
        <v>636</v>
      </c>
      <c r="C16" s="105" t="s">
        <v>622</v>
      </c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</row>
    <row r="17" spans="1:18" ht="29" x14ac:dyDescent="0.35">
      <c r="A17" s="105" t="s">
        <v>637</v>
      </c>
      <c r="B17" s="105" t="s">
        <v>638</v>
      </c>
      <c r="C17" s="105" t="s">
        <v>622</v>
      </c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</row>
    <row r="18" spans="1:18" ht="29" x14ac:dyDescent="0.35">
      <c r="A18" s="105" t="s">
        <v>639</v>
      </c>
      <c r="B18" s="105" t="s">
        <v>640</v>
      </c>
      <c r="C18" s="105" t="s">
        <v>622</v>
      </c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</row>
    <row r="19" spans="1:18" ht="29" x14ac:dyDescent="0.35">
      <c r="A19" s="105" t="s">
        <v>641</v>
      </c>
      <c r="B19" s="105" t="s">
        <v>642</v>
      </c>
      <c r="C19" s="105" t="s">
        <v>622</v>
      </c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</row>
    <row r="20" spans="1:18" ht="24" customHeight="1" x14ac:dyDescent="0.35">
      <c r="A20" s="169" t="s">
        <v>643</v>
      </c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2"/>
    </row>
    <row r="21" spans="1:18" ht="36" customHeight="1" x14ac:dyDescent="0.35">
      <c r="A21" s="169" t="s">
        <v>644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2"/>
    </row>
    <row r="22" spans="1:18" ht="32" customHeight="1" x14ac:dyDescent="0.35">
      <c r="A22" s="169" t="s">
        <v>645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2"/>
    </row>
    <row r="23" spans="1:18" ht="29" x14ac:dyDescent="0.35">
      <c r="A23" s="105" t="s">
        <v>646</v>
      </c>
      <c r="B23" s="105" t="s">
        <v>647</v>
      </c>
      <c r="C23" s="105" t="s">
        <v>648</v>
      </c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</row>
    <row r="24" spans="1:18" ht="32" customHeight="1" x14ac:dyDescent="0.35">
      <c r="A24" s="105" t="s">
        <v>649</v>
      </c>
      <c r="B24" s="105" t="s">
        <v>650</v>
      </c>
      <c r="C24" s="105" t="s">
        <v>622</v>
      </c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</row>
    <row r="25" spans="1:18" ht="29" customHeight="1" x14ac:dyDescent="0.35">
      <c r="A25" s="105" t="s">
        <v>651</v>
      </c>
      <c r="B25" s="105" t="s">
        <v>652</v>
      </c>
      <c r="C25" s="105" t="s">
        <v>648</v>
      </c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</row>
    <row r="26" spans="1:18" ht="29" customHeight="1" x14ac:dyDescent="0.35">
      <c r="A26" s="105" t="s">
        <v>653</v>
      </c>
      <c r="B26" s="105" t="s">
        <v>654</v>
      </c>
      <c r="C26" s="105" t="s">
        <v>622</v>
      </c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</row>
    <row r="27" spans="1:18" ht="29" customHeight="1" x14ac:dyDescent="0.35">
      <c r="A27" s="105" t="s">
        <v>655</v>
      </c>
      <c r="B27" s="105" t="s">
        <v>656</v>
      </c>
      <c r="C27" s="105" t="s">
        <v>657</v>
      </c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</row>
    <row r="28" spans="1:18" ht="29" customHeight="1" x14ac:dyDescent="0.35">
      <c r="A28" s="105" t="s">
        <v>658</v>
      </c>
      <c r="B28" s="105" t="s">
        <v>659</v>
      </c>
      <c r="C28" s="105" t="s">
        <v>622</v>
      </c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</row>
    <row r="29" spans="1:18" ht="29" customHeight="1" x14ac:dyDescent="0.35">
      <c r="A29" s="105" t="s">
        <v>660</v>
      </c>
      <c r="B29" s="105" t="s">
        <v>661</v>
      </c>
      <c r="C29" s="105" t="s">
        <v>622</v>
      </c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</row>
    <row r="30" spans="1:18" ht="29" customHeight="1" x14ac:dyDescent="0.35">
      <c r="A30" s="105" t="s">
        <v>662</v>
      </c>
      <c r="B30" s="105" t="s">
        <v>663</v>
      </c>
      <c r="C30" s="105" t="s">
        <v>622</v>
      </c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</row>
    <row r="31" spans="1:18" ht="29" customHeight="1" x14ac:dyDescent="0.35">
      <c r="A31" s="105" t="s">
        <v>664</v>
      </c>
      <c r="B31" s="105" t="s">
        <v>665</v>
      </c>
      <c r="C31" s="105" t="s">
        <v>622</v>
      </c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</row>
    <row r="32" spans="1:18" ht="29" customHeight="1" x14ac:dyDescent="0.35">
      <c r="A32" s="105" t="s">
        <v>666</v>
      </c>
      <c r="B32" s="105" t="s">
        <v>667</v>
      </c>
      <c r="C32" s="105" t="s">
        <v>622</v>
      </c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</row>
    <row r="33" spans="1:18" ht="29" customHeight="1" x14ac:dyDescent="0.35">
      <c r="A33" s="105" t="s">
        <v>668</v>
      </c>
      <c r="B33" s="105" t="s">
        <v>669</v>
      </c>
      <c r="C33" s="105" t="s">
        <v>622</v>
      </c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</row>
    <row r="34" spans="1:18" ht="29" customHeight="1" x14ac:dyDescent="0.35">
      <c r="A34" s="105" t="s">
        <v>670</v>
      </c>
      <c r="B34" s="105" t="s">
        <v>671</v>
      </c>
      <c r="C34" s="105" t="s">
        <v>622</v>
      </c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</row>
    <row r="35" spans="1:18" ht="29" customHeight="1" x14ac:dyDescent="0.35">
      <c r="A35" s="105" t="s">
        <v>672</v>
      </c>
      <c r="B35" s="105" t="s">
        <v>673</v>
      </c>
      <c r="C35" s="105" t="s">
        <v>622</v>
      </c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</row>
    <row r="36" spans="1:18" ht="29" customHeight="1" x14ac:dyDescent="0.35">
      <c r="A36" s="105" t="s">
        <v>674</v>
      </c>
      <c r="B36" s="105" t="s">
        <v>675</v>
      </c>
      <c r="C36" s="105" t="s">
        <v>622</v>
      </c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</row>
    <row r="37" spans="1:18" ht="29" x14ac:dyDescent="0.35">
      <c r="A37" s="105" t="s">
        <v>676</v>
      </c>
      <c r="B37" s="105" t="s">
        <v>677</v>
      </c>
      <c r="C37" s="105" t="s">
        <v>622</v>
      </c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</row>
    <row r="38" spans="1:18" ht="29" x14ac:dyDescent="0.35">
      <c r="A38" s="105" t="s">
        <v>678</v>
      </c>
      <c r="B38" s="105" t="s">
        <v>679</v>
      </c>
      <c r="C38" s="105" t="s">
        <v>622</v>
      </c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</row>
    <row r="39" spans="1:18" x14ac:dyDescent="0.35">
      <c r="A39" s="169" t="s">
        <v>680</v>
      </c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2"/>
    </row>
    <row r="40" spans="1:18" ht="29" x14ac:dyDescent="0.35">
      <c r="A40" s="105" t="s">
        <v>681</v>
      </c>
      <c r="B40" s="105" t="s">
        <v>682</v>
      </c>
      <c r="C40" s="105" t="s">
        <v>683</v>
      </c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</row>
    <row r="41" spans="1:18" ht="29" customHeight="1" x14ac:dyDescent="0.35">
      <c r="A41" s="105" t="s">
        <v>684</v>
      </c>
      <c r="B41" s="105" t="s">
        <v>685</v>
      </c>
      <c r="C41" s="105" t="s">
        <v>686</v>
      </c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</row>
    <row r="42" spans="1:18" ht="29" customHeight="1" x14ac:dyDescent="0.35">
      <c r="A42" s="105" t="s">
        <v>687</v>
      </c>
      <c r="B42" s="105" t="s">
        <v>688</v>
      </c>
      <c r="C42" s="105" t="s">
        <v>686</v>
      </c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</row>
    <row r="43" spans="1:18" ht="29" customHeight="1" x14ac:dyDescent="0.35">
      <c r="A43" s="105" t="s">
        <v>689</v>
      </c>
      <c r="B43" s="105" t="s">
        <v>690</v>
      </c>
      <c r="C43" s="105" t="s">
        <v>686</v>
      </c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</row>
    <row r="44" spans="1:18" ht="29" customHeight="1" x14ac:dyDescent="0.35">
      <c r="A44" s="105" t="s">
        <v>691</v>
      </c>
      <c r="B44" s="105" t="s">
        <v>692</v>
      </c>
      <c r="C44" s="105" t="s">
        <v>686</v>
      </c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</row>
    <row r="45" spans="1:18" ht="29" customHeight="1" x14ac:dyDescent="0.35">
      <c r="A45" s="105" t="s">
        <v>693</v>
      </c>
      <c r="B45" s="105" t="s">
        <v>694</v>
      </c>
      <c r="C45" s="105" t="s">
        <v>686</v>
      </c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</row>
    <row r="46" spans="1:18" ht="29" customHeight="1" x14ac:dyDescent="0.35">
      <c r="A46" s="105" t="s">
        <v>695</v>
      </c>
      <c r="B46" s="105" t="s">
        <v>696</v>
      </c>
      <c r="C46" s="105" t="s">
        <v>686</v>
      </c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</row>
    <row r="47" spans="1:18" ht="29" customHeight="1" x14ac:dyDescent="0.35">
      <c r="A47" s="105" t="s">
        <v>697</v>
      </c>
      <c r="B47" s="105" t="s">
        <v>698</v>
      </c>
      <c r="C47" s="105" t="s">
        <v>686</v>
      </c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</row>
    <row r="48" spans="1:18" ht="58" customHeight="1" x14ac:dyDescent="0.35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</row>
    <row r="49" spans="1:15" x14ac:dyDescent="0.35">
      <c r="A49" s="166" t="s">
        <v>699</v>
      </c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2"/>
    </row>
    <row r="50" spans="1:15" ht="58" x14ac:dyDescent="0.35">
      <c r="A50" s="108" t="s">
        <v>700</v>
      </c>
      <c r="B50" s="108" t="s">
        <v>701</v>
      </c>
      <c r="C50" s="108" t="s">
        <v>390</v>
      </c>
      <c r="D50" s="108" t="s">
        <v>351</v>
      </c>
      <c r="E50" s="108" t="s">
        <v>352</v>
      </c>
      <c r="F50" s="108" t="s">
        <v>292</v>
      </c>
      <c r="G50" s="108" t="s">
        <v>619</v>
      </c>
      <c r="H50" s="108" t="s">
        <v>353</v>
      </c>
      <c r="I50" s="108" t="s">
        <v>610</v>
      </c>
      <c r="J50" s="105"/>
      <c r="K50" s="105"/>
      <c r="L50" s="105"/>
      <c r="M50" s="105"/>
      <c r="N50" s="105"/>
      <c r="O50" s="105"/>
    </row>
    <row r="51" spans="1:15" x14ac:dyDescent="0.35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</row>
    <row r="52" spans="1:15" x14ac:dyDescent="0.35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</row>
    <row r="53" spans="1:15" x14ac:dyDescent="0.35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</row>
    <row r="54" spans="1:15" x14ac:dyDescent="0.35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</row>
    <row r="55" spans="1:15" x14ac:dyDescent="0.35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</row>
    <row r="56" spans="1:15" x14ac:dyDescent="0.35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</row>
    <row r="57" spans="1:15" x14ac:dyDescent="0.35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</row>
    <row r="58" spans="1:15" x14ac:dyDescent="0.35">
      <c r="A58" s="167" t="s">
        <v>702</v>
      </c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2"/>
    </row>
    <row r="59" spans="1:15" ht="72.5" x14ac:dyDescent="0.35">
      <c r="A59" s="108" t="s">
        <v>600</v>
      </c>
      <c r="B59" s="108"/>
      <c r="C59" s="108" t="s">
        <v>601</v>
      </c>
      <c r="D59" s="108"/>
      <c r="E59" s="108" t="s">
        <v>602</v>
      </c>
      <c r="F59" s="108"/>
      <c r="G59" s="108" t="s">
        <v>603</v>
      </c>
      <c r="H59" s="108"/>
      <c r="I59" s="108" t="s">
        <v>604</v>
      </c>
      <c r="J59" s="108"/>
      <c r="K59" s="108" t="s">
        <v>6</v>
      </c>
      <c r="L59" s="108"/>
      <c r="M59" s="108" t="s">
        <v>605</v>
      </c>
      <c r="N59" s="108"/>
      <c r="O59" s="108"/>
    </row>
    <row r="60" spans="1:15" ht="72.5" x14ac:dyDescent="0.35">
      <c r="A60" s="108" t="s">
        <v>606</v>
      </c>
      <c r="B60" s="108"/>
      <c r="C60" s="108" t="s">
        <v>607</v>
      </c>
      <c r="D60" s="108"/>
      <c r="E60" s="108" t="s">
        <v>608</v>
      </c>
      <c r="F60" s="108"/>
      <c r="G60" s="108" t="s">
        <v>609</v>
      </c>
      <c r="H60" s="108"/>
      <c r="I60" s="108" t="s">
        <v>610</v>
      </c>
      <c r="J60" s="109">
        <f>IFERROR(COUNTIF(E63:E101,"Yes")/(COUNTIF(E63:E101,"Yes")+COUNTIF(F63:F101,"No")),0)</f>
        <v>0</v>
      </c>
      <c r="K60" s="108"/>
      <c r="L60" s="108" t="str">
        <f>IF(J60&gt;=0.9,"Green",IF(J60&gt;=0.75,"Amber","Red"))</f>
        <v>Red</v>
      </c>
      <c r="M60" s="108"/>
      <c r="N60" s="108"/>
      <c r="O60" s="108"/>
    </row>
    <row r="61" spans="1:15" x14ac:dyDescent="0.35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</row>
    <row r="62" spans="1:15" ht="29" x14ac:dyDescent="0.35">
      <c r="A62" s="110" t="s">
        <v>611</v>
      </c>
      <c r="B62" s="110" t="s">
        <v>612</v>
      </c>
      <c r="C62" s="110" t="s">
        <v>613</v>
      </c>
      <c r="D62" s="110" t="s">
        <v>614</v>
      </c>
      <c r="E62" s="110" t="s">
        <v>81</v>
      </c>
      <c r="F62" s="110" t="s">
        <v>615</v>
      </c>
      <c r="G62" s="110" t="s">
        <v>616</v>
      </c>
      <c r="H62" s="110" t="s">
        <v>617</v>
      </c>
      <c r="I62" s="110" t="s">
        <v>618</v>
      </c>
      <c r="J62" s="110" t="s">
        <v>390</v>
      </c>
      <c r="K62" s="110" t="s">
        <v>351</v>
      </c>
      <c r="L62" s="110" t="s">
        <v>352</v>
      </c>
      <c r="M62" s="110" t="s">
        <v>292</v>
      </c>
      <c r="N62" s="110" t="s">
        <v>353</v>
      </c>
      <c r="O62" s="110" t="s">
        <v>619</v>
      </c>
    </row>
    <row r="63" spans="1:15" ht="29" x14ac:dyDescent="0.35">
      <c r="A63" s="105" t="s">
        <v>620</v>
      </c>
      <c r="B63" s="105" t="s">
        <v>621</v>
      </c>
      <c r="C63" s="105" t="s">
        <v>622</v>
      </c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</row>
    <row r="64" spans="1:15" ht="29" x14ac:dyDescent="0.35">
      <c r="A64" s="105" t="s">
        <v>623</v>
      </c>
      <c r="B64" s="105" t="s">
        <v>624</v>
      </c>
      <c r="C64" s="105" t="s">
        <v>622</v>
      </c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</row>
    <row r="65" spans="1:15" ht="29" x14ac:dyDescent="0.35">
      <c r="A65" s="105" t="s">
        <v>625</v>
      </c>
      <c r="B65" s="105" t="s">
        <v>626</v>
      </c>
      <c r="C65" s="105" t="s">
        <v>622</v>
      </c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</row>
    <row r="66" spans="1:15" ht="29" x14ac:dyDescent="0.35">
      <c r="A66" s="105" t="s">
        <v>627</v>
      </c>
      <c r="B66" s="105" t="s">
        <v>628</v>
      </c>
      <c r="C66" s="105" t="s">
        <v>622</v>
      </c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</row>
    <row r="67" spans="1:15" ht="29" x14ac:dyDescent="0.35">
      <c r="A67" s="105" t="s">
        <v>629</v>
      </c>
      <c r="B67" s="105" t="s">
        <v>630</v>
      </c>
      <c r="C67" s="105" t="s">
        <v>622</v>
      </c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</row>
    <row r="68" spans="1:15" ht="29" x14ac:dyDescent="0.35">
      <c r="A68" s="105" t="s">
        <v>631</v>
      </c>
      <c r="B68" s="105" t="s">
        <v>632</v>
      </c>
      <c r="C68" s="105" t="s">
        <v>622</v>
      </c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</row>
    <row r="69" spans="1:15" ht="29" x14ac:dyDescent="0.35">
      <c r="A69" s="105" t="s">
        <v>633</v>
      </c>
      <c r="B69" s="105" t="s">
        <v>634</v>
      </c>
      <c r="C69" s="105" t="s">
        <v>622</v>
      </c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</row>
    <row r="70" spans="1:15" ht="29" x14ac:dyDescent="0.35">
      <c r="A70" s="105" t="s">
        <v>635</v>
      </c>
      <c r="B70" s="105" t="s">
        <v>636</v>
      </c>
      <c r="C70" s="105" t="s">
        <v>622</v>
      </c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</row>
    <row r="71" spans="1:15" ht="29" x14ac:dyDescent="0.35">
      <c r="A71" s="105" t="s">
        <v>637</v>
      </c>
      <c r="B71" s="105" t="s">
        <v>638</v>
      </c>
      <c r="C71" s="105" t="s">
        <v>622</v>
      </c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</row>
    <row r="72" spans="1:15" ht="29" x14ac:dyDescent="0.35">
      <c r="A72" s="105" t="s">
        <v>639</v>
      </c>
      <c r="B72" s="105" t="s">
        <v>640</v>
      </c>
      <c r="C72" s="105" t="s">
        <v>622</v>
      </c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</row>
    <row r="73" spans="1:15" ht="29" x14ac:dyDescent="0.35">
      <c r="A73" s="105" t="s">
        <v>641</v>
      </c>
      <c r="B73" s="105" t="s">
        <v>642</v>
      </c>
      <c r="C73" s="105" t="s">
        <v>622</v>
      </c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</row>
    <row r="74" spans="1:15" ht="29" x14ac:dyDescent="0.35">
      <c r="A74" s="105" t="s">
        <v>643</v>
      </c>
      <c r="B74" s="105" t="s">
        <v>703</v>
      </c>
      <c r="C74" s="105" t="s">
        <v>622</v>
      </c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</row>
    <row r="75" spans="1:15" ht="29" x14ac:dyDescent="0.35">
      <c r="A75" s="105" t="s">
        <v>644</v>
      </c>
      <c r="B75" s="105" t="s">
        <v>704</v>
      </c>
      <c r="C75" s="105" t="s">
        <v>622</v>
      </c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</row>
    <row r="76" spans="1:15" ht="29" x14ac:dyDescent="0.35">
      <c r="A76" s="105" t="s">
        <v>645</v>
      </c>
      <c r="B76" s="105" t="s">
        <v>705</v>
      </c>
      <c r="C76" s="105" t="s">
        <v>622</v>
      </c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</row>
    <row r="77" spans="1:15" ht="29" x14ac:dyDescent="0.35">
      <c r="A77" s="105" t="s">
        <v>646</v>
      </c>
      <c r="B77" s="105" t="s">
        <v>647</v>
      </c>
      <c r="C77" s="105" t="s">
        <v>648</v>
      </c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</row>
    <row r="78" spans="1:15" ht="29" x14ac:dyDescent="0.35">
      <c r="A78" s="105" t="s">
        <v>649</v>
      </c>
      <c r="B78" s="105" t="s">
        <v>650</v>
      </c>
      <c r="C78" s="105" t="s">
        <v>622</v>
      </c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</row>
    <row r="79" spans="1:15" ht="29" x14ac:dyDescent="0.35">
      <c r="A79" s="105" t="s">
        <v>651</v>
      </c>
      <c r="B79" s="105" t="s">
        <v>652</v>
      </c>
      <c r="C79" s="105" t="s">
        <v>648</v>
      </c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</row>
    <row r="80" spans="1:15" ht="29" x14ac:dyDescent="0.35">
      <c r="A80" s="105" t="s">
        <v>653</v>
      </c>
      <c r="B80" s="105" t="s">
        <v>654</v>
      </c>
      <c r="C80" s="105" t="s">
        <v>622</v>
      </c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</row>
    <row r="81" spans="1:15" ht="29" x14ac:dyDescent="0.35">
      <c r="A81" s="105" t="s">
        <v>655</v>
      </c>
      <c r="B81" s="105" t="s">
        <v>656</v>
      </c>
      <c r="C81" s="105" t="s">
        <v>657</v>
      </c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</row>
    <row r="82" spans="1:15" ht="29" x14ac:dyDescent="0.35">
      <c r="A82" s="105" t="s">
        <v>658</v>
      </c>
      <c r="B82" s="105" t="s">
        <v>659</v>
      </c>
      <c r="C82" s="105" t="s">
        <v>622</v>
      </c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</row>
    <row r="83" spans="1:15" ht="29" x14ac:dyDescent="0.35">
      <c r="A83" s="105" t="s">
        <v>660</v>
      </c>
      <c r="B83" s="105" t="s">
        <v>661</v>
      </c>
      <c r="C83" s="105" t="s">
        <v>622</v>
      </c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</row>
    <row r="84" spans="1:15" ht="29" x14ac:dyDescent="0.35">
      <c r="A84" s="105" t="s">
        <v>662</v>
      </c>
      <c r="B84" s="105" t="s">
        <v>663</v>
      </c>
      <c r="C84" s="105" t="s">
        <v>622</v>
      </c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</row>
    <row r="85" spans="1:15" ht="29" x14ac:dyDescent="0.35">
      <c r="A85" s="105" t="s">
        <v>664</v>
      </c>
      <c r="B85" s="105" t="s">
        <v>665</v>
      </c>
      <c r="C85" s="105" t="s">
        <v>622</v>
      </c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</row>
    <row r="86" spans="1:15" ht="29" x14ac:dyDescent="0.35">
      <c r="A86" s="105" t="s">
        <v>666</v>
      </c>
      <c r="B86" s="105" t="s">
        <v>667</v>
      </c>
      <c r="C86" s="105" t="s">
        <v>622</v>
      </c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</row>
    <row r="87" spans="1:15" ht="29" x14ac:dyDescent="0.35">
      <c r="A87" s="105" t="s">
        <v>668</v>
      </c>
      <c r="B87" s="105" t="s">
        <v>669</v>
      </c>
      <c r="C87" s="105" t="s">
        <v>622</v>
      </c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</row>
    <row r="88" spans="1:15" x14ac:dyDescent="0.35">
      <c r="A88" s="105" t="s">
        <v>670</v>
      </c>
      <c r="B88" s="105" t="s">
        <v>671</v>
      </c>
      <c r="C88" s="105" t="s">
        <v>622</v>
      </c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</row>
    <row r="89" spans="1:15" ht="29" x14ac:dyDescent="0.35">
      <c r="A89" s="105" t="s">
        <v>672</v>
      </c>
      <c r="B89" s="105" t="s">
        <v>673</v>
      </c>
      <c r="C89" s="105" t="s">
        <v>622</v>
      </c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</row>
    <row r="90" spans="1:15" ht="29" x14ac:dyDescent="0.35">
      <c r="A90" s="105" t="s">
        <v>674</v>
      </c>
      <c r="B90" s="105" t="s">
        <v>675</v>
      </c>
      <c r="C90" s="105" t="s">
        <v>622</v>
      </c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</row>
    <row r="91" spans="1:15" ht="29" x14ac:dyDescent="0.35">
      <c r="A91" s="105" t="s">
        <v>676</v>
      </c>
      <c r="B91" s="105" t="s">
        <v>677</v>
      </c>
      <c r="C91" s="105" t="s">
        <v>622</v>
      </c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</row>
    <row r="92" spans="1:15" ht="29" x14ac:dyDescent="0.35">
      <c r="A92" s="105" t="s">
        <v>678</v>
      </c>
      <c r="B92" s="105" t="s">
        <v>679</v>
      </c>
      <c r="C92" s="105" t="s">
        <v>622</v>
      </c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</row>
    <row r="93" spans="1:15" ht="29" x14ac:dyDescent="0.35">
      <c r="A93" s="105" t="s">
        <v>680</v>
      </c>
      <c r="B93" s="105" t="s">
        <v>706</v>
      </c>
      <c r="C93" s="105" t="s">
        <v>622</v>
      </c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</row>
    <row r="94" spans="1:15" ht="29" x14ac:dyDescent="0.35">
      <c r="A94" s="105" t="s">
        <v>681</v>
      </c>
      <c r="B94" s="105" t="s">
        <v>682</v>
      </c>
      <c r="C94" s="105" t="s">
        <v>683</v>
      </c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</row>
    <row r="95" spans="1:15" ht="29" x14ac:dyDescent="0.35">
      <c r="A95" s="105" t="s">
        <v>684</v>
      </c>
      <c r="B95" s="105" t="s">
        <v>685</v>
      </c>
      <c r="C95" s="105" t="s">
        <v>686</v>
      </c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</row>
    <row r="96" spans="1:15" ht="29" x14ac:dyDescent="0.35">
      <c r="A96" s="105" t="s">
        <v>687</v>
      </c>
      <c r="B96" s="105" t="s">
        <v>688</v>
      </c>
      <c r="C96" s="105" t="s">
        <v>686</v>
      </c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</row>
    <row r="97" spans="1:15" ht="29" x14ac:dyDescent="0.35">
      <c r="A97" s="105" t="s">
        <v>689</v>
      </c>
      <c r="B97" s="105" t="s">
        <v>690</v>
      </c>
      <c r="C97" s="105" t="s">
        <v>686</v>
      </c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</row>
    <row r="98" spans="1:15" ht="29" x14ac:dyDescent="0.35">
      <c r="A98" s="105" t="s">
        <v>691</v>
      </c>
      <c r="B98" s="105" t="s">
        <v>692</v>
      </c>
      <c r="C98" s="105" t="s">
        <v>686</v>
      </c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</row>
    <row r="99" spans="1:15" ht="29" x14ac:dyDescent="0.35">
      <c r="A99" s="105" t="s">
        <v>693</v>
      </c>
      <c r="B99" s="105" t="s">
        <v>694</v>
      </c>
      <c r="C99" s="105" t="s">
        <v>686</v>
      </c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</row>
    <row r="100" spans="1:15" ht="29" x14ac:dyDescent="0.35">
      <c r="A100" s="105" t="s">
        <v>695</v>
      </c>
      <c r="B100" s="105" t="s">
        <v>696</v>
      </c>
      <c r="C100" s="105" t="s">
        <v>686</v>
      </c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</row>
    <row r="101" spans="1:15" ht="29" x14ac:dyDescent="0.35">
      <c r="A101" s="105" t="s">
        <v>697</v>
      </c>
      <c r="B101" s="105" t="s">
        <v>698</v>
      </c>
      <c r="C101" s="105" t="s">
        <v>686</v>
      </c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</row>
    <row r="102" spans="1:15" x14ac:dyDescent="0.35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</row>
    <row r="103" spans="1:15" x14ac:dyDescent="0.35">
      <c r="A103" s="166" t="s">
        <v>707</v>
      </c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2"/>
    </row>
    <row r="104" spans="1:15" ht="58" x14ac:dyDescent="0.35">
      <c r="A104" s="108" t="s">
        <v>700</v>
      </c>
      <c r="B104" s="108" t="s">
        <v>701</v>
      </c>
      <c r="C104" s="108" t="s">
        <v>390</v>
      </c>
      <c r="D104" s="108" t="s">
        <v>351</v>
      </c>
      <c r="E104" s="108" t="s">
        <v>352</v>
      </c>
      <c r="F104" s="108" t="s">
        <v>292</v>
      </c>
      <c r="G104" s="108" t="s">
        <v>619</v>
      </c>
      <c r="H104" s="108" t="s">
        <v>353</v>
      </c>
      <c r="I104" s="108" t="s">
        <v>610</v>
      </c>
      <c r="J104" s="105"/>
      <c r="K104" s="105"/>
      <c r="L104" s="105"/>
      <c r="M104" s="105"/>
      <c r="N104" s="105"/>
      <c r="O104" s="105"/>
    </row>
    <row r="105" spans="1:15" x14ac:dyDescent="0.35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</row>
    <row r="106" spans="1:15" x14ac:dyDescent="0.35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</row>
    <row r="107" spans="1:15" x14ac:dyDescent="0.35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</row>
    <row r="108" spans="1:15" x14ac:dyDescent="0.35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</row>
    <row r="109" spans="1:15" x14ac:dyDescent="0.35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</row>
    <row r="110" spans="1:15" x14ac:dyDescent="0.35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</row>
    <row r="111" spans="1:15" x14ac:dyDescent="0.35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</row>
    <row r="112" spans="1:15" x14ac:dyDescent="0.35">
      <c r="A112" s="167" t="s">
        <v>708</v>
      </c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2"/>
    </row>
    <row r="113" spans="1:15" ht="72.5" x14ac:dyDescent="0.35">
      <c r="A113" s="108" t="s">
        <v>600</v>
      </c>
      <c r="B113" s="108"/>
      <c r="C113" s="108" t="s">
        <v>601</v>
      </c>
      <c r="D113" s="108"/>
      <c r="E113" s="108" t="s">
        <v>602</v>
      </c>
      <c r="F113" s="108"/>
      <c r="G113" s="108" t="s">
        <v>603</v>
      </c>
      <c r="H113" s="108"/>
      <c r="I113" s="108" t="s">
        <v>604</v>
      </c>
      <c r="J113" s="108"/>
      <c r="K113" s="108" t="s">
        <v>6</v>
      </c>
      <c r="L113" s="108"/>
      <c r="M113" s="108" t="s">
        <v>605</v>
      </c>
      <c r="N113" s="108"/>
      <c r="O113" s="108"/>
    </row>
    <row r="114" spans="1:15" ht="72.5" x14ac:dyDescent="0.35">
      <c r="A114" s="108" t="s">
        <v>606</v>
      </c>
      <c r="B114" s="108"/>
      <c r="C114" s="108" t="s">
        <v>607</v>
      </c>
      <c r="D114" s="108"/>
      <c r="E114" s="108" t="s">
        <v>608</v>
      </c>
      <c r="F114" s="108"/>
      <c r="G114" s="108" t="s">
        <v>609</v>
      </c>
      <c r="H114" s="108"/>
      <c r="I114" s="108" t="s">
        <v>610</v>
      </c>
      <c r="J114" s="109">
        <f>IFERROR(COUNTIF(E117:E155,"Yes")/(COUNTIF(E117:E155,"Yes")+COUNTIF(F117:F155,"No")),0)</f>
        <v>0</v>
      </c>
      <c r="K114" s="108"/>
      <c r="L114" s="108" t="str">
        <f>IF(J114&gt;=0.9,"Green",IF(J114&gt;=0.75,"Amber","Red"))</f>
        <v>Red</v>
      </c>
      <c r="M114" s="108"/>
      <c r="N114" s="108"/>
      <c r="O114" s="108"/>
    </row>
    <row r="115" spans="1:15" x14ac:dyDescent="0.35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</row>
    <row r="116" spans="1:15" ht="29" x14ac:dyDescent="0.35">
      <c r="A116" s="110" t="s">
        <v>611</v>
      </c>
      <c r="B116" s="110" t="s">
        <v>612</v>
      </c>
      <c r="C116" s="110" t="s">
        <v>613</v>
      </c>
      <c r="D116" s="110" t="s">
        <v>614</v>
      </c>
      <c r="E116" s="110" t="s">
        <v>81</v>
      </c>
      <c r="F116" s="110" t="s">
        <v>615</v>
      </c>
      <c r="G116" s="110" t="s">
        <v>616</v>
      </c>
      <c r="H116" s="110" t="s">
        <v>617</v>
      </c>
      <c r="I116" s="110" t="s">
        <v>618</v>
      </c>
      <c r="J116" s="110" t="s">
        <v>390</v>
      </c>
      <c r="K116" s="110" t="s">
        <v>351</v>
      </c>
      <c r="L116" s="110" t="s">
        <v>352</v>
      </c>
      <c r="M116" s="110" t="s">
        <v>292</v>
      </c>
      <c r="N116" s="110" t="s">
        <v>353</v>
      </c>
      <c r="O116" s="110" t="s">
        <v>619</v>
      </c>
    </row>
    <row r="117" spans="1:15" ht="29" x14ac:dyDescent="0.35">
      <c r="A117" s="105" t="s">
        <v>620</v>
      </c>
      <c r="B117" s="105" t="s">
        <v>621</v>
      </c>
      <c r="C117" s="105" t="s">
        <v>622</v>
      </c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</row>
    <row r="118" spans="1:15" ht="29" x14ac:dyDescent="0.35">
      <c r="A118" s="105" t="s">
        <v>623</v>
      </c>
      <c r="B118" s="105" t="s">
        <v>624</v>
      </c>
      <c r="C118" s="105" t="s">
        <v>622</v>
      </c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</row>
    <row r="119" spans="1:15" ht="29" x14ac:dyDescent="0.35">
      <c r="A119" s="105" t="s">
        <v>625</v>
      </c>
      <c r="B119" s="105" t="s">
        <v>626</v>
      </c>
      <c r="C119" s="105" t="s">
        <v>622</v>
      </c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</row>
    <row r="120" spans="1:15" ht="29" x14ac:dyDescent="0.35">
      <c r="A120" s="105" t="s">
        <v>627</v>
      </c>
      <c r="B120" s="105" t="s">
        <v>628</v>
      </c>
      <c r="C120" s="105" t="s">
        <v>622</v>
      </c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</row>
    <row r="121" spans="1:15" ht="29" x14ac:dyDescent="0.35">
      <c r="A121" s="105" t="s">
        <v>629</v>
      </c>
      <c r="B121" s="105" t="s">
        <v>630</v>
      </c>
      <c r="C121" s="105" t="s">
        <v>622</v>
      </c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</row>
    <row r="122" spans="1:15" ht="29" x14ac:dyDescent="0.35">
      <c r="A122" s="105" t="s">
        <v>631</v>
      </c>
      <c r="B122" s="105" t="s">
        <v>632</v>
      </c>
      <c r="C122" s="105" t="s">
        <v>622</v>
      </c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</row>
    <row r="123" spans="1:15" ht="29" x14ac:dyDescent="0.35">
      <c r="A123" s="105" t="s">
        <v>633</v>
      </c>
      <c r="B123" s="105" t="s">
        <v>634</v>
      </c>
      <c r="C123" s="105" t="s">
        <v>622</v>
      </c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</row>
    <row r="124" spans="1:15" ht="29" x14ac:dyDescent="0.35">
      <c r="A124" s="105" t="s">
        <v>635</v>
      </c>
      <c r="B124" s="105" t="s">
        <v>636</v>
      </c>
      <c r="C124" s="105" t="s">
        <v>622</v>
      </c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</row>
    <row r="125" spans="1:15" ht="29" x14ac:dyDescent="0.35">
      <c r="A125" s="105" t="s">
        <v>637</v>
      </c>
      <c r="B125" s="105" t="s">
        <v>638</v>
      </c>
      <c r="C125" s="105" t="s">
        <v>622</v>
      </c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</row>
    <row r="126" spans="1:15" ht="29" x14ac:dyDescent="0.35">
      <c r="A126" s="105" t="s">
        <v>639</v>
      </c>
      <c r="B126" s="105" t="s">
        <v>640</v>
      </c>
      <c r="C126" s="105" t="s">
        <v>622</v>
      </c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</row>
    <row r="127" spans="1:15" ht="29" x14ac:dyDescent="0.35">
      <c r="A127" s="105" t="s">
        <v>641</v>
      </c>
      <c r="B127" s="105" t="s">
        <v>642</v>
      </c>
      <c r="C127" s="105" t="s">
        <v>622</v>
      </c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</row>
    <row r="128" spans="1:15" ht="29" x14ac:dyDescent="0.35">
      <c r="A128" s="105" t="s">
        <v>643</v>
      </c>
      <c r="B128" s="105" t="s">
        <v>703</v>
      </c>
      <c r="C128" s="105" t="s">
        <v>622</v>
      </c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</row>
    <row r="129" spans="1:15" ht="29" x14ac:dyDescent="0.35">
      <c r="A129" s="105" t="s">
        <v>644</v>
      </c>
      <c r="B129" s="105" t="s">
        <v>704</v>
      </c>
      <c r="C129" s="105" t="s">
        <v>622</v>
      </c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</row>
    <row r="130" spans="1:15" ht="29" x14ac:dyDescent="0.35">
      <c r="A130" s="105" t="s">
        <v>645</v>
      </c>
      <c r="B130" s="105" t="s">
        <v>705</v>
      </c>
      <c r="C130" s="105" t="s">
        <v>622</v>
      </c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</row>
    <row r="131" spans="1:15" ht="29" x14ac:dyDescent="0.35">
      <c r="A131" s="105" t="s">
        <v>646</v>
      </c>
      <c r="B131" s="105" t="s">
        <v>647</v>
      </c>
      <c r="C131" s="105" t="s">
        <v>648</v>
      </c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</row>
    <row r="132" spans="1:15" ht="29" x14ac:dyDescent="0.35">
      <c r="A132" s="105" t="s">
        <v>649</v>
      </c>
      <c r="B132" s="105" t="s">
        <v>650</v>
      </c>
      <c r="C132" s="105" t="s">
        <v>622</v>
      </c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</row>
    <row r="133" spans="1:15" ht="29" x14ac:dyDescent="0.35">
      <c r="A133" s="105" t="s">
        <v>651</v>
      </c>
      <c r="B133" s="105" t="s">
        <v>652</v>
      </c>
      <c r="C133" s="105" t="s">
        <v>648</v>
      </c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</row>
    <row r="134" spans="1:15" ht="29" x14ac:dyDescent="0.35">
      <c r="A134" s="105" t="s">
        <v>653</v>
      </c>
      <c r="B134" s="105" t="s">
        <v>654</v>
      </c>
      <c r="C134" s="105" t="s">
        <v>622</v>
      </c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</row>
    <row r="135" spans="1:15" ht="29" x14ac:dyDescent="0.35">
      <c r="A135" s="105" t="s">
        <v>655</v>
      </c>
      <c r="B135" s="105" t="s">
        <v>656</v>
      </c>
      <c r="C135" s="105" t="s">
        <v>657</v>
      </c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</row>
    <row r="136" spans="1:15" ht="29" x14ac:dyDescent="0.35">
      <c r="A136" s="105" t="s">
        <v>658</v>
      </c>
      <c r="B136" s="105" t="s">
        <v>659</v>
      </c>
      <c r="C136" s="105" t="s">
        <v>622</v>
      </c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</row>
    <row r="137" spans="1:15" ht="29" x14ac:dyDescent="0.35">
      <c r="A137" s="105" t="s">
        <v>660</v>
      </c>
      <c r="B137" s="105" t="s">
        <v>661</v>
      </c>
      <c r="C137" s="105" t="s">
        <v>622</v>
      </c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</row>
    <row r="138" spans="1:15" ht="29" x14ac:dyDescent="0.35">
      <c r="A138" s="105" t="s">
        <v>662</v>
      </c>
      <c r="B138" s="105" t="s">
        <v>663</v>
      </c>
      <c r="C138" s="105" t="s">
        <v>622</v>
      </c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</row>
    <row r="139" spans="1:15" ht="29" x14ac:dyDescent="0.35">
      <c r="A139" s="105" t="s">
        <v>664</v>
      </c>
      <c r="B139" s="105" t="s">
        <v>665</v>
      </c>
      <c r="C139" s="105" t="s">
        <v>622</v>
      </c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</row>
    <row r="140" spans="1:15" ht="29" x14ac:dyDescent="0.35">
      <c r="A140" s="105" t="s">
        <v>666</v>
      </c>
      <c r="B140" s="105" t="s">
        <v>667</v>
      </c>
      <c r="C140" s="105" t="s">
        <v>622</v>
      </c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</row>
    <row r="141" spans="1:15" ht="29" x14ac:dyDescent="0.35">
      <c r="A141" s="105" t="s">
        <v>668</v>
      </c>
      <c r="B141" s="105" t="s">
        <v>669</v>
      </c>
      <c r="C141" s="105" t="s">
        <v>622</v>
      </c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</row>
    <row r="142" spans="1:15" x14ac:dyDescent="0.35">
      <c r="A142" s="105" t="s">
        <v>670</v>
      </c>
      <c r="B142" s="105" t="s">
        <v>671</v>
      </c>
      <c r="C142" s="105" t="s">
        <v>622</v>
      </c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</row>
    <row r="143" spans="1:15" ht="29" x14ac:dyDescent="0.35">
      <c r="A143" s="105" t="s">
        <v>672</v>
      </c>
      <c r="B143" s="105" t="s">
        <v>673</v>
      </c>
      <c r="C143" s="105" t="s">
        <v>622</v>
      </c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</row>
    <row r="144" spans="1:15" ht="29" x14ac:dyDescent="0.35">
      <c r="A144" s="105" t="s">
        <v>674</v>
      </c>
      <c r="B144" s="105" t="s">
        <v>675</v>
      </c>
      <c r="C144" s="105" t="s">
        <v>622</v>
      </c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</row>
    <row r="145" spans="1:15" ht="29" x14ac:dyDescent="0.35">
      <c r="A145" s="105" t="s">
        <v>676</v>
      </c>
      <c r="B145" s="105" t="s">
        <v>677</v>
      </c>
      <c r="C145" s="105" t="s">
        <v>622</v>
      </c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</row>
    <row r="146" spans="1:15" ht="29" x14ac:dyDescent="0.35">
      <c r="A146" s="105" t="s">
        <v>678</v>
      </c>
      <c r="B146" s="105" t="s">
        <v>679</v>
      </c>
      <c r="C146" s="105" t="s">
        <v>622</v>
      </c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</row>
    <row r="147" spans="1:15" ht="29" x14ac:dyDescent="0.35">
      <c r="A147" s="105" t="s">
        <v>680</v>
      </c>
      <c r="B147" s="105" t="s">
        <v>706</v>
      </c>
      <c r="C147" s="105" t="s">
        <v>622</v>
      </c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</row>
    <row r="148" spans="1:15" ht="29" x14ac:dyDescent="0.35">
      <c r="A148" s="105" t="s">
        <v>681</v>
      </c>
      <c r="B148" s="105" t="s">
        <v>682</v>
      </c>
      <c r="C148" s="105" t="s">
        <v>683</v>
      </c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</row>
    <row r="149" spans="1:15" ht="29" x14ac:dyDescent="0.35">
      <c r="A149" s="105" t="s">
        <v>684</v>
      </c>
      <c r="B149" s="105" t="s">
        <v>685</v>
      </c>
      <c r="C149" s="105" t="s">
        <v>686</v>
      </c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</row>
    <row r="150" spans="1:15" ht="29" x14ac:dyDescent="0.35">
      <c r="A150" s="105" t="s">
        <v>687</v>
      </c>
      <c r="B150" s="105" t="s">
        <v>688</v>
      </c>
      <c r="C150" s="105" t="s">
        <v>686</v>
      </c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</row>
    <row r="151" spans="1:15" ht="29" x14ac:dyDescent="0.35">
      <c r="A151" s="105" t="s">
        <v>689</v>
      </c>
      <c r="B151" s="105" t="s">
        <v>690</v>
      </c>
      <c r="C151" s="105" t="s">
        <v>686</v>
      </c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</row>
    <row r="152" spans="1:15" ht="29" x14ac:dyDescent="0.35">
      <c r="A152" s="105" t="s">
        <v>691</v>
      </c>
      <c r="B152" s="105" t="s">
        <v>692</v>
      </c>
      <c r="C152" s="105" t="s">
        <v>686</v>
      </c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</row>
    <row r="153" spans="1:15" ht="29" x14ac:dyDescent="0.35">
      <c r="A153" s="105" t="s">
        <v>693</v>
      </c>
      <c r="B153" s="105" t="s">
        <v>694</v>
      </c>
      <c r="C153" s="105" t="s">
        <v>686</v>
      </c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</row>
    <row r="154" spans="1:15" ht="29" x14ac:dyDescent="0.35">
      <c r="A154" s="105" t="s">
        <v>695</v>
      </c>
      <c r="B154" s="105" t="s">
        <v>696</v>
      </c>
      <c r="C154" s="105" t="s">
        <v>686</v>
      </c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</row>
    <row r="155" spans="1:15" ht="29" x14ac:dyDescent="0.35">
      <c r="A155" s="105" t="s">
        <v>697</v>
      </c>
      <c r="B155" s="105" t="s">
        <v>698</v>
      </c>
      <c r="C155" s="105" t="s">
        <v>686</v>
      </c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</row>
    <row r="156" spans="1:15" x14ac:dyDescent="0.35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</row>
    <row r="157" spans="1:15" x14ac:dyDescent="0.35">
      <c r="A157" s="166" t="s">
        <v>709</v>
      </c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2"/>
    </row>
    <row r="158" spans="1:15" ht="58" x14ac:dyDescent="0.35">
      <c r="A158" s="108" t="s">
        <v>700</v>
      </c>
      <c r="B158" s="108" t="s">
        <v>701</v>
      </c>
      <c r="C158" s="108" t="s">
        <v>390</v>
      </c>
      <c r="D158" s="108" t="s">
        <v>351</v>
      </c>
      <c r="E158" s="108" t="s">
        <v>352</v>
      </c>
      <c r="F158" s="108" t="s">
        <v>292</v>
      </c>
      <c r="G158" s="108" t="s">
        <v>619</v>
      </c>
      <c r="H158" s="108" t="s">
        <v>353</v>
      </c>
      <c r="I158" s="108" t="s">
        <v>610</v>
      </c>
      <c r="J158" s="105"/>
      <c r="K158" s="105"/>
      <c r="L158" s="105"/>
      <c r="M158" s="105"/>
      <c r="N158" s="105"/>
      <c r="O158" s="105"/>
    </row>
    <row r="159" spans="1:15" x14ac:dyDescent="0.35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</row>
    <row r="160" spans="1:15" x14ac:dyDescent="0.35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</row>
    <row r="161" spans="1:15" x14ac:dyDescent="0.35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</row>
    <row r="162" spans="1:15" x14ac:dyDescent="0.35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</row>
    <row r="163" spans="1:15" x14ac:dyDescent="0.35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</row>
    <row r="164" spans="1:15" x14ac:dyDescent="0.35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</row>
    <row r="165" spans="1:15" x14ac:dyDescent="0.3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</row>
    <row r="166" spans="1:15" x14ac:dyDescent="0.35">
      <c r="A166" s="167" t="s">
        <v>710</v>
      </c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2"/>
    </row>
    <row r="167" spans="1:15" ht="72.5" x14ac:dyDescent="0.35">
      <c r="A167" s="108" t="s">
        <v>600</v>
      </c>
      <c r="B167" s="108"/>
      <c r="C167" s="108" t="s">
        <v>601</v>
      </c>
      <c r="D167" s="108"/>
      <c r="E167" s="108" t="s">
        <v>602</v>
      </c>
      <c r="F167" s="108"/>
      <c r="G167" s="108" t="s">
        <v>603</v>
      </c>
      <c r="H167" s="108"/>
      <c r="I167" s="108" t="s">
        <v>604</v>
      </c>
      <c r="J167" s="108"/>
      <c r="K167" s="108" t="s">
        <v>6</v>
      </c>
      <c r="L167" s="108"/>
      <c r="M167" s="108" t="s">
        <v>605</v>
      </c>
      <c r="N167" s="108"/>
      <c r="O167" s="108"/>
    </row>
    <row r="168" spans="1:15" ht="72.5" x14ac:dyDescent="0.35">
      <c r="A168" s="108" t="s">
        <v>606</v>
      </c>
      <c r="B168" s="108"/>
      <c r="C168" s="108" t="s">
        <v>607</v>
      </c>
      <c r="D168" s="108"/>
      <c r="E168" s="108" t="s">
        <v>608</v>
      </c>
      <c r="F168" s="108"/>
      <c r="G168" s="108" t="s">
        <v>609</v>
      </c>
      <c r="H168" s="108"/>
      <c r="I168" s="108" t="s">
        <v>610</v>
      </c>
      <c r="J168" s="109">
        <f>IFERROR(COUNTIF(E171:E209,"Yes")/(COUNTIF(E171:E209,"Yes")+COUNTIF(F171:F209,"No")),0)</f>
        <v>0</v>
      </c>
      <c r="K168" s="108"/>
      <c r="L168" s="108" t="str">
        <f>IF(J168&gt;=0.9,"Green",IF(J168&gt;=0.75,"Amber","Red"))</f>
        <v>Red</v>
      </c>
      <c r="M168" s="108"/>
      <c r="N168" s="108"/>
      <c r="O168" s="108"/>
    </row>
    <row r="169" spans="1:15" x14ac:dyDescent="0.35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</row>
    <row r="170" spans="1:15" ht="29" x14ac:dyDescent="0.35">
      <c r="A170" s="110" t="s">
        <v>611</v>
      </c>
      <c r="B170" s="110" t="s">
        <v>612</v>
      </c>
      <c r="C170" s="110" t="s">
        <v>613</v>
      </c>
      <c r="D170" s="110" t="s">
        <v>614</v>
      </c>
      <c r="E170" s="110" t="s">
        <v>81</v>
      </c>
      <c r="F170" s="110" t="s">
        <v>615</v>
      </c>
      <c r="G170" s="110" t="s">
        <v>616</v>
      </c>
      <c r="H170" s="110" t="s">
        <v>617</v>
      </c>
      <c r="I170" s="110" t="s">
        <v>618</v>
      </c>
      <c r="J170" s="110" t="s">
        <v>390</v>
      </c>
      <c r="K170" s="110" t="s">
        <v>351</v>
      </c>
      <c r="L170" s="110" t="s">
        <v>352</v>
      </c>
      <c r="M170" s="110" t="s">
        <v>292</v>
      </c>
      <c r="N170" s="110" t="s">
        <v>353</v>
      </c>
      <c r="O170" s="110" t="s">
        <v>619</v>
      </c>
    </row>
    <row r="171" spans="1:15" ht="29" x14ac:dyDescent="0.35">
      <c r="A171" s="105" t="s">
        <v>620</v>
      </c>
      <c r="B171" s="105" t="s">
        <v>621</v>
      </c>
      <c r="C171" s="105" t="s">
        <v>622</v>
      </c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</row>
    <row r="172" spans="1:15" ht="29" x14ac:dyDescent="0.35">
      <c r="A172" s="105" t="s">
        <v>623</v>
      </c>
      <c r="B172" s="105" t="s">
        <v>624</v>
      </c>
      <c r="C172" s="105" t="s">
        <v>622</v>
      </c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</row>
    <row r="173" spans="1:15" ht="29" x14ac:dyDescent="0.35">
      <c r="A173" s="105" t="s">
        <v>625</v>
      </c>
      <c r="B173" s="105" t="s">
        <v>626</v>
      </c>
      <c r="C173" s="105" t="s">
        <v>622</v>
      </c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</row>
    <row r="174" spans="1:15" ht="29" x14ac:dyDescent="0.35">
      <c r="A174" s="105" t="s">
        <v>627</v>
      </c>
      <c r="B174" s="105" t="s">
        <v>628</v>
      </c>
      <c r="C174" s="105" t="s">
        <v>622</v>
      </c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</row>
    <row r="175" spans="1:15" ht="29" x14ac:dyDescent="0.35">
      <c r="A175" s="105" t="s">
        <v>629</v>
      </c>
      <c r="B175" s="105" t="s">
        <v>630</v>
      </c>
      <c r="C175" s="105" t="s">
        <v>622</v>
      </c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</row>
    <row r="176" spans="1:15" ht="29" x14ac:dyDescent="0.35">
      <c r="A176" s="105" t="s">
        <v>631</v>
      </c>
      <c r="B176" s="105" t="s">
        <v>632</v>
      </c>
      <c r="C176" s="105" t="s">
        <v>622</v>
      </c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</row>
    <row r="177" spans="1:15" ht="29" x14ac:dyDescent="0.35">
      <c r="A177" s="105" t="s">
        <v>633</v>
      </c>
      <c r="B177" s="105" t="s">
        <v>634</v>
      </c>
      <c r="C177" s="105" t="s">
        <v>622</v>
      </c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</row>
    <row r="178" spans="1:15" ht="29" x14ac:dyDescent="0.35">
      <c r="A178" s="105" t="s">
        <v>635</v>
      </c>
      <c r="B178" s="105" t="s">
        <v>636</v>
      </c>
      <c r="C178" s="105" t="s">
        <v>622</v>
      </c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</row>
    <row r="179" spans="1:15" ht="29" x14ac:dyDescent="0.35">
      <c r="A179" s="105" t="s">
        <v>637</v>
      </c>
      <c r="B179" s="105" t="s">
        <v>638</v>
      </c>
      <c r="C179" s="105" t="s">
        <v>622</v>
      </c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</row>
    <row r="180" spans="1:15" ht="29" x14ac:dyDescent="0.35">
      <c r="A180" s="105" t="s">
        <v>639</v>
      </c>
      <c r="B180" s="105" t="s">
        <v>640</v>
      </c>
      <c r="C180" s="105" t="s">
        <v>622</v>
      </c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</row>
    <row r="181" spans="1:15" ht="29" x14ac:dyDescent="0.35">
      <c r="A181" s="105" t="s">
        <v>641</v>
      </c>
      <c r="B181" s="105" t="s">
        <v>642</v>
      </c>
      <c r="C181" s="105" t="s">
        <v>622</v>
      </c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</row>
    <row r="182" spans="1:15" ht="29" x14ac:dyDescent="0.35">
      <c r="A182" s="105" t="s">
        <v>643</v>
      </c>
      <c r="B182" s="105" t="s">
        <v>703</v>
      </c>
      <c r="C182" s="105" t="s">
        <v>622</v>
      </c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</row>
    <row r="183" spans="1:15" ht="29" x14ac:dyDescent="0.35">
      <c r="A183" s="105" t="s">
        <v>644</v>
      </c>
      <c r="B183" s="105" t="s">
        <v>704</v>
      </c>
      <c r="C183" s="105" t="s">
        <v>622</v>
      </c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</row>
    <row r="184" spans="1:15" ht="29" x14ac:dyDescent="0.35">
      <c r="A184" s="105" t="s">
        <v>645</v>
      </c>
      <c r="B184" s="105" t="s">
        <v>705</v>
      </c>
      <c r="C184" s="105" t="s">
        <v>622</v>
      </c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</row>
    <row r="185" spans="1:15" ht="29" x14ac:dyDescent="0.35">
      <c r="A185" s="105" t="s">
        <v>646</v>
      </c>
      <c r="B185" s="105" t="s">
        <v>647</v>
      </c>
      <c r="C185" s="105" t="s">
        <v>648</v>
      </c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</row>
    <row r="186" spans="1:15" ht="29" x14ac:dyDescent="0.35">
      <c r="A186" s="105" t="s">
        <v>649</v>
      </c>
      <c r="B186" s="105" t="s">
        <v>650</v>
      </c>
      <c r="C186" s="105" t="s">
        <v>622</v>
      </c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</row>
    <row r="187" spans="1:15" ht="29" x14ac:dyDescent="0.35">
      <c r="A187" s="105" t="s">
        <v>651</v>
      </c>
      <c r="B187" s="105" t="s">
        <v>652</v>
      </c>
      <c r="C187" s="105" t="s">
        <v>648</v>
      </c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</row>
    <row r="188" spans="1:15" ht="29" x14ac:dyDescent="0.35">
      <c r="A188" s="105" t="s">
        <v>653</v>
      </c>
      <c r="B188" s="105" t="s">
        <v>654</v>
      </c>
      <c r="C188" s="105" t="s">
        <v>622</v>
      </c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</row>
    <row r="189" spans="1:15" ht="29" x14ac:dyDescent="0.35">
      <c r="A189" s="105" t="s">
        <v>655</v>
      </c>
      <c r="B189" s="105" t="s">
        <v>656</v>
      </c>
      <c r="C189" s="105" t="s">
        <v>657</v>
      </c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</row>
    <row r="190" spans="1:15" ht="29" x14ac:dyDescent="0.35">
      <c r="A190" s="105" t="s">
        <v>658</v>
      </c>
      <c r="B190" s="105" t="s">
        <v>659</v>
      </c>
      <c r="C190" s="105" t="s">
        <v>622</v>
      </c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</row>
    <row r="191" spans="1:15" ht="29" x14ac:dyDescent="0.35">
      <c r="A191" s="105" t="s">
        <v>660</v>
      </c>
      <c r="B191" s="105" t="s">
        <v>661</v>
      </c>
      <c r="C191" s="105" t="s">
        <v>622</v>
      </c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</row>
    <row r="192" spans="1:15" ht="29" x14ac:dyDescent="0.35">
      <c r="A192" s="105" t="s">
        <v>662</v>
      </c>
      <c r="B192" s="105" t="s">
        <v>663</v>
      </c>
      <c r="C192" s="105" t="s">
        <v>622</v>
      </c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</row>
    <row r="193" spans="1:15" ht="29" x14ac:dyDescent="0.35">
      <c r="A193" s="105" t="s">
        <v>664</v>
      </c>
      <c r="B193" s="105" t="s">
        <v>665</v>
      </c>
      <c r="C193" s="105" t="s">
        <v>622</v>
      </c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</row>
    <row r="194" spans="1:15" ht="29" x14ac:dyDescent="0.35">
      <c r="A194" s="105" t="s">
        <v>666</v>
      </c>
      <c r="B194" s="105" t="s">
        <v>667</v>
      </c>
      <c r="C194" s="105" t="s">
        <v>622</v>
      </c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</row>
    <row r="195" spans="1:15" ht="29" x14ac:dyDescent="0.35">
      <c r="A195" s="105" t="s">
        <v>668</v>
      </c>
      <c r="B195" s="105" t="s">
        <v>669</v>
      </c>
      <c r="C195" s="105" t="s">
        <v>622</v>
      </c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</row>
    <row r="196" spans="1:15" x14ac:dyDescent="0.35">
      <c r="A196" s="105" t="s">
        <v>670</v>
      </c>
      <c r="B196" s="105" t="s">
        <v>671</v>
      </c>
      <c r="C196" s="105" t="s">
        <v>622</v>
      </c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</row>
    <row r="197" spans="1:15" ht="29" x14ac:dyDescent="0.35">
      <c r="A197" s="105" t="s">
        <v>672</v>
      </c>
      <c r="B197" s="105" t="s">
        <v>673</v>
      </c>
      <c r="C197" s="105" t="s">
        <v>622</v>
      </c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</row>
    <row r="198" spans="1:15" ht="29" x14ac:dyDescent="0.35">
      <c r="A198" s="105" t="s">
        <v>674</v>
      </c>
      <c r="B198" s="105" t="s">
        <v>675</v>
      </c>
      <c r="C198" s="105" t="s">
        <v>622</v>
      </c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</row>
    <row r="199" spans="1:15" ht="29" x14ac:dyDescent="0.35">
      <c r="A199" s="105" t="s">
        <v>676</v>
      </c>
      <c r="B199" s="105" t="s">
        <v>677</v>
      </c>
      <c r="C199" s="105" t="s">
        <v>622</v>
      </c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</row>
    <row r="200" spans="1:15" ht="29" x14ac:dyDescent="0.35">
      <c r="A200" s="105" t="s">
        <v>678</v>
      </c>
      <c r="B200" s="105" t="s">
        <v>679</v>
      </c>
      <c r="C200" s="105" t="s">
        <v>622</v>
      </c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</row>
    <row r="201" spans="1:15" ht="29" x14ac:dyDescent="0.35">
      <c r="A201" s="105" t="s">
        <v>680</v>
      </c>
      <c r="B201" s="105" t="s">
        <v>706</v>
      </c>
      <c r="C201" s="105" t="s">
        <v>622</v>
      </c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</row>
    <row r="202" spans="1:15" ht="29" x14ac:dyDescent="0.35">
      <c r="A202" s="105" t="s">
        <v>681</v>
      </c>
      <c r="B202" s="105" t="s">
        <v>682</v>
      </c>
      <c r="C202" s="105" t="s">
        <v>683</v>
      </c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</row>
    <row r="203" spans="1:15" ht="29" x14ac:dyDescent="0.35">
      <c r="A203" s="105" t="s">
        <v>684</v>
      </c>
      <c r="B203" s="105" t="s">
        <v>685</v>
      </c>
      <c r="C203" s="105" t="s">
        <v>686</v>
      </c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</row>
    <row r="204" spans="1:15" ht="29" x14ac:dyDescent="0.35">
      <c r="A204" s="105" t="s">
        <v>687</v>
      </c>
      <c r="B204" s="105" t="s">
        <v>688</v>
      </c>
      <c r="C204" s="105" t="s">
        <v>686</v>
      </c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</row>
    <row r="205" spans="1:15" ht="29" x14ac:dyDescent="0.35">
      <c r="A205" s="105" t="s">
        <v>689</v>
      </c>
      <c r="B205" s="105" t="s">
        <v>690</v>
      </c>
      <c r="C205" s="105" t="s">
        <v>686</v>
      </c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</row>
    <row r="206" spans="1:15" ht="29" x14ac:dyDescent="0.35">
      <c r="A206" s="105" t="s">
        <v>691</v>
      </c>
      <c r="B206" s="105" t="s">
        <v>692</v>
      </c>
      <c r="C206" s="105" t="s">
        <v>686</v>
      </c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</row>
    <row r="207" spans="1:15" ht="29" x14ac:dyDescent="0.35">
      <c r="A207" s="105" t="s">
        <v>693</v>
      </c>
      <c r="B207" s="105" t="s">
        <v>694</v>
      </c>
      <c r="C207" s="105" t="s">
        <v>686</v>
      </c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</row>
    <row r="208" spans="1:15" ht="29" x14ac:dyDescent="0.35">
      <c r="A208" s="105" t="s">
        <v>695</v>
      </c>
      <c r="B208" s="105" t="s">
        <v>696</v>
      </c>
      <c r="C208" s="105" t="s">
        <v>686</v>
      </c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</row>
    <row r="209" spans="1:15" ht="29" x14ac:dyDescent="0.35">
      <c r="A209" s="105" t="s">
        <v>697</v>
      </c>
      <c r="B209" s="105" t="s">
        <v>698</v>
      </c>
      <c r="C209" s="105" t="s">
        <v>686</v>
      </c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</row>
    <row r="210" spans="1:15" x14ac:dyDescent="0.35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</row>
    <row r="211" spans="1:15" x14ac:dyDescent="0.35">
      <c r="A211" s="166" t="s">
        <v>711</v>
      </c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2"/>
    </row>
    <row r="212" spans="1:15" ht="58" x14ac:dyDescent="0.35">
      <c r="A212" s="108" t="s">
        <v>700</v>
      </c>
      <c r="B212" s="108" t="s">
        <v>701</v>
      </c>
      <c r="C212" s="108" t="s">
        <v>390</v>
      </c>
      <c r="D212" s="108" t="s">
        <v>351</v>
      </c>
      <c r="E212" s="108" t="s">
        <v>352</v>
      </c>
      <c r="F212" s="108" t="s">
        <v>292</v>
      </c>
      <c r="G212" s="108" t="s">
        <v>619</v>
      </c>
      <c r="H212" s="108" t="s">
        <v>353</v>
      </c>
      <c r="I212" s="108" t="s">
        <v>610</v>
      </c>
      <c r="J212" s="105"/>
      <c r="K212" s="105"/>
      <c r="L212" s="105"/>
      <c r="M212" s="105"/>
      <c r="N212" s="105"/>
      <c r="O212" s="105"/>
    </row>
    <row r="213" spans="1:15" x14ac:dyDescent="0.35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</row>
    <row r="214" spans="1:15" x14ac:dyDescent="0.35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</row>
    <row r="215" spans="1:15" x14ac:dyDescent="0.3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</row>
    <row r="216" spans="1:15" x14ac:dyDescent="0.35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</row>
    <row r="217" spans="1:15" x14ac:dyDescent="0.35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</row>
    <row r="218" spans="1:15" x14ac:dyDescent="0.35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</row>
    <row r="219" spans="1:15" x14ac:dyDescent="0.35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</row>
    <row r="220" spans="1:15" x14ac:dyDescent="0.35">
      <c r="A220" s="167" t="s">
        <v>712</v>
      </c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2"/>
    </row>
    <row r="221" spans="1:15" ht="72.5" x14ac:dyDescent="0.35">
      <c r="A221" s="108" t="s">
        <v>600</v>
      </c>
      <c r="B221" s="108"/>
      <c r="C221" s="108" t="s">
        <v>601</v>
      </c>
      <c r="D221" s="108"/>
      <c r="E221" s="108" t="s">
        <v>602</v>
      </c>
      <c r="F221" s="108"/>
      <c r="G221" s="108" t="s">
        <v>603</v>
      </c>
      <c r="H221" s="108"/>
      <c r="I221" s="108" t="s">
        <v>604</v>
      </c>
      <c r="J221" s="108"/>
      <c r="K221" s="108" t="s">
        <v>6</v>
      </c>
      <c r="L221" s="108"/>
      <c r="M221" s="108" t="s">
        <v>605</v>
      </c>
      <c r="N221" s="108"/>
      <c r="O221" s="108"/>
    </row>
    <row r="222" spans="1:15" ht="72.5" x14ac:dyDescent="0.35">
      <c r="A222" s="108" t="s">
        <v>606</v>
      </c>
      <c r="B222" s="108"/>
      <c r="C222" s="108" t="s">
        <v>607</v>
      </c>
      <c r="D222" s="108"/>
      <c r="E222" s="108" t="s">
        <v>608</v>
      </c>
      <c r="F222" s="108"/>
      <c r="G222" s="108" t="s">
        <v>609</v>
      </c>
      <c r="H222" s="108"/>
      <c r="I222" s="108" t="s">
        <v>610</v>
      </c>
      <c r="J222" s="109">
        <f>IFERROR(COUNTIF(E225:E263,"Yes")/(COUNTIF(E225:E263,"Yes")+COUNTIF(F225:F263,"No")),0)</f>
        <v>0</v>
      </c>
      <c r="K222" s="108"/>
      <c r="L222" s="108" t="str">
        <f>IF(J222&gt;=0.9,"Green",IF(J222&gt;=0.75,"Amber","Red"))</f>
        <v>Red</v>
      </c>
      <c r="M222" s="108"/>
      <c r="N222" s="108"/>
      <c r="O222" s="108"/>
    </row>
    <row r="223" spans="1:15" x14ac:dyDescent="0.35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</row>
    <row r="224" spans="1:15" ht="29" x14ac:dyDescent="0.35">
      <c r="A224" s="110" t="s">
        <v>611</v>
      </c>
      <c r="B224" s="110" t="s">
        <v>612</v>
      </c>
      <c r="C224" s="110" t="s">
        <v>613</v>
      </c>
      <c r="D224" s="110" t="s">
        <v>614</v>
      </c>
      <c r="E224" s="110" t="s">
        <v>81</v>
      </c>
      <c r="F224" s="110" t="s">
        <v>615</v>
      </c>
      <c r="G224" s="110" t="s">
        <v>616</v>
      </c>
      <c r="H224" s="110" t="s">
        <v>617</v>
      </c>
      <c r="I224" s="110" t="s">
        <v>618</v>
      </c>
      <c r="J224" s="110" t="s">
        <v>390</v>
      </c>
      <c r="K224" s="110" t="s">
        <v>351</v>
      </c>
      <c r="L224" s="110" t="s">
        <v>352</v>
      </c>
      <c r="M224" s="110" t="s">
        <v>292</v>
      </c>
      <c r="N224" s="110" t="s">
        <v>353</v>
      </c>
      <c r="O224" s="110" t="s">
        <v>619</v>
      </c>
    </row>
    <row r="225" spans="1:15" ht="29" x14ac:dyDescent="0.35">
      <c r="A225" s="105" t="s">
        <v>620</v>
      </c>
      <c r="B225" s="105" t="s">
        <v>621</v>
      </c>
      <c r="C225" s="105" t="s">
        <v>622</v>
      </c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</row>
    <row r="226" spans="1:15" ht="29" x14ac:dyDescent="0.35">
      <c r="A226" s="105" t="s">
        <v>623</v>
      </c>
      <c r="B226" s="105" t="s">
        <v>624</v>
      </c>
      <c r="C226" s="105" t="s">
        <v>622</v>
      </c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</row>
    <row r="227" spans="1:15" ht="29" x14ac:dyDescent="0.35">
      <c r="A227" s="105" t="s">
        <v>625</v>
      </c>
      <c r="B227" s="105" t="s">
        <v>626</v>
      </c>
      <c r="C227" s="105" t="s">
        <v>622</v>
      </c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</row>
    <row r="228" spans="1:15" ht="29" x14ac:dyDescent="0.35">
      <c r="A228" s="105" t="s">
        <v>627</v>
      </c>
      <c r="B228" s="105" t="s">
        <v>628</v>
      </c>
      <c r="C228" s="105" t="s">
        <v>622</v>
      </c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</row>
    <row r="229" spans="1:15" ht="29" x14ac:dyDescent="0.35">
      <c r="A229" s="105" t="s">
        <v>629</v>
      </c>
      <c r="B229" s="105" t="s">
        <v>630</v>
      </c>
      <c r="C229" s="105" t="s">
        <v>622</v>
      </c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</row>
    <row r="230" spans="1:15" ht="29" x14ac:dyDescent="0.35">
      <c r="A230" s="105" t="s">
        <v>631</v>
      </c>
      <c r="B230" s="105" t="s">
        <v>632</v>
      </c>
      <c r="C230" s="105" t="s">
        <v>622</v>
      </c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</row>
    <row r="231" spans="1:15" ht="29" x14ac:dyDescent="0.35">
      <c r="A231" s="105" t="s">
        <v>633</v>
      </c>
      <c r="B231" s="105" t="s">
        <v>634</v>
      </c>
      <c r="C231" s="105" t="s">
        <v>622</v>
      </c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</row>
    <row r="232" spans="1:15" ht="29" x14ac:dyDescent="0.35">
      <c r="A232" s="105" t="s">
        <v>635</v>
      </c>
      <c r="B232" s="105" t="s">
        <v>636</v>
      </c>
      <c r="C232" s="105" t="s">
        <v>622</v>
      </c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</row>
    <row r="233" spans="1:15" ht="29" x14ac:dyDescent="0.35">
      <c r="A233" s="105" t="s">
        <v>637</v>
      </c>
      <c r="B233" s="105" t="s">
        <v>638</v>
      </c>
      <c r="C233" s="105" t="s">
        <v>622</v>
      </c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</row>
    <row r="234" spans="1:15" ht="29" x14ac:dyDescent="0.35">
      <c r="A234" s="105" t="s">
        <v>639</v>
      </c>
      <c r="B234" s="105" t="s">
        <v>640</v>
      </c>
      <c r="C234" s="105" t="s">
        <v>622</v>
      </c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</row>
    <row r="235" spans="1:15" ht="29" x14ac:dyDescent="0.35">
      <c r="A235" s="105" t="s">
        <v>641</v>
      </c>
      <c r="B235" s="105" t="s">
        <v>642</v>
      </c>
      <c r="C235" s="105" t="s">
        <v>622</v>
      </c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</row>
    <row r="236" spans="1:15" ht="29" x14ac:dyDescent="0.35">
      <c r="A236" s="105" t="s">
        <v>643</v>
      </c>
      <c r="B236" s="105" t="s">
        <v>703</v>
      </c>
      <c r="C236" s="105" t="s">
        <v>622</v>
      </c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</row>
    <row r="237" spans="1:15" ht="29" x14ac:dyDescent="0.35">
      <c r="A237" s="105" t="s">
        <v>644</v>
      </c>
      <c r="B237" s="105" t="s">
        <v>704</v>
      </c>
      <c r="C237" s="105" t="s">
        <v>622</v>
      </c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</row>
    <row r="238" spans="1:15" ht="29" x14ac:dyDescent="0.35">
      <c r="A238" s="105" t="s">
        <v>645</v>
      </c>
      <c r="B238" s="105" t="s">
        <v>705</v>
      </c>
      <c r="C238" s="105" t="s">
        <v>622</v>
      </c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</row>
    <row r="239" spans="1:15" ht="29" x14ac:dyDescent="0.35">
      <c r="A239" s="105" t="s">
        <v>646</v>
      </c>
      <c r="B239" s="105" t="s">
        <v>647</v>
      </c>
      <c r="C239" s="105" t="s">
        <v>648</v>
      </c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</row>
    <row r="240" spans="1:15" ht="29" x14ac:dyDescent="0.35">
      <c r="A240" s="105" t="s">
        <v>649</v>
      </c>
      <c r="B240" s="105" t="s">
        <v>650</v>
      </c>
      <c r="C240" s="105" t="s">
        <v>622</v>
      </c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</row>
    <row r="241" spans="1:15" ht="29" x14ac:dyDescent="0.35">
      <c r="A241" s="105" t="s">
        <v>651</v>
      </c>
      <c r="B241" s="105" t="s">
        <v>652</v>
      </c>
      <c r="C241" s="105" t="s">
        <v>648</v>
      </c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</row>
    <row r="242" spans="1:15" ht="29" x14ac:dyDescent="0.35">
      <c r="A242" s="105" t="s">
        <v>653</v>
      </c>
      <c r="B242" s="105" t="s">
        <v>654</v>
      </c>
      <c r="C242" s="105" t="s">
        <v>622</v>
      </c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</row>
    <row r="243" spans="1:15" ht="29" x14ac:dyDescent="0.35">
      <c r="A243" s="105" t="s">
        <v>655</v>
      </c>
      <c r="B243" s="105" t="s">
        <v>656</v>
      </c>
      <c r="C243" s="105" t="s">
        <v>657</v>
      </c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</row>
    <row r="244" spans="1:15" ht="29" x14ac:dyDescent="0.35">
      <c r="A244" s="105" t="s">
        <v>658</v>
      </c>
      <c r="B244" s="105" t="s">
        <v>659</v>
      </c>
      <c r="C244" s="105" t="s">
        <v>622</v>
      </c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</row>
    <row r="245" spans="1:15" ht="29" x14ac:dyDescent="0.35">
      <c r="A245" s="105" t="s">
        <v>660</v>
      </c>
      <c r="B245" s="105" t="s">
        <v>661</v>
      </c>
      <c r="C245" s="105" t="s">
        <v>622</v>
      </c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</row>
    <row r="246" spans="1:15" ht="29" x14ac:dyDescent="0.35">
      <c r="A246" s="105" t="s">
        <v>662</v>
      </c>
      <c r="B246" s="105" t="s">
        <v>663</v>
      </c>
      <c r="C246" s="105" t="s">
        <v>622</v>
      </c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</row>
    <row r="247" spans="1:15" ht="29" x14ac:dyDescent="0.35">
      <c r="A247" s="105" t="s">
        <v>664</v>
      </c>
      <c r="B247" s="105" t="s">
        <v>665</v>
      </c>
      <c r="C247" s="105" t="s">
        <v>622</v>
      </c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</row>
    <row r="248" spans="1:15" ht="29" x14ac:dyDescent="0.35">
      <c r="A248" s="105" t="s">
        <v>666</v>
      </c>
      <c r="B248" s="105" t="s">
        <v>667</v>
      </c>
      <c r="C248" s="105" t="s">
        <v>622</v>
      </c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</row>
    <row r="249" spans="1:15" ht="29" x14ac:dyDescent="0.35">
      <c r="A249" s="105" t="s">
        <v>668</v>
      </c>
      <c r="B249" s="105" t="s">
        <v>669</v>
      </c>
      <c r="C249" s="105" t="s">
        <v>622</v>
      </c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</row>
    <row r="250" spans="1:15" x14ac:dyDescent="0.35">
      <c r="A250" s="105" t="s">
        <v>670</v>
      </c>
      <c r="B250" s="105" t="s">
        <v>671</v>
      </c>
      <c r="C250" s="105" t="s">
        <v>622</v>
      </c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</row>
    <row r="251" spans="1:15" ht="29" x14ac:dyDescent="0.35">
      <c r="A251" s="105" t="s">
        <v>672</v>
      </c>
      <c r="B251" s="105" t="s">
        <v>673</v>
      </c>
      <c r="C251" s="105" t="s">
        <v>622</v>
      </c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</row>
    <row r="252" spans="1:15" ht="29" x14ac:dyDescent="0.35">
      <c r="A252" s="105" t="s">
        <v>674</v>
      </c>
      <c r="B252" s="105" t="s">
        <v>675</v>
      </c>
      <c r="C252" s="105" t="s">
        <v>622</v>
      </c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</row>
    <row r="253" spans="1:15" ht="29" x14ac:dyDescent="0.35">
      <c r="A253" s="105" t="s">
        <v>676</v>
      </c>
      <c r="B253" s="105" t="s">
        <v>677</v>
      </c>
      <c r="C253" s="105" t="s">
        <v>622</v>
      </c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</row>
    <row r="254" spans="1:15" ht="29" x14ac:dyDescent="0.35">
      <c r="A254" s="105" t="s">
        <v>678</v>
      </c>
      <c r="B254" s="105" t="s">
        <v>679</v>
      </c>
      <c r="C254" s="105" t="s">
        <v>622</v>
      </c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</row>
    <row r="255" spans="1:15" ht="29" x14ac:dyDescent="0.35">
      <c r="A255" s="105" t="s">
        <v>680</v>
      </c>
      <c r="B255" s="105" t="s">
        <v>706</v>
      </c>
      <c r="C255" s="105" t="s">
        <v>622</v>
      </c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</row>
    <row r="256" spans="1:15" ht="29" x14ac:dyDescent="0.35">
      <c r="A256" s="105" t="s">
        <v>681</v>
      </c>
      <c r="B256" s="105" t="s">
        <v>682</v>
      </c>
      <c r="C256" s="105" t="s">
        <v>683</v>
      </c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</row>
    <row r="257" spans="1:15" ht="29" x14ac:dyDescent="0.35">
      <c r="A257" s="105" t="s">
        <v>684</v>
      </c>
      <c r="B257" s="105" t="s">
        <v>685</v>
      </c>
      <c r="C257" s="105" t="s">
        <v>686</v>
      </c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</row>
    <row r="258" spans="1:15" ht="29" x14ac:dyDescent="0.35">
      <c r="A258" s="105" t="s">
        <v>687</v>
      </c>
      <c r="B258" s="105" t="s">
        <v>688</v>
      </c>
      <c r="C258" s="105" t="s">
        <v>686</v>
      </c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</row>
    <row r="259" spans="1:15" ht="29" x14ac:dyDescent="0.35">
      <c r="A259" s="105" t="s">
        <v>689</v>
      </c>
      <c r="B259" s="105" t="s">
        <v>690</v>
      </c>
      <c r="C259" s="105" t="s">
        <v>686</v>
      </c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</row>
    <row r="260" spans="1:15" ht="29" x14ac:dyDescent="0.35">
      <c r="A260" s="105" t="s">
        <v>691</v>
      </c>
      <c r="B260" s="105" t="s">
        <v>692</v>
      </c>
      <c r="C260" s="105" t="s">
        <v>686</v>
      </c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</row>
    <row r="261" spans="1:15" ht="29" x14ac:dyDescent="0.35">
      <c r="A261" s="105" t="s">
        <v>693</v>
      </c>
      <c r="B261" s="105" t="s">
        <v>694</v>
      </c>
      <c r="C261" s="105" t="s">
        <v>686</v>
      </c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</row>
    <row r="262" spans="1:15" ht="29" x14ac:dyDescent="0.35">
      <c r="A262" s="105" t="s">
        <v>695</v>
      </c>
      <c r="B262" s="105" t="s">
        <v>696</v>
      </c>
      <c r="C262" s="105" t="s">
        <v>686</v>
      </c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</row>
    <row r="263" spans="1:15" ht="29" x14ac:dyDescent="0.35">
      <c r="A263" s="105" t="s">
        <v>697</v>
      </c>
      <c r="B263" s="105" t="s">
        <v>698</v>
      </c>
      <c r="C263" s="105" t="s">
        <v>686</v>
      </c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</row>
    <row r="264" spans="1:15" x14ac:dyDescent="0.35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</row>
    <row r="265" spans="1:15" x14ac:dyDescent="0.35">
      <c r="A265" s="166" t="s">
        <v>713</v>
      </c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2"/>
    </row>
    <row r="266" spans="1:15" ht="58" x14ac:dyDescent="0.35">
      <c r="A266" s="108" t="s">
        <v>700</v>
      </c>
      <c r="B266" s="108" t="s">
        <v>701</v>
      </c>
      <c r="C266" s="108" t="s">
        <v>390</v>
      </c>
      <c r="D266" s="108" t="s">
        <v>351</v>
      </c>
      <c r="E266" s="108" t="s">
        <v>352</v>
      </c>
      <c r="F266" s="108" t="s">
        <v>292</v>
      </c>
      <c r="G266" s="108" t="s">
        <v>619</v>
      </c>
      <c r="H266" s="108" t="s">
        <v>353</v>
      </c>
      <c r="I266" s="108" t="s">
        <v>610</v>
      </c>
      <c r="J266" s="105"/>
      <c r="K266" s="105"/>
      <c r="L266" s="105"/>
      <c r="M266" s="105"/>
      <c r="N266" s="105"/>
      <c r="O266" s="105"/>
    </row>
    <row r="267" spans="1:15" x14ac:dyDescent="0.35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</row>
    <row r="268" spans="1:15" x14ac:dyDescent="0.35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</row>
    <row r="269" spans="1:15" x14ac:dyDescent="0.35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</row>
    <row r="270" spans="1:15" x14ac:dyDescent="0.35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</row>
    <row r="271" spans="1:15" x14ac:dyDescent="0.35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</row>
    <row r="272" spans="1:15" x14ac:dyDescent="0.35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</row>
    <row r="273" spans="1:15" x14ac:dyDescent="0.35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</row>
    <row r="274" spans="1:15" x14ac:dyDescent="0.35">
      <c r="A274" s="167" t="s">
        <v>714</v>
      </c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2"/>
    </row>
    <row r="275" spans="1:15" ht="72.5" x14ac:dyDescent="0.35">
      <c r="A275" s="108" t="s">
        <v>600</v>
      </c>
      <c r="B275" s="108"/>
      <c r="C275" s="108" t="s">
        <v>601</v>
      </c>
      <c r="D275" s="108"/>
      <c r="E275" s="108" t="s">
        <v>602</v>
      </c>
      <c r="F275" s="108"/>
      <c r="G275" s="108" t="s">
        <v>603</v>
      </c>
      <c r="H275" s="108"/>
      <c r="I275" s="108" t="s">
        <v>604</v>
      </c>
      <c r="J275" s="108"/>
      <c r="K275" s="108" t="s">
        <v>6</v>
      </c>
      <c r="L275" s="108"/>
      <c r="M275" s="108" t="s">
        <v>605</v>
      </c>
      <c r="N275" s="108"/>
      <c r="O275" s="108"/>
    </row>
    <row r="276" spans="1:15" ht="72.5" x14ac:dyDescent="0.35">
      <c r="A276" s="108" t="s">
        <v>606</v>
      </c>
      <c r="B276" s="108"/>
      <c r="C276" s="108" t="s">
        <v>607</v>
      </c>
      <c r="D276" s="108"/>
      <c r="E276" s="108" t="s">
        <v>608</v>
      </c>
      <c r="F276" s="108"/>
      <c r="G276" s="108" t="s">
        <v>609</v>
      </c>
      <c r="H276" s="108"/>
      <c r="I276" s="108" t="s">
        <v>610</v>
      </c>
      <c r="J276" s="109">
        <f>IFERROR(COUNTIF(E279:E317,"Yes")/(COUNTIF(E279:E317,"Yes")+COUNTIF(F279:F317,"No")),0)</f>
        <v>0</v>
      </c>
      <c r="K276" s="108"/>
      <c r="L276" s="108" t="str">
        <f>IF(J276&gt;=0.9,"Green",IF(J276&gt;=0.75,"Amber","Red"))</f>
        <v>Red</v>
      </c>
      <c r="M276" s="108"/>
      <c r="N276" s="108"/>
      <c r="O276" s="108"/>
    </row>
    <row r="277" spans="1:15" x14ac:dyDescent="0.35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</row>
    <row r="278" spans="1:15" ht="29" x14ac:dyDescent="0.35">
      <c r="A278" s="110" t="s">
        <v>611</v>
      </c>
      <c r="B278" s="110" t="s">
        <v>612</v>
      </c>
      <c r="C278" s="110" t="s">
        <v>613</v>
      </c>
      <c r="D278" s="110" t="s">
        <v>614</v>
      </c>
      <c r="E278" s="110" t="s">
        <v>81</v>
      </c>
      <c r="F278" s="110" t="s">
        <v>615</v>
      </c>
      <c r="G278" s="110" t="s">
        <v>616</v>
      </c>
      <c r="H278" s="110" t="s">
        <v>617</v>
      </c>
      <c r="I278" s="110" t="s">
        <v>618</v>
      </c>
      <c r="J278" s="110" t="s">
        <v>390</v>
      </c>
      <c r="K278" s="110" t="s">
        <v>351</v>
      </c>
      <c r="L278" s="110" t="s">
        <v>352</v>
      </c>
      <c r="M278" s="110" t="s">
        <v>292</v>
      </c>
      <c r="N278" s="110" t="s">
        <v>353</v>
      </c>
      <c r="O278" s="110" t="s">
        <v>619</v>
      </c>
    </row>
    <row r="279" spans="1:15" ht="29" x14ac:dyDescent="0.35">
      <c r="A279" s="105" t="s">
        <v>620</v>
      </c>
      <c r="B279" s="105" t="s">
        <v>621</v>
      </c>
      <c r="C279" s="105" t="s">
        <v>622</v>
      </c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</row>
    <row r="280" spans="1:15" ht="29" x14ac:dyDescent="0.35">
      <c r="A280" s="105" t="s">
        <v>623</v>
      </c>
      <c r="B280" s="105" t="s">
        <v>624</v>
      </c>
      <c r="C280" s="105" t="s">
        <v>622</v>
      </c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</row>
    <row r="281" spans="1:15" ht="29" x14ac:dyDescent="0.35">
      <c r="A281" s="105" t="s">
        <v>625</v>
      </c>
      <c r="B281" s="105" t="s">
        <v>626</v>
      </c>
      <c r="C281" s="105" t="s">
        <v>622</v>
      </c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</row>
    <row r="282" spans="1:15" ht="29" x14ac:dyDescent="0.35">
      <c r="A282" s="105" t="s">
        <v>627</v>
      </c>
      <c r="B282" s="105" t="s">
        <v>628</v>
      </c>
      <c r="C282" s="105" t="s">
        <v>622</v>
      </c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</row>
    <row r="283" spans="1:15" ht="29" x14ac:dyDescent="0.35">
      <c r="A283" s="105" t="s">
        <v>629</v>
      </c>
      <c r="B283" s="105" t="s">
        <v>630</v>
      </c>
      <c r="C283" s="105" t="s">
        <v>622</v>
      </c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</row>
    <row r="284" spans="1:15" ht="29" x14ac:dyDescent="0.35">
      <c r="A284" s="105" t="s">
        <v>631</v>
      </c>
      <c r="B284" s="105" t="s">
        <v>632</v>
      </c>
      <c r="C284" s="105" t="s">
        <v>622</v>
      </c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</row>
    <row r="285" spans="1:15" ht="29" x14ac:dyDescent="0.35">
      <c r="A285" s="105" t="s">
        <v>633</v>
      </c>
      <c r="B285" s="105" t="s">
        <v>634</v>
      </c>
      <c r="C285" s="105" t="s">
        <v>622</v>
      </c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</row>
    <row r="286" spans="1:15" ht="29" x14ac:dyDescent="0.35">
      <c r="A286" s="105" t="s">
        <v>635</v>
      </c>
      <c r="B286" s="105" t="s">
        <v>636</v>
      </c>
      <c r="C286" s="105" t="s">
        <v>622</v>
      </c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</row>
    <row r="287" spans="1:15" ht="29" x14ac:dyDescent="0.35">
      <c r="A287" s="105" t="s">
        <v>637</v>
      </c>
      <c r="B287" s="105" t="s">
        <v>638</v>
      </c>
      <c r="C287" s="105" t="s">
        <v>622</v>
      </c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</row>
    <row r="288" spans="1:15" ht="29" x14ac:dyDescent="0.35">
      <c r="A288" s="105" t="s">
        <v>639</v>
      </c>
      <c r="B288" s="105" t="s">
        <v>640</v>
      </c>
      <c r="C288" s="105" t="s">
        <v>622</v>
      </c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</row>
    <row r="289" spans="1:15" ht="29" x14ac:dyDescent="0.35">
      <c r="A289" s="105" t="s">
        <v>641</v>
      </c>
      <c r="B289" s="105" t="s">
        <v>642</v>
      </c>
      <c r="C289" s="105" t="s">
        <v>622</v>
      </c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</row>
    <row r="290" spans="1:15" ht="29" x14ac:dyDescent="0.35">
      <c r="A290" s="105" t="s">
        <v>643</v>
      </c>
      <c r="B290" s="105" t="s">
        <v>703</v>
      </c>
      <c r="C290" s="105" t="s">
        <v>622</v>
      </c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</row>
    <row r="291" spans="1:15" ht="29" x14ac:dyDescent="0.35">
      <c r="A291" s="105" t="s">
        <v>644</v>
      </c>
      <c r="B291" s="105" t="s">
        <v>704</v>
      </c>
      <c r="C291" s="105" t="s">
        <v>622</v>
      </c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</row>
    <row r="292" spans="1:15" ht="29" x14ac:dyDescent="0.35">
      <c r="A292" s="105" t="s">
        <v>645</v>
      </c>
      <c r="B292" s="105" t="s">
        <v>705</v>
      </c>
      <c r="C292" s="105" t="s">
        <v>622</v>
      </c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</row>
    <row r="293" spans="1:15" ht="29" x14ac:dyDescent="0.35">
      <c r="A293" s="105" t="s">
        <v>646</v>
      </c>
      <c r="B293" s="105" t="s">
        <v>647</v>
      </c>
      <c r="C293" s="105" t="s">
        <v>648</v>
      </c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</row>
    <row r="294" spans="1:15" ht="29" x14ac:dyDescent="0.35">
      <c r="A294" s="105" t="s">
        <v>649</v>
      </c>
      <c r="B294" s="105" t="s">
        <v>650</v>
      </c>
      <c r="C294" s="105" t="s">
        <v>622</v>
      </c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</row>
    <row r="295" spans="1:15" ht="29" x14ac:dyDescent="0.35">
      <c r="A295" s="105" t="s">
        <v>651</v>
      </c>
      <c r="B295" s="105" t="s">
        <v>652</v>
      </c>
      <c r="C295" s="105" t="s">
        <v>648</v>
      </c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</row>
    <row r="296" spans="1:15" ht="29" x14ac:dyDescent="0.35">
      <c r="A296" s="105" t="s">
        <v>653</v>
      </c>
      <c r="B296" s="105" t="s">
        <v>654</v>
      </c>
      <c r="C296" s="105" t="s">
        <v>622</v>
      </c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</row>
    <row r="297" spans="1:15" ht="29" x14ac:dyDescent="0.35">
      <c r="A297" s="105" t="s">
        <v>655</v>
      </c>
      <c r="B297" s="105" t="s">
        <v>656</v>
      </c>
      <c r="C297" s="105" t="s">
        <v>657</v>
      </c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</row>
    <row r="298" spans="1:15" ht="29" x14ac:dyDescent="0.35">
      <c r="A298" s="105" t="s">
        <v>658</v>
      </c>
      <c r="B298" s="105" t="s">
        <v>659</v>
      </c>
      <c r="C298" s="105" t="s">
        <v>622</v>
      </c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</row>
    <row r="299" spans="1:15" ht="29" x14ac:dyDescent="0.35">
      <c r="A299" s="105" t="s">
        <v>660</v>
      </c>
      <c r="B299" s="105" t="s">
        <v>661</v>
      </c>
      <c r="C299" s="105" t="s">
        <v>622</v>
      </c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</row>
    <row r="300" spans="1:15" ht="29" x14ac:dyDescent="0.35">
      <c r="A300" s="105" t="s">
        <v>662</v>
      </c>
      <c r="B300" s="105" t="s">
        <v>663</v>
      </c>
      <c r="C300" s="105" t="s">
        <v>622</v>
      </c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</row>
    <row r="301" spans="1:15" ht="29" x14ac:dyDescent="0.35">
      <c r="A301" s="105" t="s">
        <v>664</v>
      </c>
      <c r="B301" s="105" t="s">
        <v>665</v>
      </c>
      <c r="C301" s="105" t="s">
        <v>622</v>
      </c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</row>
    <row r="302" spans="1:15" ht="29" x14ac:dyDescent="0.35">
      <c r="A302" s="105" t="s">
        <v>666</v>
      </c>
      <c r="B302" s="105" t="s">
        <v>667</v>
      </c>
      <c r="C302" s="105" t="s">
        <v>622</v>
      </c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</row>
    <row r="303" spans="1:15" ht="29" x14ac:dyDescent="0.35">
      <c r="A303" s="105" t="s">
        <v>668</v>
      </c>
      <c r="B303" s="105" t="s">
        <v>669</v>
      </c>
      <c r="C303" s="105" t="s">
        <v>622</v>
      </c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</row>
    <row r="304" spans="1:15" x14ac:dyDescent="0.35">
      <c r="A304" s="105" t="s">
        <v>670</v>
      </c>
      <c r="B304" s="105" t="s">
        <v>671</v>
      </c>
      <c r="C304" s="105" t="s">
        <v>622</v>
      </c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</row>
    <row r="305" spans="1:15" ht="29" x14ac:dyDescent="0.35">
      <c r="A305" s="105" t="s">
        <v>672</v>
      </c>
      <c r="B305" s="105" t="s">
        <v>673</v>
      </c>
      <c r="C305" s="105" t="s">
        <v>622</v>
      </c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</row>
    <row r="306" spans="1:15" ht="29" x14ac:dyDescent="0.35">
      <c r="A306" s="105" t="s">
        <v>674</v>
      </c>
      <c r="B306" s="105" t="s">
        <v>675</v>
      </c>
      <c r="C306" s="105" t="s">
        <v>622</v>
      </c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</row>
    <row r="307" spans="1:15" ht="29" x14ac:dyDescent="0.35">
      <c r="A307" s="105" t="s">
        <v>676</v>
      </c>
      <c r="B307" s="105" t="s">
        <v>677</v>
      </c>
      <c r="C307" s="105" t="s">
        <v>622</v>
      </c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</row>
    <row r="308" spans="1:15" ht="29" x14ac:dyDescent="0.35">
      <c r="A308" s="105" t="s">
        <v>678</v>
      </c>
      <c r="B308" s="105" t="s">
        <v>679</v>
      </c>
      <c r="C308" s="105" t="s">
        <v>622</v>
      </c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</row>
    <row r="309" spans="1:15" ht="29" x14ac:dyDescent="0.35">
      <c r="A309" s="105" t="s">
        <v>680</v>
      </c>
      <c r="B309" s="105" t="s">
        <v>706</v>
      </c>
      <c r="C309" s="105" t="s">
        <v>622</v>
      </c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</row>
    <row r="310" spans="1:15" ht="29" x14ac:dyDescent="0.35">
      <c r="A310" s="105" t="s">
        <v>681</v>
      </c>
      <c r="B310" s="105" t="s">
        <v>682</v>
      </c>
      <c r="C310" s="105" t="s">
        <v>683</v>
      </c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</row>
    <row r="311" spans="1:15" ht="29" x14ac:dyDescent="0.35">
      <c r="A311" s="105" t="s">
        <v>684</v>
      </c>
      <c r="B311" s="105" t="s">
        <v>685</v>
      </c>
      <c r="C311" s="105" t="s">
        <v>686</v>
      </c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</row>
    <row r="312" spans="1:15" ht="29" x14ac:dyDescent="0.35">
      <c r="A312" s="105" t="s">
        <v>687</v>
      </c>
      <c r="B312" s="105" t="s">
        <v>688</v>
      </c>
      <c r="C312" s="105" t="s">
        <v>686</v>
      </c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</row>
    <row r="313" spans="1:15" ht="29" x14ac:dyDescent="0.35">
      <c r="A313" s="105" t="s">
        <v>689</v>
      </c>
      <c r="B313" s="105" t="s">
        <v>690</v>
      </c>
      <c r="C313" s="105" t="s">
        <v>686</v>
      </c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</row>
    <row r="314" spans="1:15" ht="29" x14ac:dyDescent="0.35">
      <c r="A314" s="105" t="s">
        <v>691</v>
      </c>
      <c r="B314" s="105" t="s">
        <v>692</v>
      </c>
      <c r="C314" s="105" t="s">
        <v>686</v>
      </c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</row>
    <row r="315" spans="1:15" ht="29" x14ac:dyDescent="0.35">
      <c r="A315" s="105" t="s">
        <v>693</v>
      </c>
      <c r="B315" s="105" t="s">
        <v>694</v>
      </c>
      <c r="C315" s="105" t="s">
        <v>686</v>
      </c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</row>
    <row r="316" spans="1:15" ht="29" x14ac:dyDescent="0.35">
      <c r="A316" s="105" t="s">
        <v>695</v>
      </c>
      <c r="B316" s="105" t="s">
        <v>696</v>
      </c>
      <c r="C316" s="105" t="s">
        <v>686</v>
      </c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</row>
    <row r="317" spans="1:15" ht="29" x14ac:dyDescent="0.35">
      <c r="A317" s="105" t="s">
        <v>697</v>
      </c>
      <c r="B317" s="105" t="s">
        <v>698</v>
      </c>
      <c r="C317" s="105" t="s">
        <v>686</v>
      </c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</row>
    <row r="318" spans="1:15" x14ac:dyDescent="0.35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</row>
    <row r="319" spans="1:15" x14ac:dyDescent="0.35">
      <c r="A319" s="166" t="s">
        <v>715</v>
      </c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2"/>
    </row>
    <row r="320" spans="1:15" ht="58" x14ac:dyDescent="0.35">
      <c r="A320" s="108" t="s">
        <v>700</v>
      </c>
      <c r="B320" s="108" t="s">
        <v>701</v>
      </c>
      <c r="C320" s="108" t="s">
        <v>390</v>
      </c>
      <c r="D320" s="108" t="s">
        <v>351</v>
      </c>
      <c r="E320" s="108" t="s">
        <v>352</v>
      </c>
      <c r="F320" s="108" t="s">
        <v>292</v>
      </c>
      <c r="G320" s="108" t="s">
        <v>619</v>
      </c>
      <c r="H320" s="108" t="s">
        <v>353</v>
      </c>
      <c r="I320" s="108" t="s">
        <v>610</v>
      </c>
      <c r="J320" s="105"/>
      <c r="K320" s="105"/>
      <c r="L320" s="105"/>
      <c r="M320" s="105"/>
      <c r="N320" s="105"/>
      <c r="O320" s="105"/>
    </row>
    <row r="321" spans="1:15" x14ac:dyDescent="0.35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</row>
    <row r="322" spans="1:15" x14ac:dyDescent="0.35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</row>
    <row r="323" spans="1:15" x14ac:dyDescent="0.35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</row>
    <row r="324" spans="1:15" x14ac:dyDescent="0.35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</row>
    <row r="325" spans="1:15" x14ac:dyDescent="0.3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</row>
    <row r="326" spans="1:15" x14ac:dyDescent="0.35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</row>
    <row r="327" spans="1:15" x14ac:dyDescent="0.35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</row>
    <row r="328" spans="1:15" x14ac:dyDescent="0.35">
      <c r="A328" s="167" t="s">
        <v>716</v>
      </c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2"/>
    </row>
    <row r="329" spans="1:15" ht="72.5" x14ac:dyDescent="0.35">
      <c r="A329" s="108" t="s">
        <v>600</v>
      </c>
      <c r="B329" s="108"/>
      <c r="C329" s="108" t="s">
        <v>601</v>
      </c>
      <c r="D329" s="108"/>
      <c r="E329" s="108" t="s">
        <v>602</v>
      </c>
      <c r="F329" s="108"/>
      <c r="G329" s="108" t="s">
        <v>603</v>
      </c>
      <c r="H329" s="108"/>
      <c r="I329" s="108" t="s">
        <v>604</v>
      </c>
      <c r="J329" s="108"/>
      <c r="K329" s="108" t="s">
        <v>6</v>
      </c>
      <c r="L329" s="108"/>
      <c r="M329" s="108" t="s">
        <v>605</v>
      </c>
      <c r="N329" s="108"/>
      <c r="O329" s="108"/>
    </row>
    <row r="330" spans="1:15" ht="72.5" x14ac:dyDescent="0.35">
      <c r="A330" s="108" t="s">
        <v>606</v>
      </c>
      <c r="B330" s="108"/>
      <c r="C330" s="108" t="s">
        <v>607</v>
      </c>
      <c r="D330" s="108"/>
      <c r="E330" s="108" t="s">
        <v>608</v>
      </c>
      <c r="F330" s="108"/>
      <c r="G330" s="108" t="s">
        <v>609</v>
      </c>
      <c r="H330" s="108"/>
      <c r="I330" s="108" t="s">
        <v>610</v>
      </c>
      <c r="J330" s="109">
        <f>IFERROR(COUNTIF(E333:E371,"Yes")/(COUNTIF(E333:E371,"Yes")+COUNTIF(F333:F371,"No")),0)</f>
        <v>0</v>
      </c>
      <c r="K330" s="108"/>
      <c r="L330" s="108" t="str">
        <f>IF(J330&gt;=0.9,"Green",IF(J330&gt;=0.75,"Amber","Red"))</f>
        <v>Red</v>
      </c>
      <c r="M330" s="108"/>
      <c r="N330" s="108"/>
      <c r="O330" s="108"/>
    </row>
    <row r="331" spans="1:15" x14ac:dyDescent="0.35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</row>
    <row r="332" spans="1:15" ht="29" x14ac:dyDescent="0.35">
      <c r="A332" s="110" t="s">
        <v>611</v>
      </c>
      <c r="B332" s="110" t="s">
        <v>612</v>
      </c>
      <c r="C332" s="110" t="s">
        <v>613</v>
      </c>
      <c r="D332" s="110" t="s">
        <v>614</v>
      </c>
      <c r="E332" s="110" t="s">
        <v>81</v>
      </c>
      <c r="F332" s="110" t="s">
        <v>615</v>
      </c>
      <c r="G332" s="110" t="s">
        <v>616</v>
      </c>
      <c r="H332" s="110" t="s">
        <v>617</v>
      </c>
      <c r="I332" s="110" t="s">
        <v>618</v>
      </c>
      <c r="J332" s="110" t="s">
        <v>390</v>
      </c>
      <c r="K332" s="110" t="s">
        <v>351</v>
      </c>
      <c r="L332" s="110" t="s">
        <v>352</v>
      </c>
      <c r="M332" s="110" t="s">
        <v>292</v>
      </c>
      <c r="N332" s="110" t="s">
        <v>353</v>
      </c>
      <c r="O332" s="110" t="s">
        <v>619</v>
      </c>
    </row>
    <row r="333" spans="1:15" ht="29" x14ac:dyDescent="0.35">
      <c r="A333" s="105" t="s">
        <v>620</v>
      </c>
      <c r="B333" s="105" t="s">
        <v>621</v>
      </c>
      <c r="C333" s="105" t="s">
        <v>622</v>
      </c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</row>
    <row r="334" spans="1:15" ht="29" x14ac:dyDescent="0.35">
      <c r="A334" s="105" t="s">
        <v>623</v>
      </c>
      <c r="B334" s="105" t="s">
        <v>624</v>
      </c>
      <c r="C334" s="105" t="s">
        <v>622</v>
      </c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</row>
    <row r="335" spans="1:15" ht="29" x14ac:dyDescent="0.35">
      <c r="A335" s="105" t="s">
        <v>625</v>
      </c>
      <c r="B335" s="105" t="s">
        <v>626</v>
      </c>
      <c r="C335" s="105" t="s">
        <v>622</v>
      </c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</row>
    <row r="336" spans="1:15" ht="29" x14ac:dyDescent="0.35">
      <c r="A336" s="105" t="s">
        <v>627</v>
      </c>
      <c r="B336" s="105" t="s">
        <v>628</v>
      </c>
      <c r="C336" s="105" t="s">
        <v>622</v>
      </c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</row>
    <row r="337" spans="1:15" ht="29" x14ac:dyDescent="0.35">
      <c r="A337" s="105" t="s">
        <v>629</v>
      </c>
      <c r="B337" s="105" t="s">
        <v>630</v>
      </c>
      <c r="C337" s="105" t="s">
        <v>622</v>
      </c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</row>
    <row r="338" spans="1:15" ht="29" x14ac:dyDescent="0.35">
      <c r="A338" s="105" t="s">
        <v>631</v>
      </c>
      <c r="B338" s="105" t="s">
        <v>632</v>
      </c>
      <c r="C338" s="105" t="s">
        <v>622</v>
      </c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</row>
    <row r="339" spans="1:15" ht="29" x14ac:dyDescent="0.35">
      <c r="A339" s="105" t="s">
        <v>633</v>
      </c>
      <c r="B339" s="105" t="s">
        <v>634</v>
      </c>
      <c r="C339" s="105" t="s">
        <v>622</v>
      </c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</row>
    <row r="340" spans="1:15" ht="29" x14ac:dyDescent="0.35">
      <c r="A340" s="105" t="s">
        <v>635</v>
      </c>
      <c r="B340" s="105" t="s">
        <v>636</v>
      </c>
      <c r="C340" s="105" t="s">
        <v>622</v>
      </c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</row>
    <row r="341" spans="1:15" ht="29" x14ac:dyDescent="0.35">
      <c r="A341" s="105" t="s">
        <v>637</v>
      </c>
      <c r="B341" s="105" t="s">
        <v>638</v>
      </c>
      <c r="C341" s="105" t="s">
        <v>622</v>
      </c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</row>
    <row r="342" spans="1:15" ht="29" x14ac:dyDescent="0.35">
      <c r="A342" s="105" t="s">
        <v>639</v>
      </c>
      <c r="B342" s="105" t="s">
        <v>640</v>
      </c>
      <c r="C342" s="105" t="s">
        <v>622</v>
      </c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</row>
    <row r="343" spans="1:15" ht="29" x14ac:dyDescent="0.35">
      <c r="A343" s="105" t="s">
        <v>641</v>
      </c>
      <c r="B343" s="105" t="s">
        <v>642</v>
      </c>
      <c r="C343" s="105" t="s">
        <v>622</v>
      </c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</row>
    <row r="344" spans="1:15" ht="29" x14ac:dyDescent="0.35">
      <c r="A344" s="105" t="s">
        <v>643</v>
      </c>
      <c r="B344" s="105" t="s">
        <v>703</v>
      </c>
      <c r="C344" s="105" t="s">
        <v>622</v>
      </c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</row>
    <row r="345" spans="1:15" ht="29" x14ac:dyDescent="0.35">
      <c r="A345" s="105" t="s">
        <v>644</v>
      </c>
      <c r="B345" s="105" t="s">
        <v>704</v>
      </c>
      <c r="C345" s="105" t="s">
        <v>622</v>
      </c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</row>
    <row r="346" spans="1:15" ht="29" x14ac:dyDescent="0.35">
      <c r="A346" s="105" t="s">
        <v>645</v>
      </c>
      <c r="B346" s="105" t="s">
        <v>705</v>
      </c>
      <c r="C346" s="105" t="s">
        <v>622</v>
      </c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</row>
    <row r="347" spans="1:15" ht="29" x14ac:dyDescent="0.35">
      <c r="A347" s="105" t="s">
        <v>646</v>
      </c>
      <c r="B347" s="105" t="s">
        <v>647</v>
      </c>
      <c r="C347" s="105" t="s">
        <v>648</v>
      </c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</row>
    <row r="348" spans="1:15" ht="29" x14ac:dyDescent="0.35">
      <c r="A348" s="105" t="s">
        <v>649</v>
      </c>
      <c r="B348" s="105" t="s">
        <v>650</v>
      </c>
      <c r="C348" s="105" t="s">
        <v>622</v>
      </c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</row>
    <row r="349" spans="1:15" ht="29" x14ac:dyDescent="0.35">
      <c r="A349" s="105" t="s">
        <v>651</v>
      </c>
      <c r="B349" s="105" t="s">
        <v>652</v>
      </c>
      <c r="C349" s="105" t="s">
        <v>648</v>
      </c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</row>
    <row r="350" spans="1:15" ht="29" x14ac:dyDescent="0.35">
      <c r="A350" s="105" t="s">
        <v>653</v>
      </c>
      <c r="B350" s="105" t="s">
        <v>654</v>
      </c>
      <c r="C350" s="105" t="s">
        <v>622</v>
      </c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</row>
    <row r="351" spans="1:15" ht="29" x14ac:dyDescent="0.35">
      <c r="A351" s="105" t="s">
        <v>655</v>
      </c>
      <c r="B351" s="105" t="s">
        <v>656</v>
      </c>
      <c r="C351" s="105" t="s">
        <v>657</v>
      </c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</row>
    <row r="352" spans="1:15" ht="29" x14ac:dyDescent="0.35">
      <c r="A352" s="105" t="s">
        <v>658</v>
      </c>
      <c r="B352" s="105" t="s">
        <v>659</v>
      </c>
      <c r="C352" s="105" t="s">
        <v>622</v>
      </c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</row>
    <row r="353" spans="1:15" ht="29" x14ac:dyDescent="0.35">
      <c r="A353" s="105" t="s">
        <v>660</v>
      </c>
      <c r="B353" s="105" t="s">
        <v>661</v>
      </c>
      <c r="C353" s="105" t="s">
        <v>622</v>
      </c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</row>
    <row r="354" spans="1:15" ht="29" x14ac:dyDescent="0.35">
      <c r="A354" s="105" t="s">
        <v>662</v>
      </c>
      <c r="B354" s="105" t="s">
        <v>663</v>
      </c>
      <c r="C354" s="105" t="s">
        <v>622</v>
      </c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</row>
    <row r="355" spans="1:15" ht="29" x14ac:dyDescent="0.35">
      <c r="A355" s="105" t="s">
        <v>664</v>
      </c>
      <c r="B355" s="105" t="s">
        <v>665</v>
      </c>
      <c r="C355" s="105" t="s">
        <v>622</v>
      </c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</row>
    <row r="356" spans="1:15" ht="29" x14ac:dyDescent="0.35">
      <c r="A356" s="105" t="s">
        <v>666</v>
      </c>
      <c r="B356" s="105" t="s">
        <v>667</v>
      </c>
      <c r="C356" s="105" t="s">
        <v>622</v>
      </c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</row>
    <row r="357" spans="1:15" ht="29" x14ac:dyDescent="0.35">
      <c r="A357" s="105" t="s">
        <v>668</v>
      </c>
      <c r="B357" s="105" t="s">
        <v>669</v>
      </c>
      <c r="C357" s="105" t="s">
        <v>622</v>
      </c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</row>
    <row r="358" spans="1:15" x14ac:dyDescent="0.35">
      <c r="A358" s="105" t="s">
        <v>670</v>
      </c>
      <c r="B358" s="105" t="s">
        <v>671</v>
      </c>
      <c r="C358" s="105" t="s">
        <v>622</v>
      </c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</row>
    <row r="359" spans="1:15" ht="29" x14ac:dyDescent="0.35">
      <c r="A359" s="105" t="s">
        <v>672</v>
      </c>
      <c r="B359" s="105" t="s">
        <v>673</v>
      </c>
      <c r="C359" s="105" t="s">
        <v>622</v>
      </c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</row>
    <row r="360" spans="1:15" ht="29" x14ac:dyDescent="0.35">
      <c r="A360" s="105" t="s">
        <v>674</v>
      </c>
      <c r="B360" s="105" t="s">
        <v>675</v>
      </c>
      <c r="C360" s="105" t="s">
        <v>622</v>
      </c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</row>
    <row r="361" spans="1:15" ht="29" x14ac:dyDescent="0.35">
      <c r="A361" s="105" t="s">
        <v>676</v>
      </c>
      <c r="B361" s="105" t="s">
        <v>677</v>
      </c>
      <c r="C361" s="105" t="s">
        <v>622</v>
      </c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</row>
    <row r="362" spans="1:15" ht="29" x14ac:dyDescent="0.35">
      <c r="A362" s="105" t="s">
        <v>678</v>
      </c>
      <c r="B362" s="105" t="s">
        <v>679</v>
      </c>
      <c r="C362" s="105" t="s">
        <v>622</v>
      </c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</row>
    <row r="363" spans="1:15" ht="29" x14ac:dyDescent="0.35">
      <c r="A363" s="105" t="s">
        <v>680</v>
      </c>
      <c r="B363" s="105" t="s">
        <v>706</v>
      </c>
      <c r="C363" s="105" t="s">
        <v>622</v>
      </c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</row>
    <row r="364" spans="1:15" ht="29" x14ac:dyDescent="0.35">
      <c r="A364" s="105" t="s">
        <v>681</v>
      </c>
      <c r="B364" s="105" t="s">
        <v>682</v>
      </c>
      <c r="C364" s="105" t="s">
        <v>683</v>
      </c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</row>
    <row r="365" spans="1:15" ht="29" x14ac:dyDescent="0.35">
      <c r="A365" s="105" t="s">
        <v>684</v>
      </c>
      <c r="B365" s="105" t="s">
        <v>685</v>
      </c>
      <c r="C365" s="105" t="s">
        <v>686</v>
      </c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</row>
    <row r="366" spans="1:15" ht="29" x14ac:dyDescent="0.35">
      <c r="A366" s="105" t="s">
        <v>687</v>
      </c>
      <c r="B366" s="105" t="s">
        <v>688</v>
      </c>
      <c r="C366" s="105" t="s">
        <v>686</v>
      </c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</row>
    <row r="367" spans="1:15" ht="29" x14ac:dyDescent="0.35">
      <c r="A367" s="105" t="s">
        <v>689</v>
      </c>
      <c r="B367" s="105" t="s">
        <v>690</v>
      </c>
      <c r="C367" s="105" t="s">
        <v>686</v>
      </c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</row>
    <row r="368" spans="1:15" ht="29" x14ac:dyDescent="0.35">
      <c r="A368" s="105" t="s">
        <v>691</v>
      </c>
      <c r="B368" s="105" t="s">
        <v>692</v>
      </c>
      <c r="C368" s="105" t="s">
        <v>686</v>
      </c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</row>
    <row r="369" spans="1:15" ht="29" x14ac:dyDescent="0.35">
      <c r="A369" s="105" t="s">
        <v>693</v>
      </c>
      <c r="B369" s="105" t="s">
        <v>694</v>
      </c>
      <c r="C369" s="105" t="s">
        <v>686</v>
      </c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</row>
    <row r="370" spans="1:15" ht="29" x14ac:dyDescent="0.35">
      <c r="A370" s="105" t="s">
        <v>695</v>
      </c>
      <c r="B370" s="105" t="s">
        <v>696</v>
      </c>
      <c r="C370" s="105" t="s">
        <v>686</v>
      </c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</row>
    <row r="371" spans="1:15" ht="29" x14ac:dyDescent="0.35">
      <c r="A371" s="105" t="s">
        <v>697</v>
      </c>
      <c r="B371" s="105" t="s">
        <v>698</v>
      </c>
      <c r="C371" s="105" t="s">
        <v>686</v>
      </c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</row>
    <row r="372" spans="1:15" x14ac:dyDescent="0.35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</row>
    <row r="373" spans="1:15" x14ac:dyDescent="0.35">
      <c r="A373" s="166" t="s">
        <v>717</v>
      </c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2"/>
    </row>
    <row r="374" spans="1:15" ht="58" x14ac:dyDescent="0.35">
      <c r="A374" s="108" t="s">
        <v>700</v>
      </c>
      <c r="B374" s="108" t="s">
        <v>701</v>
      </c>
      <c r="C374" s="108" t="s">
        <v>390</v>
      </c>
      <c r="D374" s="108" t="s">
        <v>351</v>
      </c>
      <c r="E374" s="108" t="s">
        <v>352</v>
      </c>
      <c r="F374" s="108" t="s">
        <v>292</v>
      </c>
      <c r="G374" s="108" t="s">
        <v>619</v>
      </c>
      <c r="H374" s="108" t="s">
        <v>353</v>
      </c>
      <c r="I374" s="108" t="s">
        <v>610</v>
      </c>
      <c r="J374" s="105"/>
      <c r="K374" s="105"/>
      <c r="L374" s="105"/>
      <c r="M374" s="105"/>
      <c r="N374" s="105"/>
      <c r="O374" s="105"/>
    </row>
    <row r="375" spans="1:15" x14ac:dyDescent="0.3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</row>
    <row r="376" spans="1:15" x14ac:dyDescent="0.35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</row>
    <row r="377" spans="1:15" x14ac:dyDescent="0.35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</row>
    <row r="378" spans="1:15" x14ac:dyDescent="0.35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</row>
    <row r="379" spans="1:15" x14ac:dyDescent="0.35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</row>
    <row r="380" spans="1:15" x14ac:dyDescent="0.35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</row>
    <row r="381" spans="1:15" x14ac:dyDescent="0.35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</row>
    <row r="382" spans="1:15" x14ac:dyDescent="0.35">
      <c r="A382" s="167" t="s">
        <v>718</v>
      </c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2"/>
    </row>
    <row r="383" spans="1:15" ht="72.5" x14ac:dyDescent="0.35">
      <c r="A383" s="108" t="s">
        <v>600</v>
      </c>
      <c r="B383" s="108"/>
      <c r="C383" s="108" t="s">
        <v>601</v>
      </c>
      <c r="D383" s="108"/>
      <c r="E383" s="108" t="s">
        <v>602</v>
      </c>
      <c r="F383" s="108"/>
      <c r="G383" s="108" t="s">
        <v>603</v>
      </c>
      <c r="H383" s="108"/>
      <c r="I383" s="108" t="s">
        <v>604</v>
      </c>
      <c r="J383" s="108"/>
      <c r="K383" s="108" t="s">
        <v>6</v>
      </c>
      <c r="L383" s="108"/>
      <c r="M383" s="108" t="s">
        <v>605</v>
      </c>
      <c r="N383" s="108"/>
      <c r="O383" s="108"/>
    </row>
    <row r="384" spans="1:15" ht="72.5" x14ac:dyDescent="0.35">
      <c r="A384" s="108" t="s">
        <v>606</v>
      </c>
      <c r="B384" s="108"/>
      <c r="C384" s="108" t="s">
        <v>607</v>
      </c>
      <c r="D384" s="108"/>
      <c r="E384" s="108" t="s">
        <v>608</v>
      </c>
      <c r="F384" s="108"/>
      <c r="G384" s="108" t="s">
        <v>609</v>
      </c>
      <c r="H384" s="108"/>
      <c r="I384" s="108" t="s">
        <v>610</v>
      </c>
      <c r="J384" s="109">
        <f>IFERROR(COUNTIF(E387:E425,"Yes")/(COUNTIF(E387:E425,"Yes")+COUNTIF(F387:F425,"No")),0)</f>
        <v>0</v>
      </c>
      <c r="K384" s="108"/>
      <c r="L384" s="108" t="str">
        <f>IF(J384&gt;=0.9,"Green",IF(J384&gt;=0.75,"Amber","Red"))</f>
        <v>Red</v>
      </c>
      <c r="M384" s="108"/>
      <c r="N384" s="108"/>
      <c r="O384" s="108"/>
    </row>
    <row r="385" spans="1:15" x14ac:dyDescent="0.3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</row>
    <row r="386" spans="1:15" ht="29" x14ac:dyDescent="0.35">
      <c r="A386" s="110" t="s">
        <v>611</v>
      </c>
      <c r="B386" s="110" t="s">
        <v>612</v>
      </c>
      <c r="C386" s="110" t="s">
        <v>613</v>
      </c>
      <c r="D386" s="110" t="s">
        <v>614</v>
      </c>
      <c r="E386" s="110" t="s">
        <v>81</v>
      </c>
      <c r="F386" s="110" t="s">
        <v>615</v>
      </c>
      <c r="G386" s="110" t="s">
        <v>616</v>
      </c>
      <c r="H386" s="110" t="s">
        <v>617</v>
      </c>
      <c r="I386" s="110" t="s">
        <v>618</v>
      </c>
      <c r="J386" s="110" t="s">
        <v>390</v>
      </c>
      <c r="K386" s="110" t="s">
        <v>351</v>
      </c>
      <c r="L386" s="110" t="s">
        <v>352</v>
      </c>
      <c r="M386" s="110" t="s">
        <v>292</v>
      </c>
      <c r="N386" s="110" t="s">
        <v>353</v>
      </c>
      <c r="O386" s="110" t="s">
        <v>619</v>
      </c>
    </row>
    <row r="387" spans="1:15" ht="29" x14ac:dyDescent="0.35">
      <c r="A387" s="105" t="s">
        <v>620</v>
      </c>
      <c r="B387" s="105" t="s">
        <v>621</v>
      </c>
      <c r="C387" s="105" t="s">
        <v>622</v>
      </c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</row>
    <row r="388" spans="1:15" ht="29" x14ac:dyDescent="0.35">
      <c r="A388" s="105" t="s">
        <v>623</v>
      </c>
      <c r="B388" s="105" t="s">
        <v>624</v>
      </c>
      <c r="C388" s="105" t="s">
        <v>622</v>
      </c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</row>
    <row r="389" spans="1:15" ht="29" x14ac:dyDescent="0.35">
      <c r="A389" s="105" t="s">
        <v>625</v>
      </c>
      <c r="B389" s="105" t="s">
        <v>626</v>
      </c>
      <c r="C389" s="105" t="s">
        <v>622</v>
      </c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</row>
    <row r="390" spans="1:15" ht="29" x14ac:dyDescent="0.35">
      <c r="A390" s="105" t="s">
        <v>627</v>
      </c>
      <c r="B390" s="105" t="s">
        <v>628</v>
      </c>
      <c r="C390" s="105" t="s">
        <v>622</v>
      </c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</row>
    <row r="391" spans="1:15" ht="29" x14ac:dyDescent="0.35">
      <c r="A391" s="105" t="s">
        <v>629</v>
      </c>
      <c r="B391" s="105" t="s">
        <v>630</v>
      </c>
      <c r="C391" s="105" t="s">
        <v>622</v>
      </c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</row>
    <row r="392" spans="1:15" ht="29" x14ac:dyDescent="0.35">
      <c r="A392" s="105" t="s">
        <v>631</v>
      </c>
      <c r="B392" s="105" t="s">
        <v>632</v>
      </c>
      <c r="C392" s="105" t="s">
        <v>622</v>
      </c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</row>
    <row r="393" spans="1:15" ht="29" x14ac:dyDescent="0.35">
      <c r="A393" s="105" t="s">
        <v>633</v>
      </c>
      <c r="B393" s="105" t="s">
        <v>634</v>
      </c>
      <c r="C393" s="105" t="s">
        <v>622</v>
      </c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</row>
    <row r="394" spans="1:15" ht="29" x14ac:dyDescent="0.35">
      <c r="A394" s="105" t="s">
        <v>635</v>
      </c>
      <c r="B394" s="105" t="s">
        <v>636</v>
      </c>
      <c r="C394" s="105" t="s">
        <v>622</v>
      </c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</row>
    <row r="395" spans="1:15" ht="29" x14ac:dyDescent="0.35">
      <c r="A395" s="105" t="s">
        <v>637</v>
      </c>
      <c r="B395" s="105" t="s">
        <v>638</v>
      </c>
      <c r="C395" s="105" t="s">
        <v>622</v>
      </c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</row>
    <row r="396" spans="1:15" ht="29" x14ac:dyDescent="0.35">
      <c r="A396" s="105" t="s">
        <v>639</v>
      </c>
      <c r="B396" s="105" t="s">
        <v>640</v>
      </c>
      <c r="C396" s="105" t="s">
        <v>622</v>
      </c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</row>
    <row r="397" spans="1:15" ht="29" x14ac:dyDescent="0.35">
      <c r="A397" s="105" t="s">
        <v>641</v>
      </c>
      <c r="B397" s="105" t="s">
        <v>642</v>
      </c>
      <c r="C397" s="105" t="s">
        <v>622</v>
      </c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</row>
    <row r="398" spans="1:15" ht="29" x14ac:dyDescent="0.35">
      <c r="A398" s="105" t="s">
        <v>643</v>
      </c>
      <c r="B398" s="105" t="s">
        <v>703</v>
      </c>
      <c r="C398" s="105" t="s">
        <v>622</v>
      </c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</row>
    <row r="399" spans="1:15" ht="29" x14ac:dyDescent="0.35">
      <c r="A399" s="105" t="s">
        <v>644</v>
      </c>
      <c r="B399" s="105" t="s">
        <v>704</v>
      </c>
      <c r="C399" s="105" t="s">
        <v>622</v>
      </c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</row>
    <row r="400" spans="1:15" ht="29" x14ac:dyDescent="0.35">
      <c r="A400" s="105" t="s">
        <v>645</v>
      </c>
      <c r="B400" s="105" t="s">
        <v>705</v>
      </c>
      <c r="C400" s="105" t="s">
        <v>622</v>
      </c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</row>
    <row r="401" spans="1:15" ht="29" x14ac:dyDescent="0.35">
      <c r="A401" s="105" t="s">
        <v>646</v>
      </c>
      <c r="B401" s="105" t="s">
        <v>647</v>
      </c>
      <c r="C401" s="105" t="s">
        <v>648</v>
      </c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</row>
    <row r="402" spans="1:15" ht="29" x14ac:dyDescent="0.35">
      <c r="A402" s="105" t="s">
        <v>649</v>
      </c>
      <c r="B402" s="105" t="s">
        <v>650</v>
      </c>
      <c r="C402" s="105" t="s">
        <v>622</v>
      </c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</row>
    <row r="403" spans="1:15" ht="29" x14ac:dyDescent="0.35">
      <c r="A403" s="105" t="s">
        <v>651</v>
      </c>
      <c r="B403" s="105" t="s">
        <v>652</v>
      </c>
      <c r="C403" s="105" t="s">
        <v>648</v>
      </c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</row>
    <row r="404" spans="1:15" ht="29" x14ac:dyDescent="0.35">
      <c r="A404" s="105" t="s">
        <v>653</v>
      </c>
      <c r="B404" s="105" t="s">
        <v>654</v>
      </c>
      <c r="C404" s="105" t="s">
        <v>622</v>
      </c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</row>
    <row r="405" spans="1:15" ht="29" x14ac:dyDescent="0.35">
      <c r="A405" s="105" t="s">
        <v>655</v>
      </c>
      <c r="B405" s="105" t="s">
        <v>656</v>
      </c>
      <c r="C405" s="105" t="s">
        <v>657</v>
      </c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</row>
    <row r="406" spans="1:15" ht="29" x14ac:dyDescent="0.35">
      <c r="A406" s="105" t="s">
        <v>658</v>
      </c>
      <c r="B406" s="105" t="s">
        <v>659</v>
      </c>
      <c r="C406" s="105" t="s">
        <v>622</v>
      </c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</row>
    <row r="407" spans="1:15" ht="29" x14ac:dyDescent="0.35">
      <c r="A407" s="105" t="s">
        <v>660</v>
      </c>
      <c r="B407" s="105" t="s">
        <v>661</v>
      </c>
      <c r="C407" s="105" t="s">
        <v>622</v>
      </c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</row>
    <row r="408" spans="1:15" ht="29" x14ac:dyDescent="0.35">
      <c r="A408" s="105" t="s">
        <v>662</v>
      </c>
      <c r="B408" s="105" t="s">
        <v>663</v>
      </c>
      <c r="C408" s="105" t="s">
        <v>622</v>
      </c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</row>
    <row r="409" spans="1:15" ht="29" x14ac:dyDescent="0.35">
      <c r="A409" s="105" t="s">
        <v>664</v>
      </c>
      <c r="B409" s="105" t="s">
        <v>665</v>
      </c>
      <c r="C409" s="105" t="s">
        <v>622</v>
      </c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</row>
    <row r="410" spans="1:15" ht="29" x14ac:dyDescent="0.35">
      <c r="A410" s="105" t="s">
        <v>666</v>
      </c>
      <c r="B410" s="105" t="s">
        <v>667</v>
      </c>
      <c r="C410" s="105" t="s">
        <v>622</v>
      </c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</row>
    <row r="411" spans="1:15" ht="29" x14ac:dyDescent="0.35">
      <c r="A411" s="105" t="s">
        <v>668</v>
      </c>
      <c r="B411" s="105" t="s">
        <v>669</v>
      </c>
      <c r="C411" s="105" t="s">
        <v>622</v>
      </c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</row>
    <row r="412" spans="1:15" x14ac:dyDescent="0.35">
      <c r="A412" s="105" t="s">
        <v>670</v>
      </c>
      <c r="B412" s="105" t="s">
        <v>671</v>
      </c>
      <c r="C412" s="105" t="s">
        <v>622</v>
      </c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</row>
    <row r="413" spans="1:15" ht="29" x14ac:dyDescent="0.35">
      <c r="A413" s="105" t="s">
        <v>672</v>
      </c>
      <c r="B413" s="105" t="s">
        <v>673</v>
      </c>
      <c r="C413" s="105" t="s">
        <v>622</v>
      </c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</row>
    <row r="414" spans="1:15" ht="29" x14ac:dyDescent="0.35">
      <c r="A414" s="105" t="s">
        <v>674</v>
      </c>
      <c r="B414" s="105" t="s">
        <v>675</v>
      </c>
      <c r="C414" s="105" t="s">
        <v>622</v>
      </c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</row>
    <row r="415" spans="1:15" ht="29" x14ac:dyDescent="0.35">
      <c r="A415" s="105" t="s">
        <v>676</v>
      </c>
      <c r="B415" s="105" t="s">
        <v>677</v>
      </c>
      <c r="C415" s="105" t="s">
        <v>622</v>
      </c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</row>
    <row r="416" spans="1:15" ht="29" x14ac:dyDescent="0.35">
      <c r="A416" s="105" t="s">
        <v>678</v>
      </c>
      <c r="B416" s="105" t="s">
        <v>679</v>
      </c>
      <c r="C416" s="105" t="s">
        <v>622</v>
      </c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</row>
    <row r="417" spans="1:15" ht="29" x14ac:dyDescent="0.35">
      <c r="A417" s="105" t="s">
        <v>680</v>
      </c>
      <c r="B417" s="105" t="s">
        <v>706</v>
      </c>
      <c r="C417" s="105" t="s">
        <v>622</v>
      </c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</row>
    <row r="418" spans="1:15" ht="29" x14ac:dyDescent="0.35">
      <c r="A418" s="105" t="s">
        <v>681</v>
      </c>
      <c r="B418" s="105" t="s">
        <v>682</v>
      </c>
      <c r="C418" s="105" t="s">
        <v>683</v>
      </c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</row>
    <row r="419" spans="1:15" ht="29" x14ac:dyDescent="0.35">
      <c r="A419" s="105" t="s">
        <v>684</v>
      </c>
      <c r="B419" s="105" t="s">
        <v>685</v>
      </c>
      <c r="C419" s="105" t="s">
        <v>686</v>
      </c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</row>
    <row r="420" spans="1:15" ht="29" x14ac:dyDescent="0.35">
      <c r="A420" s="105" t="s">
        <v>687</v>
      </c>
      <c r="B420" s="105" t="s">
        <v>688</v>
      </c>
      <c r="C420" s="105" t="s">
        <v>686</v>
      </c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</row>
    <row r="421" spans="1:15" ht="29" x14ac:dyDescent="0.35">
      <c r="A421" s="105" t="s">
        <v>689</v>
      </c>
      <c r="B421" s="105" t="s">
        <v>690</v>
      </c>
      <c r="C421" s="105" t="s">
        <v>686</v>
      </c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</row>
    <row r="422" spans="1:15" ht="29" x14ac:dyDescent="0.35">
      <c r="A422" s="105" t="s">
        <v>691</v>
      </c>
      <c r="B422" s="105" t="s">
        <v>692</v>
      </c>
      <c r="C422" s="105" t="s">
        <v>686</v>
      </c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</row>
    <row r="423" spans="1:15" ht="29" x14ac:dyDescent="0.35">
      <c r="A423" s="105" t="s">
        <v>693</v>
      </c>
      <c r="B423" s="105" t="s">
        <v>694</v>
      </c>
      <c r="C423" s="105" t="s">
        <v>686</v>
      </c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</row>
    <row r="424" spans="1:15" ht="29" x14ac:dyDescent="0.35">
      <c r="A424" s="105" t="s">
        <v>695</v>
      </c>
      <c r="B424" s="105" t="s">
        <v>696</v>
      </c>
      <c r="C424" s="105" t="s">
        <v>686</v>
      </c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</row>
    <row r="425" spans="1:15" ht="29" x14ac:dyDescent="0.35">
      <c r="A425" s="105" t="s">
        <v>697</v>
      </c>
      <c r="B425" s="105" t="s">
        <v>698</v>
      </c>
      <c r="C425" s="105" t="s">
        <v>686</v>
      </c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</row>
    <row r="426" spans="1:15" x14ac:dyDescent="0.35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</row>
    <row r="427" spans="1:15" x14ac:dyDescent="0.35">
      <c r="A427" s="166" t="s">
        <v>719</v>
      </c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2"/>
    </row>
    <row r="428" spans="1:15" ht="58" x14ac:dyDescent="0.35">
      <c r="A428" s="108" t="s">
        <v>700</v>
      </c>
      <c r="B428" s="108" t="s">
        <v>701</v>
      </c>
      <c r="C428" s="108" t="s">
        <v>390</v>
      </c>
      <c r="D428" s="108" t="s">
        <v>351</v>
      </c>
      <c r="E428" s="108" t="s">
        <v>352</v>
      </c>
      <c r="F428" s="108" t="s">
        <v>292</v>
      </c>
      <c r="G428" s="108" t="s">
        <v>619</v>
      </c>
      <c r="H428" s="108" t="s">
        <v>353</v>
      </c>
      <c r="I428" s="108" t="s">
        <v>610</v>
      </c>
      <c r="J428" s="105"/>
      <c r="K428" s="105"/>
      <c r="L428" s="105"/>
      <c r="M428" s="105"/>
      <c r="N428" s="105"/>
      <c r="O428" s="105"/>
    </row>
    <row r="429" spans="1:15" x14ac:dyDescent="0.35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</row>
    <row r="430" spans="1:15" x14ac:dyDescent="0.35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</row>
    <row r="431" spans="1:15" x14ac:dyDescent="0.35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</row>
    <row r="432" spans="1:15" x14ac:dyDescent="0.35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</row>
    <row r="433" spans="1:15" x14ac:dyDescent="0.35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</row>
    <row r="434" spans="1:15" x14ac:dyDescent="0.35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</row>
    <row r="435" spans="1:15" x14ac:dyDescent="0.35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</row>
    <row r="436" spans="1:15" x14ac:dyDescent="0.35">
      <c r="A436" s="167" t="s">
        <v>720</v>
      </c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2"/>
    </row>
    <row r="437" spans="1:15" ht="72.5" x14ac:dyDescent="0.35">
      <c r="A437" s="108" t="s">
        <v>600</v>
      </c>
      <c r="B437" s="108"/>
      <c r="C437" s="108" t="s">
        <v>601</v>
      </c>
      <c r="D437" s="108"/>
      <c r="E437" s="108" t="s">
        <v>602</v>
      </c>
      <c r="F437" s="108"/>
      <c r="G437" s="108" t="s">
        <v>603</v>
      </c>
      <c r="H437" s="108"/>
      <c r="I437" s="108" t="s">
        <v>604</v>
      </c>
      <c r="J437" s="108"/>
      <c r="K437" s="108" t="s">
        <v>6</v>
      </c>
      <c r="L437" s="108"/>
      <c r="M437" s="108" t="s">
        <v>605</v>
      </c>
      <c r="N437" s="108"/>
      <c r="O437" s="108"/>
    </row>
    <row r="438" spans="1:15" ht="72.5" x14ac:dyDescent="0.35">
      <c r="A438" s="108" t="s">
        <v>606</v>
      </c>
      <c r="B438" s="108"/>
      <c r="C438" s="108" t="s">
        <v>607</v>
      </c>
      <c r="D438" s="108"/>
      <c r="E438" s="108" t="s">
        <v>608</v>
      </c>
      <c r="F438" s="108"/>
      <c r="G438" s="108" t="s">
        <v>609</v>
      </c>
      <c r="H438" s="108"/>
      <c r="I438" s="108" t="s">
        <v>610</v>
      </c>
      <c r="J438" s="109">
        <f>IFERROR(COUNTIF(E441:E479,"Yes")/(COUNTIF(E441:E479,"Yes")+COUNTIF(F441:F479,"No")),0)</f>
        <v>0</v>
      </c>
      <c r="K438" s="108"/>
      <c r="L438" s="108" t="str">
        <f>IF(J438&gt;=0.9,"Green",IF(J438&gt;=0.75,"Amber","Red"))</f>
        <v>Red</v>
      </c>
      <c r="M438" s="108"/>
      <c r="N438" s="108"/>
      <c r="O438" s="108"/>
    </row>
    <row r="439" spans="1:15" x14ac:dyDescent="0.35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</row>
    <row r="440" spans="1:15" ht="29" x14ac:dyDescent="0.35">
      <c r="A440" s="110" t="s">
        <v>611</v>
      </c>
      <c r="B440" s="110" t="s">
        <v>612</v>
      </c>
      <c r="C440" s="110" t="s">
        <v>613</v>
      </c>
      <c r="D440" s="110" t="s">
        <v>614</v>
      </c>
      <c r="E440" s="110" t="s">
        <v>81</v>
      </c>
      <c r="F440" s="110" t="s">
        <v>615</v>
      </c>
      <c r="G440" s="110" t="s">
        <v>616</v>
      </c>
      <c r="H440" s="110" t="s">
        <v>617</v>
      </c>
      <c r="I440" s="110" t="s">
        <v>618</v>
      </c>
      <c r="J440" s="110" t="s">
        <v>390</v>
      </c>
      <c r="K440" s="110" t="s">
        <v>351</v>
      </c>
      <c r="L440" s="110" t="s">
        <v>352</v>
      </c>
      <c r="M440" s="110" t="s">
        <v>292</v>
      </c>
      <c r="N440" s="110" t="s">
        <v>353</v>
      </c>
      <c r="O440" s="110" t="s">
        <v>619</v>
      </c>
    </row>
    <row r="441" spans="1:15" ht="29" x14ac:dyDescent="0.35">
      <c r="A441" s="105" t="s">
        <v>620</v>
      </c>
      <c r="B441" s="105" t="s">
        <v>621</v>
      </c>
      <c r="C441" s="105" t="s">
        <v>622</v>
      </c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</row>
    <row r="442" spans="1:15" ht="29" x14ac:dyDescent="0.35">
      <c r="A442" s="105" t="s">
        <v>623</v>
      </c>
      <c r="B442" s="105" t="s">
        <v>624</v>
      </c>
      <c r="C442" s="105" t="s">
        <v>622</v>
      </c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</row>
    <row r="443" spans="1:15" ht="29" x14ac:dyDescent="0.35">
      <c r="A443" s="105" t="s">
        <v>625</v>
      </c>
      <c r="B443" s="105" t="s">
        <v>626</v>
      </c>
      <c r="C443" s="105" t="s">
        <v>622</v>
      </c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</row>
    <row r="444" spans="1:15" ht="29" x14ac:dyDescent="0.35">
      <c r="A444" s="105" t="s">
        <v>627</v>
      </c>
      <c r="B444" s="105" t="s">
        <v>628</v>
      </c>
      <c r="C444" s="105" t="s">
        <v>622</v>
      </c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</row>
    <row r="445" spans="1:15" ht="29" x14ac:dyDescent="0.35">
      <c r="A445" s="105" t="s">
        <v>629</v>
      </c>
      <c r="B445" s="105" t="s">
        <v>630</v>
      </c>
      <c r="C445" s="105" t="s">
        <v>622</v>
      </c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</row>
    <row r="446" spans="1:15" ht="29" x14ac:dyDescent="0.35">
      <c r="A446" s="105" t="s">
        <v>631</v>
      </c>
      <c r="B446" s="105" t="s">
        <v>632</v>
      </c>
      <c r="C446" s="105" t="s">
        <v>622</v>
      </c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</row>
    <row r="447" spans="1:15" ht="29" x14ac:dyDescent="0.35">
      <c r="A447" s="105" t="s">
        <v>633</v>
      </c>
      <c r="B447" s="105" t="s">
        <v>634</v>
      </c>
      <c r="C447" s="105" t="s">
        <v>622</v>
      </c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</row>
    <row r="448" spans="1:15" ht="29" x14ac:dyDescent="0.35">
      <c r="A448" s="105" t="s">
        <v>635</v>
      </c>
      <c r="B448" s="105" t="s">
        <v>636</v>
      </c>
      <c r="C448" s="105" t="s">
        <v>622</v>
      </c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</row>
    <row r="449" spans="1:15" ht="29" x14ac:dyDescent="0.35">
      <c r="A449" s="105" t="s">
        <v>637</v>
      </c>
      <c r="B449" s="105" t="s">
        <v>638</v>
      </c>
      <c r="C449" s="105" t="s">
        <v>622</v>
      </c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</row>
    <row r="450" spans="1:15" ht="29" x14ac:dyDescent="0.35">
      <c r="A450" s="105" t="s">
        <v>639</v>
      </c>
      <c r="B450" s="105" t="s">
        <v>640</v>
      </c>
      <c r="C450" s="105" t="s">
        <v>622</v>
      </c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</row>
    <row r="451" spans="1:15" ht="29" x14ac:dyDescent="0.35">
      <c r="A451" s="105" t="s">
        <v>641</v>
      </c>
      <c r="B451" s="105" t="s">
        <v>642</v>
      </c>
      <c r="C451" s="105" t="s">
        <v>622</v>
      </c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</row>
    <row r="452" spans="1:15" ht="29" x14ac:dyDescent="0.35">
      <c r="A452" s="105" t="s">
        <v>643</v>
      </c>
      <c r="B452" s="105" t="s">
        <v>703</v>
      </c>
      <c r="C452" s="105" t="s">
        <v>622</v>
      </c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</row>
    <row r="453" spans="1:15" ht="29" x14ac:dyDescent="0.35">
      <c r="A453" s="105" t="s">
        <v>644</v>
      </c>
      <c r="B453" s="105" t="s">
        <v>704</v>
      </c>
      <c r="C453" s="105" t="s">
        <v>622</v>
      </c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</row>
    <row r="454" spans="1:15" ht="29" x14ac:dyDescent="0.35">
      <c r="A454" s="105" t="s">
        <v>645</v>
      </c>
      <c r="B454" s="105" t="s">
        <v>705</v>
      </c>
      <c r="C454" s="105" t="s">
        <v>622</v>
      </c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</row>
    <row r="455" spans="1:15" ht="29" x14ac:dyDescent="0.35">
      <c r="A455" s="105" t="s">
        <v>646</v>
      </c>
      <c r="B455" s="105" t="s">
        <v>647</v>
      </c>
      <c r="C455" s="105" t="s">
        <v>648</v>
      </c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</row>
    <row r="456" spans="1:15" ht="29" x14ac:dyDescent="0.35">
      <c r="A456" s="105" t="s">
        <v>649</v>
      </c>
      <c r="B456" s="105" t="s">
        <v>650</v>
      </c>
      <c r="C456" s="105" t="s">
        <v>622</v>
      </c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</row>
    <row r="457" spans="1:15" ht="29" x14ac:dyDescent="0.35">
      <c r="A457" s="105" t="s">
        <v>651</v>
      </c>
      <c r="B457" s="105" t="s">
        <v>652</v>
      </c>
      <c r="C457" s="105" t="s">
        <v>648</v>
      </c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</row>
    <row r="458" spans="1:15" ht="29" x14ac:dyDescent="0.35">
      <c r="A458" s="105" t="s">
        <v>653</v>
      </c>
      <c r="B458" s="105" t="s">
        <v>654</v>
      </c>
      <c r="C458" s="105" t="s">
        <v>622</v>
      </c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</row>
    <row r="459" spans="1:15" ht="29" x14ac:dyDescent="0.35">
      <c r="A459" s="105" t="s">
        <v>655</v>
      </c>
      <c r="B459" s="105" t="s">
        <v>656</v>
      </c>
      <c r="C459" s="105" t="s">
        <v>657</v>
      </c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</row>
    <row r="460" spans="1:15" ht="29" x14ac:dyDescent="0.35">
      <c r="A460" s="105" t="s">
        <v>658</v>
      </c>
      <c r="B460" s="105" t="s">
        <v>659</v>
      </c>
      <c r="C460" s="105" t="s">
        <v>622</v>
      </c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</row>
    <row r="461" spans="1:15" ht="29" x14ac:dyDescent="0.35">
      <c r="A461" s="105" t="s">
        <v>660</v>
      </c>
      <c r="B461" s="105" t="s">
        <v>661</v>
      </c>
      <c r="C461" s="105" t="s">
        <v>622</v>
      </c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</row>
    <row r="462" spans="1:15" ht="29" x14ac:dyDescent="0.35">
      <c r="A462" s="105" t="s">
        <v>662</v>
      </c>
      <c r="B462" s="105" t="s">
        <v>663</v>
      </c>
      <c r="C462" s="105" t="s">
        <v>622</v>
      </c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</row>
    <row r="463" spans="1:15" ht="29" x14ac:dyDescent="0.35">
      <c r="A463" s="105" t="s">
        <v>664</v>
      </c>
      <c r="B463" s="105" t="s">
        <v>665</v>
      </c>
      <c r="C463" s="105" t="s">
        <v>622</v>
      </c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</row>
    <row r="464" spans="1:15" ht="29" x14ac:dyDescent="0.35">
      <c r="A464" s="105" t="s">
        <v>666</v>
      </c>
      <c r="B464" s="105" t="s">
        <v>667</v>
      </c>
      <c r="C464" s="105" t="s">
        <v>622</v>
      </c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</row>
    <row r="465" spans="1:15" ht="29" x14ac:dyDescent="0.35">
      <c r="A465" s="105" t="s">
        <v>668</v>
      </c>
      <c r="B465" s="105" t="s">
        <v>669</v>
      </c>
      <c r="C465" s="105" t="s">
        <v>622</v>
      </c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</row>
    <row r="466" spans="1:15" x14ac:dyDescent="0.35">
      <c r="A466" s="105" t="s">
        <v>670</v>
      </c>
      <c r="B466" s="105" t="s">
        <v>671</v>
      </c>
      <c r="C466" s="105" t="s">
        <v>622</v>
      </c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</row>
    <row r="467" spans="1:15" ht="29" x14ac:dyDescent="0.35">
      <c r="A467" s="105" t="s">
        <v>672</v>
      </c>
      <c r="B467" s="105" t="s">
        <v>673</v>
      </c>
      <c r="C467" s="105" t="s">
        <v>622</v>
      </c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</row>
    <row r="468" spans="1:15" ht="29" x14ac:dyDescent="0.35">
      <c r="A468" s="105" t="s">
        <v>674</v>
      </c>
      <c r="B468" s="105" t="s">
        <v>675</v>
      </c>
      <c r="C468" s="105" t="s">
        <v>622</v>
      </c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</row>
    <row r="469" spans="1:15" ht="29" x14ac:dyDescent="0.35">
      <c r="A469" s="105" t="s">
        <v>676</v>
      </c>
      <c r="B469" s="105" t="s">
        <v>677</v>
      </c>
      <c r="C469" s="105" t="s">
        <v>622</v>
      </c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</row>
    <row r="470" spans="1:15" ht="29" x14ac:dyDescent="0.35">
      <c r="A470" s="105" t="s">
        <v>678</v>
      </c>
      <c r="B470" s="105" t="s">
        <v>679</v>
      </c>
      <c r="C470" s="105" t="s">
        <v>622</v>
      </c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</row>
    <row r="471" spans="1:15" ht="29" x14ac:dyDescent="0.35">
      <c r="A471" s="105" t="s">
        <v>680</v>
      </c>
      <c r="B471" s="105" t="s">
        <v>706</v>
      </c>
      <c r="C471" s="105" t="s">
        <v>622</v>
      </c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</row>
    <row r="472" spans="1:15" ht="29" x14ac:dyDescent="0.35">
      <c r="A472" s="105" t="s">
        <v>681</v>
      </c>
      <c r="B472" s="105" t="s">
        <v>682</v>
      </c>
      <c r="C472" s="105" t="s">
        <v>683</v>
      </c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</row>
    <row r="473" spans="1:15" ht="29" x14ac:dyDescent="0.35">
      <c r="A473" s="105" t="s">
        <v>684</v>
      </c>
      <c r="B473" s="105" t="s">
        <v>685</v>
      </c>
      <c r="C473" s="105" t="s">
        <v>686</v>
      </c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</row>
    <row r="474" spans="1:15" ht="29" x14ac:dyDescent="0.35">
      <c r="A474" s="105" t="s">
        <v>687</v>
      </c>
      <c r="B474" s="105" t="s">
        <v>688</v>
      </c>
      <c r="C474" s="105" t="s">
        <v>686</v>
      </c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</row>
    <row r="475" spans="1:15" ht="29" x14ac:dyDescent="0.35">
      <c r="A475" s="105" t="s">
        <v>689</v>
      </c>
      <c r="B475" s="105" t="s">
        <v>690</v>
      </c>
      <c r="C475" s="105" t="s">
        <v>686</v>
      </c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</row>
    <row r="476" spans="1:15" ht="29" x14ac:dyDescent="0.35">
      <c r="A476" s="105" t="s">
        <v>691</v>
      </c>
      <c r="B476" s="105" t="s">
        <v>692</v>
      </c>
      <c r="C476" s="105" t="s">
        <v>686</v>
      </c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</row>
    <row r="477" spans="1:15" ht="29" x14ac:dyDescent="0.35">
      <c r="A477" s="105" t="s">
        <v>693</v>
      </c>
      <c r="B477" s="105" t="s">
        <v>694</v>
      </c>
      <c r="C477" s="105" t="s">
        <v>686</v>
      </c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</row>
    <row r="478" spans="1:15" ht="29" x14ac:dyDescent="0.35">
      <c r="A478" s="105" t="s">
        <v>695</v>
      </c>
      <c r="B478" s="105" t="s">
        <v>696</v>
      </c>
      <c r="C478" s="105" t="s">
        <v>686</v>
      </c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</row>
    <row r="479" spans="1:15" ht="29" x14ac:dyDescent="0.35">
      <c r="A479" s="105" t="s">
        <v>697</v>
      </c>
      <c r="B479" s="105" t="s">
        <v>698</v>
      </c>
      <c r="C479" s="105" t="s">
        <v>686</v>
      </c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</row>
    <row r="480" spans="1:15" x14ac:dyDescent="0.35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</row>
    <row r="481" spans="1:15" x14ac:dyDescent="0.35">
      <c r="A481" s="166" t="s">
        <v>721</v>
      </c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2"/>
    </row>
    <row r="482" spans="1:15" ht="58" x14ac:dyDescent="0.35">
      <c r="A482" s="108" t="s">
        <v>700</v>
      </c>
      <c r="B482" s="108" t="s">
        <v>701</v>
      </c>
      <c r="C482" s="108" t="s">
        <v>390</v>
      </c>
      <c r="D482" s="108" t="s">
        <v>351</v>
      </c>
      <c r="E482" s="108" t="s">
        <v>352</v>
      </c>
      <c r="F482" s="108" t="s">
        <v>292</v>
      </c>
      <c r="G482" s="108" t="s">
        <v>619</v>
      </c>
      <c r="H482" s="108" t="s">
        <v>353</v>
      </c>
      <c r="I482" s="108" t="s">
        <v>610</v>
      </c>
      <c r="J482" s="105"/>
      <c r="K482" s="105"/>
      <c r="L482" s="105"/>
      <c r="M482" s="105"/>
      <c r="N482" s="105"/>
      <c r="O482" s="105"/>
    </row>
    <row r="483" spans="1:15" x14ac:dyDescent="0.35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</row>
    <row r="484" spans="1:15" x14ac:dyDescent="0.35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</row>
    <row r="485" spans="1:15" x14ac:dyDescent="0.3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</row>
    <row r="486" spans="1:15" x14ac:dyDescent="0.35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</row>
    <row r="487" spans="1:15" x14ac:dyDescent="0.35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</row>
    <row r="488" spans="1:15" x14ac:dyDescent="0.35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</row>
    <row r="489" spans="1:15" x14ac:dyDescent="0.35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</row>
    <row r="490" spans="1:15" x14ac:dyDescent="0.35">
      <c r="A490" s="167" t="s">
        <v>722</v>
      </c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2"/>
    </row>
    <row r="491" spans="1:15" ht="72.5" x14ac:dyDescent="0.35">
      <c r="A491" s="108" t="s">
        <v>600</v>
      </c>
      <c r="B491" s="108"/>
      <c r="C491" s="108" t="s">
        <v>601</v>
      </c>
      <c r="D491" s="108"/>
      <c r="E491" s="108" t="s">
        <v>602</v>
      </c>
      <c r="F491" s="108"/>
      <c r="G491" s="108" t="s">
        <v>603</v>
      </c>
      <c r="H491" s="108"/>
      <c r="I491" s="108" t="s">
        <v>604</v>
      </c>
      <c r="J491" s="108"/>
      <c r="K491" s="108" t="s">
        <v>6</v>
      </c>
      <c r="L491" s="108"/>
      <c r="M491" s="108" t="s">
        <v>605</v>
      </c>
      <c r="N491" s="108"/>
      <c r="O491" s="108"/>
    </row>
    <row r="492" spans="1:15" ht="72.5" x14ac:dyDescent="0.35">
      <c r="A492" s="108" t="s">
        <v>606</v>
      </c>
      <c r="B492" s="108"/>
      <c r="C492" s="108" t="s">
        <v>607</v>
      </c>
      <c r="D492" s="108"/>
      <c r="E492" s="108" t="s">
        <v>608</v>
      </c>
      <c r="F492" s="108"/>
      <c r="G492" s="108" t="s">
        <v>609</v>
      </c>
      <c r="H492" s="108"/>
      <c r="I492" s="108" t="s">
        <v>610</v>
      </c>
      <c r="J492" s="109">
        <f>IFERROR(COUNTIF(E495:E533,"Yes")/(COUNTIF(E495:E533,"Yes")+COUNTIF(F495:F533,"No")),0)</f>
        <v>0</v>
      </c>
      <c r="K492" s="108"/>
      <c r="L492" s="108" t="str">
        <f>IF(J492&gt;=0.9,"Green",IF(J492&gt;=0.75,"Amber","Red"))</f>
        <v>Red</v>
      </c>
      <c r="M492" s="108"/>
      <c r="N492" s="108"/>
      <c r="O492" s="108"/>
    </row>
    <row r="493" spans="1:15" x14ac:dyDescent="0.35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</row>
    <row r="494" spans="1:15" ht="29" x14ac:dyDescent="0.35">
      <c r="A494" s="110" t="s">
        <v>611</v>
      </c>
      <c r="B494" s="110" t="s">
        <v>612</v>
      </c>
      <c r="C494" s="110" t="s">
        <v>613</v>
      </c>
      <c r="D494" s="110" t="s">
        <v>614</v>
      </c>
      <c r="E494" s="110" t="s">
        <v>81</v>
      </c>
      <c r="F494" s="110" t="s">
        <v>615</v>
      </c>
      <c r="G494" s="110" t="s">
        <v>616</v>
      </c>
      <c r="H494" s="110" t="s">
        <v>617</v>
      </c>
      <c r="I494" s="110" t="s">
        <v>618</v>
      </c>
      <c r="J494" s="110" t="s">
        <v>390</v>
      </c>
      <c r="K494" s="110" t="s">
        <v>351</v>
      </c>
      <c r="L494" s="110" t="s">
        <v>352</v>
      </c>
      <c r="M494" s="110" t="s">
        <v>292</v>
      </c>
      <c r="N494" s="110" t="s">
        <v>353</v>
      </c>
      <c r="O494" s="110" t="s">
        <v>619</v>
      </c>
    </row>
    <row r="495" spans="1:15" ht="29" x14ac:dyDescent="0.35">
      <c r="A495" s="105" t="s">
        <v>620</v>
      </c>
      <c r="B495" s="105" t="s">
        <v>621</v>
      </c>
      <c r="C495" s="105" t="s">
        <v>622</v>
      </c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</row>
    <row r="496" spans="1:15" ht="29" x14ac:dyDescent="0.35">
      <c r="A496" s="105" t="s">
        <v>623</v>
      </c>
      <c r="B496" s="105" t="s">
        <v>624</v>
      </c>
      <c r="C496" s="105" t="s">
        <v>622</v>
      </c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</row>
    <row r="497" spans="1:15" ht="29" x14ac:dyDescent="0.35">
      <c r="A497" s="105" t="s">
        <v>625</v>
      </c>
      <c r="B497" s="105" t="s">
        <v>626</v>
      </c>
      <c r="C497" s="105" t="s">
        <v>622</v>
      </c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</row>
    <row r="498" spans="1:15" ht="29" x14ac:dyDescent="0.35">
      <c r="A498" s="105" t="s">
        <v>627</v>
      </c>
      <c r="B498" s="105" t="s">
        <v>628</v>
      </c>
      <c r="C498" s="105" t="s">
        <v>622</v>
      </c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</row>
    <row r="499" spans="1:15" ht="29" x14ac:dyDescent="0.35">
      <c r="A499" s="105" t="s">
        <v>629</v>
      </c>
      <c r="B499" s="105" t="s">
        <v>630</v>
      </c>
      <c r="C499" s="105" t="s">
        <v>622</v>
      </c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</row>
    <row r="500" spans="1:15" ht="29" x14ac:dyDescent="0.35">
      <c r="A500" s="105" t="s">
        <v>631</v>
      </c>
      <c r="B500" s="105" t="s">
        <v>632</v>
      </c>
      <c r="C500" s="105" t="s">
        <v>622</v>
      </c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</row>
    <row r="501" spans="1:15" ht="29" x14ac:dyDescent="0.35">
      <c r="A501" s="105" t="s">
        <v>633</v>
      </c>
      <c r="B501" s="105" t="s">
        <v>634</v>
      </c>
      <c r="C501" s="105" t="s">
        <v>622</v>
      </c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</row>
    <row r="502" spans="1:15" ht="29" x14ac:dyDescent="0.35">
      <c r="A502" s="105" t="s">
        <v>635</v>
      </c>
      <c r="B502" s="105" t="s">
        <v>636</v>
      </c>
      <c r="C502" s="105" t="s">
        <v>622</v>
      </c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</row>
    <row r="503" spans="1:15" ht="29" x14ac:dyDescent="0.35">
      <c r="A503" s="105" t="s">
        <v>637</v>
      </c>
      <c r="B503" s="105" t="s">
        <v>638</v>
      </c>
      <c r="C503" s="105" t="s">
        <v>622</v>
      </c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</row>
    <row r="504" spans="1:15" ht="29" x14ac:dyDescent="0.35">
      <c r="A504" s="105" t="s">
        <v>639</v>
      </c>
      <c r="B504" s="105" t="s">
        <v>640</v>
      </c>
      <c r="C504" s="105" t="s">
        <v>622</v>
      </c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</row>
    <row r="505" spans="1:15" ht="29" x14ac:dyDescent="0.35">
      <c r="A505" s="105" t="s">
        <v>641</v>
      </c>
      <c r="B505" s="105" t="s">
        <v>642</v>
      </c>
      <c r="C505" s="105" t="s">
        <v>622</v>
      </c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</row>
    <row r="506" spans="1:15" ht="29" x14ac:dyDescent="0.35">
      <c r="A506" s="105" t="s">
        <v>643</v>
      </c>
      <c r="B506" s="105" t="s">
        <v>703</v>
      </c>
      <c r="C506" s="105" t="s">
        <v>622</v>
      </c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</row>
    <row r="507" spans="1:15" ht="29" x14ac:dyDescent="0.35">
      <c r="A507" s="105" t="s">
        <v>644</v>
      </c>
      <c r="B507" s="105" t="s">
        <v>704</v>
      </c>
      <c r="C507" s="105" t="s">
        <v>622</v>
      </c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</row>
    <row r="508" spans="1:15" ht="29" x14ac:dyDescent="0.35">
      <c r="A508" s="105" t="s">
        <v>645</v>
      </c>
      <c r="B508" s="105" t="s">
        <v>705</v>
      </c>
      <c r="C508" s="105" t="s">
        <v>622</v>
      </c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</row>
    <row r="509" spans="1:15" ht="29" x14ac:dyDescent="0.35">
      <c r="A509" s="105" t="s">
        <v>646</v>
      </c>
      <c r="B509" s="105" t="s">
        <v>647</v>
      </c>
      <c r="C509" s="105" t="s">
        <v>648</v>
      </c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</row>
    <row r="510" spans="1:15" ht="29" x14ac:dyDescent="0.35">
      <c r="A510" s="105" t="s">
        <v>649</v>
      </c>
      <c r="B510" s="105" t="s">
        <v>650</v>
      </c>
      <c r="C510" s="105" t="s">
        <v>622</v>
      </c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</row>
    <row r="511" spans="1:15" ht="29" x14ac:dyDescent="0.35">
      <c r="A511" s="105" t="s">
        <v>651</v>
      </c>
      <c r="B511" s="105" t="s">
        <v>652</v>
      </c>
      <c r="C511" s="105" t="s">
        <v>648</v>
      </c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</row>
    <row r="512" spans="1:15" ht="29" x14ac:dyDescent="0.35">
      <c r="A512" s="105" t="s">
        <v>653</v>
      </c>
      <c r="B512" s="105" t="s">
        <v>654</v>
      </c>
      <c r="C512" s="105" t="s">
        <v>622</v>
      </c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</row>
    <row r="513" spans="1:15" ht="29" x14ac:dyDescent="0.35">
      <c r="A513" s="105" t="s">
        <v>655</v>
      </c>
      <c r="B513" s="105" t="s">
        <v>656</v>
      </c>
      <c r="C513" s="105" t="s">
        <v>657</v>
      </c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</row>
    <row r="514" spans="1:15" ht="29" x14ac:dyDescent="0.35">
      <c r="A514" s="105" t="s">
        <v>658</v>
      </c>
      <c r="B514" s="105" t="s">
        <v>659</v>
      </c>
      <c r="C514" s="105" t="s">
        <v>622</v>
      </c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</row>
    <row r="515" spans="1:15" ht="29" x14ac:dyDescent="0.35">
      <c r="A515" s="105" t="s">
        <v>660</v>
      </c>
      <c r="B515" s="105" t="s">
        <v>661</v>
      </c>
      <c r="C515" s="105" t="s">
        <v>622</v>
      </c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</row>
    <row r="516" spans="1:15" ht="29" x14ac:dyDescent="0.35">
      <c r="A516" s="105" t="s">
        <v>662</v>
      </c>
      <c r="B516" s="105" t="s">
        <v>663</v>
      </c>
      <c r="C516" s="105" t="s">
        <v>622</v>
      </c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</row>
    <row r="517" spans="1:15" ht="29" x14ac:dyDescent="0.35">
      <c r="A517" s="105" t="s">
        <v>664</v>
      </c>
      <c r="B517" s="105" t="s">
        <v>665</v>
      </c>
      <c r="C517" s="105" t="s">
        <v>622</v>
      </c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</row>
    <row r="518" spans="1:15" ht="29" x14ac:dyDescent="0.35">
      <c r="A518" s="105" t="s">
        <v>666</v>
      </c>
      <c r="B518" s="105" t="s">
        <v>667</v>
      </c>
      <c r="C518" s="105" t="s">
        <v>622</v>
      </c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</row>
    <row r="519" spans="1:15" ht="29" x14ac:dyDescent="0.35">
      <c r="A519" s="105" t="s">
        <v>668</v>
      </c>
      <c r="B519" s="105" t="s">
        <v>669</v>
      </c>
      <c r="C519" s="105" t="s">
        <v>622</v>
      </c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</row>
    <row r="520" spans="1:15" x14ac:dyDescent="0.35">
      <c r="A520" s="105" t="s">
        <v>670</v>
      </c>
      <c r="B520" s="105" t="s">
        <v>671</v>
      </c>
      <c r="C520" s="105" t="s">
        <v>622</v>
      </c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</row>
    <row r="521" spans="1:15" ht="29" x14ac:dyDescent="0.35">
      <c r="A521" s="105" t="s">
        <v>672</v>
      </c>
      <c r="B521" s="105" t="s">
        <v>673</v>
      </c>
      <c r="C521" s="105" t="s">
        <v>622</v>
      </c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</row>
    <row r="522" spans="1:15" ht="29" x14ac:dyDescent="0.35">
      <c r="A522" s="105" t="s">
        <v>674</v>
      </c>
      <c r="B522" s="105" t="s">
        <v>675</v>
      </c>
      <c r="C522" s="105" t="s">
        <v>622</v>
      </c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</row>
    <row r="523" spans="1:15" ht="29" x14ac:dyDescent="0.35">
      <c r="A523" s="105" t="s">
        <v>676</v>
      </c>
      <c r="B523" s="105" t="s">
        <v>677</v>
      </c>
      <c r="C523" s="105" t="s">
        <v>622</v>
      </c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</row>
    <row r="524" spans="1:15" ht="29" x14ac:dyDescent="0.35">
      <c r="A524" s="105" t="s">
        <v>678</v>
      </c>
      <c r="B524" s="105" t="s">
        <v>679</v>
      </c>
      <c r="C524" s="105" t="s">
        <v>622</v>
      </c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</row>
    <row r="525" spans="1:15" ht="29" x14ac:dyDescent="0.35">
      <c r="A525" s="105" t="s">
        <v>680</v>
      </c>
      <c r="B525" s="105" t="s">
        <v>706</v>
      </c>
      <c r="C525" s="105" t="s">
        <v>622</v>
      </c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</row>
    <row r="526" spans="1:15" ht="29" x14ac:dyDescent="0.35">
      <c r="A526" s="105" t="s">
        <v>681</v>
      </c>
      <c r="B526" s="105" t="s">
        <v>682</v>
      </c>
      <c r="C526" s="105" t="s">
        <v>683</v>
      </c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</row>
    <row r="527" spans="1:15" ht="29" x14ac:dyDescent="0.35">
      <c r="A527" s="105" t="s">
        <v>684</v>
      </c>
      <c r="B527" s="105" t="s">
        <v>685</v>
      </c>
      <c r="C527" s="105" t="s">
        <v>686</v>
      </c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</row>
    <row r="528" spans="1:15" ht="29" x14ac:dyDescent="0.35">
      <c r="A528" s="105" t="s">
        <v>687</v>
      </c>
      <c r="B528" s="105" t="s">
        <v>688</v>
      </c>
      <c r="C528" s="105" t="s">
        <v>686</v>
      </c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</row>
    <row r="529" spans="1:15" ht="29" x14ac:dyDescent="0.35">
      <c r="A529" s="105" t="s">
        <v>689</v>
      </c>
      <c r="B529" s="105" t="s">
        <v>690</v>
      </c>
      <c r="C529" s="105" t="s">
        <v>686</v>
      </c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</row>
    <row r="530" spans="1:15" ht="29" x14ac:dyDescent="0.35">
      <c r="A530" s="105" t="s">
        <v>691</v>
      </c>
      <c r="B530" s="105" t="s">
        <v>692</v>
      </c>
      <c r="C530" s="105" t="s">
        <v>686</v>
      </c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</row>
    <row r="531" spans="1:15" ht="29" x14ac:dyDescent="0.35">
      <c r="A531" s="105" t="s">
        <v>693</v>
      </c>
      <c r="B531" s="105" t="s">
        <v>694</v>
      </c>
      <c r="C531" s="105" t="s">
        <v>686</v>
      </c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</row>
    <row r="532" spans="1:15" ht="29" x14ac:dyDescent="0.35">
      <c r="A532" s="105" t="s">
        <v>695</v>
      </c>
      <c r="B532" s="105" t="s">
        <v>696</v>
      </c>
      <c r="C532" s="105" t="s">
        <v>686</v>
      </c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</row>
    <row r="533" spans="1:15" ht="29" x14ac:dyDescent="0.35">
      <c r="A533" s="105" t="s">
        <v>697</v>
      </c>
      <c r="B533" s="105" t="s">
        <v>698</v>
      </c>
      <c r="C533" s="105" t="s">
        <v>686</v>
      </c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</row>
    <row r="534" spans="1:15" x14ac:dyDescent="0.35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</row>
    <row r="535" spans="1:15" x14ac:dyDescent="0.35">
      <c r="A535" s="166" t="s">
        <v>723</v>
      </c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2"/>
    </row>
    <row r="536" spans="1:15" ht="58" x14ac:dyDescent="0.35">
      <c r="A536" s="108" t="s">
        <v>700</v>
      </c>
      <c r="B536" s="108" t="s">
        <v>701</v>
      </c>
      <c r="C536" s="108" t="s">
        <v>390</v>
      </c>
      <c r="D536" s="108" t="s">
        <v>351</v>
      </c>
      <c r="E536" s="108" t="s">
        <v>352</v>
      </c>
      <c r="F536" s="108" t="s">
        <v>292</v>
      </c>
      <c r="G536" s="108" t="s">
        <v>619</v>
      </c>
      <c r="H536" s="108" t="s">
        <v>353</v>
      </c>
      <c r="I536" s="108" t="s">
        <v>610</v>
      </c>
      <c r="J536" s="105"/>
      <c r="K536" s="105"/>
      <c r="L536" s="105"/>
      <c r="M536" s="105"/>
      <c r="N536" s="105"/>
      <c r="O536" s="105"/>
    </row>
    <row r="537" spans="1:15" x14ac:dyDescent="0.35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</row>
    <row r="538" spans="1:15" x14ac:dyDescent="0.35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</row>
    <row r="539" spans="1:15" x14ac:dyDescent="0.35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</row>
    <row r="540" spans="1:15" x14ac:dyDescent="0.35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</row>
    <row r="541" spans="1:15" x14ac:dyDescent="0.35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</row>
    <row r="542" spans="1:15" x14ac:dyDescent="0.35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</row>
    <row r="543" spans="1:15" x14ac:dyDescent="0.35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</row>
    <row r="544" spans="1:15" x14ac:dyDescent="0.35">
      <c r="A544" s="167" t="s">
        <v>724</v>
      </c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2"/>
    </row>
    <row r="545" spans="1:15" ht="72.5" x14ac:dyDescent="0.35">
      <c r="A545" s="108" t="s">
        <v>600</v>
      </c>
      <c r="B545" s="108"/>
      <c r="C545" s="108" t="s">
        <v>601</v>
      </c>
      <c r="D545" s="108"/>
      <c r="E545" s="108" t="s">
        <v>602</v>
      </c>
      <c r="F545" s="108"/>
      <c r="G545" s="108" t="s">
        <v>603</v>
      </c>
      <c r="H545" s="108"/>
      <c r="I545" s="108" t="s">
        <v>604</v>
      </c>
      <c r="J545" s="108"/>
      <c r="K545" s="108" t="s">
        <v>6</v>
      </c>
      <c r="L545" s="108"/>
      <c r="M545" s="108" t="s">
        <v>605</v>
      </c>
      <c r="N545" s="108"/>
      <c r="O545" s="108"/>
    </row>
    <row r="546" spans="1:15" ht="72.5" x14ac:dyDescent="0.35">
      <c r="A546" s="108" t="s">
        <v>606</v>
      </c>
      <c r="B546" s="108"/>
      <c r="C546" s="108" t="s">
        <v>607</v>
      </c>
      <c r="D546" s="108"/>
      <c r="E546" s="108" t="s">
        <v>608</v>
      </c>
      <c r="F546" s="108"/>
      <c r="G546" s="108" t="s">
        <v>609</v>
      </c>
      <c r="H546" s="108"/>
      <c r="I546" s="108" t="s">
        <v>610</v>
      </c>
      <c r="J546" s="109">
        <f>IFERROR(COUNTIF(E549:E587,"Yes")/(COUNTIF(E549:E587,"Yes")+COUNTIF(F549:F587,"No")),0)</f>
        <v>0</v>
      </c>
      <c r="K546" s="108"/>
      <c r="L546" s="108" t="str">
        <f>IF(J546&gt;=0.9,"Green",IF(J546&gt;=0.75,"Amber","Red"))</f>
        <v>Red</v>
      </c>
      <c r="M546" s="108"/>
      <c r="N546" s="108"/>
      <c r="O546" s="108"/>
    </row>
    <row r="547" spans="1:15" x14ac:dyDescent="0.35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</row>
    <row r="548" spans="1:15" ht="29" x14ac:dyDescent="0.35">
      <c r="A548" s="110" t="s">
        <v>611</v>
      </c>
      <c r="B548" s="110" t="s">
        <v>612</v>
      </c>
      <c r="C548" s="110" t="s">
        <v>613</v>
      </c>
      <c r="D548" s="110" t="s">
        <v>614</v>
      </c>
      <c r="E548" s="110" t="s">
        <v>81</v>
      </c>
      <c r="F548" s="110" t="s">
        <v>615</v>
      </c>
      <c r="G548" s="110" t="s">
        <v>616</v>
      </c>
      <c r="H548" s="110" t="s">
        <v>617</v>
      </c>
      <c r="I548" s="110" t="s">
        <v>618</v>
      </c>
      <c r="J548" s="110" t="s">
        <v>390</v>
      </c>
      <c r="K548" s="110" t="s">
        <v>351</v>
      </c>
      <c r="L548" s="110" t="s">
        <v>352</v>
      </c>
      <c r="M548" s="110" t="s">
        <v>292</v>
      </c>
      <c r="N548" s="110" t="s">
        <v>353</v>
      </c>
      <c r="O548" s="110" t="s">
        <v>619</v>
      </c>
    </row>
    <row r="549" spans="1:15" ht="29" x14ac:dyDescent="0.35">
      <c r="A549" s="105" t="s">
        <v>620</v>
      </c>
      <c r="B549" s="105" t="s">
        <v>621</v>
      </c>
      <c r="C549" s="105" t="s">
        <v>622</v>
      </c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</row>
    <row r="550" spans="1:15" ht="29" x14ac:dyDescent="0.35">
      <c r="A550" s="105" t="s">
        <v>623</v>
      </c>
      <c r="B550" s="105" t="s">
        <v>624</v>
      </c>
      <c r="C550" s="105" t="s">
        <v>622</v>
      </c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</row>
    <row r="551" spans="1:15" ht="29" x14ac:dyDescent="0.35">
      <c r="A551" s="105" t="s">
        <v>625</v>
      </c>
      <c r="B551" s="105" t="s">
        <v>626</v>
      </c>
      <c r="C551" s="105" t="s">
        <v>622</v>
      </c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</row>
    <row r="552" spans="1:15" ht="29" x14ac:dyDescent="0.35">
      <c r="A552" s="105" t="s">
        <v>627</v>
      </c>
      <c r="B552" s="105" t="s">
        <v>628</v>
      </c>
      <c r="C552" s="105" t="s">
        <v>622</v>
      </c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</row>
    <row r="553" spans="1:15" ht="29" x14ac:dyDescent="0.35">
      <c r="A553" s="105" t="s">
        <v>629</v>
      </c>
      <c r="B553" s="105" t="s">
        <v>630</v>
      </c>
      <c r="C553" s="105" t="s">
        <v>622</v>
      </c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</row>
    <row r="554" spans="1:15" ht="29" x14ac:dyDescent="0.35">
      <c r="A554" s="105" t="s">
        <v>631</v>
      </c>
      <c r="B554" s="105" t="s">
        <v>632</v>
      </c>
      <c r="C554" s="105" t="s">
        <v>622</v>
      </c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</row>
    <row r="555" spans="1:15" ht="29" x14ac:dyDescent="0.35">
      <c r="A555" s="105" t="s">
        <v>633</v>
      </c>
      <c r="B555" s="105" t="s">
        <v>634</v>
      </c>
      <c r="C555" s="105" t="s">
        <v>622</v>
      </c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</row>
    <row r="556" spans="1:15" ht="29" x14ac:dyDescent="0.35">
      <c r="A556" s="105" t="s">
        <v>635</v>
      </c>
      <c r="B556" s="105" t="s">
        <v>636</v>
      </c>
      <c r="C556" s="105" t="s">
        <v>622</v>
      </c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</row>
    <row r="557" spans="1:15" ht="29" x14ac:dyDescent="0.35">
      <c r="A557" s="105" t="s">
        <v>637</v>
      </c>
      <c r="B557" s="105" t="s">
        <v>638</v>
      </c>
      <c r="C557" s="105" t="s">
        <v>622</v>
      </c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</row>
    <row r="558" spans="1:15" ht="29" x14ac:dyDescent="0.35">
      <c r="A558" s="105" t="s">
        <v>639</v>
      </c>
      <c r="B558" s="105" t="s">
        <v>640</v>
      </c>
      <c r="C558" s="105" t="s">
        <v>622</v>
      </c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</row>
    <row r="559" spans="1:15" ht="29" x14ac:dyDescent="0.35">
      <c r="A559" s="105" t="s">
        <v>641</v>
      </c>
      <c r="B559" s="105" t="s">
        <v>642</v>
      </c>
      <c r="C559" s="105" t="s">
        <v>622</v>
      </c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</row>
    <row r="560" spans="1:15" ht="29" x14ac:dyDescent="0.35">
      <c r="A560" s="105" t="s">
        <v>643</v>
      </c>
      <c r="B560" s="105" t="s">
        <v>703</v>
      </c>
      <c r="C560" s="105" t="s">
        <v>622</v>
      </c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</row>
    <row r="561" spans="1:15" ht="29" x14ac:dyDescent="0.35">
      <c r="A561" s="105" t="s">
        <v>644</v>
      </c>
      <c r="B561" s="105" t="s">
        <v>704</v>
      </c>
      <c r="C561" s="105" t="s">
        <v>622</v>
      </c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</row>
    <row r="562" spans="1:15" ht="29" x14ac:dyDescent="0.35">
      <c r="A562" s="105" t="s">
        <v>645</v>
      </c>
      <c r="B562" s="105" t="s">
        <v>705</v>
      </c>
      <c r="C562" s="105" t="s">
        <v>622</v>
      </c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</row>
    <row r="563" spans="1:15" ht="29" x14ac:dyDescent="0.35">
      <c r="A563" s="105" t="s">
        <v>646</v>
      </c>
      <c r="B563" s="105" t="s">
        <v>647</v>
      </c>
      <c r="C563" s="105" t="s">
        <v>648</v>
      </c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</row>
    <row r="564" spans="1:15" ht="29" x14ac:dyDescent="0.35">
      <c r="A564" s="105" t="s">
        <v>649</v>
      </c>
      <c r="B564" s="105" t="s">
        <v>650</v>
      </c>
      <c r="C564" s="105" t="s">
        <v>622</v>
      </c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</row>
    <row r="565" spans="1:15" ht="29" x14ac:dyDescent="0.35">
      <c r="A565" s="105" t="s">
        <v>651</v>
      </c>
      <c r="B565" s="105" t="s">
        <v>652</v>
      </c>
      <c r="C565" s="105" t="s">
        <v>648</v>
      </c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</row>
    <row r="566" spans="1:15" ht="29" x14ac:dyDescent="0.35">
      <c r="A566" s="105" t="s">
        <v>653</v>
      </c>
      <c r="B566" s="105" t="s">
        <v>654</v>
      </c>
      <c r="C566" s="105" t="s">
        <v>622</v>
      </c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</row>
    <row r="567" spans="1:15" ht="29" x14ac:dyDescent="0.35">
      <c r="A567" s="105" t="s">
        <v>655</v>
      </c>
      <c r="B567" s="105" t="s">
        <v>656</v>
      </c>
      <c r="C567" s="105" t="s">
        <v>657</v>
      </c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</row>
    <row r="568" spans="1:15" ht="29" x14ac:dyDescent="0.35">
      <c r="A568" s="105" t="s">
        <v>658</v>
      </c>
      <c r="B568" s="105" t="s">
        <v>659</v>
      </c>
      <c r="C568" s="105" t="s">
        <v>622</v>
      </c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</row>
    <row r="569" spans="1:15" ht="29" x14ac:dyDescent="0.35">
      <c r="A569" s="105" t="s">
        <v>660</v>
      </c>
      <c r="B569" s="105" t="s">
        <v>661</v>
      </c>
      <c r="C569" s="105" t="s">
        <v>622</v>
      </c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</row>
    <row r="570" spans="1:15" ht="29" x14ac:dyDescent="0.35">
      <c r="A570" s="105" t="s">
        <v>662</v>
      </c>
      <c r="B570" s="105" t="s">
        <v>663</v>
      </c>
      <c r="C570" s="105" t="s">
        <v>622</v>
      </c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</row>
    <row r="571" spans="1:15" ht="29" x14ac:dyDescent="0.35">
      <c r="A571" s="105" t="s">
        <v>664</v>
      </c>
      <c r="B571" s="105" t="s">
        <v>665</v>
      </c>
      <c r="C571" s="105" t="s">
        <v>622</v>
      </c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</row>
    <row r="572" spans="1:15" ht="29" x14ac:dyDescent="0.35">
      <c r="A572" s="105" t="s">
        <v>666</v>
      </c>
      <c r="B572" s="105" t="s">
        <v>667</v>
      </c>
      <c r="C572" s="105" t="s">
        <v>622</v>
      </c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</row>
    <row r="573" spans="1:15" ht="29" x14ac:dyDescent="0.35">
      <c r="A573" s="105" t="s">
        <v>668</v>
      </c>
      <c r="B573" s="105" t="s">
        <v>669</v>
      </c>
      <c r="C573" s="105" t="s">
        <v>622</v>
      </c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</row>
    <row r="574" spans="1:15" x14ac:dyDescent="0.35">
      <c r="A574" s="105" t="s">
        <v>670</v>
      </c>
      <c r="B574" s="105" t="s">
        <v>671</v>
      </c>
      <c r="C574" s="105" t="s">
        <v>622</v>
      </c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</row>
    <row r="575" spans="1:15" ht="29" x14ac:dyDescent="0.35">
      <c r="A575" s="105" t="s">
        <v>672</v>
      </c>
      <c r="B575" s="105" t="s">
        <v>673</v>
      </c>
      <c r="C575" s="105" t="s">
        <v>622</v>
      </c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</row>
    <row r="576" spans="1:15" ht="29" x14ac:dyDescent="0.35">
      <c r="A576" s="105" t="s">
        <v>674</v>
      </c>
      <c r="B576" s="105" t="s">
        <v>675</v>
      </c>
      <c r="C576" s="105" t="s">
        <v>622</v>
      </c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</row>
    <row r="577" spans="1:15" ht="29" x14ac:dyDescent="0.35">
      <c r="A577" s="105" t="s">
        <v>676</v>
      </c>
      <c r="B577" s="105" t="s">
        <v>677</v>
      </c>
      <c r="C577" s="105" t="s">
        <v>622</v>
      </c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</row>
    <row r="578" spans="1:15" ht="29" x14ac:dyDescent="0.35">
      <c r="A578" s="105" t="s">
        <v>678</v>
      </c>
      <c r="B578" s="105" t="s">
        <v>679</v>
      </c>
      <c r="C578" s="105" t="s">
        <v>622</v>
      </c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</row>
    <row r="579" spans="1:15" ht="29" x14ac:dyDescent="0.35">
      <c r="A579" s="105" t="s">
        <v>680</v>
      </c>
      <c r="B579" s="105" t="s">
        <v>706</v>
      </c>
      <c r="C579" s="105" t="s">
        <v>622</v>
      </c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</row>
    <row r="580" spans="1:15" ht="29" x14ac:dyDescent="0.35">
      <c r="A580" s="105" t="s">
        <v>681</v>
      </c>
      <c r="B580" s="105" t="s">
        <v>682</v>
      </c>
      <c r="C580" s="105" t="s">
        <v>683</v>
      </c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</row>
    <row r="581" spans="1:15" ht="29" x14ac:dyDescent="0.35">
      <c r="A581" s="105" t="s">
        <v>684</v>
      </c>
      <c r="B581" s="105" t="s">
        <v>685</v>
      </c>
      <c r="C581" s="105" t="s">
        <v>686</v>
      </c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</row>
    <row r="582" spans="1:15" ht="29" x14ac:dyDescent="0.35">
      <c r="A582" s="105" t="s">
        <v>687</v>
      </c>
      <c r="B582" s="105" t="s">
        <v>688</v>
      </c>
      <c r="C582" s="105" t="s">
        <v>686</v>
      </c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</row>
    <row r="583" spans="1:15" ht="29" x14ac:dyDescent="0.35">
      <c r="A583" s="105" t="s">
        <v>689</v>
      </c>
      <c r="B583" s="105" t="s">
        <v>690</v>
      </c>
      <c r="C583" s="105" t="s">
        <v>686</v>
      </c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</row>
    <row r="584" spans="1:15" ht="29" x14ac:dyDescent="0.35">
      <c r="A584" s="105" t="s">
        <v>691</v>
      </c>
      <c r="B584" s="105" t="s">
        <v>692</v>
      </c>
      <c r="C584" s="105" t="s">
        <v>686</v>
      </c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</row>
    <row r="585" spans="1:15" ht="29" x14ac:dyDescent="0.35">
      <c r="A585" s="105" t="s">
        <v>693</v>
      </c>
      <c r="B585" s="105" t="s">
        <v>694</v>
      </c>
      <c r="C585" s="105" t="s">
        <v>686</v>
      </c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</row>
    <row r="586" spans="1:15" ht="29" x14ac:dyDescent="0.35">
      <c r="A586" s="105" t="s">
        <v>695</v>
      </c>
      <c r="B586" s="105" t="s">
        <v>696</v>
      </c>
      <c r="C586" s="105" t="s">
        <v>686</v>
      </c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</row>
    <row r="587" spans="1:15" ht="29" x14ac:dyDescent="0.35">
      <c r="A587" s="105" t="s">
        <v>697</v>
      </c>
      <c r="B587" s="105" t="s">
        <v>698</v>
      </c>
      <c r="C587" s="105" t="s">
        <v>686</v>
      </c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</row>
    <row r="588" spans="1:15" x14ac:dyDescent="0.35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</row>
    <row r="589" spans="1:15" x14ac:dyDescent="0.35">
      <c r="A589" s="166" t="s">
        <v>725</v>
      </c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2"/>
    </row>
    <row r="590" spans="1:15" ht="58" x14ac:dyDescent="0.35">
      <c r="A590" s="108" t="s">
        <v>700</v>
      </c>
      <c r="B590" s="108" t="s">
        <v>701</v>
      </c>
      <c r="C590" s="108" t="s">
        <v>390</v>
      </c>
      <c r="D590" s="108" t="s">
        <v>351</v>
      </c>
      <c r="E590" s="108" t="s">
        <v>352</v>
      </c>
      <c r="F590" s="108" t="s">
        <v>292</v>
      </c>
      <c r="G590" s="108" t="s">
        <v>619</v>
      </c>
      <c r="H590" s="108" t="s">
        <v>353</v>
      </c>
      <c r="I590" s="108" t="s">
        <v>610</v>
      </c>
      <c r="J590" s="105"/>
      <c r="K590" s="105"/>
      <c r="L590" s="105"/>
      <c r="M590" s="105"/>
      <c r="N590" s="105"/>
      <c r="O590" s="105"/>
    </row>
    <row r="591" spans="1:15" x14ac:dyDescent="0.35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</row>
    <row r="592" spans="1:15" x14ac:dyDescent="0.35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</row>
    <row r="593" spans="1:15" x14ac:dyDescent="0.35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</row>
    <row r="594" spans="1:15" x14ac:dyDescent="0.35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</row>
    <row r="595" spans="1:15" x14ac:dyDescent="0.3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</row>
    <row r="596" spans="1:15" x14ac:dyDescent="0.35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</row>
    <row r="597" spans="1:15" x14ac:dyDescent="0.35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</row>
    <row r="598" spans="1:15" x14ac:dyDescent="0.35">
      <c r="A598" s="167" t="s">
        <v>726</v>
      </c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2"/>
    </row>
    <row r="599" spans="1:15" ht="72.5" x14ac:dyDescent="0.35">
      <c r="A599" s="108" t="s">
        <v>600</v>
      </c>
      <c r="B599" s="108"/>
      <c r="C599" s="108" t="s">
        <v>601</v>
      </c>
      <c r="D599" s="108"/>
      <c r="E599" s="108" t="s">
        <v>602</v>
      </c>
      <c r="F599" s="108"/>
      <c r="G599" s="108" t="s">
        <v>603</v>
      </c>
      <c r="H599" s="108"/>
      <c r="I599" s="108" t="s">
        <v>604</v>
      </c>
      <c r="J599" s="108"/>
      <c r="K599" s="108" t="s">
        <v>6</v>
      </c>
      <c r="L599" s="108"/>
      <c r="M599" s="108" t="s">
        <v>605</v>
      </c>
      <c r="N599" s="108"/>
      <c r="O599" s="108"/>
    </row>
    <row r="600" spans="1:15" ht="72.5" x14ac:dyDescent="0.35">
      <c r="A600" s="108" t="s">
        <v>606</v>
      </c>
      <c r="B600" s="108"/>
      <c r="C600" s="108" t="s">
        <v>607</v>
      </c>
      <c r="D600" s="108"/>
      <c r="E600" s="108" t="s">
        <v>608</v>
      </c>
      <c r="F600" s="108"/>
      <c r="G600" s="108" t="s">
        <v>609</v>
      </c>
      <c r="H600" s="108"/>
      <c r="I600" s="108" t="s">
        <v>610</v>
      </c>
      <c r="J600" s="109">
        <f>IFERROR(COUNTIF(E603:E641,"Yes")/(COUNTIF(E603:E641,"Yes")+COUNTIF(F603:F641,"No")),0)</f>
        <v>0</v>
      </c>
      <c r="K600" s="108"/>
      <c r="L600" s="108" t="str">
        <f>IF(J600&gt;=0.9,"Green",IF(J600&gt;=0.75,"Amber","Red"))</f>
        <v>Red</v>
      </c>
      <c r="M600" s="108"/>
      <c r="N600" s="108"/>
      <c r="O600" s="108"/>
    </row>
    <row r="601" spans="1:15" x14ac:dyDescent="0.35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</row>
    <row r="602" spans="1:15" ht="29" x14ac:dyDescent="0.35">
      <c r="A602" s="110" t="s">
        <v>611</v>
      </c>
      <c r="B602" s="110" t="s">
        <v>612</v>
      </c>
      <c r="C602" s="110" t="s">
        <v>613</v>
      </c>
      <c r="D602" s="110" t="s">
        <v>614</v>
      </c>
      <c r="E602" s="110" t="s">
        <v>81</v>
      </c>
      <c r="F602" s="110" t="s">
        <v>615</v>
      </c>
      <c r="G602" s="110" t="s">
        <v>616</v>
      </c>
      <c r="H602" s="110" t="s">
        <v>617</v>
      </c>
      <c r="I602" s="110" t="s">
        <v>618</v>
      </c>
      <c r="J602" s="110" t="s">
        <v>390</v>
      </c>
      <c r="K602" s="110" t="s">
        <v>351</v>
      </c>
      <c r="L602" s="110" t="s">
        <v>352</v>
      </c>
      <c r="M602" s="110" t="s">
        <v>292</v>
      </c>
      <c r="N602" s="110" t="s">
        <v>353</v>
      </c>
      <c r="O602" s="110" t="s">
        <v>619</v>
      </c>
    </row>
    <row r="603" spans="1:15" ht="29" x14ac:dyDescent="0.35">
      <c r="A603" s="105" t="s">
        <v>620</v>
      </c>
      <c r="B603" s="105" t="s">
        <v>621</v>
      </c>
      <c r="C603" s="105" t="s">
        <v>622</v>
      </c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</row>
    <row r="604" spans="1:15" ht="29" x14ac:dyDescent="0.35">
      <c r="A604" s="105" t="s">
        <v>623</v>
      </c>
      <c r="B604" s="105" t="s">
        <v>624</v>
      </c>
      <c r="C604" s="105" t="s">
        <v>622</v>
      </c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</row>
    <row r="605" spans="1:15" ht="29" x14ac:dyDescent="0.35">
      <c r="A605" s="105" t="s">
        <v>625</v>
      </c>
      <c r="B605" s="105" t="s">
        <v>626</v>
      </c>
      <c r="C605" s="105" t="s">
        <v>622</v>
      </c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</row>
    <row r="606" spans="1:15" ht="29" x14ac:dyDescent="0.35">
      <c r="A606" s="105" t="s">
        <v>627</v>
      </c>
      <c r="B606" s="105" t="s">
        <v>628</v>
      </c>
      <c r="C606" s="105" t="s">
        <v>622</v>
      </c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</row>
    <row r="607" spans="1:15" ht="29" x14ac:dyDescent="0.35">
      <c r="A607" s="105" t="s">
        <v>629</v>
      </c>
      <c r="B607" s="105" t="s">
        <v>630</v>
      </c>
      <c r="C607" s="105" t="s">
        <v>622</v>
      </c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</row>
    <row r="608" spans="1:15" ht="29" x14ac:dyDescent="0.35">
      <c r="A608" s="105" t="s">
        <v>631</v>
      </c>
      <c r="B608" s="105" t="s">
        <v>632</v>
      </c>
      <c r="C608" s="105" t="s">
        <v>622</v>
      </c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</row>
    <row r="609" spans="1:15" ht="29" x14ac:dyDescent="0.35">
      <c r="A609" s="105" t="s">
        <v>633</v>
      </c>
      <c r="B609" s="105" t="s">
        <v>634</v>
      </c>
      <c r="C609" s="105" t="s">
        <v>622</v>
      </c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</row>
    <row r="610" spans="1:15" ht="29" x14ac:dyDescent="0.35">
      <c r="A610" s="105" t="s">
        <v>635</v>
      </c>
      <c r="B610" s="105" t="s">
        <v>636</v>
      </c>
      <c r="C610" s="105" t="s">
        <v>622</v>
      </c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</row>
    <row r="611" spans="1:15" ht="29" x14ac:dyDescent="0.35">
      <c r="A611" s="105" t="s">
        <v>637</v>
      </c>
      <c r="B611" s="105" t="s">
        <v>638</v>
      </c>
      <c r="C611" s="105" t="s">
        <v>622</v>
      </c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</row>
    <row r="612" spans="1:15" ht="29" x14ac:dyDescent="0.35">
      <c r="A612" s="105" t="s">
        <v>639</v>
      </c>
      <c r="B612" s="105" t="s">
        <v>640</v>
      </c>
      <c r="C612" s="105" t="s">
        <v>622</v>
      </c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</row>
    <row r="613" spans="1:15" ht="29" x14ac:dyDescent="0.35">
      <c r="A613" s="105" t="s">
        <v>641</v>
      </c>
      <c r="B613" s="105" t="s">
        <v>642</v>
      </c>
      <c r="C613" s="105" t="s">
        <v>622</v>
      </c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</row>
    <row r="614" spans="1:15" ht="29" x14ac:dyDescent="0.35">
      <c r="A614" s="105" t="s">
        <v>643</v>
      </c>
      <c r="B614" s="105" t="s">
        <v>703</v>
      </c>
      <c r="C614" s="105" t="s">
        <v>622</v>
      </c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</row>
    <row r="615" spans="1:15" ht="29" x14ac:dyDescent="0.35">
      <c r="A615" s="105" t="s">
        <v>644</v>
      </c>
      <c r="B615" s="105" t="s">
        <v>704</v>
      </c>
      <c r="C615" s="105" t="s">
        <v>622</v>
      </c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</row>
    <row r="616" spans="1:15" ht="29" x14ac:dyDescent="0.35">
      <c r="A616" s="105" t="s">
        <v>645</v>
      </c>
      <c r="B616" s="105" t="s">
        <v>705</v>
      </c>
      <c r="C616" s="105" t="s">
        <v>622</v>
      </c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</row>
    <row r="617" spans="1:15" ht="29" x14ac:dyDescent="0.35">
      <c r="A617" s="105" t="s">
        <v>646</v>
      </c>
      <c r="B617" s="105" t="s">
        <v>647</v>
      </c>
      <c r="C617" s="105" t="s">
        <v>648</v>
      </c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</row>
    <row r="618" spans="1:15" ht="29" x14ac:dyDescent="0.35">
      <c r="A618" s="105" t="s">
        <v>649</v>
      </c>
      <c r="B618" s="105" t="s">
        <v>650</v>
      </c>
      <c r="C618" s="105" t="s">
        <v>622</v>
      </c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</row>
    <row r="619" spans="1:15" ht="29" x14ac:dyDescent="0.35">
      <c r="A619" s="105" t="s">
        <v>651</v>
      </c>
      <c r="B619" s="105" t="s">
        <v>652</v>
      </c>
      <c r="C619" s="105" t="s">
        <v>648</v>
      </c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</row>
    <row r="620" spans="1:15" ht="29" x14ac:dyDescent="0.35">
      <c r="A620" s="105" t="s">
        <v>653</v>
      </c>
      <c r="B620" s="105" t="s">
        <v>654</v>
      </c>
      <c r="C620" s="105" t="s">
        <v>622</v>
      </c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</row>
    <row r="621" spans="1:15" ht="29" x14ac:dyDescent="0.35">
      <c r="A621" s="105" t="s">
        <v>655</v>
      </c>
      <c r="B621" s="105" t="s">
        <v>656</v>
      </c>
      <c r="C621" s="105" t="s">
        <v>657</v>
      </c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</row>
    <row r="622" spans="1:15" ht="29" x14ac:dyDescent="0.35">
      <c r="A622" s="105" t="s">
        <v>658</v>
      </c>
      <c r="B622" s="105" t="s">
        <v>659</v>
      </c>
      <c r="C622" s="105" t="s">
        <v>622</v>
      </c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</row>
    <row r="623" spans="1:15" ht="29" x14ac:dyDescent="0.35">
      <c r="A623" s="105" t="s">
        <v>660</v>
      </c>
      <c r="B623" s="105" t="s">
        <v>661</v>
      </c>
      <c r="C623" s="105" t="s">
        <v>622</v>
      </c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</row>
    <row r="624" spans="1:15" ht="29" x14ac:dyDescent="0.35">
      <c r="A624" s="105" t="s">
        <v>662</v>
      </c>
      <c r="B624" s="105" t="s">
        <v>663</v>
      </c>
      <c r="C624" s="105" t="s">
        <v>622</v>
      </c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</row>
    <row r="625" spans="1:15" ht="29" x14ac:dyDescent="0.35">
      <c r="A625" s="105" t="s">
        <v>664</v>
      </c>
      <c r="B625" s="105" t="s">
        <v>665</v>
      </c>
      <c r="C625" s="105" t="s">
        <v>622</v>
      </c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</row>
    <row r="626" spans="1:15" ht="29" x14ac:dyDescent="0.35">
      <c r="A626" s="105" t="s">
        <v>666</v>
      </c>
      <c r="B626" s="105" t="s">
        <v>667</v>
      </c>
      <c r="C626" s="105" t="s">
        <v>622</v>
      </c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</row>
    <row r="627" spans="1:15" ht="29" x14ac:dyDescent="0.35">
      <c r="A627" s="105" t="s">
        <v>668</v>
      </c>
      <c r="B627" s="105" t="s">
        <v>669</v>
      </c>
      <c r="C627" s="105" t="s">
        <v>622</v>
      </c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</row>
    <row r="628" spans="1:15" x14ac:dyDescent="0.35">
      <c r="A628" s="105" t="s">
        <v>670</v>
      </c>
      <c r="B628" s="105" t="s">
        <v>671</v>
      </c>
      <c r="C628" s="105" t="s">
        <v>622</v>
      </c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</row>
    <row r="629" spans="1:15" ht="29" x14ac:dyDescent="0.35">
      <c r="A629" s="105" t="s">
        <v>672</v>
      </c>
      <c r="B629" s="105" t="s">
        <v>673</v>
      </c>
      <c r="C629" s="105" t="s">
        <v>622</v>
      </c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</row>
    <row r="630" spans="1:15" ht="29" x14ac:dyDescent="0.35">
      <c r="A630" s="105" t="s">
        <v>674</v>
      </c>
      <c r="B630" s="105" t="s">
        <v>675</v>
      </c>
      <c r="C630" s="105" t="s">
        <v>622</v>
      </c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</row>
    <row r="631" spans="1:15" ht="29" x14ac:dyDescent="0.35">
      <c r="A631" s="105" t="s">
        <v>676</v>
      </c>
      <c r="B631" s="105" t="s">
        <v>677</v>
      </c>
      <c r="C631" s="105" t="s">
        <v>622</v>
      </c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</row>
    <row r="632" spans="1:15" ht="29" x14ac:dyDescent="0.35">
      <c r="A632" s="105" t="s">
        <v>678</v>
      </c>
      <c r="B632" s="105" t="s">
        <v>679</v>
      </c>
      <c r="C632" s="105" t="s">
        <v>622</v>
      </c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</row>
    <row r="633" spans="1:15" ht="29" x14ac:dyDescent="0.35">
      <c r="A633" s="105" t="s">
        <v>680</v>
      </c>
      <c r="B633" s="105" t="s">
        <v>706</v>
      </c>
      <c r="C633" s="105" t="s">
        <v>622</v>
      </c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</row>
    <row r="634" spans="1:15" ht="29" x14ac:dyDescent="0.35">
      <c r="A634" s="105" t="s">
        <v>681</v>
      </c>
      <c r="B634" s="105" t="s">
        <v>682</v>
      </c>
      <c r="C634" s="105" t="s">
        <v>683</v>
      </c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</row>
    <row r="635" spans="1:15" ht="29" x14ac:dyDescent="0.35">
      <c r="A635" s="105" t="s">
        <v>684</v>
      </c>
      <c r="B635" s="105" t="s">
        <v>685</v>
      </c>
      <c r="C635" s="105" t="s">
        <v>686</v>
      </c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</row>
    <row r="636" spans="1:15" ht="29" x14ac:dyDescent="0.35">
      <c r="A636" s="105" t="s">
        <v>687</v>
      </c>
      <c r="B636" s="105" t="s">
        <v>688</v>
      </c>
      <c r="C636" s="105" t="s">
        <v>686</v>
      </c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</row>
    <row r="637" spans="1:15" ht="29" x14ac:dyDescent="0.35">
      <c r="A637" s="105" t="s">
        <v>689</v>
      </c>
      <c r="B637" s="105" t="s">
        <v>690</v>
      </c>
      <c r="C637" s="105" t="s">
        <v>686</v>
      </c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</row>
    <row r="638" spans="1:15" ht="29" x14ac:dyDescent="0.35">
      <c r="A638" s="105" t="s">
        <v>691</v>
      </c>
      <c r="B638" s="105" t="s">
        <v>692</v>
      </c>
      <c r="C638" s="105" t="s">
        <v>686</v>
      </c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</row>
    <row r="639" spans="1:15" ht="29" x14ac:dyDescent="0.35">
      <c r="A639" s="105" t="s">
        <v>693</v>
      </c>
      <c r="B639" s="105" t="s">
        <v>694</v>
      </c>
      <c r="C639" s="105" t="s">
        <v>686</v>
      </c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</row>
    <row r="640" spans="1:15" ht="29" x14ac:dyDescent="0.35">
      <c r="A640" s="105" t="s">
        <v>695</v>
      </c>
      <c r="B640" s="105" t="s">
        <v>696</v>
      </c>
      <c r="C640" s="105" t="s">
        <v>686</v>
      </c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</row>
    <row r="641" spans="1:15" ht="29" x14ac:dyDescent="0.35">
      <c r="A641" s="105" t="s">
        <v>697</v>
      </c>
      <c r="B641" s="105" t="s">
        <v>698</v>
      </c>
      <c r="C641" s="105" t="s">
        <v>686</v>
      </c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</row>
    <row r="642" spans="1:15" x14ac:dyDescent="0.35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</row>
    <row r="643" spans="1:15" x14ac:dyDescent="0.35">
      <c r="A643" s="166" t="s">
        <v>727</v>
      </c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2"/>
    </row>
    <row r="644" spans="1:15" ht="58" x14ac:dyDescent="0.35">
      <c r="A644" s="108" t="s">
        <v>700</v>
      </c>
      <c r="B644" s="108" t="s">
        <v>701</v>
      </c>
      <c r="C644" s="108" t="s">
        <v>390</v>
      </c>
      <c r="D644" s="108" t="s">
        <v>351</v>
      </c>
      <c r="E644" s="108" t="s">
        <v>352</v>
      </c>
      <c r="F644" s="108" t="s">
        <v>292</v>
      </c>
      <c r="G644" s="108" t="s">
        <v>619</v>
      </c>
      <c r="H644" s="108" t="s">
        <v>353</v>
      </c>
      <c r="I644" s="108" t="s">
        <v>610</v>
      </c>
      <c r="J644" s="105"/>
      <c r="K644" s="105"/>
      <c r="L644" s="105"/>
      <c r="M644" s="105"/>
      <c r="N644" s="105"/>
      <c r="O644" s="105"/>
    </row>
  </sheetData>
  <mergeCells count="30">
    <mergeCell ref="A643:O643"/>
    <mergeCell ref="A1:T1"/>
    <mergeCell ref="A21:R21"/>
    <mergeCell ref="A598:O598"/>
    <mergeCell ref="A4:O4"/>
    <mergeCell ref="A22:R22"/>
    <mergeCell ref="A373:O373"/>
    <mergeCell ref="A20:R20"/>
    <mergeCell ref="A265:O265"/>
    <mergeCell ref="A436:O436"/>
    <mergeCell ref="A274:O274"/>
    <mergeCell ref="A112:O112"/>
    <mergeCell ref="A481:O481"/>
    <mergeCell ref="A544:O544"/>
    <mergeCell ref="A211:O211"/>
    <mergeCell ref="A589:O589"/>
    <mergeCell ref="A427:O427"/>
    <mergeCell ref="A382:O382"/>
    <mergeCell ref="A2:T2"/>
    <mergeCell ref="A220:O220"/>
    <mergeCell ref="A58:O58"/>
    <mergeCell ref="A490:O490"/>
    <mergeCell ref="A328:O328"/>
    <mergeCell ref="A166:O166"/>
    <mergeCell ref="A39:R39"/>
    <mergeCell ref="A319:O319"/>
    <mergeCell ref="A157:O157"/>
    <mergeCell ref="A49:O49"/>
    <mergeCell ref="A103:O103"/>
    <mergeCell ref="A535:O535"/>
  </mergeCells>
  <conditionalFormatting sqref="I25:I36">
    <cfRule type="expression" dxfId="397" priority="1">
      <formula>I25="Green"</formula>
    </cfRule>
    <cfRule type="expression" dxfId="396" priority="2">
      <formula>I25="Amber"</formula>
    </cfRule>
    <cfRule type="expression" dxfId="395" priority="3">
      <formula>I25="Red"</formula>
    </cfRule>
  </conditionalFormatting>
  <dataValidations count="7">
    <dataValidation type="list" allowBlank="1" sqref="E5:E17" xr:uid="{00000000-0002-0000-1D00-000000000000}">
      <formula1>"Yes,No,Partial,N/A"</formula1>
    </dataValidation>
    <dataValidation type="list" allowBlank="1" sqref="G5:G17" xr:uid="{00000000-0002-0000-1D00-000001000000}">
      <formula1>"Low,Medium,High,Critical"</formula1>
    </dataValidation>
    <dataValidation type="list" allowBlank="1" sqref="S5:S17" xr:uid="{00000000-0002-0000-1D00-000002000000}">
      <formula1>"Open,In Progress,Awaiting Verification,Closed,Escalated"</formula1>
    </dataValidation>
    <dataValidation type="list" allowBlank="1" sqref="G25:G36" xr:uid="{00000000-0002-0000-1D00-000003000000}">
      <formula1>"Yes,No,Partially,N/A"</formula1>
    </dataValidation>
    <dataValidation type="list" allowBlank="1" sqref="I25:I36" xr:uid="{00000000-0002-0000-1D00-000004000000}">
      <formula1>"Green,Amber,Red,Not Started"</formula1>
    </dataValidation>
    <dataValidation type="list" allowBlank="1" sqref="C41:C48 E9:G47 E63:G101 E117:G155 E171:G209 E225:G263 E279:G317 E333:G371 E387:G425 E441:G479 E495:G533 E549:G587 E603:G641" xr:uid="{00000000-0002-0000-1D00-000005000000}">
      <formula1>"Yes,No,N/A"</formula1>
    </dataValidation>
    <dataValidation type="list" allowBlank="1" sqref="H9:H47 H63:H101 H117:H155 H171:H209 H225:H263 H279:H317 H333:H371 H387:H425 H441:H479 H495:H533 H549:H587 H603:H641" xr:uid="{00000000-0002-0000-1D00-000007000000}">
      <formula1>"Low,Medium,High,Critical,N/A"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196"/>
  <sheetViews>
    <sheetView workbookViewId="0"/>
  </sheetViews>
  <sheetFormatPr defaultRowHeight="14.5" x14ac:dyDescent="0.35"/>
  <cols>
    <col min="1" max="1" width="5" customWidth="1"/>
    <col min="2" max="2" width="46" customWidth="1"/>
    <col min="3" max="3" width="20" customWidth="1"/>
    <col min="4" max="4" width="30" customWidth="1"/>
    <col min="5" max="7" width="7" customWidth="1"/>
    <col min="8" max="8" width="13" customWidth="1"/>
    <col min="9" max="9" width="30" customWidth="1"/>
    <col min="10" max="10" width="26" customWidth="1"/>
    <col min="11" max="11" width="14" customWidth="1"/>
    <col min="12" max="12" width="13" customWidth="1"/>
    <col min="13" max="15" width="14" customWidth="1"/>
    <col min="16" max="16" width="16" customWidth="1"/>
    <col min="17" max="17" width="28" customWidth="1"/>
    <col min="18" max="18" width="40" customWidth="1"/>
    <col min="19" max="19" width="14" customWidth="1"/>
    <col min="20" max="20" width="12" customWidth="1"/>
  </cols>
  <sheetData>
    <row r="1" spans="1:20" ht="28" customHeight="1" x14ac:dyDescent="0.35">
      <c r="A1" s="145" t="s">
        <v>728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2"/>
    </row>
    <row r="2" spans="1:20" x14ac:dyDescent="0.35">
      <c r="A2" s="168" t="s">
        <v>729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2"/>
    </row>
    <row r="3" spans="1:20" x14ac:dyDescent="0.35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0" ht="29" customHeight="1" x14ac:dyDescent="0.35">
      <c r="A4" s="167" t="s">
        <v>730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2"/>
    </row>
    <row r="5" spans="1:20" ht="72.5" x14ac:dyDescent="0.35">
      <c r="A5" s="108" t="s">
        <v>600</v>
      </c>
      <c r="B5" s="108"/>
      <c r="C5" s="108" t="s">
        <v>601</v>
      </c>
      <c r="D5" s="108"/>
      <c r="E5" s="108" t="s">
        <v>602</v>
      </c>
      <c r="F5" s="108"/>
      <c r="G5" s="108" t="s">
        <v>603</v>
      </c>
      <c r="H5" s="108"/>
      <c r="I5" s="108" t="s">
        <v>604</v>
      </c>
      <c r="J5" s="108"/>
      <c r="K5" s="108" t="s">
        <v>6</v>
      </c>
      <c r="L5" s="108"/>
      <c r="M5" s="108" t="s">
        <v>605</v>
      </c>
      <c r="N5" s="108"/>
      <c r="O5" s="108"/>
    </row>
    <row r="6" spans="1:20" ht="72.5" x14ac:dyDescent="0.35">
      <c r="A6" s="108" t="s">
        <v>606</v>
      </c>
      <c r="B6" s="108"/>
      <c r="C6" s="108" t="s">
        <v>607</v>
      </c>
      <c r="D6" s="108"/>
      <c r="E6" s="108" t="s">
        <v>608</v>
      </c>
      <c r="F6" s="108"/>
      <c r="G6" s="108" t="s">
        <v>609</v>
      </c>
      <c r="H6" s="108"/>
      <c r="I6" s="108" t="s">
        <v>610</v>
      </c>
      <c r="J6" s="109">
        <f>IFERROR(COUNTIF(E9:E43,"Yes")/(COUNTIF(E9:E43,"Yes")+COUNTIF(F9:F43,"No")),0)</f>
        <v>0</v>
      </c>
      <c r="K6" s="108"/>
      <c r="L6" s="108" t="str">
        <f>IF(J6&gt;=0.9,"Green",IF(J6&gt;=0.75,"Amber","Red"))</f>
        <v>Red</v>
      </c>
      <c r="M6" s="108"/>
      <c r="N6" s="108"/>
      <c r="O6" s="108"/>
    </row>
    <row r="7" spans="1:20" x14ac:dyDescent="0.35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</row>
    <row r="8" spans="1:20" ht="29" x14ac:dyDescent="0.35">
      <c r="A8" s="110" t="s">
        <v>611</v>
      </c>
      <c r="B8" s="110" t="s">
        <v>612</v>
      </c>
      <c r="C8" s="110" t="s">
        <v>613</v>
      </c>
      <c r="D8" s="110" t="s">
        <v>614</v>
      </c>
      <c r="E8" s="110" t="s">
        <v>81</v>
      </c>
      <c r="F8" s="110" t="s">
        <v>615</v>
      </c>
      <c r="G8" s="110" t="s">
        <v>616</v>
      </c>
      <c r="H8" s="110" t="s">
        <v>617</v>
      </c>
      <c r="I8" s="110" t="s">
        <v>618</v>
      </c>
      <c r="J8" s="110" t="s">
        <v>390</v>
      </c>
      <c r="K8" s="110" t="s">
        <v>351</v>
      </c>
      <c r="L8" s="110" t="s">
        <v>352</v>
      </c>
      <c r="M8" s="110" t="s">
        <v>292</v>
      </c>
      <c r="N8" s="110" t="s">
        <v>353</v>
      </c>
      <c r="O8" s="110" t="s">
        <v>619</v>
      </c>
    </row>
    <row r="9" spans="1:20" ht="29" x14ac:dyDescent="0.35">
      <c r="A9" s="105" t="s">
        <v>620</v>
      </c>
      <c r="B9" s="105" t="s">
        <v>731</v>
      </c>
      <c r="C9" s="105" t="s">
        <v>622</v>
      </c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</row>
    <row r="10" spans="1:20" ht="29" x14ac:dyDescent="0.35">
      <c r="A10" s="105" t="s">
        <v>623</v>
      </c>
      <c r="B10" s="105" t="s">
        <v>732</v>
      </c>
      <c r="C10" s="105" t="s">
        <v>622</v>
      </c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</row>
    <row r="11" spans="1:20" ht="29" x14ac:dyDescent="0.35">
      <c r="A11" s="105" t="s">
        <v>625</v>
      </c>
      <c r="B11" s="105" t="s">
        <v>733</v>
      </c>
      <c r="C11" s="105" t="s">
        <v>622</v>
      </c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</row>
    <row r="12" spans="1:20" x14ac:dyDescent="0.35">
      <c r="A12" s="105" t="s">
        <v>627</v>
      </c>
      <c r="B12" s="105" t="s">
        <v>734</v>
      </c>
      <c r="C12" s="105" t="s">
        <v>622</v>
      </c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</row>
    <row r="13" spans="1:20" ht="29" customHeight="1" x14ac:dyDescent="0.35">
      <c r="A13" s="105" t="s">
        <v>629</v>
      </c>
      <c r="B13" s="105" t="s">
        <v>735</v>
      </c>
      <c r="C13" s="105" t="s">
        <v>622</v>
      </c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</row>
    <row r="14" spans="1:20" ht="29" x14ac:dyDescent="0.35">
      <c r="A14" s="105" t="s">
        <v>631</v>
      </c>
      <c r="B14" s="105" t="s">
        <v>736</v>
      </c>
      <c r="C14" s="105" t="s">
        <v>622</v>
      </c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</row>
    <row r="15" spans="1:20" ht="29" x14ac:dyDescent="0.35">
      <c r="A15" s="105" t="s">
        <v>633</v>
      </c>
      <c r="B15" s="105" t="s">
        <v>737</v>
      </c>
      <c r="C15" s="105" t="s">
        <v>622</v>
      </c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</row>
    <row r="16" spans="1:20" ht="29" x14ac:dyDescent="0.35">
      <c r="A16" s="105" t="s">
        <v>635</v>
      </c>
      <c r="B16" s="105" t="s">
        <v>738</v>
      </c>
      <c r="C16" s="105" t="s">
        <v>622</v>
      </c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</row>
    <row r="17" spans="1:18" x14ac:dyDescent="0.35">
      <c r="A17" s="105" t="s">
        <v>637</v>
      </c>
      <c r="B17" s="105" t="s">
        <v>739</v>
      </c>
      <c r="C17" s="105" t="s">
        <v>622</v>
      </c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</row>
    <row r="18" spans="1:18" ht="24" customHeight="1" x14ac:dyDescent="0.35">
      <c r="A18" s="169" t="s">
        <v>639</v>
      </c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2"/>
    </row>
    <row r="19" spans="1:18" ht="36" customHeight="1" x14ac:dyDescent="0.35">
      <c r="A19" s="169" t="s">
        <v>641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2"/>
    </row>
    <row r="20" spans="1:18" ht="32" customHeight="1" x14ac:dyDescent="0.35">
      <c r="A20" s="169" t="s">
        <v>643</v>
      </c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2"/>
    </row>
    <row r="21" spans="1:18" ht="29" x14ac:dyDescent="0.35">
      <c r="A21" s="105" t="s">
        <v>644</v>
      </c>
      <c r="B21" s="105" t="s">
        <v>740</v>
      </c>
      <c r="C21" s="105" t="s">
        <v>622</v>
      </c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</row>
    <row r="22" spans="1:18" ht="32" customHeight="1" x14ac:dyDescent="0.35">
      <c r="A22" s="105" t="s">
        <v>645</v>
      </c>
      <c r="B22" s="105" t="s">
        <v>741</v>
      </c>
      <c r="C22" s="105" t="s">
        <v>622</v>
      </c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</row>
    <row r="23" spans="1:18" ht="29" customHeight="1" x14ac:dyDescent="0.35">
      <c r="A23" s="105" t="s">
        <v>646</v>
      </c>
      <c r="B23" s="105" t="s">
        <v>742</v>
      </c>
      <c r="C23" s="105" t="s">
        <v>743</v>
      </c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</row>
    <row r="24" spans="1:18" ht="29" customHeight="1" x14ac:dyDescent="0.35">
      <c r="A24" s="105" t="s">
        <v>649</v>
      </c>
      <c r="B24" s="105" t="s">
        <v>744</v>
      </c>
      <c r="C24" s="105" t="s">
        <v>743</v>
      </c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</row>
    <row r="25" spans="1:18" ht="29" customHeight="1" x14ac:dyDescent="0.35">
      <c r="A25" s="105" t="s">
        <v>651</v>
      </c>
      <c r="B25" s="105" t="s">
        <v>745</v>
      </c>
      <c r="C25" s="105" t="s">
        <v>746</v>
      </c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</row>
    <row r="26" spans="1:18" ht="29" customHeight="1" x14ac:dyDescent="0.35">
      <c r="A26" s="105" t="s">
        <v>653</v>
      </c>
      <c r="B26" s="105" t="s">
        <v>747</v>
      </c>
      <c r="C26" s="105" t="s">
        <v>748</v>
      </c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</row>
    <row r="27" spans="1:18" ht="29" customHeight="1" x14ac:dyDescent="0.35">
      <c r="A27" s="105" t="s">
        <v>655</v>
      </c>
      <c r="B27" s="105" t="s">
        <v>749</v>
      </c>
      <c r="C27" s="105" t="s">
        <v>622</v>
      </c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</row>
    <row r="28" spans="1:18" ht="29" customHeight="1" x14ac:dyDescent="0.35">
      <c r="A28" s="105" t="s">
        <v>658</v>
      </c>
      <c r="B28" s="105" t="s">
        <v>750</v>
      </c>
      <c r="C28" s="105" t="s">
        <v>751</v>
      </c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</row>
    <row r="29" spans="1:18" ht="29" customHeight="1" x14ac:dyDescent="0.35">
      <c r="A29" s="105" t="s">
        <v>660</v>
      </c>
      <c r="B29" s="105" t="s">
        <v>752</v>
      </c>
      <c r="C29" s="105" t="s">
        <v>622</v>
      </c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</row>
    <row r="30" spans="1:18" ht="29" customHeight="1" x14ac:dyDescent="0.35">
      <c r="A30" s="105" t="s">
        <v>662</v>
      </c>
      <c r="B30" s="105" t="s">
        <v>753</v>
      </c>
      <c r="C30" s="105" t="s">
        <v>622</v>
      </c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</row>
    <row r="31" spans="1:18" ht="29" customHeight="1" x14ac:dyDescent="0.35">
      <c r="A31" s="105" t="s">
        <v>664</v>
      </c>
      <c r="B31" s="105" t="s">
        <v>754</v>
      </c>
      <c r="C31" s="105" t="s">
        <v>648</v>
      </c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</row>
    <row r="32" spans="1:18" ht="29" customHeight="1" x14ac:dyDescent="0.35">
      <c r="A32" s="105" t="s">
        <v>666</v>
      </c>
      <c r="B32" s="105" t="s">
        <v>755</v>
      </c>
      <c r="C32" s="105" t="s">
        <v>622</v>
      </c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</row>
    <row r="33" spans="1:18" ht="29" customHeight="1" x14ac:dyDescent="0.35">
      <c r="A33" s="105" t="s">
        <v>668</v>
      </c>
      <c r="B33" s="105" t="s">
        <v>756</v>
      </c>
      <c r="C33" s="105" t="s">
        <v>622</v>
      </c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</row>
    <row r="34" spans="1:18" ht="29" customHeight="1" x14ac:dyDescent="0.35">
      <c r="A34" s="105" t="s">
        <v>670</v>
      </c>
      <c r="B34" s="105" t="s">
        <v>757</v>
      </c>
      <c r="C34" s="105" t="s">
        <v>622</v>
      </c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</row>
    <row r="35" spans="1:18" ht="29" x14ac:dyDescent="0.35">
      <c r="A35" s="105" t="s">
        <v>672</v>
      </c>
      <c r="B35" s="105" t="s">
        <v>706</v>
      </c>
      <c r="C35" s="105" t="s">
        <v>622</v>
      </c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</row>
    <row r="36" spans="1:18" ht="29" x14ac:dyDescent="0.35">
      <c r="A36" s="105" t="s">
        <v>674</v>
      </c>
      <c r="B36" s="105" t="s">
        <v>682</v>
      </c>
      <c r="C36" s="105" t="s">
        <v>683</v>
      </c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</row>
    <row r="37" spans="1:18" x14ac:dyDescent="0.35">
      <c r="A37" s="169" t="s">
        <v>676</v>
      </c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2"/>
    </row>
    <row r="38" spans="1:18" ht="29" x14ac:dyDescent="0.35">
      <c r="A38" s="105" t="s">
        <v>678</v>
      </c>
      <c r="B38" s="105" t="s">
        <v>688</v>
      </c>
      <c r="C38" s="105" t="s">
        <v>686</v>
      </c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</row>
    <row r="39" spans="1:18" ht="29" customHeight="1" x14ac:dyDescent="0.35">
      <c r="A39" s="105" t="s">
        <v>680</v>
      </c>
      <c r="B39" s="105" t="s">
        <v>690</v>
      </c>
      <c r="C39" s="105" t="s">
        <v>686</v>
      </c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</row>
    <row r="40" spans="1:18" ht="29" customHeight="1" x14ac:dyDescent="0.35">
      <c r="A40" s="105" t="s">
        <v>681</v>
      </c>
      <c r="B40" s="105" t="s">
        <v>692</v>
      </c>
      <c r="C40" s="105" t="s">
        <v>686</v>
      </c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</row>
    <row r="41" spans="1:18" ht="29" customHeight="1" x14ac:dyDescent="0.35">
      <c r="A41" s="105" t="s">
        <v>684</v>
      </c>
      <c r="B41" s="105" t="s">
        <v>694</v>
      </c>
      <c r="C41" s="105" t="s">
        <v>686</v>
      </c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</row>
    <row r="42" spans="1:18" ht="29" customHeight="1" x14ac:dyDescent="0.35">
      <c r="A42" s="105" t="s">
        <v>687</v>
      </c>
      <c r="B42" s="105" t="s">
        <v>696</v>
      </c>
      <c r="C42" s="105" t="s">
        <v>686</v>
      </c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</row>
    <row r="43" spans="1:18" ht="29" customHeight="1" x14ac:dyDescent="0.35">
      <c r="A43" s="105" t="s">
        <v>689</v>
      </c>
      <c r="B43" s="105" t="s">
        <v>698</v>
      </c>
      <c r="C43" s="105" t="s">
        <v>686</v>
      </c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</row>
    <row r="44" spans="1:18" ht="29" customHeight="1" x14ac:dyDescent="0.35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</row>
    <row r="45" spans="1:18" ht="29" customHeight="1" x14ac:dyDescent="0.35">
      <c r="A45" s="166" t="s">
        <v>758</v>
      </c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2"/>
    </row>
    <row r="46" spans="1:18" ht="58" customHeight="1" x14ac:dyDescent="0.35">
      <c r="A46" s="108" t="s">
        <v>700</v>
      </c>
      <c r="B46" s="108" t="s">
        <v>701</v>
      </c>
      <c r="C46" s="108" t="s">
        <v>390</v>
      </c>
      <c r="D46" s="108" t="s">
        <v>351</v>
      </c>
      <c r="E46" s="108" t="s">
        <v>352</v>
      </c>
      <c r="F46" s="108" t="s">
        <v>292</v>
      </c>
      <c r="G46" s="108" t="s">
        <v>619</v>
      </c>
      <c r="H46" s="108" t="s">
        <v>353</v>
      </c>
      <c r="I46" s="108" t="s">
        <v>610</v>
      </c>
      <c r="J46" s="105"/>
      <c r="K46" s="105"/>
      <c r="L46" s="105"/>
      <c r="M46" s="105"/>
      <c r="N46" s="105"/>
      <c r="O46" s="105"/>
    </row>
    <row r="47" spans="1:18" x14ac:dyDescent="0.35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</row>
    <row r="48" spans="1:18" x14ac:dyDescent="0.35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</row>
    <row r="49" spans="1:15" x14ac:dyDescent="0.35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</row>
    <row r="50" spans="1:15" x14ac:dyDescent="0.35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</row>
    <row r="51" spans="1:15" x14ac:dyDescent="0.35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</row>
    <row r="52" spans="1:15" x14ac:dyDescent="0.35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</row>
    <row r="53" spans="1:15" x14ac:dyDescent="0.35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</row>
    <row r="54" spans="1:15" x14ac:dyDescent="0.35">
      <c r="A54" s="167" t="s">
        <v>759</v>
      </c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2"/>
    </row>
    <row r="55" spans="1:15" ht="72.5" x14ac:dyDescent="0.35">
      <c r="A55" s="108" t="s">
        <v>600</v>
      </c>
      <c r="B55" s="108"/>
      <c r="C55" s="108" t="s">
        <v>601</v>
      </c>
      <c r="D55" s="108"/>
      <c r="E55" s="108" t="s">
        <v>602</v>
      </c>
      <c r="F55" s="108"/>
      <c r="G55" s="108" t="s">
        <v>603</v>
      </c>
      <c r="H55" s="108"/>
      <c r="I55" s="108" t="s">
        <v>604</v>
      </c>
      <c r="J55" s="108"/>
      <c r="K55" s="108" t="s">
        <v>6</v>
      </c>
      <c r="L55" s="108"/>
      <c r="M55" s="108" t="s">
        <v>605</v>
      </c>
      <c r="N55" s="108"/>
      <c r="O55" s="108"/>
    </row>
    <row r="56" spans="1:15" ht="72.5" x14ac:dyDescent="0.35">
      <c r="A56" s="108" t="s">
        <v>606</v>
      </c>
      <c r="B56" s="108"/>
      <c r="C56" s="108" t="s">
        <v>607</v>
      </c>
      <c r="D56" s="108"/>
      <c r="E56" s="108" t="s">
        <v>608</v>
      </c>
      <c r="F56" s="108"/>
      <c r="G56" s="108" t="s">
        <v>609</v>
      </c>
      <c r="H56" s="108"/>
      <c r="I56" s="108" t="s">
        <v>610</v>
      </c>
      <c r="J56" s="109">
        <f>IFERROR(COUNTIF(E59:E93,"Yes")/(COUNTIF(E59:E93,"Yes")+COUNTIF(F59:F93,"No")),0)</f>
        <v>0</v>
      </c>
      <c r="K56" s="108"/>
      <c r="L56" s="108" t="str">
        <f>IF(J56&gt;=0.9,"Green",IF(J56&gt;=0.75,"Amber","Red"))</f>
        <v>Red</v>
      </c>
      <c r="M56" s="108"/>
      <c r="N56" s="108"/>
      <c r="O56" s="108"/>
    </row>
    <row r="57" spans="1:15" x14ac:dyDescent="0.35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</row>
    <row r="58" spans="1:15" ht="29" x14ac:dyDescent="0.35">
      <c r="A58" s="110" t="s">
        <v>611</v>
      </c>
      <c r="B58" s="110" t="s">
        <v>612</v>
      </c>
      <c r="C58" s="110" t="s">
        <v>613</v>
      </c>
      <c r="D58" s="110" t="s">
        <v>614</v>
      </c>
      <c r="E58" s="110" t="s">
        <v>81</v>
      </c>
      <c r="F58" s="110" t="s">
        <v>615</v>
      </c>
      <c r="G58" s="110" t="s">
        <v>616</v>
      </c>
      <c r="H58" s="110" t="s">
        <v>617</v>
      </c>
      <c r="I58" s="110" t="s">
        <v>618</v>
      </c>
      <c r="J58" s="110" t="s">
        <v>390</v>
      </c>
      <c r="K58" s="110" t="s">
        <v>351</v>
      </c>
      <c r="L58" s="110" t="s">
        <v>352</v>
      </c>
      <c r="M58" s="110" t="s">
        <v>292</v>
      </c>
      <c r="N58" s="110" t="s">
        <v>353</v>
      </c>
      <c r="O58" s="110" t="s">
        <v>619</v>
      </c>
    </row>
    <row r="59" spans="1:15" ht="29" x14ac:dyDescent="0.35">
      <c r="A59" s="105" t="s">
        <v>620</v>
      </c>
      <c r="B59" s="105" t="s">
        <v>731</v>
      </c>
      <c r="C59" s="105" t="s">
        <v>622</v>
      </c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</row>
    <row r="60" spans="1:15" ht="29" x14ac:dyDescent="0.35">
      <c r="A60" s="105" t="s">
        <v>623</v>
      </c>
      <c r="B60" s="105" t="s">
        <v>732</v>
      </c>
      <c r="C60" s="105" t="s">
        <v>622</v>
      </c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</row>
    <row r="61" spans="1:15" ht="29" x14ac:dyDescent="0.35">
      <c r="A61" s="105" t="s">
        <v>625</v>
      </c>
      <c r="B61" s="105" t="s">
        <v>733</v>
      </c>
      <c r="C61" s="105" t="s">
        <v>622</v>
      </c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</row>
    <row r="62" spans="1:15" x14ac:dyDescent="0.35">
      <c r="A62" s="105" t="s">
        <v>627</v>
      </c>
      <c r="B62" s="105" t="s">
        <v>734</v>
      </c>
      <c r="C62" s="105" t="s">
        <v>622</v>
      </c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</row>
    <row r="63" spans="1:15" x14ac:dyDescent="0.35">
      <c r="A63" s="105" t="s">
        <v>629</v>
      </c>
      <c r="B63" s="105" t="s">
        <v>735</v>
      </c>
      <c r="C63" s="105" t="s">
        <v>622</v>
      </c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</row>
    <row r="64" spans="1:15" ht="29" x14ac:dyDescent="0.35">
      <c r="A64" s="105" t="s">
        <v>631</v>
      </c>
      <c r="B64" s="105" t="s">
        <v>736</v>
      </c>
      <c r="C64" s="105" t="s">
        <v>622</v>
      </c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</row>
    <row r="65" spans="1:15" ht="29" x14ac:dyDescent="0.35">
      <c r="A65" s="105" t="s">
        <v>633</v>
      </c>
      <c r="B65" s="105" t="s">
        <v>737</v>
      </c>
      <c r="C65" s="105" t="s">
        <v>622</v>
      </c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</row>
    <row r="66" spans="1:15" ht="29" x14ac:dyDescent="0.35">
      <c r="A66" s="105" t="s">
        <v>635</v>
      </c>
      <c r="B66" s="105" t="s">
        <v>738</v>
      </c>
      <c r="C66" s="105" t="s">
        <v>622</v>
      </c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</row>
    <row r="67" spans="1:15" x14ac:dyDescent="0.35">
      <c r="A67" s="105" t="s">
        <v>637</v>
      </c>
      <c r="B67" s="105" t="s">
        <v>739</v>
      </c>
      <c r="C67" s="105" t="s">
        <v>622</v>
      </c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</row>
    <row r="68" spans="1:15" ht="29" x14ac:dyDescent="0.35">
      <c r="A68" s="105" t="s">
        <v>639</v>
      </c>
      <c r="B68" s="105" t="s">
        <v>760</v>
      </c>
      <c r="C68" s="105" t="s">
        <v>622</v>
      </c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</row>
    <row r="69" spans="1:15" ht="29" x14ac:dyDescent="0.35">
      <c r="A69" s="105" t="s">
        <v>641</v>
      </c>
      <c r="B69" s="105" t="s">
        <v>761</v>
      </c>
      <c r="C69" s="105" t="s">
        <v>622</v>
      </c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</row>
    <row r="70" spans="1:15" ht="29" x14ac:dyDescent="0.35">
      <c r="A70" s="105" t="s">
        <v>643</v>
      </c>
      <c r="B70" s="105" t="s">
        <v>762</v>
      </c>
      <c r="C70" s="105" t="s">
        <v>622</v>
      </c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</row>
    <row r="71" spans="1:15" ht="29" x14ac:dyDescent="0.35">
      <c r="A71" s="105" t="s">
        <v>644</v>
      </c>
      <c r="B71" s="105" t="s">
        <v>740</v>
      </c>
      <c r="C71" s="105" t="s">
        <v>622</v>
      </c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</row>
    <row r="72" spans="1:15" ht="29" x14ac:dyDescent="0.35">
      <c r="A72" s="105" t="s">
        <v>645</v>
      </c>
      <c r="B72" s="105" t="s">
        <v>741</v>
      </c>
      <c r="C72" s="105" t="s">
        <v>622</v>
      </c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</row>
    <row r="73" spans="1:15" ht="29" x14ac:dyDescent="0.35">
      <c r="A73" s="105" t="s">
        <v>646</v>
      </c>
      <c r="B73" s="105" t="s">
        <v>742</v>
      </c>
      <c r="C73" s="105" t="s">
        <v>743</v>
      </c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</row>
    <row r="74" spans="1:15" ht="29" x14ac:dyDescent="0.35">
      <c r="A74" s="105" t="s">
        <v>649</v>
      </c>
      <c r="B74" s="105" t="s">
        <v>744</v>
      </c>
      <c r="C74" s="105" t="s">
        <v>743</v>
      </c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</row>
    <row r="75" spans="1:15" ht="29" x14ac:dyDescent="0.35">
      <c r="A75" s="105" t="s">
        <v>651</v>
      </c>
      <c r="B75" s="105" t="s">
        <v>745</v>
      </c>
      <c r="C75" s="105" t="s">
        <v>746</v>
      </c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</row>
    <row r="76" spans="1:15" ht="29" x14ac:dyDescent="0.35">
      <c r="A76" s="105" t="s">
        <v>653</v>
      </c>
      <c r="B76" s="105" t="s">
        <v>747</v>
      </c>
      <c r="C76" s="105" t="s">
        <v>748</v>
      </c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</row>
    <row r="77" spans="1:15" ht="29" x14ac:dyDescent="0.35">
      <c r="A77" s="105" t="s">
        <v>655</v>
      </c>
      <c r="B77" s="105" t="s">
        <v>749</v>
      </c>
      <c r="C77" s="105" t="s">
        <v>622</v>
      </c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</row>
    <row r="78" spans="1:15" ht="29" x14ac:dyDescent="0.35">
      <c r="A78" s="105" t="s">
        <v>658</v>
      </c>
      <c r="B78" s="105" t="s">
        <v>750</v>
      </c>
      <c r="C78" s="105" t="s">
        <v>751</v>
      </c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</row>
    <row r="79" spans="1:15" ht="29" x14ac:dyDescent="0.35">
      <c r="A79" s="105" t="s">
        <v>660</v>
      </c>
      <c r="B79" s="105" t="s">
        <v>752</v>
      </c>
      <c r="C79" s="105" t="s">
        <v>622</v>
      </c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</row>
    <row r="80" spans="1:15" ht="29" x14ac:dyDescent="0.35">
      <c r="A80" s="105" t="s">
        <v>662</v>
      </c>
      <c r="B80" s="105" t="s">
        <v>753</v>
      </c>
      <c r="C80" s="105" t="s">
        <v>622</v>
      </c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</row>
    <row r="81" spans="1:15" ht="29" x14ac:dyDescent="0.35">
      <c r="A81" s="105" t="s">
        <v>664</v>
      </c>
      <c r="B81" s="105" t="s">
        <v>754</v>
      </c>
      <c r="C81" s="105" t="s">
        <v>648</v>
      </c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</row>
    <row r="82" spans="1:15" ht="29" x14ac:dyDescent="0.35">
      <c r="A82" s="105" t="s">
        <v>666</v>
      </c>
      <c r="B82" s="105" t="s">
        <v>755</v>
      </c>
      <c r="C82" s="105" t="s">
        <v>622</v>
      </c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</row>
    <row r="83" spans="1:15" ht="29" x14ac:dyDescent="0.35">
      <c r="A83" s="105" t="s">
        <v>668</v>
      </c>
      <c r="B83" s="105" t="s">
        <v>756</v>
      </c>
      <c r="C83" s="105" t="s">
        <v>622</v>
      </c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</row>
    <row r="84" spans="1:15" ht="29" x14ac:dyDescent="0.35">
      <c r="A84" s="105" t="s">
        <v>670</v>
      </c>
      <c r="B84" s="105" t="s">
        <v>757</v>
      </c>
      <c r="C84" s="105" t="s">
        <v>622</v>
      </c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</row>
    <row r="85" spans="1:15" ht="29" x14ac:dyDescent="0.35">
      <c r="A85" s="105" t="s">
        <v>672</v>
      </c>
      <c r="B85" s="105" t="s">
        <v>706</v>
      </c>
      <c r="C85" s="105" t="s">
        <v>622</v>
      </c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</row>
    <row r="86" spans="1:15" ht="29" x14ac:dyDescent="0.35">
      <c r="A86" s="105" t="s">
        <v>674</v>
      </c>
      <c r="B86" s="105" t="s">
        <v>682</v>
      </c>
      <c r="C86" s="105" t="s">
        <v>683</v>
      </c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</row>
    <row r="87" spans="1:15" ht="29" x14ac:dyDescent="0.35">
      <c r="A87" s="105" t="s">
        <v>676</v>
      </c>
      <c r="B87" s="105" t="s">
        <v>685</v>
      </c>
      <c r="C87" s="105" t="s">
        <v>686</v>
      </c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</row>
    <row r="88" spans="1:15" ht="29" x14ac:dyDescent="0.35">
      <c r="A88" s="105" t="s">
        <v>678</v>
      </c>
      <c r="B88" s="105" t="s">
        <v>688</v>
      </c>
      <c r="C88" s="105" t="s">
        <v>686</v>
      </c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</row>
    <row r="89" spans="1:15" ht="29" x14ac:dyDescent="0.35">
      <c r="A89" s="105" t="s">
        <v>680</v>
      </c>
      <c r="B89" s="105" t="s">
        <v>690</v>
      </c>
      <c r="C89" s="105" t="s">
        <v>686</v>
      </c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</row>
    <row r="90" spans="1:15" ht="29" x14ac:dyDescent="0.35">
      <c r="A90" s="105" t="s">
        <v>681</v>
      </c>
      <c r="B90" s="105" t="s">
        <v>692</v>
      </c>
      <c r="C90" s="105" t="s">
        <v>686</v>
      </c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</row>
    <row r="91" spans="1:15" ht="29" x14ac:dyDescent="0.35">
      <c r="A91" s="105" t="s">
        <v>684</v>
      </c>
      <c r="B91" s="105" t="s">
        <v>694</v>
      </c>
      <c r="C91" s="105" t="s">
        <v>686</v>
      </c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</row>
    <row r="92" spans="1:15" ht="29" x14ac:dyDescent="0.35">
      <c r="A92" s="105" t="s">
        <v>687</v>
      </c>
      <c r="B92" s="105" t="s">
        <v>696</v>
      </c>
      <c r="C92" s="105" t="s">
        <v>686</v>
      </c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</row>
    <row r="93" spans="1:15" ht="29" x14ac:dyDescent="0.35">
      <c r="A93" s="105" t="s">
        <v>689</v>
      </c>
      <c r="B93" s="105" t="s">
        <v>698</v>
      </c>
      <c r="C93" s="105" t="s">
        <v>686</v>
      </c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</row>
    <row r="94" spans="1:15" x14ac:dyDescent="0.35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</row>
    <row r="95" spans="1:15" x14ac:dyDescent="0.35">
      <c r="A95" s="166" t="s">
        <v>763</v>
      </c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2"/>
    </row>
    <row r="96" spans="1:15" ht="58" x14ac:dyDescent="0.35">
      <c r="A96" s="108" t="s">
        <v>700</v>
      </c>
      <c r="B96" s="108" t="s">
        <v>701</v>
      </c>
      <c r="C96" s="108" t="s">
        <v>390</v>
      </c>
      <c r="D96" s="108" t="s">
        <v>351</v>
      </c>
      <c r="E96" s="108" t="s">
        <v>352</v>
      </c>
      <c r="F96" s="108" t="s">
        <v>292</v>
      </c>
      <c r="G96" s="108" t="s">
        <v>619</v>
      </c>
      <c r="H96" s="108" t="s">
        <v>353</v>
      </c>
      <c r="I96" s="108" t="s">
        <v>610</v>
      </c>
      <c r="J96" s="105"/>
      <c r="K96" s="105"/>
      <c r="L96" s="105"/>
      <c r="M96" s="105"/>
      <c r="N96" s="105"/>
      <c r="O96" s="105"/>
    </row>
    <row r="97" spans="1:15" x14ac:dyDescent="0.35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</row>
    <row r="98" spans="1:15" x14ac:dyDescent="0.35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</row>
    <row r="99" spans="1:15" x14ac:dyDescent="0.35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</row>
    <row r="100" spans="1:15" x14ac:dyDescent="0.35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</row>
    <row r="101" spans="1:15" x14ac:dyDescent="0.35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</row>
    <row r="102" spans="1:15" x14ac:dyDescent="0.35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</row>
    <row r="103" spans="1:15" x14ac:dyDescent="0.35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</row>
    <row r="104" spans="1:15" x14ac:dyDescent="0.35">
      <c r="A104" s="167" t="s">
        <v>764</v>
      </c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2"/>
    </row>
    <row r="105" spans="1:15" ht="72.5" x14ac:dyDescent="0.35">
      <c r="A105" s="108" t="s">
        <v>600</v>
      </c>
      <c r="B105" s="108"/>
      <c r="C105" s="108" t="s">
        <v>601</v>
      </c>
      <c r="D105" s="108"/>
      <c r="E105" s="108" t="s">
        <v>602</v>
      </c>
      <c r="F105" s="108"/>
      <c r="G105" s="108" t="s">
        <v>603</v>
      </c>
      <c r="H105" s="108"/>
      <c r="I105" s="108" t="s">
        <v>604</v>
      </c>
      <c r="J105" s="108"/>
      <c r="K105" s="108" t="s">
        <v>6</v>
      </c>
      <c r="L105" s="108"/>
      <c r="M105" s="108" t="s">
        <v>605</v>
      </c>
      <c r="N105" s="108"/>
      <c r="O105" s="108"/>
    </row>
    <row r="106" spans="1:15" ht="72.5" x14ac:dyDescent="0.35">
      <c r="A106" s="108" t="s">
        <v>606</v>
      </c>
      <c r="B106" s="108"/>
      <c r="C106" s="108" t="s">
        <v>607</v>
      </c>
      <c r="D106" s="108"/>
      <c r="E106" s="108" t="s">
        <v>608</v>
      </c>
      <c r="F106" s="108"/>
      <c r="G106" s="108" t="s">
        <v>609</v>
      </c>
      <c r="H106" s="108"/>
      <c r="I106" s="108" t="s">
        <v>610</v>
      </c>
      <c r="J106" s="109">
        <f>IFERROR(COUNTIF(E109:E143,"Yes")/(COUNTIF(E109:E143,"Yes")+COUNTIF(F109:F143,"No")),0)</f>
        <v>0</v>
      </c>
      <c r="K106" s="108"/>
      <c r="L106" s="108" t="str">
        <f>IF(J106&gt;=0.9,"Green",IF(J106&gt;=0.75,"Amber","Red"))</f>
        <v>Red</v>
      </c>
      <c r="M106" s="108"/>
      <c r="N106" s="108"/>
      <c r="O106" s="108"/>
    </row>
    <row r="107" spans="1:15" x14ac:dyDescent="0.35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</row>
    <row r="108" spans="1:15" ht="29" x14ac:dyDescent="0.35">
      <c r="A108" s="110" t="s">
        <v>611</v>
      </c>
      <c r="B108" s="110" t="s">
        <v>612</v>
      </c>
      <c r="C108" s="110" t="s">
        <v>613</v>
      </c>
      <c r="D108" s="110" t="s">
        <v>614</v>
      </c>
      <c r="E108" s="110" t="s">
        <v>81</v>
      </c>
      <c r="F108" s="110" t="s">
        <v>615</v>
      </c>
      <c r="G108" s="110" t="s">
        <v>616</v>
      </c>
      <c r="H108" s="110" t="s">
        <v>617</v>
      </c>
      <c r="I108" s="110" t="s">
        <v>618</v>
      </c>
      <c r="J108" s="110" t="s">
        <v>390</v>
      </c>
      <c r="K108" s="110" t="s">
        <v>351</v>
      </c>
      <c r="L108" s="110" t="s">
        <v>352</v>
      </c>
      <c r="M108" s="110" t="s">
        <v>292</v>
      </c>
      <c r="N108" s="110" t="s">
        <v>353</v>
      </c>
      <c r="O108" s="110" t="s">
        <v>619</v>
      </c>
    </row>
    <row r="109" spans="1:15" ht="29" x14ac:dyDescent="0.35">
      <c r="A109" s="105" t="s">
        <v>620</v>
      </c>
      <c r="B109" s="105" t="s">
        <v>731</v>
      </c>
      <c r="C109" s="105" t="s">
        <v>622</v>
      </c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</row>
    <row r="110" spans="1:15" ht="29" x14ac:dyDescent="0.35">
      <c r="A110" s="105" t="s">
        <v>623</v>
      </c>
      <c r="B110" s="105" t="s">
        <v>732</v>
      </c>
      <c r="C110" s="105" t="s">
        <v>622</v>
      </c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</row>
    <row r="111" spans="1:15" ht="29" x14ac:dyDescent="0.35">
      <c r="A111" s="105" t="s">
        <v>625</v>
      </c>
      <c r="B111" s="105" t="s">
        <v>733</v>
      </c>
      <c r="C111" s="105" t="s">
        <v>622</v>
      </c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</row>
    <row r="112" spans="1:15" x14ac:dyDescent="0.35">
      <c r="A112" s="105" t="s">
        <v>627</v>
      </c>
      <c r="B112" s="105" t="s">
        <v>734</v>
      </c>
      <c r="C112" s="105" t="s">
        <v>622</v>
      </c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</row>
    <row r="113" spans="1:15" x14ac:dyDescent="0.35">
      <c r="A113" s="105" t="s">
        <v>629</v>
      </c>
      <c r="B113" s="105" t="s">
        <v>735</v>
      </c>
      <c r="C113" s="105" t="s">
        <v>622</v>
      </c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</row>
    <row r="114" spans="1:15" ht="29" x14ac:dyDescent="0.35">
      <c r="A114" s="105" t="s">
        <v>631</v>
      </c>
      <c r="B114" s="105" t="s">
        <v>736</v>
      </c>
      <c r="C114" s="105" t="s">
        <v>622</v>
      </c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</row>
    <row r="115" spans="1:15" ht="29" x14ac:dyDescent="0.35">
      <c r="A115" s="105" t="s">
        <v>633</v>
      </c>
      <c r="B115" s="105" t="s">
        <v>737</v>
      </c>
      <c r="C115" s="105" t="s">
        <v>622</v>
      </c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</row>
    <row r="116" spans="1:15" ht="29" x14ac:dyDescent="0.35">
      <c r="A116" s="105" t="s">
        <v>635</v>
      </c>
      <c r="B116" s="105" t="s">
        <v>738</v>
      </c>
      <c r="C116" s="105" t="s">
        <v>622</v>
      </c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</row>
    <row r="117" spans="1:15" x14ac:dyDescent="0.35">
      <c r="A117" s="105" t="s">
        <v>637</v>
      </c>
      <c r="B117" s="105" t="s">
        <v>739</v>
      </c>
      <c r="C117" s="105" t="s">
        <v>622</v>
      </c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</row>
    <row r="118" spans="1:15" ht="29" x14ac:dyDescent="0.35">
      <c r="A118" s="105" t="s">
        <v>639</v>
      </c>
      <c r="B118" s="105" t="s">
        <v>760</v>
      </c>
      <c r="C118" s="105" t="s">
        <v>622</v>
      </c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</row>
    <row r="119" spans="1:15" ht="29" x14ac:dyDescent="0.35">
      <c r="A119" s="105" t="s">
        <v>641</v>
      </c>
      <c r="B119" s="105" t="s">
        <v>761</v>
      </c>
      <c r="C119" s="105" t="s">
        <v>622</v>
      </c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</row>
    <row r="120" spans="1:15" ht="29" x14ac:dyDescent="0.35">
      <c r="A120" s="105" t="s">
        <v>643</v>
      </c>
      <c r="B120" s="105" t="s">
        <v>762</v>
      </c>
      <c r="C120" s="105" t="s">
        <v>622</v>
      </c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</row>
    <row r="121" spans="1:15" ht="29" x14ac:dyDescent="0.35">
      <c r="A121" s="105" t="s">
        <v>644</v>
      </c>
      <c r="B121" s="105" t="s">
        <v>740</v>
      </c>
      <c r="C121" s="105" t="s">
        <v>622</v>
      </c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</row>
    <row r="122" spans="1:15" ht="29" x14ac:dyDescent="0.35">
      <c r="A122" s="105" t="s">
        <v>645</v>
      </c>
      <c r="B122" s="105" t="s">
        <v>741</v>
      </c>
      <c r="C122" s="105" t="s">
        <v>622</v>
      </c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</row>
    <row r="123" spans="1:15" ht="29" x14ac:dyDescent="0.35">
      <c r="A123" s="105" t="s">
        <v>646</v>
      </c>
      <c r="B123" s="105" t="s">
        <v>742</v>
      </c>
      <c r="C123" s="105" t="s">
        <v>743</v>
      </c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</row>
    <row r="124" spans="1:15" ht="29" x14ac:dyDescent="0.35">
      <c r="A124" s="105" t="s">
        <v>649</v>
      </c>
      <c r="B124" s="105" t="s">
        <v>744</v>
      </c>
      <c r="C124" s="105" t="s">
        <v>743</v>
      </c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</row>
    <row r="125" spans="1:15" ht="29" x14ac:dyDescent="0.35">
      <c r="A125" s="105" t="s">
        <v>651</v>
      </c>
      <c r="B125" s="105" t="s">
        <v>745</v>
      </c>
      <c r="C125" s="105" t="s">
        <v>746</v>
      </c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</row>
    <row r="126" spans="1:15" ht="29" x14ac:dyDescent="0.35">
      <c r="A126" s="105" t="s">
        <v>653</v>
      </c>
      <c r="B126" s="105" t="s">
        <v>747</v>
      </c>
      <c r="C126" s="105" t="s">
        <v>748</v>
      </c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</row>
    <row r="127" spans="1:15" ht="29" x14ac:dyDescent="0.35">
      <c r="A127" s="105" t="s">
        <v>655</v>
      </c>
      <c r="B127" s="105" t="s">
        <v>749</v>
      </c>
      <c r="C127" s="105" t="s">
        <v>622</v>
      </c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</row>
    <row r="128" spans="1:15" ht="29" x14ac:dyDescent="0.35">
      <c r="A128" s="105" t="s">
        <v>658</v>
      </c>
      <c r="B128" s="105" t="s">
        <v>750</v>
      </c>
      <c r="C128" s="105" t="s">
        <v>751</v>
      </c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</row>
    <row r="129" spans="1:15" ht="29" x14ac:dyDescent="0.35">
      <c r="A129" s="105" t="s">
        <v>660</v>
      </c>
      <c r="B129" s="105" t="s">
        <v>752</v>
      </c>
      <c r="C129" s="105" t="s">
        <v>622</v>
      </c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</row>
    <row r="130" spans="1:15" ht="29" x14ac:dyDescent="0.35">
      <c r="A130" s="105" t="s">
        <v>662</v>
      </c>
      <c r="B130" s="105" t="s">
        <v>753</v>
      </c>
      <c r="C130" s="105" t="s">
        <v>622</v>
      </c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</row>
    <row r="131" spans="1:15" ht="29" x14ac:dyDescent="0.35">
      <c r="A131" s="105" t="s">
        <v>664</v>
      </c>
      <c r="B131" s="105" t="s">
        <v>754</v>
      </c>
      <c r="C131" s="105" t="s">
        <v>648</v>
      </c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</row>
    <row r="132" spans="1:15" ht="29" x14ac:dyDescent="0.35">
      <c r="A132" s="105" t="s">
        <v>666</v>
      </c>
      <c r="B132" s="105" t="s">
        <v>755</v>
      </c>
      <c r="C132" s="105" t="s">
        <v>622</v>
      </c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</row>
    <row r="133" spans="1:15" ht="29" x14ac:dyDescent="0.35">
      <c r="A133" s="105" t="s">
        <v>668</v>
      </c>
      <c r="B133" s="105" t="s">
        <v>756</v>
      </c>
      <c r="C133" s="105" t="s">
        <v>622</v>
      </c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</row>
    <row r="134" spans="1:15" ht="29" x14ac:dyDescent="0.35">
      <c r="A134" s="105" t="s">
        <v>670</v>
      </c>
      <c r="B134" s="105" t="s">
        <v>757</v>
      </c>
      <c r="C134" s="105" t="s">
        <v>622</v>
      </c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</row>
    <row r="135" spans="1:15" ht="29" x14ac:dyDescent="0.35">
      <c r="A135" s="105" t="s">
        <v>672</v>
      </c>
      <c r="B135" s="105" t="s">
        <v>706</v>
      </c>
      <c r="C135" s="105" t="s">
        <v>622</v>
      </c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</row>
    <row r="136" spans="1:15" ht="29" x14ac:dyDescent="0.35">
      <c r="A136" s="105" t="s">
        <v>674</v>
      </c>
      <c r="B136" s="105" t="s">
        <v>682</v>
      </c>
      <c r="C136" s="105" t="s">
        <v>683</v>
      </c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</row>
    <row r="137" spans="1:15" ht="29" x14ac:dyDescent="0.35">
      <c r="A137" s="105" t="s">
        <v>676</v>
      </c>
      <c r="B137" s="105" t="s">
        <v>685</v>
      </c>
      <c r="C137" s="105" t="s">
        <v>686</v>
      </c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</row>
    <row r="138" spans="1:15" ht="29" x14ac:dyDescent="0.35">
      <c r="A138" s="105" t="s">
        <v>678</v>
      </c>
      <c r="B138" s="105" t="s">
        <v>688</v>
      </c>
      <c r="C138" s="105" t="s">
        <v>686</v>
      </c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</row>
    <row r="139" spans="1:15" ht="29" x14ac:dyDescent="0.35">
      <c r="A139" s="105" t="s">
        <v>680</v>
      </c>
      <c r="B139" s="105" t="s">
        <v>690</v>
      </c>
      <c r="C139" s="105" t="s">
        <v>686</v>
      </c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</row>
    <row r="140" spans="1:15" ht="29" x14ac:dyDescent="0.35">
      <c r="A140" s="105" t="s">
        <v>681</v>
      </c>
      <c r="B140" s="105" t="s">
        <v>692</v>
      </c>
      <c r="C140" s="105" t="s">
        <v>686</v>
      </c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</row>
    <row r="141" spans="1:15" ht="29" x14ac:dyDescent="0.35">
      <c r="A141" s="105" t="s">
        <v>684</v>
      </c>
      <c r="B141" s="105" t="s">
        <v>694</v>
      </c>
      <c r="C141" s="105" t="s">
        <v>686</v>
      </c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</row>
    <row r="142" spans="1:15" ht="29" x14ac:dyDescent="0.35">
      <c r="A142" s="105" t="s">
        <v>687</v>
      </c>
      <c r="B142" s="105" t="s">
        <v>696</v>
      </c>
      <c r="C142" s="105" t="s">
        <v>686</v>
      </c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</row>
    <row r="143" spans="1:15" ht="29" x14ac:dyDescent="0.35">
      <c r="A143" s="105" t="s">
        <v>689</v>
      </c>
      <c r="B143" s="105" t="s">
        <v>698</v>
      </c>
      <c r="C143" s="105" t="s">
        <v>686</v>
      </c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</row>
    <row r="144" spans="1:15" x14ac:dyDescent="0.35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</row>
    <row r="145" spans="1:15" x14ac:dyDescent="0.35">
      <c r="A145" s="166" t="s">
        <v>765</v>
      </c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2"/>
    </row>
    <row r="146" spans="1:15" ht="58" x14ac:dyDescent="0.35">
      <c r="A146" s="108" t="s">
        <v>700</v>
      </c>
      <c r="B146" s="108" t="s">
        <v>701</v>
      </c>
      <c r="C146" s="108" t="s">
        <v>390</v>
      </c>
      <c r="D146" s="108" t="s">
        <v>351</v>
      </c>
      <c r="E146" s="108" t="s">
        <v>352</v>
      </c>
      <c r="F146" s="108" t="s">
        <v>292</v>
      </c>
      <c r="G146" s="108" t="s">
        <v>619</v>
      </c>
      <c r="H146" s="108" t="s">
        <v>353</v>
      </c>
      <c r="I146" s="108" t="s">
        <v>610</v>
      </c>
      <c r="J146" s="105"/>
      <c r="K146" s="105"/>
      <c r="L146" s="105"/>
      <c r="M146" s="105"/>
      <c r="N146" s="105"/>
      <c r="O146" s="105"/>
    </row>
    <row r="147" spans="1:15" x14ac:dyDescent="0.35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</row>
    <row r="148" spans="1:15" x14ac:dyDescent="0.35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</row>
    <row r="149" spans="1:15" x14ac:dyDescent="0.35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</row>
    <row r="150" spans="1:15" x14ac:dyDescent="0.35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</row>
    <row r="151" spans="1:15" x14ac:dyDescent="0.35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</row>
    <row r="152" spans="1:15" x14ac:dyDescent="0.35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</row>
    <row r="153" spans="1:15" x14ac:dyDescent="0.35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</row>
    <row r="154" spans="1:15" x14ac:dyDescent="0.35">
      <c r="A154" s="167" t="s">
        <v>766</v>
      </c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2"/>
    </row>
    <row r="155" spans="1:15" ht="72.5" x14ac:dyDescent="0.35">
      <c r="A155" s="108" t="s">
        <v>600</v>
      </c>
      <c r="B155" s="108"/>
      <c r="C155" s="108" t="s">
        <v>601</v>
      </c>
      <c r="D155" s="108"/>
      <c r="E155" s="108" t="s">
        <v>602</v>
      </c>
      <c r="F155" s="108"/>
      <c r="G155" s="108" t="s">
        <v>603</v>
      </c>
      <c r="H155" s="108"/>
      <c r="I155" s="108" t="s">
        <v>604</v>
      </c>
      <c r="J155" s="108"/>
      <c r="K155" s="108" t="s">
        <v>6</v>
      </c>
      <c r="L155" s="108"/>
      <c r="M155" s="108" t="s">
        <v>605</v>
      </c>
      <c r="N155" s="108"/>
      <c r="O155" s="108"/>
    </row>
    <row r="156" spans="1:15" ht="72.5" x14ac:dyDescent="0.35">
      <c r="A156" s="108" t="s">
        <v>606</v>
      </c>
      <c r="B156" s="108"/>
      <c r="C156" s="108" t="s">
        <v>607</v>
      </c>
      <c r="D156" s="108"/>
      <c r="E156" s="108" t="s">
        <v>608</v>
      </c>
      <c r="F156" s="108"/>
      <c r="G156" s="108" t="s">
        <v>609</v>
      </c>
      <c r="H156" s="108"/>
      <c r="I156" s="108" t="s">
        <v>610</v>
      </c>
      <c r="J156" s="109">
        <f>IFERROR(COUNTIF(E159:E193,"Yes")/(COUNTIF(E159:E193,"Yes")+COUNTIF(F159:F193,"No")),0)</f>
        <v>0</v>
      </c>
      <c r="K156" s="108"/>
      <c r="L156" s="108" t="str">
        <f>IF(J156&gt;=0.9,"Green",IF(J156&gt;=0.75,"Amber","Red"))</f>
        <v>Red</v>
      </c>
      <c r="M156" s="108"/>
      <c r="N156" s="108"/>
      <c r="O156" s="108"/>
    </row>
    <row r="157" spans="1:15" x14ac:dyDescent="0.35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</row>
    <row r="158" spans="1:15" ht="29" x14ac:dyDescent="0.35">
      <c r="A158" s="110" t="s">
        <v>611</v>
      </c>
      <c r="B158" s="110" t="s">
        <v>612</v>
      </c>
      <c r="C158" s="110" t="s">
        <v>613</v>
      </c>
      <c r="D158" s="110" t="s">
        <v>614</v>
      </c>
      <c r="E158" s="110" t="s">
        <v>81</v>
      </c>
      <c r="F158" s="110" t="s">
        <v>615</v>
      </c>
      <c r="G158" s="110" t="s">
        <v>616</v>
      </c>
      <c r="H158" s="110" t="s">
        <v>617</v>
      </c>
      <c r="I158" s="110" t="s">
        <v>618</v>
      </c>
      <c r="J158" s="110" t="s">
        <v>390</v>
      </c>
      <c r="K158" s="110" t="s">
        <v>351</v>
      </c>
      <c r="L158" s="110" t="s">
        <v>352</v>
      </c>
      <c r="M158" s="110" t="s">
        <v>292</v>
      </c>
      <c r="N158" s="110" t="s">
        <v>353</v>
      </c>
      <c r="O158" s="110" t="s">
        <v>619</v>
      </c>
    </row>
    <row r="159" spans="1:15" ht="29" x14ac:dyDescent="0.35">
      <c r="A159" s="105" t="s">
        <v>620</v>
      </c>
      <c r="B159" s="105" t="s">
        <v>731</v>
      </c>
      <c r="C159" s="105" t="s">
        <v>622</v>
      </c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</row>
    <row r="160" spans="1:15" ht="29" x14ac:dyDescent="0.35">
      <c r="A160" s="105" t="s">
        <v>623</v>
      </c>
      <c r="B160" s="105" t="s">
        <v>732</v>
      </c>
      <c r="C160" s="105" t="s">
        <v>622</v>
      </c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</row>
    <row r="161" spans="1:15" ht="29" x14ac:dyDescent="0.35">
      <c r="A161" s="105" t="s">
        <v>625</v>
      </c>
      <c r="B161" s="105" t="s">
        <v>733</v>
      </c>
      <c r="C161" s="105" t="s">
        <v>622</v>
      </c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</row>
    <row r="162" spans="1:15" x14ac:dyDescent="0.35">
      <c r="A162" s="105" t="s">
        <v>627</v>
      </c>
      <c r="B162" s="105" t="s">
        <v>734</v>
      </c>
      <c r="C162" s="105" t="s">
        <v>622</v>
      </c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</row>
    <row r="163" spans="1:15" x14ac:dyDescent="0.35">
      <c r="A163" s="105" t="s">
        <v>629</v>
      </c>
      <c r="B163" s="105" t="s">
        <v>735</v>
      </c>
      <c r="C163" s="105" t="s">
        <v>622</v>
      </c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</row>
    <row r="164" spans="1:15" ht="29" x14ac:dyDescent="0.35">
      <c r="A164" s="105" t="s">
        <v>631</v>
      </c>
      <c r="B164" s="105" t="s">
        <v>736</v>
      </c>
      <c r="C164" s="105" t="s">
        <v>622</v>
      </c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</row>
    <row r="165" spans="1:15" ht="29" x14ac:dyDescent="0.35">
      <c r="A165" s="105" t="s">
        <v>633</v>
      </c>
      <c r="B165" s="105" t="s">
        <v>737</v>
      </c>
      <c r="C165" s="105" t="s">
        <v>622</v>
      </c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</row>
    <row r="166" spans="1:15" ht="29" x14ac:dyDescent="0.35">
      <c r="A166" s="105" t="s">
        <v>635</v>
      </c>
      <c r="B166" s="105" t="s">
        <v>738</v>
      </c>
      <c r="C166" s="105" t="s">
        <v>622</v>
      </c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</row>
    <row r="167" spans="1:15" x14ac:dyDescent="0.35">
      <c r="A167" s="105" t="s">
        <v>637</v>
      </c>
      <c r="B167" s="105" t="s">
        <v>739</v>
      </c>
      <c r="C167" s="105" t="s">
        <v>622</v>
      </c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</row>
    <row r="168" spans="1:15" ht="29" x14ac:dyDescent="0.35">
      <c r="A168" s="105" t="s">
        <v>639</v>
      </c>
      <c r="B168" s="105" t="s">
        <v>760</v>
      </c>
      <c r="C168" s="105" t="s">
        <v>622</v>
      </c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</row>
    <row r="169" spans="1:15" ht="29" x14ac:dyDescent="0.35">
      <c r="A169" s="105" t="s">
        <v>641</v>
      </c>
      <c r="B169" s="105" t="s">
        <v>761</v>
      </c>
      <c r="C169" s="105" t="s">
        <v>622</v>
      </c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</row>
    <row r="170" spans="1:15" ht="29" x14ac:dyDescent="0.35">
      <c r="A170" s="105" t="s">
        <v>643</v>
      </c>
      <c r="B170" s="105" t="s">
        <v>762</v>
      </c>
      <c r="C170" s="105" t="s">
        <v>622</v>
      </c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</row>
    <row r="171" spans="1:15" ht="29" x14ac:dyDescent="0.35">
      <c r="A171" s="105" t="s">
        <v>644</v>
      </c>
      <c r="B171" s="105" t="s">
        <v>740</v>
      </c>
      <c r="C171" s="105" t="s">
        <v>622</v>
      </c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</row>
    <row r="172" spans="1:15" ht="29" x14ac:dyDescent="0.35">
      <c r="A172" s="105" t="s">
        <v>645</v>
      </c>
      <c r="B172" s="105" t="s">
        <v>741</v>
      </c>
      <c r="C172" s="105" t="s">
        <v>622</v>
      </c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</row>
    <row r="173" spans="1:15" ht="29" x14ac:dyDescent="0.35">
      <c r="A173" s="105" t="s">
        <v>646</v>
      </c>
      <c r="B173" s="105" t="s">
        <v>742</v>
      </c>
      <c r="C173" s="105" t="s">
        <v>743</v>
      </c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</row>
    <row r="174" spans="1:15" ht="29" x14ac:dyDescent="0.35">
      <c r="A174" s="105" t="s">
        <v>649</v>
      </c>
      <c r="B174" s="105" t="s">
        <v>744</v>
      </c>
      <c r="C174" s="105" t="s">
        <v>743</v>
      </c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</row>
    <row r="175" spans="1:15" ht="29" x14ac:dyDescent="0.35">
      <c r="A175" s="105" t="s">
        <v>651</v>
      </c>
      <c r="B175" s="105" t="s">
        <v>745</v>
      </c>
      <c r="C175" s="105" t="s">
        <v>746</v>
      </c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</row>
    <row r="176" spans="1:15" ht="29" x14ac:dyDescent="0.35">
      <c r="A176" s="105" t="s">
        <v>653</v>
      </c>
      <c r="B176" s="105" t="s">
        <v>747</v>
      </c>
      <c r="C176" s="105" t="s">
        <v>748</v>
      </c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</row>
    <row r="177" spans="1:15" ht="29" x14ac:dyDescent="0.35">
      <c r="A177" s="105" t="s">
        <v>655</v>
      </c>
      <c r="B177" s="105" t="s">
        <v>749</v>
      </c>
      <c r="C177" s="105" t="s">
        <v>622</v>
      </c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</row>
    <row r="178" spans="1:15" ht="29" x14ac:dyDescent="0.35">
      <c r="A178" s="105" t="s">
        <v>658</v>
      </c>
      <c r="B178" s="105" t="s">
        <v>750</v>
      </c>
      <c r="C178" s="105" t="s">
        <v>751</v>
      </c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</row>
    <row r="179" spans="1:15" ht="29" x14ac:dyDescent="0.35">
      <c r="A179" s="105" t="s">
        <v>660</v>
      </c>
      <c r="B179" s="105" t="s">
        <v>752</v>
      </c>
      <c r="C179" s="105" t="s">
        <v>622</v>
      </c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</row>
    <row r="180" spans="1:15" ht="29" x14ac:dyDescent="0.35">
      <c r="A180" s="105" t="s">
        <v>662</v>
      </c>
      <c r="B180" s="105" t="s">
        <v>753</v>
      </c>
      <c r="C180" s="105" t="s">
        <v>622</v>
      </c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</row>
    <row r="181" spans="1:15" ht="29" x14ac:dyDescent="0.35">
      <c r="A181" s="105" t="s">
        <v>664</v>
      </c>
      <c r="B181" s="105" t="s">
        <v>754</v>
      </c>
      <c r="C181" s="105" t="s">
        <v>648</v>
      </c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</row>
    <row r="182" spans="1:15" ht="29" x14ac:dyDescent="0.35">
      <c r="A182" s="105" t="s">
        <v>666</v>
      </c>
      <c r="B182" s="105" t="s">
        <v>755</v>
      </c>
      <c r="C182" s="105" t="s">
        <v>622</v>
      </c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</row>
    <row r="183" spans="1:15" ht="29" x14ac:dyDescent="0.35">
      <c r="A183" s="105" t="s">
        <v>668</v>
      </c>
      <c r="B183" s="105" t="s">
        <v>756</v>
      </c>
      <c r="C183" s="105" t="s">
        <v>622</v>
      </c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</row>
    <row r="184" spans="1:15" ht="29" x14ac:dyDescent="0.35">
      <c r="A184" s="105" t="s">
        <v>670</v>
      </c>
      <c r="B184" s="105" t="s">
        <v>757</v>
      </c>
      <c r="C184" s="105" t="s">
        <v>622</v>
      </c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</row>
    <row r="185" spans="1:15" ht="29" x14ac:dyDescent="0.35">
      <c r="A185" s="105" t="s">
        <v>672</v>
      </c>
      <c r="B185" s="105" t="s">
        <v>706</v>
      </c>
      <c r="C185" s="105" t="s">
        <v>622</v>
      </c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</row>
    <row r="186" spans="1:15" ht="29" x14ac:dyDescent="0.35">
      <c r="A186" s="105" t="s">
        <v>674</v>
      </c>
      <c r="B186" s="105" t="s">
        <v>682</v>
      </c>
      <c r="C186" s="105" t="s">
        <v>683</v>
      </c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</row>
    <row r="187" spans="1:15" ht="29" x14ac:dyDescent="0.35">
      <c r="A187" s="105" t="s">
        <v>676</v>
      </c>
      <c r="B187" s="105" t="s">
        <v>685</v>
      </c>
      <c r="C187" s="105" t="s">
        <v>686</v>
      </c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</row>
    <row r="188" spans="1:15" ht="29" x14ac:dyDescent="0.35">
      <c r="A188" s="105" t="s">
        <v>678</v>
      </c>
      <c r="B188" s="105" t="s">
        <v>688</v>
      </c>
      <c r="C188" s="105" t="s">
        <v>686</v>
      </c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</row>
    <row r="189" spans="1:15" ht="29" x14ac:dyDescent="0.35">
      <c r="A189" s="105" t="s">
        <v>680</v>
      </c>
      <c r="B189" s="105" t="s">
        <v>690</v>
      </c>
      <c r="C189" s="105" t="s">
        <v>686</v>
      </c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</row>
    <row r="190" spans="1:15" ht="29" x14ac:dyDescent="0.35">
      <c r="A190" s="105" t="s">
        <v>681</v>
      </c>
      <c r="B190" s="105" t="s">
        <v>692</v>
      </c>
      <c r="C190" s="105" t="s">
        <v>686</v>
      </c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</row>
    <row r="191" spans="1:15" ht="29" x14ac:dyDescent="0.35">
      <c r="A191" s="105" t="s">
        <v>684</v>
      </c>
      <c r="B191" s="105" t="s">
        <v>694</v>
      </c>
      <c r="C191" s="105" t="s">
        <v>686</v>
      </c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</row>
    <row r="192" spans="1:15" ht="29" x14ac:dyDescent="0.35">
      <c r="A192" s="105" t="s">
        <v>687</v>
      </c>
      <c r="B192" s="105" t="s">
        <v>696</v>
      </c>
      <c r="C192" s="105" t="s">
        <v>686</v>
      </c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</row>
    <row r="193" spans="1:15" ht="29" x14ac:dyDescent="0.35">
      <c r="A193" s="105" t="s">
        <v>689</v>
      </c>
      <c r="B193" s="105" t="s">
        <v>698</v>
      </c>
      <c r="C193" s="105" t="s">
        <v>686</v>
      </c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</row>
    <row r="194" spans="1:15" x14ac:dyDescent="0.35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</row>
    <row r="195" spans="1:15" x14ac:dyDescent="0.35">
      <c r="A195" s="166" t="s">
        <v>767</v>
      </c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2"/>
    </row>
    <row r="196" spans="1:15" ht="58" x14ac:dyDescent="0.35">
      <c r="A196" s="108" t="s">
        <v>700</v>
      </c>
      <c r="B196" s="108" t="s">
        <v>701</v>
      </c>
      <c r="C196" s="108" t="s">
        <v>390</v>
      </c>
      <c r="D196" s="108" t="s">
        <v>351</v>
      </c>
      <c r="E196" s="108" t="s">
        <v>352</v>
      </c>
      <c r="F196" s="108" t="s">
        <v>292</v>
      </c>
      <c r="G196" s="108" t="s">
        <v>619</v>
      </c>
      <c r="H196" s="108" t="s">
        <v>353</v>
      </c>
      <c r="I196" s="108" t="s">
        <v>610</v>
      </c>
      <c r="J196" s="105"/>
      <c r="K196" s="105"/>
      <c r="L196" s="105"/>
      <c r="M196" s="105"/>
      <c r="N196" s="105"/>
      <c r="O196" s="105"/>
    </row>
  </sheetData>
  <mergeCells count="14">
    <mergeCell ref="A1:T1"/>
    <mergeCell ref="A20:R20"/>
    <mergeCell ref="A95:O95"/>
    <mergeCell ref="A54:O54"/>
    <mergeCell ref="A104:O104"/>
    <mergeCell ref="A195:O195"/>
    <mergeCell ref="A19:R19"/>
    <mergeCell ref="A45:O45"/>
    <mergeCell ref="A2:T2"/>
    <mergeCell ref="A37:R37"/>
    <mergeCell ref="A145:O145"/>
    <mergeCell ref="A4:O4"/>
    <mergeCell ref="A18:R18"/>
    <mergeCell ref="A154:O154"/>
  </mergeCells>
  <conditionalFormatting sqref="I23:I34">
    <cfRule type="expression" dxfId="394" priority="1">
      <formula>I23="Green"</formula>
    </cfRule>
    <cfRule type="expression" dxfId="393" priority="2">
      <formula>I23="Amber"</formula>
    </cfRule>
    <cfRule type="expression" dxfId="392" priority="3">
      <formula>I23="Red"</formula>
    </cfRule>
  </conditionalFormatting>
  <dataValidations count="7">
    <dataValidation type="list" allowBlank="1" sqref="E5:E15" xr:uid="{00000000-0002-0000-1E00-000000000000}">
      <formula1>"Yes,No,Partial,N/A"</formula1>
    </dataValidation>
    <dataValidation type="list" allowBlank="1" sqref="G5:G15" xr:uid="{00000000-0002-0000-1E00-000001000000}">
      <formula1>"Low,Medium,High,Critical"</formula1>
    </dataValidation>
    <dataValidation type="list" allowBlank="1" sqref="S5:S15" xr:uid="{00000000-0002-0000-1E00-000002000000}">
      <formula1>"Open,In Progress,Awaiting Verification,Closed,Escalated"</formula1>
    </dataValidation>
    <dataValidation type="list" allowBlank="1" sqref="G23:G34" xr:uid="{00000000-0002-0000-1E00-000003000000}">
      <formula1>"Yes,No,Partially,N/A"</formula1>
    </dataValidation>
    <dataValidation type="list" allowBlank="1" sqref="I23:I34" xr:uid="{00000000-0002-0000-1E00-000004000000}">
      <formula1>"Green,Amber,Red,Not Started"</formula1>
    </dataValidation>
    <dataValidation type="list" allowBlank="1" sqref="C39:C46 E9:G43 E59:G93 E109:G143 E159:G193" xr:uid="{00000000-0002-0000-1E00-000005000000}">
      <formula1>"Yes,No,N/A"</formula1>
    </dataValidation>
    <dataValidation type="list" allowBlank="1" sqref="H9:H43 H59:H93 H109:H143 H159:H193" xr:uid="{00000000-0002-0000-1E00-000007000000}">
      <formula1>"Low,Medium,High,Critical,N/A"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T524"/>
  <sheetViews>
    <sheetView workbookViewId="0"/>
  </sheetViews>
  <sheetFormatPr defaultRowHeight="14.5" x14ac:dyDescent="0.35"/>
  <cols>
    <col min="1" max="1" width="5" customWidth="1"/>
    <col min="2" max="2" width="46" customWidth="1"/>
    <col min="3" max="3" width="20" customWidth="1"/>
    <col min="4" max="4" width="30" customWidth="1"/>
    <col min="5" max="7" width="7" customWidth="1"/>
    <col min="8" max="8" width="13" customWidth="1"/>
    <col min="9" max="9" width="30" customWidth="1"/>
    <col min="10" max="10" width="26" customWidth="1"/>
    <col min="11" max="11" width="14" customWidth="1"/>
    <col min="12" max="12" width="13" customWidth="1"/>
    <col min="13" max="15" width="14" customWidth="1"/>
    <col min="16" max="16" width="16" customWidth="1"/>
    <col min="17" max="17" width="28" customWidth="1"/>
    <col min="18" max="18" width="40" customWidth="1"/>
    <col min="19" max="19" width="14" customWidth="1"/>
    <col min="20" max="20" width="12" customWidth="1"/>
  </cols>
  <sheetData>
    <row r="1" spans="1:20" ht="28" customHeight="1" x14ac:dyDescent="0.35">
      <c r="A1" s="145" t="s">
        <v>768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2"/>
    </row>
    <row r="2" spans="1:20" x14ac:dyDescent="0.35">
      <c r="A2" s="168" t="s">
        <v>769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2"/>
    </row>
    <row r="3" spans="1:20" x14ac:dyDescent="0.35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0" ht="29" customHeight="1" x14ac:dyDescent="0.35">
      <c r="A4" s="167" t="s">
        <v>599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2"/>
    </row>
    <row r="5" spans="1:20" ht="72.5" x14ac:dyDescent="0.35">
      <c r="A5" s="108" t="s">
        <v>600</v>
      </c>
      <c r="B5" s="108"/>
      <c r="C5" s="108" t="s">
        <v>601</v>
      </c>
      <c r="D5" s="108"/>
      <c r="E5" s="108" t="s">
        <v>602</v>
      </c>
      <c r="F5" s="108"/>
      <c r="G5" s="108" t="s">
        <v>603</v>
      </c>
      <c r="H5" s="108"/>
      <c r="I5" s="108" t="s">
        <v>604</v>
      </c>
      <c r="J5" s="108"/>
      <c r="K5" s="108" t="s">
        <v>6</v>
      </c>
      <c r="L5" s="108"/>
      <c r="M5" s="108" t="s">
        <v>605</v>
      </c>
      <c r="N5" s="108"/>
      <c r="O5" s="108"/>
    </row>
    <row r="6" spans="1:20" ht="72.5" x14ac:dyDescent="0.35">
      <c r="A6" s="108" t="s">
        <v>606</v>
      </c>
      <c r="B6" s="108"/>
      <c r="C6" s="108" t="s">
        <v>607</v>
      </c>
      <c r="D6" s="108"/>
      <c r="E6" s="108" t="s">
        <v>608</v>
      </c>
      <c r="F6" s="108"/>
      <c r="G6" s="108" t="s">
        <v>609</v>
      </c>
      <c r="H6" s="108"/>
      <c r="I6" s="108" t="s">
        <v>610</v>
      </c>
      <c r="J6" s="109">
        <f>IFERROR(COUNTIF(E9:E37,"Yes")/(COUNTIF(E9:E37,"Yes")+COUNTIF(F9:F37,"No")),0)</f>
        <v>0</v>
      </c>
      <c r="K6" s="108"/>
      <c r="L6" s="108" t="str">
        <f>IF(J6&gt;=0.9,"Green",IF(J6&gt;=0.75,"Amber","Red"))</f>
        <v>Red</v>
      </c>
      <c r="M6" s="108"/>
      <c r="N6" s="108"/>
      <c r="O6" s="108"/>
    </row>
    <row r="7" spans="1:20" x14ac:dyDescent="0.35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</row>
    <row r="8" spans="1:20" ht="29" x14ac:dyDescent="0.35">
      <c r="A8" s="110" t="s">
        <v>611</v>
      </c>
      <c r="B8" s="110" t="s">
        <v>612</v>
      </c>
      <c r="C8" s="110" t="s">
        <v>613</v>
      </c>
      <c r="D8" s="110" t="s">
        <v>614</v>
      </c>
      <c r="E8" s="110" t="s">
        <v>81</v>
      </c>
      <c r="F8" s="110" t="s">
        <v>615</v>
      </c>
      <c r="G8" s="110" t="s">
        <v>616</v>
      </c>
      <c r="H8" s="110" t="s">
        <v>617</v>
      </c>
      <c r="I8" s="110" t="s">
        <v>618</v>
      </c>
      <c r="J8" s="110" t="s">
        <v>390</v>
      </c>
      <c r="K8" s="110" t="s">
        <v>351</v>
      </c>
      <c r="L8" s="110" t="s">
        <v>352</v>
      </c>
      <c r="M8" s="110" t="s">
        <v>292</v>
      </c>
      <c r="N8" s="110" t="s">
        <v>353</v>
      </c>
      <c r="O8" s="110" t="s">
        <v>619</v>
      </c>
    </row>
    <row r="9" spans="1:20" ht="29" customHeight="1" x14ac:dyDescent="0.35">
      <c r="A9" s="105" t="s">
        <v>620</v>
      </c>
      <c r="B9" s="105" t="s">
        <v>770</v>
      </c>
      <c r="C9" s="105" t="s">
        <v>622</v>
      </c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</row>
    <row r="10" spans="1:20" x14ac:dyDescent="0.35">
      <c r="A10" s="105" t="s">
        <v>623</v>
      </c>
      <c r="B10" s="105" t="s">
        <v>771</v>
      </c>
      <c r="C10" s="105" t="s">
        <v>622</v>
      </c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</row>
    <row r="11" spans="1:20" ht="29" x14ac:dyDescent="0.35">
      <c r="A11" s="105" t="s">
        <v>625</v>
      </c>
      <c r="B11" s="105" t="s">
        <v>772</v>
      </c>
      <c r="C11" s="105" t="s">
        <v>622</v>
      </c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</row>
    <row r="12" spans="1:20" ht="29" x14ac:dyDescent="0.35">
      <c r="A12" s="105" t="s">
        <v>627</v>
      </c>
      <c r="B12" s="105" t="s">
        <v>773</v>
      </c>
      <c r="C12" s="105" t="s">
        <v>743</v>
      </c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</row>
    <row r="13" spans="1:20" ht="29" customHeight="1" x14ac:dyDescent="0.35">
      <c r="A13" s="105" t="s">
        <v>629</v>
      </c>
      <c r="B13" s="105" t="s">
        <v>774</v>
      </c>
      <c r="C13" s="105" t="s">
        <v>743</v>
      </c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</row>
    <row r="14" spans="1:20" ht="29" x14ac:dyDescent="0.35">
      <c r="A14" s="105" t="s">
        <v>631</v>
      </c>
      <c r="B14" s="105" t="s">
        <v>775</v>
      </c>
      <c r="C14" s="105" t="s">
        <v>622</v>
      </c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</row>
    <row r="15" spans="1:20" ht="29" x14ac:dyDescent="0.35">
      <c r="A15" s="105" t="s">
        <v>633</v>
      </c>
      <c r="B15" s="105" t="s">
        <v>776</v>
      </c>
      <c r="C15" s="105" t="s">
        <v>746</v>
      </c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</row>
    <row r="16" spans="1:20" ht="24" customHeight="1" x14ac:dyDescent="0.35">
      <c r="A16" s="169" t="s">
        <v>635</v>
      </c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2"/>
    </row>
    <row r="17" spans="1:18" ht="36" customHeight="1" x14ac:dyDescent="0.35">
      <c r="A17" s="169" t="s">
        <v>637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2"/>
    </row>
    <row r="18" spans="1:18" ht="32" customHeight="1" x14ac:dyDescent="0.35">
      <c r="A18" s="169" t="s">
        <v>639</v>
      </c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2"/>
    </row>
    <row r="19" spans="1:18" ht="29" x14ac:dyDescent="0.35">
      <c r="A19" s="105" t="s">
        <v>641</v>
      </c>
      <c r="B19" s="105" t="s">
        <v>777</v>
      </c>
      <c r="C19" s="105" t="s">
        <v>622</v>
      </c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</row>
    <row r="20" spans="1:18" ht="32" customHeight="1" x14ac:dyDescent="0.35">
      <c r="A20" s="105" t="s">
        <v>643</v>
      </c>
      <c r="B20" s="105" t="s">
        <v>778</v>
      </c>
      <c r="C20" s="105" t="s">
        <v>622</v>
      </c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</row>
    <row r="21" spans="1:18" ht="29" x14ac:dyDescent="0.35">
      <c r="A21" s="105" t="s">
        <v>644</v>
      </c>
      <c r="B21" s="105" t="s">
        <v>779</v>
      </c>
      <c r="C21" s="105" t="s">
        <v>648</v>
      </c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</row>
    <row r="22" spans="1:18" ht="29" x14ac:dyDescent="0.35">
      <c r="A22" s="105" t="s">
        <v>645</v>
      </c>
      <c r="B22" s="105" t="s">
        <v>780</v>
      </c>
      <c r="C22" s="105" t="s">
        <v>622</v>
      </c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</row>
    <row r="23" spans="1:18" ht="29" x14ac:dyDescent="0.35">
      <c r="A23" s="105" t="s">
        <v>646</v>
      </c>
      <c r="B23" s="105" t="s">
        <v>781</v>
      </c>
      <c r="C23" s="105" t="s">
        <v>622</v>
      </c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</row>
    <row r="24" spans="1:18" ht="29" x14ac:dyDescent="0.35">
      <c r="A24" s="105" t="s">
        <v>649</v>
      </c>
      <c r="B24" s="105" t="s">
        <v>782</v>
      </c>
      <c r="C24" s="105" t="s">
        <v>622</v>
      </c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</row>
    <row r="25" spans="1:18" ht="29" x14ac:dyDescent="0.35">
      <c r="A25" s="105" t="s">
        <v>651</v>
      </c>
      <c r="B25" s="105" t="s">
        <v>783</v>
      </c>
      <c r="C25" s="105" t="s">
        <v>622</v>
      </c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</row>
    <row r="26" spans="1:18" ht="29" x14ac:dyDescent="0.35">
      <c r="A26" s="105" t="s">
        <v>653</v>
      </c>
      <c r="B26" s="105" t="s">
        <v>784</v>
      </c>
      <c r="C26" s="105" t="s">
        <v>751</v>
      </c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</row>
    <row r="27" spans="1:18" ht="29" x14ac:dyDescent="0.35">
      <c r="A27" s="105" t="s">
        <v>655</v>
      </c>
      <c r="B27" s="105" t="s">
        <v>785</v>
      </c>
      <c r="C27" s="105" t="s">
        <v>786</v>
      </c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</row>
    <row r="28" spans="1:18" ht="29" x14ac:dyDescent="0.35">
      <c r="A28" s="105" t="s">
        <v>658</v>
      </c>
      <c r="B28" s="105" t="s">
        <v>787</v>
      </c>
      <c r="C28" s="105" t="s">
        <v>788</v>
      </c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</row>
    <row r="29" spans="1:18" ht="29" x14ac:dyDescent="0.35">
      <c r="A29" s="105" t="s">
        <v>660</v>
      </c>
      <c r="B29" s="105" t="s">
        <v>706</v>
      </c>
      <c r="C29" s="105" t="s">
        <v>622</v>
      </c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</row>
    <row r="30" spans="1:18" ht="29" x14ac:dyDescent="0.35">
      <c r="A30" s="105" t="s">
        <v>662</v>
      </c>
      <c r="B30" s="105" t="s">
        <v>682</v>
      </c>
      <c r="C30" s="105" t="s">
        <v>683</v>
      </c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</row>
    <row r="31" spans="1:18" ht="29" x14ac:dyDescent="0.35">
      <c r="A31" s="105" t="s">
        <v>664</v>
      </c>
      <c r="B31" s="105" t="s">
        <v>685</v>
      </c>
      <c r="C31" s="105" t="s">
        <v>686</v>
      </c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</row>
    <row r="32" spans="1:18" ht="29" x14ac:dyDescent="0.35">
      <c r="A32" s="105" t="s">
        <v>666</v>
      </c>
      <c r="B32" s="105" t="s">
        <v>688</v>
      </c>
      <c r="C32" s="105" t="s">
        <v>686</v>
      </c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</row>
    <row r="33" spans="1:18" ht="29" x14ac:dyDescent="0.35">
      <c r="A33" s="105" t="s">
        <v>668</v>
      </c>
      <c r="B33" s="105" t="s">
        <v>690</v>
      </c>
      <c r="C33" s="105" t="s">
        <v>686</v>
      </c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</row>
    <row r="34" spans="1:18" ht="29" x14ac:dyDescent="0.35">
      <c r="A34" s="105" t="s">
        <v>670</v>
      </c>
      <c r="B34" s="105" t="s">
        <v>692</v>
      </c>
      <c r="C34" s="105" t="s">
        <v>686</v>
      </c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</row>
    <row r="35" spans="1:18" x14ac:dyDescent="0.35">
      <c r="A35" s="169" t="s">
        <v>672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2"/>
    </row>
    <row r="36" spans="1:18" ht="29" x14ac:dyDescent="0.35">
      <c r="A36" s="105" t="s">
        <v>674</v>
      </c>
      <c r="B36" s="105" t="s">
        <v>696</v>
      </c>
      <c r="C36" s="105" t="s">
        <v>686</v>
      </c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</row>
    <row r="37" spans="1:18" ht="29" customHeight="1" x14ac:dyDescent="0.35">
      <c r="A37" s="105" t="s">
        <v>676</v>
      </c>
      <c r="B37" s="105" t="s">
        <v>698</v>
      </c>
      <c r="C37" s="105" t="s">
        <v>686</v>
      </c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</row>
    <row r="38" spans="1:18" ht="29" customHeight="1" x14ac:dyDescent="0.35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</row>
    <row r="39" spans="1:18" ht="29" customHeight="1" x14ac:dyDescent="0.35">
      <c r="A39" s="166" t="s">
        <v>699</v>
      </c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2"/>
    </row>
    <row r="40" spans="1:18" ht="29" customHeight="1" x14ac:dyDescent="0.35">
      <c r="A40" s="108" t="s">
        <v>700</v>
      </c>
      <c r="B40" s="108" t="s">
        <v>701</v>
      </c>
      <c r="C40" s="108" t="s">
        <v>390</v>
      </c>
      <c r="D40" s="108" t="s">
        <v>351</v>
      </c>
      <c r="E40" s="108" t="s">
        <v>352</v>
      </c>
      <c r="F40" s="108" t="s">
        <v>292</v>
      </c>
      <c r="G40" s="108" t="s">
        <v>619</v>
      </c>
      <c r="H40" s="108" t="s">
        <v>353</v>
      </c>
      <c r="I40" s="108" t="s">
        <v>610</v>
      </c>
      <c r="J40" s="105"/>
      <c r="K40" s="105"/>
      <c r="L40" s="105"/>
      <c r="M40" s="105"/>
      <c r="N40" s="105"/>
      <c r="O40" s="105"/>
    </row>
    <row r="41" spans="1:18" ht="29" customHeight="1" x14ac:dyDescent="0.35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</row>
    <row r="42" spans="1:18" ht="29" customHeight="1" x14ac:dyDescent="0.35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</row>
    <row r="43" spans="1:18" ht="29" customHeight="1" x14ac:dyDescent="0.35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</row>
    <row r="44" spans="1:18" ht="58" customHeight="1" x14ac:dyDescent="0.35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</row>
    <row r="45" spans="1:18" x14ac:dyDescent="0.35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</row>
    <row r="46" spans="1:18" x14ac:dyDescent="0.35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</row>
    <row r="47" spans="1:18" x14ac:dyDescent="0.35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</row>
    <row r="48" spans="1:18" x14ac:dyDescent="0.35">
      <c r="A48" s="167" t="s">
        <v>702</v>
      </c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2"/>
    </row>
    <row r="49" spans="1:15" ht="72.5" x14ac:dyDescent="0.35">
      <c r="A49" s="108" t="s">
        <v>600</v>
      </c>
      <c r="B49" s="108"/>
      <c r="C49" s="108" t="s">
        <v>601</v>
      </c>
      <c r="D49" s="108"/>
      <c r="E49" s="108" t="s">
        <v>602</v>
      </c>
      <c r="F49" s="108"/>
      <c r="G49" s="108" t="s">
        <v>603</v>
      </c>
      <c r="H49" s="108"/>
      <c r="I49" s="108" t="s">
        <v>604</v>
      </c>
      <c r="J49" s="108"/>
      <c r="K49" s="108" t="s">
        <v>6</v>
      </c>
      <c r="L49" s="108"/>
      <c r="M49" s="108" t="s">
        <v>605</v>
      </c>
      <c r="N49" s="108"/>
      <c r="O49" s="108"/>
    </row>
    <row r="50" spans="1:15" ht="72.5" x14ac:dyDescent="0.35">
      <c r="A50" s="108" t="s">
        <v>606</v>
      </c>
      <c r="B50" s="108"/>
      <c r="C50" s="108" t="s">
        <v>607</v>
      </c>
      <c r="D50" s="108"/>
      <c r="E50" s="108" t="s">
        <v>608</v>
      </c>
      <c r="F50" s="108"/>
      <c r="G50" s="108" t="s">
        <v>609</v>
      </c>
      <c r="H50" s="108"/>
      <c r="I50" s="108" t="s">
        <v>610</v>
      </c>
      <c r="J50" s="109">
        <f>IFERROR(COUNTIF(E53:E81,"Yes")/(COUNTIF(E53:E81,"Yes")+COUNTIF(F53:F81,"No")),0)</f>
        <v>0</v>
      </c>
      <c r="K50" s="108"/>
      <c r="L50" s="108" t="str">
        <f>IF(J50&gt;=0.9,"Green",IF(J50&gt;=0.75,"Amber","Red"))</f>
        <v>Red</v>
      </c>
      <c r="M50" s="108"/>
      <c r="N50" s="108"/>
      <c r="O50" s="108"/>
    </row>
    <row r="51" spans="1:15" x14ac:dyDescent="0.35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</row>
    <row r="52" spans="1:15" ht="29" x14ac:dyDescent="0.35">
      <c r="A52" s="110" t="s">
        <v>611</v>
      </c>
      <c r="B52" s="110" t="s">
        <v>612</v>
      </c>
      <c r="C52" s="110" t="s">
        <v>613</v>
      </c>
      <c r="D52" s="110" t="s">
        <v>614</v>
      </c>
      <c r="E52" s="110" t="s">
        <v>81</v>
      </c>
      <c r="F52" s="110" t="s">
        <v>615</v>
      </c>
      <c r="G52" s="110" t="s">
        <v>616</v>
      </c>
      <c r="H52" s="110" t="s">
        <v>617</v>
      </c>
      <c r="I52" s="110" t="s">
        <v>618</v>
      </c>
      <c r="J52" s="110" t="s">
        <v>390</v>
      </c>
      <c r="K52" s="110" t="s">
        <v>351</v>
      </c>
      <c r="L52" s="110" t="s">
        <v>352</v>
      </c>
      <c r="M52" s="110" t="s">
        <v>292</v>
      </c>
      <c r="N52" s="110" t="s">
        <v>353</v>
      </c>
      <c r="O52" s="110" t="s">
        <v>619</v>
      </c>
    </row>
    <row r="53" spans="1:15" ht="29" x14ac:dyDescent="0.35">
      <c r="A53" s="105" t="s">
        <v>620</v>
      </c>
      <c r="B53" s="105" t="s">
        <v>770</v>
      </c>
      <c r="C53" s="105" t="s">
        <v>622</v>
      </c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</row>
    <row r="54" spans="1:15" x14ac:dyDescent="0.35">
      <c r="A54" s="105" t="s">
        <v>623</v>
      </c>
      <c r="B54" s="105" t="s">
        <v>771</v>
      </c>
      <c r="C54" s="105" t="s">
        <v>622</v>
      </c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</row>
    <row r="55" spans="1:15" ht="29" x14ac:dyDescent="0.35">
      <c r="A55" s="105" t="s">
        <v>625</v>
      </c>
      <c r="B55" s="105" t="s">
        <v>772</v>
      </c>
      <c r="C55" s="105" t="s">
        <v>622</v>
      </c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</row>
    <row r="56" spans="1:15" ht="29" x14ac:dyDescent="0.35">
      <c r="A56" s="105" t="s">
        <v>627</v>
      </c>
      <c r="B56" s="105" t="s">
        <v>773</v>
      </c>
      <c r="C56" s="105" t="s">
        <v>743</v>
      </c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</row>
    <row r="57" spans="1:15" ht="29" x14ac:dyDescent="0.35">
      <c r="A57" s="105" t="s">
        <v>629</v>
      </c>
      <c r="B57" s="105" t="s">
        <v>774</v>
      </c>
      <c r="C57" s="105" t="s">
        <v>743</v>
      </c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</row>
    <row r="58" spans="1:15" ht="29" x14ac:dyDescent="0.35">
      <c r="A58" s="105" t="s">
        <v>631</v>
      </c>
      <c r="B58" s="105" t="s">
        <v>775</v>
      </c>
      <c r="C58" s="105" t="s">
        <v>622</v>
      </c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</row>
    <row r="59" spans="1:15" ht="29" x14ac:dyDescent="0.35">
      <c r="A59" s="105" t="s">
        <v>633</v>
      </c>
      <c r="B59" s="105" t="s">
        <v>776</v>
      </c>
      <c r="C59" s="105" t="s">
        <v>746</v>
      </c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</row>
    <row r="60" spans="1:15" ht="29" x14ac:dyDescent="0.35">
      <c r="A60" s="105" t="s">
        <v>635</v>
      </c>
      <c r="B60" s="105" t="s">
        <v>789</v>
      </c>
      <c r="C60" s="105" t="s">
        <v>748</v>
      </c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</row>
    <row r="61" spans="1:15" x14ac:dyDescent="0.35">
      <c r="A61" s="105" t="s">
        <v>637</v>
      </c>
      <c r="B61" s="105" t="s">
        <v>790</v>
      </c>
      <c r="C61" s="105" t="s">
        <v>743</v>
      </c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</row>
    <row r="62" spans="1:15" ht="29" x14ac:dyDescent="0.35">
      <c r="A62" s="105" t="s">
        <v>639</v>
      </c>
      <c r="B62" s="105" t="s">
        <v>791</v>
      </c>
      <c r="C62" s="105" t="s">
        <v>622</v>
      </c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</row>
    <row r="63" spans="1:15" ht="29" x14ac:dyDescent="0.35">
      <c r="A63" s="105" t="s">
        <v>641</v>
      </c>
      <c r="B63" s="105" t="s">
        <v>777</v>
      </c>
      <c r="C63" s="105" t="s">
        <v>622</v>
      </c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</row>
    <row r="64" spans="1:15" ht="29" x14ac:dyDescent="0.35">
      <c r="A64" s="105" t="s">
        <v>643</v>
      </c>
      <c r="B64" s="105" t="s">
        <v>778</v>
      </c>
      <c r="C64" s="105" t="s">
        <v>622</v>
      </c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</row>
    <row r="65" spans="1:15" ht="29" x14ac:dyDescent="0.35">
      <c r="A65" s="105" t="s">
        <v>644</v>
      </c>
      <c r="B65" s="105" t="s">
        <v>779</v>
      </c>
      <c r="C65" s="105" t="s">
        <v>648</v>
      </c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</row>
    <row r="66" spans="1:15" ht="29" x14ac:dyDescent="0.35">
      <c r="A66" s="105" t="s">
        <v>645</v>
      </c>
      <c r="B66" s="105" t="s">
        <v>780</v>
      </c>
      <c r="C66" s="105" t="s">
        <v>622</v>
      </c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</row>
    <row r="67" spans="1:15" ht="29" x14ac:dyDescent="0.35">
      <c r="A67" s="105" t="s">
        <v>646</v>
      </c>
      <c r="B67" s="105" t="s">
        <v>781</v>
      </c>
      <c r="C67" s="105" t="s">
        <v>622</v>
      </c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</row>
    <row r="68" spans="1:15" ht="29" x14ac:dyDescent="0.35">
      <c r="A68" s="105" t="s">
        <v>649</v>
      </c>
      <c r="B68" s="105" t="s">
        <v>782</v>
      </c>
      <c r="C68" s="105" t="s">
        <v>622</v>
      </c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</row>
    <row r="69" spans="1:15" ht="29" x14ac:dyDescent="0.35">
      <c r="A69" s="105" t="s">
        <v>651</v>
      </c>
      <c r="B69" s="105" t="s">
        <v>783</v>
      </c>
      <c r="C69" s="105" t="s">
        <v>622</v>
      </c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</row>
    <row r="70" spans="1:15" ht="29" x14ac:dyDescent="0.35">
      <c r="A70" s="105" t="s">
        <v>653</v>
      </c>
      <c r="B70" s="105" t="s">
        <v>784</v>
      </c>
      <c r="C70" s="105" t="s">
        <v>751</v>
      </c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</row>
    <row r="71" spans="1:15" ht="29" x14ac:dyDescent="0.35">
      <c r="A71" s="105" t="s">
        <v>655</v>
      </c>
      <c r="B71" s="105" t="s">
        <v>785</v>
      </c>
      <c r="C71" s="105" t="s">
        <v>786</v>
      </c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</row>
    <row r="72" spans="1:15" ht="29" x14ac:dyDescent="0.35">
      <c r="A72" s="105" t="s">
        <v>658</v>
      </c>
      <c r="B72" s="105" t="s">
        <v>787</v>
      </c>
      <c r="C72" s="105" t="s">
        <v>788</v>
      </c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</row>
    <row r="73" spans="1:15" ht="29" x14ac:dyDescent="0.35">
      <c r="A73" s="105" t="s">
        <v>660</v>
      </c>
      <c r="B73" s="105" t="s">
        <v>706</v>
      </c>
      <c r="C73" s="105" t="s">
        <v>622</v>
      </c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</row>
    <row r="74" spans="1:15" ht="29" x14ac:dyDescent="0.35">
      <c r="A74" s="105" t="s">
        <v>662</v>
      </c>
      <c r="B74" s="105" t="s">
        <v>682</v>
      </c>
      <c r="C74" s="105" t="s">
        <v>683</v>
      </c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</row>
    <row r="75" spans="1:15" ht="29" x14ac:dyDescent="0.35">
      <c r="A75" s="105" t="s">
        <v>664</v>
      </c>
      <c r="B75" s="105" t="s">
        <v>685</v>
      </c>
      <c r="C75" s="105" t="s">
        <v>686</v>
      </c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</row>
    <row r="76" spans="1:15" ht="29" x14ac:dyDescent="0.35">
      <c r="A76" s="105" t="s">
        <v>666</v>
      </c>
      <c r="B76" s="105" t="s">
        <v>688</v>
      </c>
      <c r="C76" s="105" t="s">
        <v>686</v>
      </c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</row>
    <row r="77" spans="1:15" ht="29" x14ac:dyDescent="0.35">
      <c r="A77" s="105" t="s">
        <v>668</v>
      </c>
      <c r="B77" s="105" t="s">
        <v>690</v>
      </c>
      <c r="C77" s="105" t="s">
        <v>686</v>
      </c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</row>
    <row r="78" spans="1:15" ht="29" x14ac:dyDescent="0.35">
      <c r="A78" s="105" t="s">
        <v>670</v>
      </c>
      <c r="B78" s="105" t="s">
        <v>692</v>
      </c>
      <c r="C78" s="105" t="s">
        <v>686</v>
      </c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</row>
    <row r="79" spans="1:15" ht="29" x14ac:dyDescent="0.35">
      <c r="A79" s="105" t="s">
        <v>672</v>
      </c>
      <c r="B79" s="105" t="s">
        <v>694</v>
      </c>
      <c r="C79" s="105" t="s">
        <v>686</v>
      </c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</row>
    <row r="80" spans="1:15" ht="29" x14ac:dyDescent="0.35">
      <c r="A80" s="105" t="s">
        <v>674</v>
      </c>
      <c r="B80" s="105" t="s">
        <v>696</v>
      </c>
      <c r="C80" s="105" t="s">
        <v>686</v>
      </c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</row>
    <row r="81" spans="1:15" ht="29" x14ac:dyDescent="0.35">
      <c r="A81" s="105" t="s">
        <v>676</v>
      </c>
      <c r="B81" s="105" t="s">
        <v>698</v>
      </c>
      <c r="C81" s="105" t="s">
        <v>686</v>
      </c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</row>
    <row r="82" spans="1:15" x14ac:dyDescent="0.35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</row>
    <row r="83" spans="1:15" x14ac:dyDescent="0.35">
      <c r="A83" s="166" t="s">
        <v>707</v>
      </c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2"/>
    </row>
    <row r="84" spans="1:15" ht="58" x14ac:dyDescent="0.35">
      <c r="A84" s="108" t="s">
        <v>700</v>
      </c>
      <c r="B84" s="108" t="s">
        <v>701</v>
      </c>
      <c r="C84" s="108" t="s">
        <v>390</v>
      </c>
      <c r="D84" s="108" t="s">
        <v>351</v>
      </c>
      <c r="E84" s="108" t="s">
        <v>352</v>
      </c>
      <c r="F84" s="108" t="s">
        <v>292</v>
      </c>
      <c r="G84" s="108" t="s">
        <v>619</v>
      </c>
      <c r="H84" s="108" t="s">
        <v>353</v>
      </c>
      <c r="I84" s="108" t="s">
        <v>610</v>
      </c>
      <c r="J84" s="105"/>
      <c r="K84" s="105"/>
      <c r="L84" s="105"/>
      <c r="M84" s="105"/>
      <c r="N84" s="105"/>
      <c r="O84" s="105"/>
    </row>
    <row r="85" spans="1:15" x14ac:dyDescent="0.35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</row>
    <row r="86" spans="1:15" x14ac:dyDescent="0.35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</row>
    <row r="87" spans="1:15" x14ac:dyDescent="0.35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</row>
    <row r="88" spans="1:15" x14ac:dyDescent="0.35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</row>
    <row r="89" spans="1:15" x14ac:dyDescent="0.35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</row>
    <row r="90" spans="1:15" x14ac:dyDescent="0.35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</row>
    <row r="91" spans="1:15" x14ac:dyDescent="0.35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</row>
    <row r="92" spans="1:15" x14ac:dyDescent="0.35">
      <c r="A92" s="167" t="s">
        <v>708</v>
      </c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2"/>
    </row>
    <row r="93" spans="1:15" ht="72.5" x14ac:dyDescent="0.35">
      <c r="A93" s="108" t="s">
        <v>600</v>
      </c>
      <c r="B93" s="108"/>
      <c r="C93" s="108" t="s">
        <v>601</v>
      </c>
      <c r="D93" s="108"/>
      <c r="E93" s="108" t="s">
        <v>602</v>
      </c>
      <c r="F93" s="108"/>
      <c r="G93" s="108" t="s">
        <v>603</v>
      </c>
      <c r="H93" s="108"/>
      <c r="I93" s="108" t="s">
        <v>604</v>
      </c>
      <c r="J93" s="108"/>
      <c r="K93" s="108" t="s">
        <v>6</v>
      </c>
      <c r="L93" s="108"/>
      <c r="M93" s="108" t="s">
        <v>605</v>
      </c>
      <c r="N93" s="108"/>
      <c r="O93" s="108"/>
    </row>
    <row r="94" spans="1:15" ht="72.5" x14ac:dyDescent="0.35">
      <c r="A94" s="108" t="s">
        <v>606</v>
      </c>
      <c r="B94" s="108"/>
      <c r="C94" s="108" t="s">
        <v>607</v>
      </c>
      <c r="D94" s="108"/>
      <c r="E94" s="108" t="s">
        <v>608</v>
      </c>
      <c r="F94" s="108"/>
      <c r="G94" s="108" t="s">
        <v>609</v>
      </c>
      <c r="H94" s="108"/>
      <c r="I94" s="108" t="s">
        <v>610</v>
      </c>
      <c r="J94" s="109">
        <f>IFERROR(COUNTIF(E97:E125,"Yes")/(COUNTIF(E97:E125,"Yes")+COUNTIF(F97:F125,"No")),0)</f>
        <v>0</v>
      </c>
      <c r="K94" s="108"/>
      <c r="L94" s="108" t="str">
        <f>IF(J94&gt;=0.9,"Green",IF(J94&gt;=0.75,"Amber","Red"))</f>
        <v>Red</v>
      </c>
      <c r="M94" s="108"/>
      <c r="N94" s="108"/>
      <c r="O94" s="108"/>
    </row>
    <row r="95" spans="1:15" x14ac:dyDescent="0.35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</row>
    <row r="96" spans="1:15" ht="29" x14ac:dyDescent="0.35">
      <c r="A96" s="110" t="s">
        <v>611</v>
      </c>
      <c r="B96" s="110" t="s">
        <v>612</v>
      </c>
      <c r="C96" s="110" t="s">
        <v>613</v>
      </c>
      <c r="D96" s="110" t="s">
        <v>614</v>
      </c>
      <c r="E96" s="110" t="s">
        <v>81</v>
      </c>
      <c r="F96" s="110" t="s">
        <v>615</v>
      </c>
      <c r="G96" s="110" t="s">
        <v>616</v>
      </c>
      <c r="H96" s="110" t="s">
        <v>617</v>
      </c>
      <c r="I96" s="110" t="s">
        <v>618</v>
      </c>
      <c r="J96" s="110" t="s">
        <v>390</v>
      </c>
      <c r="K96" s="110" t="s">
        <v>351</v>
      </c>
      <c r="L96" s="110" t="s">
        <v>352</v>
      </c>
      <c r="M96" s="110" t="s">
        <v>292</v>
      </c>
      <c r="N96" s="110" t="s">
        <v>353</v>
      </c>
      <c r="O96" s="110" t="s">
        <v>619</v>
      </c>
    </row>
    <row r="97" spans="1:15" ht="29" x14ac:dyDescent="0.35">
      <c r="A97" s="105" t="s">
        <v>620</v>
      </c>
      <c r="B97" s="105" t="s">
        <v>770</v>
      </c>
      <c r="C97" s="105" t="s">
        <v>622</v>
      </c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</row>
    <row r="98" spans="1:15" x14ac:dyDescent="0.35">
      <c r="A98" s="105" t="s">
        <v>623</v>
      </c>
      <c r="B98" s="105" t="s">
        <v>771</v>
      </c>
      <c r="C98" s="105" t="s">
        <v>622</v>
      </c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</row>
    <row r="99" spans="1:15" ht="29" x14ac:dyDescent="0.35">
      <c r="A99" s="105" t="s">
        <v>625</v>
      </c>
      <c r="B99" s="105" t="s">
        <v>772</v>
      </c>
      <c r="C99" s="105" t="s">
        <v>622</v>
      </c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</row>
    <row r="100" spans="1:15" ht="29" x14ac:dyDescent="0.35">
      <c r="A100" s="105" t="s">
        <v>627</v>
      </c>
      <c r="B100" s="105" t="s">
        <v>773</v>
      </c>
      <c r="C100" s="105" t="s">
        <v>743</v>
      </c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</row>
    <row r="101" spans="1:15" ht="29" x14ac:dyDescent="0.35">
      <c r="A101" s="105" t="s">
        <v>629</v>
      </c>
      <c r="B101" s="105" t="s">
        <v>774</v>
      </c>
      <c r="C101" s="105" t="s">
        <v>743</v>
      </c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</row>
    <row r="102" spans="1:15" ht="29" x14ac:dyDescent="0.35">
      <c r="A102" s="105" t="s">
        <v>631</v>
      </c>
      <c r="B102" s="105" t="s">
        <v>775</v>
      </c>
      <c r="C102" s="105" t="s">
        <v>622</v>
      </c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</row>
    <row r="103" spans="1:15" ht="29" x14ac:dyDescent="0.35">
      <c r="A103" s="105" t="s">
        <v>633</v>
      </c>
      <c r="B103" s="105" t="s">
        <v>776</v>
      </c>
      <c r="C103" s="105" t="s">
        <v>746</v>
      </c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</row>
    <row r="104" spans="1:15" ht="29" x14ac:dyDescent="0.35">
      <c r="A104" s="105" t="s">
        <v>635</v>
      </c>
      <c r="B104" s="105" t="s">
        <v>789</v>
      </c>
      <c r="C104" s="105" t="s">
        <v>748</v>
      </c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</row>
    <row r="105" spans="1:15" x14ac:dyDescent="0.35">
      <c r="A105" s="105" t="s">
        <v>637</v>
      </c>
      <c r="B105" s="105" t="s">
        <v>790</v>
      </c>
      <c r="C105" s="105" t="s">
        <v>743</v>
      </c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</row>
    <row r="106" spans="1:15" ht="29" x14ac:dyDescent="0.35">
      <c r="A106" s="105" t="s">
        <v>639</v>
      </c>
      <c r="B106" s="105" t="s">
        <v>791</v>
      </c>
      <c r="C106" s="105" t="s">
        <v>622</v>
      </c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</row>
    <row r="107" spans="1:15" ht="29" x14ac:dyDescent="0.35">
      <c r="A107" s="105" t="s">
        <v>641</v>
      </c>
      <c r="B107" s="105" t="s">
        <v>777</v>
      </c>
      <c r="C107" s="105" t="s">
        <v>622</v>
      </c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</row>
    <row r="108" spans="1:15" ht="29" x14ac:dyDescent="0.35">
      <c r="A108" s="105" t="s">
        <v>643</v>
      </c>
      <c r="B108" s="105" t="s">
        <v>778</v>
      </c>
      <c r="C108" s="105" t="s">
        <v>622</v>
      </c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</row>
    <row r="109" spans="1:15" ht="29" x14ac:dyDescent="0.35">
      <c r="A109" s="105" t="s">
        <v>644</v>
      </c>
      <c r="B109" s="105" t="s">
        <v>779</v>
      </c>
      <c r="C109" s="105" t="s">
        <v>648</v>
      </c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</row>
    <row r="110" spans="1:15" ht="29" x14ac:dyDescent="0.35">
      <c r="A110" s="105" t="s">
        <v>645</v>
      </c>
      <c r="B110" s="105" t="s">
        <v>780</v>
      </c>
      <c r="C110" s="105" t="s">
        <v>622</v>
      </c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</row>
    <row r="111" spans="1:15" ht="29" x14ac:dyDescent="0.35">
      <c r="A111" s="105" t="s">
        <v>646</v>
      </c>
      <c r="B111" s="105" t="s">
        <v>781</v>
      </c>
      <c r="C111" s="105" t="s">
        <v>622</v>
      </c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</row>
    <row r="112" spans="1:15" ht="29" x14ac:dyDescent="0.35">
      <c r="A112" s="105" t="s">
        <v>649</v>
      </c>
      <c r="B112" s="105" t="s">
        <v>782</v>
      </c>
      <c r="C112" s="105" t="s">
        <v>622</v>
      </c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</row>
    <row r="113" spans="1:15" ht="29" x14ac:dyDescent="0.35">
      <c r="A113" s="105" t="s">
        <v>651</v>
      </c>
      <c r="B113" s="105" t="s">
        <v>783</v>
      </c>
      <c r="C113" s="105" t="s">
        <v>622</v>
      </c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</row>
    <row r="114" spans="1:15" ht="29" x14ac:dyDescent="0.35">
      <c r="A114" s="105" t="s">
        <v>653</v>
      </c>
      <c r="B114" s="105" t="s">
        <v>784</v>
      </c>
      <c r="C114" s="105" t="s">
        <v>751</v>
      </c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</row>
    <row r="115" spans="1:15" ht="29" x14ac:dyDescent="0.35">
      <c r="A115" s="105" t="s">
        <v>655</v>
      </c>
      <c r="B115" s="105" t="s">
        <v>785</v>
      </c>
      <c r="C115" s="105" t="s">
        <v>786</v>
      </c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</row>
    <row r="116" spans="1:15" ht="29" x14ac:dyDescent="0.35">
      <c r="A116" s="105" t="s">
        <v>658</v>
      </c>
      <c r="B116" s="105" t="s">
        <v>787</v>
      </c>
      <c r="C116" s="105" t="s">
        <v>788</v>
      </c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</row>
    <row r="117" spans="1:15" ht="29" x14ac:dyDescent="0.35">
      <c r="A117" s="105" t="s">
        <v>660</v>
      </c>
      <c r="B117" s="105" t="s">
        <v>706</v>
      </c>
      <c r="C117" s="105" t="s">
        <v>622</v>
      </c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</row>
    <row r="118" spans="1:15" ht="29" x14ac:dyDescent="0.35">
      <c r="A118" s="105" t="s">
        <v>662</v>
      </c>
      <c r="B118" s="105" t="s">
        <v>682</v>
      </c>
      <c r="C118" s="105" t="s">
        <v>683</v>
      </c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</row>
    <row r="119" spans="1:15" ht="29" x14ac:dyDescent="0.35">
      <c r="A119" s="105" t="s">
        <v>664</v>
      </c>
      <c r="B119" s="105" t="s">
        <v>685</v>
      </c>
      <c r="C119" s="105" t="s">
        <v>686</v>
      </c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</row>
    <row r="120" spans="1:15" ht="29" x14ac:dyDescent="0.35">
      <c r="A120" s="105" t="s">
        <v>666</v>
      </c>
      <c r="B120" s="105" t="s">
        <v>688</v>
      </c>
      <c r="C120" s="105" t="s">
        <v>686</v>
      </c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</row>
    <row r="121" spans="1:15" ht="29" x14ac:dyDescent="0.35">
      <c r="A121" s="105" t="s">
        <v>668</v>
      </c>
      <c r="B121" s="105" t="s">
        <v>690</v>
      </c>
      <c r="C121" s="105" t="s">
        <v>686</v>
      </c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</row>
    <row r="122" spans="1:15" ht="29" x14ac:dyDescent="0.35">
      <c r="A122" s="105" t="s">
        <v>670</v>
      </c>
      <c r="B122" s="105" t="s">
        <v>692</v>
      </c>
      <c r="C122" s="105" t="s">
        <v>686</v>
      </c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</row>
    <row r="123" spans="1:15" ht="29" x14ac:dyDescent="0.35">
      <c r="A123" s="105" t="s">
        <v>672</v>
      </c>
      <c r="B123" s="105" t="s">
        <v>694</v>
      </c>
      <c r="C123" s="105" t="s">
        <v>686</v>
      </c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</row>
    <row r="124" spans="1:15" ht="29" x14ac:dyDescent="0.35">
      <c r="A124" s="105" t="s">
        <v>674</v>
      </c>
      <c r="B124" s="105" t="s">
        <v>696</v>
      </c>
      <c r="C124" s="105" t="s">
        <v>686</v>
      </c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</row>
    <row r="125" spans="1:15" ht="29" x14ac:dyDescent="0.35">
      <c r="A125" s="105" t="s">
        <v>676</v>
      </c>
      <c r="B125" s="105" t="s">
        <v>698</v>
      </c>
      <c r="C125" s="105" t="s">
        <v>686</v>
      </c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</row>
    <row r="126" spans="1:15" x14ac:dyDescent="0.35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</row>
    <row r="127" spans="1:15" x14ac:dyDescent="0.35">
      <c r="A127" s="166" t="s">
        <v>709</v>
      </c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2"/>
    </row>
    <row r="128" spans="1:15" ht="58" x14ac:dyDescent="0.35">
      <c r="A128" s="108" t="s">
        <v>700</v>
      </c>
      <c r="B128" s="108" t="s">
        <v>701</v>
      </c>
      <c r="C128" s="108" t="s">
        <v>390</v>
      </c>
      <c r="D128" s="108" t="s">
        <v>351</v>
      </c>
      <c r="E128" s="108" t="s">
        <v>352</v>
      </c>
      <c r="F128" s="108" t="s">
        <v>292</v>
      </c>
      <c r="G128" s="108" t="s">
        <v>619</v>
      </c>
      <c r="H128" s="108" t="s">
        <v>353</v>
      </c>
      <c r="I128" s="108" t="s">
        <v>610</v>
      </c>
      <c r="J128" s="105"/>
      <c r="K128" s="105"/>
      <c r="L128" s="105"/>
      <c r="M128" s="105"/>
      <c r="N128" s="105"/>
      <c r="O128" s="105"/>
    </row>
    <row r="129" spans="1:15" x14ac:dyDescent="0.35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</row>
    <row r="130" spans="1:15" x14ac:dyDescent="0.35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</row>
    <row r="131" spans="1:15" x14ac:dyDescent="0.35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</row>
    <row r="132" spans="1:15" x14ac:dyDescent="0.35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</row>
    <row r="133" spans="1:15" x14ac:dyDescent="0.35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</row>
    <row r="134" spans="1:15" x14ac:dyDescent="0.35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</row>
    <row r="135" spans="1:15" x14ac:dyDescent="0.35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</row>
    <row r="136" spans="1:15" x14ac:dyDescent="0.35">
      <c r="A136" s="167" t="s">
        <v>710</v>
      </c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2"/>
    </row>
    <row r="137" spans="1:15" ht="72.5" x14ac:dyDescent="0.35">
      <c r="A137" s="108" t="s">
        <v>600</v>
      </c>
      <c r="B137" s="108"/>
      <c r="C137" s="108" t="s">
        <v>601</v>
      </c>
      <c r="D137" s="108"/>
      <c r="E137" s="108" t="s">
        <v>602</v>
      </c>
      <c r="F137" s="108"/>
      <c r="G137" s="108" t="s">
        <v>603</v>
      </c>
      <c r="H137" s="108"/>
      <c r="I137" s="108" t="s">
        <v>604</v>
      </c>
      <c r="J137" s="108"/>
      <c r="K137" s="108" t="s">
        <v>6</v>
      </c>
      <c r="L137" s="108"/>
      <c r="M137" s="108" t="s">
        <v>605</v>
      </c>
      <c r="N137" s="108"/>
      <c r="O137" s="108"/>
    </row>
    <row r="138" spans="1:15" ht="72.5" x14ac:dyDescent="0.35">
      <c r="A138" s="108" t="s">
        <v>606</v>
      </c>
      <c r="B138" s="108"/>
      <c r="C138" s="108" t="s">
        <v>607</v>
      </c>
      <c r="D138" s="108"/>
      <c r="E138" s="108" t="s">
        <v>608</v>
      </c>
      <c r="F138" s="108"/>
      <c r="G138" s="108" t="s">
        <v>609</v>
      </c>
      <c r="H138" s="108"/>
      <c r="I138" s="108" t="s">
        <v>610</v>
      </c>
      <c r="J138" s="109">
        <f>IFERROR(COUNTIF(E141:E169,"Yes")/(COUNTIF(E141:E169,"Yes")+COUNTIF(F141:F169,"No")),0)</f>
        <v>0</v>
      </c>
      <c r="K138" s="108"/>
      <c r="L138" s="108" t="str">
        <f>IF(J138&gt;=0.9,"Green",IF(J138&gt;=0.75,"Amber","Red"))</f>
        <v>Red</v>
      </c>
      <c r="M138" s="108"/>
      <c r="N138" s="108"/>
      <c r="O138" s="108"/>
    </row>
    <row r="139" spans="1:15" x14ac:dyDescent="0.35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</row>
    <row r="140" spans="1:15" ht="29" x14ac:dyDescent="0.35">
      <c r="A140" s="110" t="s">
        <v>611</v>
      </c>
      <c r="B140" s="110" t="s">
        <v>612</v>
      </c>
      <c r="C140" s="110" t="s">
        <v>613</v>
      </c>
      <c r="D140" s="110" t="s">
        <v>614</v>
      </c>
      <c r="E140" s="110" t="s">
        <v>81</v>
      </c>
      <c r="F140" s="110" t="s">
        <v>615</v>
      </c>
      <c r="G140" s="110" t="s">
        <v>616</v>
      </c>
      <c r="H140" s="110" t="s">
        <v>617</v>
      </c>
      <c r="I140" s="110" t="s">
        <v>618</v>
      </c>
      <c r="J140" s="110" t="s">
        <v>390</v>
      </c>
      <c r="K140" s="110" t="s">
        <v>351</v>
      </c>
      <c r="L140" s="110" t="s">
        <v>352</v>
      </c>
      <c r="M140" s="110" t="s">
        <v>292</v>
      </c>
      <c r="N140" s="110" t="s">
        <v>353</v>
      </c>
      <c r="O140" s="110" t="s">
        <v>619</v>
      </c>
    </row>
    <row r="141" spans="1:15" ht="29" x14ac:dyDescent="0.35">
      <c r="A141" s="105" t="s">
        <v>620</v>
      </c>
      <c r="B141" s="105" t="s">
        <v>770</v>
      </c>
      <c r="C141" s="105" t="s">
        <v>622</v>
      </c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</row>
    <row r="142" spans="1:15" x14ac:dyDescent="0.35">
      <c r="A142" s="105" t="s">
        <v>623</v>
      </c>
      <c r="B142" s="105" t="s">
        <v>771</v>
      </c>
      <c r="C142" s="105" t="s">
        <v>622</v>
      </c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</row>
    <row r="143" spans="1:15" ht="29" x14ac:dyDescent="0.35">
      <c r="A143" s="105" t="s">
        <v>625</v>
      </c>
      <c r="B143" s="105" t="s">
        <v>772</v>
      </c>
      <c r="C143" s="105" t="s">
        <v>622</v>
      </c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</row>
    <row r="144" spans="1:15" ht="29" x14ac:dyDescent="0.35">
      <c r="A144" s="105" t="s">
        <v>627</v>
      </c>
      <c r="B144" s="105" t="s">
        <v>773</v>
      </c>
      <c r="C144" s="105" t="s">
        <v>743</v>
      </c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</row>
    <row r="145" spans="1:15" ht="29" x14ac:dyDescent="0.35">
      <c r="A145" s="105" t="s">
        <v>629</v>
      </c>
      <c r="B145" s="105" t="s">
        <v>774</v>
      </c>
      <c r="C145" s="105" t="s">
        <v>743</v>
      </c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</row>
    <row r="146" spans="1:15" ht="29" x14ac:dyDescent="0.35">
      <c r="A146" s="105" t="s">
        <v>631</v>
      </c>
      <c r="B146" s="105" t="s">
        <v>775</v>
      </c>
      <c r="C146" s="105" t="s">
        <v>622</v>
      </c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</row>
    <row r="147" spans="1:15" ht="29" x14ac:dyDescent="0.35">
      <c r="A147" s="105" t="s">
        <v>633</v>
      </c>
      <c r="B147" s="105" t="s">
        <v>776</v>
      </c>
      <c r="C147" s="105" t="s">
        <v>746</v>
      </c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</row>
    <row r="148" spans="1:15" ht="29" x14ac:dyDescent="0.35">
      <c r="A148" s="105" t="s">
        <v>635</v>
      </c>
      <c r="B148" s="105" t="s">
        <v>789</v>
      </c>
      <c r="C148" s="105" t="s">
        <v>748</v>
      </c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</row>
    <row r="149" spans="1:15" x14ac:dyDescent="0.35">
      <c r="A149" s="105" t="s">
        <v>637</v>
      </c>
      <c r="B149" s="105" t="s">
        <v>790</v>
      </c>
      <c r="C149" s="105" t="s">
        <v>743</v>
      </c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</row>
    <row r="150" spans="1:15" ht="29" x14ac:dyDescent="0.35">
      <c r="A150" s="105" t="s">
        <v>639</v>
      </c>
      <c r="B150" s="105" t="s">
        <v>791</v>
      </c>
      <c r="C150" s="105" t="s">
        <v>622</v>
      </c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</row>
    <row r="151" spans="1:15" ht="29" x14ac:dyDescent="0.35">
      <c r="A151" s="105" t="s">
        <v>641</v>
      </c>
      <c r="B151" s="105" t="s">
        <v>777</v>
      </c>
      <c r="C151" s="105" t="s">
        <v>622</v>
      </c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</row>
    <row r="152" spans="1:15" ht="29" x14ac:dyDescent="0.35">
      <c r="A152" s="105" t="s">
        <v>643</v>
      </c>
      <c r="B152" s="105" t="s">
        <v>778</v>
      </c>
      <c r="C152" s="105" t="s">
        <v>622</v>
      </c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</row>
    <row r="153" spans="1:15" ht="29" x14ac:dyDescent="0.35">
      <c r="A153" s="105" t="s">
        <v>644</v>
      </c>
      <c r="B153" s="105" t="s">
        <v>779</v>
      </c>
      <c r="C153" s="105" t="s">
        <v>648</v>
      </c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</row>
    <row r="154" spans="1:15" ht="29" x14ac:dyDescent="0.35">
      <c r="A154" s="105" t="s">
        <v>645</v>
      </c>
      <c r="B154" s="105" t="s">
        <v>780</v>
      </c>
      <c r="C154" s="105" t="s">
        <v>622</v>
      </c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</row>
    <row r="155" spans="1:15" ht="29" x14ac:dyDescent="0.35">
      <c r="A155" s="105" t="s">
        <v>646</v>
      </c>
      <c r="B155" s="105" t="s">
        <v>781</v>
      </c>
      <c r="C155" s="105" t="s">
        <v>622</v>
      </c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</row>
    <row r="156" spans="1:15" ht="29" x14ac:dyDescent="0.35">
      <c r="A156" s="105" t="s">
        <v>649</v>
      </c>
      <c r="B156" s="105" t="s">
        <v>782</v>
      </c>
      <c r="C156" s="105" t="s">
        <v>622</v>
      </c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</row>
    <row r="157" spans="1:15" ht="29" x14ac:dyDescent="0.35">
      <c r="A157" s="105" t="s">
        <v>651</v>
      </c>
      <c r="B157" s="105" t="s">
        <v>783</v>
      </c>
      <c r="C157" s="105" t="s">
        <v>622</v>
      </c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</row>
    <row r="158" spans="1:15" ht="29" x14ac:dyDescent="0.35">
      <c r="A158" s="105" t="s">
        <v>653</v>
      </c>
      <c r="B158" s="105" t="s">
        <v>784</v>
      </c>
      <c r="C158" s="105" t="s">
        <v>751</v>
      </c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</row>
    <row r="159" spans="1:15" ht="29" x14ac:dyDescent="0.35">
      <c r="A159" s="105" t="s">
        <v>655</v>
      </c>
      <c r="B159" s="105" t="s">
        <v>785</v>
      </c>
      <c r="C159" s="105" t="s">
        <v>786</v>
      </c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</row>
    <row r="160" spans="1:15" ht="29" x14ac:dyDescent="0.35">
      <c r="A160" s="105" t="s">
        <v>658</v>
      </c>
      <c r="B160" s="105" t="s">
        <v>787</v>
      </c>
      <c r="C160" s="105" t="s">
        <v>788</v>
      </c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</row>
    <row r="161" spans="1:15" ht="29" x14ac:dyDescent="0.35">
      <c r="A161" s="105" t="s">
        <v>660</v>
      </c>
      <c r="B161" s="105" t="s">
        <v>706</v>
      </c>
      <c r="C161" s="105" t="s">
        <v>622</v>
      </c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</row>
    <row r="162" spans="1:15" ht="29" x14ac:dyDescent="0.35">
      <c r="A162" s="105" t="s">
        <v>662</v>
      </c>
      <c r="B162" s="105" t="s">
        <v>682</v>
      </c>
      <c r="C162" s="105" t="s">
        <v>683</v>
      </c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</row>
    <row r="163" spans="1:15" ht="29" x14ac:dyDescent="0.35">
      <c r="A163" s="105" t="s">
        <v>664</v>
      </c>
      <c r="B163" s="105" t="s">
        <v>685</v>
      </c>
      <c r="C163" s="105" t="s">
        <v>686</v>
      </c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</row>
    <row r="164" spans="1:15" ht="29" x14ac:dyDescent="0.35">
      <c r="A164" s="105" t="s">
        <v>666</v>
      </c>
      <c r="B164" s="105" t="s">
        <v>688</v>
      </c>
      <c r="C164" s="105" t="s">
        <v>686</v>
      </c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</row>
    <row r="165" spans="1:15" ht="29" x14ac:dyDescent="0.35">
      <c r="A165" s="105" t="s">
        <v>668</v>
      </c>
      <c r="B165" s="105" t="s">
        <v>690</v>
      </c>
      <c r="C165" s="105" t="s">
        <v>686</v>
      </c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</row>
    <row r="166" spans="1:15" ht="29" x14ac:dyDescent="0.35">
      <c r="A166" s="105" t="s">
        <v>670</v>
      </c>
      <c r="B166" s="105" t="s">
        <v>692</v>
      </c>
      <c r="C166" s="105" t="s">
        <v>686</v>
      </c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</row>
    <row r="167" spans="1:15" ht="29" x14ac:dyDescent="0.35">
      <c r="A167" s="105" t="s">
        <v>672</v>
      </c>
      <c r="B167" s="105" t="s">
        <v>694</v>
      </c>
      <c r="C167" s="105" t="s">
        <v>686</v>
      </c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</row>
    <row r="168" spans="1:15" ht="29" x14ac:dyDescent="0.35">
      <c r="A168" s="105" t="s">
        <v>674</v>
      </c>
      <c r="B168" s="105" t="s">
        <v>696</v>
      </c>
      <c r="C168" s="105" t="s">
        <v>686</v>
      </c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</row>
    <row r="169" spans="1:15" ht="29" x14ac:dyDescent="0.35">
      <c r="A169" s="105" t="s">
        <v>676</v>
      </c>
      <c r="B169" s="105" t="s">
        <v>698</v>
      </c>
      <c r="C169" s="105" t="s">
        <v>686</v>
      </c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</row>
    <row r="170" spans="1:15" x14ac:dyDescent="0.35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</row>
    <row r="171" spans="1:15" x14ac:dyDescent="0.35">
      <c r="A171" s="166" t="s">
        <v>711</v>
      </c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2"/>
    </row>
    <row r="172" spans="1:15" ht="58" x14ac:dyDescent="0.35">
      <c r="A172" s="108" t="s">
        <v>700</v>
      </c>
      <c r="B172" s="108" t="s">
        <v>701</v>
      </c>
      <c r="C172" s="108" t="s">
        <v>390</v>
      </c>
      <c r="D172" s="108" t="s">
        <v>351</v>
      </c>
      <c r="E172" s="108" t="s">
        <v>352</v>
      </c>
      <c r="F172" s="108" t="s">
        <v>292</v>
      </c>
      <c r="G172" s="108" t="s">
        <v>619</v>
      </c>
      <c r="H172" s="108" t="s">
        <v>353</v>
      </c>
      <c r="I172" s="108" t="s">
        <v>610</v>
      </c>
      <c r="J172" s="105"/>
      <c r="K172" s="105"/>
      <c r="L172" s="105"/>
      <c r="M172" s="105"/>
      <c r="N172" s="105"/>
      <c r="O172" s="105"/>
    </row>
    <row r="173" spans="1:15" x14ac:dyDescent="0.35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</row>
    <row r="174" spans="1:15" x14ac:dyDescent="0.35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</row>
    <row r="175" spans="1:15" x14ac:dyDescent="0.3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</row>
    <row r="176" spans="1:15" x14ac:dyDescent="0.35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</row>
    <row r="177" spans="1:15" x14ac:dyDescent="0.35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</row>
    <row r="178" spans="1:15" x14ac:dyDescent="0.35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</row>
    <row r="179" spans="1:15" x14ac:dyDescent="0.35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</row>
    <row r="180" spans="1:15" x14ac:dyDescent="0.35">
      <c r="A180" s="167" t="s">
        <v>712</v>
      </c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2"/>
    </row>
    <row r="181" spans="1:15" ht="72.5" x14ac:dyDescent="0.35">
      <c r="A181" s="108" t="s">
        <v>600</v>
      </c>
      <c r="B181" s="108"/>
      <c r="C181" s="108" t="s">
        <v>601</v>
      </c>
      <c r="D181" s="108"/>
      <c r="E181" s="108" t="s">
        <v>602</v>
      </c>
      <c r="F181" s="108"/>
      <c r="G181" s="108" t="s">
        <v>603</v>
      </c>
      <c r="H181" s="108"/>
      <c r="I181" s="108" t="s">
        <v>604</v>
      </c>
      <c r="J181" s="108"/>
      <c r="K181" s="108" t="s">
        <v>6</v>
      </c>
      <c r="L181" s="108"/>
      <c r="M181" s="108" t="s">
        <v>605</v>
      </c>
      <c r="N181" s="108"/>
      <c r="O181" s="108"/>
    </row>
    <row r="182" spans="1:15" ht="72.5" x14ac:dyDescent="0.35">
      <c r="A182" s="108" t="s">
        <v>606</v>
      </c>
      <c r="B182" s="108"/>
      <c r="C182" s="108" t="s">
        <v>607</v>
      </c>
      <c r="D182" s="108"/>
      <c r="E182" s="108" t="s">
        <v>608</v>
      </c>
      <c r="F182" s="108"/>
      <c r="G182" s="108" t="s">
        <v>609</v>
      </c>
      <c r="H182" s="108"/>
      <c r="I182" s="108" t="s">
        <v>610</v>
      </c>
      <c r="J182" s="109">
        <f>IFERROR(COUNTIF(E185:E213,"Yes")/(COUNTIF(E185:E213,"Yes")+COUNTIF(F185:F213,"No")),0)</f>
        <v>0</v>
      </c>
      <c r="K182" s="108"/>
      <c r="L182" s="108" t="str">
        <f>IF(J182&gt;=0.9,"Green",IF(J182&gt;=0.75,"Amber","Red"))</f>
        <v>Red</v>
      </c>
      <c r="M182" s="108"/>
      <c r="N182" s="108"/>
      <c r="O182" s="108"/>
    </row>
    <row r="183" spans="1:15" x14ac:dyDescent="0.35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</row>
    <row r="184" spans="1:15" ht="29" x14ac:dyDescent="0.35">
      <c r="A184" s="110" t="s">
        <v>611</v>
      </c>
      <c r="B184" s="110" t="s">
        <v>612</v>
      </c>
      <c r="C184" s="110" t="s">
        <v>613</v>
      </c>
      <c r="D184" s="110" t="s">
        <v>614</v>
      </c>
      <c r="E184" s="110" t="s">
        <v>81</v>
      </c>
      <c r="F184" s="110" t="s">
        <v>615</v>
      </c>
      <c r="G184" s="110" t="s">
        <v>616</v>
      </c>
      <c r="H184" s="110" t="s">
        <v>617</v>
      </c>
      <c r="I184" s="110" t="s">
        <v>618</v>
      </c>
      <c r="J184" s="110" t="s">
        <v>390</v>
      </c>
      <c r="K184" s="110" t="s">
        <v>351</v>
      </c>
      <c r="L184" s="110" t="s">
        <v>352</v>
      </c>
      <c r="M184" s="110" t="s">
        <v>292</v>
      </c>
      <c r="N184" s="110" t="s">
        <v>353</v>
      </c>
      <c r="O184" s="110" t="s">
        <v>619</v>
      </c>
    </row>
    <row r="185" spans="1:15" ht="29" x14ac:dyDescent="0.35">
      <c r="A185" s="105" t="s">
        <v>620</v>
      </c>
      <c r="B185" s="105" t="s">
        <v>770</v>
      </c>
      <c r="C185" s="105" t="s">
        <v>622</v>
      </c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</row>
    <row r="186" spans="1:15" x14ac:dyDescent="0.35">
      <c r="A186" s="105" t="s">
        <v>623</v>
      </c>
      <c r="B186" s="105" t="s">
        <v>771</v>
      </c>
      <c r="C186" s="105" t="s">
        <v>622</v>
      </c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</row>
    <row r="187" spans="1:15" ht="29" x14ac:dyDescent="0.35">
      <c r="A187" s="105" t="s">
        <v>625</v>
      </c>
      <c r="B187" s="105" t="s">
        <v>772</v>
      </c>
      <c r="C187" s="105" t="s">
        <v>622</v>
      </c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</row>
    <row r="188" spans="1:15" ht="29" x14ac:dyDescent="0.35">
      <c r="A188" s="105" t="s">
        <v>627</v>
      </c>
      <c r="B188" s="105" t="s">
        <v>773</v>
      </c>
      <c r="C188" s="105" t="s">
        <v>743</v>
      </c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</row>
    <row r="189" spans="1:15" ht="29" x14ac:dyDescent="0.35">
      <c r="A189" s="105" t="s">
        <v>629</v>
      </c>
      <c r="B189" s="105" t="s">
        <v>774</v>
      </c>
      <c r="C189" s="105" t="s">
        <v>743</v>
      </c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</row>
    <row r="190" spans="1:15" ht="29" x14ac:dyDescent="0.35">
      <c r="A190" s="105" t="s">
        <v>631</v>
      </c>
      <c r="B190" s="105" t="s">
        <v>775</v>
      </c>
      <c r="C190" s="105" t="s">
        <v>622</v>
      </c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</row>
    <row r="191" spans="1:15" ht="29" x14ac:dyDescent="0.35">
      <c r="A191" s="105" t="s">
        <v>633</v>
      </c>
      <c r="B191" s="105" t="s">
        <v>776</v>
      </c>
      <c r="C191" s="105" t="s">
        <v>746</v>
      </c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</row>
    <row r="192" spans="1:15" ht="29" x14ac:dyDescent="0.35">
      <c r="A192" s="105" t="s">
        <v>635</v>
      </c>
      <c r="B192" s="105" t="s">
        <v>789</v>
      </c>
      <c r="C192" s="105" t="s">
        <v>748</v>
      </c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</row>
    <row r="193" spans="1:15" x14ac:dyDescent="0.35">
      <c r="A193" s="105" t="s">
        <v>637</v>
      </c>
      <c r="B193" s="105" t="s">
        <v>790</v>
      </c>
      <c r="C193" s="105" t="s">
        <v>743</v>
      </c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</row>
    <row r="194" spans="1:15" ht="29" x14ac:dyDescent="0.35">
      <c r="A194" s="105" t="s">
        <v>639</v>
      </c>
      <c r="B194" s="105" t="s">
        <v>791</v>
      </c>
      <c r="C194" s="105" t="s">
        <v>622</v>
      </c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</row>
    <row r="195" spans="1:15" ht="29" x14ac:dyDescent="0.35">
      <c r="A195" s="105" t="s">
        <v>641</v>
      </c>
      <c r="B195" s="105" t="s">
        <v>777</v>
      </c>
      <c r="C195" s="105" t="s">
        <v>622</v>
      </c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</row>
    <row r="196" spans="1:15" ht="29" x14ac:dyDescent="0.35">
      <c r="A196" s="105" t="s">
        <v>643</v>
      </c>
      <c r="B196" s="105" t="s">
        <v>778</v>
      </c>
      <c r="C196" s="105" t="s">
        <v>622</v>
      </c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</row>
    <row r="197" spans="1:15" ht="29" x14ac:dyDescent="0.35">
      <c r="A197" s="105" t="s">
        <v>644</v>
      </c>
      <c r="B197" s="105" t="s">
        <v>779</v>
      </c>
      <c r="C197" s="105" t="s">
        <v>648</v>
      </c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</row>
    <row r="198" spans="1:15" ht="29" x14ac:dyDescent="0.35">
      <c r="A198" s="105" t="s">
        <v>645</v>
      </c>
      <c r="B198" s="105" t="s">
        <v>780</v>
      </c>
      <c r="C198" s="105" t="s">
        <v>622</v>
      </c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</row>
    <row r="199" spans="1:15" ht="29" x14ac:dyDescent="0.35">
      <c r="A199" s="105" t="s">
        <v>646</v>
      </c>
      <c r="B199" s="105" t="s">
        <v>781</v>
      </c>
      <c r="C199" s="105" t="s">
        <v>622</v>
      </c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</row>
    <row r="200" spans="1:15" ht="29" x14ac:dyDescent="0.35">
      <c r="A200" s="105" t="s">
        <v>649</v>
      </c>
      <c r="B200" s="105" t="s">
        <v>782</v>
      </c>
      <c r="C200" s="105" t="s">
        <v>622</v>
      </c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</row>
    <row r="201" spans="1:15" ht="29" x14ac:dyDescent="0.35">
      <c r="A201" s="105" t="s">
        <v>651</v>
      </c>
      <c r="B201" s="105" t="s">
        <v>783</v>
      </c>
      <c r="C201" s="105" t="s">
        <v>622</v>
      </c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</row>
    <row r="202" spans="1:15" ht="29" x14ac:dyDescent="0.35">
      <c r="A202" s="105" t="s">
        <v>653</v>
      </c>
      <c r="B202" s="105" t="s">
        <v>784</v>
      </c>
      <c r="C202" s="105" t="s">
        <v>751</v>
      </c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</row>
    <row r="203" spans="1:15" ht="29" x14ac:dyDescent="0.35">
      <c r="A203" s="105" t="s">
        <v>655</v>
      </c>
      <c r="B203" s="105" t="s">
        <v>785</v>
      </c>
      <c r="C203" s="105" t="s">
        <v>786</v>
      </c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</row>
    <row r="204" spans="1:15" ht="29" x14ac:dyDescent="0.35">
      <c r="A204" s="105" t="s">
        <v>658</v>
      </c>
      <c r="B204" s="105" t="s">
        <v>787</v>
      </c>
      <c r="C204" s="105" t="s">
        <v>788</v>
      </c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</row>
    <row r="205" spans="1:15" ht="29" x14ac:dyDescent="0.35">
      <c r="A205" s="105" t="s">
        <v>660</v>
      </c>
      <c r="B205" s="105" t="s">
        <v>706</v>
      </c>
      <c r="C205" s="105" t="s">
        <v>622</v>
      </c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</row>
    <row r="206" spans="1:15" ht="29" x14ac:dyDescent="0.35">
      <c r="A206" s="105" t="s">
        <v>662</v>
      </c>
      <c r="B206" s="105" t="s">
        <v>682</v>
      </c>
      <c r="C206" s="105" t="s">
        <v>683</v>
      </c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</row>
    <row r="207" spans="1:15" ht="29" x14ac:dyDescent="0.35">
      <c r="A207" s="105" t="s">
        <v>664</v>
      </c>
      <c r="B207" s="105" t="s">
        <v>685</v>
      </c>
      <c r="C207" s="105" t="s">
        <v>686</v>
      </c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</row>
    <row r="208" spans="1:15" ht="29" x14ac:dyDescent="0.35">
      <c r="A208" s="105" t="s">
        <v>666</v>
      </c>
      <c r="B208" s="105" t="s">
        <v>688</v>
      </c>
      <c r="C208" s="105" t="s">
        <v>686</v>
      </c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</row>
    <row r="209" spans="1:15" ht="29" x14ac:dyDescent="0.35">
      <c r="A209" s="105" t="s">
        <v>668</v>
      </c>
      <c r="B209" s="105" t="s">
        <v>690</v>
      </c>
      <c r="C209" s="105" t="s">
        <v>686</v>
      </c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</row>
    <row r="210" spans="1:15" ht="29" x14ac:dyDescent="0.35">
      <c r="A210" s="105" t="s">
        <v>670</v>
      </c>
      <c r="B210" s="105" t="s">
        <v>692</v>
      </c>
      <c r="C210" s="105" t="s">
        <v>686</v>
      </c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</row>
    <row r="211" spans="1:15" ht="29" x14ac:dyDescent="0.35">
      <c r="A211" s="105" t="s">
        <v>672</v>
      </c>
      <c r="B211" s="105" t="s">
        <v>694</v>
      </c>
      <c r="C211" s="105" t="s">
        <v>686</v>
      </c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</row>
    <row r="212" spans="1:15" ht="29" x14ac:dyDescent="0.35">
      <c r="A212" s="105" t="s">
        <v>674</v>
      </c>
      <c r="B212" s="105" t="s">
        <v>696</v>
      </c>
      <c r="C212" s="105" t="s">
        <v>686</v>
      </c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</row>
    <row r="213" spans="1:15" ht="29" x14ac:dyDescent="0.35">
      <c r="A213" s="105" t="s">
        <v>676</v>
      </c>
      <c r="B213" s="105" t="s">
        <v>698</v>
      </c>
      <c r="C213" s="105" t="s">
        <v>686</v>
      </c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</row>
    <row r="214" spans="1:15" x14ac:dyDescent="0.35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</row>
    <row r="215" spans="1:15" x14ac:dyDescent="0.35">
      <c r="A215" s="166" t="s">
        <v>713</v>
      </c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2"/>
    </row>
    <row r="216" spans="1:15" ht="58" x14ac:dyDescent="0.35">
      <c r="A216" s="108" t="s">
        <v>700</v>
      </c>
      <c r="B216" s="108" t="s">
        <v>701</v>
      </c>
      <c r="C216" s="108" t="s">
        <v>390</v>
      </c>
      <c r="D216" s="108" t="s">
        <v>351</v>
      </c>
      <c r="E216" s="108" t="s">
        <v>352</v>
      </c>
      <c r="F216" s="108" t="s">
        <v>292</v>
      </c>
      <c r="G216" s="108" t="s">
        <v>619</v>
      </c>
      <c r="H216" s="108" t="s">
        <v>353</v>
      </c>
      <c r="I216" s="108" t="s">
        <v>610</v>
      </c>
      <c r="J216" s="105"/>
      <c r="K216" s="105"/>
      <c r="L216" s="105"/>
      <c r="M216" s="105"/>
      <c r="N216" s="105"/>
      <c r="O216" s="105"/>
    </row>
    <row r="217" spans="1:15" x14ac:dyDescent="0.35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</row>
    <row r="218" spans="1:15" x14ac:dyDescent="0.35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</row>
    <row r="219" spans="1:15" x14ac:dyDescent="0.35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</row>
    <row r="220" spans="1:15" x14ac:dyDescent="0.35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</row>
    <row r="221" spans="1:15" x14ac:dyDescent="0.35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</row>
    <row r="222" spans="1:15" x14ac:dyDescent="0.35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</row>
    <row r="223" spans="1:15" x14ac:dyDescent="0.35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</row>
    <row r="224" spans="1:15" x14ac:dyDescent="0.35">
      <c r="A224" s="167" t="s">
        <v>714</v>
      </c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2"/>
    </row>
    <row r="225" spans="1:15" ht="72.5" x14ac:dyDescent="0.35">
      <c r="A225" s="108" t="s">
        <v>600</v>
      </c>
      <c r="B225" s="108"/>
      <c r="C225" s="108" t="s">
        <v>601</v>
      </c>
      <c r="D225" s="108"/>
      <c r="E225" s="108" t="s">
        <v>602</v>
      </c>
      <c r="F225" s="108"/>
      <c r="G225" s="108" t="s">
        <v>603</v>
      </c>
      <c r="H225" s="108"/>
      <c r="I225" s="108" t="s">
        <v>604</v>
      </c>
      <c r="J225" s="108"/>
      <c r="K225" s="108" t="s">
        <v>6</v>
      </c>
      <c r="L225" s="108"/>
      <c r="M225" s="108" t="s">
        <v>605</v>
      </c>
      <c r="N225" s="108"/>
      <c r="O225" s="108"/>
    </row>
    <row r="226" spans="1:15" ht="72.5" x14ac:dyDescent="0.35">
      <c r="A226" s="108" t="s">
        <v>606</v>
      </c>
      <c r="B226" s="108"/>
      <c r="C226" s="108" t="s">
        <v>607</v>
      </c>
      <c r="D226" s="108"/>
      <c r="E226" s="108" t="s">
        <v>608</v>
      </c>
      <c r="F226" s="108"/>
      <c r="G226" s="108" t="s">
        <v>609</v>
      </c>
      <c r="H226" s="108"/>
      <c r="I226" s="108" t="s">
        <v>610</v>
      </c>
      <c r="J226" s="109">
        <f>IFERROR(COUNTIF(E229:E257,"Yes")/(COUNTIF(E229:E257,"Yes")+COUNTIF(F229:F257,"No")),0)</f>
        <v>0</v>
      </c>
      <c r="K226" s="108"/>
      <c r="L226" s="108" t="str">
        <f>IF(J226&gt;=0.9,"Green",IF(J226&gt;=0.75,"Amber","Red"))</f>
        <v>Red</v>
      </c>
      <c r="M226" s="108"/>
      <c r="N226" s="108"/>
      <c r="O226" s="108"/>
    </row>
    <row r="227" spans="1:15" x14ac:dyDescent="0.35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</row>
    <row r="228" spans="1:15" ht="29" x14ac:dyDescent="0.35">
      <c r="A228" s="110" t="s">
        <v>611</v>
      </c>
      <c r="B228" s="110" t="s">
        <v>612</v>
      </c>
      <c r="C228" s="110" t="s">
        <v>613</v>
      </c>
      <c r="D228" s="110" t="s">
        <v>614</v>
      </c>
      <c r="E228" s="110" t="s">
        <v>81</v>
      </c>
      <c r="F228" s="110" t="s">
        <v>615</v>
      </c>
      <c r="G228" s="110" t="s">
        <v>616</v>
      </c>
      <c r="H228" s="110" t="s">
        <v>617</v>
      </c>
      <c r="I228" s="110" t="s">
        <v>618</v>
      </c>
      <c r="J228" s="110" t="s">
        <v>390</v>
      </c>
      <c r="K228" s="110" t="s">
        <v>351</v>
      </c>
      <c r="L228" s="110" t="s">
        <v>352</v>
      </c>
      <c r="M228" s="110" t="s">
        <v>292</v>
      </c>
      <c r="N228" s="110" t="s">
        <v>353</v>
      </c>
      <c r="O228" s="110" t="s">
        <v>619</v>
      </c>
    </row>
    <row r="229" spans="1:15" ht="29" x14ac:dyDescent="0.35">
      <c r="A229" s="105" t="s">
        <v>620</v>
      </c>
      <c r="B229" s="105" t="s">
        <v>770</v>
      </c>
      <c r="C229" s="105" t="s">
        <v>622</v>
      </c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</row>
    <row r="230" spans="1:15" x14ac:dyDescent="0.35">
      <c r="A230" s="105" t="s">
        <v>623</v>
      </c>
      <c r="B230" s="105" t="s">
        <v>771</v>
      </c>
      <c r="C230" s="105" t="s">
        <v>622</v>
      </c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</row>
    <row r="231" spans="1:15" ht="29" x14ac:dyDescent="0.35">
      <c r="A231" s="105" t="s">
        <v>625</v>
      </c>
      <c r="B231" s="105" t="s">
        <v>772</v>
      </c>
      <c r="C231" s="105" t="s">
        <v>622</v>
      </c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</row>
    <row r="232" spans="1:15" ht="29" x14ac:dyDescent="0.35">
      <c r="A232" s="105" t="s">
        <v>627</v>
      </c>
      <c r="B232" s="105" t="s">
        <v>773</v>
      </c>
      <c r="C232" s="105" t="s">
        <v>743</v>
      </c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</row>
    <row r="233" spans="1:15" ht="29" x14ac:dyDescent="0.35">
      <c r="A233" s="105" t="s">
        <v>629</v>
      </c>
      <c r="B233" s="105" t="s">
        <v>774</v>
      </c>
      <c r="C233" s="105" t="s">
        <v>743</v>
      </c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</row>
    <row r="234" spans="1:15" ht="29" x14ac:dyDescent="0.35">
      <c r="A234" s="105" t="s">
        <v>631</v>
      </c>
      <c r="B234" s="105" t="s">
        <v>775</v>
      </c>
      <c r="C234" s="105" t="s">
        <v>622</v>
      </c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</row>
    <row r="235" spans="1:15" ht="29" x14ac:dyDescent="0.35">
      <c r="A235" s="105" t="s">
        <v>633</v>
      </c>
      <c r="B235" s="105" t="s">
        <v>776</v>
      </c>
      <c r="C235" s="105" t="s">
        <v>746</v>
      </c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</row>
    <row r="236" spans="1:15" ht="29" x14ac:dyDescent="0.35">
      <c r="A236" s="105" t="s">
        <v>635</v>
      </c>
      <c r="B236" s="105" t="s">
        <v>789</v>
      </c>
      <c r="C236" s="105" t="s">
        <v>748</v>
      </c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</row>
    <row r="237" spans="1:15" x14ac:dyDescent="0.35">
      <c r="A237" s="105" t="s">
        <v>637</v>
      </c>
      <c r="B237" s="105" t="s">
        <v>790</v>
      </c>
      <c r="C237" s="105" t="s">
        <v>743</v>
      </c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</row>
    <row r="238" spans="1:15" ht="29" x14ac:dyDescent="0.35">
      <c r="A238" s="105" t="s">
        <v>639</v>
      </c>
      <c r="B238" s="105" t="s">
        <v>791</v>
      </c>
      <c r="C238" s="105" t="s">
        <v>622</v>
      </c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</row>
    <row r="239" spans="1:15" ht="29" x14ac:dyDescent="0.35">
      <c r="A239" s="105" t="s">
        <v>641</v>
      </c>
      <c r="B239" s="105" t="s">
        <v>777</v>
      </c>
      <c r="C239" s="105" t="s">
        <v>622</v>
      </c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</row>
    <row r="240" spans="1:15" ht="29" x14ac:dyDescent="0.35">
      <c r="A240" s="105" t="s">
        <v>643</v>
      </c>
      <c r="B240" s="105" t="s">
        <v>778</v>
      </c>
      <c r="C240" s="105" t="s">
        <v>622</v>
      </c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</row>
    <row r="241" spans="1:15" ht="29" x14ac:dyDescent="0.35">
      <c r="A241" s="105" t="s">
        <v>644</v>
      </c>
      <c r="B241" s="105" t="s">
        <v>779</v>
      </c>
      <c r="C241" s="105" t="s">
        <v>648</v>
      </c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</row>
    <row r="242" spans="1:15" ht="29" x14ac:dyDescent="0.35">
      <c r="A242" s="105" t="s">
        <v>645</v>
      </c>
      <c r="B242" s="105" t="s">
        <v>780</v>
      </c>
      <c r="C242" s="105" t="s">
        <v>622</v>
      </c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</row>
    <row r="243" spans="1:15" ht="29" x14ac:dyDescent="0.35">
      <c r="A243" s="105" t="s">
        <v>646</v>
      </c>
      <c r="B243" s="105" t="s">
        <v>781</v>
      </c>
      <c r="C243" s="105" t="s">
        <v>622</v>
      </c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</row>
    <row r="244" spans="1:15" ht="29" x14ac:dyDescent="0.35">
      <c r="A244" s="105" t="s">
        <v>649</v>
      </c>
      <c r="B244" s="105" t="s">
        <v>782</v>
      </c>
      <c r="C244" s="105" t="s">
        <v>622</v>
      </c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</row>
    <row r="245" spans="1:15" ht="29" x14ac:dyDescent="0.35">
      <c r="A245" s="105" t="s">
        <v>651</v>
      </c>
      <c r="B245" s="105" t="s">
        <v>783</v>
      </c>
      <c r="C245" s="105" t="s">
        <v>622</v>
      </c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</row>
    <row r="246" spans="1:15" ht="29" x14ac:dyDescent="0.35">
      <c r="A246" s="105" t="s">
        <v>653</v>
      </c>
      <c r="B246" s="105" t="s">
        <v>784</v>
      </c>
      <c r="C246" s="105" t="s">
        <v>751</v>
      </c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</row>
    <row r="247" spans="1:15" ht="29" x14ac:dyDescent="0.35">
      <c r="A247" s="105" t="s">
        <v>655</v>
      </c>
      <c r="B247" s="105" t="s">
        <v>785</v>
      </c>
      <c r="C247" s="105" t="s">
        <v>786</v>
      </c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</row>
    <row r="248" spans="1:15" ht="29" x14ac:dyDescent="0.35">
      <c r="A248" s="105" t="s">
        <v>658</v>
      </c>
      <c r="B248" s="105" t="s">
        <v>787</v>
      </c>
      <c r="C248" s="105" t="s">
        <v>788</v>
      </c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</row>
    <row r="249" spans="1:15" ht="29" x14ac:dyDescent="0.35">
      <c r="A249" s="105" t="s">
        <v>660</v>
      </c>
      <c r="B249" s="105" t="s">
        <v>706</v>
      </c>
      <c r="C249" s="105" t="s">
        <v>622</v>
      </c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</row>
    <row r="250" spans="1:15" ht="29" x14ac:dyDescent="0.35">
      <c r="A250" s="105" t="s">
        <v>662</v>
      </c>
      <c r="B250" s="105" t="s">
        <v>682</v>
      </c>
      <c r="C250" s="105" t="s">
        <v>683</v>
      </c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</row>
    <row r="251" spans="1:15" ht="29" x14ac:dyDescent="0.35">
      <c r="A251" s="105" t="s">
        <v>664</v>
      </c>
      <c r="B251" s="105" t="s">
        <v>685</v>
      </c>
      <c r="C251" s="105" t="s">
        <v>686</v>
      </c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</row>
    <row r="252" spans="1:15" ht="29" x14ac:dyDescent="0.35">
      <c r="A252" s="105" t="s">
        <v>666</v>
      </c>
      <c r="B252" s="105" t="s">
        <v>688</v>
      </c>
      <c r="C252" s="105" t="s">
        <v>686</v>
      </c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</row>
    <row r="253" spans="1:15" ht="29" x14ac:dyDescent="0.35">
      <c r="A253" s="105" t="s">
        <v>668</v>
      </c>
      <c r="B253" s="105" t="s">
        <v>690</v>
      </c>
      <c r="C253" s="105" t="s">
        <v>686</v>
      </c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</row>
    <row r="254" spans="1:15" ht="29" x14ac:dyDescent="0.35">
      <c r="A254" s="105" t="s">
        <v>670</v>
      </c>
      <c r="B254" s="105" t="s">
        <v>692</v>
      </c>
      <c r="C254" s="105" t="s">
        <v>686</v>
      </c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</row>
    <row r="255" spans="1:15" ht="29" x14ac:dyDescent="0.35">
      <c r="A255" s="105" t="s">
        <v>672</v>
      </c>
      <c r="B255" s="105" t="s">
        <v>694</v>
      </c>
      <c r="C255" s="105" t="s">
        <v>686</v>
      </c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</row>
    <row r="256" spans="1:15" ht="29" x14ac:dyDescent="0.35">
      <c r="A256" s="105" t="s">
        <v>674</v>
      </c>
      <c r="B256" s="105" t="s">
        <v>696</v>
      </c>
      <c r="C256" s="105" t="s">
        <v>686</v>
      </c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</row>
    <row r="257" spans="1:15" ht="29" x14ac:dyDescent="0.35">
      <c r="A257" s="105" t="s">
        <v>676</v>
      </c>
      <c r="B257" s="105" t="s">
        <v>698</v>
      </c>
      <c r="C257" s="105" t="s">
        <v>686</v>
      </c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</row>
    <row r="258" spans="1:15" x14ac:dyDescent="0.35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</row>
    <row r="259" spans="1:15" x14ac:dyDescent="0.35">
      <c r="A259" s="166" t="s">
        <v>715</v>
      </c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2"/>
    </row>
    <row r="260" spans="1:15" ht="58" x14ac:dyDescent="0.35">
      <c r="A260" s="108" t="s">
        <v>700</v>
      </c>
      <c r="B260" s="108" t="s">
        <v>701</v>
      </c>
      <c r="C260" s="108" t="s">
        <v>390</v>
      </c>
      <c r="D260" s="108" t="s">
        <v>351</v>
      </c>
      <c r="E260" s="108" t="s">
        <v>352</v>
      </c>
      <c r="F260" s="108" t="s">
        <v>292</v>
      </c>
      <c r="G260" s="108" t="s">
        <v>619</v>
      </c>
      <c r="H260" s="108" t="s">
        <v>353</v>
      </c>
      <c r="I260" s="108" t="s">
        <v>610</v>
      </c>
      <c r="J260" s="105"/>
      <c r="K260" s="105"/>
      <c r="L260" s="105"/>
      <c r="M260" s="105"/>
      <c r="N260" s="105"/>
      <c r="O260" s="105"/>
    </row>
    <row r="261" spans="1:15" x14ac:dyDescent="0.35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</row>
    <row r="262" spans="1:15" x14ac:dyDescent="0.35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</row>
    <row r="263" spans="1:15" x14ac:dyDescent="0.35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</row>
    <row r="264" spans="1:15" x14ac:dyDescent="0.35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</row>
    <row r="265" spans="1:15" x14ac:dyDescent="0.3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</row>
    <row r="266" spans="1:15" x14ac:dyDescent="0.35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</row>
    <row r="267" spans="1:15" x14ac:dyDescent="0.35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</row>
    <row r="268" spans="1:15" x14ac:dyDescent="0.35">
      <c r="A268" s="167" t="s">
        <v>716</v>
      </c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2"/>
    </row>
    <row r="269" spans="1:15" ht="72.5" x14ac:dyDescent="0.35">
      <c r="A269" s="108" t="s">
        <v>600</v>
      </c>
      <c r="B269" s="108"/>
      <c r="C269" s="108" t="s">
        <v>601</v>
      </c>
      <c r="D269" s="108"/>
      <c r="E269" s="108" t="s">
        <v>602</v>
      </c>
      <c r="F269" s="108"/>
      <c r="G269" s="108" t="s">
        <v>603</v>
      </c>
      <c r="H269" s="108"/>
      <c r="I269" s="108" t="s">
        <v>604</v>
      </c>
      <c r="J269" s="108"/>
      <c r="K269" s="108" t="s">
        <v>6</v>
      </c>
      <c r="L269" s="108"/>
      <c r="M269" s="108" t="s">
        <v>605</v>
      </c>
      <c r="N269" s="108"/>
      <c r="O269" s="108"/>
    </row>
    <row r="270" spans="1:15" ht="72.5" x14ac:dyDescent="0.35">
      <c r="A270" s="108" t="s">
        <v>606</v>
      </c>
      <c r="B270" s="108"/>
      <c r="C270" s="108" t="s">
        <v>607</v>
      </c>
      <c r="D270" s="108"/>
      <c r="E270" s="108" t="s">
        <v>608</v>
      </c>
      <c r="F270" s="108"/>
      <c r="G270" s="108" t="s">
        <v>609</v>
      </c>
      <c r="H270" s="108"/>
      <c r="I270" s="108" t="s">
        <v>610</v>
      </c>
      <c r="J270" s="109">
        <f>IFERROR(COUNTIF(E273:E301,"Yes")/(COUNTIF(E273:E301,"Yes")+COUNTIF(F273:F301,"No")),0)</f>
        <v>0</v>
      </c>
      <c r="K270" s="108"/>
      <c r="L270" s="108" t="str">
        <f>IF(J270&gt;=0.9,"Green",IF(J270&gt;=0.75,"Amber","Red"))</f>
        <v>Red</v>
      </c>
      <c r="M270" s="108"/>
      <c r="N270" s="108"/>
      <c r="O270" s="108"/>
    </row>
    <row r="271" spans="1:15" x14ac:dyDescent="0.35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</row>
    <row r="272" spans="1:15" ht="29" x14ac:dyDescent="0.35">
      <c r="A272" s="110" t="s">
        <v>611</v>
      </c>
      <c r="B272" s="110" t="s">
        <v>612</v>
      </c>
      <c r="C272" s="110" t="s">
        <v>613</v>
      </c>
      <c r="D272" s="110" t="s">
        <v>614</v>
      </c>
      <c r="E272" s="110" t="s">
        <v>81</v>
      </c>
      <c r="F272" s="110" t="s">
        <v>615</v>
      </c>
      <c r="G272" s="110" t="s">
        <v>616</v>
      </c>
      <c r="H272" s="110" t="s">
        <v>617</v>
      </c>
      <c r="I272" s="110" t="s">
        <v>618</v>
      </c>
      <c r="J272" s="110" t="s">
        <v>390</v>
      </c>
      <c r="K272" s="110" t="s">
        <v>351</v>
      </c>
      <c r="L272" s="110" t="s">
        <v>352</v>
      </c>
      <c r="M272" s="110" t="s">
        <v>292</v>
      </c>
      <c r="N272" s="110" t="s">
        <v>353</v>
      </c>
      <c r="O272" s="110" t="s">
        <v>619</v>
      </c>
    </row>
    <row r="273" spans="1:15" ht="29" x14ac:dyDescent="0.35">
      <c r="A273" s="105" t="s">
        <v>620</v>
      </c>
      <c r="B273" s="105" t="s">
        <v>770</v>
      </c>
      <c r="C273" s="105" t="s">
        <v>622</v>
      </c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</row>
    <row r="274" spans="1:15" x14ac:dyDescent="0.35">
      <c r="A274" s="105" t="s">
        <v>623</v>
      </c>
      <c r="B274" s="105" t="s">
        <v>771</v>
      </c>
      <c r="C274" s="105" t="s">
        <v>622</v>
      </c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</row>
    <row r="275" spans="1:15" ht="29" x14ac:dyDescent="0.35">
      <c r="A275" s="105" t="s">
        <v>625</v>
      </c>
      <c r="B275" s="105" t="s">
        <v>772</v>
      </c>
      <c r="C275" s="105" t="s">
        <v>622</v>
      </c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</row>
    <row r="276" spans="1:15" ht="29" x14ac:dyDescent="0.35">
      <c r="A276" s="105" t="s">
        <v>627</v>
      </c>
      <c r="B276" s="105" t="s">
        <v>773</v>
      </c>
      <c r="C276" s="105" t="s">
        <v>743</v>
      </c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</row>
    <row r="277" spans="1:15" ht="29" x14ac:dyDescent="0.35">
      <c r="A277" s="105" t="s">
        <v>629</v>
      </c>
      <c r="B277" s="105" t="s">
        <v>774</v>
      </c>
      <c r="C277" s="105" t="s">
        <v>743</v>
      </c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</row>
    <row r="278" spans="1:15" ht="29" x14ac:dyDescent="0.35">
      <c r="A278" s="105" t="s">
        <v>631</v>
      </c>
      <c r="B278" s="105" t="s">
        <v>775</v>
      </c>
      <c r="C278" s="105" t="s">
        <v>622</v>
      </c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</row>
    <row r="279" spans="1:15" ht="29" x14ac:dyDescent="0.35">
      <c r="A279" s="105" t="s">
        <v>633</v>
      </c>
      <c r="B279" s="105" t="s">
        <v>776</v>
      </c>
      <c r="C279" s="105" t="s">
        <v>746</v>
      </c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</row>
    <row r="280" spans="1:15" ht="29" x14ac:dyDescent="0.35">
      <c r="A280" s="105" t="s">
        <v>635</v>
      </c>
      <c r="B280" s="105" t="s">
        <v>789</v>
      </c>
      <c r="C280" s="105" t="s">
        <v>748</v>
      </c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</row>
    <row r="281" spans="1:15" x14ac:dyDescent="0.35">
      <c r="A281" s="105" t="s">
        <v>637</v>
      </c>
      <c r="B281" s="105" t="s">
        <v>790</v>
      </c>
      <c r="C281" s="105" t="s">
        <v>743</v>
      </c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</row>
    <row r="282" spans="1:15" ht="29" x14ac:dyDescent="0.35">
      <c r="A282" s="105" t="s">
        <v>639</v>
      </c>
      <c r="B282" s="105" t="s">
        <v>791</v>
      </c>
      <c r="C282" s="105" t="s">
        <v>622</v>
      </c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</row>
    <row r="283" spans="1:15" ht="29" x14ac:dyDescent="0.35">
      <c r="A283" s="105" t="s">
        <v>641</v>
      </c>
      <c r="B283" s="105" t="s">
        <v>777</v>
      </c>
      <c r="C283" s="105" t="s">
        <v>622</v>
      </c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</row>
    <row r="284" spans="1:15" ht="29" x14ac:dyDescent="0.35">
      <c r="A284" s="105" t="s">
        <v>643</v>
      </c>
      <c r="B284" s="105" t="s">
        <v>778</v>
      </c>
      <c r="C284" s="105" t="s">
        <v>622</v>
      </c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</row>
    <row r="285" spans="1:15" ht="29" x14ac:dyDescent="0.35">
      <c r="A285" s="105" t="s">
        <v>644</v>
      </c>
      <c r="B285" s="105" t="s">
        <v>779</v>
      </c>
      <c r="C285" s="105" t="s">
        <v>648</v>
      </c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</row>
    <row r="286" spans="1:15" ht="29" x14ac:dyDescent="0.35">
      <c r="A286" s="105" t="s">
        <v>645</v>
      </c>
      <c r="B286" s="105" t="s">
        <v>780</v>
      </c>
      <c r="C286" s="105" t="s">
        <v>622</v>
      </c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</row>
    <row r="287" spans="1:15" ht="29" x14ac:dyDescent="0.35">
      <c r="A287" s="105" t="s">
        <v>646</v>
      </c>
      <c r="B287" s="105" t="s">
        <v>781</v>
      </c>
      <c r="C287" s="105" t="s">
        <v>622</v>
      </c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</row>
    <row r="288" spans="1:15" ht="29" x14ac:dyDescent="0.35">
      <c r="A288" s="105" t="s">
        <v>649</v>
      </c>
      <c r="B288" s="105" t="s">
        <v>782</v>
      </c>
      <c r="C288" s="105" t="s">
        <v>622</v>
      </c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</row>
    <row r="289" spans="1:15" ht="29" x14ac:dyDescent="0.35">
      <c r="A289" s="105" t="s">
        <v>651</v>
      </c>
      <c r="B289" s="105" t="s">
        <v>783</v>
      </c>
      <c r="C289" s="105" t="s">
        <v>622</v>
      </c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</row>
    <row r="290" spans="1:15" ht="29" x14ac:dyDescent="0.35">
      <c r="A290" s="105" t="s">
        <v>653</v>
      </c>
      <c r="B290" s="105" t="s">
        <v>784</v>
      </c>
      <c r="C290" s="105" t="s">
        <v>751</v>
      </c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</row>
    <row r="291" spans="1:15" ht="29" x14ac:dyDescent="0.35">
      <c r="A291" s="105" t="s">
        <v>655</v>
      </c>
      <c r="B291" s="105" t="s">
        <v>785</v>
      </c>
      <c r="C291" s="105" t="s">
        <v>786</v>
      </c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</row>
    <row r="292" spans="1:15" ht="29" x14ac:dyDescent="0.35">
      <c r="A292" s="105" t="s">
        <v>658</v>
      </c>
      <c r="B292" s="105" t="s">
        <v>787</v>
      </c>
      <c r="C292" s="105" t="s">
        <v>788</v>
      </c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</row>
    <row r="293" spans="1:15" ht="29" x14ac:dyDescent="0.35">
      <c r="A293" s="105" t="s">
        <v>660</v>
      </c>
      <c r="B293" s="105" t="s">
        <v>706</v>
      </c>
      <c r="C293" s="105" t="s">
        <v>622</v>
      </c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</row>
    <row r="294" spans="1:15" ht="29" x14ac:dyDescent="0.35">
      <c r="A294" s="105" t="s">
        <v>662</v>
      </c>
      <c r="B294" s="105" t="s">
        <v>682</v>
      </c>
      <c r="C294" s="105" t="s">
        <v>683</v>
      </c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</row>
    <row r="295" spans="1:15" ht="29" x14ac:dyDescent="0.35">
      <c r="A295" s="105" t="s">
        <v>664</v>
      </c>
      <c r="B295" s="105" t="s">
        <v>685</v>
      </c>
      <c r="C295" s="105" t="s">
        <v>686</v>
      </c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</row>
    <row r="296" spans="1:15" ht="29" x14ac:dyDescent="0.35">
      <c r="A296" s="105" t="s">
        <v>666</v>
      </c>
      <c r="B296" s="105" t="s">
        <v>688</v>
      </c>
      <c r="C296" s="105" t="s">
        <v>686</v>
      </c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</row>
    <row r="297" spans="1:15" ht="29" x14ac:dyDescent="0.35">
      <c r="A297" s="105" t="s">
        <v>668</v>
      </c>
      <c r="B297" s="105" t="s">
        <v>690</v>
      </c>
      <c r="C297" s="105" t="s">
        <v>686</v>
      </c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</row>
    <row r="298" spans="1:15" ht="29" x14ac:dyDescent="0.35">
      <c r="A298" s="105" t="s">
        <v>670</v>
      </c>
      <c r="B298" s="105" t="s">
        <v>692</v>
      </c>
      <c r="C298" s="105" t="s">
        <v>686</v>
      </c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</row>
    <row r="299" spans="1:15" ht="29" x14ac:dyDescent="0.35">
      <c r="A299" s="105" t="s">
        <v>672</v>
      </c>
      <c r="B299" s="105" t="s">
        <v>694</v>
      </c>
      <c r="C299" s="105" t="s">
        <v>686</v>
      </c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</row>
    <row r="300" spans="1:15" ht="29" x14ac:dyDescent="0.35">
      <c r="A300" s="105" t="s">
        <v>674</v>
      </c>
      <c r="B300" s="105" t="s">
        <v>696</v>
      </c>
      <c r="C300" s="105" t="s">
        <v>686</v>
      </c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</row>
    <row r="301" spans="1:15" ht="29" x14ac:dyDescent="0.35">
      <c r="A301" s="105" t="s">
        <v>676</v>
      </c>
      <c r="B301" s="105" t="s">
        <v>698</v>
      </c>
      <c r="C301" s="105" t="s">
        <v>686</v>
      </c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</row>
    <row r="302" spans="1:15" x14ac:dyDescent="0.35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</row>
    <row r="303" spans="1:15" x14ac:dyDescent="0.35">
      <c r="A303" s="166" t="s">
        <v>717</v>
      </c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2"/>
    </row>
    <row r="304" spans="1:15" ht="58" x14ac:dyDescent="0.35">
      <c r="A304" s="108" t="s">
        <v>700</v>
      </c>
      <c r="B304" s="108" t="s">
        <v>701</v>
      </c>
      <c r="C304" s="108" t="s">
        <v>390</v>
      </c>
      <c r="D304" s="108" t="s">
        <v>351</v>
      </c>
      <c r="E304" s="108" t="s">
        <v>352</v>
      </c>
      <c r="F304" s="108" t="s">
        <v>292</v>
      </c>
      <c r="G304" s="108" t="s">
        <v>619</v>
      </c>
      <c r="H304" s="108" t="s">
        <v>353</v>
      </c>
      <c r="I304" s="108" t="s">
        <v>610</v>
      </c>
      <c r="J304" s="105"/>
      <c r="K304" s="105"/>
      <c r="L304" s="105"/>
      <c r="M304" s="105"/>
      <c r="N304" s="105"/>
      <c r="O304" s="105"/>
    </row>
    <row r="305" spans="1:15" x14ac:dyDescent="0.3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</row>
    <row r="306" spans="1:15" x14ac:dyDescent="0.35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</row>
    <row r="307" spans="1:15" x14ac:dyDescent="0.35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</row>
    <row r="308" spans="1:15" x14ac:dyDescent="0.35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</row>
    <row r="309" spans="1:15" x14ac:dyDescent="0.35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</row>
    <row r="310" spans="1:15" x14ac:dyDescent="0.35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</row>
    <row r="311" spans="1:15" x14ac:dyDescent="0.35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</row>
    <row r="312" spans="1:15" x14ac:dyDescent="0.35">
      <c r="A312" s="167" t="s">
        <v>718</v>
      </c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2"/>
    </row>
    <row r="313" spans="1:15" ht="72.5" x14ac:dyDescent="0.35">
      <c r="A313" s="108" t="s">
        <v>600</v>
      </c>
      <c r="B313" s="108"/>
      <c r="C313" s="108" t="s">
        <v>601</v>
      </c>
      <c r="D313" s="108"/>
      <c r="E313" s="108" t="s">
        <v>602</v>
      </c>
      <c r="F313" s="108"/>
      <c r="G313" s="108" t="s">
        <v>603</v>
      </c>
      <c r="H313" s="108"/>
      <c r="I313" s="108" t="s">
        <v>604</v>
      </c>
      <c r="J313" s="108"/>
      <c r="K313" s="108" t="s">
        <v>6</v>
      </c>
      <c r="L313" s="108"/>
      <c r="M313" s="108" t="s">
        <v>605</v>
      </c>
      <c r="N313" s="108"/>
      <c r="O313" s="108"/>
    </row>
    <row r="314" spans="1:15" ht="72.5" x14ac:dyDescent="0.35">
      <c r="A314" s="108" t="s">
        <v>606</v>
      </c>
      <c r="B314" s="108"/>
      <c r="C314" s="108" t="s">
        <v>607</v>
      </c>
      <c r="D314" s="108"/>
      <c r="E314" s="108" t="s">
        <v>608</v>
      </c>
      <c r="F314" s="108"/>
      <c r="G314" s="108" t="s">
        <v>609</v>
      </c>
      <c r="H314" s="108"/>
      <c r="I314" s="108" t="s">
        <v>610</v>
      </c>
      <c r="J314" s="109">
        <f>IFERROR(COUNTIF(E317:E345,"Yes")/(COUNTIF(E317:E345,"Yes")+COUNTIF(F317:F345,"No")),0)</f>
        <v>0</v>
      </c>
      <c r="K314" s="108"/>
      <c r="L314" s="108" t="str">
        <f>IF(J314&gt;=0.9,"Green",IF(J314&gt;=0.75,"Amber","Red"))</f>
        <v>Red</v>
      </c>
      <c r="M314" s="108"/>
      <c r="N314" s="108"/>
      <c r="O314" s="108"/>
    </row>
    <row r="315" spans="1:15" x14ac:dyDescent="0.3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</row>
    <row r="316" spans="1:15" ht="29" x14ac:dyDescent="0.35">
      <c r="A316" s="110" t="s">
        <v>611</v>
      </c>
      <c r="B316" s="110" t="s">
        <v>612</v>
      </c>
      <c r="C316" s="110" t="s">
        <v>613</v>
      </c>
      <c r="D316" s="110" t="s">
        <v>614</v>
      </c>
      <c r="E316" s="110" t="s">
        <v>81</v>
      </c>
      <c r="F316" s="110" t="s">
        <v>615</v>
      </c>
      <c r="G316" s="110" t="s">
        <v>616</v>
      </c>
      <c r="H316" s="110" t="s">
        <v>617</v>
      </c>
      <c r="I316" s="110" t="s">
        <v>618</v>
      </c>
      <c r="J316" s="110" t="s">
        <v>390</v>
      </c>
      <c r="K316" s="110" t="s">
        <v>351</v>
      </c>
      <c r="L316" s="110" t="s">
        <v>352</v>
      </c>
      <c r="M316" s="110" t="s">
        <v>292</v>
      </c>
      <c r="N316" s="110" t="s">
        <v>353</v>
      </c>
      <c r="O316" s="110" t="s">
        <v>619</v>
      </c>
    </row>
    <row r="317" spans="1:15" ht="29" x14ac:dyDescent="0.35">
      <c r="A317" s="105" t="s">
        <v>620</v>
      </c>
      <c r="B317" s="105" t="s">
        <v>770</v>
      </c>
      <c r="C317" s="105" t="s">
        <v>622</v>
      </c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</row>
    <row r="318" spans="1:15" x14ac:dyDescent="0.35">
      <c r="A318" s="105" t="s">
        <v>623</v>
      </c>
      <c r="B318" s="105" t="s">
        <v>771</v>
      </c>
      <c r="C318" s="105" t="s">
        <v>622</v>
      </c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</row>
    <row r="319" spans="1:15" ht="29" x14ac:dyDescent="0.35">
      <c r="A319" s="105" t="s">
        <v>625</v>
      </c>
      <c r="B319" s="105" t="s">
        <v>772</v>
      </c>
      <c r="C319" s="105" t="s">
        <v>622</v>
      </c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</row>
    <row r="320" spans="1:15" ht="29" x14ac:dyDescent="0.35">
      <c r="A320" s="105" t="s">
        <v>627</v>
      </c>
      <c r="B320" s="105" t="s">
        <v>773</v>
      </c>
      <c r="C320" s="105" t="s">
        <v>743</v>
      </c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</row>
    <row r="321" spans="1:15" ht="29" x14ac:dyDescent="0.35">
      <c r="A321" s="105" t="s">
        <v>629</v>
      </c>
      <c r="B321" s="105" t="s">
        <v>774</v>
      </c>
      <c r="C321" s="105" t="s">
        <v>743</v>
      </c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</row>
    <row r="322" spans="1:15" ht="29" x14ac:dyDescent="0.35">
      <c r="A322" s="105" t="s">
        <v>631</v>
      </c>
      <c r="B322" s="105" t="s">
        <v>775</v>
      </c>
      <c r="C322" s="105" t="s">
        <v>622</v>
      </c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</row>
    <row r="323" spans="1:15" ht="29" x14ac:dyDescent="0.35">
      <c r="A323" s="105" t="s">
        <v>633</v>
      </c>
      <c r="B323" s="105" t="s">
        <v>776</v>
      </c>
      <c r="C323" s="105" t="s">
        <v>746</v>
      </c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</row>
    <row r="324" spans="1:15" ht="29" x14ac:dyDescent="0.35">
      <c r="A324" s="105" t="s">
        <v>635</v>
      </c>
      <c r="B324" s="105" t="s">
        <v>789</v>
      </c>
      <c r="C324" s="105" t="s">
        <v>748</v>
      </c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</row>
    <row r="325" spans="1:15" x14ac:dyDescent="0.35">
      <c r="A325" s="105" t="s">
        <v>637</v>
      </c>
      <c r="B325" s="105" t="s">
        <v>790</v>
      </c>
      <c r="C325" s="105" t="s">
        <v>743</v>
      </c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</row>
    <row r="326" spans="1:15" ht="29" x14ac:dyDescent="0.35">
      <c r="A326" s="105" t="s">
        <v>639</v>
      </c>
      <c r="B326" s="105" t="s">
        <v>791</v>
      </c>
      <c r="C326" s="105" t="s">
        <v>622</v>
      </c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</row>
    <row r="327" spans="1:15" ht="29" x14ac:dyDescent="0.35">
      <c r="A327" s="105" t="s">
        <v>641</v>
      </c>
      <c r="B327" s="105" t="s">
        <v>777</v>
      </c>
      <c r="C327" s="105" t="s">
        <v>622</v>
      </c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</row>
    <row r="328" spans="1:15" ht="29" x14ac:dyDescent="0.35">
      <c r="A328" s="105" t="s">
        <v>643</v>
      </c>
      <c r="B328" s="105" t="s">
        <v>778</v>
      </c>
      <c r="C328" s="105" t="s">
        <v>622</v>
      </c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</row>
    <row r="329" spans="1:15" ht="29" x14ac:dyDescent="0.35">
      <c r="A329" s="105" t="s">
        <v>644</v>
      </c>
      <c r="B329" s="105" t="s">
        <v>779</v>
      </c>
      <c r="C329" s="105" t="s">
        <v>648</v>
      </c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</row>
    <row r="330" spans="1:15" ht="29" x14ac:dyDescent="0.35">
      <c r="A330" s="105" t="s">
        <v>645</v>
      </c>
      <c r="B330" s="105" t="s">
        <v>780</v>
      </c>
      <c r="C330" s="105" t="s">
        <v>622</v>
      </c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</row>
    <row r="331" spans="1:15" ht="29" x14ac:dyDescent="0.35">
      <c r="A331" s="105" t="s">
        <v>646</v>
      </c>
      <c r="B331" s="105" t="s">
        <v>781</v>
      </c>
      <c r="C331" s="105" t="s">
        <v>622</v>
      </c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</row>
    <row r="332" spans="1:15" ht="29" x14ac:dyDescent="0.35">
      <c r="A332" s="105" t="s">
        <v>649</v>
      </c>
      <c r="B332" s="105" t="s">
        <v>782</v>
      </c>
      <c r="C332" s="105" t="s">
        <v>622</v>
      </c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</row>
    <row r="333" spans="1:15" ht="29" x14ac:dyDescent="0.35">
      <c r="A333" s="105" t="s">
        <v>651</v>
      </c>
      <c r="B333" s="105" t="s">
        <v>783</v>
      </c>
      <c r="C333" s="105" t="s">
        <v>622</v>
      </c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</row>
    <row r="334" spans="1:15" ht="29" x14ac:dyDescent="0.35">
      <c r="A334" s="105" t="s">
        <v>653</v>
      </c>
      <c r="B334" s="105" t="s">
        <v>784</v>
      </c>
      <c r="C334" s="105" t="s">
        <v>751</v>
      </c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</row>
    <row r="335" spans="1:15" ht="29" x14ac:dyDescent="0.35">
      <c r="A335" s="105" t="s">
        <v>655</v>
      </c>
      <c r="B335" s="105" t="s">
        <v>785</v>
      </c>
      <c r="C335" s="105" t="s">
        <v>786</v>
      </c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</row>
    <row r="336" spans="1:15" ht="29" x14ac:dyDescent="0.35">
      <c r="A336" s="105" t="s">
        <v>658</v>
      </c>
      <c r="B336" s="105" t="s">
        <v>787</v>
      </c>
      <c r="C336" s="105" t="s">
        <v>788</v>
      </c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</row>
    <row r="337" spans="1:15" ht="29" x14ac:dyDescent="0.35">
      <c r="A337" s="105" t="s">
        <v>660</v>
      </c>
      <c r="B337" s="105" t="s">
        <v>706</v>
      </c>
      <c r="C337" s="105" t="s">
        <v>622</v>
      </c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</row>
    <row r="338" spans="1:15" ht="29" x14ac:dyDescent="0.35">
      <c r="A338" s="105" t="s">
        <v>662</v>
      </c>
      <c r="B338" s="105" t="s">
        <v>682</v>
      </c>
      <c r="C338" s="105" t="s">
        <v>683</v>
      </c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</row>
    <row r="339" spans="1:15" ht="29" x14ac:dyDescent="0.35">
      <c r="A339" s="105" t="s">
        <v>664</v>
      </c>
      <c r="B339" s="105" t="s">
        <v>685</v>
      </c>
      <c r="C339" s="105" t="s">
        <v>686</v>
      </c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</row>
    <row r="340" spans="1:15" ht="29" x14ac:dyDescent="0.35">
      <c r="A340" s="105" t="s">
        <v>666</v>
      </c>
      <c r="B340" s="105" t="s">
        <v>688</v>
      </c>
      <c r="C340" s="105" t="s">
        <v>686</v>
      </c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</row>
    <row r="341" spans="1:15" ht="29" x14ac:dyDescent="0.35">
      <c r="A341" s="105" t="s">
        <v>668</v>
      </c>
      <c r="B341" s="105" t="s">
        <v>690</v>
      </c>
      <c r="C341" s="105" t="s">
        <v>686</v>
      </c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</row>
    <row r="342" spans="1:15" ht="29" x14ac:dyDescent="0.35">
      <c r="A342" s="105" t="s">
        <v>670</v>
      </c>
      <c r="B342" s="105" t="s">
        <v>692</v>
      </c>
      <c r="C342" s="105" t="s">
        <v>686</v>
      </c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</row>
    <row r="343" spans="1:15" ht="29" x14ac:dyDescent="0.35">
      <c r="A343" s="105" t="s">
        <v>672</v>
      </c>
      <c r="B343" s="105" t="s">
        <v>694</v>
      </c>
      <c r="C343" s="105" t="s">
        <v>686</v>
      </c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</row>
    <row r="344" spans="1:15" ht="29" x14ac:dyDescent="0.35">
      <c r="A344" s="105" t="s">
        <v>674</v>
      </c>
      <c r="B344" s="105" t="s">
        <v>696</v>
      </c>
      <c r="C344" s="105" t="s">
        <v>686</v>
      </c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</row>
    <row r="345" spans="1:15" ht="29" x14ac:dyDescent="0.35">
      <c r="A345" s="105" t="s">
        <v>676</v>
      </c>
      <c r="B345" s="105" t="s">
        <v>698</v>
      </c>
      <c r="C345" s="105" t="s">
        <v>686</v>
      </c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</row>
    <row r="346" spans="1:15" x14ac:dyDescent="0.35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</row>
    <row r="347" spans="1:15" x14ac:dyDescent="0.35">
      <c r="A347" s="166" t="s">
        <v>719</v>
      </c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2"/>
    </row>
    <row r="348" spans="1:15" ht="58" x14ac:dyDescent="0.35">
      <c r="A348" s="108" t="s">
        <v>700</v>
      </c>
      <c r="B348" s="108" t="s">
        <v>701</v>
      </c>
      <c r="C348" s="108" t="s">
        <v>390</v>
      </c>
      <c r="D348" s="108" t="s">
        <v>351</v>
      </c>
      <c r="E348" s="108" t="s">
        <v>352</v>
      </c>
      <c r="F348" s="108" t="s">
        <v>292</v>
      </c>
      <c r="G348" s="108" t="s">
        <v>619</v>
      </c>
      <c r="H348" s="108" t="s">
        <v>353</v>
      </c>
      <c r="I348" s="108" t="s">
        <v>610</v>
      </c>
      <c r="J348" s="105"/>
      <c r="K348" s="105"/>
      <c r="L348" s="105"/>
      <c r="M348" s="105"/>
      <c r="N348" s="105"/>
      <c r="O348" s="105"/>
    </row>
    <row r="349" spans="1:15" x14ac:dyDescent="0.35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</row>
    <row r="350" spans="1:15" x14ac:dyDescent="0.35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</row>
    <row r="351" spans="1:15" x14ac:dyDescent="0.35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</row>
    <row r="352" spans="1:15" x14ac:dyDescent="0.35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</row>
    <row r="353" spans="1:15" x14ac:dyDescent="0.35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</row>
    <row r="354" spans="1:15" x14ac:dyDescent="0.35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</row>
    <row r="355" spans="1:15" x14ac:dyDescent="0.3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</row>
    <row r="356" spans="1:15" x14ac:dyDescent="0.35">
      <c r="A356" s="167" t="s">
        <v>720</v>
      </c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2"/>
    </row>
    <row r="357" spans="1:15" ht="72.5" x14ac:dyDescent="0.35">
      <c r="A357" s="108" t="s">
        <v>600</v>
      </c>
      <c r="B357" s="108"/>
      <c r="C357" s="108" t="s">
        <v>601</v>
      </c>
      <c r="D357" s="108"/>
      <c r="E357" s="108" t="s">
        <v>602</v>
      </c>
      <c r="F357" s="108"/>
      <c r="G357" s="108" t="s">
        <v>603</v>
      </c>
      <c r="H357" s="108"/>
      <c r="I357" s="108" t="s">
        <v>604</v>
      </c>
      <c r="J357" s="108"/>
      <c r="K357" s="108" t="s">
        <v>6</v>
      </c>
      <c r="L357" s="108"/>
      <c r="M357" s="108" t="s">
        <v>605</v>
      </c>
      <c r="N357" s="108"/>
      <c r="O357" s="108"/>
    </row>
    <row r="358" spans="1:15" ht="72.5" x14ac:dyDescent="0.35">
      <c r="A358" s="108" t="s">
        <v>606</v>
      </c>
      <c r="B358" s="108"/>
      <c r="C358" s="108" t="s">
        <v>607</v>
      </c>
      <c r="D358" s="108"/>
      <c r="E358" s="108" t="s">
        <v>608</v>
      </c>
      <c r="F358" s="108"/>
      <c r="G358" s="108" t="s">
        <v>609</v>
      </c>
      <c r="H358" s="108"/>
      <c r="I358" s="108" t="s">
        <v>610</v>
      </c>
      <c r="J358" s="109">
        <f>IFERROR(COUNTIF(E361:E389,"Yes")/(COUNTIF(E361:E389,"Yes")+COUNTIF(F361:F389,"No")),0)</f>
        <v>0</v>
      </c>
      <c r="K358" s="108"/>
      <c r="L358" s="108" t="str">
        <f>IF(J358&gt;=0.9,"Green",IF(J358&gt;=0.75,"Amber","Red"))</f>
        <v>Red</v>
      </c>
      <c r="M358" s="108"/>
      <c r="N358" s="108"/>
      <c r="O358" s="108"/>
    </row>
    <row r="359" spans="1:15" x14ac:dyDescent="0.35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</row>
    <row r="360" spans="1:15" ht="29" x14ac:dyDescent="0.35">
      <c r="A360" s="110" t="s">
        <v>611</v>
      </c>
      <c r="B360" s="110" t="s">
        <v>612</v>
      </c>
      <c r="C360" s="110" t="s">
        <v>613</v>
      </c>
      <c r="D360" s="110" t="s">
        <v>614</v>
      </c>
      <c r="E360" s="110" t="s">
        <v>81</v>
      </c>
      <c r="F360" s="110" t="s">
        <v>615</v>
      </c>
      <c r="G360" s="110" t="s">
        <v>616</v>
      </c>
      <c r="H360" s="110" t="s">
        <v>617</v>
      </c>
      <c r="I360" s="110" t="s">
        <v>618</v>
      </c>
      <c r="J360" s="110" t="s">
        <v>390</v>
      </c>
      <c r="K360" s="110" t="s">
        <v>351</v>
      </c>
      <c r="L360" s="110" t="s">
        <v>352</v>
      </c>
      <c r="M360" s="110" t="s">
        <v>292</v>
      </c>
      <c r="N360" s="110" t="s">
        <v>353</v>
      </c>
      <c r="O360" s="110" t="s">
        <v>619</v>
      </c>
    </row>
    <row r="361" spans="1:15" ht="29" x14ac:dyDescent="0.35">
      <c r="A361" s="105" t="s">
        <v>620</v>
      </c>
      <c r="B361" s="105" t="s">
        <v>770</v>
      </c>
      <c r="C361" s="105" t="s">
        <v>622</v>
      </c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</row>
    <row r="362" spans="1:15" x14ac:dyDescent="0.35">
      <c r="A362" s="105" t="s">
        <v>623</v>
      </c>
      <c r="B362" s="105" t="s">
        <v>771</v>
      </c>
      <c r="C362" s="105" t="s">
        <v>622</v>
      </c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</row>
    <row r="363" spans="1:15" ht="29" x14ac:dyDescent="0.35">
      <c r="A363" s="105" t="s">
        <v>625</v>
      </c>
      <c r="B363" s="105" t="s">
        <v>772</v>
      </c>
      <c r="C363" s="105" t="s">
        <v>622</v>
      </c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</row>
    <row r="364" spans="1:15" ht="29" x14ac:dyDescent="0.35">
      <c r="A364" s="105" t="s">
        <v>627</v>
      </c>
      <c r="B364" s="105" t="s">
        <v>773</v>
      </c>
      <c r="C364" s="105" t="s">
        <v>743</v>
      </c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</row>
    <row r="365" spans="1:15" ht="29" x14ac:dyDescent="0.35">
      <c r="A365" s="105" t="s">
        <v>629</v>
      </c>
      <c r="B365" s="105" t="s">
        <v>774</v>
      </c>
      <c r="C365" s="105" t="s">
        <v>743</v>
      </c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</row>
    <row r="366" spans="1:15" ht="29" x14ac:dyDescent="0.35">
      <c r="A366" s="105" t="s">
        <v>631</v>
      </c>
      <c r="B366" s="105" t="s">
        <v>775</v>
      </c>
      <c r="C366" s="105" t="s">
        <v>622</v>
      </c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</row>
    <row r="367" spans="1:15" ht="29" x14ac:dyDescent="0.35">
      <c r="A367" s="105" t="s">
        <v>633</v>
      </c>
      <c r="B367" s="105" t="s">
        <v>776</v>
      </c>
      <c r="C367" s="105" t="s">
        <v>746</v>
      </c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</row>
    <row r="368" spans="1:15" ht="29" x14ac:dyDescent="0.35">
      <c r="A368" s="105" t="s">
        <v>635</v>
      </c>
      <c r="B368" s="105" t="s">
        <v>789</v>
      </c>
      <c r="C368" s="105" t="s">
        <v>748</v>
      </c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</row>
    <row r="369" spans="1:15" x14ac:dyDescent="0.35">
      <c r="A369" s="105" t="s">
        <v>637</v>
      </c>
      <c r="B369" s="105" t="s">
        <v>790</v>
      </c>
      <c r="C369" s="105" t="s">
        <v>743</v>
      </c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</row>
    <row r="370" spans="1:15" ht="29" x14ac:dyDescent="0.35">
      <c r="A370" s="105" t="s">
        <v>639</v>
      </c>
      <c r="B370" s="105" t="s">
        <v>791</v>
      </c>
      <c r="C370" s="105" t="s">
        <v>622</v>
      </c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</row>
    <row r="371" spans="1:15" ht="29" x14ac:dyDescent="0.35">
      <c r="A371" s="105" t="s">
        <v>641</v>
      </c>
      <c r="B371" s="105" t="s">
        <v>777</v>
      </c>
      <c r="C371" s="105" t="s">
        <v>622</v>
      </c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</row>
    <row r="372" spans="1:15" ht="29" x14ac:dyDescent="0.35">
      <c r="A372" s="105" t="s">
        <v>643</v>
      </c>
      <c r="B372" s="105" t="s">
        <v>778</v>
      </c>
      <c r="C372" s="105" t="s">
        <v>622</v>
      </c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</row>
    <row r="373" spans="1:15" ht="29" x14ac:dyDescent="0.35">
      <c r="A373" s="105" t="s">
        <v>644</v>
      </c>
      <c r="B373" s="105" t="s">
        <v>779</v>
      </c>
      <c r="C373" s="105" t="s">
        <v>648</v>
      </c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</row>
    <row r="374" spans="1:15" ht="29" x14ac:dyDescent="0.35">
      <c r="A374" s="105" t="s">
        <v>645</v>
      </c>
      <c r="B374" s="105" t="s">
        <v>780</v>
      </c>
      <c r="C374" s="105" t="s">
        <v>622</v>
      </c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</row>
    <row r="375" spans="1:15" ht="29" x14ac:dyDescent="0.35">
      <c r="A375" s="105" t="s">
        <v>646</v>
      </c>
      <c r="B375" s="105" t="s">
        <v>781</v>
      </c>
      <c r="C375" s="105" t="s">
        <v>622</v>
      </c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</row>
    <row r="376" spans="1:15" ht="29" x14ac:dyDescent="0.35">
      <c r="A376" s="105" t="s">
        <v>649</v>
      </c>
      <c r="B376" s="105" t="s">
        <v>782</v>
      </c>
      <c r="C376" s="105" t="s">
        <v>622</v>
      </c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</row>
    <row r="377" spans="1:15" ht="29" x14ac:dyDescent="0.35">
      <c r="A377" s="105" t="s">
        <v>651</v>
      </c>
      <c r="B377" s="105" t="s">
        <v>783</v>
      </c>
      <c r="C377" s="105" t="s">
        <v>622</v>
      </c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</row>
    <row r="378" spans="1:15" ht="29" x14ac:dyDescent="0.35">
      <c r="A378" s="105" t="s">
        <v>653</v>
      </c>
      <c r="B378" s="105" t="s">
        <v>784</v>
      </c>
      <c r="C378" s="105" t="s">
        <v>751</v>
      </c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</row>
    <row r="379" spans="1:15" ht="29" x14ac:dyDescent="0.35">
      <c r="A379" s="105" t="s">
        <v>655</v>
      </c>
      <c r="B379" s="105" t="s">
        <v>785</v>
      </c>
      <c r="C379" s="105" t="s">
        <v>786</v>
      </c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</row>
    <row r="380" spans="1:15" ht="29" x14ac:dyDescent="0.35">
      <c r="A380" s="105" t="s">
        <v>658</v>
      </c>
      <c r="B380" s="105" t="s">
        <v>787</v>
      </c>
      <c r="C380" s="105" t="s">
        <v>788</v>
      </c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</row>
    <row r="381" spans="1:15" ht="29" x14ac:dyDescent="0.35">
      <c r="A381" s="105" t="s">
        <v>660</v>
      </c>
      <c r="B381" s="105" t="s">
        <v>706</v>
      </c>
      <c r="C381" s="105" t="s">
        <v>622</v>
      </c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</row>
    <row r="382" spans="1:15" ht="29" x14ac:dyDescent="0.35">
      <c r="A382" s="105" t="s">
        <v>662</v>
      </c>
      <c r="B382" s="105" t="s">
        <v>682</v>
      </c>
      <c r="C382" s="105" t="s">
        <v>683</v>
      </c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</row>
    <row r="383" spans="1:15" ht="29" x14ac:dyDescent="0.35">
      <c r="A383" s="105" t="s">
        <v>664</v>
      </c>
      <c r="B383" s="105" t="s">
        <v>685</v>
      </c>
      <c r="C383" s="105" t="s">
        <v>686</v>
      </c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</row>
    <row r="384" spans="1:15" ht="29" x14ac:dyDescent="0.35">
      <c r="A384" s="105" t="s">
        <v>666</v>
      </c>
      <c r="B384" s="105" t="s">
        <v>688</v>
      </c>
      <c r="C384" s="105" t="s">
        <v>686</v>
      </c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</row>
    <row r="385" spans="1:15" ht="29" x14ac:dyDescent="0.35">
      <c r="A385" s="105" t="s">
        <v>668</v>
      </c>
      <c r="B385" s="105" t="s">
        <v>690</v>
      </c>
      <c r="C385" s="105" t="s">
        <v>686</v>
      </c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</row>
    <row r="386" spans="1:15" ht="29" x14ac:dyDescent="0.35">
      <c r="A386" s="105" t="s">
        <v>670</v>
      </c>
      <c r="B386" s="105" t="s">
        <v>692</v>
      </c>
      <c r="C386" s="105" t="s">
        <v>686</v>
      </c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</row>
    <row r="387" spans="1:15" ht="29" x14ac:dyDescent="0.35">
      <c r="A387" s="105" t="s">
        <v>672</v>
      </c>
      <c r="B387" s="105" t="s">
        <v>694</v>
      </c>
      <c r="C387" s="105" t="s">
        <v>686</v>
      </c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</row>
    <row r="388" spans="1:15" ht="29" x14ac:dyDescent="0.35">
      <c r="A388" s="105" t="s">
        <v>674</v>
      </c>
      <c r="B388" s="105" t="s">
        <v>696</v>
      </c>
      <c r="C388" s="105" t="s">
        <v>686</v>
      </c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</row>
    <row r="389" spans="1:15" ht="29" x14ac:dyDescent="0.35">
      <c r="A389" s="105" t="s">
        <v>676</v>
      </c>
      <c r="B389" s="105" t="s">
        <v>698</v>
      </c>
      <c r="C389" s="105" t="s">
        <v>686</v>
      </c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</row>
    <row r="390" spans="1:15" x14ac:dyDescent="0.35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</row>
    <row r="391" spans="1:15" x14ac:dyDescent="0.35">
      <c r="A391" s="166" t="s">
        <v>721</v>
      </c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2"/>
    </row>
    <row r="392" spans="1:15" ht="58" x14ac:dyDescent="0.35">
      <c r="A392" s="108" t="s">
        <v>700</v>
      </c>
      <c r="B392" s="108" t="s">
        <v>701</v>
      </c>
      <c r="C392" s="108" t="s">
        <v>390</v>
      </c>
      <c r="D392" s="108" t="s">
        <v>351</v>
      </c>
      <c r="E392" s="108" t="s">
        <v>352</v>
      </c>
      <c r="F392" s="108" t="s">
        <v>292</v>
      </c>
      <c r="G392" s="108" t="s">
        <v>619</v>
      </c>
      <c r="H392" s="108" t="s">
        <v>353</v>
      </c>
      <c r="I392" s="108" t="s">
        <v>610</v>
      </c>
      <c r="J392" s="105"/>
      <c r="K392" s="105"/>
      <c r="L392" s="105"/>
      <c r="M392" s="105"/>
      <c r="N392" s="105"/>
      <c r="O392" s="105"/>
    </row>
    <row r="393" spans="1:15" x14ac:dyDescent="0.35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</row>
    <row r="394" spans="1:15" x14ac:dyDescent="0.35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</row>
    <row r="395" spans="1:15" x14ac:dyDescent="0.3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</row>
    <row r="396" spans="1:15" x14ac:dyDescent="0.35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</row>
    <row r="397" spans="1:15" x14ac:dyDescent="0.35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</row>
    <row r="398" spans="1:15" x14ac:dyDescent="0.35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</row>
    <row r="399" spans="1:15" x14ac:dyDescent="0.35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</row>
    <row r="400" spans="1:15" x14ac:dyDescent="0.35">
      <c r="A400" s="167" t="s">
        <v>722</v>
      </c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2"/>
    </row>
    <row r="401" spans="1:15" ht="72.5" x14ac:dyDescent="0.35">
      <c r="A401" s="108" t="s">
        <v>600</v>
      </c>
      <c r="B401" s="108"/>
      <c r="C401" s="108" t="s">
        <v>601</v>
      </c>
      <c r="D401" s="108"/>
      <c r="E401" s="108" t="s">
        <v>602</v>
      </c>
      <c r="F401" s="108"/>
      <c r="G401" s="108" t="s">
        <v>603</v>
      </c>
      <c r="H401" s="108"/>
      <c r="I401" s="108" t="s">
        <v>604</v>
      </c>
      <c r="J401" s="108"/>
      <c r="K401" s="108" t="s">
        <v>6</v>
      </c>
      <c r="L401" s="108"/>
      <c r="M401" s="108" t="s">
        <v>605</v>
      </c>
      <c r="N401" s="108"/>
      <c r="O401" s="108"/>
    </row>
    <row r="402" spans="1:15" ht="72.5" x14ac:dyDescent="0.35">
      <c r="A402" s="108" t="s">
        <v>606</v>
      </c>
      <c r="B402" s="108"/>
      <c r="C402" s="108" t="s">
        <v>607</v>
      </c>
      <c r="D402" s="108"/>
      <c r="E402" s="108" t="s">
        <v>608</v>
      </c>
      <c r="F402" s="108"/>
      <c r="G402" s="108" t="s">
        <v>609</v>
      </c>
      <c r="H402" s="108"/>
      <c r="I402" s="108" t="s">
        <v>610</v>
      </c>
      <c r="J402" s="109">
        <f>IFERROR(COUNTIF(E405:E433,"Yes")/(COUNTIF(E405:E433,"Yes")+COUNTIF(F405:F433,"No")),0)</f>
        <v>0</v>
      </c>
      <c r="K402" s="108"/>
      <c r="L402" s="108" t="str">
        <f>IF(J402&gt;=0.9,"Green",IF(J402&gt;=0.75,"Amber","Red"))</f>
        <v>Red</v>
      </c>
      <c r="M402" s="108"/>
      <c r="N402" s="108"/>
      <c r="O402" s="108"/>
    </row>
    <row r="403" spans="1:15" x14ac:dyDescent="0.35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</row>
    <row r="404" spans="1:15" ht="29" x14ac:dyDescent="0.35">
      <c r="A404" s="110" t="s">
        <v>611</v>
      </c>
      <c r="B404" s="110" t="s">
        <v>612</v>
      </c>
      <c r="C404" s="110" t="s">
        <v>613</v>
      </c>
      <c r="D404" s="110" t="s">
        <v>614</v>
      </c>
      <c r="E404" s="110" t="s">
        <v>81</v>
      </c>
      <c r="F404" s="110" t="s">
        <v>615</v>
      </c>
      <c r="G404" s="110" t="s">
        <v>616</v>
      </c>
      <c r="H404" s="110" t="s">
        <v>617</v>
      </c>
      <c r="I404" s="110" t="s">
        <v>618</v>
      </c>
      <c r="J404" s="110" t="s">
        <v>390</v>
      </c>
      <c r="K404" s="110" t="s">
        <v>351</v>
      </c>
      <c r="L404" s="110" t="s">
        <v>352</v>
      </c>
      <c r="M404" s="110" t="s">
        <v>292</v>
      </c>
      <c r="N404" s="110" t="s">
        <v>353</v>
      </c>
      <c r="O404" s="110" t="s">
        <v>619</v>
      </c>
    </row>
    <row r="405" spans="1:15" ht="29" x14ac:dyDescent="0.35">
      <c r="A405" s="105" t="s">
        <v>620</v>
      </c>
      <c r="B405" s="105" t="s">
        <v>770</v>
      </c>
      <c r="C405" s="105" t="s">
        <v>622</v>
      </c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</row>
    <row r="406" spans="1:15" x14ac:dyDescent="0.35">
      <c r="A406" s="105" t="s">
        <v>623</v>
      </c>
      <c r="B406" s="105" t="s">
        <v>771</v>
      </c>
      <c r="C406" s="105" t="s">
        <v>622</v>
      </c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</row>
    <row r="407" spans="1:15" ht="29" x14ac:dyDescent="0.35">
      <c r="A407" s="105" t="s">
        <v>625</v>
      </c>
      <c r="B407" s="105" t="s">
        <v>772</v>
      </c>
      <c r="C407" s="105" t="s">
        <v>622</v>
      </c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</row>
    <row r="408" spans="1:15" ht="29" x14ac:dyDescent="0.35">
      <c r="A408" s="105" t="s">
        <v>627</v>
      </c>
      <c r="B408" s="105" t="s">
        <v>773</v>
      </c>
      <c r="C408" s="105" t="s">
        <v>743</v>
      </c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</row>
    <row r="409" spans="1:15" ht="29" x14ac:dyDescent="0.35">
      <c r="A409" s="105" t="s">
        <v>629</v>
      </c>
      <c r="B409" s="105" t="s">
        <v>774</v>
      </c>
      <c r="C409" s="105" t="s">
        <v>743</v>
      </c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</row>
    <row r="410" spans="1:15" ht="29" x14ac:dyDescent="0.35">
      <c r="A410" s="105" t="s">
        <v>631</v>
      </c>
      <c r="B410" s="105" t="s">
        <v>775</v>
      </c>
      <c r="C410" s="105" t="s">
        <v>622</v>
      </c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</row>
    <row r="411" spans="1:15" ht="29" x14ac:dyDescent="0.35">
      <c r="A411" s="105" t="s">
        <v>633</v>
      </c>
      <c r="B411" s="105" t="s">
        <v>776</v>
      </c>
      <c r="C411" s="105" t="s">
        <v>746</v>
      </c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</row>
    <row r="412" spans="1:15" ht="29" x14ac:dyDescent="0.35">
      <c r="A412" s="105" t="s">
        <v>635</v>
      </c>
      <c r="B412" s="105" t="s">
        <v>789</v>
      </c>
      <c r="C412" s="105" t="s">
        <v>748</v>
      </c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</row>
    <row r="413" spans="1:15" x14ac:dyDescent="0.35">
      <c r="A413" s="105" t="s">
        <v>637</v>
      </c>
      <c r="B413" s="105" t="s">
        <v>790</v>
      </c>
      <c r="C413" s="105" t="s">
        <v>743</v>
      </c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</row>
    <row r="414" spans="1:15" ht="29" x14ac:dyDescent="0.35">
      <c r="A414" s="105" t="s">
        <v>639</v>
      </c>
      <c r="B414" s="105" t="s">
        <v>791</v>
      </c>
      <c r="C414" s="105" t="s">
        <v>622</v>
      </c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</row>
    <row r="415" spans="1:15" ht="29" x14ac:dyDescent="0.35">
      <c r="A415" s="105" t="s">
        <v>641</v>
      </c>
      <c r="B415" s="105" t="s">
        <v>777</v>
      </c>
      <c r="C415" s="105" t="s">
        <v>622</v>
      </c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</row>
    <row r="416" spans="1:15" ht="29" x14ac:dyDescent="0.35">
      <c r="A416" s="105" t="s">
        <v>643</v>
      </c>
      <c r="B416" s="105" t="s">
        <v>778</v>
      </c>
      <c r="C416" s="105" t="s">
        <v>622</v>
      </c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</row>
    <row r="417" spans="1:15" ht="29" x14ac:dyDescent="0.35">
      <c r="A417" s="105" t="s">
        <v>644</v>
      </c>
      <c r="B417" s="105" t="s">
        <v>779</v>
      </c>
      <c r="C417" s="105" t="s">
        <v>648</v>
      </c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</row>
    <row r="418" spans="1:15" ht="29" x14ac:dyDescent="0.35">
      <c r="A418" s="105" t="s">
        <v>645</v>
      </c>
      <c r="B418" s="105" t="s">
        <v>780</v>
      </c>
      <c r="C418" s="105" t="s">
        <v>622</v>
      </c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</row>
    <row r="419" spans="1:15" ht="29" x14ac:dyDescent="0.35">
      <c r="A419" s="105" t="s">
        <v>646</v>
      </c>
      <c r="B419" s="105" t="s">
        <v>781</v>
      </c>
      <c r="C419" s="105" t="s">
        <v>622</v>
      </c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</row>
    <row r="420" spans="1:15" ht="29" x14ac:dyDescent="0.35">
      <c r="A420" s="105" t="s">
        <v>649</v>
      </c>
      <c r="B420" s="105" t="s">
        <v>782</v>
      </c>
      <c r="C420" s="105" t="s">
        <v>622</v>
      </c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</row>
    <row r="421" spans="1:15" ht="29" x14ac:dyDescent="0.35">
      <c r="A421" s="105" t="s">
        <v>651</v>
      </c>
      <c r="B421" s="105" t="s">
        <v>783</v>
      </c>
      <c r="C421" s="105" t="s">
        <v>622</v>
      </c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</row>
    <row r="422" spans="1:15" ht="29" x14ac:dyDescent="0.35">
      <c r="A422" s="105" t="s">
        <v>653</v>
      </c>
      <c r="B422" s="105" t="s">
        <v>784</v>
      </c>
      <c r="C422" s="105" t="s">
        <v>751</v>
      </c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</row>
    <row r="423" spans="1:15" ht="29" x14ac:dyDescent="0.35">
      <c r="A423" s="105" t="s">
        <v>655</v>
      </c>
      <c r="B423" s="105" t="s">
        <v>785</v>
      </c>
      <c r="C423" s="105" t="s">
        <v>786</v>
      </c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</row>
    <row r="424" spans="1:15" ht="29" x14ac:dyDescent="0.35">
      <c r="A424" s="105" t="s">
        <v>658</v>
      </c>
      <c r="B424" s="105" t="s">
        <v>787</v>
      </c>
      <c r="C424" s="105" t="s">
        <v>788</v>
      </c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</row>
    <row r="425" spans="1:15" ht="29" x14ac:dyDescent="0.35">
      <c r="A425" s="105" t="s">
        <v>660</v>
      </c>
      <c r="B425" s="105" t="s">
        <v>706</v>
      </c>
      <c r="C425" s="105" t="s">
        <v>622</v>
      </c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</row>
    <row r="426" spans="1:15" ht="29" x14ac:dyDescent="0.35">
      <c r="A426" s="105" t="s">
        <v>662</v>
      </c>
      <c r="B426" s="105" t="s">
        <v>682</v>
      </c>
      <c r="C426" s="105" t="s">
        <v>683</v>
      </c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</row>
    <row r="427" spans="1:15" ht="29" x14ac:dyDescent="0.35">
      <c r="A427" s="105" t="s">
        <v>664</v>
      </c>
      <c r="B427" s="105" t="s">
        <v>685</v>
      </c>
      <c r="C427" s="105" t="s">
        <v>686</v>
      </c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</row>
    <row r="428" spans="1:15" ht="29" x14ac:dyDescent="0.35">
      <c r="A428" s="105" t="s">
        <v>666</v>
      </c>
      <c r="B428" s="105" t="s">
        <v>688</v>
      </c>
      <c r="C428" s="105" t="s">
        <v>686</v>
      </c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</row>
    <row r="429" spans="1:15" ht="29" x14ac:dyDescent="0.35">
      <c r="A429" s="105" t="s">
        <v>668</v>
      </c>
      <c r="B429" s="105" t="s">
        <v>690</v>
      </c>
      <c r="C429" s="105" t="s">
        <v>686</v>
      </c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</row>
    <row r="430" spans="1:15" ht="29" x14ac:dyDescent="0.35">
      <c r="A430" s="105" t="s">
        <v>670</v>
      </c>
      <c r="B430" s="105" t="s">
        <v>692</v>
      </c>
      <c r="C430" s="105" t="s">
        <v>686</v>
      </c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</row>
    <row r="431" spans="1:15" ht="29" x14ac:dyDescent="0.35">
      <c r="A431" s="105" t="s">
        <v>672</v>
      </c>
      <c r="B431" s="105" t="s">
        <v>694</v>
      </c>
      <c r="C431" s="105" t="s">
        <v>686</v>
      </c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</row>
    <row r="432" spans="1:15" ht="29" x14ac:dyDescent="0.35">
      <c r="A432" s="105" t="s">
        <v>674</v>
      </c>
      <c r="B432" s="105" t="s">
        <v>696</v>
      </c>
      <c r="C432" s="105" t="s">
        <v>686</v>
      </c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</row>
    <row r="433" spans="1:15" ht="29" x14ac:dyDescent="0.35">
      <c r="A433" s="105" t="s">
        <v>676</v>
      </c>
      <c r="B433" s="105" t="s">
        <v>698</v>
      </c>
      <c r="C433" s="105" t="s">
        <v>686</v>
      </c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</row>
    <row r="434" spans="1:15" x14ac:dyDescent="0.35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</row>
    <row r="435" spans="1:15" x14ac:dyDescent="0.35">
      <c r="A435" s="166" t="s">
        <v>723</v>
      </c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2"/>
    </row>
    <row r="436" spans="1:15" ht="58" x14ac:dyDescent="0.35">
      <c r="A436" s="108" t="s">
        <v>700</v>
      </c>
      <c r="B436" s="108" t="s">
        <v>701</v>
      </c>
      <c r="C436" s="108" t="s">
        <v>390</v>
      </c>
      <c r="D436" s="108" t="s">
        <v>351</v>
      </c>
      <c r="E436" s="108" t="s">
        <v>352</v>
      </c>
      <c r="F436" s="108" t="s">
        <v>292</v>
      </c>
      <c r="G436" s="108" t="s">
        <v>619</v>
      </c>
      <c r="H436" s="108" t="s">
        <v>353</v>
      </c>
      <c r="I436" s="108" t="s">
        <v>610</v>
      </c>
      <c r="J436" s="105"/>
      <c r="K436" s="105"/>
      <c r="L436" s="105"/>
      <c r="M436" s="105"/>
      <c r="N436" s="105"/>
      <c r="O436" s="105"/>
    </row>
    <row r="437" spans="1:15" x14ac:dyDescent="0.35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</row>
    <row r="438" spans="1:15" x14ac:dyDescent="0.35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</row>
    <row r="439" spans="1:15" x14ac:dyDescent="0.35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</row>
    <row r="440" spans="1:15" x14ac:dyDescent="0.35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</row>
    <row r="441" spans="1:15" x14ac:dyDescent="0.35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</row>
    <row r="442" spans="1:15" x14ac:dyDescent="0.35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</row>
    <row r="443" spans="1:15" x14ac:dyDescent="0.35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</row>
    <row r="444" spans="1:15" x14ac:dyDescent="0.35">
      <c r="A444" s="167" t="s">
        <v>724</v>
      </c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2"/>
    </row>
    <row r="445" spans="1:15" ht="72.5" x14ac:dyDescent="0.35">
      <c r="A445" s="108" t="s">
        <v>600</v>
      </c>
      <c r="B445" s="108"/>
      <c r="C445" s="108" t="s">
        <v>601</v>
      </c>
      <c r="D445" s="108"/>
      <c r="E445" s="108" t="s">
        <v>602</v>
      </c>
      <c r="F445" s="108"/>
      <c r="G445" s="108" t="s">
        <v>603</v>
      </c>
      <c r="H445" s="108"/>
      <c r="I445" s="108" t="s">
        <v>604</v>
      </c>
      <c r="J445" s="108"/>
      <c r="K445" s="108" t="s">
        <v>6</v>
      </c>
      <c r="L445" s="108"/>
      <c r="M445" s="108" t="s">
        <v>605</v>
      </c>
      <c r="N445" s="108"/>
      <c r="O445" s="108"/>
    </row>
    <row r="446" spans="1:15" ht="72.5" x14ac:dyDescent="0.35">
      <c r="A446" s="108" t="s">
        <v>606</v>
      </c>
      <c r="B446" s="108"/>
      <c r="C446" s="108" t="s">
        <v>607</v>
      </c>
      <c r="D446" s="108"/>
      <c r="E446" s="108" t="s">
        <v>608</v>
      </c>
      <c r="F446" s="108"/>
      <c r="G446" s="108" t="s">
        <v>609</v>
      </c>
      <c r="H446" s="108"/>
      <c r="I446" s="108" t="s">
        <v>610</v>
      </c>
      <c r="J446" s="109">
        <f>IFERROR(COUNTIF(E449:E477,"Yes")/(COUNTIF(E449:E477,"Yes")+COUNTIF(F449:F477,"No")),0)</f>
        <v>0</v>
      </c>
      <c r="K446" s="108"/>
      <c r="L446" s="108" t="str">
        <f>IF(J446&gt;=0.9,"Green",IF(J446&gt;=0.75,"Amber","Red"))</f>
        <v>Red</v>
      </c>
      <c r="M446" s="108"/>
      <c r="N446" s="108"/>
      <c r="O446" s="108"/>
    </row>
    <row r="447" spans="1:15" x14ac:dyDescent="0.35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</row>
    <row r="448" spans="1:15" ht="29" x14ac:dyDescent="0.35">
      <c r="A448" s="110" t="s">
        <v>611</v>
      </c>
      <c r="B448" s="110" t="s">
        <v>612</v>
      </c>
      <c r="C448" s="110" t="s">
        <v>613</v>
      </c>
      <c r="D448" s="110" t="s">
        <v>614</v>
      </c>
      <c r="E448" s="110" t="s">
        <v>81</v>
      </c>
      <c r="F448" s="110" t="s">
        <v>615</v>
      </c>
      <c r="G448" s="110" t="s">
        <v>616</v>
      </c>
      <c r="H448" s="110" t="s">
        <v>617</v>
      </c>
      <c r="I448" s="110" t="s">
        <v>618</v>
      </c>
      <c r="J448" s="110" t="s">
        <v>390</v>
      </c>
      <c r="K448" s="110" t="s">
        <v>351</v>
      </c>
      <c r="L448" s="110" t="s">
        <v>352</v>
      </c>
      <c r="M448" s="110" t="s">
        <v>292</v>
      </c>
      <c r="N448" s="110" t="s">
        <v>353</v>
      </c>
      <c r="O448" s="110" t="s">
        <v>619</v>
      </c>
    </row>
    <row r="449" spans="1:15" ht="29" x14ac:dyDescent="0.35">
      <c r="A449" s="105" t="s">
        <v>620</v>
      </c>
      <c r="B449" s="105" t="s">
        <v>770</v>
      </c>
      <c r="C449" s="105" t="s">
        <v>622</v>
      </c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</row>
    <row r="450" spans="1:15" x14ac:dyDescent="0.35">
      <c r="A450" s="105" t="s">
        <v>623</v>
      </c>
      <c r="B450" s="105" t="s">
        <v>771</v>
      </c>
      <c r="C450" s="105" t="s">
        <v>622</v>
      </c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</row>
    <row r="451" spans="1:15" ht="29" x14ac:dyDescent="0.35">
      <c r="A451" s="105" t="s">
        <v>625</v>
      </c>
      <c r="B451" s="105" t="s">
        <v>772</v>
      </c>
      <c r="C451" s="105" t="s">
        <v>622</v>
      </c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</row>
    <row r="452" spans="1:15" ht="29" x14ac:dyDescent="0.35">
      <c r="A452" s="105" t="s">
        <v>627</v>
      </c>
      <c r="B452" s="105" t="s">
        <v>773</v>
      </c>
      <c r="C452" s="105" t="s">
        <v>743</v>
      </c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</row>
    <row r="453" spans="1:15" ht="29" x14ac:dyDescent="0.35">
      <c r="A453" s="105" t="s">
        <v>629</v>
      </c>
      <c r="B453" s="105" t="s">
        <v>774</v>
      </c>
      <c r="C453" s="105" t="s">
        <v>743</v>
      </c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</row>
    <row r="454" spans="1:15" ht="29" x14ac:dyDescent="0.35">
      <c r="A454" s="105" t="s">
        <v>631</v>
      </c>
      <c r="B454" s="105" t="s">
        <v>775</v>
      </c>
      <c r="C454" s="105" t="s">
        <v>622</v>
      </c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</row>
    <row r="455" spans="1:15" ht="29" x14ac:dyDescent="0.35">
      <c r="A455" s="105" t="s">
        <v>633</v>
      </c>
      <c r="B455" s="105" t="s">
        <v>776</v>
      </c>
      <c r="C455" s="105" t="s">
        <v>746</v>
      </c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</row>
    <row r="456" spans="1:15" ht="29" x14ac:dyDescent="0.35">
      <c r="A456" s="105" t="s">
        <v>635</v>
      </c>
      <c r="B456" s="105" t="s">
        <v>789</v>
      </c>
      <c r="C456" s="105" t="s">
        <v>748</v>
      </c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</row>
    <row r="457" spans="1:15" x14ac:dyDescent="0.35">
      <c r="A457" s="105" t="s">
        <v>637</v>
      </c>
      <c r="B457" s="105" t="s">
        <v>790</v>
      </c>
      <c r="C457" s="105" t="s">
        <v>743</v>
      </c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</row>
    <row r="458" spans="1:15" ht="29" x14ac:dyDescent="0.35">
      <c r="A458" s="105" t="s">
        <v>639</v>
      </c>
      <c r="B458" s="105" t="s">
        <v>791</v>
      </c>
      <c r="C458" s="105" t="s">
        <v>622</v>
      </c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</row>
    <row r="459" spans="1:15" ht="29" x14ac:dyDescent="0.35">
      <c r="A459" s="105" t="s">
        <v>641</v>
      </c>
      <c r="B459" s="105" t="s">
        <v>777</v>
      </c>
      <c r="C459" s="105" t="s">
        <v>622</v>
      </c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</row>
    <row r="460" spans="1:15" ht="29" x14ac:dyDescent="0.35">
      <c r="A460" s="105" t="s">
        <v>643</v>
      </c>
      <c r="B460" s="105" t="s">
        <v>778</v>
      </c>
      <c r="C460" s="105" t="s">
        <v>622</v>
      </c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</row>
    <row r="461" spans="1:15" ht="29" x14ac:dyDescent="0.35">
      <c r="A461" s="105" t="s">
        <v>644</v>
      </c>
      <c r="B461" s="105" t="s">
        <v>779</v>
      </c>
      <c r="C461" s="105" t="s">
        <v>648</v>
      </c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</row>
    <row r="462" spans="1:15" ht="29" x14ac:dyDescent="0.35">
      <c r="A462" s="105" t="s">
        <v>645</v>
      </c>
      <c r="B462" s="105" t="s">
        <v>780</v>
      </c>
      <c r="C462" s="105" t="s">
        <v>622</v>
      </c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</row>
    <row r="463" spans="1:15" ht="29" x14ac:dyDescent="0.35">
      <c r="A463" s="105" t="s">
        <v>646</v>
      </c>
      <c r="B463" s="105" t="s">
        <v>781</v>
      </c>
      <c r="C463" s="105" t="s">
        <v>622</v>
      </c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</row>
    <row r="464" spans="1:15" ht="29" x14ac:dyDescent="0.35">
      <c r="A464" s="105" t="s">
        <v>649</v>
      </c>
      <c r="B464" s="105" t="s">
        <v>782</v>
      </c>
      <c r="C464" s="105" t="s">
        <v>622</v>
      </c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</row>
    <row r="465" spans="1:15" ht="29" x14ac:dyDescent="0.35">
      <c r="A465" s="105" t="s">
        <v>651</v>
      </c>
      <c r="B465" s="105" t="s">
        <v>783</v>
      </c>
      <c r="C465" s="105" t="s">
        <v>622</v>
      </c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</row>
    <row r="466" spans="1:15" ht="29" x14ac:dyDescent="0.35">
      <c r="A466" s="105" t="s">
        <v>653</v>
      </c>
      <c r="B466" s="105" t="s">
        <v>784</v>
      </c>
      <c r="C466" s="105" t="s">
        <v>751</v>
      </c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</row>
    <row r="467" spans="1:15" ht="29" x14ac:dyDescent="0.35">
      <c r="A467" s="105" t="s">
        <v>655</v>
      </c>
      <c r="B467" s="105" t="s">
        <v>785</v>
      </c>
      <c r="C467" s="105" t="s">
        <v>786</v>
      </c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</row>
    <row r="468" spans="1:15" ht="29" x14ac:dyDescent="0.35">
      <c r="A468" s="105" t="s">
        <v>658</v>
      </c>
      <c r="B468" s="105" t="s">
        <v>787</v>
      </c>
      <c r="C468" s="105" t="s">
        <v>788</v>
      </c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</row>
    <row r="469" spans="1:15" ht="29" x14ac:dyDescent="0.35">
      <c r="A469" s="105" t="s">
        <v>660</v>
      </c>
      <c r="B469" s="105" t="s">
        <v>706</v>
      </c>
      <c r="C469" s="105" t="s">
        <v>622</v>
      </c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</row>
    <row r="470" spans="1:15" ht="29" x14ac:dyDescent="0.35">
      <c r="A470" s="105" t="s">
        <v>662</v>
      </c>
      <c r="B470" s="105" t="s">
        <v>682</v>
      </c>
      <c r="C470" s="105" t="s">
        <v>683</v>
      </c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</row>
    <row r="471" spans="1:15" ht="29" x14ac:dyDescent="0.35">
      <c r="A471" s="105" t="s">
        <v>664</v>
      </c>
      <c r="B471" s="105" t="s">
        <v>685</v>
      </c>
      <c r="C471" s="105" t="s">
        <v>686</v>
      </c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</row>
    <row r="472" spans="1:15" ht="29" x14ac:dyDescent="0.35">
      <c r="A472" s="105" t="s">
        <v>666</v>
      </c>
      <c r="B472" s="105" t="s">
        <v>688</v>
      </c>
      <c r="C472" s="105" t="s">
        <v>686</v>
      </c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</row>
    <row r="473" spans="1:15" ht="29" x14ac:dyDescent="0.35">
      <c r="A473" s="105" t="s">
        <v>668</v>
      </c>
      <c r="B473" s="105" t="s">
        <v>690</v>
      </c>
      <c r="C473" s="105" t="s">
        <v>686</v>
      </c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</row>
    <row r="474" spans="1:15" ht="29" x14ac:dyDescent="0.35">
      <c r="A474" s="105" t="s">
        <v>670</v>
      </c>
      <c r="B474" s="105" t="s">
        <v>692</v>
      </c>
      <c r="C474" s="105" t="s">
        <v>686</v>
      </c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</row>
    <row r="475" spans="1:15" ht="29" x14ac:dyDescent="0.35">
      <c r="A475" s="105" t="s">
        <v>672</v>
      </c>
      <c r="B475" s="105" t="s">
        <v>694</v>
      </c>
      <c r="C475" s="105" t="s">
        <v>686</v>
      </c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</row>
    <row r="476" spans="1:15" ht="29" x14ac:dyDescent="0.35">
      <c r="A476" s="105" t="s">
        <v>674</v>
      </c>
      <c r="B476" s="105" t="s">
        <v>696</v>
      </c>
      <c r="C476" s="105" t="s">
        <v>686</v>
      </c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</row>
    <row r="477" spans="1:15" ht="29" x14ac:dyDescent="0.35">
      <c r="A477" s="105" t="s">
        <v>676</v>
      </c>
      <c r="B477" s="105" t="s">
        <v>698</v>
      </c>
      <c r="C477" s="105" t="s">
        <v>686</v>
      </c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</row>
    <row r="478" spans="1:15" x14ac:dyDescent="0.35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</row>
    <row r="479" spans="1:15" x14ac:dyDescent="0.35">
      <c r="A479" s="166" t="s">
        <v>725</v>
      </c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2"/>
    </row>
    <row r="480" spans="1:15" ht="58" x14ac:dyDescent="0.35">
      <c r="A480" s="108" t="s">
        <v>700</v>
      </c>
      <c r="B480" s="108" t="s">
        <v>701</v>
      </c>
      <c r="C480" s="108" t="s">
        <v>390</v>
      </c>
      <c r="D480" s="108" t="s">
        <v>351</v>
      </c>
      <c r="E480" s="108" t="s">
        <v>352</v>
      </c>
      <c r="F480" s="108" t="s">
        <v>292</v>
      </c>
      <c r="G480" s="108" t="s">
        <v>619</v>
      </c>
      <c r="H480" s="108" t="s">
        <v>353</v>
      </c>
      <c r="I480" s="108" t="s">
        <v>610</v>
      </c>
      <c r="J480" s="105"/>
      <c r="K480" s="105"/>
      <c r="L480" s="105"/>
      <c r="M480" s="105"/>
      <c r="N480" s="105"/>
      <c r="O480" s="105"/>
    </row>
    <row r="481" spans="1:15" x14ac:dyDescent="0.35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</row>
    <row r="482" spans="1:15" x14ac:dyDescent="0.35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</row>
    <row r="483" spans="1:15" x14ac:dyDescent="0.35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</row>
    <row r="484" spans="1:15" x14ac:dyDescent="0.35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</row>
    <row r="485" spans="1:15" x14ac:dyDescent="0.3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</row>
    <row r="486" spans="1:15" x14ac:dyDescent="0.35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</row>
    <row r="487" spans="1:15" x14ac:dyDescent="0.35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</row>
    <row r="488" spans="1:15" x14ac:dyDescent="0.35">
      <c r="A488" s="167" t="s">
        <v>726</v>
      </c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2"/>
    </row>
    <row r="489" spans="1:15" ht="72.5" x14ac:dyDescent="0.35">
      <c r="A489" s="108" t="s">
        <v>600</v>
      </c>
      <c r="B489" s="108"/>
      <c r="C489" s="108" t="s">
        <v>601</v>
      </c>
      <c r="D489" s="108"/>
      <c r="E489" s="108" t="s">
        <v>602</v>
      </c>
      <c r="F489" s="108"/>
      <c r="G489" s="108" t="s">
        <v>603</v>
      </c>
      <c r="H489" s="108"/>
      <c r="I489" s="108" t="s">
        <v>604</v>
      </c>
      <c r="J489" s="108"/>
      <c r="K489" s="108" t="s">
        <v>6</v>
      </c>
      <c r="L489" s="108"/>
      <c r="M489" s="108" t="s">
        <v>605</v>
      </c>
      <c r="N489" s="108"/>
      <c r="O489" s="108"/>
    </row>
    <row r="490" spans="1:15" ht="72.5" x14ac:dyDescent="0.35">
      <c r="A490" s="108" t="s">
        <v>606</v>
      </c>
      <c r="B490" s="108"/>
      <c r="C490" s="108" t="s">
        <v>607</v>
      </c>
      <c r="D490" s="108"/>
      <c r="E490" s="108" t="s">
        <v>608</v>
      </c>
      <c r="F490" s="108"/>
      <c r="G490" s="108" t="s">
        <v>609</v>
      </c>
      <c r="H490" s="108"/>
      <c r="I490" s="108" t="s">
        <v>610</v>
      </c>
      <c r="J490" s="109">
        <f>IFERROR(COUNTIF(E493:E521,"Yes")/(COUNTIF(E493:E521,"Yes")+COUNTIF(F493:F521,"No")),0)</f>
        <v>0</v>
      </c>
      <c r="K490" s="108"/>
      <c r="L490" s="108" t="str">
        <f>IF(J490&gt;=0.9,"Green",IF(J490&gt;=0.75,"Amber","Red"))</f>
        <v>Red</v>
      </c>
      <c r="M490" s="108"/>
      <c r="N490" s="108"/>
      <c r="O490" s="108"/>
    </row>
    <row r="491" spans="1:15" x14ac:dyDescent="0.35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</row>
    <row r="492" spans="1:15" ht="29" x14ac:dyDescent="0.35">
      <c r="A492" s="110" t="s">
        <v>611</v>
      </c>
      <c r="B492" s="110" t="s">
        <v>612</v>
      </c>
      <c r="C492" s="110" t="s">
        <v>613</v>
      </c>
      <c r="D492" s="110" t="s">
        <v>614</v>
      </c>
      <c r="E492" s="110" t="s">
        <v>81</v>
      </c>
      <c r="F492" s="110" t="s">
        <v>615</v>
      </c>
      <c r="G492" s="110" t="s">
        <v>616</v>
      </c>
      <c r="H492" s="110" t="s">
        <v>617</v>
      </c>
      <c r="I492" s="110" t="s">
        <v>618</v>
      </c>
      <c r="J492" s="110" t="s">
        <v>390</v>
      </c>
      <c r="K492" s="110" t="s">
        <v>351</v>
      </c>
      <c r="L492" s="110" t="s">
        <v>352</v>
      </c>
      <c r="M492" s="110" t="s">
        <v>292</v>
      </c>
      <c r="N492" s="110" t="s">
        <v>353</v>
      </c>
      <c r="O492" s="110" t="s">
        <v>619</v>
      </c>
    </row>
    <row r="493" spans="1:15" ht="29" x14ac:dyDescent="0.35">
      <c r="A493" s="105" t="s">
        <v>620</v>
      </c>
      <c r="B493" s="105" t="s">
        <v>770</v>
      </c>
      <c r="C493" s="105" t="s">
        <v>622</v>
      </c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</row>
    <row r="494" spans="1:15" x14ac:dyDescent="0.35">
      <c r="A494" s="105" t="s">
        <v>623</v>
      </c>
      <c r="B494" s="105" t="s">
        <v>771</v>
      </c>
      <c r="C494" s="105" t="s">
        <v>622</v>
      </c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</row>
    <row r="495" spans="1:15" ht="29" x14ac:dyDescent="0.35">
      <c r="A495" s="105" t="s">
        <v>625</v>
      </c>
      <c r="B495" s="105" t="s">
        <v>772</v>
      </c>
      <c r="C495" s="105" t="s">
        <v>622</v>
      </c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</row>
    <row r="496" spans="1:15" ht="29" x14ac:dyDescent="0.35">
      <c r="A496" s="105" t="s">
        <v>627</v>
      </c>
      <c r="B496" s="105" t="s">
        <v>773</v>
      </c>
      <c r="C496" s="105" t="s">
        <v>743</v>
      </c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</row>
    <row r="497" spans="1:15" ht="29" x14ac:dyDescent="0.35">
      <c r="A497" s="105" t="s">
        <v>629</v>
      </c>
      <c r="B497" s="105" t="s">
        <v>774</v>
      </c>
      <c r="C497" s="105" t="s">
        <v>743</v>
      </c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</row>
    <row r="498" spans="1:15" ht="29" x14ac:dyDescent="0.35">
      <c r="A498" s="105" t="s">
        <v>631</v>
      </c>
      <c r="B498" s="105" t="s">
        <v>775</v>
      </c>
      <c r="C498" s="105" t="s">
        <v>622</v>
      </c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</row>
    <row r="499" spans="1:15" ht="29" x14ac:dyDescent="0.35">
      <c r="A499" s="105" t="s">
        <v>633</v>
      </c>
      <c r="B499" s="105" t="s">
        <v>776</v>
      </c>
      <c r="C499" s="105" t="s">
        <v>746</v>
      </c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</row>
    <row r="500" spans="1:15" ht="29" x14ac:dyDescent="0.35">
      <c r="A500" s="105" t="s">
        <v>635</v>
      </c>
      <c r="B500" s="105" t="s">
        <v>789</v>
      </c>
      <c r="C500" s="105" t="s">
        <v>748</v>
      </c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</row>
    <row r="501" spans="1:15" x14ac:dyDescent="0.35">
      <c r="A501" s="105" t="s">
        <v>637</v>
      </c>
      <c r="B501" s="105" t="s">
        <v>790</v>
      </c>
      <c r="C501" s="105" t="s">
        <v>743</v>
      </c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</row>
    <row r="502" spans="1:15" ht="29" x14ac:dyDescent="0.35">
      <c r="A502" s="105" t="s">
        <v>639</v>
      </c>
      <c r="B502" s="105" t="s">
        <v>791</v>
      </c>
      <c r="C502" s="105" t="s">
        <v>622</v>
      </c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</row>
    <row r="503" spans="1:15" ht="29" x14ac:dyDescent="0.35">
      <c r="A503" s="105" t="s">
        <v>641</v>
      </c>
      <c r="B503" s="105" t="s">
        <v>777</v>
      </c>
      <c r="C503" s="105" t="s">
        <v>622</v>
      </c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</row>
    <row r="504" spans="1:15" ht="29" x14ac:dyDescent="0.35">
      <c r="A504" s="105" t="s">
        <v>643</v>
      </c>
      <c r="B504" s="105" t="s">
        <v>778</v>
      </c>
      <c r="C504" s="105" t="s">
        <v>622</v>
      </c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</row>
    <row r="505" spans="1:15" ht="29" x14ac:dyDescent="0.35">
      <c r="A505" s="105" t="s">
        <v>644</v>
      </c>
      <c r="B505" s="105" t="s">
        <v>779</v>
      </c>
      <c r="C505" s="105" t="s">
        <v>648</v>
      </c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</row>
    <row r="506" spans="1:15" ht="29" x14ac:dyDescent="0.35">
      <c r="A506" s="105" t="s">
        <v>645</v>
      </c>
      <c r="B506" s="105" t="s">
        <v>780</v>
      </c>
      <c r="C506" s="105" t="s">
        <v>622</v>
      </c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</row>
    <row r="507" spans="1:15" ht="29" x14ac:dyDescent="0.35">
      <c r="A507" s="105" t="s">
        <v>646</v>
      </c>
      <c r="B507" s="105" t="s">
        <v>781</v>
      </c>
      <c r="C507" s="105" t="s">
        <v>622</v>
      </c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</row>
    <row r="508" spans="1:15" ht="29" x14ac:dyDescent="0.35">
      <c r="A508" s="105" t="s">
        <v>649</v>
      </c>
      <c r="B508" s="105" t="s">
        <v>782</v>
      </c>
      <c r="C508" s="105" t="s">
        <v>622</v>
      </c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</row>
    <row r="509" spans="1:15" ht="29" x14ac:dyDescent="0.35">
      <c r="A509" s="105" t="s">
        <v>651</v>
      </c>
      <c r="B509" s="105" t="s">
        <v>783</v>
      </c>
      <c r="C509" s="105" t="s">
        <v>622</v>
      </c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</row>
    <row r="510" spans="1:15" ht="29" x14ac:dyDescent="0.35">
      <c r="A510" s="105" t="s">
        <v>653</v>
      </c>
      <c r="B510" s="105" t="s">
        <v>784</v>
      </c>
      <c r="C510" s="105" t="s">
        <v>751</v>
      </c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</row>
    <row r="511" spans="1:15" ht="29" x14ac:dyDescent="0.35">
      <c r="A511" s="105" t="s">
        <v>655</v>
      </c>
      <c r="B511" s="105" t="s">
        <v>785</v>
      </c>
      <c r="C511" s="105" t="s">
        <v>786</v>
      </c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</row>
    <row r="512" spans="1:15" ht="29" x14ac:dyDescent="0.35">
      <c r="A512" s="105" t="s">
        <v>658</v>
      </c>
      <c r="B512" s="105" t="s">
        <v>787</v>
      </c>
      <c r="C512" s="105" t="s">
        <v>788</v>
      </c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</row>
    <row r="513" spans="1:15" ht="29" x14ac:dyDescent="0.35">
      <c r="A513" s="105" t="s">
        <v>660</v>
      </c>
      <c r="B513" s="105" t="s">
        <v>706</v>
      </c>
      <c r="C513" s="105" t="s">
        <v>622</v>
      </c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</row>
    <row r="514" spans="1:15" ht="29" x14ac:dyDescent="0.35">
      <c r="A514" s="105" t="s">
        <v>662</v>
      </c>
      <c r="B514" s="105" t="s">
        <v>682</v>
      </c>
      <c r="C514" s="105" t="s">
        <v>683</v>
      </c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</row>
    <row r="515" spans="1:15" ht="29" x14ac:dyDescent="0.35">
      <c r="A515" s="105" t="s">
        <v>664</v>
      </c>
      <c r="B515" s="105" t="s">
        <v>685</v>
      </c>
      <c r="C515" s="105" t="s">
        <v>686</v>
      </c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</row>
    <row r="516" spans="1:15" ht="29" x14ac:dyDescent="0.35">
      <c r="A516" s="105" t="s">
        <v>666</v>
      </c>
      <c r="B516" s="105" t="s">
        <v>688</v>
      </c>
      <c r="C516" s="105" t="s">
        <v>686</v>
      </c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</row>
    <row r="517" spans="1:15" ht="29" x14ac:dyDescent="0.35">
      <c r="A517" s="105" t="s">
        <v>668</v>
      </c>
      <c r="B517" s="105" t="s">
        <v>690</v>
      </c>
      <c r="C517" s="105" t="s">
        <v>686</v>
      </c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</row>
    <row r="518" spans="1:15" ht="29" x14ac:dyDescent="0.35">
      <c r="A518" s="105" t="s">
        <v>670</v>
      </c>
      <c r="B518" s="105" t="s">
        <v>692</v>
      </c>
      <c r="C518" s="105" t="s">
        <v>686</v>
      </c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</row>
    <row r="519" spans="1:15" ht="29" x14ac:dyDescent="0.35">
      <c r="A519" s="105" t="s">
        <v>672</v>
      </c>
      <c r="B519" s="105" t="s">
        <v>694</v>
      </c>
      <c r="C519" s="105" t="s">
        <v>686</v>
      </c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</row>
    <row r="520" spans="1:15" ht="29" x14ac:dyDescent="0.35">
      <c r="A520" s="105" t="s">
        <v>674</v>
      </c>
      <c r="B520" s="105" t="s">
        <v>696</v>
      </c>
      <c r="C520" s="105" t="s">
        <v>686</v>
      </c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</row>
    <row r="521" spans="1:15" ht="29" x14ac:dyDescent="0.35">
      <c r="A521" s="105" t="s">
        <v>676</v>
      </c>
      <c r="B521" s="105" t="s">
        <v>698</v>
      </c>
      <c r="C521" s="105" t="s">
        <v>686</v>
      </c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</row>
    <row r="522" spans="1:15" x14ac:dyDescent="0.35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</row>
    <row r="523" spans="1:15" x14ac:dyDescent="0.35">
      <c r="A523" s="166" t="s">
        <v>727</v>
      </c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2"/>
    </row>
    <row r="524" spans="1:15" ht="58" x14ac:dyDescent="0.35">
      <c r="A524" s="108" t="s">
        <v>700</v>
      </c>
      <c r="B524" s="108" t="s">
        <v>701</v>
      </c>
      <c r="C524" s="108" t="s">
        <v>390</v>
      </c>
      <c r="D524" s="108" t="s">
        <v>351</v>
      </c>
      <c r="E524" s="108" t="s">
        <v>352</v>
      </c>
      <c r="F524" s="108" t="s">
        <v>292</v>
      </c>
      <c r="G524" s="108" t="s">
        <v>619</v>
      </c>
      <c r="H524" s="108" t="s">
        <v>353</v>
      </c>
      <c r="I524" s="108" t="s">
        <v>610</v>
      </c>
      <c r="J524" s="105"/>
      <c r="K524" s="105"/>
      <c r="L524" s="105"/>
      <c r="M524" s="105"/>
      <c r="N524" s="105"/>
      <c r="O524" s="105"/>
    </row>
  </sheetData>
  <mergeCells count="30">
    <mergeCell ref="A136:O136"/>
    <mergeCell ref="A356:O356"/>
    <mergeCell ref="A18:R18"/>
    <mergeCell ref="A1:T1"/>
    <mergeCell ref="A303:O303"/>
    <mergeCell ref="A17:R17"/>
    <mergeCell ref="A312:O312"/>
    <mergeCell ref="A259:O259"/>
    <mergeCell ref="A4:O4"/>
    <mergeCell ref="A224:O224"/>
    <mergeCell ref="A35:R35"/>
    <mergeCell ref="A2:T2"/>
    <mergeCell ref="A127:O127"/>
    <mergeCell ref="A48:O48"/>
    <mergeCell ref="A92:O92"/>
    <mergeCell ref="A39:O39"/>
    <mergeCell ref="A83:O83"/>
    <mergeCell ref="A16:R16"/>
    <mergeCell ref="A268:O268"/>
    <mergeCell ref="A171:O171"/>
    <mergeCell ref="A435:O435"/>
    <mergeCell ref="A400:O400"/>
    <mergeCell ref="A347:O347"/>
    <mergeCell ref="A391:O391"/>
    <mergeCell ref="A523:O523"/>
    <mergeCell ref="A488:O488"/>
    <mergeCell ref="A479:O479"/>
    <mergeCell ref="A215:O215"/>
    <mergeCell ref="A180:O180"/>
    <mergeCell ref="A444:O444"/>
  </mergeCells>
  <conditionalFormatting sqref="I21:I32">
    <cfRule type="expression" dxfId="391" priority="1">
      <formula>I21="Green"</formula>
    </cfRule>
    <cfRule type="expression" dxfId="390" priority="2">
      <formula>I21="Amber"</formula>
    </cfRule>
    <cfRule type="expression" dxfId="389" priority="3">
      <formula>I21="Red"</formula>
    </cfRule>
  </conditionalFormatting>
  <dataValidations count="7">
    <dataValidation type="list" allowBlank="1" sqref="E5:E13" xr:uid="{00000000-0002-0000-1F00-000000000000}">
      <formula1>"Yes,No,Partial,N/A"</formula1>
    </dataValidation>
    <dataValidation type="list" allowBlank="1" sqref="G5:G13" xr:uid="{00000000-0002-0000-1F00-000001000000}">
      <formula1>"Low,Medium,High,Critical"</formula1>
    </dataValidation>
    <dataValidation type="list" allowBlank="1" sqref="S5:S13" xr:uid="{00000000-0002-0000-1F00-000002000000}">
      <formula1>"Open,In Progress,Awaiting Verification,Closed,Escalated"</formula1>
    </dataValidation>
    <dataValidation type="list" allowBlank="1" sqref="G21:G32" xr:uid="{00000000-0002-0000-1F00-000003000000}">
      <formula1>"Yes,No,Partially,N/A"</formula1>
    </dataValidation>
    <dataValidation type="list" allowBlank="1" sqref="I21:I32" xr:uid="{00000000-0002-0000-1F00-000004000000}">
      <formula1>"Green,Amber,Red,Not Started"</formula1>
    </dataValidation>
    <dataValidation type="list" allowBlank="1" sqref="C37:C44 E9:G37 E53:G81 E97:G125 E141:G169 E185:G213 E229:G257 E273:G301 E317:G345 E361:G389 E405:G433 E449:G477 E493:G521" xr:uid="{00000000-0002-0000-1F00-000005000000}">
      <formula1>"Yes,No,N/A"</formula1>
    </dataValidation>
    <dataValidation type="list" allowBlank="1" sqref="H9:H37 H53:H81 H97:H125 H141:H169 H185:H213 H229:H257 H273:H301 H317:H345 H361:H389 H405:H433 H449:H477 H493:H521" xr:uid="{00000000-0002-0000-1F00-000007000000}">
      <formula1>"Low,Medium,High,Critical,N/A"</formula1>
    </dataValidation>
  </dataValidation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500"/>
  <sheetViews>
    <sheetView workbookViewId="0"/>
  </sheetViews>
  <sheetFormatPr defaultRowHeight="14.5" x14ac:dyDescent="0.35"/>
  <cols>
    <col min="1" max="1" width="5" customWidth="1"/>
    <col min="2" max="2" width="46" customWidth="1"/>
    <col min="3" max="3" width="20" customWidth="1"/>
    <col min="4" max="4" width="30" customWidth="1"/>
    <col min="5" max="7" width="7" customWidth="1"/>
    <col min="8" max="8" width="13" customWidth="1"/>
    <col min="9" max="9" width="30" customWidth="1"/>
    <col min="10" max="10" width="26" customWidth="1"/>
    <col min="11" max="11" width="14" customWidth="1"/>
    <col min="12" max="12" width="13" customWidth="1"/>
    <col min="13" max="15" width="14" customWidth="1"/>
    <col min="16" max="16" width="16" customWidth="1"/>
    <col min="17" max="17" width="28" customWidth="1"/>
    <col min="18" max="18" width="40" customWidth="1"/>
    <col min="19" max="19" width="14" customWidth="1"/>
    <col min="20" max="20" width="12" customWidth="1"/>
  </cols>
  <sheetData>
    <row r="1" spans="1:20" ht="28" customHeight="1" x14ac:dyDescent="0.35">
      <c r="A1" s="145" t="s">
        <v>792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2"/>
    </row>
    <row r="2" spans="1:20" x14ac:dyDescent="0.35">
      <c r="A2" s="168" t="s">
        <v>793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2"/>
    </row>
    <row r="3" spans="1:20" x14ac:dyDescent="0.35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0" ht="29" customHeight="1" x14ac:dyDescent="0.35">
      <c r="A4" s="167" t="s">
        <v>599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2"/>
    </row>
    <row r="5" spans="1:20" ht="29" customHeight="1" x14ac:dyDescent="0.35">
      <c r="A5" s="108" t="s">
        <v>600</v>
      </c>
      <c r="B5" s="108"/>
      <c r="C5" s="108" t="s">
        <v>601</v>
      </c>
      <c r="D5" s="108"/>
      <c r="E5" s="108" t="s">
        <v>602</v>
      </c>
      <c r="F5" s="108"/>
      <c r="G5" s="108" t="s">
        <v>603</v>
      </c>
      <c r="H5" s="108"/>
      <c r="I5" s="108" t="s">
        <v>604</v>
      </c>
      <c r="J5" s="108"/>
      <c r="K5" s="108" t="s">
        <v>6</v>
      </c>
      <c r="L5" s="108"/>
      <c r="M5" s="108" t="s">
        <v>605</v>
      </c>
      <c r="N5" s="108"/>
      <c r="O5" s="108"/>
    </row>
    <row r="6" spans="1:20" ht="29" customHeight="1" x14ac:dyDescent="0.35">
      <c r="A6" s="108" t="s">
        <v>606</v>
      </c>
      <c r="B6" s="108"/>
      <c r="C6" s="108" t="s">
        <v>607</v>
      </c>
      <c r="D6" s="108"/>
      <c r="E6" s="108" t="s">
        <v>608</v>
      </c>
      <c r="F6" s="108"/>
      <c r="G6" s="108" t="s">
        <v>609</v>
      </c>
      <c r="H6" s="108"/>
      <c r="I6" s="108" t="s">
        <v>610</v>
      </c>
      <c r="J6" s="109">
        <f>IFERROR(COUNTIF(E9:E35,"Yes")/(COUNTIF(E9:E35,"Yes")+COUNTIF(F9:F35,"No")),0)</f>
        <v>0</v>
      </c>
      <c r="K6" s="108"/>
      <c r="L6" s="108" t="str">
        <f>IF(J6&gt;=0.9,"Green",IF(J6&gt;=0.75,"Amber","Red"))</f>
        <v>Red</v>
      </c>
      <c r="M6" s="108"/>
      <c r="N6" s="108"/>
      <c r="O6" s="108"/>
    </row>
    <row r="7" spans="1:20" x14ac:dyDescent="0.35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</row>
    <row r="8" spans="1:20" ht="29" x14ac:dyDescent="0.35">
      <c r="A8" s="110" t="s">
        <v>611</v>
      </c>
      <c r="B8" s="110" t="s">
        <v>612</v>
      </c>
      <c r="C8" s="110" t="s">
        <v>613</v>
      </c>
      <c r="D8" s="110" t="s">
        <v>614</v>
      </c>
      <c r="E8" s="110" t="s">
        <v>81</v>
      </c>
      <c r="F8" s="110" t="s">
        <v>615</v>
      </c>
      <c r="G8" s="110" t="s">
        <v>616</v>
      </c>
      <c r="H8" s="110" t="s">
        <v>617</v>
      </c>
      <c r="I8" s="110" t="s">
        <v>618</v>
      </c>
      <c r="J8" s="110" t="s">
        <v>390</v>
      </c>
      <c r="K8" s="110" t="s">
        <v>351</v>
      </c>
      <c r="L8" s="110" t="s">
        <v>352</v>
      </c>
      <c r="M8" s="110" t="s">
        <v>292</v>
      </c>
      <c r="N8" s="110" t="s">
        <v>353</v>
      </c>
      <c r="O8" s="110" t="s">
        <v>619</v>
      </c>
    </row>
    <row r="9" spans="1:20" ht="29" x14ac:dyDescent="0.35">
      <c r="A9" s="105" t="s">
        <v>620</v>
      </c>
      <c r="B9" s="105" t="s">
        <v>794</v>
      </c>
      <c r="C9" s="105" t="s">
        <v>622</v>
      </c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</row>
    <row r="10" spans="1:20" ht="29" x14ac:dyDescent="0.35">
      <c r="A10" s="105" t="s">
        <v>623</v>
      </c>
      <c r="B10" s="105" t="s">
        <v>795</v>
      </c>
      <c r="C10" s="105" t="s">
        <v>743</v>
      </c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</row>
    <row r="11" spans="1:20" ht="29" x14ac:dyDescent="0.35">
      <c r="A11" s="105" t="s">
        <v>625</v>
      </c>
      <c r="B11" s="105" t="s">
        <v>796</v>
      </c>
      <c r="C11" s="105" t="s">
        <v>743</v>
      </c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</row>
    <row r="12" spans="1:20" ht="29" x14ac:dyDescent="0.35">
      <c r="A12" s="105" t="s">
        <v>627</v>
      </c>
      <c r="B12" s="105" t="s">
        <v>797</v>
      </c>
      <c r="C12" s="105" t="s">
        <v>743</v>
      </c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</row>
    <row r="13" spans="1:20" ht="29" x14ac:dyDescent="0.35">
      <c r="A13" s="105" t="s">
        <v>629</v>
      </c>
      <c r="B13" s="105" t="s">
        <v>798</v>
      </c>
      <c r="C13" s="105" t="s">
        <v>743</v>
      </c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</row>
    <row r="14" spans="1:20" x14ac:dyDescent="0.35">
      <c r="A14" s="105" t="s">
        <v>631</v>
      </c>
      <c r="B14" s="105" t="s">
        <v>799</v>
      </c>
      <c r="C14" s="105" t="s">
        <v>743</v>
      </c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</row>
    <row r="15" spans="1:20" ht="29" x14ac:dyDescent="0.35">
      <c r="A15" s="105" t="s">
        <v>633</v>
      </c>
      <c r="B15" s="105" t="s">
        <v>800</v>
      </c>
      <c r="C15" s="105" t="s">
        <v>743</v>
      </c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</row>
    <row r="16" spans="1:20" ht="24" customHeight="1" x14ac:dyDescent="0.35">
      <c r="A16" s="169" t="s">
        <v>635</v>
      </c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2"/>
    </row>
    <row r="17" spans="1:18" ht="36" customHeight="1" x14ac:dyDescent="0.35">
      <c r="A17" s="169" t="s">
        <v>637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2"/>
    </row>
    <row r="18" spans="1:18" ht="32" customHeight="1" x14ac:dyDescent="0.35">
      <c r="A18" s="169" t="s">
        <v>639</v>
      </c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2"/>
    </row>
    <row r="19" spans="1:18" ht="29" x14ac:dyDescent="0.35">
      <c r="A19" s="105" t="s">
        <v>641</v>
      </c>
      <c r="B19" s="105" t="s">
        <v>801</v>
      </c>
      <c r="C19" s="105" t="s">
        <v>622</v>
      </c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</row>
    <row r="20" spans="1:18" ht="32" customHeight="1" x14ac:dyDescent="0.35">
      <c r="A20" s="105" t="s">
        <v>643</v>
      </c>
      <c r="B20" s="105" t="s">
        <v>802</v>
      </c>
      <c r="C20" s="105" t="s">
        <v>743</v>
      </c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</row>
    <row r="21" spans="1:18" ht="29" customHeight="1" x14ac:dyDescent="0.35">
      <c r="A21" s="105" t="s">
        <v>644</v>
      </c>
      <c r="B21" s="105" t="s">
        <v>803</v>
      </c>
      <c r="C21" s="105" t="s">
        <v>622</v>
      </c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</row>
    <row r="22" spans="1:18" ht="29" customHeight="1" x14ac:dyDescent="0.35">
      <c r="A22" s="105" t="s">
        <v>645</v>
      </c>
      <c r="B22" s="105" t="s">
        <v>804</v>
      </c>
      <c r="C22" s="105" t="s">
        <v>622</v>
      </c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</row>
    <row r="23" spans="1:18" ht="29" customHeight="1" x14ac:dyDescent="0.35">
      <c r="A23" s="105" t="s">
        <v>646</v>
      </c>
      <c r="B23" s="105" t="s">
        <v>805</v>
      </c>
      <c r="C23" s="105" t="s">
        <v>746</v>
      </c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</row>
    <row r="24" spans="1:18" ht="29" customHeight="1" x14ac:dyDescent="0.35">
      <c r="A24" s="105" t="s">
        <v>649</v>
      </c>
      <c r="B24" s="105" t="s">
        <v>806</v>
      </c>
      <c r="C24" s="105" t="s">
        <v>622</v>
      </c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</row>
    <row r="25" spans="1:18" ht="29" customHeight="1" x14ac:dyDescent="0.35">
      <c r="A25" s="105" t="s">
        <v>651</v>
      </c>
      <c r="B25" s="105" t="s">
        <v>807</v>
      </c>
      <c r="C25" s="105" t="s">
        <v>622</v>
      </c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</row>
    <row r="26" spans="1:18" ht="29" customHeight="1" x14ac:dyDescent="0.35">
      <c r="A26" s="105" t="s">
        <v>653</v>
      </c>
      <c r="B26" s="105" t="s">
        <v>808</v>
      </c>
      <c r="C26" s="105" t="s">
        <v>622</v>
      </c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</row>
    <row r="27" spans="1:18" ht="29" customHeight="1" x14ac:dyDescent="0.35">
      <c r="A27" s="105" t="s">
        <v>655</v>
      </c>
      <c r="B27" s="105" t="s">
        <v>706</v>
      </c>
      <c r="C27" s="105" t="s">
        <v>622</v>
      </c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</row>
    <row r="28" spans="1:18" ht="29" customHeight="1" x14ac:dyDescent="0.35">
      <c r="A28" s="105" t="s">
        <v>658</v>
      </c>
      <c r="B28" s="105" t="s">
        <v>682</v>
      </c>
      <c r="C28" s="105" t="s">
        <v>683</v>
      </c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</row>
    <row r="29" spans="1:18" ht="29" customHeight="1" x14ac:dyDescent="0.35">
      <c r="A29" s="105" t="s">
        <v>660</v>
      </c>
      <c r="B29" s="105" t="s">
        <v>685</v>
      </c>
      <c r="C29" s="105" t="s">
        <v>686</v>
      </c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</row>
    <row r="30" spans="1:18" ht="29" customHeight="1" x14ac:dyDescent="0.35">
      <c r="A30" s="105" t="s">
        <v>662</v>
      </c>
      <c r="B30" s="105" t="s">
        <v>688</v>
      </c>
      <c r="C30" s="105" t="s">
        <v>686</v>
      </c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</row>
    <row r="31" spans="1:18" ht="29" customHeight="1" x14ac:dyDescent="0.35">
      <c r="A31" s="105" t="s">
        <v>664</v>
      </c>
      <c r="B31" s="105" t="s">
        <v>690</v>
      </c>
      <c r="C31" s="105" t="s">
        <v>686</v>
      </c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</row>
    <row r="32" spans="1:18" ht="29" customHeight="1" x14ac:dyDescent="0.35">
      <c r="A32" s="105" t="s">
        <v>666</v>
      </c>
      <c r="B32" s="105" t="s">
        <v>692</v>
      </c>
      <c r="C32" s="105" t="s">
        <v>686</v>
      </c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</row>
    <row r="33" spans="1:18" ht="29" x14ac:dyDescent="0.35">
      <c r="A33" s="105" t="s">
        <v>668</v>
      </c>
      <c r="B33" s="105" t="s">
        <v>694</v>
      </c>
      <c r="C33" s="105" t="s">
        <v>686</v>
      </c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</row>
    <row r="34" spans="1:18" ht="29" x14ac:dyDescent="0.35">
      <c r="A34" s="105" t="s">
        <v>670</v>
      </c>
      <c r="B34" s="105" t="s">
        <v>696</v>
      </c>
      <c r="C34" s="105" t="s">
        <v>686</v>
      </c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</row>
    <row r="35" spans="1:18" x14ac:dyDescent="0.35">
      <c r="A35" s="169" t="s">
        <v>672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2"/>
    </row>
    <row r="36" spans="1:18" x14ac:dyDescent="0.35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</row>
    <row r="37" spans="1:18" ht="29" customHeight="1" x14ac:dyDescent="0.35">
      <c r="A37" s="166" t="s">
        <v>699</v>
      </c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2"/>
    </row>
    <row r="38" spans="1:18" ht="29" customHeight="1" x14ac:dyDescent="0.35">
      <c r="A38" s="108" t="s">
        <v>700</v>
      </c>
      <c r="B38" s="108" t="s">
        <v>701</v>
      </c>
      <c r="C38" s="108" t="s">
        <v>390</v>
      </c>
      <c r="D38" s="108" t="s">
        <v>351</v>
      </c>
      <c r="E38" s="108" t="s">
        <v>352</v>
      </c>
      <c r="F38" s="108" t="s">
        <v>292</v>
      </c>
      <c r="G38" s="108" t="s">
        <v>619</v>
      </c>
      <c r="H38" s="108" t="s">
        <v>353</v>
      </c>
      <c r="I38" s="108" t="s">
        <v>610</v>
      </c>
      <c r="J38" s="105"/>
      <c r="K38" s="105"/>
      <c r="L38" s="105"/>
      <c r="M38" s="105"/>
      <c r="N38" s="105"/>
      <c r="O38" s="105"/>
    </row>
    <row r="39" spans="1:18" ht="29" customHeight="1" x14ac:dyDescent="0.35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</row>
    <row r="40" spans="1:18" ht="29" customHeight="1" x14ac:dyDescent="0.35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</row>
    <row r="41" spans="1:18" ht="29" customHeight="1" x14ac:dyDescent="0.35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</row>
    <row r="42" spans="1:18" ht="29" customHeight="1" x14ac:dyDescent="0.35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</row>
    <row r="43" spans="1:18" ht="29" customHeight="1" x14ac:dyDescent="0.35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</row>
    <row r="44" spans="1:18" ht="58" customHeight="1" x14ac:dyDescent="0.35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</row>
    <row r="45" spans="1:18" x14ac:dyDescent="0.35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</row>
    <row r="46" spans="1:18" x14ac:dyDescent="0.35">
      <c r="A46" s="167" t="s">
        <v>702</v>
      </c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2"/>
    </row>
    <row r="47" spans="1:18" ht="72.5" x14ac:dyDescent="0.35">
      <c r="A47" s="108" t="s">
        <v>600</v>
      </c>
      <c r="B47" s="108"/>
      <c r="C47" s="108" t="s">
        <v>601</v>
      </c>
      <c r="D47" s="108"/>
      <c r="E47" s="108" t="s">
        <v>602</v>
      </c>
      <c r="F47" s="108"/>
      <c r="G47" s="108" t="s">
        <v>603</v>
      </c>
      <c r="H47" s="108"/>
      <c r="I47" s="108" t="s">
        <v>604</v>
      </c>
      <c r="J47" s="108"/>
      <c r="K47" s="108" t="s">
        <v>6</v>
      </c>
      <c r="L47" s="108"/>
      <c r="M47" s="108" t="s">
        <v>605</v>
      </c>
      <c r="N47" s="108"/>
      <c r="O47" s="108"/>
    </row>
    <row r="48" spans="1:18" ht="72.5" x14ac:dyDescent="0.35">
      <c r="A48" s="108" t="s">
        <v>606</v>
      </c>
      <c r="B48" s="108"/>
      <c r="C48" s="108" t="s">
        <v>607</v>
      </c>
      <c r="D48" s="108"/>
      <c r="E48" s="108" t="s">
        <v>608</v>
      </c>
      <c r="F48" s="108"/>
      <c r="G48" s="108" t="s">
        <v>609</v>
      </c>
      <c r="H48" s="108"/>
      <c r="I48" s="108" t="s">
        <v>610</v>
      </c>
      <c r="J48" s="109">
        <f>IFERROR(COUNTIF(E51:E77,"Yes")/(COUNTIF(E51:E77,"Yes")+COUNTIF(F51:F77,"No")),0)</f>
        <v>0</v>
      </c>
      <c r="K48" s="108"/>
      <c r="L48" s="108" t="str">
        <f>IF(J48&gt;=0.9,"Green",IF(J48&gt;=0.75,"Amber","Red"))</f>
        <v>Red</v>
      </c>
      <c r="M48" s="108"/>
      <c r="N48" s="108"/>
      <c r="O48" s="108"/>
    </row>
    <row r="49" spans="1:15" x14ac:dyDescent="0.35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</row>
    <row r="50" spans="1:15" ht="29" x14ac:dyDescent="0.35">
      <c r="A50" s="110" t="s">
        <v>611</v>
      </c>
      <c r="B50" s="110" t="s">
        <v>612</v>
      </c>
      <c r="C50" s="110" t="s">
        <v>613</v>
      </c>
      <c r="D50" s="110" t="s">
        <v>614</v>
      </c>
      <c r="E50" s="110" t="s">
        <v>81</v>
      </c>
      <c r="F50" s="110" t="s">
        <v>615</v>
      </c>
      <c r="G50" s="110" t="s">
        <v>616</v>
      </c>
      <c r="H50" s="110" t="s">
        <v>617</v>
      </c>
      <c r="I50" s="110" t="s">
        <v>618</v>
      </c>
      <c r="J50" s="110" t="s">
        <v>390</v>
      </c>
      <c r="K50" s="110" t="s">
        <v>351</v>
      </c>
      <c r="L50" s="110" t="s">
        <v>352</v>
      </c>
      <c r="M50" s="110" t="s">
        <v>292</v>
      </c>
      <c r="N50" s="110" t="s">
        <v>353</v>
      </c>
      <c r="O50" s="110" t="s">
        <v>619</v>
      </c>
    </row>
    <row r="51" spans="1:15" ht="29" x14ac:dyDescent="0.35">
      <c r="A51" s="105" t="s">
        <v>620</v>
      </c>
      <c r="B51" s="105" t="s">
        <v>794</v>
      </c>
      <c r="C51" s="105" t="s">
        <v>622</v>
      </c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</row>
    <row r="52" spans="1:15" ht="29" x14ac:dyDescent="0.35">
      <c r="A52" s="105" t="s">
        <v>623</v>
      </c>
      <c r="B52" s="105" t="s">
        <v>795</v>
      </c>
      <c r="C52" s="105" t="s">
        <v>743</v>
      </c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</row>
    <row r="53" spans="1:15" ht="29" x14ac:dyDescent="0.35">
      <c r="A53" s="105" t="s">
        <v>625</v>
      </c>
      <c r="B53" s="105" t="s">
        <v>796</v>
      </c>
      <c r="C53" s="105" t="s">
        <v>743</v>
      </c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</row>
    <row r="54" spans="1:15" ht="29" x14ac:dyDescent="0.35">
      <c r="A54" s="105" t="s">
        <v>627</v>
      </c>
      <c r="B54" s="105" t="s">
        <v>797</v>
      </c>
      <c r="C54" s="105" t="s">
        <v>743</v>
      </c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</row>
    <row r="55" spans="1:15" ht="29" x14ac:dyDescent="0.35">
      <c r="A55" s="105" t="s">
        <v>629</v>
      </c>
      <c r="B55" s="105" t="s">
        <v>798</v>
      </c>
      <c r="C55" s="105" t="s">
        <v>743</v>
      </c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</row>
    <row r="56" spans="1:15" x14ac:dyDescent="0.35">
      <c r="A56" s="105" t="s">
        <v>631</v>
      </c>
      <c r="B56" s="105" t="s">
        <v>799</v>
      </c>
      <c r="C56" s="105" t="s">
        <v>743</v>
      </c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</row>
    <row r="57" spans="1:15" ht="29" x14ac:dyDescent="0.35">
      <c r="A57" s="105" t="s">
        <v>633</v>
      </c>
      <c r="B57" s="105" t="s">
        <v>800</v>
      </c>
      <c r="C57" s="105" t="s">
        <v>743</v>
      </c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</row>
    <row r="58" spans="1:15" ht="29" x14ac:dyDescent="0.35">
      <c r="A58" s="105" t="s">
        <v>635</v>
      </c>
      <c r="B58" s="105" t="s">
        <v>809</v>
      </c>
      <c r="C58" s="105" t="s">
        <v>743</v>
      </c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</row>
    <row r="59" spans="1:15" ht="29" x14ac:dyDescent="0.35">
      <c r="A59" s="105" t="s">
        <v>637</v>
      </c>
      <c r="B59" s="105" t="s">
        <v>810</v>
      </c>
      <c r="C59" s="105" t="s">
        <v>743</v>
      </c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</row>
    <row r="60" spans="1:15" ht="29" x14ac:dyDescent="0.35">
      <c r="A60" s="105" t="s">
        <v>639</v>
      </c>
      <c r="B60" s="105" t="s">
        <v>811</v>
      </c>
      <c r="C60" s="105" t="s">
        <v>743</v>
      </c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</row>
    <row r="61" spans="1:15" ht="29" x14ac:dyDescent="0.35">
      <c r="A61" s="105" t="s">
        <v>641</v>
      </c>
      <c r="B61" s="105" t="s">
        <v>801</v>
      </c>
      <c r="C61" s="105" t="s">
        <v>622</v>
      </c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</row>
    <row r="62" spans="1:15" ht="29" x14ac:dyDescent="0.35">
      <c r="A62" s="105" t="s">
        <v>643</v>
      </c>
      <c r="B62" s="105" t="s">
        <v>802</v>
      </c>
      <c r="C62" s="105" t="s">
        <v>743</v>
      </c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</row>
    <row r="63" spans="1:15" ht="29" x14ac:dyDescent="0.35">
      <c r="A63" s="105" t="s">
        <v>644</v>
      </c>
      <c r="B63" s="105" t="s">
        <v>803</v>
      </c>
      <c r="C63" s="105" t="s">
        <v>622</v>
      </c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</row>
    <row r="64" spans="1:15" ht="29" x14ac:dyDescent="0.35">
      <c r="A64" s="105" t="s">
        <v>645</v>
      </c>
      <c r="B64" s="105" t="s">
        <v>804</v>
      </c>
      <c r="C64" s="105" t="s">
        <v>622</v>
      </c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</row>
    <row r="65" spans="1:15" ht="29" x14ac:dyDescent="0.35">
      <c r="A65" s="105" t="s">
        <v>646</v>
      </c>
      <c r="B65" s="105" t="s">
        <v>805</v>
      </c>
      <c r="C65" s="105" t="s">
        <v>746</v>
      </c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</row>
    <row r="66" spans="1:15" ht="29" x14ac:dyDescent="0.35">
      <c r="A66" s="105" t="s">
        <v>649</v>
      </c>
      <c r="B66" s="105" t="s">
        <v>806</v>
      </c>
      <c r="C66" s="105" t="s">
        <v>622</v>
      </c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</row>
    <row r="67" spans="1:15" ht="29" x14ac:dyDescent="0.35">
      <c r="A67" s="105" t="s">
        <v>651</v>
      </c>
      <c r="B67" s="105" t="s">
        <v>807</v>
      </c>
      <c r="C67" s="105" t="s">
        <v>622</v>
      </c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</row>
    <row r="68" spans="1:15" ht="29" x14ac:dyDescent="0.35">
      <c r="A68" s="105" t="s">
        <v>653</v>
      </c>
      <c r="B68" s="105" t="s">
        <v>808</v>
      </c>
      <c r="C68" s="105" t="s">
        <v>622</v>
      </c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</row>
    <row r="69" spans="1:15" ht="29" x14ac:dyDescent="0.35">
      <c r="A69" s="105" t="s">
        <v>655</v>
      </c>
      <c r="B69" s="105" t="s">
        <v>706</v>
      </c>
      <c r="C69" s="105" t="s">
        <v>622</v>
      </c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</row>
    <row r="70" spans="1:15" ht="29" x14ac:dyDescent="0.35">
      <c r="A70" s="105" t="s">
        <v>658</v>
      </c>
      <c r="B70" s="105" t="s">
        <v>682</v>
      </c>
      <c r="C70" s="105" t="s">
        <v>683</v>
      </c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</row>
    <row r="71" spans="1:15" ht="29" x14ac:dyDescent="0.35">
      <c r="A71" s="105" t="s">
        <v>660</v>
      </c>
      <c r="B71" s="105" t="s">
        <v>685</v>
      </c>
      <c r="C71" s="105" t="s">
        <v>686</v>
      </c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</row>
    <row r="72" spans="1:15" ht="29" x14ac:dyDescent="0.35">
      <c r="A72" s="105" t="s">
        <v>662</v>
      </c>
      <c r="B72" s="105" t="s">
        <v>688</v>
      </c>
      <c r="C72" s="105" t="s">
        <v>686</v>
      </c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</row>
    <row r="73" spans="1:15" ht="29" x14ac:dyDescent="0.35">
      <c r="A73" s="105" t="s">
        <v>664</v>
      </c>
      <c r="B73" s="105" t="s">
        <v>690</v>
      </c>
      <c r="C73" s="105" t="s">
        <v>686</v>
      </c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</row>
    <row r="74" spans="1:15" ht="29" x14ac:dyDescent="0.35">
      <c r="A74" s="105" t="s">
        <v>666</v>
      </c>
      <c r="B74" s="105" t="s">
        <v>692</v>
      </c>
      <c r="C74" s="105" t="s">
        <v>686</v>
      </c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</row>
    <row r="75" spans="1:15" ht="29" x14ac:dyDescent="0.35">
      <c r="A75" s="105" t="s">
        <v>668</v>
      </c>
      <c r="B75" s="105" t="s">
        <v>694</v>
      </c>
      <c r="C75" s="105" t="s">
        <v>686</v>
      </c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</row>
    <row r="76" spans="1:15" ht="29" x14ac:dyDescent="0.35">
      <c r="A76" s="105" t="s">
        <v>670</v>
      </c>
      <c r="B76" s="105" t="s">
        <v>696</v>
      </c>
      <c r="C76" s="105" t="s">
        <v>686</v>
      </c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</row>
    <row r="77" spans="1:15" ht="29" x14ac:dyDescent="0.35">
      <c r="A77" s="105" t="s">
        <v>672</v>
      </c>
      <c r="B77" s="105" t="s">
        <v>698</v>
      </c>
      <c r="C77" s="105" t="s">
        <v>686</v>
      </c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</row>
    <row r="78" spans="1:15" x14ac:dyDescent="0.35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</row>
    <row r="79" spans="1:15" x14ac:dyDescent="0.35">
      <c r="A79" s="166" t="s">
        <v>707</v>
      </c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2"/>
    </row>
    <row r="80" spans="1:15" ht="58" x14ac:dyDescent="0.35">
      <c r="A80" s="108" t="s">
        <v>700</v>
      </c>
      <c r="B80" s="108" t="s">
        <v>701</v>
      </c>
      <c r="C80" s="108" t="s">
        <v>390</v>
      </c>
      <c r="D80" s="108" t="s">
        <v>351</v>
      </c>
      <c r="E80" s="108" t="s">
        <v>352</v>
      </c>
      <c r="F80" s="108" t="s">
        <v>292</v>
      </c>
      <c r="G80" s="108" t="s">
        <v>619</v>
      </c>
      <c r="H80" s="108" t="s">
        <v>353</v>
      </c>
      <c r="I80" s="108" t="s">
        <v>610</v>
      </c>
      <c r="J80" s="105"/>
      <c r="K80" s="105"/>
      <c r="L80" s="105"/>
      <c r="M80" s="105"/>
      <c r="N80" s="105"/>
      <c r="O80" s="105"/>
    </row>
    <row r="81" spans="1:15" x14ac:dyDescent="0.35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</row>
    <row r="82" spans="1:15" x14ac:dyDescent="0.35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</row>
    <row r="83" spans="1:15" x14ac:dyDescent="0.35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</row>
    <row r="84" spans="1:15" x14ac:dyDescent="0.35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</row>
    <row r="85" spans="1:15" x14ac:dyDescent="0.35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</row>
    <row r="86" spans="1:15" x14ac:dyDescent="0.35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</row>
    <row r="87" spans="1:15" x14ac:dyDescent="0.35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</row>
    <row r="88" spans="1:15" x14ac:dyDescent="0.35">
      <c r="A88" s="167" t="s">
        <v>708</v>
      </c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2"/>
    </row>
    <row r="89" spans="1:15" ht="72.5" x14ac:dyDescent="0.35">
      <c r="A89" s="108" t="s">
        <v>600</v>
      </c>
      <c r="B89" s="108"/>
      <c r="C89" s="108" t="s">
        <v>601</v>
      </c>
      <c r="D89" s="108"/>
      <c r="E89" s="108" t="s">
        <v>602</v>
      </c>
      <c r="F89" s="108"/>
      <c r="G89" s="108" t="s">
        <v>603</v>
      </c>
      <c r="H89" s="108"/>
      <c r="I89" s="108" t="s">
        <v>604</v>
      </c>
      <c r="J89" s="108"/>
      <c r="K89" s="108" t="s">
        <v>6</v>
      </c>
      <c r="L89" s="108"/>
      <c r="M89" s="108" t="s">
        <v>605</v>
      </c>
      <c r="N89" s="108"/>
      <c r="O89" s="108"/>
    </row>
    <row r="90" spans="1:15" ht="72.5" x14ac:dyDescent="0.35">
      <c r="A90" s="108" t="s">
        <v>606</v>
      </c>
      <c r="B90" s="108"/>
      <c r="C90" s="108" t="s">
        <v>607</v>
      </c>
      <c r="D90" s="108"/>
      <c r="E90" s="108" t="s">
        <v>608</v>
      </c>
      <c r="F90" s="108"/>
      <c r="G90" s="108" t="s">
        <v>609</v>
      </c>
      <c r="H90" s="108"/>
      <c r="I90" s="108" t="s">
        <v>610</v>
      </c>
      <c r="J90" s="109">
        <f>IFERROR(COUNTIF(E93:E119,"Yes")/(COUNTIF(E93:E119,"Yes")+COUNTIF(F93:F119,"No")),0)</f>
        <v>0</v>
      </c>
      <c r="K90" s="108"/>
      <c r="L90" s="108" t="str">
        <f>IF(J90&gt;=0.9,"Green",IF(J90&gt;=0.75,"Amber","Red"))</f>
        <v>Red</v>
      </c>
      <c r="M90" s="108"/>
      <c r="N90" s="108"/>
      <c r="O90" s="108"/>
    </row>
    <row r="91" spans="1:15" x14ac:dyDescent="0.35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</row>
    <row r="92" spans="1:15" ht="29" x14ac:dyDescent="0.35">
      <c r="A92" s="110" t="s">
        <v>611</v>
      </c>
      <c r="B92" s="110" t="s">
        <v>612</v>
      </c>
      <c r="C92" s="110" t="s">
        <v>613</v>
      </c>
      <c r="D92" s="110" t="s">
        <v>614</v>
      </c>
      <c r="E92" s="110" t="s">
        <v>81</v>
      </c>
      <c r="F92" s="110" t="s">
        <v>615</v>
      </c>
      <c r="G92" s="110" t="s">
        <v>616</v>
      </c>
      <c r="H92" s="110" t="s">
        <v>617</v>
      </c>
      <c r="I92" s="110" t="s">
        <v>618</v>
      </c>
      <c r="J92" s="110" t="s">
        <v>390</v>
      </c>
      <c r="K92" s="110" t="s">
        <v>351</v>
      </c>
      <c r="L92" s="110" t="s">
        <v>352</v>
      </c>
      <c r="M92" s="110" t="s">
        <v>292</v>
      </c>
      <c r="N92" s="110" t="s">
        <v>353</v>
      </c>
      <c r="O92" s="110" t="s">
        <v>619</v>
      </c>
    </row>
    <row r="93" spans="1:15" ht="29" x14ac:dyDescent="0.35">
      <c r="A93" s="105" t="s">
        <v>620</v>
      </c>
      <c r="B93" s="105" t="s">
        <v>794</v>
      </c>
      <c r="C93" s="105" t="s">
        <v>622</v>
      </c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</row>
    <row r="94" spans="1:15" ht="29" x14ac:dyDescent="0.35">
      <c r="A94" s="105" t="s">
        <v>623</v>
      </c>
      <c r="B94" s="105" t="s">
        <v>795</v>
      </c>
      <c r="C94" s="105" t="s">
        <v>743</v>
      </c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</row>
    <row r="95" spans="1:15" ht="29" x14ac:dyDescent="0.35">
      <c r="A95" s="105" t="s">
        <v>625</v>
      </c>
      <c r="B95" s="105" t="s">
        <v>796</v>
      </c>
      <c r="C95" s="105" t="s">
        <v>743</v>
      </c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</row>
    <row r="96" spans="1:15" ht="29" x14ac:dyDescent="0.35">
      <c r="A96" s="105" t="s">
        <v>627</v>
      </c>
      <c r="B96" s="105" t="s">
        <v>797</v>
      </c>
      <c r="C96" s="105" t="s">
        <v>743</v>
      </c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</row>
    <row r="97" spans="1:15" ht="29" x14ac:dyDescent="0.35">
      <c r="A97" s="105" t="s">
        <v>629</v>
      </c>
      <c r="B97" s="105" t="s">
        <v>798</v>
      </c>
      <c r="C97" s="105" t="s">
        <v>743</v>
      </c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</row>
    <row r="98" spans="1:15" x14ac:dyDescent="0.35">
      <c r="A98" s="105" t="s">
        <v>631</v>
      </c>
      <c r="B98" s="105" t="s">
        <v>799</v>
      </c>
      <c r="C98" s="105" t="s">
        <v>743</v>
      </c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</row>
    <row r="99" spans="1:15" ht="29" x14ac:dyDescent="0.35">
      <c r="A99" s="105" t="s">
        <v>633</v>
      </c>
      <c r="B99" s="105" t="s">
        <v>800</v>
      </c>
      <c r="C99" s="105" t="s">
        <v>743</v>
      </c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</row>
    <row r="100" spans="1:15" ht="29" x14ac:dyDescent="0.35">
      <c r="A100" s="105" t="s">
        <v>635</v>
      </c>
      <c r="B100" s="105" t="s">
        <v>809</v>
      </c>
      <c r="C100" s="105" t="s">
        <v>743</v>
      </c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</row>
    <row r="101" spans="1:15" ht="29" x14ac:dyDescent="0.35">
      <c r="A101" s="105" t="s">
        <v>637</v>
      </c>
      <c r="B101" s="105" t="s">
        <v>810</v>
      </c>
      <c r="C101" s="105" t="s">
        <v>743</v>
      </c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</row>
    <row r="102" spans="1:15" ht="29" x14ac:dyDescent="0.35">
      <c r="A102" s="105" t="s">
        <v>639</v>
      </c>
      <c r="B102" s="105" t="s">
        <v>811</v>
      </c>
      <c r="C102" s="105" t="s">
        <v>743</v>
      </c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</row>
    <row r="103" spans="1:15" ht="29" x14ac:dyDescent="0.35">
      <c r="A103" s="105" t="s">
        <v>641</v>
      </c>
      <c r="B103" s="105" t="s">
        <v>801</v>
      </c>
      <c r="C103" s="105" t="s">
        <v>622</v>
      </c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</row>
    <row r="104" spans="1:15" ht="29" x14ac:dyDescent="0.35">
      <c r="A104" s="105" t="s">
        <v>643</v>
      </c>
      <c r="B104" s="105" t="s">
        <v>802</v>
      </c>
      <c r="C104" s="105" t="s">
        <v>743</v>
      </c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</row>
    <row r="105" spans="1:15" ht="29" x14ac:dyDescent="0.35">
      <c r="A105" s="105" t="s">
        <v>644</v>
      </c>
      <c r="B105" s="105" t="s">
        <v>803</v>
      </c>
      <c r="C105" s="105" t="s">
        <v>622</v>
      </c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</row>
    <row r="106" spans="1:15" ht="29" x14ac:dyDescent="0.35">
      <c r="A106" s="105" t="s">
        <v>645</v>
      </c>
      <c r="B106" s="105" t="s">
        <v>804</v>
      </c>
      <c r="C106" s="105" t="s">
        <v>622</v>
      </c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</row>
    <row r="107" spans="1:15" ht="29" x14ac:dyDescent="0.35">
      <c r="A107" s="105" t="s">
        <v>646</v>
      </c>
      <c r="B107" s="105" t="s">
        <v>805</v>
      </c>
      <c r="C107" s="105" t="s">
        <v>746</v>
      </c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</row>
    <row r="108" spans="1:15" ht="29" x14ac:dyDescent="0.35">
      <c r="A108" s="105" t="s">
        <v>649</v>
      </c>
      <c r="B108" s="105" t="s">
        <v>806</v>
      </c>
      <c r="C108" s="105" t="s">
        <v>622</v>
      </c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</row>
    <row r="109" spans="1:15" ht="29" x14ac:dyDescent="0.35">
      <c r="A109" s="105" t="s">
        <v>651</v>
      </c>
      <c r="B109" s="105" t="s">
        <v>807</v>
      </c>
      <c r="C109" s="105" t="s">
        <v>622</v>
      </c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</row>
    <row r="110" spans="1:15" ht="29" x14ac:dyDescent="0.35">
      <c r="A110" s="105" t="s">
        <v>653</v>
      </c>
      <c r="B110" s="105" t="s">
        <v>808</v>
      </c>
      <c r="C110" s="105" t="s">
        <v>622</v>
      </c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</row>
    <row r="111" spans="1:15" ht="29" x14ac:dyDescent="0.35">
      <c r="A111" s="105" t="s">
        <v>655</v>
      </c>
      <c r="B111" s="105" t="s">
        <v>706</v>
      </c>
      <c r="C111" s="105" t="s">
        <v>622</v>
      </c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</row>
    <row r="112" spans="1:15" ht="29" x14ac:dyDescent="0.35">
      <c r="A112" s="105" t="s">
        <v>658</v>
      </c>
      <c r="B112" s="105" t="s">
        <v>682</v>
      </c>
      <c r="C112" s="105" t="s">
        <v>683</v>
      </c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</row>
    <row r="113" spans="1:15" ht="29" x14ac:dyDescent="0.35">
      <c r="A113" s="105" t="s">
        <v>660</v>
      </c>
      <c r="B113" s="105" t="s">
        <v>685</v>
      </c>
      <c r="C113" s="105" t="s">
        <v>686</v>
      </c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</row>
    <row r="114" spans="1:15" ht="29" x14ac:dyDescent="0.35">
      <c r="A114" s="105" t="s">
        <v>662</v>
      </c>
      <c r="B114" s="105" t="s">
        <v>688</v>
      </c>
      <c r="C114" s="105" t="s">
        <v>686</v>
      </c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</row>
    <row r="115" spans="1:15" ht="29" x14ac:dyDescent="0.35">
      <c r="A115" s="105" t="s">
        <v>664</v>
      </c>
      <c r="B115" s="105" t="s">
        <v>690</v>
      </c>
      <c r="C115" s="105" t="s">
        <v>686</v>
      </c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</row>
    <row r="116" spans="1:15" ht="29" x14ac:dyDescent="0.35">
      <c r="A116" s="105" t="s">
        <v>666</v>
      </c>
      <c r="B116" s="105" t="s">
        <v>692</v>
      </c>
      <c r="C116" s="105" t="s">
        <v>686</v>
      </c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</row>
    <row r="117" spans="1:15" ht="29" x14ac:dyDescent="0.35">
      <c r="A117" s="105" t="s">
        <v>668</v>
      </c>
      <c r="B117" s="105" t="s">
        <v>694</v>
      </c>
      <c r="C117" s="105" t="s">
        <v>686</v>
      </c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</row>
    <row r="118" spans="1:15" ht="29" x14ac:dyDescent="0.35">
      <c r="A118" s="105" t="s">
        <v>670</v>
      </c>
      <c r="B118" s="105" t="s">
        <v>696</v>
      </c>
      <c r="C118" s="105" t="s">
        <v>686</v>
      </c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</row>
    <row r="119" spans="1:15" ht="29" x14ac:dyDescent="0.35">
      <c r="A119" s="105" t="s">
        <v>672</v>
      </c>
      <c r="B119" s="105" t="s">
        <v>698</v>
      </c>
      <c r="C119" s="105" t="s">
        <v>686</v>
      </c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</row>
    <row r="120" spans="1:15" x14ac:dyDescent="0.35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</row>
    <row r="121" spans="1:15" x14ac:dyDescent="0.35">
      <c r="A121" s="166" t="s">
        <v>709</v>
      </c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2"/>
    </row>
    <row r="122" spans="1:15" ht="58" x14ac:dyDescent="0.35">
      <c r="A122" s="108" t="s">
        <v>700</v>
      </c>
      <c r="B122" s="108" t="s">
        <v>701</v>
      </c>
      <c r="C122" s="108" t="s">
        <v>390</v>
      </c>
      <c r="D122" s="108" t="s">
        <v>351</v>
      </c>
      <c r="E122" s="108" t="s">
        <v>352</v>
      </c>
      <c r="F122" s="108" t="s">
        <v>292</v>
      </c>
      <c r="G122" s="108" t="s">
        <v>619</v>
      </c>
      <c r="H122" s="108" t="s">
        <v>353</v>
      </c>
      <c r="I122" s="108" t="s">
        <v>610</v>
      </c>
      <c r="J122" s="105"/>
      <c r="K122" s="105"/>
      <c r="L122" s="105"/>
      <c r="M122" s="105"/>
      <c r="N122" s="105"/>
      <c r="O122" s="105"/>
    </row>
    <row r="123" spans="1:15" x14ac:dyDescent="0.35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</row>
    <row r="124" spans="1:15" x14ac:dyDescent="0.35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</row>
    <row r="125" spans="1:15" x14ac:dyDescent="0.35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</row>
    <row r="126" spans="1:15" x14ac:dyDescent="0.35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</row>
    <row r="127" spans="1:15" x14ac:dyDescent="0.35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</row>
    <row r="128" spans="1:15" x14ac:dyDescent="0.35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</row>
    <row r="129" spans="1:15" x14ac:dyDescent="0.35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</row>
    <row r="130" spans="1:15" x14ac:dyDescent="0.35">
      <c r="A130" s="167" t="s">
        <v>710</v>
      </c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2"/>
    </row>
    <row r="131" spans="1:15" ht="72.5" x14ac:dyDescent="0.35">
      <c r="A131" s="108" t="s">
        <v>600</v>
      </c>
      <c r="B131" s="108"/>
      <c r="C131" s="108" t="s">
        <v>601</v>
      </c>
      <c r="D131" s="108"/>
      <c r="E131" s="108" t="s">
        <v>602</v>
      </c>
      <c r="F131" s="108"/>
      <c r="G131" s="108" t="s">
        <v>603</v>
      </c>
      <c r="H131" s="108"/>
      <c r="I131" s="108" t="s">
        <v>604</v>
      </c>
      <c r="J131" s="108"/>
      <c r="K131" s="108" t="s">
        <v>6</v>
      </c>
      <c r="L131" s="108"/>
      <c r="M131" s="108" t="s">
        <v>605</v>
      </c>
      <c r="N131" s="108"/>
      <c r="O131" s="108"/>
    </row>
    <row r="132" spans="1:15" ht="72.5" x14ac:dyDescent="0.35">
      <c r="A132" s="108" t="s">
        <v>606</v>
      </c>
      <c r="B132" s="108"/>
      <c r="C132" s="108" t="s">
        <v>607</v>
      </c>
      <c r="D132" s="108"/>
      <c r="E132" s="108" t="s">
        <v>608</v>
      </c>
      <c r="F132" s="108"/>
      <c r="G132" s="108" t="s">
        <v>609</v>
      </c>
      <c r="H132" s="108"/>
      <c r="I132" s="108" t="s">
        <v>610</v>
      </c>
      <c r="J132" s="109">
        <f>IFERROR(COUNTIF(E135:E161,"Yes")/(COUNTIF(E135:E161,"Yes")+COUNTIF(F135:F161,"No")),0)</f>
        <v>0</v>
      </c>
      <c r="K132" s="108"/>
      <c r="L132" s="108" t="str">
        <f>IF(J132&gt;=0.9,"Green",IF(J132&gt;=0.75,"Amber","Red"))</f>
        <v>Red</v>
      </c>
      <c r="M132" s="108"/>
      <c r="N132" s="108"/>
      <c r="O132" s="108"/>
    </row>
    <row r="133" spans="1:15" x14ac:dyDescent="0.35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</row>
    <row r="134" spans="1:15" ht="29" x14ac:dyDescent="0.35">
      <c r="A134" s="110" t="s">
        <v>611</v>
      </c>
      <c r="B134" s="110" t="s">
        <v>612</v>
      </c>
      <c r="C134" s="110" t="s">
        <v>613</v>
      </c>
      <c r="D134" s="110" t="s">
        <v>614</v>
      </c>
      <c r="E134" s="110" t="s">
        <v>81</v>
      </c>
      <c r="F134" s="110" t="s">
        <v>615</v>
      </c>
      <c r="G134" s="110" t="s">
        <v>616</v>
      </c>
      <c r="H134" s="110" t="s">
        <v>617</v>
      </c>
      <c r="I134" s="110" t="s">
        <v>618</v>
      </c>
      <c r="J134" s="110" t="s">
        <v>390</v>
      </c>
      <c r="K134" s="110" t="s">
        <v>351</v>
      </c>
      <c r="L134" s="110" t="s">
        <v>352</v>
      </c>
      <c r="M134" s="110" t="s">
        <v>292</v>
      </c>
      <c r="N134" s="110" t="s">
        <v>353</v>
      </c>
      <c r="O134" s="110" t="s">
        <v>619</v>
      </c>
    </row>
    <row r="135" spans="1:15" ht="29" x14ac:dyDescent="0.35">
      <c r="A135" s="105" t="s">
        <v>620</v>
      </c>
      <c r="B135" s="105" t="s">
        <v>794</v>
      </c>
      <c r="C135" s="105" t="s">
        <v>622</v>
      </c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</row>
    <row r="136" spans="1:15" ht="29" x14ac:dyDescent="0.35">
      <c r="A136" s="105" t="s">
        <v>623</v>
      </c>
      <c r="B136" s="105" t="s">
        <v>795</v>
      </c>
      <c r="C136" s="105" t="s">
        <v>743</v>
      </c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</row>
    <row r="137" spans="1:15" ht="29" x14ac:dyDescent="0.35">
      <c r="A137" s="105" t="s">
        <v>625</v>
      </c>
      <c r="B137" s="105" t="s">
        <v>796</v>
      </c>
      <c r="C137" s="105" t="s">
        <v>743</v>
      </c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</row>
    <row r="138" spans="1:15" ht="29" x14ac:dyDescent="0.35">
      <c r="A138" s="105" t="s">
        <v>627</v>
      </c>
      <c r="B138" s="105" t="s">
        <v>797</v>
      </c>
      <c r="C138" s="105" t="s">
        <v>743</v>
      </c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</row>
    <row r="139" spans="1:15" ht="29" x14ac:dyDescent="0.35">
      <c r="A139" s="105" t="s">
        <v>629</v>
      </c>
      <c r="B139" s="105" t="s">
        <v>798</v>
      </c>
      <c r="C139" s="105" t="s">
        <v>743</v>
      </c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</row>
    <row r="140" spans="1:15" x14ac:dyDescent="0.35">
      <c r="A140" s="105" t="s">
        <v>631</v>
      </c>
      <c r="B140" s="105" t="s">
        <v>799</v>
      </c>
      <c r="C140" s="105" t="s">
        <v>743</v>
      </c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</row>
    <row r="141" spans="1:15" ht="29" x14ac:dyDescent="0.35">
      <c r="A141" s="105" t="s">
        <v>633</v>
      </c>
      <c r="B141" s="105" t="s">
        <v>800</v>
      </c>
      <c r="C141" s="105" t="s">
        <v>743</v>
      </c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</row>
    <row r="142" spans="1:15" ht="29" x14ac:dyDescent="0.35">
      <c r="A142" s="105" t="s">
        <v>635</v>
      </c>
      <c r="B142" s="105" t="s">
        <v>809</v>
      </c>
      <c r="C142" s="105" t="s">
        <v>743</v>
      </c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</row>
    <row r="143" spans="1:15" ht="29" x14ac:dyDescent="0.35">
      <c r="A143" s="105" t="s">
        <v>637</v>
      </c>
      <c r="B143" s="105" t="s">
        <v>810</v>
      </c>
      <c r="C143" s="105" t="s">
        <v>743</v>
      </c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</row>
    <row r="144" spans="1:15" ht="29" x14ac:dyDescent="0.35">
      <c r="A144" s="105" t="s">
        <v>639</v>
      </c>
      <c r="B144" s="105" t="s">
        <v>811</v>
      </c>
      <c r="C144" s="105" t="s">
        <v>743</v>
      </c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</row>
    <row r="145" spans="1:15" ht="29" x14ac:dyDescent="0.35">
      <c r="A145" s="105" t="s">
        <v>641</v>
      </c>
      <c r="B145" s="105" t="s">
        <v>801</v>
      </c>
      <c r="C145" s="105" t="s">
        <v>622</v>
      </c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</row>
    <row r="146" spans="1:15" ht="29" x14ac:dyDescent="0.35">
      <c r="A146" s="105" t="s">
        <v>643</v>
      </c>
      <c r="B146" s="105" t="s">
        <v>802</v>
      </c>
      <c r="C146" s="105" t="s">
        <v>743</v>
      </c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</row>
    <row r="147" spans="1:15" ht="29" x14ac:dyDescent="0.35">
      <c r="A147" s="105" t="s">
        <v>644</v>
      </c>
      <c r="B147" s="105" t="s">
        <v>803</v>
      </c>
      <c r="C147" s="105" t="s">
        <v>622</v>
      </c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</row>
    <row r="148" spans="1:15" ht="29" x14ac:dyDescent="0.35">
      <c r="A148" s="105" t="s">
        <v>645</v>
      </c>
      <c r="B148" s="105" t="s">
        <v>804</v>
      </c>
      <c r="C148" s="105" t="s">
        <v>622</v>
      </c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</row>
    <row r="149" spans="1:15" ht="29" x14ac:dyDescent="0.35">
      <c r="A149" s="105" t="s">
        <v>646</v>
      </c>
      <c r="B149" s="105" t="s">
        <v>805</v>
      </c>
      <c r="C149" s="105" t="s">
        <v>746</v>
      </c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</row>
    <row r="150" spans="1:15" ht="29" x14ac:dyDescent="0.35">
      <c r="A150" s="105" t="s">
        <v>649</v>
      </c>
      <c r="B150" s="105" t="s">
        <v>806</v>
      </c>
      <c r="C150" s="105" t="s">
        <v>622</v>
      </c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</row>
    <row r="151" spans="1:15" ht="29" x14ac:dyDescent="0.35">
      <c r="A151" s="105" t="s">
        <v>651</v>
      </c>
      <c r="B151" s="105" t="s">
        <v>807</v>
      </c>
      <c r="C151" s="105" t="s">
        <v>622</v>
      </c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</row>
    <row r="152" spans="1:15" ht="29" x14ac:dyDescent="0.35">
      <c r="A152" s="105" t="s">
        <v>653</v>
      </c>
      <c r="B152" s="105" t="s">
        <v>808</v>
      </c>
      <c r="C152" s="105" t="s">
        <v>622</v>
      </c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</row>
    <row r="153" spans="1:15" ht="29" x14ac:dyDescent="0.35">
      <c r="A153" s="105" t="s">
        <v>655</v>
      </c>
      <c r="B153" s="105" t="s">
        <v>706</v>
      </c>
      <c r="C153" s="105" t="s">
        <v>622</v>
      </c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</row>
    <row r="154" spans="1:15" ht="29" x14ac:dyDescent="0.35">
      <c r="A154" s="105" t="s">
        <v>658</v>
      </c>
      <c r="B154" s="105" t="s">
        <v>682</v>
      </c>
      <c r="C154" s="105" t="s">
        <v>683</v>
      </c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</row>
    <row r="155" spans="1:15" ht="29" x14ac:dyDescent="0.35">
      <c r="A155" s="105" t="s">
        <v>660</v>
      </c>
      <c r="B155" s="105" t="s">
        <v>685</v>
      </c>
      <c r="C155" s="105" t="s">
        <v>686</v>
      </c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</row>
    <row r="156" spans="1:15" ht="29" x14ac:dyDescent="0.35">
      <c r="A156" s="105" t="s">
        <v>662</v>
      </c>
      <c r="B156" s="105" t="s">
        <v>688</v>
      </c>
      <c r="C156" s="105" t="s">
        <v>686</v>
      </c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</row>
    <row r="157" spans="1:15" ht="29" x14ac:dyDescent="0.35">
      <c r="A157" s="105" t="s">
        <v>664</v>
      </c>
      <c r="B157" s="105" t="s">
        <v>690</v>
      </c>
      <c r="C157" s="105" t="s">
        <v>686</v>
      </c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</row>
    <row r="158" spans="1:15" ht="29" x14ac:dyDescent="0.35">
      <c r="A158" s="105" t="s">
        <v>666</v>
      </c>
      <c r="B158" s="105" t="s">
        <v>692</v>
      </c>
      <c r="C158" s="105" t="s">
        <v>686</v>
      </c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</row>
    <row r="159" spans="1:15" ht="29" x14ac:dyDescent="0.35">
      <c r="A159" s="105" t="s">
        <v>668</v>
      </c>
      <c r="B159" s="105" t="s">
        <v>694</v>
      </c>
      <c r="C159" s="105" t="s">
        <v>686</v>
      </c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</row>
    <row r="160" spans="1:15" ht="29" x14ac:dyDescent="0.35">
      <c r="A160" s="105" t="s">
        <v>670</v>
      </c>
      <c r="B160" s="105" t="s">
        <v>696</v>
      </c>
      <c r="C160" s="105" t="s">
        <v>686</v>
      </c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</row>
    <row r="161" spans="1:15" ht="29" x14ac:dyDescent="0.35">
      <c r="A161" s="105" t="s">
        <v>672</v>
      </c>
      <c r="B161" s="105" t="s">
        <v>698</v>
      </c>
      <c r="C161" s="105" t="s">
        <v>686</v>
      </c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</row>
    <row r="162" spans="1:15" x14ac:dyDescent="0.35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</row>
    <row r="163" spans="1:15" x14ac:dyDescent="0.35">
      <c r="A163" s="166" t="s">
        <v>711</v>
      </c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2"/>
    </row>
    <row r="164" spans="1:15" ht="58" x14ac:dyDescent="0.35">
      <c r="A164" s="108" t="s">
        <v>700</v>
      </c>
      <c r="B164" s="108" t="s">
        <v>701</v>
      </c>
      <c r="C164" s="108" t="s">
        <v>390</v>
      </c>
      <c r="D164" s="108" t="s">
        <v>351</v>
      </c>
      <c r="E164" s="108" t="s">
        <v>352</v>
      </c>
      <c r="F164" s="108" t="s">
        <v>292</v>
      </c>
      <c r="G164" s="108" t="s">
        <v>619</v>
      </c>
      <c r="H164" s="108" t="s">
        <v>353</v>
      </c>
      <c r="I164" s="108" t="s">
        <v>610</v>
      </c>
      <c r="J164" s="105"/>
      <c r="K164" s="105"/>
      <c r="L164" s="105"/>
      <c r="M164" s="105"/>
      <c r="N164" s="105"/>
      <c r="O164" s="105"/>
    </row>
    <row r="165" spans="1:15" x14ac:dyDescent="0.3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</row>
    <row r="166" spans="1:15" x14ac:dyDescent="0.35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</row>
    <row r="167" spans="1:15" x14ac:dyDescent="0.35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</row>
    <row r="168" spans="1:15" x14ac:dyDescent="0.35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</row>
    <row r="169" spans="1:15" x14ac:dyDescent="0.35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</row>
    <row r="170" spans="1:15" x14ac:dyDescent="0.35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</row>
    <row r="171" spans="1:15" x14ac:dyDescent="0.35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</row>
    <row r="172" spans="1:15" x14ac:dyDescent="0.35">
      <c r="A172" s="167" t="s">
        <v>712</v>
      </c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2"/>
    </row>
    <row r="173" spans="1:15" ht="72.5" x14ac:dyDescent="0.35">
      <c r="A173" s="108" t="s">
        <v>600</v>
      </c>
      <c r="B173" s="108"/>
      <c r="C173" s="108" t="s">
        <v>601</v>
      </c>
      <c r="D173" s="108"/>
      <c r="E173" s="108" t="s">
        <v>602</v>
      </c>
      <c r="F173" s="108"/>
      <c r="G173" s="108" t="s">
        <v>603</v>
      </c>
      <c r="H173" s="108"/>
      <c r="I173" s="108" t="s">
        <v>604</v>
      </c>
      <c r="J173" s="108"/>
      <c r="K173" s="108" t="s">
        <v>6</v>
      </c>
      <c r="L173" s="108"/>
      <c r="M173" s="108" t="s">
        <v>605</v>
      </c>
      <c r="N173" s="108"/>
      <c r="O173" s="108"/>
    </row>
    <row r="174" spans="1:15" ht="72.5" x14ac:dyDescent="0.35">
      <c r="A174" s="108" t="s">
        <v>606</v>
      </c>
      <c r="B174" s="108"/>
      <c r="C174" s="108" t="s">
        <v>607</v>
      </c>
      <c r="D174" s="108"/>
      <c r="E174" s="108" t="s">
        <v>608</v>
      </c>
      <c r="F174" s="108"/>
      <c r="G174" s="108" t="s">
        <v>609</v>
      </c>
      <c r="H174" s="108"/>
      <c r="I174" s="108" t="s">
        <v>610</v>
      </c>
      <c r="J174" s="109">
        <f>IFERROR(COUNTIF(E177:E203,"Yes")/(COUNTIF(E177:E203,"Yes")+COUNTIF(F177:F203,"No")),0)</f>
        <v>0</v>
      </c>
      <c r="K174" s="108"/>
      <c r="L174" s="108" t="str">
        <f>IF(J174&gt;=0.9,"Green",IF(J174&gt;=0.75,"Amber","Red"))</f>
        <v>Red</v>
      </c>
      <c r="M174" s="108"/>
      <c r="N174" s="108"/>
      <c r="O174" s="108"/>
    </row>
    <row r="175" spans="1:15" x14ac:dyDescent="0.3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</row>
    <row r="176" spans="1:15" ht="29" x14ac:dyDescent="0.35">
      <c r="A176" s="110" t="s">
        <v>611</v>
      </c>
      <c r="B176" s="110" t="s">
        <v>612</v>
      </c>
      <c r="C176" s="110" t="s">
        <v>613</v>
      </c>
      <c r="D176" s="110" t="s">
        <v>614</v>
      </c>
      <c r="E176" s="110" t="s">
        <v>81</v>
      </c>
      <c r="F176" s="110" t="s">
        <v>615</v>
      </c>
      <c r="G176" s="110" t="s">
        <v>616</v>
      </c>
      <c r="H176" s="110" t="s">
        <v>617</v>
      </c>
      <c r="I176" s="110" t="s">
        <v>618</v>
      </c>
      <c r="J176" s="110" t="s">
        <v>390</v>
      </c>
      <c r="K176" s="110" t="s">
        <v>351</v>
      </c>
      <c r="L176" s="110" t="s">
        <v>352</v>
      </c>
      <c r="M176" s="110" t="s">
        <v>292</v>
      </c>
      <c r="N176" s="110" t="s">
        <v>353</v>
      </c>
      <c r="O176" s="110" t="s">
        <v>619</v>
      </c>
    </row>
    <row r="177" spans="1:15" ht="29" x14ac:dyDescent="0.35">
      <c r="A177" s="105" t="s">
        <v>620</v>
      </c>
      <c r="B177" s="105" t="s">
        <v>794</v>
      </c>
      <c r="C177" s="105" t="s">
        <v>622</v>
      </c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</row>
    <row r="178" spans="1:15" ht="29" x14ac:dyDescent="0.35">
      <c r="A178" s="105" t="s">
        <v>623</v>
      </c>
      <c r="B178" s="105" t="s">
        <v>795</v>
      </c>
      <c r="C178" s="105" t="s">
        <v>743</v>
      </c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</row>
    <row r="179" spans="1:15" ht="29" x14ac:dyDescent="0.35">
      <c r="A179" s="105" t="s">
        <v>625</v>
      </c>
      <c r="B179" s="105" t="s">
        <v>796</v>
      </c>
      <c r="C179" s="105" t="s">
        <v>743</v>
      </c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</row>
    <row r="180" spans="1:15" ht="29" x14ac:dyDescent="0.35">
      <c r="A180" s="105" t="s">
        <v>627</v>
      </c>
      <c r="B180" s="105" t="s">
        <v>797</v>
      </c>
      <c r="C180" s="105" t="s">
        <v>743</v>
      </c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</row>
    <row r="181" spans="1:15" ht="29" x14ac:dyDescent="0.35">
      <c r="A181" s="105" t="s">
        <v>629</v>
      </c>
      <c r="B181" s="105" t="s">
        <v>798</v>
      </c>
      <c r="C181" s="105" t="s">
        <v>743</v>
      </c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</row>
    <row r="182" spans="1:15" x14ac:dyDescent="0.35">
      <c r="A182" s="105" t="s">
        <v>631</v>
      </c>
      <c r="B182" s="105" t="s">
        <v>799</v>
      </c>
      <c r="C182" s="105" t="s">
        <v>743</v>
      </c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</row>
    <row r="183" spans="1:15" ht="29" x14ac:dyDescent="0.35">
      <c r="A183" s="105" t="s">
        <v>633</v>
      </c>
      <c r="B183" s="105" t="s">
        <v>800</v>
      </c>
      <c r="C183" s="105" t="s">
        <v>743</v>
      </c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</row>
    <row r="184" spans="1:15" ht="29" x14ac:dyDescent="0.35">
      <c r="A184" s="105" t="s">
        <v>635</v>
      </c>
      <c r="B184" s="105" t="s">
        <v>809</v>
      </c>
      <c r="C184" s="105" t="s">
        <v>743</v>
      </c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</row>
    <row r="185" spans="1:15" ht="29" x14ac:dyDescent="0.35">
      <c r="A185" s="105" t="s">
        <v>637</v>
      </c>
      <c r="B185" s="105" t="s">
        <v>810</v>
      </c>
      <c r="C185" s="105" t="s">
        <v>743</v>
      </c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</row>
    <row r="186" spans="1:15" ht="29" x14ac:dyDescent="0.35">
      <c r="A186" s="105" t="s">
        <v>639</v>
      </c>
      <c r="B186" s="105" t="s">
        <v>811</v>
      </c>
      <c r="C186" s="105" t="s">
        <v>743</v>
      </c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</row>
    <row r="187" spans="1:15" ht="29" x14ac:dyDescent="0.35">
      <c r="A187" s="105" t="s">
        <v>641</v>
      </c>
      <c r="B187" s="105" t="s">
        <v>801</v>
      </c>
      <c r="C187" s="105" t="s">
        <v>622</v>
      </c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</row>
    <row r="188" spans="1:15" ht="29" x14ac:dyDescent="0.35">
      <c r="A188" s="105" t="s">
        <v>643</v>
      </c>
      <c r="B188" s="105" t="s">
        <v>802</v>
      </c>
      <c r="C188" s="105" t="s">
        <v>743</v>
      </c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</row>
    <row r="189" spans="1:15" ht="29" x14ac:dyDescent="0.35">
      <c r="A189" s="105" t="s">
        <v>644</v>
      </c>
      <c r="B189" s="105" t="s">
        <v>803</v>
      </c>
      <c r="C189" s="105" t="s">
        <v>622</v>
      </c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</row>
    <row r="190" spans="1:15" ht="29" x14ac:dyDescent="0.35">
      <c r="A190" s="105" t="s">
        <v>645</v>
      </c>
      <c r="B190" s="105" t="s">
        <v>804</v>
      </c>
      <c r="C190" s="105" t="s">
        <v>622</v>
      </c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</row>
    <row r="191" spans="1:15" ht="29" x14ac:dyDescent="0.35">
      <c r="A191" s="105" t="s">
        <v>646</v>
      </c>
      <c r="B191" s="105" t="s">
        <v>805</v>
      </c>
      <c r="C191" s="105" t="s">
        <v>746</v>
      </c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</row>
    <row r="192" spans="1:15" ht="29" x14ac:dyDescent="0.35">
      <c r="A192" s="105" t="s">
        <v>649</v>
      </c>
      <c r="B192" s="105" t="s">
        <v>806</v>
      </c>
      <c r="C192" s="105" t="s">
        <v>622</v>
      </c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</row>
    <row r="193" spans="1:15" ht="29" x14ac:dyDescent="0.35">
      <c r="A193" s="105" t="s">
        <v>651</v>
      </c>
      <c r="B193" s="105" t="s">
        <v>807</v>
      </c>
      <c r="C193" s="105" t="s">
        <v>622</v>
      </c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</row>
    <row r="194" spans="1:15" ht="29" x14ac:dyDescent="0.35">
      <c r="A194" s="105" t="s">
        <v>653</v>
      </c>
      <c r="B194" s="105" t="s">
        <v>808</v>
      </c>
      <c r="C194" s="105" t="s">
        <v>622</v>
      </c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</row>
    <row r="195" spans="1:15" ht="29" x14ac:dyDescent="0.35">
      <c r="A195" s="105" t="s">
        <v>655</v>
      </c>
      <c r="B195" s="105" t="s">
        <v>706</v>
      </c>
      <c r="C195" s="105" t="s">
        <v>622</v>
      </c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</row>
    <row r="196" spans="1:15" ht="29" x14ac:dyDescent="0.35">
      <c r="A196" s="105" t="s">
        <v>658</v>
      </c>
      <c r="B196" s="105" t="s">
        <v>682</v>
      </c>
      <c r="C196" s="105" t="s">
        <v>683</v>
      </c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</row>
    <row r="197" spans="1:15" ht="29" x14ac:dyDescent="0.35">
      <c r="A197" s="105" t="s">
        <v>660</v>
      </c>
      <c r="B197" s="105" t="s">
        <v>685</v>
      </c>
      <c r="C197" s="105" t="s">
        <v>686</v>
      </c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</row>
    <row r="198" spans="1:15" ht="29" x14ac:dyDescent="0.35">
      <c r="A198" s="105" t="s">
        <v>662</v>
      </c>
      <c r="B198" s="105" t="s">
        <v>688</v>
      </c>
      <c r="C198" s="105" t="s">
        <v>686</v>
      </c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</row>
    <row r="199" spans="1:15" ht="29" x14ac:dyDescent="0.35">
      <c r="A199" s="105" t="s">
        <v>664</v>
      </c>
      <c r="B199" s="105" t="s">
        <v>690</v>
      </c>
      <c r="C199" s="105" t="s">
        <v>686</v>
      </c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</row>
    <row r="200" spans="1:15" ht="29" x14ac:dyDescent="0.35">
      <c r="A200" s="105" t="s">
        <v>666</v>
      </c>
      <c r="B200" s="105" t="s">
        <v>692</v>
      </c>
      <c r="C200" s="105" t="s">
        <v>686</v>
      </c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</row>
    <row r="201" spans="1:15" ht="29" x14ac:dyDescent="0.35">
      <c r="A201" s="105" t="s">
        <v>668</v>
      </c>
      <c r="B201" s="105" t="s">
        <v>694</v>
      </c>
      <c r="C201" s="105" t="s">
        <v>686</v>
      </c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</row>
    <row r="202" spans="1:15" ht="29" x14ac:dyDescent="0.35">
      <c r="A202" s="105" t="s">
        <v>670</v>
      </c>
      <c r="B202" s="105" t="s">
        <v>696</v>
      </c>
      <c r="C202" s="105" t="s">
        <v>686</v>
      </c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</row>
    <row r="203" spans="1:15" ht="29" x14ac:dyDescent="0.35">
      <c r="A203" s="105" t="s">
        <v>672</v>
      </c>
      <c r="B203" s="105" t="s">
        <v>698</v>
      </c>
      <c r="C203" s="105" t="s">
        <v>686</v>
      </c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</row>
    <row r="204" spans="1:15" x14ac:dyDescent="0.35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</row>
    <row r="205" spans="1:15" x14ac:dyDescent="0.35">
      <c r="A205" s="166" t="s">
        <v>713</v>
      </c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2"/>
    </row>
    <row r="206" spans="1:15" ht="58" x14ac:dyDescent="0.35">
      <c r="A206" s="108" t="s">
        <v>700</v>
      </c>
      <c r="B206" s="108" t="s">
        <v>701</v>
      </c>
      <c r="C206" s="108" t="s">
        <v>390</v>
      </c>
      <c r="D206" s="108" t="s">
        <v>351</v>
      </c>
      <c r="E206" s="108" t="s">
        <v>352</v>
      </c>
      <c r="F206" s="108" t="s">
        <v>292</v>
      </c>
      <c r="G206" s="108" t="s">
        <v>619</v>
      </c>
      <c r="H206" s="108" t="s">
        <v>353</v>
      </c>
      <c r="I206" s="108" t="s">
        <v>610</v>
      </c>
      <c r="J206" s="105"/>
      <c r="K206" s="105"/>
      <c r="L206" s="105"/>
      <c r="M206" s="105"/>
      <c r="N206" s="105"/>
      <c r="O206" s="105"/>
    </row>
    <row r="207" spans="1:15" x14ac:dyDescent="0.35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</row>
    <row r="208" spans="1:15" x14ac:dyDescent="0.35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</row>
    <row r="209" spans="1:15" x14ac:dyDescent="0.35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</row>
    <row r="210" spans="1:15" x14ac:dyDescent="0.35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</row>
    <row r="211" spans="1:15" x14ac:dyDescent="0.35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</row>
    <row r="212" spans="1:15" x14ac:dyDescent="0.35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</row>
    <row r="213" spans="1:15" x14ac:dyDescent="0.35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</row>
    <row r="214" spans="1:15" x14ac:dyDescent="0.35">
      <c r="A214" s="167" t="s">
        <v>714</v>
      </c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2"/>
    </row>
    <row r="215" spans="1:15" ht="72.5" x14ac:dyDescent="0.35">
      <c r="A215" s="108" t="s">
        <v>600</v>
      </c>
      <c r="B215" s="108"/>
      <c r="C215" s="108" t="s">
        <v>601</v>
      </c>
      <c r="D215" s="108"/>
      <c r="E215" s="108" t="s">
        <v>602</v>
      </c>
      <c r="F215" s="108"/>
      <c r="G215" s="108" t="s">
        <v>603</v>
      </c>
      <c r="H215" s="108"/>
      <c r="I215" s="108" t="s">
        <v>604</v>
      </c>
      <c r="J215" s="108"/>
      <c r="K215" s="108" t="s">
        <v>6</v>
      </c>
      <c r="L215" s="108"/>
      <c r="M215" s="108" t="s">
        <v>605</v>
      </c>
      <c r="N215" s="108"/>
      <c r="O215" s="108"/>
    </row>
    <row r="216" spans="1:15" ht="72.5" x14ac:dyDescent="0.35">
      <c r="A216" s="108" t="s">
        <v>606</v>
      </c>
      <c r="B216" s="108"/>
      <c r="C216" s="108" t="s">
        <v>607</v>
      </c>
      <c r="D216" s="108"/>
      <c r="E216" s="108" t="s">
        <v>608</v>
      </c>
      <c r="F216" s="108"/>
      <c r="G216" s="108" t="s">
        <v>609</v>
      </c>
      <c r="H216" s="108"/>
      <c r="I216" s="108" t="s">
        <v>610</v>
      </c>
      <c r="J216" s="109">
        <f>IFERROR(COUNTIF(E219:E245,"Yes")/(COUNTIF(E219:E245,"Yes")+COUNTIF(F219:F245,"No")),0)</f>
        <v>0</v>
      </c>
      <c r="K216" s="108"/>
      <c r="L216" s="108" t="str">
        <f>IF(J216&gt;=0.9,"Green",IF(J216&gt;=0.75,"Amber","Red"))</f>
        <v>Red</v>
      </c>
      <c r="M216" s="108"/>
      <c r="N216" s="108"/>
      <c r="O216" s="108"/>
    </row>
    <row r="217" spans="1:15" x14ac:dyDescent="0.35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</row>
    <row r="218" spans="1:15" ht="29" x14ac:dyDescent="0.35">
      <c r="A218" s="110" t="s">
        <v>611</v>
      </c>
      <c r="B218" s="110" t="s">
        <v>612</v>
      </c>
      <c r="C218" s="110" t="s">
        <v>613</v>
      </c>
      <c r="D218" s="110" t="s">
        <v>614</v>
      </c>
      <c r="E218" s="110" t="s">
        <v>81</v>
      </c>
      <c r="F218" s="110" t="s">
        <v>615</v>
      </c>
      <c r="G218" s="110" t="s">
        <v>616</v>
      </c>
      <c r="H218" s="110" t="s">
        <v>617</v>
      </c>
      <c r="I218" s="110" t="s">
        <v>618</v>
      </c>
      <c r="J218" s="110" t="s">
        <v>390</v>
      </c>
      <c r="K218" s="110" t="s">
        <v>351</v>
      </c>
      <c r="L218" s="110" t="s">
        <v>352</v>
      </c>
      <c r="M218" s="110" t="s">
        <v>292</v>
      </c>
      <c r="N218" s="110" t="s">
        <v>353</v>
      </c>
      <c r="O218" s="110" t="s">
        <v>619</v>
      </c>
    </row>
    <row r="219" spans="1:15" ht="29" x14ac:dyDescent="0.35">
      <c r="A219" s="105" t="s">
        <v>620</v>
      </c>
      <c r="B219" s="105" t="s">
        <v>794</v>
      </c>
      <c r="C219" s="105" t="s">
        <v>622</v>
      </c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</row>
    <row r="220" spans="1:15" ht="29" x14ac:dyDescent="0.35">
      <c r="A220" s="105" t="s">
        <v>623</v>
      </c>
      <c r="B220" s="105" t="s">
        <v>795</v>
      </c>
      <c r="C220" s="105" t="s">
        <v>743</v>
      </c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</row>
    <row r="221" spans="1:15" ht="29" x14ac:dyDescent="0.35">
      <c r="A221" s="105" t="s">
        <v>625</v>
      </c>
      <c r="B221" s="105" t="s">
        <v>796</v>
      </c>
      <c r="C221" s="105" t="s">
        <v>743</v>
      </c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</row>
    <row r="222" spans="1:15" ht="29" x14ac:dyDescent="0.35">
      <c r="A222" s="105" t="s">
        <v>627</v>
      </c>
      <c r="B222" s="105" t="s">
        <v>797</v>
      </c>
      <c r="C222" s="105" t="s">
        <v>743</v>
      </c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</row>
    <row r="223" spans="1:15" ht="29" x14ac:dyDescent="0.35">
      <c r="A223" s="105" t="s">
        <v>629</v>
      </c>
      <c r="B223" s="105" t="s">
        <v>798</v>
      </c>
      <c r="C223" s="105" t="s">
        <v>743</v>
      </c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</row>
    <row r="224" spans="1:15" x14ac:dyDescent="0.35">
      <c r="A224" s="105" t="s">
        <v>631</v>
      </c>
      <c r="B224" s="105" t="s">
        <v>799</v>
      </c>
      <c r="C224" s="105" t="s">
        <v>743</v>
      </c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</row>
    <row r="225" spans="1:15" ht="29" x14ac:dyDescent="0.35">
      <c r="A225" s="105" t="s">
        <v>633</v>
      </c>
      <c r="B225" s="105" t="s">
        <v>800</v>
      </c>
      <c r="C225" s="105" t="s">
        <v>743</v>
      </c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</row>
    <row r="226" spans="1:15" ht="29" x14ac:dyDescent="0.35">
      <c r="A226" s="105" t="s">
        <v>635</v>
      </c>
      <c r="B226" s="105" t="s">
        <v>809</v>
      </c>
      <c r="C226" s="105" t="s">
        <v>743</v>
      </c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</row>
    <row r="227" spans="1:15" ht="29" x14ac:dyDescent="0.35">
      <c r="A227" s="105" t="s">
        <v>637</v>
      </c>
      <c r="B227" s="105" t="s">
        <v>810</v>
      </c>
      <c r="C227" s="105" t="s">
        <v>743</v>
      </c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</row>
    <row r="228" spans="1:15" ht="29" x14ac:dyDescent="0.35">
      <c r="A228" s="105" t="s">
        <v>639</v>
      </c>
      <c r="B228" s="105" t="s">
        <v>811</v>
      </c>
      <c r="C228" s="105" t="s">
        <v>743</v>
      </c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</row>
    <row r="229" spans="1:15" ht="29" x14ac:dyDescent="0.35">
      <c r="A229" s="105" t="s">
        <v>641</v>
      </c>
      <c r="B229" s="105" t="s">
        <v>801</v>
      </c>
      <c r="C229" s="105" t="s">
        <v>622</v>
      </c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</row>
    <row r="230" spans="1:15" ht="29" x14ac:dyDescent="0.35">
      <c r="A230" s="105" t="s">
        <v>643</v>
      </c>
      <c r="B230" s="105" t="s">
        <v>802</v>
      </c>
      <c r="C230" s="105" t="s">
        <v>743</v>
      </c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</row>
    <row r="231" spans="1:15" ht="29" x14ac:dyDescent="0.35">
      <c r="A231" s="105" t="s">
        <v>644</v>
      </c>
      <c r="B231" s="105" t="s">
        <v>803</v>
      </c>
      <c r="C231" s="105" t="s">
        <v>622</v>
      </c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</row>
    <row r="232" spans="1:15" ht="29" x14ac:dyDescent="0.35">
      <c r="A232" s="105" t="s">
        <v>645</v>
      </c>
      <c r="B232" s="105" t="s">
        <v>804</v>
      </c>
      <c r="C232" s="105" t="s">
        <v>622</v>
      </c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</row>
    <row r="233" spans="1:15" ht="29" x14ac:dyDescent="0.35">
      <c r="A233" s="105" t="s">
        <v>646</v>
      </c>
      <c r="B233" s="105" t="s">
        <v>805</v>
      </c>
      <c r="C233" s="105" t="s">
        <v>746</v>
      </c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</row>
    <row r="234" spans="1:15" ht="29" x14ac:dyDescent="0.35">
      <c r="A234" s="105" t="s">
        <v>649</v>
      </c>
      <c r="B234" s="105" t="s">
        <v>806</v>
      </c>
      <c r="C234" s="105" t="s">
        <v>622</v>
      </c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</row>
    <row r="235" spans="1:15" ht="29" x14ac:dyDescent="0.35">
      <c r="A235" s="105" t="s">
        <v>651</v>
      </c>
      <c r="B235" s="105" t="s">
        <v>807</v>
      </c>
      <c r="C235" s="105" t="s">
        <v>622</v>
      </c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</row>
    <row r="236" spans="1:15" ht="29" x14ac:dyDescent="0.35">
      <c r="A236" s="105" t="s">
        <v>653</v>
      </c>
      <c r="B236" s="105" t="s">
        <v>808</v>
      </c>
      <c r="C236" s="105" t="s">
        <v>622</v>
      </c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</row>
    <row r="237" spans="1:15" ht="29" x14ac:dyDescent="0.35">
      <c r="A237" s="105" t="s">
        <v>655</v>
      </c>
      <c r="B237" s="105" t="s">
        <v>706</v>
      </c>
      <c r="C237" s="105" t="s">
        <v>622</v>
      </c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</row>
    <row r="238" spans="1:15" ht="29" x14ac:dyDescent="0.35">
      <c r="A238" s="105" t="s">
        <v>658</v>
      </c>
      <c r="B238" s="105" t="s">
        <v>682</v>
      </c>
      <c r="C238" s="105" t="s">
        <v>683</v>
      </c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</row>
    <row r="239" spans="1:15" ht="29" x14ac:dyDescent="0.35">
      <c r="A239" s="105" t="s">
        <v>660</v>
      </c>
      <c r="B239" s="105" t="s">
        <v>685</v>
      </c>
      <c r="C239" s="105" t="s">
        <v>686</v>
      </c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</row>
    <row r="240" spans="1:15" ht="29" x14ac:dyDescent="0.35">
      <c r="A240" s="105" t="s">
        <v>662</v>
      </c>
      <c r="B240" s="105" t="s">
        <v>688</v>
      </c>
      <c r="C240" s="105" t="s">
        <v>686</v>
      </c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</row>
    <row r="241" spans="1:15" ht="29" x14ac:dyDescent="0.35">
      <c r="A241" s="105" t="s">
        <v>664</v>
      </c>
      <c r="B241" s="105" t="s">
        <v>690</v>
      </c>
      <c r="C241" s="105" t="s">
        <v>686</v>
      </c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</row>
    <row r="242" spans="1:15" ht="29" x14ac:dyDescent="0.35">
      <c r="A242" s="105" t="s">
        <v>666</v>
      </c>
      <c r="B242" s="105" t="s">
        <v>692</v>
      </c>
      <c r="C242" s="105" t="s">
        <v>686</v>
      </c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</row>
    <row r="243" spans="1:15" ht="29" x14ac:dyDescent="0.35">
      <c r="A243" s="105" t="s">
        <v>668</v>
      </c>
      <c r="B243" s="105" t="s">
        <v>694</v>
      </c>
      <c r="C243" s="105" t="s">
        <v>686</v>
      </c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</row>
    <row r="244" spans="1:15" ht="29" x14ac:dyDescent="0.35">
      <c r="A244" s="105" t="s">
        <v>670</v>
      </c>
      <c r="B244" s="105" t="s">
        <v>696</v>
      </c>
      <c r="C244" s="105" t="s">
        <v>686</v>
      </c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</row>
    <row r="245" spans="1:15" ht="29" x14ac:dyDescent="0.35">
      <c r="A245" s="105" t="s">
        <v>672</v>
      </c>
      <c r="B245" s="105" t="s">
        <v>698</v>
      </c>
      <c r="C245" s="105" t="s">
        <v>686</v>
      </c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</row>
    <row r="246" spans="1:15" x14ac:dyDescent="0.35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</row>
    <row r="247" spans="1:15" x14ac:dyDescent="0.35">
      <c r="A247" s="166" t="s">
        <v>715</v>
      </c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2"/>
    </row>
    <row r="248" spans="1:15" ht="58" x14ac:dyDescent="0.35">
      <c r="A248" s="108" t="s">
        <v>700</v>
      </c>
      <c r="B248" s="108" t="s">
        <v>701</v>
      </c>
      <c r="C248" s="108" t="s">
        <v>390</v>
      </c>
      <c r="D248" s="108" t="s">
        <v>351</v>
      </c>
      <c r="E248" s="108" t="s">
        <v>352</v>
      </c>
      <c r="F248" s="108" t="s">
        <v>292</v>
      </c>
      <c r="G248" s="108" t="s">
        <v>619</v>
      </c>
      <c r="H248" s="108" t="s">
        <v>353</v>
      </c>
      <c r="I248" s="108" t="s">
        <v>610</v>
      </c>
      <c r="J248" s="105"/>
      <c r="K248" s="105"/>
      <c r="L248" s="105"/>
      <c r="M248" s="105"/>
      <c r="N248" s="105"/>
      <c r="O248" s="105"/>
    </row>
    <row r="249" spans="1:15" x14ac:dyDescent="0.35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</row>
    <row r="250" spans="1:15" x14ac:dyDescent="0.35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</row>
    <row r="251" spans="1:15" x14ac:dyDescent="0.35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</row>
    <row r="252" spans="1:15" x14ac:dyDescent="0.35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</row>
    <row r="253" spans="1:15" x14ac:dyDescent="0.35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</row>
    <row r="254" spans="1:15" x14ac:dyDescent="0.35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</row>
    <row r="255" spans="1:15" x14ac:dyDescent="0.3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</row>
    <row r="256" spans="1:15" x14ac:dyDescent="0.35">
      <c r="A256" s="167" t="s">
        <v>716</v>
      </c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2"/>
    </row>
    <row r="257" spans="1:15" ht="72.5" x14ac:dyDescent="0.35">
      <c r="A257" s="108" t="s">
        <v>600</v>
      </c>
      <c r="B257" s="108"/>
      <c r="C257" s="108" t="s">
        <v>601</v>
      </c>
      <c r="D257" s="108"/>
      <c r="E257" s="108" t="s">
        <v>602</v>
      </c>
      <c r="F257" s="108"/>
      <c r="G257" s="108" t="s">
        <v>603</v>
      </c>
      <c r="H257" s="108"/>
      <c r="I257" s="108" t="s">
        <v>604</v>
      </c>
      <c r="J257" s="108"/>
      <c r="K257" s="108" t="s">
        <v>6</v>
      </c>
      <c r="L257" s="108"/>
      <c r="M257" s="108" t="s">
        <v>605</v>
      </c>
      <c r="N257" s="108"/>
      <c r="O257" s="108"/>
    </row>
    <row r="258" spans="1:15" ht="72.5" x14ac:dyDescent="0.35">
      <c r="A258" s="108" t="s">
        <v>606</v>
      </c>
      <c r="B258" s="108"/>
      <c r="C258" s="108" t="s">
        <v>607</v>
      </c>
      <c r="D258" s="108"/>
      <c r="E258" s="108" t="s">
        <v>608</v>
      </c>
      <c r="F258" s="108"/>
      <c r="G258" s="108" t="s">
        <v>609</v>
      </c>
      <c r="H258" s="108"/>
      <c r="I258" s="108" t="s">
        <v>610</v>
      </c>
      <c r="J258" s="109">
        <f>IFERROR(COUNTIF(E261:E287,"Yes")/(COUNTIF(E261:E287,"Yes")+COUNTIF(F261:F287,"No")),0)</f>
        <v>0</v>
      </c>
      <c r="K258" s="108"/>
      <c r="L258" s="108" t="str">
        <f>IF(J258&gt;=0.9,"Green",IF(J258&gt;=0.75,"Amber","Red"))</f>
        <v>Red</v>
      </c>
      <c r="M258" s="108"/>
      <c r="N258" s="108"/>
      <c r="O258" s="108"/>
    </row>
    <row r="259" spans="1:15" x14ac:dyDescent="0.35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</row>
    <row r="260" spans="1:15" ht="29" x14ac:dyDescent="0.35">
      <c r="A260" s="110" t="s">
        <v>611</v>
      </c>
      <c r="B260" s="110" t="s">
        <v>612</v>
      </c>
      <c r="C260" s="110" t="s">
        <v>613</v>
      </c>
      <c r="D260" s="110" t="s">
        <v>614</v>
      </c>
      <c r="E260" s="110" t="s">
        <v>81</v>
      </c>
      <c r="F260" s="110" t="s">
        <v>615</v>
      </c>
      <c r="G260" s="110" t="s">
        <v>616</v>
      </c>
      <c r="H260" s="110" t="s">
        <v>617</v>
      </c>
      <c r="I260" s="110" t="s">
        <v>618</v>
      </c>
      <c r="J260" s="110" t="s">
        <v>390</v>
      </c>
      <c r="K260" s="110" t="s">
        <v>351</v>
      </c>
      <c r="L260" s="110" t="s">
        <v>352</v>
      </c>
      <c r="M260" s="110" t="s">
        <v>292</v>
      </c>
      <c r="N260" s="110" t="s">
        <v>353</v>
      </c>
      <c r="O260" s="110" t="s">
        <v>619</v>
      </c>
    </row>
    <row r="261" spans="1:15" ht="29" x14ac:dyDescent="0.35">
      <c r="A261" s="105" t="s">
        <v>620</v>
      </c>
      <c r="B261" s="105" t="s">
        <v>794</v>
      </c>
      <c r="C261" s="105" t="s">
        <v>622</v>
      </c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</row>
    <row r="262" spans="1:15" ht="29" x14ac:dyDescent="0.35">
      <c r="A262" s="105" t="s">
        <v>623</v>
      </c>
      <c r="B262" s="105" t="s">
        <v>795</v>
      </c>
      <c r="C262" s="105" t="s">
        <v>743</v>
      </c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</row>
    <row r="263" spans="1:15" ht="29" x14ac:dyDescent="0.35">
      <c r="A263" s="105" t="s">
        <v>625</v>
      </c>
      <c r="B263" s="105" t="s">
        <v>796</v>
      </c>
      <c r="C263" s="105" t="s">
        <v>743</v>
      </c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</row>
    <row r="264" spans="1:15" ht="29" x14ac:dyDescent="0.35">
      <c r="A264" s="105" t="s">
        <v>627</v>
      </c>
      <c r="B264" s="105" t="s">
        <v>797</v>
      </c>
      <c r="C264" s="105" t="s">
        <v>743</v>
      </c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</row>
    <row r="265" spans="1:15" ht="29" x14ac:dyDescent="0.35">
      <c r="A265" s="105" t="s">
        <v>629</v>
      </c>
      <c r="B265" s="105" t="s">
        <v>798</v>
      </c>
      <c r="C265" s="105" t="s">
        <v>743</v>
      </c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</row>
    <row r="266" spans="1:15" x14ac:dyDescent="0.35">
      <c r="A266" s="105" t="s">
        <v>631</v>
      </c>
      <c r="B266" s="105" t="s">
        <v>799</v>
      </c>
      <c r="C266" s="105" t="s">
        <v>743</v>
      </c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</row>
    <row r="267" spans="1:15" ht="29" x14ac:dyDescent="0.35">
      <c r="A267" s="105" t="s">
        <v>633</v>
      </c>
      <c r="B267" s="105" t="s">
        <v>800</v>
      </c>
      <c r="C267" s="105" t="s">
        <v>743</v>
      </c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</row>
    <row r="268" spans="1:15" ht="29" x14ac:dyDescent="0.35">
      <c r="A268" s="105" t="s">
        <v>635</v>
      </c>
      <c r="B268" s="105" t="s">
        <v>809</v>
      </c>
      <c r="C268" s="105" t="s">
        <v>743</v>
      </c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</row>
    <row r="269" spans="1:15" ht="29" x14ac:dyDescent="0.35">
      <c r="A269" s="105" t="s">
        <v>637</v>
      </c>
      <c r="B269" s="105" t="s">
        <v>810</v>
      </c>
      <c r="C269" s="105" t="s">
        <v>743</v>
      </c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</row>
    <row r="270" spans="1:15" ht="29" x14ac:dyDescent="0.35">
      <c r="A270" s="105" t="s">
        <v>639</v>
      </c>
      <c r="B270" s="105" t="s">
        <v>811</v>
      </c>
      <c r="C270" s="105" t="s">
        <v>743</v>
      </c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</row>
    <row r="271" spans="1:15" ht="29" x14ac:dyDescent="0.35">
      <c r="A271" s="105" t="s">
        <v>641</v>
      </c>
      <c r="B271" s="105" t="s">
        <v>801</v>
      </c>
      <c r="C271" s="105" t="s">
        <v>622</v>
      </c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</row>
    <row r="272" spans="1:15" ht="29" x14ac:dyDescent="0.35">
      <c r="A272" s="105" t="s">
        <v>643</v>
      </c>
      <c r="B272" s="105" t="s">
        <v>802</v>
      </c>
      <c r="C272" s="105" t="s">
        <v>743</v>
      </c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</row>
    <row r="273" spans="1:15" ht="29" x14ac:dyDescent="0.35">
      <c r="A273" s="105" t="s">
        <v>644</v>
      </c>
      <c r="B273" s="105" t="s">
        <v>803</v>
      </c>
      <c r="C273" s="105" t="s">
        <v>622</v>
      </c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</row>
    <row r="274" spans="1:15" ht="29" x14ac:dyDescent="0.35">
      <c r="A274" s="105" t="s">
        <v>645</v>
      </c>
      <c r="B274" s="105" t="s">
        <v>804</v>
      </c>
      <c r="C274" s="105" t="s">
        <v>622</v>
      </c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</row>
    <row r="275" spans="1:15" ht="29" x14ac:dyDescent="0.35">
      <c r="A275" s="105" t="s">
        <v>646</v>
      </c>
      <c r="B275" s="105" t="s">
        <v>805</v>
      </c>
      <c r="C275" s="105" t="s">
        <v>746</v>
      </c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</row>
    <row r="276" spans="1:15" ht="29" x14ac:dyDescent="0.35">
      <c r="A276" s="105" t="s">
        <v>649</v>
      </c>
      <c r="B276" s="105" t="s">
        <v>806</v>
      </c>
      <c r="C276" s="105" t="s">
        <v>622</v>
      </c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</row>
    <row r="277" spans="1:15" ht="29" x14ac:dyDescent="0.35">
      <c r="A277" s="105" t="s">
        <v>651</v>
      </c>
      <c r="B277" s="105" t="s">
        <v>807</v>
      </c>
      <c r="C277" s="105" t="s">
        <v>622</v>
      </c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</row>
    <row r="278" spans="1:15" ht="29" x14ac:dyDescent="0.35">
      <c r="A278" s="105" t="s">
        <v>653</v>
      </c>
      <c r="B278" s="105" t="s">
        <v>808</v>
      </c>
      <c r="C278" s="105" t="s">
        <v>622</v>
      </c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</row>
    <row r="279" spans="1:15" ht="29" x14ac:dyDescent="0.35">
      <c r="A279" s="105" t="s">
        <v>655</v>
      </c>
      <c r="B279" s="105" t="s">
        <v>706</v>
      </c>
      <c r="C279" s="105" t="s">
        <v>622</v>
      </c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</row>
    <row r="280" spans="1:15" ht="29" x14ac:dyDescent="0.35">
      <c r="A280" s="105" t="s">
        <v>658</v>
      </c>
      <c r="B280" s="105" t="s">
        <v>682</v>
      </c>
      <c r="C280" s="105" t="s">
        <v>683</v>
      </c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</row>
    <row r="281" spans="1:15" ht="29" x14ac:dyDescent="0.35">
      <c r="A281" s="105" t="s">
        <v>660</v>
      </c>
      <c r="B281" s="105" t="s">
        <v>685</v>
      </c>
      <c r="C281" s="105" t="s">
        <v>686</v>
      </c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</row>
    <row r="282" spans="1:15" ht="29" x14ac:dyDescent="0.35">
      <c r="A282" s="105" t="s">
        <v>662</v>
      </c>
      <c r="B282" s="105" t="s">
        <v>688</v>
      </c>
      <c r="C282" s="105" t="s">
        <v>686</v>
      </c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</row>
    <row r="283" spans="1:15" ht="29" x14ac:dyDescent="0.35">
      <c r="A283" s="105" t="s">
        <v>664</v>
      </c>
      <c r="B283" s="105" t="s">
        <v>690</v>
      </c>
      <c r="C283" s="105" t="s">
        <v>686</v>
      </c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</row>
    <row r="284" spans="1:15" ht="29" x14ac:dyDescent="0.35">
      <c r="A284" s="105" t="s">
        <v>666</v>
      </c>
      <c r="B284" s="105" t="s">
        <v>692</v>
      </c>
      <c r="C284" s="105" t="s">
        <v>686</v>
      </c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</row>
    <row r="285" spans="1:15" ht="29" x14ac:dyDescent="0.35">
      <c r="A285" s="105" t="s">
        <v>668</v>
      </c>
      <c r="B285" s="105" t="s">
        <v>694</v>
      </c>
      <c r="C285" s="105" t="s">
        <v>686</v>
      </c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</row>
    <row r="286" spans="1:15" ht="29" x14ac:dyDescent="0.35">
      <c r="A286" s="105" t="s">
        <v>670</v>
      </c>
      <c r="B286" s="105" t="s">
        <v>696</v>
      </c>
      <c r="C286" s="105" t="s">
        <v>686</v>
      </c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</row>
    <row r="287" spans="1:15" ht="29" x14ac:dyDescent="0.35">
      <c r="A287" s="105" t="s">
        <v>672</v>
      </c>
      <c r="B287" s="105" t="s">
        <v>698</v>
      </c>
      <c r="C287" s="105" t="s">
        <v>686</v>
      </c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</row>
    <row r="288" spans="1:15" x14ac:dyDescent="0.35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</row>
    <row r="289" spans="1:15" x14ac:dyDescent="0.35">
      <c r="A289" s="166" t="s">
        <v>717</v>
      </c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2"/>
    </row>
    <row r="290" spans="1:15" ht="58" x14ac:dyDescent="0.35">
      <c r="A290" s="108" t="s">
        <v>700</v>
      </c>
      <c r="B290" s="108" t="s">
        <v>701</v>
      </c>
      <c r="C290" s="108" t="s">
        <v>390</v>
      </c>
      <c r="D290" s="108" t="s">
        <v>351</v>
      </c>
      <c r="E290" s="108" t="s">
        <v>352</v>
      </c>
      <c r="F290" s="108" t="s">
        <v>292</v>
      </c>
      <c r="G290" s="108" t="s">
        <v>619</v>
      </c>
      <c r="H290" s="108" t="s">
        <v>353</v>
      </c>
      <c r="I290" s="108" t="s">
        <v>610</v>
      </c>
      <c r="J290" s="105"/>
      <c r="K290" s="105"/>
      <c r="L290" s="105"/>
      <c r="M290" s="105"/>
      <c r="N290" s="105"/>
      <c r="O290" s="105"/>
    </row>
    <row r="291" spans="1:15" x14ac:dyDescent="0.35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</row>
    <row r="292" spans="1:15" x14ac:dyDescent="0.35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</row>
    <row r="293" spans="1:15" x14ac:dyDescent="0.35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</row>
    <row r="294" spans="1:15" x14ac:dyDescent="0.35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</row>
    <row r="295" spans="1:15" x14ac:dyDescent="0.3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</row>
    <row r="296" spans="1:15" x14ac:dyDescent="0.35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</row>
    <row r="297" spans="1:15" x14ac:dyDescent="0.35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</row>
    <row r="298" spans="1:15" x14ac:dyDescent="0.35">
      <c r="A298" s="167" t="s">
        <v>718</v>
      </c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2"/>
    </row>
    <row r="299" spans="1:15" ht="72.5" x14ac:dyDescent="0.35">
      <c r="A299" s="108" t="s">
        <v>600</v>
      </c>
      <c r="B299" s="108"/>
      <c r="C299" s="108" t="s">
        <v>601</v>
      </c>
      <c r="D299" s="108"/>
      <c r="E299" s="108" t="s">
        <v>602</v>
      </c>
      <c r="F299" s="108"/>
      <c r="G299" s="108" t="s">
        <v>603</v>
      </c>
      <c r="H299" s="108"/>
      <c r="I299" s="108" t="s">
        <v>604</v>
      </c>
      <c r="J299" s="108"/>
      <c r="K299" s="108" t="s">
        <v>6</v>
      </c>
      <c r="L299" s="108"/>
      <c r="M299" s="108" t="s">
        <v>605</v>
      </c>
      <c r="N299" s="108"/>
      <c r="O299" s="108"/>
    </row>
    <row r="300" spans="1:15" ht="72.5" x14ac:dyDescent="0.35">
      <c r="A300" s="108" t="s">
        <v>606</v>
      </c>
      <c r="B300" s="108"/>
      <c r="C300" s="108" t="s">
        <v>607</v>
      </c>
      <c r="D300" s="108"/>
      <c r="E300" s="108" t="s">
        <v>608</v>
      </c>
      <c r="F300" s="108"/>
      <c r="G300" s="108" t="s">
        <v>609</v>
      </c>
      <c r="H300" s="108"/>
      <c r="I300" s="108" t="s">
        <v>610</v>
      </c>
      <c r="J300" s="109">
        <f>IFERROR(COUNTIF(E303:E329,"Yes")/(COUNTIF(E303:E329,"Yes")+COUNTIF(F303:F329,"No")),0)</f>
        <v>0</v>
      </c>
      <c r="K300" s="108"/>
      <c r="L300" s="108" t="str">
        <f>IF(J300&gt;=0.9,"Green",IF(J300&gt;=0.75,"Amber","Red"))</f>
        <v>Red</v>
      </c>
      <c r="M300" s="108"/>
      <c r="N300" s="108"/>
      <c r="O300" s="108"/>
    </row>
    <row r="301" spans="1:15" x14ac:dyDescent="0.35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</row>
    <row r="302" spans="1:15" ht="29" x14ac:dyDescent="0.35">
      <c r="A302" s="110" t="s">
        <v>611</v>
      </c>
      <c r="B302" s="110" t="s">
        <v>612</v>
      </c>
      <c r="C302" s="110" t="s">
        <v>613</v>
      </c>
      <c r="D302" s="110" t="s">
        <v>614</v>
      </c>
      <c r="E302" s="110" t="s">
        <v>81</v>
      </c>
      <c r="F302" s="110" t="s">
        <v>615</v>
      </c>
      <c r="G302" s="110" t="s">
        <v>616</v>
      </c>
      <c r="H302" s="110" t="s">
        <v>617</v>
      </c>
      <c r="I302" s="110" t="s">
        <v>618</v>
      </c>
      <c r="J302" s="110" t="s">
        <v>390</v>
      </c>
      <c r="K302" s="110" t="s">
        <v>351</v>
      </c>
      <c r="L302" s="110" t="s">
        <v>352</v>
      </c>
      <c r="M302" s="110" t="s">
        <v>292</v>
      </c>
      <c r="N302" s="110" t="s">
        <v>353</v>
      </c>
      <c r="O302" s="110" t="s">
        <v>619</v>
      </c>
    </row>
    <row r="303" spans="1:15" ht="29" x14ac:dyDescent="0.35">
      <c r="A303" s="105" t="s">
        <v>620</v>
      </c>
      <c r="B303" s="105" t="s">
        <v>794</v>
      </c>
      <c r="C303" s="105" t="s">
        <v>622</v>
      </c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</row>
    <row r="304" spans="1:15" ht="29" x14ac:dyDescent="0.35">
      <c r="A304" s="105" t="s">
        <v>623</v>
      </c>
      <c r="B304" s="105" t="s">
        <v>795</v>
      </c>
      <c r="C304" s="105" t="s">
        <v>743</v>
      </c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</row>
    <row r="305" spans="1:15" ht="29" x14ac:dyDescent="0.35">
      <c r="A305" s="105" t="s">
        <v>625</v>
      </c>
      <c r="B305" s="105" t="s">
        <v>796</v>
      </c>
      <c r="C305" s="105" t="s">
        <v>743</v>
      </c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</row>
    <row r="306" spans="1:15" ht="29" x14ac:dyDescent="0.35">
      <c r="A306" s="105" t="s">
        <v>627</v>
      </c>
      <c r="B306" s="105" t="s">
        <v>797</v>
      </c>
      <c r="C306" s="105" t="s">
        <v>743</v>
      </c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</row>
    <row r="307" spans="1:15" ht="29" x14ac:dyDescent="0.35">
      <c r="A307" s="105" t="s">
        <v>629</v>
      </c>
      <c r="B307" s="105" t="s">
        <v>798</v>
      </c>
      <c r="C307" s="105" t="s">
        <v>743</v>
      </c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</row>
    <row r="308" spans="1:15" x14ac:dyDescent="0.35">
      <c r="A308" s="105" t="s">
        <v>631</v>
      </c>
      <c r="B308" s="105" t="s">
        <v>799</v>
      </c>
      <c r="C308" s="105" t="s">
        <v>743</v>
      </c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</row>
    <row r="309" spans="1:15" ht="29" x14ac:dyDescent="0.35">
      <c r="A309" s="105" t="s">
        <v>633</v>
      </c>
      <c r="B309" s="105" t="s">
        <v>800</v>
      </c>
      <c r="C309" s="105" t="s">
        <v>743</v>
      </c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</row>
    <row r="310" spans="1:15" ht="29" x14ac:dyDescent="0.35">
      <c r="A310" s="105" t="s">
        <v>635</v>
      </c>
      <c r="B310" s="105" t="s">
        <v>809</v>
      </c>
      <c r="C310" s="105" t="s">
        <v>743</v>
      </c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</row>
    <row r="311" spans="1:15" ht="29" x14ac:dyDescent="0.35">
      <c r="A311" s="105" t="s">
        <v>637</v>
      </c>
      <c r="B311" s="105" t="s">
        <v>810</v>
      </c>
      <c r="C311" s="105" t="s">
        <v>743</v>
      </c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</row>
    <row r="312" spans="1:15" ht="29" x14ac:dyDescent="0.35">
      <c r="A312" s="105" t="s">
        <v>639</v>
      </c>
      <c r="B312" s="105" t="s">
        <v>811</v>
      </c>
      <c r="C312" s="105" t="s">
        <v>743</v>
      </c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</row>
    <row r="313" spans="1:15" ht="29" x14ac:dyDescent="0.35">
      <c r="A313" s="105" t="s">
        <v>641</v>
      </c>
      <c r="B313" s="105" t="s">
        <v>801</v>
      </c>
      <c r="C313" s="105" t="s">
        <v>622</v>
      </c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</row>
    <row r="314" spans="1:15" ht="29" x14ac:dyDescent="0.35">
      <c r="A314" s="105" t="s">
        <v>643</v>
      </c>
      <c r="B314" s="105" t="s">
        <v>802</v>
      </c>
      <c r="C314" s="105" t="s">
        <v>743</v>
      </c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</row>
    <row r="315" spans="1:15" ht="29" x14ac:dyDescent="0.35">
      <c r="A315" s="105" t="s">
        <v>644</v>
      </c>
      <c r="B315" s="105" t="s">
        <v>803</v>
      </c>
      <c r="C315" s="105" t="s">
        <v>622</v>
      </c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</row>
    <row r="316" spans="1:15" ht="29" x14ac:dyDescent="0.35">
      <c r="A316" s="105" t="s">
        <v>645</v>
      </c>
      <c r="B316" s="105" t="s">
        <v>804</v>
      </c>
      <c r="C316" s="105" t="s">
        <v>622</v>
      </c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</row>
    <row r="317" spans="1:15" ht="29" x14ac:dyDescent="0.35">
      <c r="A317" s="105" t="s">
        <v>646</v>
      </c>
      <c r="B317" s="105" t="s">
        <v>805</v>
      </c>
      <c r="C317" s="105" t="s">
        <v>746</v>
      </c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</row>
    <row r="318" spans="1:15" ht="29" x14ac:dyDescent="0.35">
      <c r="A318" s="105" t="s">
        <v>649</v>
      </c>
      <c r="B318" s="105" t="s">
        <v>806</v>
      </c>
      <c r="C318" s="105" t="s">
        <v>622</v>
      </c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</row>
    <row r="319" spans="1:15" ht="29" x14ac:dyDescent="0.35">
      <c r="A319" s="105" t="s">
        <v>651</v>
      </c>
      <c r="B319" s="105" t="s">
        <v>807</v>
      </c>
      <c r="C319" s="105" t="s">
        <v>622</v>
      </c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</row>
    <row r="320" spans="1:15" ht="29" x14ac:dyDescent="0.35">
      <c r="A320" s="105" t="s">
        <v>653</v>
      </c>
      <c r="B320" s="105" t="s">
        <v>808</v>
      </c>
      <c r="C320" s="105" t="s">
        <v>622</v>
      </c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</row>
    <row r="321" spans="1:15" ht="29" x14ac:dyDescent="0.35">
      <c r="A321" s="105" t="s">
        <v>655</v>
      </c>
      <c r="B321" s="105" t="s">
        <v>706</v>
      </c>
      <c r="C321" s="105" t="s">
        <v>622</v>
      </c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</row>
    <row r="322" spans="1:15" ht="29" x14ac:dyDescent="0.35">
      <c r="A322" s="105" t="s">
        <v>658</v>
      </c>
      <c r="B322" s="105" t="s">
        <v>682</v>
      </c>
      <c r="C322" s="105" t="s">
        <v>683</v>
      </c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</row>
    <row r="323" spans="1:15" ht="29" x14ac:dyDescent="0.35">
      <c r="A323" s="105" t="s">
        <v>660</v>
      </c>
      <c r="B323" s="105" t="s">
        <v>685</v>
      </c>
      <c r="C323" s="105" t="s">
        <v>686</v>
      </c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</row>
    <row r="324" spans="1:15" ht="29" x14ac:dyDescent="0.35">
      <c r="A324" s="105" t="s">
        <v>662</v>
      </c>
      <c r="B324" s="105" t="s">
        <v>688</v>
      </c>
      <c r="C324" s="105" t="s">
        <v>686</v>
      </c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</row>
    <row r="325" spans="1:15" ht="29" x14ac:dyDescent="0.35">
      <c r="A325" s="105" t="s">
        <v>664</v>
      </c>
      <c r="B325" s="105" t="s">
        <v>690</v>
      </c>
      <c r="C325" s="105" t="s">
        <v>686</v>
      </c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</row>
    <row r="326" spans="1:15" ht="29" x14ac:dyDescent="0.35">
      <c r="A326" s="105" t="s">
        <v>666</v>
      </c>
      <c r="B326" s="105" t="s">
        <v>692</v>
      </c>
      <c r="C326" s="105" t="s">
        <v>686</v>
      </c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</row>
    <row r="327" spans="1:15" ht="29" x14ac:dyDescent="0.35">
      <c r="A327" s="105" t="s">
        <v>668</v>
      </c>
      <c r="B327" s="105" t="s">
        <v>694</v>
      </c>
      <c r="C327" s="105" t="s">
        <v>686</v>
      </c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</row>
    <row r="328" spans="1:15" ht="29" x14ac:dyDescent="0.35">
      <c r="A328" s="105" t="s">
        <v>670</v>
      </c>
      <c r="B328" s="105" t="s">
        <v>696</v>
      </c>
      <c r="C328" s="105" t="s">
        <v>686</v>
      </c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</row>
    <row r="329" spans="1:15" ht="29" x14ac:dyDescent="0.35">
      <c r="A329" s="105" t="s">
        <v>672</v>
      </c>
      <c r="B329" s="105" t="s">
        <v>698</v>
      </c>
      <c r="C329" s="105" t="s">
        <v>686</v>
      </c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</row>
    <row r="330" spans="1:15" x14ac:dyDescent="0.35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</row>
    <row r="331" spans="1:15" x14ac:dyDescent="0.35">
      <c r="A331" s="166" t="s">
        <v>719</v>
      </c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2"/>
    </row>
    <row r="332" spans="1:15" ht="58" x14ac:dyDescent="0.35">
      <c r="A332" s="108" t="s">
        <v>700</v>
      </c>
      <c r="B332" s="108" t="s">
        <v>701</v>
      </c>
      <c r="C332" s="108" t="s">
        <v>390</v>
      </c>
      <c r="D332" s="108" t="s">
        <v>351</v>
      </c>
      <c r="E332" s="108" t="s">
        <v>352</v>
      </c>
      <c r="F332" s="108" t="s">
        <v>292</v>
      </c>
      <c r="G332" s="108" t="s">
        <v>619</v>
      </c>
      <c r="H332" s="108" t="s">
        <v>353</v>
      </c>
      <c r="I332" s="108" t="s">
        <v>610</v>
      </c>
      <c r="J332" s="105"/>
      <c r="K332" s="105"/>
      <c r="L332" s="105"/>
      <c r="M332" s="105"/>
      <c r="N332" s="105"/>
      <c r="O332" s="105"/>
    </row>
    <row r="333" spans="1:15" x14ac:dyDescent="0.35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</row>
    <row r="334" spans="1:15" x14ac:dyDescent="0.35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</row>
    <row r="335" spans="1:15" x14ac:dyDescent="0.35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</row>
    <row r="336" spans="1:15" x14ac:dyDescent="0.35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</row>
    <row r="337" spans="1:15" x14ac:dyDescent="0.35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</row>
    <row r="338" spans="1:15" x14ac:dyDescent="0.35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</row>
    <row r="339" spans="1:15" x14ac:dyDescent="0.35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</row>
    <row r="340" spans="1:15" x14ac:dyDescent="0.35">
      <c r="A340" s="167" t="s">
        <v>720</v>
      </c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2"/>
    </row>
    <row r="341" spans="1:15" ht="72.5" x14ac:dyDescent="0.35">
      <c r="A341" s="108" t="s">
        <v>600</v>
      </c>
      <c r="B341" s="108"/>
      <c r="C341" s="108" t="s">
        <v>601</v>
      </c>
      <c r="D341" s="108"/>
      <c r="E341" s="108" t="s">
        <v>602</v>
      </c>
      <c r="F341" s="108"/>
      <c r="G341" s="108" t="s">
        <v>603</v>
      </c>
      <c r="H341" s="108"/>
      <c r="I341" s="108" t="s">
        <v>604</v>
      </c>
      <c r="J341" s="108"/>
      <c r="K341" s="108" t="s">
        <v>6</v>
      </c>
      <c r="L341" s="108"/>
      <c r="M341" s="108" t="s">
        <v>605</v>
      </c>
      <c r="N341" s="108"/>
      <c r="O341" s="108"/>
    </row>
    <row r="342" spans="1:15" ht="72.5" x14ac:dyDescent="0.35">
      <c r="A342" s="108" t="s">
        <v>606</v>
      </c>
      <c r="B342" s="108"/>
      <c r="C342" s="108" t="s">
        <v>607</v>
      </c>
      <c r="D342" s="108"/>
      <c r="E342" s="108" t="s">
        <v>608</v>
      </c>
      <c r="F342" s="108"/>
      <c r="G342" s="108" t="s">
        <v>609</v>
      </c>
      <c r="H342" s="108"/>
      <c r="I342" s="108" t="s">
        <v>610</v>
      </c>
      <c r="J342" s="109">
        <f>IFERROR(COUNTIF(E345:E371,"Yes")/(COUNTIF(E345:E371,"Yes")+COUNTIF(F345:F371,"No")),0)</f>
        <v>0</v>
      </c>
      <c r="K342" s="108"/>
      <c r="L342" s="108" t="str">
        <f>IF(J342&gt;=0.9,"Green",IF(J342&gt;=0.75,"Amber","Red"))</f>
        <v>Red</v>
      </c>
      <c r="M342" s="108"/>
      <c r="N342" s="108"/>
      <c r="O342" s="108"/>
    </row>
    <row r="343" spans="1:15" x14ac:dyDescent="0.35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</row>
    <row r="344" spans="1:15" ht="29" x14ac:dyDescent="0.35">
      <c r="A344" s="110" t="s">
        <v>611</v>
      </c>
      <c r="B344" s="110" t="s">
        <v>612</v>
      </c>
      <c r="C344" s="110" t="s">
        <v>613</v>
      </c>
      <c r="D344" s="110" t="s">
        <v>614</v>
      </c>
      <c r="E344" s="110" t="s">
        <v>81</v>
      </c>
      <c r="F344" s="110" t="s">
        <v>615</v>
      </c>
      <c r="G344" s="110" t="s">
        <v>616</v>
      </c>
      <c r="H344" s="110" t="s">
        <v>617</v>
      </c>
      <c r="I344" s="110" t="s">
        <v>618</v>
      </c>
      <c r="J344" s="110" t="s">
        <v>390</v>
      </c>
      <c r="K344" s="110" t="s">
        <v>351</v>
      </c>
      <c r="L344" s="110" t="s">
        <v>352</v>
      </c>
      <c r="M344" s="110" t="s">
        <v>292</v>
      </c>
      <c r="N344" s="110" t="s">
        <v>353</v>
      </c>
      <c r="O344" s="110" t="s">
        <v>619</v>
      </c>
    </row>
    <row r="345" spans="1:15" ht="29" x14ac:dyDescent="0.35">
      <c r="A345" s="105" t="s">
        <v>620</v>
      </c>
      <c r="B345" s="105" t="s">
        <v>794</v>
      </c>
      <c r="C345" s="105" t="s">
        <v>622</v>
      </c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</row>
    <row r="346" spans="1:15" ht="29" x14ac:dyDescent="0.35">
      <c r="A346" s="105" t="s">
        <v>623</v>
      </c>
      <c r="B346" s="105" t="s">
        <v>795</v>
      </c>
      <c r="C346" s="105" t="s">
        <v>743</v>
      </c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</row>
    <row r="347" spans="1:15" ht="29" x14ac:dyDescent="0.35">
      <c r="A347" s="105" t="s">
        <v>625</v>
      </c>
      <c r="B347" s="105" t="s">
        <v>796</v>
      </c>
      <c r="C347" s="105" t="s">
        <v>743</v>
      </c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</row>
    <row r="348" spans="1:15" ht="29" x14ac:dyDescent="0.35">
      <c r="A348" s="105" t="s">
        <v>627</v>
      </c>
      <c r="B348" s="105" t="s">
        <v>797</v>
      </c>
      <c r="C348" s="105" t="s">
        <v>743</v>
      </c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</row>
    <row r="349" spans="1:15" ht="29" x14ac:dyDescent="0.35">
      <c r="A349" s="105" t="s">
        <v>629</v>
      </c>
      <c r="B349" s="105" t="s">
        <v>798</v>
      </c>
      <c r="C349" s="105" t="s">
        <v>743</v>
      </c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</row>
    <row r="350" spans="1:15" x14ac:dyDescent="0.35">
      <c r="A350" s="105" t="s">
        <v>631</v>
      </c>
      <c r="B350" s="105" t="s">
        <v>799</v>
      </c>
      <c r="C350" s="105" t="s">
        <v>743</v>
      </c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</row>
    <row r="351" spans="1:15" ht="29" x14ac:dyDescent="0.35">
      <c r="A351" s="105" t="s">
        <v>633</v>
      </c>
      <c r="B351" s="105" t="s">
        <v>800</v>
      </c>
      <c r="C351" s="105" t="s">
        <v>743</v>
      </c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</row>
    <row r="352" spans="1:15" ht="29" x14ac:dyDescent="0.35">
      <c r="A352" s="105" t="s">
        <v>635</v>
      </c>
      <c r="B352" s="105" t="s">
        <v>809</v>
      </c>
      <c r="C352" s="105" t="s">
        <v>743</v>
      </c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</row>
    <row r="353" spans="1:15" ht="29" x14ac:dyDescent="0.35">
      <c r="A353" s="105" t="s">
        <v>637</v>
      </c>
      <c r="B353" s="105" t="s">
        <v>810</v>
      </c>
      <c r="C353" s="105" t="s">
        <v>743</v>
      </c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</row>
    <row r="354" spans="1:15" ht="29" x14ac:dyDescent="0.35">
      <c r="A354" s="105" t="s">
        <v>639</v>
      </c>
      <c r="B354" s="105" t="s">
        <v>811</v>
      </c>
      <c r="C354" s="105" t="s">
        <v>743</v>
      </c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</row>
    <row r="355" spans="1:15" ht="29" x14ac:dyDescent="0.35">
      <c r="A355" s="105" t="s">
        <v>641</v>
      </c>
      <c r="B355" s="105" t="s">
        <v>801</v>
      </c>
      <c r="C355" s="105" t="s">
        <v>622</v>
      </c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</row>
    <row r="356" spans="1:15" ht="29" x14ac:dyDescent="0.35">
      <c r="A356" s="105" t="s">
        <v>643</v>
      </c>
      <c r="B356" s="105" t="s">
        <v>802</v>
      </c>
      <c r="C356" s="105" t="s">
        <v>743</v>
      </c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</row>
    <row r="357" spans="1:15" ht="29" x14ac:dyDescent="0.35">
      <c r="A357" s="105" t="s">
        <v>644</v>
      </c>
      <c r="B357" s="105" t="s">
        <v>803</v>
      </c>
      <c r="C357" s="105" t="s">
        <v>622</v>
      </c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</row>
    <row r="358" spans="1:15" ht="29" x14ac:dyDescent="0.35">
      <c r="A358" s="105" t="s">
        <v>645</v>
      </c>
      <c r="B358" s="105" t="s">
        <v>804</v>
      </c>
      <c r="C358" s="105" t="s">
        <v>622</v>
      </c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</row>
    <row r="359" spans="1:15" ht="29" x14ac:dyDescent="0.35">
      <c r="A359" s="105" t="s">
        <v>646</v>
      </c>
      <c r="B359" s="105" t="s">
        <v>805</v>
      </c>
      <c r="C359" s="105" t="s">
        <v>746</v>
      </c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</row>
    <row r="360" spans="1:15" ht="29" x14ac:dyDescent="0.35">
      <c r="A360" s="105" t="s">
        <v>649</v>
      </c>
      <c r="B360" s="105" t="s">
        <v>806</v>
      </c>
      <c r="C360" s="105" t="s">
        <v>622</v>
      </c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</row>
    <row r="361" spans="1:15" ht="29" x14ac:dyDescent="0.35">
      <c r="A361" s="105" t="s">
        <v>651</v>
      </c>
      <c r="B361" s="105" t="s">
        <v>807</v>
      </c>
      <c r="C361" s="105" t="s">
        <v>622</v>
      </c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</row>
    <row r="362" spans="1:15" ht="29" x14ac:dyDescent="0.35">
      <c r="A362" s="105" t="s">
        <v>653</v>
      </c>
      <c r="B362" s="105" t="s">
        <v>808</v>
      </c>
      <c r="C362" s="105" t="s">
        <v>622</v>
      </c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</row>
    <row r="363" spans="1:15" ht="29" x14ac:dyDescent="0.35">
      <c r="A363" s="105" t="s">
        <v>655</v>
      </c>
      <c r="B363" s="105" t="s">
        <v>706</v>
      </c>
      <c r="C363" s="105" t="s">
        <v>622</v>
      </c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</row>
    <row r="364" spans="1:15" ht="29" x14ac:dyDescent="0.35">
      <c r="A364" s="105" t="s">
        <v>658</v>
      </c>
      <c r="B364" s="105" t="s">
        <v>682</v>
      </c>
      <c r="C364" s="105" t="s">
        <v>683</v>
      </c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</row>
    <row r="365" spans="1:15" ht="29" x14ac:dyDescent="0.35">
      <c r="A365" s="105" t="s">
        <v>660</v>
      </c>
      <c r="B365" s="105" t="s">
        <v>685</v>
      </c>
      <c r="C365" s="105" t="s">
        <v>686</v>
      </c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</row>
    <row r="366" spans="1:15" ht="29" x14ac:dyDescent="0.35">
      <c r="A366" s="105" t="s">
        <v>662</v>
      </c>
      <c r="B366" s="105" t="s">
        <v>688</v>
      </c>
      <c r="C366" s="105" t="s">
        <v>686</v>
      </c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</row>
    <row r="367" spans="1:15" ht="29" x14ac:dyDescent="0.35">
      <c r="A367" s="105" t="s">
        <v>664</v>
      </c>
      <c r="B367" s="105" t="s">
        <v>690</v>
      </c>
      <c r="C367" s="105" t="s">
        <v>686</v>
      </c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</row>
    <row r="368" spans="1:15" ht="29" x14ac:dyDescent="0.35">
      <c r="A368" s="105" t="s">
        <v>666</v>
      </c>
      <c r="B368" s="105" t="s">
        <v>692</v>
      </c>
      <c r="C368" s="105" t="s">
        <v>686</v>
      </c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</row>
    <row r="369" spans="1:15" ht="29" x14ac:dyDescent="0.35">
      <c r="A369" s="105" t="s">
        <v>668</v>
      </c>
      <c r="B369" s="105" t="s">
        <v>694</v>
      </c>
      <c r="C369" s="105" t="s">
        <v>686</v>
      </c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</row>
    <row r="370" spans="1:15" ht="29" x14ac:dyDescent="0.35">
      <c r="A370" s="105" t="s">
        <v>670</v>
      </c>
      <c r="B370" s="105" t="s">
        <v>696</v>
      </c>
      <c r="C370" s="105" t="s">
        <v>686</v>
      </c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</row>
    <row r="371" spans="1:15" ht="29" x14ac:dyDescent="0.35">
      <c r="A371" s="105" t="s">
        <v>672</v>
      </c>
      <c r="B371" s="105" t="s">
        <v>698</v>
      </c>
      <c r="C371" s="105" t="s">
        <v>686</v>
      </c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</row>
    <row r="372" spans="1:15" x14ac:dyDescent="0.35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</row>
    <row r="373" spans="1:15" x14ac:dyDescent="0.35">
      <c r="A373" s="166" t="s">
        <v>721</v>
      </c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2"/>
    </row>
    <row r="374" spans="1:15" ht="58" x14ac:dyDescent="0.35">
      <c r="A374" s="108" t="s">
        <v>700</v>
      </c>
      <c r="B374" s="108" t="s">
        <v>701</v>
      </c>
      <c r="C374" s="108" t="s">
        <v>390</v>
      </c>
      <c r="D374" s="108" t="s">
        <v>351</v>
      </c>
      <c r="E374" s="108" t="s">
        <v>352</v>
      </c>
      <c r="F374" s="108" t="s">
        <v>292</v>
      </c>
      <c r="G374" s="108" t="s">
        <v>619</v>
      </c>
      <c r="H374" s="108" t="s">
        <v>353</v>
      </c>
      <c r="I374" s="108" t="s">
        <v>610</v>
      </c>
      <c r="J374" s="105"/>
      <c r="K374" s="105"/>
      <c r="L374" s="105"/>
      <c r="M374" s="105"/>
      <c r="N374" s="105"/>
      <c r="O374" s="105"/>
    </row>
    <row r="375" spans="1:15" x14ac:dyDescent="0.3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</row>
    <row r="376" spans="1:15" x14ac:dyDescent="0.35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</row>
    <row r="377" spans="1:15" x14ac:dyDescent="0.35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</row>
    <row r="378" spans="1:15" x14ac:dyDescent="0.35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</row>
    <row r="379" spans="1:15" x14ac:dyDescent="0.35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</row>
    <row r="380" spans="1:15" x14ac:dyDescent="0.35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</row>
    <row r="381" spans="1:15" x14ac:dyDescent="0.35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</row>
    <row r="382" spans="1:15" x14ac:dyDescent="0.35">
      <c r="A382" s="167" t="s">
        <v>722</v>
      </c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2"/>
    </row>
    <row r="383" spans="1:15" ht="72.5" x14ac:dyDescent="0.35">
      <c r="A383" s="108" t="s">
        <v>600</v>
      </c>
      <c r="B383" s="108"/>
      <c r="C383" s="108" t="s">
        <v>601</v>
      </c>
      <c r="D383" s="108"/>
      <c r="E383" s="108" t="s">
        <v>602</v>
      </c>
      <c r="F383" s="108"/>
      <c r="G383" s="108" t="s">
        <v>603</v>
      </c>
      <c r="H383" s="108"/>
      <c r="I383" s="108" t="s">
        <v>604</v>
      </c>
      <c r="J383" s="108"/>
      <c r="K383" s="108" t="s">
        <v>6</v>
      </c>
      <c r="L383" s="108"/>
      <c r="M383" s="108" t="s">
        <v>605</v>
      </c>
      <c r="N383" s="108"/>
      <c r="O383" s="108"/>
    </row>
    <row r="384" spans="1:15" ht="72.5" x14ac:dyDescent="0.35">
      <c r="A384" s="108" t="s">
        <v>606</v>
      </c>
      <c r="B384" s="108"/>
      <c r="C384" s="108" t="s">
        <v>607</v>
      </c>
      <c r="D384" s="108"/>
      <c r="E384" s="108" t="s">
        <v>608</v>
      </c>
      <c r="F384" s="108"/>
      <c r="G384" s="108" t="s">
        <v>609</v>
      </c>
      <c r="H384" s="108"/>
      <c r="I384" s="108" t="s">
        <v>610</v>
      </c>
      <c r="J384" s="109">
        <f>IFERROR(COUNTIF(E387:E413,"Yes")/(COUNTIF(E387:E413,"Yes")+COUNTIF(F387:F413,"No")),0)</f>
        <v>0</v>
      </c>
      <c r="K384" s="108"/>
      <c r="L384" s="108" t="str">
        <f>IF(J384&gt;=0.9,"Green",IF(J384&gt;=0.75,"Amber","Red"))</f>
        <v>Red</v>
      </c>
      <c r="M384" s="108"/>
      <c r="N384" s="108"/>
      <c r="O384" s="108"/>
    </row>
    <row r="385" spans="1:15" x14ac:dyDescent="0.3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</row>
    <row r="386" spans="1:15" ht="29" x14ac:dyDescent="0.35">
      <c r="A386" s="110" t="s">
        <v>611</v>
      </c>
      <c r="B386" s="110" t="s">
        <v>612</v>
      </c>
      <c r="C386" s="110" t="s">
        <v>613</v>
      </c>
      <c r="D386" s="110" t="s">
        <v>614</v>
      </c>
      <c r="E386" s="110" t="s">
        <v>81</v>
      </c>
      <c r="F386" s="110" t="s">
        <v>615</v>
      </c>
      <c r="G386" s="110" t="s">
        <v>616</v>
      </c>
      <c r="H386" s="110" t="s">
        <v>617</v>
      </c>
      <c r="I386" s="110" t="s">
        <v>618</v>
      </c>
      <c r="J386" s="110" t="s">
        <v>390</v>
      </c>
      <c r="K386" s="110" t="s">
        <v>351</v>
      </c>
      <c r="L386" s="110" t="s">
        <v>352</v>
      </c>
      <c r="M386" s="110" t="s">
        <v>292</v>
      </c>
      <c r="N386" s="110" t="s">
        <v>353</v>
      </c>
      <c r="O386" s="110" t="s">
        <v>619</v>
      </c>
    </row>
    <row r="387" spans="1:15" ht="29" x14ac:dyDescent="0.35">
      <c r="A387" s="105" t="s">
        <v>620</v>
      </c>
      <c r="B387" s="105" t="s">
        <v>794</v>
      </c>
      <c r="C387" s="105" t="s">
        <v>622</v>
      </c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</row>
    <row r="388" spans="1:15" ht="29" x14ac:dyDescent="0.35">
      <c r="A388" s="105" t="s">
        <v>623</v>
      </c>
      <c r="B388" s="105" t="s">
        <v>795</v>
      </c>
      <c r="C388" s="105" t="s">
        <v>743</v>
      </c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</row>
    <row r="389" spans="1:15" ht="29" x14ac:dyDescent="0.35">
      <c r="A389" s="105" t="s">
        <v>625</v>
      </c>
      <c r="B389" s="105" t="s">
        <v>796</v>
      </c>
      <c r="C389" s="105" t="s">
        <v>743</v>
      </c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</row>
    <row r="390" spans="1:15" ht="29" x14ac:dyDescent="0.35">
      <c r="A390" s="105" t="s">
        <v>627</v>
      </c>
      <c r="B390" s="105" t="s">
        <v>797</v>
      </c>
      <c r="C390" s="105" t="s">
        <v>743</v>
      </c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</row>
    <row r="391" spans="1:15" ht="29" x14ac:dyDescent="0.35">
      <c r="A391" s="105" t="s">
        <v>629</v>
      </c>
      <c r="B391" s="105" t="s">
        <v>798</v>
      </c>
      <c r="C391" s="105" t="s">
        <v>743</v>
      </c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</row>
    <row r="392" spans="1:15" x14ac:dyDescent="0.35">
      <c r="A392" s="105" t="s">
        <v>631</v>
      </c>
      <c r="B392" s="105" t="s">
        <v>799</v>
      </c>
      <c r="C392" s="105" t="s">
        <v>743</v>
      </c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</row>
    <row r="393" spans="1:15" ht="29" x14ac:dyDescent="0.35">
      <c r="A393" s="105" t="s">
        <v>633</v>
      </c>
      <c r="B393" s="105" t="s">
        <v>800</v>
      </c>
      <c r="C393" s="105" t="s">
        <v>743</v>
      </c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</row>
    <row r="394" spans="1:15" ht="29" x14ac:dyDescent="0.35">
      <c r="A394" s="105" t="s">
        <v>635</v>
      </c>
      <c r="B394" s="105" t="s">
        <v>809</v>
      </c>
      <c r="C394" s="105" t="s">
        <v>743</v>
      </c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</row>
    <row r="395" spans="1:15" ht="29" x14ac:dyDescent="0.35">
      <c r="A395" s="105" t="s">
        <v>637</v>
      </c>
      <c r="B395" s="105" t="s">
        <v>810</v>
      </c>
      <c r="C395" s="105" t="s">
        <v>743</v>
      </c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</row>
    <row r="396" spans="1:15" ht="29" x14ac:dyDescent="0.35">
      <c r="A396" s="105" t="s">
        <v>639</v>
      </c>
      <c r="B396" s="105" t="s">
        <v>811</v>
      </c>
      <c r="C396" s="105" t="s">
        <v>743</v>
      </c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</row>
    <row r="397" spans="1:15" ht="29" x14ac:dyDescent="0.35">
      <c r="A397" s="105" t="s">
        <v>641</v>
      </c>
      <c r="B397" s="105" t="s">
        <v>801</v>
      </c>
      <c r="C397" s="105" t="s">
        <v>622</v>
      </c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</row>
    <row r="398" spans="1:15" ht="29" x14ac:dyDescent="0.35">
      <c r="A398" s="105" t="s">
        <v>643</v>
      </c>
      <c r="B398" s="105" t="s">
        <v>802</v>
      </c>
      <c r="C398" s="105" t="s">
        <v>743</v>
      </c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</row>
    <row r="399" spans="1:15" ht="29" x14ac:dyDescent="0.35">
      <c r="A399" s="105" t="s">
        <v>644</v>
      </c>
      <c r="B399" s="105" t="s">
        <v>803</v>
      </c>
      <c r="C399" s="105" t="s">
        <v>622</v>
      </c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</row>
    <row r="400" spans="1:15" ht="29" x14ac:dyDescent="0.35">
      <c r="A400" s="105" t="s">
        <v>645</v>
      </c>
      <c r="B400" s="105" t="s">
        <v>804</v>
      </c>
      <c r="C400" s="105" t="s">
        <v>622</v>
      </c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</row>
    <row r="401" spans="1:15" ht="29" x14ac:dyDescent="0.35">
      <c r="A401" s="105" t="s">
        <v>646</v>
      </c>
      <c r="B401" s="105" t="s">
        <v>805</v>
      </c>
      <c r="C401" s="105" t="s">
        <v>746</v>
      </c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</row>
    <row r="402" spans="1:15" ht="29" x14ac:dyDescent="0.35">
      <c r="A402" s="105" t="s">
        <v>649</v>
      </c>
      <c r="B402" s="105" t="s">
        <v>806</v>
      </c>
      <c r="C402" s="105" t="s">
        <v>622</v>
      </c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</row>
    <row r="403" spans="1:15" ht="29" x14ac:dyDescent="0.35">
      <c r="A403" s="105" t="s">
        <v>651</v>
      </c>
      <c r="B403" s="105" t="s">
        <v>807</v>
      </c>
      <c r="C403" s="105" t="s">
        <v>622</v>
      </c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</row>
    <row r="404" spans="1:15" ht="29" x14ac:dyDescent="0.35">
      <c r="A404" s="105" t="s">
        <v>653</v>
      </c>
      <c r="B404" s="105" t="s">
        <v>808</v>
      </c>
      <c r="C404" s="105" t="s">
        <v>622</v>
      </c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</row>
    <row r="405" spans="1:15" ht="29" x14ac:dyDescent="0.35">
      <c r="A405" s="105" t="s">
        <v>655</v>
      </c>
      <c r="B405" s="105" t="s">
        <v>706</v>
      </c>
      <c r="C405" s="105" t="s">
        <v>622</v>
      </c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</row>
    <row r="406" spans="1:15" ht="29" x14ac:dyDescent="0.35">
      <c r="A406" s="105" t="s">
        <v>658</v>
      </c>
      <c r="B406" s="105" t="s">
        <v>682</v>
      </c>
      <c r="C406" s="105" t="s">
        <v>683</v>
      </c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</row>
    <row r="407" spans="1:15" ht="29" x14ac:dyDescent="0.35">
      <c r="A407" s="105" t="s">
        <v>660</v>
      </c>
      <c r="B407" s="105" t="s">
        <v>685</v>
      </c>
      <c r="C407" s="105" t="s">
        <v>686</v>
      </c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</row>
    <row r="408" spans="1:15" ht="29" x14ac:dyDescent="0.35">
      <c r="A408" s="105" t="s">
        <v>662</v>
      </c>
      <c r="B408" s="105" t="s">
        <v>688</v>
      </c>
      <c r="C408" s="105" t="s">
        <v>686</v>
      </c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</row>
    <row r="409" spans="1:15" ht="29" x14ac:dyDescent="0.35">
      <c r="A409" s="105" t="s">
        <v>664</v>
      </c>
      <c r="B409" s="105" t="s">
        <v>690</v>
      </c>
      <c r="C409" s="105" t="s">
        <v>686</v>
      </c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</row>
    <row r="410" spans="1:15" ht="29" x14ac:dyDescent="0.35">
      <c r="A410" s="105" t="s">
        <v>666</v>
      </c>
      <c r="B410" s="105" t="s">
        <v>692</v>
      </c>
      <c r="C410" s="105" t="s">
        <v>686</v>
      </c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</row>
    <row r="411" spans="1:15" ht="29" x14ac:dyDescent="0.35">
      <c r="A411" s="105" t="s">
        <v>668</v>
      </c>
      <c r="B411" s="105" t="s">
        <v>694</v>
      </c>
      <c r="C411" s="105" t="s">
        <v>686</v>
      </c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</row>
    <row r="412" spans="1:15" ht="29" x14ac:dyDescent="0.35">
      <c r="A412" s="105" t="s">
        <v>670</v>
      </c>
      <c r="B412" s="105" t="s">
        <v>696</v>
      </c>
      <c r="C412" s="105" t="s">
        <v>686</v>
      </c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</row>
    <row r="413" spans="1:15" ht="29" x14ac:dyDescent="0.35">
      <c r="A413" s="105" t="s">
        <v>672</v>
      </c>
      <c r="B413" s="105" t="s">
        <v>698</v>
      </c>
      <c r="C413" s="105" t="s">
        <v>686</v>
      </c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</row>
    <row r="414" spans="1:15" x14ac:dyDescent="0.35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</row>
    <row r="415" spans="1:15" x14ac:dyDescent="0.35">
      <c r="A415" s="166" t="s">
        <v>723</v>
      </c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2"/>
    </row>
    <row r="416" spans="1:15" ht="58" x14ac:dyDescent="0.35">
      <c r="A416" s="108" t="s">
        <v>700</v>
      </c>
      <c r="B416" s="108" t="s">
        <v>701</v>
      </c>
      <c r="C416" s="108" t="s">
        <v>390</v>
      </c>
      <c r="D416" s="108" t="s">
        <v>351</v>
      </c>
      <c r="E416" s="108" t="s">
        <v>352</v>
      </c>
      <c r="F416" s="108" t="s">
        <v>292</v>
      </c>
      <c r="G416" s="108" t="s">
        <v>619</v>
      </c>
      <c r="H416" s="108" t="s">
        <v>353</v>
      </c>
      <c r="I416" s="108" t="s">
        <v>610</v>
      </c>
      <c r="J416" s="105"/>
      <c r="K416" s="105"/>
      <c r="L416" s="105"/>
      <c r="M416" s="105"/>
      <c r="N416" s="105"/>
      <c r="O416" s="105"/>
    </row>
    <row r="417" spans="1:15" x14ac:dyDescent="0.35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</row>
    <row r="418" spans="1:15" x14ac:dyDescent="0.35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</row>
    <row r="419" spans="1:15" x14ac:dyDescent="0.35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</row>
    <row r="420" spans="1:15" x14ac:dyDescent="0.35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</row>
    <row r="421" spans="1:15" x14ac:dyDescent="0.35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</row>
    <row r="422" spans="1:15" x14ac:dyDescent="0.35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</row>
    <row r="423" spans="1:15" x14ac:dyDescent="0.35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</row>
    <row r="424" spans="1:15" x14ac:dyDescent="0.35">
      <c r="A424" s="167" t="s">
        <v>724</v>
      </c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2"/>
    </row>
    <row r="425" spans="1:15" ht="72.5" x14ac:dyDescent="0.35">
      <c r="A425" s="108" t="s">
        <v>600</v>
      </c>
      <c r="B425" s="108"/>
      <c r="C425" s="108" t="s">
        <v>601</v>
      </c>
      <c r="D425" s="108"/>
      <c r="E425" s="108" t="s">
        <v>602</v>
      </c>
      <c r="F425" s="108"/>
      <c r="G425" s="108" t="s">
        <v>603</v>
      </c>
      <c r="H425" s="108"/>
      <c r="I425" s="108" t="s">
        <v>604</v>
      </c>
      <c r="J425" s="108"/>
      <c r="K425" s="108" t="s">
        <v>6</v>
      </c>
      <c r="L425" s="108"/>
      <c r="M425" s="108" t="s">
        <v>605</v>
      </c>
      <c r="N425" s="108"/>
      <c r="O425" s="108"/>
    </row>
    <row r="426" spans="1:15" ht="72.5" x14ac:dyDescent="0.35">
      <c r="A426" s="108" t="s">
        <v>606</v>
      </c>
      <c r="B426" s="108"/>
      <c r="C426" s="108" t="s">
        <v>607</v>
      </c>
      <c r="D426" s="108"/>
      <c r="E426" s="108" t="s">
        <v>608</v>
      </c>
      <c r="F426" s="108"/>
      <c r="G426" s="108" t="s">
        <v>609</v>
      </c>
      <c r="H426" s="108"/>
      <c r="I426" s="108" t="s">
        <v>610</v>
      </c>
      <c r="J426" s="109">
        <f>IFERROR(COUNTIF(E429:E455,"Yes")/(COUNTIF(E429:E455,"Yes")+COUNTIF(F429:F455,"No")),0)</f>
        <v>0</v>
      </c>
      <c r="K426" s="108"/>
      <c r="L426" s="108" t="str">
        <f>IF(J426&gt;=0.9,"Green",IF(J426&gt;=0.75,"Amber","Red"))</f>
        <v>Red</v>
      </c>
      <c r="M426" s="108"/>
      <c r="N426" s="108"/>
      <c r="O426" s="108"/>
    </row>
    <row r="427" spans="1:15" x14ac:dyDescent="0.35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</row>
    <row r="428" spans="1:15" ht="29" x14ac:dyDescent="0.35">
      <c r="A428" s="110" t="s">
        <v>611</v>
      </c>
      <c r="B428" s="110" t="s">
        <v>612</v>
      </c>
      <c r="C428" s="110" t="s">
        <v>613</v>
      </c>
      <c r="D428" s="110" t="s">
        <v>614</v>
      </c>
      <c r="E428" s="110" t="s">
        <v>81</v>
      </c>
      <c r="F428" s="110" t="s">
        <v>615</v>
      </c>
      <c r="G428" s="110" t="s">
        <v>616</v>
      </c>
      <c r="H428" s="110" t="s">
        <v>617</v>
      </c>
      <c r="I428" s="110" t="s">
        <v>618</v>
      </c>
      <c r="J428" s="110" t="s">
        <v>390</v>
      </c>
      <c r="K428" s="110" t="s">
        <v>351</v>
      </c>
      <c r="L428" s="110" t="s">
        <v>352</v>
      </c>
      <c r="M428" s="110" t="s">
        <v>292</v>
      </c>
      <c r="N428" s="110" t="s">
        <v>353</v>
      </c>
      <c r="O428" s="110" t="s">
        <v>619</v>
      </c>
    </row>
    <row r="429" spans="1:15" ht="29" x14ac:dyDescent="0.35">
      <c r="A429" s="105" t="s">
        <v>620</v>
      </c>
      <c r="B429" s="105" t="s">
        <v>794</v>
      </c>
      <c r="C429" s="105" t="s">
        <v>622</v>
      </c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</row>
    <row r="430" spans="1:15" ht="29" x14ac:dyDescent="0.35">
      <c r="A430" s="105" t="s">
        <v>623</v>
      </c>
      <c r="B430" s="105" t="s">
        <v>795</v>
      </c>
      <c r="C430" s="105" t="s">
        <v>743</v>
      </c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</row>
    <row r="431" spans="1:15" ht="29" x14ac:dyDescent="0.35">
      <c r="A431" s="105" t="s">
        <v>625</v>
      </c>
      <c r="B431" s="105" t="s">
        <v>796</v>
      </c>
      <c r="C431" s="105" t="s">
        <v>743</v>
      </c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</row>
    <row r="432" spans="1:15" ht="29" x14ac:dyDescent="0.35">
      <c r="A432" s="105" t="s">
        <v>627</v>
      </c>
      <c r="B432" s="105" t="s">
        <v>797</v>
      </c>
      <c r="C432" s="105" t="s">
        <v>743</v>
      </c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</row>
    <row r="433" spans="1:15" ht="29" x14ac:dyDescent="0.35">
      <c r="A433" s="105" t="s">
        <v>629</v>
      </c>
      <c r="B433" s="105" t="s">
        <v>798</v>
      </c>
      <c r="C433" s="105" t="s">
        <v>743</v>
      </c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</row>
    <row r="434" spans="1:15" x14ac:dyDescent="0.35">
      <c r="A434" s="105" t="s">
        <v>631</v>
      </c>
      <c r="B434" s="105" t="s">
        <v>799</v>
      </c>
      <c r="C434" s="105" t="s">
        <v>743</v>
      </c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</row>
    <row r="435" spans="1:15" ht="29" x14ac:dyDescent="0.35">
      <c r="A435" s="105" t="s">
        <v>633</v>
      </c>
      <c r="B435" s="105" t="s">
        <v>800</v>
      </c>
      <c r="C435" s="105" t="s">
        <v>743</v>
      </c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</row>
    <row r="436" spans="1:15" ht="29" x14ac:dyDescent="0.35">
      <c r="A436" s="105" t="s">
        <v>635</v>
      </c>
      <c r="B436" s="105" t="s">
        <v>809</v>
      </c>
      <c r="C436" s="105" t="s">
        <v>743</v>
      </c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</row>
    <row r="437" spans="1:15" ht="29" x14ac:dyDescent="0.35">
      <c r="A437" s="105" t="s">
        <v>637</v>
      </c>
      <c r="B437" s="105" t="s">
        <v>810</v>
      </c>
      <c r="C437" s="105" t="s">
        <v>743</v>
      </c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</row>
    <row r="438" spans="1:15" ht="29" x14ac:dyDescent="0.35">
      <c r="A438" s="105" t="s">
        <v>639</v>
      </c>
      <c r="B438" s="105" t="s">
        <v>811</v>
      </c>
      <c r="C438" s="105" t="s">
        <v>743</v>
      </c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</row>
    <row r="439" spans="1:15" ht="29" x14ac:dyDescent="0.35">
      <c r="A439" s="105" t="s">
        <v>641</v>
      </c>
      <c r="B439" s="105" t="s">
        <v>801</v>
      </c>
      <c r="C439" s="105" t="s">
        <v>622</v>
      </c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</row>
    <row r="440" spans="1:15" ht="29" x14ac:dyDescent="0.35">
      <c r="A440" s="105" t="s">
        <v>643</v>
      </c>
      <c r="B440" s="105" t="s">
        <v>802</v>
      </c>
      <c r="C440" s="105" t="s">
        <v>743</v>
      </c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</row>
    <row r="441" spans="1:15" ht="29" x14ac:dyDescent="0.35">
      <c r="A441" s="105" t="s">
        <v>644</v>
      </c>
      <c r="B441" s="105" t="s">
        <v>803</v>
      </c>
      <c r="C441" s="105" t="s">
        <v>622</v>
      </c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</row>
    <row r="442" spans="1:15" ht="29" x14ac:dyDescent="0.35">
      <c r="A442" s="105" t="s">
        <v>645</v>
      </c>
      <c r="B442" s="105" t="s">
        <v>804</v>
      </c>
      <c r="C442" s="105" t="s">
        <v>622</v>
      </c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</row>
    <row r="443" spans="1:15" ht="29" x14ac:dyDescent="0.35">
      <c r="A443" s="105" t="s">
        <v>646</v>
      </c>
      <c r="B443" s="105" t="s">
        <v>805</v>
      </c>
      <c r="C443" s="105" t="s">
        <v>746</v>
      </c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</row>
    <row r="444" spans="1:15" ht="29" x14ac:dyDescent="0.35">
      <c r="A444" s="105" t="s">
        <v>649</v>
      </c>
      <c r="B444" s="105" t="s">
        <v>806</v>
      </c>
      <c r="C444" s="105" t="s">
        <v>622</v>
      </c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</row>
    <row r="445" spans="1:15" ht="29" x14ac:dyDescent="0.35">
      <c r="A445" s="105" t="s">
        <v>651</v>
      </c>
      <c r="B445" s="105" t="s">
        <v>807</v>
      </c>
      <c r="C445" s="105" t="s">
        <v>622</v>
      </c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</row>
    <row r="446" spans="1:15" ht="29" x14ac:dyDescent="0.35">
      <c r="A446" s="105" t="s">
        <v>653</v>
      </c>
      <c r="B446" s="105" t="s">
        <v>808</v>
      </c>
      <c r="C446" s="105" t="s">
        <v>622</v>
      </c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</row>
    <row r="447" spans="1:15" ht="29" x14ac:dyDescent="0.35">
      <c r="A447" s="105" t="s">
        <v>655</v>
      </c>
      <c r="B447" s="105" t="s">
        <v>706</v>
      </c>
      <c r="C447" s="105" t="s">
        <v>622</v>
      </c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</row>
    <row r="448" spans="1:15" ht="29" x14ac:dyDescent="0.35">
      <c r="A448" s="105" t="s">
        <v>658</v>
      </c>
      <c r="B448" s="105" t="s">
        <v>682</v>
      </c>
      <c r="C448" s="105" t="s">
        <v>683</v>
      </c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</row>
    <row r="449" spans="1:15" ht="29" x14ac:dyDescent="0.35">
      <c r="A449" s="105" t="s">
        <v>660</v>
      </c>
      <c r="B449" s="105" t="s">
        <v>685</v>
      </c>
      <c r="C449" s="105" t="s">
        <v>686</v>
      </c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</row>
    <row r="450" spans="1:15" ht="29" x14ac:dyDescent="0.35">
      <c r="A450" s="105" t="s">
        <v>662</v>
      </c>
      <c r="B450" s="105" t="s">
        <v>688</v>
      </c>
      <c r="C450" s="105" t="s">
        <v>686</v>
      </c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</row>
    <row r="451" spans="1:15" ht="29" x14ac:dyDescent="0.35">
      <c r="A451" s="105" t="s">
        <v>664</v>
      </c>
      <c r="B451" s="105" t="s">
        <v>690</v>
      </c>
      <c r="C451" s="105" t="s">
        <v>686</v>
      </c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</row>
    <row r="452" spans="1:15" ht="29" x14ac:dyDescent="0.35">
      <c r="A452" s="105" t="s">
        <v>666</v>
      </c>
      <c r="B452" s="105" t="s">
        <v>692</v>
      </c>
      <c r="C452" s="105" t="s">
        <v>686</v>
      </c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</row>
    <row r="453" spans="1:15" ht="29" x14ac:dyDescent="0.35">
      <c r="A453" s="105" t="s">
        <v>668</v>
      </c>
      <c r="B453" s="105" t="s">
        <v>694</v>
      </c>
      <c r="C453" s="105" t="s">
        <v>686</v>
      </c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</row>
    <row r="454" spans="1:15" ht="29" x14ac:dyDescent="0.35">
      <c r="A454" s="105" t="s">
        <v>670</v>
      </c>
      <c r="B454" s="105" t="s">
        <v>696</v>
      </c>
      <c r="C454" s="105" t="s">
        <v>686</v>
      </c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</row>
    <row r="455" spans="1:15" ht="29" x14ac:dyDescent="0.35">
      <c r="A455" s="105" t="s">
        <v>672</v>
      </c>
      <c r="B455" s="105" t="s">
        <v>698</v>
      </c>
      <c r="C455" s="105" t="s">
        <v>686</v>
      </c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</row>
    <row r="456" spans="1:15" x14ac:dyDescent="0.35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</row>
    <row r="457" spans="1:15" x14ac:dyDescent="0.35">
      <c r="A457" s="166" t="s">
        <v>725</v>
      </c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2"/>
    </row>
    <row r="458" spans="1:15" ht="58" x14ac:dyDescent="0.35">
      <c r="A458" s="108" t="s">
        <v>700</v>
      </c>
      <c r="B458" s="108" t="s">
        <v>701</v>
      </c>
      <c r="C458" s="108" t="s">
        <v>390</v>
      </c>
      <c r="D458" s="108" t="s">
        <v>351</v>
      </c>
      <c r="E458" s="108" t="s">
        <v>352</v>
      </c>
      <c r="F458" s="108" t="s">
        <v>292</v>
      </c>
      <c r="G458" s="108" t="s">
        <v>619</v>
      </c>
      <c r="H458" s="108" t="s">
        <v>353</v>
      </c>
      <c r="I458" s="108" t="s">
        <v>610</v>
      </c>
      <c r="J458" s="105"/>
      <c r="K458" s="105"/>
      <c r="L458" s="105"/>
      <c r="M458" s="105"/>
      <c r="N458" s="105"/>
      <c r="O458" s="105"/>
    </row>
    <row r="459" spans="1:15" x14ac:dyDescent="0.35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</row>
    <row r="460" spans="1:15" x14ac:dyDescent="0.35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</row>
    <row r="461" spans="1:15" x14ac:dyDescent="0.35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</row>
    <row r="462" spans="1:15" x14ac:dyDescent="0.35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</row>
    <row r="463" spans="1:15" x14ac:dyDescent="0.35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</row>
    <row r="464" spans="1:15" x14ac:dyDescent="0.35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</row>
    <row r="465" spans="1:15" x14ac:dyDescent="0.35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</row>
    <row r="466" spans="1:15" x14ac:dyDescent="0.35">
      <c r="A466" s="167" t="s">
        <v>726</v>
      </c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2"/>
    </row>
    <row r="467" spans="1:15" ht="72.5" x14ac:dyDescent="0.35">
      <c r="A467" s="108" t="s">
        <v>600</v>
      </c>
      <c r="B467" s="108"/>
      <c r="C467" s="108" t="s">
        <v>601</v>
      </c>
      <c r="D467" s="108"/>
      <c r="E467" s="108" t="s">
        <v>602</v>
      </c>
      <c r="F467" s="108"/>
      <c r="G467" s="108" t="s">
        <v>603</v>
      </c>
      <c r="H467" s="108"/>
      <c r="I467" s="108" t="s">
        <v>604</v>
      </c>
      <c r="J467" s="108"/>
      <c r="K467" s="108" t="s">
        <v>6</v>
      </c>
      <c r="L467" s="108"/>
      <c r="M467" s="108" t="s">
        <v>605</v>
      </c>
      <c r="N467" s="108"/>
      <c r="O467" s="108"/>
    </row>
    <row r="468" spans="1:15" ht="72.5" x14ac:dyDescent="0.35">
      <c r="A468" s="108" t="s">
        <v>606</v>
      </c>
      <c r="B468" s="108"/>
      <c r="C468" s="108" t="s">
        <v>607</v>
      </c>
      <c r="D468" s="108"/>
      <c r="E468" s="108" t="s">
        <v>608</v>
      </c>
      <c r="F468" s="108"/>
      <c r="G468" s="108" t="s">
        <v>609</v>
      </c>
      <c r="H468" s="108"/>
      <c r="I468" s="108" t="s">
        <v>610</v>
      </c>
      <c r="J468" s="109">
        <f>IFERROR(COUNTIF(E471:E497,"Yes")/(COUNTIF(E471:E497,"Yes")+COUNTIF(F471:F497,"No")),0)</f>
        <v>0</v>
      </c>
      <c r="K468" s="108"/>
      <c r="L468" s="108" t="str">
        <f>IF(J468&gt;=0.9,"Green",IF(J468&gt;=0.75,"Amber","Red"))</f>
        <v>Red</v>
      </c>
      <c r="M468" s="108"/>
      <c r="N468" s="108"/>
      <c r="O468" s="108"/>
    </row>
    <row r="469" spans="1:15" x14ac:dyDescent="0.35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</row>
    <row r="470" spans="1:15" ht="29" x14ac:dyDescent="0.35">
      <c r="A470" s="110" t="s">
        <v>611</v>
      </c>
      <c r="B470" s="110" t="s">
        <v>612</v>
      </c>
      <c r="C470" s="110" t="s">
        <v>613</v>
      </c>
      <c r="D470" s="110" t="s">
        <v>614</v>
      </c>
      <c r="E470" s="110" t="s">
        <v>81</v>
      </c>
      <c r="F470" s="110" t="s">
        <v>615</v>
      </c>
      <c r="G470" s="110" t="s">
        <v>616</v>
      </c>
      <c r="H470" s="110" t="s">
        <v>617</v>
      </c>
      <c r="I470" s="110" t="s">
        <v>618</v>
      </c>
      <c r="J470" s="110" t="s">
        <v>390</v>
      </c>
      <c r="K470" s="110" t="s">
        <v>351</v>
      </c>
      <c r="L470" s="110" t="s">
        <v>352</v>
      </c>
      <c r="M470" s="110" t="s">
        <v>292</v>
      </c>
      <c r="N470" s="110" t="s">
        <v>353</v>
      </c>
      <c r="O470" s="110" t="s">
        <v>619</v>
      </c>
    </row>
    <row r="471" spans="1:15" ht="29" x14ac:dyDescent="0.35">
      <c r="A471" s="105" t="s">
        <v>620</v>
      </c>
      <c r="B471" s="105" t="s">
        <v>794</v>
      </c>
      <c r="C471" s="105" t="s">
        <v>622</v>
      </c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</row>
    <row r="472" spans="1:15" ht="29" x14ac:dyDescent="0.35">
      <c r="A472" s="105" t="s">
        <v>623</v>
      </c>
      <c r="B472" s="105" t="s">
        <v>795</v>
      </c>
      <c r="C472" s="105" t="s">
        <v>743</v>
      </c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</row>
    <row r="473" spans="1:15" ht="29" x14ac:dyDescent="0.35">
      <c r="A473" s="105" t="s">
        <v>625</v>
      </c>
      <c r="B473" s="105" t="s">
        <v>796</v>
      </c>
      <c r="C473" s="105" t="s">
        <v>743</v>
      </c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</row>
    <row r="474" spans="1:15" ht="29" x14ac:dyDescent="0.35">
      <c r="A474" s="105" t="s">
        <v>627</v>
      </c>
      <c r="B474" s="105" t="s">
        <v>797</v>
      </c>
      <c r="C474" s="105" t="s">
        <v>743</v>
      </c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</row>
    <row r="475" spans="1:15" ht="29" x14ac:dyDescent="0.35">
      <c r="A475" s="105" t="s">
        <v>629</v>
      </c>
      <c r="B475" s="105" t="s">
        <v>798</v>
      </c>
      <c r="C475" s="105" t="s">
        <v>743</v>
      </c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</row>
    <row r="476" spans="1:15" x14ac:dyDescent="0.35">
      <c r="A476" s="105" t="s">
        <v>631</v>
      </c>
      <c r="B476" s="105" t="s">
        <v>799</v>
      </c>
      <c r="C476" s="105" t="s">
        <v>743</v>
      </c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</row>
    <row r="477" spans="1:15" ht="29" x14ac:dyDescent="0.35">
      <c r="A477" s="105" t="s">
        <v>633</v>
      </c>
      <c r="B477" s="105" t="s">
        <v>800</v>
      </c>
      <c r="C477" s="105" t="s">
        <v>743</v>
      </c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</row>
    <row r="478" spans="1:15" ht="29" x14ac:dyDescent="0.35">
      <c r="A478" s="105" t="s">
        <v>635</v>
      </c>
      <c r="B478" s="105" t="s">
        <v>809</v>
      </c>
      <c r="C478" s="105" t="s">
        <v>743</v>
      </c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</row>
    <row r="479" spans="1:15" ht="29" x14ac:dyDescent="0.35">
      <c r="A479" s="105" t="s">
        <v>637</v>
      </c>
      <c r="B479" s="105" t="s">
        <v>810</v>
      </c>
      <c r="C479" s="105" t="s">
        <v>743</v>
      </c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</row>
    <row r="480" spans="1:15" ht="29" x14ac:dyDescent="0.35">
      <c r="A480" s="105" t="s">
        <v>639</v>
      </c>
      <c r="B480" s="105" t="s">
        <v>811</v>
      </c>
      <c r="C480" s="105" t="s">
        <v>743</v>
      </c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</row>
    <row r="481" spans="1:15" ht="29" x14ac:dyDescent="0.35">
      <c r="A481" s="105" t="s">
        <v>641</v>
      </c>
      <c r="B481" s="105" t="s">
        <v>801</v>
      </c>
      <c r="C481" s="105" t="s">
        <v>622</v>
      </c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</row>
    <row r="482" spans="1:15" ht="29" x14ac:dyDescent="0.35">
      <c r="A482" s="105" t="s">
        <v>643</v>
      </c>
      <c r="B482" s="105" t="s">
        <v>802</v>
      </c>
      <c r="C482" s="105" t="s">
        <v>743</v>
      </c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</row>
    <row r="483" spans="1:15" ht="29" x14ac:dyDescent="0.35">
      <c r="A483" s="105" t="s">
        <v>644</v>
      </c>
      <c r="B483" s="105" t="s">
        <v>803</v>
      </c>
      <c r="C483" s="105" t="s">
        <v>622</v>
      </c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</row>
    <row r="484" spans="1:15" ht="29" x14ac:dyDescent="0.35">
      <c r="A484" s="105" t="s">
        <v>645</v>
      </c>
      <c r="B484" s="105" t="s">
        <v>804</v>
      </c>
      <c r="C484" s="105" t="s">
        <v>622</v>
      </c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</row>
    <row r="485" spans="1:15" ht="29" x14ac:dyDescent="0.35">
      <c r="A485" s="105" t="s">
        <v>646</v>
      </c>
      <c r="B485" s="105" t="s">
        <v>805</v>
      </c>
      <c r="C485" s="105" t="s">
        <v>746</v>
      </c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</row>
    <row r="486" spans="1:15" ht="29" x14ac:dyDescent="0.35">
      <c r="A486" s="105" t="s">
        <v>649</v>
      </c>
      <c r="B486" s="105" t="s">
        <v>806</v>
      </c>
      <c r="C486" s="105" t="s">
        <v>622</v>
      </c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</row>
    <row r="487" spans="1:15" ht="29" x14ac:dyDescent="0.35">
      <c r="A487" s="105" t="s">
        <v>651</v>
      </c>
      <c r="B487" s="105" t="s">
        <v>807</v>
      </c>
      <c r="C487" s="105" t="s">
        <v>622</v>
      </c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</row>
    <row r="488" spans="1:15" ht="29" x14ac:dyDescent="0.35">
      <c r="A488" s="105" t="s">
        <v>653</v>
      </c>
      <c r="B488" s="105" t="s">
        <v>808</v>
      </c>
      <c r="C488" s="105" t="s">
        <v>622</v>
      </c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</row>
    <row r="489" spans="1:15" ht="29" x14ac:dyDescent="0.35">
      <c r="A489" s="105" t="s">
        <v>655</v>
      </c>
      <c r="B489" s="105" t="s">
        <v>706</v>
      </c>
      <c r="C489" s="105" t="s">
        <v>622</v>
      </c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</row>
    <row r="490" spans="1:15" ht="29" x14ac:dyDescent="0.35">
      <c r="A490" s="105" t="s">
        <v>658</v>
      </c>
      <c r="B490" s="105" t="s">
        <v>682</v>
      </c>
      <c r="C490" s="105" t="s">
        <v>683</v>
      </c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</row>
    <row r="491" spans="1:15" ht="29" x14ac:dyDescent="0.35">
      <c r="A491" s="105" t="s">
        <v>660</v>
      </c>
      <c r="B491" s="105" t="s">
        <v>685</v>
      </c>
      <c r="C491" s="105" t="s">
        <v>686</v>
      </c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</row>
    <row r="492" spans="1:15" ht="29" x14ac:dyDescent="0.35">
      <c r="A492" s="105" t="s">
        <v>662</v>
      </c>
      <c r="B492" s="105" t="s">
        <v>688</v>
      </c>
      <c r="C492" s="105" t="s">
        <v>686</v>
      </c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</row>
    <row r="493" spans="1:15" ht="29" x14ac:dyDescent="0.35">
      <c r="A493" s="105" t="s">
        <v>664</v>
      </c>
      <c r="B493" s="105" t="s">
        <v>690</v>
      </c>
      <c r="C493" s="105" t="s">
        <v>686</v>
      </c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</row>
    <row r="494" spans="1:15" ht="29" x14ac:dyDescent="0.35">
      <c r="A494" s="105" t="s">
        <v>666</v>
      </c>
      <c r="B494" s="105" t="s">
        <v>692</v>
      </c>
      <c r="C494" s="105" t="s">
        <v>686</v>
      </c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</row>
    <row r="495" spans="1:15" ht="29" x14ac:dyDescent="0.35">
      <c r="A495" s="105" t="s">
        <v>668</v>
      </c>
      <c r="B495" s="105" t="s">
        <v>694</v>
      </c>
      <c r="C495" s="105" t="s">
        <v>686</v>
      </c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</row>
    <row r="496" spans="1:15" ht="29" x14ac:dyDescent="0.35">
      <c r="A496" s="105" t="s">
        <v>670</v>
      </c>
      <c r="B496" s="105" t="s">
        <v>696</v>
      </c>
      <c r="C496" s="105" t="s">
        <v>686</v>
      </c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</row>
    <row r="497" spans="1:15" ht="29" x14ac:dyDescent="0.35">
      <c r="A497" s="105" t="s">
        <v>672</v>
      </c>
      <c r="B497" s="105" t="s">
        <v>698</v>
      </c>
      <c r="C497" s="105" t="s">
        <v>686</v>
      </c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</row>
    <row r="498" spans="1:15" x14ac:dyDescent="0.35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</row>
    <row r="499" spans="1:15" x14ac:dyDescent="0.35">
      <c r="A499" s="166" t="s">
        <v>727</v>
      </c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2"/>
    </row>
    <row r="500" spans="1:15" ht="58" x14ac:dyDescent="0.35">
      <c r="A500" s="108" t="s">
        <v>700</v>
      </c>
      <c r="B500" s="108" t="s">
        <v>701</v>
      </c>
      <c r="C500" s="108" t="s">
        <v>390</v>
      </c>
      <c r="D500" s="108" t="s">
        <v>351</v>
      </c>
      <c r="E500" s="108" t="s">
        <v>352</v>
      </c>
      <c r="F500" s="108" t="s">
        <v>292</v>
      </c>
      <c r="G500" s="108" t="s">
        <v>619</v>
      </c>
      <c r="H500" s="108" t="s">
        <v>353</v>
      </c>
      <c r="I500" s="108" t="s">
        <v>610</v>
      </c>
      <c r="J500" s="105"/>
      <c r="K500" s="105"/>
      <c r="L500" s="105"/>
      <c r="M500" s="105"/>
      <c r="N500" s="105"/>
      <c r="O500" s="105"/>
    </row>
  </sheetData>
  <mergeCells count="30">
    <mergeCell ref="A163:O163"/>
    <mergeCell ref="A18:R18"/>
    <mergeCell ref="A130:O130"/>
    <mergeCell ref="A499:O499"/>
    <mergeCell ref="A331:O331"/>
    <mergeCell ref="A415:O415"/>
    <mergeCell ref="A247:O247"/>
    <mergeCell ref="A298:O298"/>
    <mergeCell ref="A424:O424"/>
    <mergeCell ref="A373:O373"/>
    <mergeCell ref="A382:O382"/>
    <mergeCell ref="A289:O289"/>
    <mergeCell ref="A466:O466"/>
    <mergeCell ref="A256:O256"/>
    <mergeCell ref="A340:O340"/>
    <mergeCell ref="A79:O79"/>
    <mergeCell ref="A88:O88"/>
    <mergeCell ref="A457:O457"/>
    <mergeCell ref="A1:T1"/>
    <mergeCell ref="A17:R17"/>
    <mergeCell ref="A4:O4"/>
    <mergeCell ref="A35:R35"/>
    <mergeCell ref="A121:O121"/>
    <mergeCell ref="A2:T2"/>
    <mergeCell ref="A172:O172"/>
    <mergeCell ref="A205:O205"/>
    <mergeCell ref="A16:R16"/>
    <mergeCell ref="A37:O37"/>
    <mergeCell ref="A46:O46"/>
    <mergeCell ref="A214:O214"/>
  </mergeCells>
  <conditionalFormatting sqref="I21:I32">
    <cfRule type="expression" dxfId="388" priority="1">
      <formula>I21="Green"</formula>
    </cfRule>
    <cfRule type="expression" dxfId="387" priority="2">
      <formula>I21="Amber"</formula>
    </cfRule>
    <cfRule type="expression" dxfId="386" priority="3">
      <formula>I21="Red"</formula>
    </cfRule>
  </conditionalFormatting>
  <dataValidations count="7">
    <dataValidation type="list" allowBlank="1" sqref="E5:E13" xr:uid="{00000000-0002-0000-2000-000000000000}">
      <formula1>"Yes,No,Partial,N/A"</formula1>
    </dataValidation>
    <dataValidation type="list" allowBlank="1" sqref="G5:G13" xr:uid="{00000000-0002-0000-2000-000001000000}">
      <formula1>"Low,Medium,High,Critical"</formula1>
    </dataValidation>
    <dataValidation type="list" allowBlank="1" sqref="S5:S13" xr:uid="{00000000-0002-0000-2000-000002000000}">
      <formula1>"Open,In Progress,Awaiting Verification,Closed,Escalated"</formula1>
    </dataValidation>
    <dataValidation type="list" allowBlank="1" sqref="G21:G32" xr:uid="{00000000-0002-0000-2000-000003000000}">
      <formula1>"Yes,No,Partially,N/A"</formula1>
    </dataValidation>
    <dataValidation type="list" allowBlank="1" sqref="I21:I32" xr:uid="{00000000-0002-0000-2000-000004000000}">
      <formula1>"Green,Amber,Red,Not Started"</formula1>
    </dataValidation>
    <dataValidation type="list" allowBlank="1" sqref="C37:C44 E9:G35 E51:G77 E93:G119 E135:G161 E177:G203 E219:G245 E261:G287 E303:G329 E345:G371 E387:G413 E429:G455 E471:G497" xr:uid="{00000000-0002-0000-2000-000005000000}">
      <formula1>"Yes,No,N/A"</formula1>
    </dataValidation>
    <dataValidation type="list" allowBlank="1" sqref="H9:H35 H51:H77 H93:H119 H135:H161 H177:H203 H219:H245 H261:H287 H303:H329 H345:H371 H387:H413 H429:H455 H471:H497" xr:uid="{00000000-0002-0000-2000-000007000000}">
      <formula1>"Low,Medium,High,Critical,N/A"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428"/>
  <sheetViews>
    <sheetView tabSelected="1" topLeftCell="A21" workbookViewId="0">
      <selection activeCell="B9" sqref="A9:R29"/>
    </sheetView>
  </sheetViews>
  <sheetFormatPr defaultRowHeight="14.5" x14ac:dyDescent="0.35"/>
  <cols>
    <col min="1" max="1" width="5" customWidth="1"/>
    <col min="2" max="2" width="46" customWidth="1"/>
    <col min="3" max="3" width="20" customWidth="1"/>
    <col min="4" max="4" width="30" customWidth="1"/>
    <col min="5" max="7" width="7" customWidth="1"/>
    <col min="8" max="8" width="13" customWidth="1"/>
    <col min="9" max="9" width="30" customWidth="1"/>
    <col min="10" max="10" width="26" customWidth="1"/>
    <col min="11" max="11" width="14" customWidth="1"/>
    <col min="12" max="12" width="13" customWidth="1"/>
    <col min="13" max="15" width="14" customWidth="1"/>
    <col min="16" max="16" width="16" customWidth="1"/>
    <col min="17" max="17" width="28" customWidth="1"/>
    <col min="18" max="18" width="40" customWidth="1"/>
    <col min="19" max="19" width="14" customWidth="1"/>
    <col min="20" max="20" width="12" customWidth="1"/>
  </cols>
  <sheetData>
    <row r="1" spans="1:20" ht="28" customHeight="1" x14ac:dyDescent="0.35">
      <c r="A1" s="145" t="s">
        <v>812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2"/>
    </row>
    <row r="2" spans="1:20" x14ac:dyDescent="0.35">
      <c r="A2" s="168" t="s">
        <v>813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2"/>
    </row>
    <row r="3" spans="1:20" x14ac:dyDescent="0.35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0" ht="29" customHeight="1" x14ac:dyDescent="0.35">
      <c r="A4" s="167" t="s">
        <v>599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2"/>
    </row>
    <row r="5" spans="1:20" ht="72.5" x14ac:dyDescent="0.35">
      <c r="A5" s="108" t="s">
        <v>600</v>
      </c>
      <c r="B5" s="108"/>
      <c r="C5" s="108" t="s">
        <v>601</v>
      </c>
      <c r="D5" s="108"/>
      <c r="E5" s="108" t="s">
        <v>602</v>
      </c>
      <c r="F5" s="108"/>
      <c r="G5" s="108" t="s">
        <v>603</v>
      </c>
      <c r="H5" s="108"/>
      <c r="I5" s="108" t="s">
        <v>604</v>
      </c>
      <c r="J5" s="108"/>
      <c r="K5" s="108" t="s">
        <v>6</v>
      </c>
      <c r="L5" s="108"/>
      <c r="M5" s="108" t="s">
        <v>605</v>
      </c>
      <c r="N5" s="108"/>
      <c r="O5" s="108"/>
    </row>
    <row r="6" spans="1:20" ht="29" customHeight="1" x14ac:dyDescent="0.35">
      <c r="A6" s="108" t="s">
        <v>606</v>
      </c>
      <c r="B6" s="108"/>
      <c r="C6" s="108" t="s">
        <v>607</v>
      </c>
      <c r="D6" s="108"/>
      <c r="E6" s="108" t="s">
        <v>608</v>
      </c>
      <c r="F6" s="108"/>
      <c r="G6" s="108" t="s">
        <v>609</v>
      </c>
      <c r="H6" s="108"/>
      <c r="I6" s="108" t="s">
        <v>610</v>
      </c>
      <c r="J6" s="109">
        <f>IFERROR(COUNTIF(E9:E29,"Yes")/(COUNTIF(E9:E29,"Yes")+COUNTIF(F9:F29,"No")),0)</f>
        <v>0</v>
      </c>
      <c r="K6" s="108"/>
      <c r="L6" s="108" t="str">
        <f>IF(J6&gt;=0.9,"Green",IF(J6&gt;=0.75,"Amber","Red"))</f>
        <v>Red</v>
      </c>
      <c r="M6" s="108"/>
      <c r="N6" s="108"/>
      <c r="O6" s="108"/>
    </row>
    <row r="7" spans="1:20" x14ac:dyDescent="0.35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</row>
    <row r="8" spans="1:20" ht="29" x14ac:dyDescent="0.35">
      <c r="A8" s="110" t="s">
        <v>611</v>
      </c>
      <c r="B8" s="110" t="s">
        <v>612</v>
      </c>
      <c r="C8" s="110" t="s">
        <v>613</v>
      </c>
      <c r="D8" s="110" t="s">
        <v>614</v>
      </c>
      <c r="E8" s="110" t="s">
        <v>81</v>
      </c>
      <c r="F8" s="110" t="s">
        <v>615</v>
      </c>
      <c r="G8" s="110" t="s">
        <v>616</v>
      </c>
      <c r="H8" s="110" t="s">
        <v>617</v>
      </c>
      <c r="I8" s="110" t="s">
        <v>618</v>
      </c>
      <c r="J8" s="110" t="s">
        <v>390</v>
      </c>
      <c r="K8" s="110" t="s">
        <v>351</v>
      </c>
      <c r="L8" s="110" t="s">
        <v>352</v>
      </c>
      <c r="M8" s="110" t="s">
        <v>292</v>
      </c>
      <c r="N8" s="110" t="s">
        <v>353</v>
      </c>
      <c r="O8" s="110" t="s">
        <v>619</v>
      </c>
    </row>
    <row r="9" spans="1:20" ht="29" x14ac:dyDescent="0.35">
      <c r="A9" s="105" t="s">
        <v>620</v>
      </c>
      <c r="B9" s="105" t="s">
        <v>814</v>
      </c>
      <c r="C9" s="105" t="s">
        <v>622</v>
      </c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</row>
    <row r="10" spans="1:20" ht="29" customHeight="1" x14ac:dyDescent="0.35">
      <c r="A10" s="105" t="s">
        <v>623</v>
      </c>
      <c r="B10" s="105" t="s">
        <v>815</v>
      </c>
      <c r="C10" s="105" t="s">
        <v>622</v>
      </c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</row>
    <row r="11" spans="1:20" ht="29" x14ac:dyDescent="0.35">
      <c r="A11" s="105" t="s">
        <v>625</v>
      </c>
      <c r="B11" s="105" t="s">
        <v>816</v>
      </c>
      <c r="C11" s="105" t="s">
        <v>622</v>
      </c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</row>
    <row r="12" spans="1:20" ht="29" x14ac:dyDescent="0.35">
      <c r="A12" s="105" t="s">
        <v>627</v>
      </c>
      <c r="B12" s="105" t="s">
        <v>817</v>
      </c>
      <c r="C12" s="105" t="s">
        <v>622</v>
      </c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</row>
    <row r="13" spans="1:20" ht="29" x14ac:dyDescent="0.35">
      <c r="A13" s="105" t="s">
        <v>629</v>
      </c>
      <c r="B13" s="105" t="s">
        <v>818</v>
      </c>
      <c r="C13" s="105" t="s">
        <v>622</v>
      </c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</row>
    <row r="14" spans="1:20" ht="29" x14ac:dyDescent="0.35">
      <c r="A14" s="105" t="s">
        <v>631</v>
      </c>
      <c r="B14" s="105" t="s">
        <v>819</v>
      </c>
      <c r="C14" s="105" t="s">
        <v>622</v>
      </c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</row>
    <row r="15" spans="1:20" ht="24" customHeight="1" x14ac:dyDescent="0.35">
      <c r="A15" s="169" t="s">
        <v>633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2"/>
    </row>
    <row r="16" spans="1:20" ht="36" customHeight="1" x14ac:dyDescent="0.35">
      <c r="A16" s="169" t="s">
        <v>635</v>
      </c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2"/>
    </row>
    <row r="17" spans="1:18" ht="32" customHeight="1" x14ac:dyDescent="0.35">
      <c r="A17" s="169" t="s">
        <v>637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2"/>
    </row>
    <row r="18" spans="1:18" x14ac:dyDescent="0.35">
      <c r="A18" s="105" t="s">
        <v>639</v>
      </c>
      <c r="B18" s="105" t="s">
        <v>820</v>
      </c>
      <c r="C18" s="105" t="s">
        <v>622</v>
      </c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</row>
    <row r="19" spans="1:18" ht="32" customHeight="1" x14ac:dyDescent="0.35">
      <c r="A19" s="105" t="s">
        <v>641</v>
      </c>
      <c r="B19" s="105" t="s">
        <v>821</v>
      </c>
      <c r="C19" s="105" t="s">
        <v>622</v>
      </c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</row>
    <row r="20" spans="1:18" ht="29" customHeight="1" x14ac:dyDescent="0.35">
      <c r="A20" s="105" t="s">
        <v>643</v>
      </c>
      <c r="B20" s="105" t="s">
        <v>822</v>
      </c>
      <c r="C20" s="105" t="s">
        <v>622</v>
      </c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</row>
    <row r="21" spans="1:18" ht="29" customHeight="1" x14ac:dyDescent="0.35">
      <c r="A21" s="105" t="s">
        <v>644</v>
      </c>
      <c r="B21" s="105" t="s">
        <v>706</v>
      </c>
      <c r="C21" s="105" t="s">
        <v>622</v>
      </c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</row>
    <row r="22" spans="1:18" ht="29" customHeight="1" x14ac:dyDescent="0.35">
      <c r="A22" s="105" t="s">
        <v>645</v>
      </c>
      <c r="B22" s="105" t="s">
        <v>682</v>
      </c>
      <c r="C22" s="105" t="s">
        <v>683</v>
      </c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</row>
    <row r="23" spans="1:18" ht="29" customHeight="1" x14ac:dyDescent="0.35">
      <c r="A23" s="105" t="s">
        <v>646</v>
      </c>
      <c r="B23" s="105" t="s">
        <v>685</v>
      </c>
      <c r="C23" s="105" t="s">
        <v>686</v>
      </c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</row>
    <row r="24" spans="1:18" ht="29" customHeight="1" x14ac:dyDescent="0.35">
      <c r="A24" s="105" t="s">
        <v>649</v>
      </c>
      <c r="B24" s="105" t="s">
        <v>688</v>
      </c>
      <c r="C24" s="105" t="s">
        <v>686</v>
      </c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</row>
    <row r="25" spans="1:18" ht="29" customHeight="1" x14ac:dyDescent="0.35">
      <c r="A25" s="105" t="s">
        <v>651</v>
      </c>
      <c r="B25" s="105" t="s">
        <v>690</v>
      </c>
      <c r="C25" s="105" t="s">
        <v>686</v>
      </c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</row>
    <row r="26" spans="1:18" ht="29" customHeight="1" x14ac:dyDescent="0.35">
      <c r="A26" s="105" t="s">
        <v>653</v>
      </c>
      <c r="B26" s="105" t="s">
        <v>692</v>
      </c>
      <c r="C26" s="105" t="s">
        <v>686</v>
      </c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</row>
    <row r="27" spans="1:18" ht="29" customHeight="1" x14ac:dyDescent="0.35">
      <c r="A27" s="105" t="s">
        <v>655</v>
      </c>
      <c r="B27" s="105" t="s">
        <v>694</v>
      </c>
      <c r="C27" s="105" t="s">
        <v>686</v>
      </c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</row>
    <row r="28" spans="1:18" ht="29" customHeight="1" x14ac:dyDescent="0.35">
      <c r="A28" s="105" t="s">
        <v>658</v>
      </c>
      <c r="B28" s="105" t="s">
        <v>696</v>
      </c>
      <c r="C28" s="105" t="s">
        <v>686</v>
      </c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</row>
    <row r="29" spans="1:18" ht="29" customHeight="1" x14ac:dyDescent="0.35">
      <c r="A29" s="105" t="s">
        <v>660</v>
      </c>
      <c r="B29" s="105" t="s">
        <v>698</v>
      </c>
      <c r="C29" s="105" t="s">
        <v>686</v>
      </c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</row>
    <row r="30" spans="1:18" ht="29" customHeight="1" x14ac:dyDescent="0.35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</row>
    <row r="31" spans="1:18" ht="29" customHeight="1" x14ac:dyDescent="0.35">
      <c r="A31" s="166" t="s">
        <v>699</v>
      </c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2"/>
    </row>
    <row r="32" spans="1:18" ht="58" x14ac:dyDescent="0.35">
      <c r="A32" s="108" t="s">
        <v>700</v>
      </c>
      <c r="B32" s="108" t="s">
        <v>701</v>
      </c>
      <c r="C32" s="108" t="s">
        <v>390</v>
      </c>
      <c r="D32" s="108" t="s">
        <v>351</v>
      </c>
      <c r="E32" s="108" t="s">
        <v>352</v>
      </c>
      <c r="F32" s="108" t="s">
        <v>292</v>
      </c>
      <c r="G32" s="108" t="s">
        <v>619</v>
      </c>
      <c r="H32" s="108" t="s">
        <v>353</v>
      </c>
      <c r="I32" s="108" t="s">
        <v>610</v>
      </c>
      <c r="J32" s="105"/>
      <c r="K32" s="105"/>
      <c r="L32" s="105"/>
      <c r="M32" s="105"/>
      <c r="N32" s="105"/>
      <c r="O32" s="105"/>
    </row>
    <row r="33" spans="1:18" x14ac:dyDescent="0.35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</row>
    <row r="34" spans="1:18" x14ac:dyDescent="0.35">
      <c r="A34" s="169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2"/>
    </row>
    <row r="35" spans="1:18" x14ac:dyDescent="0.35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</row>
    <row r="36" spans="1:18" ht="29" customHeight="1" x14ac:dyDescent="0.35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</row>
    <row r="37" spans="1:18" ht="29" customHeight="1" x14ac:dyDescent="0.35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</row>
    <row r="38" spans="1:18" ht="29" customHeight="1" x14ac:dyDescent="0.35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</row>
    <row r="39" spans="1:18" ht="29" customHeight="1" x14ac:dyDescent="0.35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</row>
    <row r="40" spans="1:18" ht="29" customHeight="1" x14ac:dyDescent="0.35">
      <c r="A40" s="167" t="s">
        <v>702</v>
      </c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2"/>
    </row>
    <row r="41" spans="1:18" ht="29" customHeight="1" x14ac:dyDescent="0.35">
      <c r="A41" s="108" t="s">
        <v>600</v>
      </c>
      <c r="B41" s="108"/>
      <c r="C41" s="108" t="s">
        <v>601</v>
      </c>
      <c r="D41" s="108"/>
      <c r="E41" s="108" t="s">
        <v>602</v>
      </c>
      <c r="F41" s="108"/>
      <c r="G41" s="108" t="s">
        <v>603</v>
      </c>
      <c r="H41" s="108"/>
      <c r="I41" s="108" t="s">
        <v>604</v>
      </c>
      <c r="J41" s="108"/>
      <c r="K41" s="108" t="s">
        <v>6</v>
      </c>
      <c r="L41" s="108"/>
      <c r="M41" s="108" t="s">
        <v>605</v>
      </c>
      <c r="N41" s="108"/>
      <c r="O41" s="108"/>
    </row>
    <row r="42" spans="1:18" ht="29" customHeight="1" x14ac:dyDescent="0.35">
      <c r="A42" s="108" t="s">
        <v>606</v>
      </c>
      <c r="B42" s="108"/>
      <c r="C42" s="108" t="s">
        <v>607</v>
      </c>
      <c r="D42" s="108"/>
      <c r="E42" s="108" t="s">
        <v>608</v>
      </c>
      <c r="F42" s="108"/>
      <c r="G42" s="108" t="s">
        <v>609</v>
      </c>
      <c r="H42" s="108"/>
      <c r="I42" s="108" t="s">
        <v>610</v>
      </c>
      <c r="J42" s="109">
        <f>IFERROR(COUNTIF(E45:E65,"Yes")/(COUNTIF(E45:E65,"Yes")+COUNTIF(F45:F65,"No")),0)</f>
        <v>0</v>
      </c>
      <c r="K42" s="108"/>
      <c r="L42" s="108" t="str">
        <f>IF(J42&gt;=0.9,"Green",IF(J42&gt;=0.75,"Amber","Red"))</f>
        <v>Red</v>
      </c>
      <c r="M42" s="108"/>
      <c r="N42" s="108"/>
      <c r="O42" s="108"/>
    </row>
    <row r="43" spans="1:18" ht="58" customHeight="1" x14ac:dyDescent="0.35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</row>
    <row r="44" spans="1:18" ht="29" x14ac:dyDescent="0.35">
      <c r="A44" s="110" t="s">
        <v>611</v>
      </c>
      <c r="B44" s="110" t="s">
        <v>612</v>
      </c>
      <c r="C44" s="110" t="s">
        <v>613</v>
      </c>
      <c r="D44" s="110" t="s">
        <v>614</v>
      </c>
      <c r="E44" s="110" t="s">
        <v>81</v>
      </c>
      <c r="F44" s="110" t="s">
        <v>615</v>
      </c>
      <c r="G44" s="110" t="s">
        <v>616</v>
      </c>
      <c r="H44" s="110" t="s">
        <v>617</v>
      </c>
      <c r="I44" s="110" t="s">
        <v>618</v>
      </c>
      <c r="J44" s="110" t="s">
        <v>390</v>
      </c>
      <c r="K44" s="110" t="s">
        <v>351</v>
      </c>
      <c r="L44" s="110" t="s">
        <v>352</v>
      </c>
      <c r="M44" s="110" t="s">
        <v>292</v>
      </c>
      <c r="N44" s="110" t="s">
        <v>353</v>
      </c>
      <c r="O44" s="110" t="s">
        <v>619</v>
      </c>
    </row>
    <row r="45" spans="1:18" ht="29" x14ac:dyDescent="0.35">
      <c r="A45" s="105" t="s">
        <v>620</v>
      </c>
      <c r="B45" s="105" t="s">
        <v>814</v>
      </c>
      <c r="C45" s="105" t="s">
        <v>622</v>
      </c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</row>
    <row r="46" spans="1:18" ht="29" x14ac:dyDescent="0.35">
      <c r="A46" s="105" t="s">
        <v>623</v>
      </c>
      <c r="B46" s="105" t="s">
        <v>815</v>
      </c>
      <c r="C46" s="105" t="s">
        <v>622</v>
      </c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</row>
    <row r="47" spans="1:18" ht="29" x14ac:dyDescent="0.35">
      <c r="A47" s="105" t="s">
        <v>625</v>
      </c>
      <c r="B47" s="105" t="s">
        <v>816</v>
      </c>
      <c r="C47" s="105" t="s">
        <v>622</v>
      </c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</row>
    <row r="48" spans="1:18" ht="29" x14ac:dyDescent="0.35">
      <c r="A48" s="105" t="s">
        <v>627</v>
      </c>
      <c r="B48" s="105" t="s">
        <v>817</v>
      </c>
      <c r="C48" s="105" t="s">
        <v>622</v>
      </c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</row>
    <row r="49" spans="1:15" ht="29" x14ac:dyDescent="0.35">
      <c r="A49" s="105" t="s">
        <v>629</v>
      </c>
      <c r="B49" s="105" t="s">
        <v>818</v>
      </c>
      <c r="C49" s="105" t="s">
        <v>622</v>
      </c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</row>
    <row r="50" spans="1:15" ht="29" x14ac:dyDescent="0.35">
      <c r="A50" s="105" t="s">
        <v>631</v>
      </c>
      <c r="B50" s="105" t="s">
        <v>819</v>
      </c>
      <c r="C50" s="105" t="s">
        <v>622</v>
      </c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</row>
    <row r="51" spans="1:15" ht="29" x14ac:dyDescent="0.35">
      <c r="A51" s="105" t="s">
        <v>633</v>
      </c>
      <c r="B51" s="105" t="s">
        <v>823</v>
      </c>
      <c r="C51" s="105" t="s">
        <v>622</v>
      </c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</row>
    <row r="52" spans="1:15" x14ac:dyDescent="0.35">
      <c r="A52" s="105" t="s">
        <v>635</v>
      </c>
      <c r="B52" s="105" t="s">
        <v>824</v>
      </c>
      <c r="C52" s="105" t="s">
        <v>743</v>
      </c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</row>
    <row r="53" spans="1:15" ht="29" x14ac:dyDescent="0.35">
      <c r="A53" s="105" t="s">
        <v>637</v>
      </c>
      <c r="B53" s="105" t="s">
        <v>825</v>
      </c>
      <c r="C53" s="105" t="s">
        <v>622</v>
      </c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</row>
    <row r="54" spans="1:15" x14ac:dyDescent="0.35">
      <c r="A54" s="105" t="s">
        <v>639</v>
      </c>
      <c r="B54" s="105" t="s">
        <v>820</v>
      </c>
      <c r="C54" s="105" t="s">
        <v>622</v>
      </c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</row>
    <row r="55" spans="1:15" ht="29" x14ac:dyDescent="0.35">
      <c r="A55" s="105" t="s">
        <v>641</v>
      </c>
      <c r="B55" s="105" t="s">
        <v>821</v>
      </c>
      <c r="C55" s="105" t="s">
        <v>622</v>
      </c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</row>
    <row r="56" spans="1:15" ht="29" x14ac:dyDescent="0.35">
      <c r="A56" s="105" t="s">
        <v>643</v>
      </c>
      <c r="B56" s="105" t="s">
        <v>822</v>
      </c>
      <c r="C56" s="105" t="s">
        <v>622</v>
      </c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</row>
    <row r="57" spans="1:15" ht="29" x14ac:dyDescent="0.35">
      <c r="A57" s="105" t="s">
        <v>644</v>
      </c>
      <c r="B57" s="105" t="s">
        <v>706</v>
      </c>
      <c r="C57" s="105" t="s">
        <v>622</v>
      </c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</row>
    <row r="58" spans="1:15" ht="29" x14ac:dyDescent="0.35">
      <c r="A58" s="105" t="s">
        <v>645</v>
      </c>
      <c r="B58" s="105" t="s">
        <v>682</v>
      </c>
      <c r="C58" s="105" t="s">
        <v>683</v>
      </c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</row>
    <row r="59" spans="1:15" ht="29" x14ac:dyDescent="0.35">
      <c r="A59" s="105" t="s">
        <v>646</v>
      </c>
      <c r="B59" s="105" t="s">
        <v>685</v>
      </c>
      <c r="C59" s="105" t="s">
        <v>686</v>
      </c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</row>
    <row r="60" spans="1:15" ht="29" x14ac:dyDescent="0.35">
      <c r="A60" s="105" t="s">
        <v>649</v>
      </c>
      <c r="B60" s="105" t="s">
        <v>688</v>
      </c>
      <c r="C60" s="105" t="s">
        <v>686</v>
      </c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</row>
    <row r="61" spans="1:15" ht="29" x14ac:dyDescent="0.35">
      <c r="A61" s="105" t="s">
        <v>651</v>
      </c>
      <c r="B61" s="105" t="s">
        <v>690</v>
      </c>
      <c r="C61" s="105" t="s">
        <v>686</v>
      </c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</row>
    <row r="62" spans="1:15" ht="29" x14ac:dyDescent="0.35">
      <c r="A62" s="105" t="s">
        <v>653</v>
      </c>
      <c r="B62" s="105" t="s">
        <v>692</v>
      </c>
      <c r="C62" s="105" t="s">
        <v>686</v>
      </c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</row>
    <row r="63" spans="1:15" ht="29" x14ac:dyDescent="0.35">
      <c r="A63" s="105" t="s">
        <v>655</v>
      </c>
      <c r="B63" s="105" t="s">
        <v>694</v>
      </c>
      <c r="C63" s="105" t="s">
        <v>686</v>
      </c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</row>
    <row r="64" spans="1:15" ht="29" x14ac:dyDescent="0.35">
      <c r="A64" s="105" t="s">
        <v>658</v>
      </c>
      <c r="B64" s="105" t="s">
        <v>696</v>
      </c>
      <c r="C64" s="105" t="s">
        <v>686</v>
      </c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</row>
    <row r="65" spans="1:15" ht="29" x14ac:dyDescent="0.35">
      <c r="A65" s="105" t="s">
        <v>660</v>
      </c>
      <c r="B65" s="105" t="s">
        <v>698</v>
      </c>
      <c r="C65" s="105" t="s">
        <v>686</v>
      </c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</row>
    <row r="66" spans="1:15" x14ac:dyDescent="0.35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</row>
    <row r="67" spans="1:15" x14ac:dyDescent="0.35">
      <c r="A67" s="166" t="s">
        <v>707</v>
      </c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2"/>
    </row>
    <row r="68" spans="1:15" ht="58" x14ac:dyDescent="0.35">
      <c r="A68" s="108" t="s">
        <v>700</v>
      </c>
      <c r="B68" s="108" t="s">
        <v>701</v>
      </c>
      <c r="C68" s="108" t="s">
        <v>390</v>
      </c>
      <c r="D68" s="108" t="s">
        <v>351</v>
      </c>
      <c r="E68" s="108" t="s">
        <v>352</v>
      </c>
      <c r="F68" s="108" t="s">
        <v>292</v>
      </c>
      <c r="G68" s="108" t="s">
        <v>619</v>
      </c>
      <c r="H68" s="108" t="s">
        <v>353</v>
      </c>
      <c r="I68" s="108" t="s">
        <v>610</v>
      </c>
      <c r="J68" s="105"/>
      <c r="K68" s="105"/>
      <c r="L68" s="105"/>
      <c r="M68" s="105"/>
      <c r="N68" s="105"/>
      <c r="O68" s="105"/>
    </row>
    <row r="69" spans="1:15" x14ac:dyDescent="0.35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</row>
    <row r="70" spans="1:15" x14ac:dyDescent="0.35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</row>
    <row r="71" spans="1:15" x14ac:dyDescent="0.35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</row>
    <row r="72" spans="1:15" x14ac:dyDescent="0.35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</row>
    <row r="73" spans="1:15" x14ac:dyDescent="0.35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</row>
    <row r="74" spans="1:15" x14ac:dyDescent="0.35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</row>
    <row r="75" spans="1:15" x14ac:dyDescent="0.35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</row>
    <row r="76" spans="1:15" x14ac:dyDescent="0.35">
      <c r="A76" s="167" t="s">
        <v>708</v>
      </c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2"/>
    </row>
    <row r="77" spans="1:15" ht="72.5" x14ac:dyDescent="0.35">
      <c r="A77" s="108" t="s">
        <v>600</v>
      </c>
      <c r="B77" s="108"/>
      <c r="C77" s="108" t="s">
        <v>601</v>
      </c>
      <c r="D77" s="108"/>
      <c r="E77" s="108" t="s">
        <v>602</v>
      </c>
      <c r="F77" s="108"/>
      <c r="G77" s="108" t="s">
        <v>603</v>
      </c>
      <c r="H77" s="108"/>
      <c r="I77" s="108" t="s">
        <v>604</v>
      </c>
      <c r="J77" s="108"/>
      <c r="K77" s="108" t="s">
        <v>6</v>
      </c>
      <c r="L77" s="108"/>
      <c r="M77" s="108" t="s">
        <v>605</v>
      </c>
      <c r="N77" s="108"/>
      <c r="O77" s="108"/>
    </row>
    <row r="78" spans="1:15" ht="72.5" x14ac:dyDescent="0.35">
      <c r="A78" s="108" t="s">
        <v>606</v>
      </c>
      <c r="B78" s="108"/>
      <c r="C78" s="108" t="s">
        <v>607</v>
      </c>
      <c r="D78" s="108"/>
      <c r="E78" s="108" t="s">
        <v>608</v>
      </c>
      <c r="F78" s="108"/>
      <c r="G78" s="108" t="s">
        <v>609</v>
      </c>
      <c r="H78" s="108"/>
      <c r="I78" s="108" t="s">
        <v>610</v>
      </c>
      <c r="J78" s="109">
        <f>IFERROR(COUNTIF(E81:E101,"Yes")/(COUNTIF(E81:E101,"Yes")+COUNTIF(F81:F101,"No")),0)</f>
        <v>0</v>
      </c>
      <c r="K78" s="108"/>
      <c r="L78" s="108" t="str">
        <f>IF(J78&gt;=0.9,"Green",IF(J78&gt;=0.75,"Amber","Red"))</f>
        <v>Red</v>
      </c>
      <c r="M78" s="108"/>
      <c r="N78" s="108"/>
      <c r="O78" s="108"/>
    </row>
    <row r="79" spans="1:15" x14ac:dyDescent="0.35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</row>
    <row r="80" spans="1:15" ht="29" x14ac:dyDescent="0.35">
      <c r="A80" s="110" t="s">
        <v>611</v>
      </c>
      <c r="B80" s="110" t="s">
        <v>612</v>
      </c>
      <c r="C80" s="110" t="s">
        <v>613</v>
      </c>
      <c r="D80" s="110" t="s">
        <v>614</v>
      </c>
      <c r="E80" s="110" t="s">
        <v>81</v>
      </c>
      <c r="F80" s="110" t="s">
        <v>615</v>
      </c>
      <c r="G80" s="110" t="s">
        <v>616</v>
      </c>
      <c r="H80" s="110" t="s">
        <v>617</v>
      </c>
      <c r="I80" s="110" t="s">
        <v>618</v>
      </c>
      <c r="J80" s="110" t="s">
        <v>390</v>
      </c>
      <c r="K80" s="110" t="s">
        <v>351</v>
      </c>
      <c r="L80" s="110" t="s">
        <v>352</v>
      </c>
      <c r="M80" s="110" t="s">
        <v>292</v>
      </c>
      <c r="N80" s="110" t="s">
        <v>353</v>
      </c>
      <c r="O80" s="110" t="s">
        <v>619</v>
      </c>
    </row>
    <row r="81" spans="1:15" ht="29" x14ac:dyDescent="0.35">
      <c r="A81" s="105" t="s">
        <v>620</v>
      </c>
      <c r="B81" s="105" t="s">
        <v>814</v>
      </c>
      <c r="C81" s="105" t="s">
        <v>622</v>
      </c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</row>
    <row r="82" spans="1:15" ht="29" x14ac:dyDescent="0.35">
      <c r="A82" s="105" t="s">
        <v>623</v>
      </c>
      <c r="B82" s="105" t="s">
        <v>815</v>
      </c>
      <c r="C82" s="105" t="s">
        <v>622</v>
      </c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</row>
    <row r="83" spans="1:15" ht="29" x14ac:dyDescent="0.35">
      <c r="A83" s="105" t="s">
        <v>625</v>
      </c>
      <c r="B83" s="105" t="s">
        <v>816</v>
      </c>
      <c r="C83" s="105" t="s">
        <v>622</v>
      </c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</row>
    <row r="84" spans="1:15" ht="29" x14ac:dyDescent="0.35">
      <c r="A84" s="105" t="s">
        <v>627</v>
      </c>
      <c r="B84" s="105" t="s">
        <v>817</v>
      </c>
      <c r="C84" s="105" t="s">
        <v>622</v>
      </c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</row>
    <row r="85" spans="1:15" ht="29" x14ac:dyDescent="0.35">
      <c r="A85" s="105" t="s">
        <v>629</v>
      </c>
      <c r="B85" s="105" t="s">
        <v>818</v>
      </c>
      <c r="C85" s="105" t="s">
        <v>622</v>
      </c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</row>
    <row r="86" spans="1:15" ht="29" x14ac:dyDescent="0.35">
      <c r="A86" s="105" t="s">
        <v>631</v>
      </c>
      <c r="B86" s="105" t="s">
        <v>819</v>
      </c>
      <c r="C86" s="105" t="s">
        <v>622</v>
      </c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</row>
    <row r="87" spans="1:15" ht="29" x14ac:dyDescent="0.35">
      <c r="A87" s="105" t="s">
        <v>633</v>
      </c>
      <c r="B87" s="105" t="s">
        <v>823</v>
      </c>
      <c r="C87" s="105" t="s">
        <v>622</v>
      </c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</row>
    <row r="88" spans="1:15" x14ac:dyDescent="0.35">
      <c r="A88" s="105" t="s">
        <v>635</v>
      </c>
      <c r="B88" s="105" t="s">
        <v>824</v>
      </c>
      <c r="C88" s="105" t="s">
        <v>743</v>
      </c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</row>
    <row r="89" spans="1:15" ht="29" x14ac:dyDescent="0.35">
      <c r="A89" s="105" t="s">
        <v>637</v>
      </c>
      <c r="B89" s="105" t="s">
        <v>825</v>
      </c>
      <c r="C89" s="105" t="s">
        <v>622</v>
      </c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</row>
    <row r="90" spans="1:15" x14ac:dyDescent="0.35">
      <c r="A90" s="105" t="s">
        <v>639</v>
      </c>
      <c r="B90" s="105" t="s">
        <v>820</v>
      </c>
      <c r="C90" s="105" t="s">
        <v>622</v>
      </c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</row>
    <row r="91" spans="1:15" ht="29" x14ac:dyDescent="0.35">
      <c r="A91" s="105" t="s">
        <v>641</v>
      </c>
      <c r="B91" s="105" t="s">
        <v>821</v>
      </c>
      <c r="C91" s="105" t="s">
        <v>622</v>
      </c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</row>
    <row r="92" spans="1:15" ht="29" x14ac:dyDescent="0.35">
      <c r="A92" s="105" t="s">
        <v>643</v>
      </c>
      <c r="B92" s="105" t="s">
        <v>822</v>
      </c>
      <c r="C92" s="105" t="s">
        <v>622</v>
      </c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</row>
    <row r="93" spans="1:15" ht="29" x14ac:dyDescent="0.35">
      <c r="A93" s="105" t="s">
        <v>644</v>
      </c>
      <c r="B93" s="105" t="s">
        <v>706</v>
      </c>
      <c r="C93" s="105" t="s">
        <v>622</v>
      </c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</row>
    <row r="94" spans="1:15" ht="29" x14ac:dyDescent="0.35">
      <c r="A94" s="105" t="s">
        <v>645</v>
      </c>
      <c r="B94" s="105" t="s">
        <v>682</v>
      </c>
      <c r="C94" s="105" t="s">
        <v>683</v>
      </c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</row>
    <row r="95" spans="1:15" ht="29" x14ac:dyDescent="0.35">
      <c r="A95" s="105" t="s">
        <v>646</v>
      </c>
      <c r="B95" s="105" t="s">
        <v>685</v>
      </c>
      <c r="C95" s="105" t="s">
        <v>686</v>
      </c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</row>
    <row r="96" spans="1:15" ht="29" x14ac:dyDescent="0.35">
      <c r="A96" s="105" t="s">
        <v>649</v>
      </c>
      <c r="B96" s="105" t="s">
        <v>688</v>
      </c>
      <c r="C96" s="105" t="s">
        <v>686</v>
      </c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</row>
    <row r="97" spans="1:15" ht="29" x14ac:dyDescent="0.35">
      <c r="A97" s="105" t="s">
        <v>651</v>
      </c>
      <c r="B97" s="105" t="s">
        <v>690</v>
      </c>
      <c r="C97" s="105" t="s">
        <v>686</v>
      </c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</row>
    <row r="98" spans="1:15" ht="29" x14ac:dyDescent="0.35">
      <c r="A98" s="105" t="s">
        <v>653</v>
      </c>
      <c r="B98" s="105" t="s">
        <v>692</v>
      </c>
      <c r="C98" s="105" t="s">
        <v>686</v>
      </c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</row>
    <row r="99" spans="1:15" ht="29" x14ac:dyDescent="0.35">
      <c r="A99" s="105" t="s">
        <v>655</v>
      </c>
      <c r="B99" s="105" t="s">
        <v>694</v>
      </c>
      <c r="C99" s="105" t="s">
        <v>686</v>
      </c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</row>
    <row r="100" spans="1:15" ht="29" x14ac:dyDescent="0.35">
      <c r="A100" s="105" t="s">
        <v>658</v>
      </c>
      <c r="B100" s="105" t="s">
        <v>696</v>
      </c>
      <c r="C100" s="105" t="s">
        <v>686</v>
      </c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</row>
    <row r="101" spans="1:15" ht="29" x14ac:dyDescent="0.35">
      <c r="A101" s="105" t="s">
        <v>660</v>
      </c>
      <c r="B101" s="105" t="s">
        <v>698</v>
      </c>
      <c r="C101" s="105" t="s">
        <v>686</v>
      </c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</row>
    <row r="102" spans="1:15" x14ac:dyDescent="0.35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</row>
    <row r="103" spans="1:15" x14ac:dyDescent="0.35">
      <c r="A103" s="166" t="s">
        <v>709</v>
      </c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2"/>
    </row>
    <row r="104" spans="1:15" ht="58" x14ac:dyDescent="0.35">
      <c r="A104" s="108" t="s">
        <v>700</v>
      </c>
      <c r="B104" s="108" t="s">
        <v>701</v>
      </c>
      <c r="C104" s="108" t="s">
        <v>390</v>
      </c>
      <c r="D104" s="108" t="s">
        <v>351</v>
      </c>
      <c r="E104" s="108" t="s">
        <v>352</v>
      </c>
      <c r="F104" s="108" t="s">
        <v>292</v>
      </c>
      <c r="G104" s="108" t="s">
        <v>619</v>
      </c>
      <c r="H104" s="108" t="s">
        <v>353</v>
      </c>
      <c r="I104" s="108" t="s">
        <v>610</v>
      </c>
      <c r="J104" s="105"/>
      <c r="K104" s="105"/>
      <c r="L104" s="105"/>
      <c r="M104" s="105"/>
      <c r="N104" s="105"/>
      <c r="O104" s="105"/>
    </row>
    <row r="105" spans="1:15" x14ac:dyDescent="0.35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</row>
    <row r="106" spans="1:15" x14ac:dyDescent="0.35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</row>
    <row r="107" spans="1:15" x14ac:dyDescent="0.35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</row>
    <row r="108" spans="1:15" x14ac:dyDescent="0.35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</row>
    <row r="109" spans="1:15" x14ac:dyDescent="0.35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</row>
    <row r="110" spans="1:15" x14ac:dyDescent="0.35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</row>
    <row r="111" spans="1:15" x14ac:dyDescent="0.35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</row>
    <row r="112" spans="1:15" x14ac:dyDescent="0.35">
      <c r="A112" s="167" t="s">
        <v>710</v>
      </c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2"/>
    </row>
    <row r="113" spans="1:15" ht="72.5" x14ac:dyDescent="0.35">
      <c r="A113" s="108" t="s">
        <v>600</v>
      </c>
      <c r="B113" s="108"/>
      <c r="C113" s="108" t="s">
        <v>601</v>
      </c>
      <c r="D113" s="108"/>
      <c r="E113" s="108" t="s">
        <v>602</v>
      </c>
      <c r="F113" s="108"/>
      <c r="G113" s="108" t="s">
        <v>603</v>
      </c>
      <c r="H113" s="108"/>
      <c r="I113" s="108" t="s">
        <v>604</v>
      </c>
      <c r="J113" s="108"/>
      <c r="K113" s="108" t="s">
        <v>6</v>
      </c>
      <c r="L113" s="108"/>
      <c r="M113" s="108" t="s">
        <v>605</v>
      </c>
      <c r="N113" s="108"/>
      <c r="O113" s="108"/>
    </row>
    <row r="114" spans="1:15" ht="72.5" x14ac:dyDescent="0.35">
      <c r="A114" s="108" t="s">
        <v>606</v>
      </c>
      <c r="B114" s="108"/>
      <c r="C114" s="108" t="s">
        <v>607</v>
      </c>
      <c r="D114" s="108"/>
      <c r="E114" s="108" t="s">
        <v>608</v>
      </c>
      <c r="F114" s="108"/>
      <c r="G114" s="108" t="s">
        <v>609</v>
      </c>
      <c r="H114" s="108"/>
      <c r="I114" s="108" t="s">
        <v>610</v>
      </c>
      <c r="J114" s="109">
        <f>IFERROR(COUNTIF(E117:E137,"Yes")/(COUNTIF(E117:E137,"Yes")+COUNTIF(F117:F137,"No")),0)</f>
        <v>0</v>
      </c>
      <c r="K114" s="108"/>
      <c r="L114" s="108" t="str">
        <f>IF(J114&gt;=0.9,"Green",IF(J114&gt;=0.75,"Amber","Red"))</f>
        <v>Red</v>
      </c>
      <c r="M114" s="108"/>
      <c r="N114" s="108"/>
      <c r="O114" s="108"/>
    </row>
    <row r="115" spans="1:15" x14ac:dyDescent="0.35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</row>
    <row r="116" spans="1:15" ht="29" x14ac:dyDescent="0.35">
      <c r="A116" s="110" t="s">
        <v>611</v>
      </c>
      <c r="B116" s="110" t="s">
        <v>612</v>
      </c>
      <c r="C116" s="110" t="s">
        <v>613</v>
      </c>
      <c r="D116" s="110" t="s">
        <v>614</v>
      </c>
      <c r="E116" s="110" t="s">
        <v>81</v>
      </c>
      <c r="F116" s="110" t="s">
        <v>615</v>
      </c>
      <c r="G116" s="110" t="s">
        <v>616</v>
      </c>
      <c r="H116" s="110" t="s">
        <v>617</v>
      </c>
      <c r="I116" s="110" t="s">
        <v>618</v>
      </c>
      <c r="J116" s="110" t="s">
        <v>390</v>
      </c>
      <c r="K116" s="110" t="s">
        <v>351</v>
      </c>
      <c r="L116" s="110" t="s">
        <v>352</v>
      </c>
      <c r="M116" s="110" t="s">
        <v>292</v>
      </c>
      <c r="N116" s="110" t="s">
        <v>353</v>
      </c>
      <c r="O116" s="110" t="s">
        <v>619</v>
      </c>
    </row>
    <row r="117" spans="1:15" ht="29" x14ac:dyDescent="0.35">
      <c r="A117" s="105" t="s">
        <v>620</v>
      </c>
      <c r="B117" s="105" t="s">
        <v>814</v>
      </c>
      <c r="C117" s="105" t="s">
        <v>622</v>
      </c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</row>
    <row r="118" spans="1:15" ht="29" x14ac:dyDescent="0.35">
      <c r="A118" s="105" t="s">
        <v>623</v>
      </c>
      <c r="B118" s="105" t="s">
        <v>815</v>
      </c>
      <c r="C118" s="105" t="s">
        <v>622</v>
      </c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</row>
    <row r="119" spans="1:15" ht="29" x14ac:dyDescent="0.35">
      <c r="A119" s="105" t="s">
        <v>625</v>
      </c>
      <c r="B119" s="105" t="s">
        <v>816</v>
      </c>
      <c r="C119" s="105" t="s">
        <v>622</v>
      </c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</row>
    <row r="120" spans="1:15" ht="29" x14ac:dyDescent="0.35">
      <c r="A120" s="105" t="s">
        <v>627</v>
      </c>
      <c r="B120" s="105" t="s">
        <v>817</v>
      </c>
      <c r="C120" s="105" t="s">
        <v>622</v>
      </c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</row>
    <row r="121" spans="1:15" ht="29" x14ac:dyDescent="0.35">
      <c r="A121" s="105" t="s">
        <v>629</v>
      </c>
      <c r="B121" s="105" t="s">
        <v>818</v>
      </c>
      <c r="C121" s="105" t="s">
        <v>622</v>
      </c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</row>
    <row r="122" spans="1:15" ht="29" x14ac:dyDescent="0.35">
      <c r="A122" s="105" t="s">
        <v>631</v>
      </c>
      <c r="B122" s="105" t="s">
        <v>819</v>
      </c>
      <c r="C122" s="105" t="s">
        <v>622</v>
      </c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</row>
    <row r="123" spans="1:15" ht="29" x14ac:dyDescent="0.35">
      <c r="A123" s="105" t="s">
        <v>633</v>
      </c>
      <c r="B123" s="105" t="s">
        <v>823</v>
      </c>
      <c r="C123" s="105" t="s">
        <v>622</v>
      </c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</row>
    <row r="124" spans="1:15" x14ac:dyDescent="0.35">
      <c r="A124" s="105" t="s">
        <v>635</v>
      </c>
      <c r="B124" s="105" t="s">
        <v>824</v>
      </c>
      <c r="C124" s="105" t="s">
        <v>743</v>
      </c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</row>
    <row r="125" spans="1:15" ht="29" x14ac:dyDescent="0.35">
      <c r="A125" s="105" t="s">
        <v>637</v>
      </c>
      <c r="B125" s="105" t="s">
        <v>825</v>
      </c>
      <c r="C125" s="105" t="s">
        <v>622</v>
      </c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</row>
    <row r="126" spans="1:15" x14ac:dyDescent="0.35">
      <c r="A126" s="105" t="s">
        <v>639</v>
      </c>
      <c r="B126" s="105" t="s">
        <v>820</v>
      </c>
      <c r="C126" s="105" t="s">
        <v>622</v>
      </c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</row>
    <row r="127" spans="1:15" ht="29" x14ac:dyDescent="0.35">
      <c r="A127" s="105" t="s">
        <v>641</v>
      </c>
      <c r="B127" s="105" t="s">
        <v>821</v>
      </c>
      <c r="C127" s="105" t="s">
        <v>622</v>
      </c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</row>
    <row r="128" spans="1:15" ht="29" x14ac:dyDescent="0.35">
      <c r="A128" s="105" t="s">
        <v>643</v>
      </c>
      <c r="B128" s="105" t="s">
        <v>822</v>
      </c>
      <c r="C128" s="105" t="s">
        <v>622</v>
      </c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</row>
    <row r="129" spans="1:15" ht="29" x14ac:dyDescent="0.35">
      <c r="A129" s="105" t="s">
        <v>644</v>
      </c>
      <c r="B129" s="105" t="s">
        <v>706</v>
      </c>
      <c r="C129" s="105" t="s">
        <v>622</v>
      </c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</row>
    <row r="130" spans="1:15" ht="29" x14ac:dyDescent="0.35">
      <c r="A130" s="105" t="s">
        <v>645</v>
      </c>
      <c r="B130" s="105" t="s">
        <v>682</v>
      </c>
      <c r="C130" s="105" t="s">
        <v>683</v>
      </c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</row>
    <row r="131" spans="1:15" ht="29" x14ac:dyDescent="0.35">
      <c r="A131" s="105" t="s">
        <v>646</v>
      </c>
      <c r="B131" s="105" t="s">
        <v>685</v>
      </c>
      <c r="C131" s="105" t="s">
        <v>686</v>
      </c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</row>
    <row r="132" spans="1:15" ht="29" x14ac:dyDescent="0.35">
      <c r="A132" s="105" t="s">
        <v>649</v>
      </c>
      <c r="B132" s="105" t="s">
        <v>688</v>
      </c>
      <c r="C132" s="105" t="s">
        <v>686</v>
      </c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</row>
    <row r="133" spans="1:15" ht="29" x14ac:dyDescent="0.35">
      <c r="A133" s="105" t="s">
        <v>651</v>
      </c>
      <c r="B133" s="105" t="s">
        <v>690</v>
      </c>
      <c r="C133" s="105" t="s">
        <v>686</v>
      </c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</row>
    <row r="134" spans="1:15" ht="29" x14ac:dyDescent="0.35">
      <c r="A134" s="105" t="s">
        <v>653</v>
      </c>
      <c r="B134" s="105" t="s">
        <v>692</v>
      </c>
      <c r="C134" s="105" t="s">
        <v>686</v>
      </c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</row>
    <row r="135" spans="1:15" ht="29" x14ac:dyDescent="0.35">
      <c r="A135" s="105" t="s">
        <v>655</v>
      </c>
      <c r="B135" s="105" t="s">
        <v>694</v>
      </c>
      <c r="C135" s="105" t="s">
        <v>686</v>
      </c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</row>
    <row r="136" spans="1:15" ht="29" x14ac:dyDescent="0.35">
      <c r="A136" s="105" t="s">
        <v>658</v>
      </c>
      <c r="B136" s="105" t="s">
        <v>696</v>
      </c>
      <c r="C136" s="105" t="s">
        <v>686</v>
      </c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</row>
    <row r="137" spans="1:15" ht="29" x14ac:dyDescent="0.35">
      <c r="A137" s="105" t="s">
        <v>660</v>
      </c>
      <c r="B137" s="105" t="s">
        <v>698</v>
      </c>
      <c r="C137" s="105" t="s">
        <v>686</v>
      </c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</row>
    <row r="138" spans="1:15" x14ac:dyDescent="0.35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</row>
    <row r="139" spans="1:15" x14ac:dyDescent="0.35">
      <c r="A139" s="166" t="s">
        <v>711</v>
      </c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2"/>
    </row>
    <row r="140" spans="1:15" ht="58" x14ac:dyDescent="0.35">
      <c r="A140" s="108" t="s">
        <v>700</v>
      </c>
      <c r="B140" s="108" t="s">
        <v>701</v>
      </c>
      <c r="C140" s="108" t="s">
        <v>390</v>
      </c>
      <c r="D140" s="108" t="s">
        <v>351</v>
      </c>
      <c r="E140" s="108" t="s">
        <v>352</v>
      </c>
      <c r="F140" s="108" t="s">
        <v>292</v>
      </c>
      <c r="G140" s="108" t="s">
        <v>619</v>
      </c>
      <c r="H140" s="108" t="s">
        <v>353</v>
      </c>
      <c r="I140" s="108" t="s">
        <v>610</v>
      </c>
      <c r="J140" s="105"/>
      <c r="K140" s="105"/>
      <c r="L140" s="105"/>
      <c r="M140" s="105"/>
      <c r="N140" s="105"/>
      <c r="O140" s="105"/>
    </row>
    <row r="141" spans="1:15" x14ac:dyDescent="0.35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</row>
    <row r="142" spans="1:15" x14ac:dyDescent="0.35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</row>
    <row r="143" spans="1:15" x14ac:dyDescent="0.35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</row>
    <row r="144" spans="1:15" x14ac:dyDescent="0.35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</row>
    <row r="145" spans="1:15" x14ac:dyDescent="0.35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</row>
    <row r="146" spans="1:15" x14ac:dyDescent="0.35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</row>
    <row r="147" spans="1:15" x14ac:dyDescent="0.35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</row>
    <row r="148" spans="1:15" x14ac:dyDescent="0.35">
      <c r="A148" s="167" t="s">
        <v>712</v>
      </c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2"/>
    </row>
    <row r="149" spans="1:15" ht="72.5" x14ac:dyDescent="0.35">
      <c r="A149" s="108" t="s">
        <v>600</v>
      </c>
      <c r="B149" s="108"/>
      <c r="C149" s="108" t="s">
        <v>601</v>
      </c>
      <c r="D149" s="108"/>
      <c r="E149" s="108" t="s">
        <v>602</v>
      </c>
      <c r="F149" s="108"/>
      <c r="G149" s="108" t="s">
        <v>603</v>
      </c>
      <c r="H149" s="108"/>
      <c r="I149" s="108" t="s">
        <v>604</v>
      </c>
      <c r="J149" s="108"/>
      <c r="K149" s="108" t="s">
        <v>6</v>
      </c>
      <c r="L149" s="108"/>
      <c r="M149" s="108" t="s">
        <v>605</v>
      </c>
      <c r="N149" s="108"/>
      <c r="O149" s="108"/>
    </row>
    <row r="150" spans="1:15" ht="72.5" x14ac:dyDescent="0.35">
      <c r="A150" s="108" t="s">
        <v>606</v>
      </c>
      <c r="B150" s="108"/>
      <c r="C150" s="108" t="s">
        <v>607</v>
      </c>
      <c r="D150" s="108"/>
      <c r="E150" s="108" t="s">
        <v>608</v>
      </c>
      <c r="F150" s="108"/>
      <c r="G150" s="108" t="s">
        <v>609</v>
      </c>
      <c r="H150" s="108"/>
      <c r="I150" s="108" t="s">
        <v>610</v>
      </c>
      <c r="J150" s="109">
        <f>IFERROR(COUNTIF(E153:E173,"Yes")/(COUNTIF(E153:E173,"Yes")+COUNTIF(F153:F173,"No")),0)</f>
        <v>0</v>
      </c>
      <c r="K150" s="108"/>
      <c r="L150" s="108" t="str">
        <f>IF(J150&gt;=0.9,"Green",IF(J150&gt;=0.75,"Amber","Red"))</f>
        <v>Red</v>
      </c>
      <c r="M150" s="108"/>
      <c r="N150" s="108"/>
      <c r="O150" s="108"/>
    </row>
    <row r="151" spans="1:15" x14ac:dyDescent="0.35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</row>
    <row r="152" spans="1:15" ht="29" x14ac:dyDescent="0.35">
      <c r="A152" s="110" t="s">
        <v>611</v>
      </c>
      <c r="B152" s="110" t="s">
        <v>612</v>
      </c>
      <c r="C152" s="110" t="s">
        <v>613</v>
      </c>
      <c r="D152" s="110" t="s">
        <v>614</v>
      </c>
      <c r="E152" s="110" t="s">
        <v>81</v>
      </c>
      <c r="F152" s="110" t="s">
        <v>615</v>
      </c>
      <c r="G152" s="110" t="s">
        <v>616</v>
      </c>
      <c r="H152" s="110" t="s">
        <v>617</v>
      </c>
      <c r="I152" s="110" t="s">
        <v>618</v>
      </c>
      <c r="J152" s="110" t="s">
        <v>390</v>
      </c>
      <c r="K152" s="110" t="s">
        <v>351</v>
      </c>
      <c r="L152" s="110" t="s">
        <v>352</v>
      </c>
      <c r="M152" s="110" t="s">
        <v>292</v>
      </c>
      <c r="N152" s="110" t="s">
        <v>353</v>
      </c>
      <c r="O152" s="110" t="s">
        <v>619</v>
      </c>
    </row>
    <row r="153" spans="1:15" ht="29" x14ac:dyDescent="0.35">
      <c r="A153" s="105" t="s">
        <v>620</v>
      </c>
      <c r="B153" s="105" t="s">
        <v>814</v>
      </c>
      <c r="C153" s="105" t="s">
        <v>622</v>
      </c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</row>
    <row r="154" spans="1:15" ht="29" x14ac:dyDescent="0.35">
      <c r="A154" s="105" t="s">
        <v>623</v>
      </c>
      <c r="B154" s="105" t="s">
        <v>815</v>
      </c>
      <c r="C154" s="105" t="s">
        <v>622</v>
      </c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</row>
    <row r="155" spans="1:15" ht="29" x14ac:dyDescent="0.35">
      <c r="A155" s="105" t="s">
        <v>625</v>
      </c>
      <c r="B155" s="105" t="s">
        <v>816</v>
      </c>
      <c r="C155" s="105" t="s">
        <v>622</v>
      </c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</row>
    <row r="156" spans="1:15" ht="29" x14ac:dyDescent="0.35">
      <c r="A156" s="105" t="s">
        <v>627</v>
      </c>
      <c r="B156" s="105" t="s">
        <v>817</v>
      </c>
      <c r="C156" s="105" t="s">
        <v>622</v>
      </c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</row>
    <row r="157" spans="1:15" ht="29" x14ac:dyDescent="0.35">
      <c r="A157" s="105" t="s">
        <v>629</v>
      </c>
      <c r="B157" s="105" t="s">
        <v>818</v>
      </c>
      <c r="C157" s="105" t="s">
        <v>622</v>
      </c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</row>
    <row r="158" spans="1:15" ht="29" x14ac:dyDescent="0.35">
      <c r="A158" s="105" t="s">
        <v>631</v>
      </c>
      <c r="B158" s="105" t="s">
        <v>819</v>
      </c>
      <c r="C158" s="105" t="s">
        <v>622</v>
      </c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</row>
    <row r="159" spans="1:15" ht="29" x14ac:dyDescent="0.35">
      <c r="A159" s="105" t="s">
        <v>633</v>
      </c>
      <c r="B159" s="105" t="s">
        <v>823</v>
      </c>
      <c r="C159" s="105" t="s">
        <v>622</v>
      </c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</row>
    <row r="160" spans="1:15" x14ac:dyDescent="0.35">
      <c r="A160" s="105" t="s">
        <v>635</v>
      </c>
      <c r="B160" s="105" t="s">
        <v>824</v>
      </c>
      <c r="C160" s="105" t="s">
        <v>743</v>
      </c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</row>
    <row r="161" spans="1:15" ht="29" x14ac:dyDescent="0.35">
      <c r="A161" s="105" t="s">
        <v>637</v>
      </c>
      <c r="B161" s="105" t="s">
        <v>825</v>
      </c>
      <c r="C161" s="105" t="s">
        <v>622</v>
      </c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</row>
    <row r="162" spans="1:15" x14ac:dyDescent="0.35">
      <c r="A162" s="105" t="s">
        <v>639</v>
      </c>
      <c r="B162" s="105" t="s">
        <v>820</v>
      </c>
      <c r="C162" s="105" t="s">
        <v>622</v>
      </c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</row>
    <row r="163" spans="1:15" ht="29" x14ac:dyDescent="0.35">
      <c r="A163" s="105" t="s">
        <v>641</v>
      </c>
      <c r="B163" s="105" t="s">
        <v>821</v>
      </c>
      <c r="C163" s="105" t="s">
        <v>622</v>
      </c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</row>
    <row r="164" spans="1:15" ht="29" x14ac:dyDescent="0.35">
      <c r="A164" s="105" t="s">
        <v>643</v>
      </c>
      <c r="B164" s="105" t="s">
        <v>822</v>
      </c>
      <c r="C164" s="105" t="s">
        <v>622</v>
      </c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</row>
    <row r="165" spans="1:15" ht="29" x14ac:dyDescent="0.35">
      <c r="A165" s="105" t="s">
        <v>644</v>
      </c>
      <c r="B165" s="105" t="s">
        <v>706</v>
      </c>
      <c r="C165" s="105" t="s">
        <v>622</v>
      </c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</row>
    <row r="166" spans="1:15" ht="29" x14ac:dyDescent="0.35">
      <c r="A166" s="105" t="s">
        <v>645</v>
      </c>
      <c r="B166" s="105" t="s">
        <v>682</v>
      </c>
      <c r="C166" s="105" t="s">
        <v>683</v>
      </c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</row>
    <row r="167" spans="1:15" ht="29" x14ac:dyDescent="0.35">
      <c r="A167" s="105" t="s">
        <v>646</v>
      </c>
      <c r="B167" s="105" t="s">
        <v>685</v>
      </c>
      <c r="C167" s="105" t="s">
        <v>686</v>
      </c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</row>
    <row r="168" spans="1:15" ht="29" x14ac:dyDescent="0.35">
      <c r="A168" s="105" t="s">
        <v>649</v>
      </c>
      <c r="B168" s="105" t="s">
        <v>688</v>
      </c>
      <c r="C168" s="105" t="s">
        <v>686</v>
      </c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</row>
    <row r="169" spans="1:15" ht="29" x14ac:dyDescent="0.35">
      <c r="A169" s="105" t="s">
        <v>651</v>
      </c>
      <c r="B169" s="105" t="s">
        <v>690</v>
      </c>
      <c r="C169" s="105" t="s">
        <v>686</v>
      </c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</row>
    <row r="170" spans="1:15" ht="29" x14ac:dyDescent="0.35">
      <c r="A170" s="105" t="s">
        <v>653</v>
      </c>
      <c r="B170" s="105" t="s">
        <v>692</v>
      </c>
      <c r="C170" s="105" t="s">
        <v>686</v>
      </c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</row>
    <row r="171" spans="1:15" ht="29" x14ac:dyDescent="0.35">
      <c r="A171" s="105" t="s">
        <v>655</v>
      </c>
      <c r="B171" s="105" t="s">
        <v>694</v>
      </c>
      <c r="C171" s="105" t="s">
        <v>686</v>
      </c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</row>
    <row r="172" spans="1:15" ht="29" x14ac:dyDescent="0.35">
      <c r="A172" s="105" t="s">
        <v>658</v>
      </c>
      <c r="B172" s="105" t="s">
        <v>696</v>
      </c>
      <c r="C172" s="105" t="s">
        <v>686</v>
      </c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</row>
    <row r="173" spans="1:15" ht="29" x14ac:dyDescent="0.35">
      <c r="A173" s="105" t="s">
        <v>660</v>
      </c>
      <c r="B173" s="105" t="s">
        <v>698</v>
      </c>
      <c r="C173" s="105" t="s">
        <v>686</v>
      </c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</row>
    <row r="174" spans="1:15" x14ac:dyDescent="0.35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</row>
    <row r="175" spans="1:15" x14ac:dyDescent="0.35">
      <c r="A175" s="166" t="s">
        <v>713</v>
      </c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2"/>
    </row>
    <row r="176" spans="1:15" ht="58" x14ac:dyDescent="0.35">
      <c r="A176" s="108" t="s">
        <v>700</v>
      </c>
      <c r="B176" s="108" t="s">
        <v>701</v>
      </c>
      <c r="C176" s="108" t="s">
        <v>390</v>
      </c>
      <c r="D176" s="108" t="s">
        <v>351</v>
      </c>
      <c r="E176" s="108" t="s">
        <v>352</v>
      </c>
      <c r="F176" s="108" t="s">
        <v>292</v>
      </c>
      <c r="G176" s="108" t="s">
        <v>619</v>
      </c>
      <c r="H176" s="108" t="s">
        <v>353</v>
      </c>
      <c r="I176" s="108" t="s">
        <v>610</v>
      </c>
      <c r="J176" s="105"/>
      <c r="K176" s="105"/>
      <c r="L176" s="105"/>
      <c r="M176" s="105"/>
      <c r="N176" s="105"/>
      <c r="O176" s="105"/>
    </row>
    <row r="177" spans="1:15" x14ac:dyDescent="0.35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</row>
    <row r="178" spans="1:15" x14ac:dyDescent="0.35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</row>
    <row r="179" spans="1:15" x14ac:dyDescent="0.35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</row>
    <row r="180" spans="1:15" x14ac:dyDescent="0.35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</row>
    <row r="181" spans="1:15" x14ac:dyDescent="0.35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</row>
    <row r="182" spans="1:15" x14ac:dyDescent="0.35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</row>
    <row r="183" spans="1:15" x14ac:dyDescent="0.35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</row>
    <row r="184" spans="1:15" x14ac:dyDescent="0.35">
      <c r="A184" s="167" t="s">
        <v>714</v>
      </c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2"/>
    </row>
    <row r="185" spans="1:15" ht="72.5" x14ac:dyDescent="0.35">
      <c r="A185" s="108" t="s">
        <v>600</v>
      </c>
      <c r="B185" s="108"/>
      <c r="C185" s="108" t="s">
        <v>601</v>
      </c>
      <c r="D185" s="108"/>
      <c r="E185" s="108" t="s">
        <v>602</v>
      </c>
      <c r="F185" s="108"/>
      <c r="G185" s="108" t="s">
        <v>603</v>
      </c>
      <c r="H185" s="108"/>
      <c r="I185" s="108" t="s">
        <v>604</v>
      </c>
      <c r="J185" s="108"/>
      <c r="K185" s="108" t="s">
        <v>6</v>
      </c>
      <c r="L185" s="108"/>
      <c r="M185" s="108" t="s">
        <v>605</v>
      </c>
      <c r="N185" s="108"/>
      <c r="O185" s="108"/>
    </row>
    <row r="186" spans="1:15" ht="72.5" x14ac:dyDescent="0.35">
      <c r="A186" s="108" t="s">
        <v>606</v>
      </c>
      <c r="B186" s="108"/>
      <c r="C186" s="108" t="s">
        <v>607</v>
      </c>
      <c r="D186" s="108"/>
      <c r="E186" s="108" t="s">
        <v>608</v>
      </c>
      <c r="F186" s="108"/>
      <c r="G186" s="108" t="s">
        <v>609</v>
      </c>
      <c r="H186" s="108"/>
      <c r="I186" s="108" t="s">
        <v>610</v>
      </c>
      <c r="J186" s="109">
        <f>IFERROR(COUNTIF(E189:E209,"Yes")/(COUNTIF(E189:E209,"Yes")+COUNTIF(F189:F209,"No")),0)</f>
        <v>0</v>
      </c>
      <c r="K186" s="108"/>
      <c r="L186" s="108" t="str">
        <f>IF(J186&gt;=0.9,"Green",IF(J186&gt;=0.75,"Amber","Red"))</f>
        <v>Red</v>
      </c>
      <c r="M186" s="108"/>
      <c r="N186" s="108"/>
      <c r="O186" s="108"/>
    </row>
    <row r="187" spans="1:15" x14ac:dyDescent="0.35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</row>
    <row r="188" spans="1:15" ht="29" x14ac:dyDescent="0.35">
      <c r="A188" s="110" t="s">
        <v>611</v>
      </c>
      <c r="B188" s="110" t="s">
        <v>612</v>
      </c>
      <c r="C188" s="110" t="s">
        <v>613</v>
      </c>
      <c r="D188" s="110" t="s">
        <v>614</v>
      </c>
      <c r="E188" s="110" t="s">
        <v>81</v>
      </c>
      <c r="F188" s="110" t="s">
        <v>615</v>
      </c>
      <c r="G188" s="110" t="s">
        <v>616</v>
      </c>
      <c r="H188" s="110" t="s">
        <v>617</v>
      </c>
      <c r="I188" s="110" t="s">
        <v>618</v>
      </c>
      <c r="J188" s="110" t="s">
        <v>390</v>
      </c>
      <c r="K188" s="110" t="s">
        <v>351</v>
      </c>
      <c r="L188" s="110" t="s">
        <v>352</v>
      </c>
      <c r="M188" s="110" t="s">
        <v>292</v>
      </c>
      <c r="N188" s="110" t="s">
        <v>353</v>
      </c>
      <c r="O188" s="110" t="s">
        <v>619</v>
      </c>
    </row>
    <row r="189" spans="1:15" ht="29" x14ac:dyDescent="0.35">
      <c r="A189" s="105" t="s">
        <v>620</v>
      </c>
      <c r="B189" s="105" t="s">
        <v>814</v>
      </c>
      <c r="C189" s="105" t="s">
        <v>622</v>
      </c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</row>
    <row r="190" spans="1:15" ht="29" x14ac:dyDescent="0.35">
      <c r="A190" s="105" t="s">
        <v>623</v>
      </c>
      <c r="B190" s="105" t="s">
        <v>815</v>
      </c>
      <c r="C190" s="105" t="s">
        <v>622</v>
      </c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</row>
    <row r="191" spans="1:15" ht="29" x14ac:dyDescent="0.35">
      <c r="A191" s="105" t="s">
        <v>625</v>
      </c>
      <c r="B191" s="105" t="s">
        <v>816</v>
      </c>
      <c r="C191" s="105" t="s">
        <v>622</v>
      </c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</row>
    <row r="192" spans="1:15" ht="29" x14ac:dyDescent="0.35">
      <c r="A192" s="105" t="s">
        <v>627</v>
      </c>
      <c r="B192" s="105" t="s">
        <v>817</v>
      </c>
      <c r="C192" s="105" t="s">
        <v>622</v>
      </c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</row>
    <row r="193" spans="1:15" ht="29" x14ac:dyDescent="0.35">
      <c r="A193" s="105" t="s">
        <v>629</v>
      </c>
      <c r="B193" s="105" t="s">
        <v>818</v>
      </c>
      <c r="C193" s="105" t="s">
        <v>622</v>
      </c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</row>
    <row r="194" spans="1:15" ht="29" x14ac:dyDescent="0.35">
      <c r="A194" s="105" t="s">
        <v>631</v>
      </c>
      <c r="B194" s="105" t="s">
        <v>819</v>
      </c>
      <c r="C194" s="105" t="s">
        <v>622</v>
      </c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</row>
    <row r="195" spans="1:15" ht="29" x14ac:dyDescent="0.35">
      <c r="A195" s="105" t="s">
        <v>633</v>
      </c>
      <c r="B195" s="105" t="s">
        <v>823</v>
      </c>
      <c r="C195" s="105" t="s">
        <v>622</v>
      </c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</row>
    <row r="196" spans="1:15" x14ac:dyDescent="0.35">
      <c r="A196" s="105" t="s">
        <v>635</v>
      </c>
      <c r="B196" s="105" t="s">
        <v>824</v>
      </c>
      <c r="C196" s="105" t="s">
        <v>743</v>
      </c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</row>
    <row r="197" spans="1:15" ht="29" x14ac:dyDescent="0.35">
      <c r="A197" s="105" t="s">
        <v>637</v>
      </c>
      <c r="B197" s="105" t="s">
        <v>825</v>
      </c>
      <c r="C197" s="105" t="s">
        <v>622</v>
      </c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</row>
    <row r="198" spans="1:15" x14ac:dyDescent="0.35">
      <c r="A198" s="105" t="s">
        <v>639</v>
      </c>
      <c r="B198" s="105" t="s">
        <v>820</v>
      </c>
      <c r="C198" s="105" t="s">
        <v>622</v>
      </c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</row>
    <row r="199" spans="1:15" ht="29" x14ac:dyDescent="0.35">
      <c r="A199" s="105" t="s">
        <v>641</v>
      </c>
      <c r="B199" s="105" t="s">
        <v>821</v>
      </c>
      <c r="C199" s="105" t="s">
        <v>622</v>
      </c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</row>
    <row r="200" spans="1:15" ht="29" x14ac:dyDescent="0.35">
      <c r="A200" s="105" t="s">
        <v>643</v>
      </c>
      <c r="B200" s="105" t="s">
        <v>822</v>
      </c>
      <c r="C200" s="105" t="s">
        <v>622</v>
      </c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</row>
    <row r="201" spans="1:15" ht="29" x14ac:dyDescent="0.35">
      <c r="A201" s="105" t="s">
        <v>644</v>
      </c>
      <c r="B201" s="105" t="s">
        <v>706</v>
      </c>
      <c r="C201" s="105" t="s">
        <v>622</v>
      </c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</row>
    <row r="202" spans="1:15" ht="29" x14ac:dyDescent="0.35">
      <c r="A202" s="105" t="s">
        <v>645</v>
      </c>
      <c r="B202" s="105" t="s">
        <v>682</v>
      </c>
      <c r="C202" s="105" t="s">
        <v>683</v>
      </c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</row>
    <row r="203" spans="1:15" ht="29" x14ac:dyDescent="0.35">
      <c r="A203" s="105" t="s">
        <v>646</v>
      </c>
      <c r="B203" s="105" t="s">
        <v>685</v>
      </c>
      <c r="C203" s="105" t="s">
        <v>686</v>
      </c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</row>
    <row r="204" spans="1:15" ht="29" x14ac:dyDescent="0.35">
      <c r="A204" s="105" t="s">
        <v>649</v>
      </c>
      <c r="B204" s="105" t="s">
        <v>688</v>
      </c>
      <c r="C204" s="105" t="s">
        <v>686</v>
      </c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</row>
    <row r="205" spans="1:15" ht="29" x14ac:dyDescent="0.35">
      <c r="A205" s="105" t="s">
        <v>651</v>
      </c>
      <c r="B205" s="105" t="s">
        <v>690</v>
      </c>
      <c r="C205" s="105" t="s">
        <v>686</v>
      </c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</row>
    <row r="206" spans="1:15" ht="29" x14ac:dyDescent="0.35">
      <c r="A206" s="105" t="s">
        <v>653</v>
      </c>
      <c r="B206" s="105" t="s">
        <v>692</v>
      </c>
      <c r="C206" s="105" t="s">
        <v>686</v>
      </c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</row>
    <row r="207" spans="1:15" ht="29" x14ac:dyDescent="0.35">
      <c r="A207" s="105" t="s">
        <v>655</v>
      </c>
      <c r="B207" s="105" t="s">
        <v>694</v>
      </c>
      <c r="C207" s="105" t="s">
        <v>686</v>
      </c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</row>
    <row r="208" spans="1:15" ht="29" x14ac:dyDescent="0.35">
      <c r="A208" s="105" t="s">
        <v>658</v>
      </c>
      <c r="B208" s="105" t="s">
        <v>696</v>
      </c>
      <c r="C208" s="105" t="s">
        <v>686</v>
      </c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</row>
    <row r="209" spans="1:15" ht="29" x14ac:dyDescent="0.35">
      <c r="A209" s="105" t="s">
        <v>660</v>
      </c>
      <c r="B209" s="105" t="s">
        <v>698</v>
      </c>
      <c r="C209" s="105" t="s">
        <v>686</v>
      </c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</row>
    <row r="210" spans="1:15" x14ac:dyDescent="0.35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</row>
    <row r="211" spans="1:15" x14ac:dyDescent="0.35">
      <c r="A211" s="166" t="s">
        <v>715</v>
      </c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2"/>
    </row>
    <row r="212" spans="1:15" ht="58" x14ac:dyDescent="0.35">
      <c r="A212" s="108" t="s">
        <v>700</v>
      </c>
      <c r="B212" s="108" t="s">
        <v>701</v>
      </c>
      <c r="C212" s="108" t="s">
        <v>390</v>
      </c>
      <c r="D212" s="108" t="s">
        <v>351</v>
      </c>
      <c r="E212" s="108" t="s">
        <v>352</v>
      </c>
      <c r="F212" s="108" t="s">
        <v>292</v>
      </c>
      <c r="G212" s="108" t="s">
        <v>619</v>
      </c>
      <c r="H212" s="108" t="s">
        <v>353</v>
      </c>
      <c r="I212" s="108" t="s">
        <v>610</v>
      </c>
      <c r="J212" s="105"/>
      <c r="K212" s="105"/>
      <c r="L212" s="105"/>
      <c r="M212" s="105"/>
      <c r="N212" s="105"/>
      <c r="O212" s="105"/>
    </row>
    <row r="213" spans="1:15" x14ac:dyDescent="0.35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</row>
    <row r="214" spans="1:15" x14ac:dyDescent="0.35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</row>
    <row r="215" spans="1:15" x14ac:dyDescent="0.3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</row>
    <row r="216" spans="1:15" x14ac:dyDescent="0.35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</row>
    <row r="217" spans="1:15" x14ac:dyDescent="0.35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</row>
    <row r="218" spans="1:15" x14ac:dyDescent="0.35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</row>
    <row r="219" spans="1:15" x14ac:dyDescent="0.35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</row>
    <row r="220" spans="1:15" x14ac:dyDescent="0.35">
      <c r="A220" s="167" t="s">
        <v>716</v>
      </c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2"/>
    </row>
    <row r="221" spans="1:15" ht="72.5" x14ac:dyDescent="0.35">
      <c r="A221" s="108" t="s">
        <v>600</v>
      </c>
      <c r="B221" s="108"/>
      <c r="C221" s="108" t="s">
        <v>601</v>
      </c>
      <c r="D221" s="108"/>
      <c r="E221" s="108" t="s">
        <v>602</v>
      </c>
      <c r="F221" s="108"/>
      <c r="G221" s="108" t="s">
        <v>603</v>
      </c>
      <c r="H221" s="108"/>
      <c r="I221" s="108" t="s">
        <v>604</v>
      </c>
      <c r="J221" s="108"/>
      <c r="K221" s="108" t="s">
        <v>6</v>
      </c>
      <c r="L221" s="108"/>
      <c r="M221" s="108" t="s">
        <v>605</v>
      </c>
      <c r="N221" s="108"/>
      <c r="O221" s="108"/>
    </row>
    <row r="222" spans="1:15" ht="72.5" x14ac:dyDescent="0.35">
      <c r="A222" s="108" t="s">
        <v>606</v>
      </c>
      <c r="B222" s="108"/>
      <c r="C222" s="108" t="s">
        <v>607</v>
      </c>
      <c r="D222" s="108"/>
      <c r="E222" s="108" t="s">
        <v>608</v>
      </c>
      <c r="F222" s="108"/>
      <c r="G222" s="108" t="s">
        <v>609</v>
      </c>
      <c r="H222" s="108"/>
      <c r="I222" s="108" t="s">
        <v>610</v>
      </c>
      <c r="J222" s="109">
        <f>IFERROR(COUNTIF(E225:E245,"Yes")/(COUNTIF(E225:E245,"Yes")+COUNTIF(F225:F245,"No")),0)</f>
        <v>0</v>
      </c>
      <c r="K222" s="108"/>
      <c r="L222" s="108" t="str">
        <f>IF(J222&gt;=0.9,"Green",IF(J222&gt;=0.75,"Amber","Red"))</f>
        <v>Red</v>
      </c>
      <c r="M222" s="108"/>
      <c r="N222" s="108"/>
      <c r="O222" s="108"/>
    </row>
    <row r="223" spans="1:15" x14ac:dyDescent="0.35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</row>
    <row r="224" spans="1:15" ht="29" x14ac:dyDescent="0.35">
      <c r="A224" s="110" t="s">
        <v>611</v>
      </c>
      <c r="B224" s="110" t="s">
        <v>612</v>
      </c>
      <c r="C224" s="110" t="s">
        <v>613</v>
      </c>
      <c r="D224" s="110" t="s">
        <v>614</v>
      </c>
      <c r="E224" s="110" t="s">
        <v>81</v>
      </c>
      <c r="F224" s="110" t="s">
        <v>615</v>
      </c>
      <c r="G224" s="110" t="s">
        <v>616</v>
      </c>
      <c r="H224" s="110" t="s">
        <v>617</v>
      </c>
      <c r="I224" s="110" t="s">
        <v>618</v>
      </c>
      <c r="J224" s="110" t="s">
        <v>390</v>
      </c>
      <c r="K224" s="110" t="s">
        <v>351</v>
      </c>
      <c r="L224" s="110" t="s">
        <v>352</v>
      </c>
      <c r="M224" s="110" t="s">
        <v>292</v>
      </c>
      <c r="N224" s="110" t="s">
        <v>353</v>
      </c>
      <c r="O224" s="110" t="s">
        <v>619</v>
      </c>
    </row>
    <row r="225" spans="1:15" ht="29" x14ac:dyDescent="0.35">
      <c r="A225" s="105" t="s">
        <v>620</v>
      </c>
      <c r="B225" s="105" t="s">
        <v>814</v>
      </c>
      <c r="C225" s="105" t="s">
        <v>622</v>
      </c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</row>
    <row r="226" spans="1:15" ht="29" x14ac:dyDescent="0.35">
      <c r="A226" s="105" t="s">
        <v>623</v>
      </c>
      <c r="B226" s="105" t="s">
        <v>815</v>
      </c>
      <c r="C226" s="105" t="s">
        <v>622</v>
      </c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</row>
    <row r="227" spans="1:15" ht="29" x14ac:dyDescent="0.35">
      <c r="A227" s="105" t="s">
        <v>625</v>
      </c>
      <c r="B227" s="105" t="s">
        <v>816</v>
      </c>
      <c r="C227" s="105" t="s">
        <v>622</v>
      </c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</row>
    <row r="228" spans="1:15" ht="29" x14ac:dyDescent="0.35">
      <c r="A228" s="105" t="s">
        <v>627</v>
      </c>
      <c r="B228" s="105" t="s">
        <v>817</v>
      </c>
      <c r="C228" s="105" t="s">
        <v>622</v>
      </c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</row>
    <row r="229" spans="1:15" ht="29" x14ac:dyDescent="0.35">
      <c r="A229" s="105" t="s">
        <v>629</v>
      </c>
      <c r="B229" s="105" t="s">
        <v>818</v>
      </c>
      <c r="C229" s="105" t="s">
        <v>622</v>
      </c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</row>
    <row r="230" spans="1:15" ht="29" x14ac:dyDescent="0.35">
      <c r="A230" s="105" t="s">
        <v>631</v>
      </c>
      <c r="B230" s="105" t="s">
        <v>819</v>
      </c>
      <c r="C230" s="105" t="s">
        <v>622</v>
      </c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</row>
    <row r="231" spans="1:15" ht="29" x14ac:dyDescent="0.35">
      <c r="A231" s="105" t="s">
        <v>633</v>
      </c>
      <c r="B231" s="105" t="s">
        <v>823</v>
      </c>
      <c r="C231" s="105" t="s">
        <v>622</v>
      </c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</row>
    <row r="232" spans="1:15" x14ac:dyDescent="0.35">
      <c r="A232" s="105" t="s">
        <v>635</v>
      </c>
      <c r="B232" s="105" t="s">
        <v>824</v>
      </c>
      <c r="C232" s="105" t="s">
        <v>743</v>
      </c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</row>
    <row r="233" spans="1:15" ht="29" x14ac:dyDescent="0.35">
      <c r="A233" s="105" t="s">
        <v>637</v>
      </c>
      <c r="B233" s="105" t="s">
        <v>825</v>
      </c>
      <c r="C233" s="105" t="s">
        <v>622</v>
      </c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</row>
    <row r="234" spans="1:15" x14ac:dyDescent="0.35">
      <c r="A234" s="105" t="s">
        <v>639</v>
      </c>
      <c r="B234" s="105" t="s">
        <v>820</v>
      </c>
      <c r="C234" s="105" t="s">
        <v>622</v>
      </c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</row>
    <row r="235" spans="1:15" ht="29" x14ac:dyDescent="0.35">
      <c r="A235" s="105" t="s">
        <v>641</v>
      </c>
      <c r="B235" s="105" t="s">
        <v>821</v>
      </c>
      <c r="C235" s="105" t="s">
        <v>622</v>
      </c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</row>
    <row r="236" spans="1:15" ht="29" x14ac:dyDescent="0.35">
      <c r="A236" s="105" t="s">
        <v>643</v>
      </c>
      <c r="B236" s="105" t="s">
        <v>822</v>
      </c>
      <c r="C236" s="105" t="s">
        <v>622</v>
      </c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</row>
    <row r="237" spans="1:15" ht="29" x14ac:dyDescent="0.35">
      <c r="A237" s="105" t="s">
        <v>644</v>
      </c>
      <c r="B237" s="105" t="s">
        <v>706</v>
      </c>
      <c r="C237" s="105" t="s">
        <v>622</v>
      </c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</row>
    <row r="238" spans="1:15" ht="29" x14ac:dyDescent="0.35">
      <c r="A238" s="105" t="s">
        <v>645</v>
      </c>
      <c r="B238" s="105" t="s">
        <v>682</v>
      </c>
      <c r="C238" s="105" t="s">
        <v>683</v>
      </c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</row>
    <row r="239" spans="1:15" ht="29" x14ac:dyDescent="0.35">
      <c r="A239" s="105" t="s">
        <v>646</v>
      </c>
      <c r="B239" s="105" t="s">
        <v>685</v>
      </c>
      <c r="C239" s="105" t="s">
        <v>686</v>
      </c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</row>
    <row r="240" spans="1:15" ht="29" x14ac:dyDescent="0.35">
      <c r="A240" s="105" t="s">
        <v>649</v>
      </c>
      <c r="B240" s="105" t="s">
        <v>688</v>
      </c>
      <c r="C240" s="105" t="s">
        <v>686</v>
      </c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</row>
    <row r="241" spans="1:15" ht="29" x14ac:dyDescent="0.35">
      <c r="A241" s="105" t="s">
        <v>651</v>
      </c>
      <c r="B241" s="105" t="s">
        <v>690</v>
      </c>
      <c r="C241" s="105" t="s">
        <v>686</v>
      </c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</row>
    <row r="242" spans="1:15" ht="29" x14ac:dyDescent="0.35">
      <c r="A242" s="105" t="s">
        <v>653</v>
      </c>
      <c r="B242" s="105" t="s">
        <v>692</v>
      </c>
      <c r="C242" s="105" t="s">
        <v>686</v>
      </c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</row>
    <row r="243" spans="1:15" ht="29" x14ac:dyDescent="0.35">
      <c r="A243" s="105" t="s">
        <v>655</v>
      </c>
      <c r="B243" s="105" t="s">
        <v>694</v>
      </c>
      <c r="C243" s="105" t="s">
        <v>686</v>
      </c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</row>
    <row r="244" spans="1:15" ht="29" x14ac:dyDescent="0.35">
      <c r="A244" s="105" t="s">
        <v>658</v>
      </c>
      <c r="B244" s="105" t="s">
        <v>696</v>
      </c>
      <c r="C244" s="105" t="s">
        <v>686</v>
      </c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</row>
    <row r="245" spans="1:15" ht="29" x14ac:dyDescent="0.35">
      <c r="A245" s="105" t="s">
        <v>660</v>
      </c>
      <c r="B245" s="105" t="s">
        <v>698</v>
      </c>
      <c r="C245" s="105" t="s">
        <v>686</v>
      </c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</row>
    <row r="246" spans="1:15" x14ac:dyDescent="0.35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</row>
    <row r="247" spans="1:15" x14ac:dyDescent="0.35">
      <c r="A247" s="166" t="s">
        <v>717</v>
      </c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2"/>
    </row>
    <row r="248" spans="1:15" ht="58" x14ac:dyDescent="0.35">
      <c r="A248" s="108" t="s">
        <v>700</v>
      </c>
      <c r="B248" s="108" t="s">
        <v>701</v>
      </c>
      <c r="C248" s="108" t="s">
        <v>390</v>
      </c>
      <c r="D248" s="108" t="s">
        <v>351</v>
      </c>
      <c r="E248" s="108" t="s">
        <v>352</v>
      </c>
      <c r="F248" s="108" t="s">
        <v>292</v>
      </c>
      <c r="G248" s="108" t="s">
        <v>619</v>
      </c>
      <c r="H248" s="108" t="s">
        <v>353</v>
      </c>
      <c r="I248" s="108" t="s">
        <v>610</v>
      </c>
      <c r="J248" s="105"/>
      <c r="K248" s="105"/>
      <c r="L248" s="105"/>
      <c r="M248" s="105"/>
      <c r="N248" s="105"/>
      <c r="O248" s="105"/>
    </row>
    <row r="249" spans="1:15" x14ac:dyDescent="0.35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</row>
    <row r="250" spans="1:15" x14ac:dyDescent="0.35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</row>
    <row r="251" spans="1:15" x14ac:dyDescent="0.35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</row>
    <row r="252" spans="1:15" x14ac:dyDescent="0.35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</row>
    <row r="253" spans="1:15" x14ac:dyDescent="0.35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</row>
    <row r="254" spans="1:15" x14ac:dyDescent="0.35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</row>
    <row r="255" spans="1:15" x14ac:dyDescent="0.3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</row>
    <row r="256" spans="1:15" x14ac:dyDescent="0.35">
      <c r="A256" s="167" t="s">
        <v>718</v>
      </c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2"/>
    </row>
    <row r="257" spans="1:15" ht="72.5" x14ac:dyDescent="0.35">
      <c r="A257" s="108" t="s">
        <v>600</v>
      </c>
      <c r="B257" s="108"/>
      <c r="C257" s="108" t="s">
        <v>601</v>
      </c>
      <c r="D257" s="108"/>
      <c r="E257" s="108" t="s">
        <v>602</v>
      </c>
      <c r="F257" s="108"/>
      <c r="G257" s="108" t="s">
        <v>603</v>
      </c>
      <c r="H257" s="108"/>
      <c r="I257" s="108" t="s">
        <v>604</v>
      </c>
      <c r="J257" s="108"/>
      <c r="K257" s="108" t="s">
        <v>6</v>
      </c>
      <c r="L257" s="108"/>
      <c r="M257" s="108" t="s">
        <v>605</v>
      </c>
      <c r="N257" s="108"/>
      <c r="O257" s="108"/>
    </row>
    <row r="258" spans="1:15" ht="72.5" x14ac:dyDescent="0.35">
      <c r="A258" s="108" t="s">
        <v>606</v>
      </c>
      <c r="B258" s="108"/>
      <c r="C258" s="108" t="s">
        <v>607</v>
      </c>
      <c r="D258" s="108"/>
      <c r="E258" s="108" t="s">
        <v>608</v>
      </c>
      <c r="F258" s="108"/>
      <c r="G258" s="108" t="s">
        <v>609</v>
      </c>
      <c r="H258" s="108"/>
      <c r="I258" s="108" t="s">
        <v>610</v>
      </c>
      <c r="J258" s="109">
        <f>IFERROR(COUNTIF(E261:E281,"Yes")/(COUNTIF(E261:E281,"Yes")+COUNTIF(F261:F281,"No")),0)</f>
        <v>0</v>
      </c>
      <c r="K258" s="108"/>
      <c r="L258" s="108" t="str">
        <f>IF(J258&gt;=0.9,"Green",IF(J258&gt;=0.75,"Amber","Red"))</f>
        <v>Red</v>
      </c>
      <c r="M258" s="108"/>
      <c r="N258" s="108"/>
      <c r="O258" s="108"/>
    </row>
    <row r="259" spans="1:15" x14ac:dyDescent="0.35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</row>
    <row r="260" spans="1:15" ht="29" x14ac:dyDescent="0.35">
      <c r="A260" s="110" t="s">
        <v>611</v>
      </c>
      <c r="B260" s="110" t="s">
        <v>612</v>
      </c>
      <c r="C260" s="110" t="s">
        <v>613</v>
      </c>
      <c r="D260" s="110" t="s">
        <v>614</v>
      </c>
      <c r="E260" s="110" t="s">
        <v>81</v>
      </c>
      <c r="F260" s="110" t="s">
        <v>615</v>
      </c>
      <c r="G260" s="110" t="s">
        <v>616</v>
      </c>
      <c r="H260" s="110" t="s">
        <v>617</v>
      </c>
      <c r="I260" s="110" t="s">
        <v>618</v>
      </c>
      <c r="J260" s="110" t="s">
        <v>390</v>
      </c>
      <c r="K260" s="110" t="s">
        <v>351</v>
      </c>
      <c r="L260" s="110" t="s">
        <v>352</v>
      </c>
      <c r="M260" s="110" t="s">
        <v>292</v>
      </c>
      <c r="N260" s="110" t="s">
        <v>353</v>
      </c>
      <c r="O260" s="110" t="s">
        <v>619</v>
      </c>
    </row>
    <row r="261" spans="1:15" ht="29" x14ac:dyDescent="0.35">
      <c r="A261" s="105" t="s">
        <v>620</v>
      </c>
      <c r="B261" s="105" t="s">
        <v>814</v>
      </c>
      <c r="C261" s="105" t="s">
        <v>622</v>
      </c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</row>
    <row r="262" spans="1:15" ht="29" x14ac:dyDescent="0.35">
      <c r="A262" s="105" t="s">
        <v>623</v>
      </c>
      <c r="B262" s="105" t="s">
        <v>815</v>
      </c>
      <c r="C262" s="105" t="s">
        <v>622</v>
      </c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</row>
    <row r="263" spans="1:15" ht="29" x14ac:dyDescent="0.35">
      <c r="A263" s="105" t="s">
        <v>625</v>
      </c>
      <c r="B263" s="105" t="s">
        <v>816</v>
      </c>
      <c r="C263" s="105" t="s">
        <v>622</v>
      </c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</row>
    <row r="264" spans="1:15" ht="29" x14ac:dyDescent="0.35">
      <c r="A264" s="105" t="s">
        <v>627</v>
      </c>
      <c r="B264" s="105" t="s">
        <v>817</v>
      </c>
      <c r="C264" s="105" t="s">
        <v>622</v>
      </c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</row>
    <row r="265" spans="1:15" ht="29" x14ac:dyDescent="0.35">
      <c r="A265" s="105" t="s">
        <v>629</v>
      </c>
      <c r="B265" s="105" t="s">
        <v>818</v>
      </c>
      <c r="C265" s="105" t="s">
        <v>622</v>
      </c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</row>
    <row r="266" spans="1:15" ht="29" x14ac:dyDescent="0.35">
      <c r="A266" s="105" t="s">
        <v>631</v>
      </c>
      <c r="B266" s="105" t="s">
        <v>819</v>
      </c>
      <c r="C266" s="105" t="s">
        <v>622</v>
      </c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</row>
    <row r="267" spans="1:15" ht="29" x14ac:dyDescent="0.35">
      <c r="A267" s="105" t="s">
        <v>633</v>
      </c>
      <c r="B267" s="105" t="s">
        <v>823</v>
      </c>
      <c r="C267" s="105" t="s">
        <v>622</v>
      </c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</row>
    <row r="268" spans="1:15" x14ac:dyDescent="0.35">
      <c r="A268" s="105" t="s">
        <v>635</v>
      </c>
      <c r="B268" s="105" t="s">
        <v>824</v>
      </c>
      <c r="C268" s="105" t="s">
        <v>743</v>
      </c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</row>
    <row r="269" spans="1:15" ht="29" x14ac:dyDescent="0.35">
      <c r="A269" s="105" t="s">
        <v>637</v>
      </c>
      <c r="B269" s="105" t="s">
        <v>825</v>
      </c>
      <c r="C269" s="105" t="s">
        <v>622</v>
      </c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</row>
    <row r="270" spans="1:15" x14ac:dyDescent="0.35">
      <c r="A270" s="105" t="s">
        <v>639</v>
      </c>
      <c r="B270" s="105" t="s">
        <v>820</v>
      </c>
      <c r="C270" s="105" t="s">
        <v>622</v>
      </c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</row>
    <row r="271" spans="1:15" ht="29" x14ac:dyDescent="0.35">
      <c r="A271" s="105" t="s">
        <v>641</v>
      </c>
      <c r="B271" s="105" t="s">
        <v>821</v>
      </c>
      <c r="C271" s="105" t="s">
        <v>622</v>
      </c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</row>
    <row r="272" spans="1:15" ht="29" x14ac:dyDescent="0.35">
      <c r="A272" s="105" t="s">
        <v>643</v>
      </c>
      <c r="B272" s="105" t="s">
        <v>822</v>
      </c>
      <c r="C272" s="105" t="s">
        <v>622</v>
      </c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</row>
    <row r="273" spans="1:15" ht="29" x14ac:dyDescent="0.35">
      <c r="A273" s="105" t="s">
        <v>644</v>
      </c>
      <c r="B273" s="105" t="s">
        <v>706</v>
      </c>
      <c r="C273" s="105" t="s">
        <v>622</v>
      </c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</row>
    <row r="274" spans="1:15" ht="29" x14ac:dyDescent="0.35">
      <c r="A274" s="105" t="s">
        <v>645</v>
      </c>
      <c r="B274" s="105" t="s">
        <v>682</v>
      </c>
      <c r="C274" s="105" t="s">
        <v>683</v>
      </c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</row>
    <row r="275" spans="1:15" ht="29" x14ac:dyDescent="0.35">
      <c r="A275" s="105" t="s">
        <v>646</v>
      </c>
      <c r="B275" s="105" t="s">
        <v>685</v>
      </c>
      <c r="C275" s="105" t="s">
        <v>686</v>
      </c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</row>
    <row r="276" spans="1:15" ht="29" x14ac:dyDescent="0.35">
      <c r="A276" s="105" t="s">
        <v>649</v>
      </c>
      <c r="B276" s="105" t="s">
        <v>688</v>
      </c>
      <c r="C276" s="105" t="s">
        <v>686</v>
      </c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</row>
    <row r="277" spans="1:15" ht="29" x14ac:dyDescent="0.35">
      <c r="A277" s="105" t="s">
        <v>651</v>
      </c>
      <c r="B277" s="105" t="s">
        <v>690</v>
      </c>
      <c r="C277" s="105" t="s">
        <v>686</v>
      </c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</row>
    <row r="278" spans="1:15" ht="29" x14ac:dyDescent="0.35">
      <c r="A278" s="105" t="s">
        <v>653</v>
      </c>
      <c r="B278" s="105" t="s">
        <v>692</v>
      </c>
      <c r="C278" s="105" t="s">
        <v>686</v>
      </c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</row>
    <row r="279" spans="1:15" ht="29" x14ac:dyDescent="0.35">
      <c r="A279" s="105" t="s">
        <v>655</v>
      </c>
      <c r="B279" s="105" t="s">
        <v>694</v>
      </c>
      <c r="C279" s="105" t="s">
        <v>686</v>
      </c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</row>
    <row r="280" spans="1:15" ht="29" x14ac:dyDescent="0.35">
      <c r="A280" s="105" t="s">
        <v>658</v>
      </c>
      <c r="B280" s="105" t="s">
        <v>696</v>
      </c>
      <c r="C280" s="105" t="s">
        <v>686</v>
      </c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</row>
    <row r="281" spans="1:15" ht="29" x14ac:dyDescent="0.35">
      <c r="A281" s="105" t="s">
        <v>660</v>
      </c>
      <c r="B281" s="105" t="s">
        <v>698</v>
      </c>
      <c r="C281" s="105" t="s">
        <v>686</v>
      </c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</row>
    <row r="282" spans="1:15" x14ac:dyDescent="0.35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</row>
    <row r="283" spans="1:15" x14ac:dyDescent="0.35">
      <c r="A283" s="166" t="s">
        <v>719</v>
      </c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2"/>
    </row>
    <row r="284" spans="1:15" ht="58" x14ac:dyDescent="0.35">
      <c r="A284" s="108" t="s">
        <v>700</v>
      </c>
      <c r="B284" s="108" t="s">
        <v>701</v>
      </c>
      <c r="C284" s="108" t="s">
        <v>390</v>
      </c>
      <c r="D284" s="108" t="s">
        <v>351</v>
      </c>
      <c r="E284" s="108" t="s">
        <v>352</v>
      </c>
      <c r="F284" s="108" t="s">
        <v>292</v>
      </c>
      <c r="G284" s="108" t="s">
        <v>619</v>
      </c>
      <c r="H284" s="108" t="s">
        <v>353</v>
      </c>
      <c r="I284" s="108" t="s">
        <v>610</v>
      </c>
      <c r="J284" s="105"/>
      <c r="K284" s="105"/>
      <c r="L284" s="105"/>
      <c r="M284" s="105"/>
      <c r="N284" s="105"/>
      <c r="O284" s="105"/>
    </row>
    <row r="285" spans="1:15" x14ac:dyDescent="0.3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</row>
    <row r="286" spans="1:15" x14ac:dyDescent="0.35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</row>
    <row r="287" spans="1:15" x14ac:dyDescent="0.35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</row>
    <row r="288" spans="1:15" x14ac:dyDescent="0.35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</row>
    <row r="289" spans="1:15" x14ac:dyDescent="0.35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</row>
    <row r="290" spans="1:15" x14ac:dyDescent="0.35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</row>
    <row r="291" spans="1:15" x14ac:dyDescent="0.35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</row>
    <row r="292" spans="1:15" x14ac:dyDescent="0.35">
      <c r="A292" s="167" t="s">
        <v>720</v>
      </c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2"/>
    </row>
    <row r="293" spans="1:15" ht="72.5" x14ac:dyDescent="0.35">
      <c r="A293" s="108" t="s">
        <v>600</v>
      </c>
      <c r="B293" s="108"/>
      <c r="C293" s="108" t="s">
        <v>601</v>
      </c>
      <c r="D293" s="108"/>
      <c r="E293" s="108" t="s">
        <v>602</v>
      </c>
      <c r="F293" s="108"/>
      <c r="G293" s="108" t="s">
        <v>603</v>
      </c>
      <c r="H293" s="108"/>
      <c r="I293" s="108" t="s">
        <v>604</v>
      </c>
      <c r="J293" s="108"/>
      <c r="K293" s="108" t="s">
        <v>6</v>
      </c>
      <c r="L293" s="108"/>
      <c r="M293" s="108" t="s">
        <v>605</v>
      </c>
      <c r="N293" s="108"/>
      <c r="O293" s="108"/>
    </row>
    <row r="294" spans="1:15" ht="72.5" x14ac:dyDescent="0.35">
      <c r="A294" s="108" t="s">
        <v>606</v>
      </c>
      <c r="B294" s="108"/>
      <c r="C294" s="108" t="s">
        <v>607</v>
      </c>
      <c r="D294" s="108"/>
      <c r="E294" s="108" t="s">
        <v>608</v>
      </c>
      <c r="F294" s="108"/>
      <c r="G294" s="108" t="s">
        <v>609</v>
      </c>
      <c r="H294" s="108"/>
      <c r="I294" s="108" t="s">
        <v>610</v>
      </c>
      <c r="J294" s="109">
        <f>IFERROR(COUNTIF(E297:E317,"Yes")/(COUNTIF(E297:E317,"Yes")+COUNTIF(F297:F317,"No")),0)</f>
        <v>0</v>
      </c>
      <c r="K294" s="108"/>
      <c r="L294" s="108" t="str">
        <f>IF(J294&gt;=0.9,"Green",IF(J294&gt;=0.75,"Amber","Red"))</f>
        <v>Red</v>
      </c>
      <c r="M294" s="108"/>
      <c r="N294" s="108"/>
      <c r="O294" s="108"/>
    </row>
    <row r="295" spans="1:15" x14ac:dyDescent="0.3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</row>
    <row r="296" spans="1:15" ht="29" x14ac:dyDescent="0.35">
      <c r="A296" s="110" t="s">
        <v>611</v>
      </c>
      <c r="B296" s="110" t="s">
        <v>612</v>
      </c>
      <c r="C296" s="110" t="s">
        <v>613</v>
      </c>
      <c r="D296" s="110" t="s">
        <v>614</v>
      </c>
      <c r="E296" s="110" t="s">
        <v>81</v>
      </c>
      <c r="F296" s="110" t="s">
        <v>615</v>
      </c>
      <c r="G296" s="110" t="s">
        <v>616</v>
      </c>
      <c r="H296" s="110" t="s">
        <v>617</v>
      </c>
      <c r="I296" s="110" t="s">
        <v>618</v>
      </c>
      <c r="J296" s="110" t="s">
        <v>390</v>
      </c>
      <c r="K296" s="110" t="s">
        <v>351</v>
      </c>
      <c r="L296" s="110" t="s">
        <v>352</v>
      </c>
      <c r="M296" s="110" t="s">
        <v>292</v>
      </c>
      <c r="N296" s="110" t="s">
        <v>353</v>
      </c>
      <c r="O296" s="110" t="s">
        <v>619</v>
      </c>
    </row>
    <row r="297" spans="1:15" ht="29" x14ac:dyDescent="0.35">
      <c r="A297" s="105" t="s">
        <v>620</v>
      </c>
      <c r="B297" s="105" t="s">
        <v>814</v>
      </c>
      <c r="C297" s="105" t="s">
        <v>622</v>
      </c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</row>
    <row r="298" spans="1:15" ht="29" x14ac:dyDescent="0.35">
      <c r="A298" s="105" t="s">
        <v>623</v>
      </c>
      <c r="B298" s="105" t="s">
        <v>815</v>
      </c>
      <c r="C298" s="105" t="s">
        <v>622</v>
      </c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</row>
    <row r="299" spans="1:15" ht="29" x14ac:dyDescent="0.35">
      <c r="A299" s="105" t="s">
        <v>625</v>
      </c>
      <c r="B299" s="105" t="s">
        <v>816</v>
      </c>
      <c r="C299" s="105" t="s">
        <v>622</v>
      </c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</row>
    <row r="300" spans="1:15" ht="29" x14ac:dyDescent="0.35">
      <c r="A300" s="105" t="s">
        <v>627</v>
      </c>
      <c r="B300" s="105" t="s">
        <v>817</v>
      </c>
      <c r="C300" s="105" t="s">
        <v>622</v>
      </c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</row>
    <row r="301" spans="1:15" ht="29" x14ac:dyDescent="0.35">
      <c r="A301" s="105" t="s">
        <v>629</v>
      </c>
      <c r="B301" s="105" t="s">
        <v>818</v>
      </c>
      <c r="C301" s="105" t="s">
        <v>622</v>
      </c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</row>
    <row r="302" spans="1:15" ht="29" x14ac:dyDescent="0.35">
      <c r="A302" s="105" t="s">
        <v>631</v>
      </c>
      <c r="B302" s="105" t="s">
        <v>819</v>
      </c>
      <c r="C302" s="105" t="s">
        <v>622</v>
      </c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</row>
    <row r="303" spans="1:15" ht="29" x14ac:dyDescent="0.35">
      <c r="A303" s="105" t="s">
        <v>633</v>
      </c>
      <c r="B303" s="105" t="s">
        <v>823</v>
      </c>
      <c r="C303" s="105" t="s">
        <v>622</v>
      </c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</row>
    <row r="304" spans="1:15" x14ac:dyDescent="0.35">
      <c r="A304" s="105" t="s">
        <v>635</v>
      </c>
      <c r="B304" s="105" t="s">
        <v>824</v>
      </c>
      <c r="C304" s="105" t="s">
        <v>743</v>
      </c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</row>
    <row r="305" spans="1:15" ht="29" x14ac:dyDescent="0.35">
      <c r="A305" s="105" t="s">
        <v>637</v>
      </c>
      <c r="B305" s="105" t="s">
        <v>825</v>
      </c>
      <c r="C305" s="105" t="s">
        <v>622</v>
      </c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</row>
    <row r="306" spans="1:15" x14ac:dyDescent="0.35">
      <c r="A306" s="105" t="s">
        <v>639</v>
      </c>
      <c r="B306" s="105" t="s">
        <v>820</v>
      </c>
      <c r="C306" s="105" t="s">
        <v>622</v>
      </c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</row>
    <row r="307" spans="1:15" ht="29" x14ac:dyDescent="0.35">
      <c r="A307" s="105" t="s">
        <v>641</v>
      </c>
      <c r="B307" s="105" t="s">
        <v>821</v>
      </c>
      <c r="C307" s="105" t="s">
        <v>622</v>
      </c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</row>
    <row r="308" spans="1:15" ht="29" x14ac:dyDescent="0.35">
      <c r="A308" s="105" t="s">
        <v>643</v>
      </c>
      <c r="B308" s="105" t="s">
        <v>822</v>
      </c>
      <c r="C308" s="105" t="s">
        <v>622</v>
      </c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</row>
    <row r="309" spans="1:15" ht="29" x14ac:dyDescent="0.35">
      <c r="A309" s="105" t="s">
        <v>644</v>
      </c>
      <c r="B309" s="105" t="s">
        <v>706</v>
      </c>
      <c r="C309" s="105" t="s">
        <v>622</v>
      </c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</row>
    <row r="310" spans="1:15" ht="29" x14ac:dyDescent="0.35">
      <c r="A310" s="105" t="s">
        <v>645</v>
      </c>
      <c r="B310" s="105" t="s">
        <v>682</v>
      </c>
      <c r="C310" s="105" t="s">
        <v>683</v>
      </c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</row>
    <row r="311" spans="1:15" ht="29" x14ac:dyDescent="0.35">
      <c r="A311" s="105" t="s">
        <v>646</v>
      </c>
      <c r="B311" s="105" t="s">
        <v>685</v>
      </c>
      <c r="C311" s="105" t="s">
        <v>686</v>
      </c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</row>
    <row r="312" spans="1:15" ht="29" x14ac:dyDescent="0.35">
      <c r="A312" s="105" t="s">
        <v>649</v>
      </c>
      <c r="B312" s="105" t="s">
        <v>688</v>
      </c>
      <c r="C312" s="105" t="s">
        <v>686</v>
      </c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</row>
    <row r="313" spans="1:15" ht="29" x14ac:dyDescent="0.35">
      <c r="A313" s="105" t="s">
        <v>651</v>
      </c>
      <c r="B313" s="105" t="s">
        <v>690</v>
      </c>
      <c r="C313" s="105" t="s">
        <v>686</v>
      </c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</row>
    <row r="314" spans="1:15" ht="29" x14ac:dyDescent="0.35">
      <c r="A314" s="105" t="s">
        <v>653</v>
      </c>
      <c r="B314" s="105" t="s">
        <v>692</v>
      </c>
      <c r="C314" s="105" t="s">
        <v>686</v>
      </c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</row>
    <row r="315" spans="1:15" ht="29" x14ac:dyDescent="0.35">
      <c r="A315" s="105" t="s">
        <v>655</v>
      </c>
      <c r="B315" s="105" t="s">
        <v>694</v>
      </c>
      <c r="C315" s="105" t="s">
        <v>686</v>
      </c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</row>
    <row r="316" spans="1:15" ht="29" x14ac:dyDescent="0.35">
      <c r="A316" s="105" t="s">
        <v>658</v>
      </c>
      <c r="B316" s="105" t="s">
        <v>696</v>
      </c>
      <c r="C316" s="105" t="s">
        <v>686</v>
      </c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</row>
    <row r="317" spans="1:15" ht="29" x14ac:dyDescent="0.35">
      <c r="A317" s="105" t="s">
        <v>660</v>
      </c>
      <c r="B317" s="105" t="s">
        <v>698</v>
      </c>
      <c r="C317" s="105" t="s">
        <v>686</v>
      </c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</row>
    <row r="318" spans="1:15" x14ac:dyDescent="0.35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</row>
    <row r="319" spans="1:15" x14ac:dyDescent="0.35">
      <c r="A319" s="166" t="s">
        <v>721</v>
      </c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2"/>
    </row>
    <row r="320" spans="1:15" ht="58" x14ac:dyDescent="0.35">
      <c r="A320" s="108" t="s">
        <v>700</v>
      </c>
      <c r="B320" s="108" t="s">
        <v>701</v>
      </c>
      <c r="C320" s="108" t="s">
        <v>390</v>
      </c>
      <c r="D320" s="108" t="s">
        <v>351</v>
      </c>
      <c r="E320" s="108" t="s">
        <v>352</v>
      </c>
      <c r="F320" s="108" t="s">
        <v>292</v>
      </c>
      <c r="G320" s="108" t="s">
        <v>619</v>
      </c>
      <c r="H320" s="108" t="s">
        <v>353</v>
      </c>
      <c r="I320" s="108" t="s">
        <v>610</v>
      </c>
      <c r="J320" s="105"/>
      <c r="K320" s="105"/>
      <c r="L320" s="105"/>
      <c r="M320" s="105"/>
      <c r="N320" s="105"/>
      <c r="O320" s="105"/>
    </row>
    <row r="321" spans="1:15" x14ac:dyDescent="0.35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</row>
    <row r="322" spans="1:15" x14ac:dyDescent="0.35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</row>
    <row r="323" spans="1:15" x14ac:dyDescent="0.35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</row>
    <row r="324" spans="1:15" x14ac:dyDescent="0.35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</row>
    <row r="325" spans="1:15" x14ac:dyDescent="0.3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</row>
    <row r="326" spans="1:15" x14ac:dyDescent="0.35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</row>
    <row r="327" spans="1:15" x14ac:dyDescent="0.35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</row>
    <row r="328" spans="1:15" x14ac:dyDescent="0.35">
      <c r="A328" s="167" t="s">
        <v>722</v>
      </c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2"/>
    </row>
    <row r="329" spans="1:15" ht="72.5" x14ac:dyDescent="0.35">
      <c r="A329" s="108" t="s">
        <v>600</v>
      </c>
      <c r="B329" s="108"/>
      <c r="C329" s="108" t="s">
        <v>601</v>
      </c>
      <c r="D329" s="108"/>
      <c r="E329" s="108" t="s">
        <v>602</v>
      </c>
      <c r="F329" s="108"/>
      <c r="G329" s="108" t="s">
        <v>603</v>
      </c>
      <c r="H329" s="108"/>
      <c r="I329" s="108" t="s">
        <v>604</v>
      </c>
      <c r="J329" s="108"/>
      <c r="K329" s="108" t="s">
        <v>6</v>
      </c>
      <c r="L329" s="108"/>
      <c r="M329" s="108" t="s">
        <v>605</v>
      </c>
      <c r="N329" s="108"/>
      <c r="O329" s="108"/>
    </row>
    <row r="330" spans="1:15" ht="72.5" x14ac:dyDescent="0.35">
      <c r="A330" s="108" t="s">
        <v>606</v>
      </c>
      <c r="B330" s="108"/>
      <c r="C330" s="108" t="s">
        <v>607</v>
      </c>
      <c r="D330" s="108"/>
      <c r="E330" s="108" t="s">
        <v>608</v>
      </c>
      <c r="F330" s="108"/>
      <c r="G330" s="108" t="s">
        <v>609</v>
      </c>
      <c r="H330" s="108"/>
      <c r="I330" s="108" t="s">
        <v>610</v>
      </c>
      <c r="J330" s="109">
        <f>IFERROR(COUNTIF(E333:E353,"Yes")/(COUNTIF(E333:E353,"Yes")+COUNTIF(F333:F353,"No")),0)</f>
        <v>0</v>
      </c>
      <c r="K330" s="108"/>
      <c r="L330" s="108" t="str">
        <f>IF(J330&gt;=0.9,"Green",IF(J330&gt;=0.75,"Amber","Red"))</f>
        <v>Red</v>
      </c>
      <c r="M330" s="108"/>
      <c r="N330" s="108"/>
      <c r="O330" s="108"/>
    </row>
    <row r="331" spans="1:15" x14ac:dyDescent="0.35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</row>
    <row r="332" spans="1:15" ht="29" x14ac:dyDescent="0.35">
      <c r="A332" s="110" t="s">
        <v>611</v>
      </c>
      <c r="B332" s="110" t="s">
        <v>612</v>
      </c>
      <c r="C332" s="110" t="s">
        <v>613</v>
      </c>
      <c r="D332" s="110" t="s">
        <v>614</v>
      </c>
      <c r="E332" s="110" t="s">
        <v>81</v>
      </c>
      <c r="F332" s="110" t="s">
        <v>615</v>
      </c>
      <c r="G332" s="110" t="s">
        <v>616</v>
      </c>
      <c r="H332" s="110" t="s">
        <v>617</v>
      </c>
      <c r="I332" s="110" t="s">
        <v>618</v>
      </c>
      <c r="J332" s="110" t="s">
        <v>390</v>
      </c>
      <c r="K332" s="110" t="s">
        <v>351</v>
      </c>
      <c r="L332" s="110" t="s">
        <v>352</v>
      </c>
      <c r="M332" s="110" t="s">
        <v>292</v>
      </c>
      <c r="N332" s="110" t="s">
        <v>353</v>
      </c>
      <c r="O332" s="110" t="s">
        <v>619</v>
      </c>
    </row>
    <row r="333" spans="1:15" ht="29" x14ac:dyDescent="0.35">
      <c r="A333" s="105" t="s">
        <v>620</v>
      </c>
      <c r="B333" s="105" t="s">
        <v>814</v>
      </c>
      <c r="C333" s="105" t="s">
        <v>622</v>
      </c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</row>
    <row r="334" spans="1:15" ht="29" x14ac:dyDescent="0.35">
      <c r="A334" s="105" t="s">
        <v>623</v>
      </c>
      <c r="B334" s="105" t="s">
        <v>815</v>
      </c>
      <c r="C334" s="105" t="s">
        <v>622</v>
      </c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</row>
    <row r="335" spans="1:15" ht="29" x14ac:dyDescent="0.35">
      <c r="A335" s="105" t="s">
        <v>625</v>
      </c>
      <c r="B335" s="105" t="s">
        <v>816</v>
      </c>
      <c r="C335" s="105" t="s">
        <v>622</v>
      </c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</row>
    <row r="336" spans="1:15" ht="29" x14ac:dyDescent="0.35">
      <c r="A336" s="105" t="s">
        <v>627</v>
      </c>
      <c r="B336" s="105" t="s">
        <v>817</v>
      </c>
      <c r="C336" s="105" t="s">
        <v>622</v>
      </c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</row>
    <row r="337" spans="1:15" ht="29" x14ac:dyDescent="0.35">
      <c r="A337" s="105" t="s">
        <v>629</v>
      </c>
      <c r="B337" s="105" t="s">
        <v>818</v>
      </c>
      <c r="C337" s="105" t="s">
        <v>622</v>
      </c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</row>
    <row r="338" spans="1:15" ht="29" x14ac:dyDescent="0.35">
      <c r="A338" s="105" t="s">
        <v>631</v>
      </c>
      <c r="B338" s="105" t="s">
        <v>819</v>
      </c>
      <c r="C338" s="105" t="s">
        <v>622</v>
      </c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</row>
    <row r="339" spans="1:15" ht="29" x14ac:dyDescent="0.35">
      <c r="A339" s="105" t="s">
        <v>633</v>
      </c>
      <c r="B339" s="105" t="s">
        <v>823</v>
      </c>
      <c r="C339" s="105" t="s">
        <v>622</v>
      </c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</row>
    <row r="340" spans="1:15" x14ac:dyDescent="0.35">
      <c r="A340" s="105" t="s">
        <v>635</v>
      </c>
      <c r="B340" s="105" t="s">
        <v>824</v>
      </c>
      <c r="C340" s="105" t="s">
        <v>743</v>
      </c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</row>
    <row r="341" spans="1:15" ht="29" x14ac:dyDescent="0.35">
      <c r="A341" s="105" t="s">
        <v>637</v>
      </c>
      <c r="B341" s="105" t="s">
        <v>825</v>
      </c>
      <c r="C341" s="105" t="s">
        <v>622</v>
      </c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</row>
    <row r="342" spans="1:15" x14ac:dyDescent="0.35">
      <c r="A342" s="105" t="s">
        <v>639</v>
      </c>
      <c r="B342" s="105" t="s">
        <v>820</v>
      </c>
      <c r="C342" s="105" t="s">
        <v>622</v>
      </c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</row>
    <row r="343" spans="1:15" ht="29" x14ac:dyDescent="0.35">
      <c r="A343" s="105" t="s">
        <v>641</v>
      </c>
      <c r="B343" s="105" t="s">
        <v>821</v>
      </c>
      <c r="C343" s="105" t="s">
        <v>622</v>
      </c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</row>
    <row r="344" spans="1:15" ht="29" x14ac:dyDescent="0.35">
      <c r="A344" s="105" t="s">
        <v>643</v>
      </c>
      <c r="B344" s="105" t="s">
        <v>822</v>
      </c>
      <c r="C344" s="105" t="s">
        <v>622</v>
      </c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</row>
    <row r="345" spans="1:15" ht="29" x14ac:dyDescent="0.35">
      <c r="A345" s="105" t="s">
        <v>644</v>
      </c>
      <c r="B345" s="105" t="s">
        <v>706</v>
      </c>
      <c r="C345" s="105" t="s">
        <v>622</v>
      </c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</row>
    <row r="346" spans="1:15" ht="29" x14ac:dyDescent="0.35">
      <c r="A346" s="105" t="s">
        <v>645</v>
      </c>
      <c r="B346" s="105" t="s">
        <v>682</v>
      </c>
      <c r="C346" s="105" t="s">
        <v>683</v>
      </c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</row>
    <row r="347" spans="1:15" ht="29" x14ac:dyDescent="0.35">
      <c r="A347" s="105" t="s">
        <v>646</v>
      </c>
      <c r="B347" s="105" t="s">
        <v>685</v>
      </c>
      <c r="C347" s="105" t="s">
        <v>686</v>
      </c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</row>
    <row r="348" spans="1:15" ht="29" x14ac:dyDescent="0.35">
      <c r="A348" s="105" t="s">
        <v>649</v>
      </c>
      <c r="B348" s="105" t="s">
        <v>688</v>
      </c>
      <c r="C348" s="105" t="s">
        <v>686</v>
      </c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</row>
    <row r="349" spans="1:15" ht="29" x14ac:dyDescent="0.35">
      <c r="A349" s="105" t="s">
        <v>651</v>
      </c>
      <c r="B349" s="105" t="s">
        <v>690</v>
      </c>
      <c r="C349" s="105" t="s">
        <v>686</v>
      </c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</row>
    <row r="350" spans="1:15" ht="29" x14ac:dyDescent="0.35">
      <c r="A350" s="105" t="s">
        <v>653</v>
      </c>
      <c r="B350" s="105" t="s">
        <v>692</v>
      </c>
      <c r="C350" s="105" t="s">
        <v>686</v>
      </c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</row>
    <row r="351" spans="1:15" ht="29" x14ac:dyDescent="0.35">
      <c r="A351" s="105" t="s">
        <v>655</v>
      </c>
      <c r="B351" s="105" t="s">
        <v>694</v>
      </c>
      <c r="C351" s="105" t="s">
        <v>686</v>
      </c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</row>
    <row r="352" spans="1:15" ht="29" x14ac:dyDescent="0.35">
      <c r="A352" s="105" t="s">
        <v>658</v>
      </c>
      <c r="B352" s="105" t="s">
        <v>696</v>
      </c>
      <c r="C352" s="105" t="s">
        <v>686</v>
      </c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</row>
    <row r="353" spans="1:15" ht="29" x14ac:dyDescent="0.35">
      <c r="A353" s="105" t="s">
        <v>660</v>
      </c>
      <c r="B353" s="105" t="s">
        <v>698</v>
      </c>
      <c r="C353" s="105" t="s">
        <v>686</v>
      </c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</row>
    <row r="354" spans="1:15" x14ac:dyDescent="0.35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</row>
    <row r="355" spans="1:15" x14ac:dyDescent="0.35">
      <c r="A355" s="166" t="s">
        <v>723</v>
      </c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2"/>
    </row>
    <row r="356" spans="1:15" ht="58" x14ac:dyDescent="0.35">
      <c r="A356" s="108" t="s">
        <v>700</v>
      </c>
      <c r="B356" s="108" t="s">
        <v>701</v>
      </c>
      <c r="C356" s="108" t="s">
        <v>390</v>
      </c>
      <c r="D356" s="108" t="s">
        <v>351</v>
      </c>
      <c r="E356" s="108" t="s">
        <v>352</v>
      </c>
      <c r="F356" s="108" t="s">
        <v>292</v>
      </c>
      <c r="G356" s="108" t="s">
        <v>619</v>
      </c>
      <c r="H356" s="108" t="s">
        <v>353</v>
      </c>
      <c r="I356" s="108" t="s">
        <v>610</v>
      </c>
      <c r="J356" s="105"/>
      <c r="K356" s="105"/>
      <c r="L356" s="105"/>
      <c r="M356" s="105"/>
      <c r="N356" s="105"/>
      <c r="O356" s="105"/>
    </row>
    <row r="357" spans="1:15" x14ac:dyDescent="0.35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</row>
    <row r="358" spans="1:15" x14ac:dyDescent="0.35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</row>
    <row r="359" spans="1:15" x14ac:dyDescent="0.35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</row>
    <row r="360" spans="1:15" x14ac:dyDescent="0.35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</row>
    <row r="361" spans="1:15" x14ac:dyDescent="0.35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</row>
    <row r="362" spans="1:15" x14ac:dyDescent="0.35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</row>
    <row r="363" spans="1:15" x14ac:dyDescent="0.35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</row>
    <row r="364" spans="1:15" x14ac:dyDescent="0.35">
      <c r="A364" s="167" t="s">
        <v>724</v>
      </c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2"/>
    </row>
    <row r="365" spans="1:15" ht="72.5" x14ac:dyDescent="0.35">
      <c r="A365" s="108" t="s">
        <v>600</v>
      </c>
      <c r="B365" s="108"/>
      <c r="C365" s="108" t="s">
        <v>601</v>
      </c>
      <c r="D365" s="108"/>
      <c r="E365" s="108" t="s">
        <v>602</v>
      </c>
      <c r="F365" s="108"/>
      <c r="G365" s="108" t="s">
        <v>603</v>
      </c>
      <c r="H365" s="108"/>
      <c r="I365" s="108" t="s">
        <v>604</v>
      </c>
      <c r="J365" s="108"/>
      <c r="K365" s="108" t="s">
        <v>6</v>
      </c>
      <c r="L365" s="108"/>
      <c r="M365" s="108" t="s">
        <v>605</v>
      </c>
      <c r="N365" s="108"/>
      <c r="O365" s="108"/>
    </row>
    <row r="366" spans="1:15" ht="72.5" x14ac:dyDescent="0.35">
      <c r="A366" s="108" t="s">
        <v>606</v>
      </c>
      <c r="B366" s="108"/>
      <c r="C366" s="108" t="s">
        <v>607</v>
      </c>
      <c r="D366" s="108"/>
      <c r="E366" s="108" t="s">
        <v>608</v>
      </c>
      <c r="F366" s="108"/>
      <c r="G366" s="108" t="s">
        <v>609</v>
      </c>
      <c r="H366" s="108"/>
      <c r="I366" s="108" t="s">
        <v>610</v>
      </c>
      <c r="J366" s="109">
        <f>IFERROR(COUNTIF(E369:E389,"Yes")/(COUNTIF(E369:E389,"Yes")+COUNTIF(F369:F389,"No")),0)</f>
        <v>0</v>
      </c>
      <c r="K366" s="108"/>
      <c r="L366" s="108" t="str">
        <f>IF(J366&gt;=0.9,"Green",IF(J366&gt;=0.75,"Amber","Red"))</f>
        <v>Red</v>
      </c>
      <c r="M366" s="108"/>
      <c r="N366" s="108"/>
      <c r="O366" s="108"/>
    </row>
    <row r="367" spans="1:15" x14ac:dyDescent="0.35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</row>
    <row r="368" spans="1:15" ht="29" x14ac:dyDescent="0.35">
      <c r="A368" s="110" t="s">
        <v>611</v>
      </c>
      <c r="B368" s="110" t="s">
        <v>612</v>
      </c>
      <c r="C368" s="110" t="s">
        <v>613</v>
      </c>
      <c r="D368" s="110" t="s">
        <v>614</v>
      </c>
      <c r="E368" s="110" t="s">
        <v>81</v>
      </c>
      <c r="F368" s="110" t="s">
        <v>615</v>
      </c>
      <c r="G368" s="110" t="s">
        <v>616</v>
      </c>
      <c r="H368" s="110" t="s">
        <v>617</v>
      </c>
      <c r="I368" s="110" t="s">
        <v>618</v>
      </c>
      <c r="J368" s="110" t="s">
        <v>390</v>
      </c>
      <c r="K368" s="110" t="s">
        <v>351</v>
      </c>
      <c r="L368" s="110" t="s">
        <v>352</v>
      </c>
      <c r="M368" s="110" t="s">
        <v>292</v>
      </c>
      <c r="N368" s="110" t="s">
        <v>353</v>
      </c>
      <c r="O368" s="110" t="s">
        <v>619</v>
      </c>
    </row>
    <row r="369" spans="1:15" ht="29" x14ac:dyDescent="0.35">
      <c r="A369" s="105" t="s">
        <v>620</v>
      </c>
      <c r="B369" s="105" t="s">
        <v>814</v>
      </c>
      <c r="C369" s="105" t="s">
        <v>622</v>
      </c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</row>
    <row r="370" spans="1:15" ht="29" x14ac:dyDescent="0.35">
      <c r="A370" s="105" t="s">
        <v>623</v>
      </c>
      <c r="B370" s="105" t="s">
        <v>815</v>
      </c>
      <c r="C370" s="105" t="s">
        <v>622</v>
      </c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</row>
    <row r="371" spans="1:15" ht="29" x14ac:dyDescent="0.35">
      <c r="A371" s="105" t="s">
        <v>625</v>
      </c>
      <c r="B371" s="105" t="s">
        <v>816</v>
      </c>
      <c r="C371" s="105" t="s">
        <v>622</v>
      </c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</row>
    <row r="372" spans="1:15" ht="29" x14ac:dyDescent="0.35">
      <c r="A372" s="105" t="s">
        <v>627</v>
      </c>
      <c r="B372" s="105" t="s">
        <v>817</v>
      </c>
      <c r="C372" s="105" t="s">
        <v>622</v>
      </c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</row>
    <row r="373" spans="1:15" ht="29" x14ac:dyDescent="0.35">
      <c r="A373" s="105" t="s">
        <v>629</v>
      </c>
      <c r="B373" s="105" t="s">
        <v>818</v>
      </c>
      <c r="C373" s="105" t="s">
        <v>622</v>
      </c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</row>
    <row r="374" spans="1:15" ht="29" x14ac:dyDescent="0.35">
      <c r="A374" s="105" t="s">
        <v>631</v>
      </c>
      <c r="B374" s="105" t="s">
        <v>819</v>
      </c>
      <c r="C374" s="105" t="s">
        <v>622</v>
      </c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</row>
    <row r="375" spans="1:15" ht="29" x14ac:dyDescent="0.35">
      <c r="A375" s="105" t="s">
        <v>633</v>
      </c>
      <c r="B375" s="105" t="s">
        <v>823</v>
      </c>
      <c r="C375" s="105" t="s">
        <v>622</v>
      </c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</row>
    <row r="376" spans="1:15" x14ac:dyDescent="0.35">
      <c r="A376" s="105" t="s">
        <v>635</v>
      </c>
      <c r="B376" s="105" t="s">
        <v>824</v>
      </c>
      <c r="C376" s="105" t="s">
        <v>743</v>
      </c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</row>
    <row r="377" spans="1:15" ht="29" x14ac:dyDescent="0.35">
      <c r="A377" s="105" t="s">
        <v>637</v>
      </c>
      <c r="B377" s="105" t="s">
        <v>825</v>
      </c>
      <c r="C377" s="105" t="s">
        <v>622</v>
      </c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</row>
    <row r="378" spans="1:15" x14ac:dyDescent="0.35">
      <c r="A378" s="105" t="s">
        <v>639</v>
      </c>
      <c r="B378" s="105" t="s">
        <v>820</v>
      </c>
      <c r="C378" s="105" t="s">
        <v>622</v>
      </c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</row>
    <row r="379" spans="1:15" ht="29" x14ac:dyDescent="0.35">
      <c r="A379" s="105" t="s">
        <v>641</v>
      </c>
      <c r="B379" s="105" t="s">
        <v>821</v>
      </c>
      <c r="C379" s="105" t="s">
        <v>622</v>
      </c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</row>
    <row r="380" spans="1:15" ht="29" x14ac:dyDescent="0.35">
      <c r="A380" s="105" t="s">
        <v>643</v>
      </c>
      <c r="B380" s="105" t="s">
        <v>822</v>
      </c>
      <c r="C380" s="105" t="s">
        <v>622</v>
      </c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</row>
    <row r="381" spans="1:15" ht="29" x14ac:dyDescent="0.35">
      <c r="A381" s="105" t="s">
        <v>644</v>
      </c>
      <c r="B381" s="105" t="s">
        <v>706</v>
      </c>
      <c r="C381" s="105" t="s">
        <v>622</v>
      </c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</row>
    <row r="382" spans="1:15" ht="29" x14ac:dyDescent="0.35">
      <c r="A382" s="105" t="s">
        <v>645</v>
      </c>
      <c r="B382" s="105" t="s">
        <v>682</v>
      </c>
      <c r="C382" s="105" t="s">
        <v>683</v>
      </c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</row>
    <row r="383" spans="1:15" ht="29" x14ac:dyDescent="0.35">
      <c r="A383" s="105" t="s">
        <v>646</v>
      </c>
      <c r="B383" s="105" t="s">
        <v>685</v>
      </c>
      <c r="C383" s="105" t="s">
        <v>686</v>
      </c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</row>
    <row r="384" spans="1:15" ht="29" x14ac:dyDescent="0.35">
      <c r="A384" s="105" t="s">
        <v>649</v>
      </c>
      <c r="B384" s="105" t="s">
        <v>688</v>
      </c>
      <c r="C384" s="105" t="s">
        <v>686</v>
      </c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</row>
    <row r="385" spans="1:15" ht="29" x14ac:dyDescent="0.35">
      <c r="A385" s="105" t="s">
        <v>651</v>
      </c>
      <c r="B385" s="105" t="s">
        <v>690</v>
      </c>
      <c r="C385" s="105" t="s">
        <v>686</v>
      </c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</row>
    <row r="386" spans="1:15" ht="29" x14ac:dyDescent="0.35">
      <c r="A386" s="105" t="s">
        <v>653</v>
      </c>
      <c r="B386" s="105" t="s">
        <v>692</v>
      </c>
      <c r="C386" s="105" t="s">
        <v>686</v>
      </c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</row>
    <row r="387" spans="1:15" ht="29" x14ac:dyDescent="0.35">
      <c r="A387" s="105" t="s">
        <v>655</v>
      </c>
      <c r="B387" s="105" t="s">
        <v>694</v>
      </c>
      <c r="C387" s="105" t="s">
        <v>686</v>
      </c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</row>
    <row r="388" spans="1:15" ht="29" x14ac:dyDescent="0.35">
      <c r="A388" s="105" t="s">
        <v>658</v>
      </c>
      <c r="B388" s="105" t="s">
        <v>696</v>
      </c>
      <c r="C388" s="105" t="s">
        <v>686</v>
      </c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</row>
    <row r="389" spans="1:15" ht="29" x14ac:dyDescent="0.35">
      <c r="A389" s="105" t="s">
        <v>660</v>
      </c>
      <c r="B389" s="105" t="s">
        <v>698</v>
      </c>
      <c r="C389" s="105" t="s">
        <v>686</v>
      </c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</row>
    <row r="390" spans="1:15" x14ac:dyDescent="0.35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</row>
    <row r="391" spans="1:15" x14ac:dyDescent="0.35">
      <c r="A391" s="166" t="s">
        <v>725</v>
      </c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2"/>
    </row>
    <row r="392" spans="1:15" ht="58" x14ac:dyDescent="0.35">
      <c r="A392" s="108" t="s">
        <v>700</v>
      </c>
      <c r="B392" s="108" t="s">
        <v>701</v>
      </c>
      <c r="C392" s="108" t="s">
        <v>390</v>
      </c>
      <c r="D392" s="108" t="s">
        <v>351</v>
      </c>
      <c r="E392" s="108" t="s">
        <v>352</v>
      </c>
      <c r="F392" s="108" t="s">
        <v>292</v>
      </c>
      <c r="G392" s="108" t="s">
        <v>619</v>
      </c>
      <c r="H392" s="108" t="s">
        <v>353</v>
      </c>
      <c r="I392" s="108" t="s">
        <v>610</v>
      </c>
      <c r="J392" s="105"/>
      <c r="K392" s="105"/>
      <c r="L392" s="105"/>
      <c r="M392" s="105"/>
      <c r="N392" s="105"/>
      <c r="O392" s="105"/>
    </row>
    <row r="393" spans="1:15" x14ac:dyDescent="0.35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</row>
    <row r="394" spans="1:15" x14ac:dyDescent="0.35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</row>
    <row r="395" spans="1:15" x14ac:dyDescent="0.3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</row>
    <row r="396" spans="1:15" x14ac:dyDescent="0.35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</row>
    <row r="397" spans="1:15" x14ac:dyDescent="0.35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</row>
    <row r="398" spans="1:15" x14ac:dyDescent="0.35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</row>
    <row r="399" spans="1:15" x14ac:dyDescent="0.35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</row>
    <row r="400" spans="1:15" x14ac:dyDescent="0.35">
      <c r="A400" s="167" t="s">
        <v>726</v>
      </c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2"/>
    </row>
    <row r="401" spans="1:15" ht="72.5" x14ac:dyDescent="0.35">
      <c r="A401" s="108" t="s">
        <v>600</v>
      </c>
      <c r="B401" s="108"/>
      <c r="C401" s="108" t="s">
        <v>601</v>
      </c>
      <c r="D401" s="108"/>
      <c r="E401" s="108" t="s">
        <v>602</v>
      </c>
      <c r="F401" s="108"/>
      <c r="G401" s="108" t="s">
        <v>603</v>
      </c>
      <c r="H401" s="108"/>
      <c r="I401" s="108" t="s">
        <v>604</v>
      </c>
      <c r="J401" s="108"/>
      <c r="K401" s="108" t="s">
        <v>6</v>
      </c>
      <c r="L401" s="108"/>
      <c r="M401" s="108" t="s">
        <v>605</v>
      </c>
      <c r="N401" s="108"/>
      <c r="O401" s="108"/>
    </row>
    <row r="402" spans="1:15" ht="72.5" x14ac:dyDescent="0.35">
      <c r="A402" s="108" t="s">
        <v>606</v>
      </c>
      <c r="B402" s="108"/>
      <c r="C402" s="108" t="s">
        <v>607</v>
      </c>
      <c r="D402" s="108"/>
      <c r="E402" s="108" t="s">
        <v>608</v>
      </c>
      <c r="F402" s="108"/>
      <c r="G402" s="108" t="s">
        <v>609</v>
      </c>
      <c r="H402" s="108"/>
      <c r="I402" s="108" t="s">
        <v>610</v>
      </c>
      <c r="J402" s="109">
        <f>IFERROR(COUNTIF(E405:E425,"Yes")/(COUNTIF(E405:E425,"Yes")+COUNTIF(F405:F425,"No")),0)</f>
        <v>0</v>
      </c>
      <c r="K402" s="108"/>
      <c r="L402" s="108" t="str">
        <f>IF(J402&gt;=0.9,"Green",IF(J402&gt;=0.75,"Amber","Red"))</f>
        <v>Red</v>
      </c>
      <c r="M402" s="108"/>
      <c r="N402" s="108"/>
      <c r="O402" s="108"/>
    </row>
    <row r="403" spans="1:15" x14ac:dyDescent="0.35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</row>
    <row r="404" spans="1:15" ht="29" x14ac:dyDescent="0.35">
      <c r="A404" s="110" t="s">
        <v>611</v>
      </c>
      <c r="B404" s="110" t="s">
        <v>612</v>
      </c>
      <c r="C404" s="110" t="s">
        <v>613</v>
      </c>
      <c r="D404" s="110" t="s">
        <v>614</v>
      </c>
      <c r="E404" s="110" t="s">
        <v>81</v>
      </c>
      <c r="F404" s="110" t="s">
        <v>615</v>
      </c>
      <c r="G404" s="110" t="s">
        <v>616</v>
      </c>
      <c r="H404" s="110" t="s">
        <v>617</v>
      </c>
      <c r="I404" s="110" t="s">
        <v>618</v>
      </c>
      <c r="J404" s="110" t="s">
        <v>390</v>
      </c>
      <c r="K404" s="110" t="s">
        <v>351</v>
      </c>
      <c r="L404" s="110" t="s">
        <v>352</v>
      </c>
      <c r="M404" s="110" t="s">
        <v>292</v>
      </c>
      <c r="N404" s="110" t="s">
        <v>353</v>
      </c>
      <c r="O404" s="110" t="s">
        <v>619</v>
      </c>
    </row>
    <row r="405" spans="1:15" ht="29" x14ac:dyDescent="0.35">
      <c r="A405" s="105" t="s">
        <v>620</v>
      </c>
      <c r="B405" s="105" t="s">
        <v>814</v>
      </c>
      <c r="C405" s="105" t="s">
        <v>622</v>
      </c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</row>
    <row r="406" spans="1:15" ht="29" x14ac:dyDescent="0.35">
      <c r="A406" s="105" t="s">
        <v>623</v>
      </c>
      <c r="B406" s="105" t="s">
        <v>815</v>
      </c>
      <c r="C406" s="105" t="s">
        <v>622</v>
      </c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</row>
    <row r="407" spans="1:15" ht="29" x14ac:dyDescent="0.35">
      <c r="A407" s="105" t="s">
        <v>625</v>
      </c>
      <c r="B407" s="105" t="s">
        <v>816</v>
      </c>
      <c r="C407" s="105" t="s">
        <v>622</v>
      </c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</row>
    <row r="408" spans="1:15" ht="29" x14ac:dyDescent="0.35">
      <c r="A408" s="105" t="s">
        <v>627</v>
      </c>
      <c r="B408" s="105" t="s">
        <v>817</v>
      </c>
      <c r="C408" s="105" t="s">
        <v>622</v>
      </c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</row>
    <row r="409" spans="1:15" ht="29" x14ac:dyDescent="0.35">
      <c r="A409" s="105" t="s">
        <v>629</v>
      </c>
      <c r="B409" s="105" t="s">
        <v>818</v>
      </c>
      <c r="C409" s="105" t="s">
        <v>622</v>
      </c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</row>
    <row r="410" spans="1:15" ht="29" x14ac:dyDescent="0.35">
      <c r="A410" s="105" t="s">
        <v>631</v>
      </c>
      <c r="B410" s="105" t="s">
        <v>819</v>
      </c>
      <c r="C410" s="105" t="s">
        <v>622</v>
      </c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</row>
    <row r="411" spans="1:15" ht="29" x14ac:dyDescent="0.35">
      <c r="A411" s="105" t="s">
        <v>633</v>
      </c>
      <c r="B411" s="105" t="s">
        <v>823</v>
      </c>
      <c r="C411" s="105" t="s">
        <v>622</v>
      </c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</row>
    <row r="412" spans="1:15" x14ac:dyDescent="0.35">
      <c r="A412" s="105" t="s">
        <v>635</v>
      </c>
      <c r="B412" s="105" t="s">
        <v>824</v>
      </c>
      <c r="C412" s="105" t="s">
        <v>743</v>
      </c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</row>
    <row r="413" spans="1:15" ht="29" x14ac:dyDescent="0.35">
      <c r="A413" s="105" t="s">
        <v>637</v>
      </c>
      <c r="B413" s="105" t="s">
        <v>825</v>
      </c>
      <c r="C413" s="105" t="s">
        <v>622</v>
      </c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</row>
    <row r="414" spans="1:15" x14ac:dyDescent="0.35">
      <c r="A414" s="105" t="s">
        <v>639</v>
      </c>
      <c r="B414" s="105" t="s">
        <v>820</v>
      </c>
      <c r="C414" s="105" t="s">
        <v>622</v>
      </c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</row>
    <row r="415" spans="1:15" ht="29" x14ac:dyDescent="0.35">
      <c r="A415" s="105" t="s">
        <v>641</v>
      </c>
      <c r="B415" s="105" t="s">
        <v>821</v>
      </c>
      <c r="C415" s="105" t="s">
        <v>622</v>
      </c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</row>
    <row r="416" spans="1:15" ht="29" x14ac:dyDescent="0.35">
      <c r="A416" s="105" t="s">
        <v>643</v>
      </c>
      <c r="B416" s="105" t="s">
        <v>822</v>
      </c>
      <c r="C416" s="105" t="s">
        <v>622</v>
      </c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</row>
    <row r="417" spans="1:15" ht="29" x14ac:dyDescent="0.35">
      <c r="A417" s="105" t="s">
        <v>644</v>
      </c>
      <c r="B417" s="105" t="s">
        <v>706</v>
      </c>
      <c r="C417" s="105" t="s">
        <v>622</v>
      </c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</row>
    <row r="418" spans="1:15" ht="29" x14ac:dyDescent="0.35">
      <c r="A418" s="105" t="s">
        <v>645</v>
      </c>
      <c r="B418" s="105" t="s">
        <v>682</v>
      </c>
      <c r="C418" s="105" t="s">
        <v>683</v>
      </c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</row>
    <row r="419" spans="1:15" ht="29" x14ac:dyDescent="0.35">
      <c r="A419" s="105" t="s">
        <v>646</v>
      </c>
      <c r="B419" s="105" t="s">
        <v>685</v>
      </c>
      <c r="C419" s="105" t="s">
        <v>686</v>
      </c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</row>
    <row r="420" spans="1:15" ht="29" x14ac:dyDescent="0.35">
      <c r="A420" s="105" t="s">
        <v>649</v>
      </c>
      <c r="B420" s="105" t="s">
        <v>688</v>
      </c>
      <c r="C420" s="105" t="s">
        <v>686</v>
      </c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</row>
    <row r="421" spans="1:15" ht="29" x14ac:dyDescent="0.35">
      <c r="A421" s="105" t="s">
        <v>651</v>
      </c>
      <c r="B421" s="105" t="s">
        <v>690</v>
      </c>
      <c r="C421" s="105" t="s">
        <v>686</v>
      </c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</row>
    <row r="422" spans="1:15" ht="29" x14ac:dyDescent="0.35">
      <c r="A422" s="105" t="s">
        <v>653</v>
      </c>
      <c r="B422" s="105" t="s">
        <v>692</v>
      </c>
      <c r="C422" s="105" t="s">
        <v>686</v>
      </c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</row>
    <row r="423" spans="1:15" ht="29" x14ac:dyDescent="0.35">
      <c r="A423" s="105" t="s">
        <v>655</v>
      </c>
      <c r="B423" s="105" t="s">
        <v>694</v>
      </c>
      <c r="C423" s="105" t="s">
        <v>686</v>
      </c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</row>
    <row r="424" spans="1:15" ht="29" x14ac:dyDescent="0.35">
      <c r="A424" s="105" t="s">
        <v>658</v>
      </c>
      <c r="B424" s="105" t="s">
        <v>696</v>
      </c>
      <c r="C424" s="105" t="s">
        <v>686</v>
      </c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</row>
    <row r="425" spans="1:15" ht="29" x14ac:dyDescent="0.35">
      <c r="A425" s="105" t="s">
        <v>660</v>
      </c>
      <c r="B425" s="105" t="s">
        <v>698</v>
      </c>
      <c r="C425" s="105" t="s">
        <v>686</v>
      </c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</row>
    <row r="426" spans="1:15" x14ac:dyDescent="0.35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</row>
    <row r="427" spans="1:15" x14ac:dyDescent="0.35">
      <c r="A427" s="166" t="s">
        <v>727</v>
      </c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2"/>
    </row>
    <row r="428" spans="1:15" ht="58" x14ac:dyDescent="0.35">
      <c r="A428" s="108" t="s">
        <v>700</v>
      </c>
      <c r="B428" s="108" t="s">
        <v>701</v>
      </c>
      <c r="C428" s="108" t="s">
        <v>390</v>
      </c>
      <c r="D428" s="108" t="s">
        <v>351</v>
      </c>
      <c r="E428" s="108" t="s">
        <v>352</v>
      </c>
      <c r="F428" s="108" t="s">
        <v>292</v>
      </c>
      <c r="G428" s="108" t="s">
        <v>619</v>
      </c>
      <c r="H428" s="108" t="s">
        <v>353</v>
      </c>
      <c r="I428" s="108" t="s">
        <v>610</v>
      </c>
      <c r="J428" s="105"/>
      <c r="K428" s="105"/>
      <c r="L428" s="105"/>
      <c r="M428" s="105"/>
      <c r="N428" s="105"/>
      <c r="O428" s="105"/>
    </row>
  </sheetData>
  <mergeCells count="30">
    <mergeCell ref="A355:O355"/>
    <mergeCell ref="A256:O256"/>
    <mergeCell ref="A16:R16"/>
    <mergeCell ref="A292:O292"/>
    <mergeCell ref="A283:O283"/>
    <mergeCell ref="A1:T1"/>
    <mergeCell ref="A175:O175"/>
    <mergeCell ref="A76:O76"/>
    <mergeCell ref="A247:O247"/>
    <mergeCell ref="A17:R17"/>
    <mergeCell ref="A4:O4"/>
    <mergeCell ref="A184:O184"/>
    <mergeCell ref="A112:O112"/>
    <mergeCell ref="A211:O211"/>
    <mergeCell ref="A427:O427"/>
    <mergeCell ref="A400:O400"/>
    <mergeCell ref="A2:T2"/>
    <mergeCell ref="A31:O31"/>
    <mergeCell ref="A220:O220"/>
    <mergeCell ref="A391:O391"/>
    <mergeCell ref="A40:O40"/>
    <mergeCell ref="A67:O67"/>
    <mergeCell ref="A34:R34"/>
    <mergeCell ref="A328:O328"/>
    <mergeCell ref="A148:O148"/>
    <mergeCell ref="A319:O319"/>
    <mergeCell ref="A15:R15"/>
    <mergeCell ref="A103:O103"/>
    <mergeCell ref="A364:O364"/>
    <mergeCell ref="A139:O139"/>
  </mergeCells>
  <conditionalFormatting sqref="I20:I31">
    <cfRule type="expression" dxfId="385" priority="1">
      <formula>I20="Green"</formula>
    </cfRule>
    <cfRule type="expression" dxfId="384" priority="2">
      <formula>I20="Amber"</formula>
    </cfRule>
    <cfRule type="expression" dxfId="383" priority="3">
      <formula>I20="Red"</formula>
    </cfRule>
  </conditionalFormatting>
  <dataValidations count="7">
    <dataValidation type="list" allowBlank="1" sqref="E5:E12" xr:uid="{00000000-0002-0000-2100-000000000000}">
      <formula1>"Yes,No,Partial,N/A"</formula1>
    </dataValidation>
    <dataValidation type="list" allowBlank="1" sqref="G5:G12" xr:uid="{00000000-0002-0000-2100-000001000000}">
      <formula1>"Low,Medium,High,Critical"</formula1>
    </dataValidation>
    <dataValidation type="list" allowBlank="1" sqref="S5:S12" xr:uid="{00000000-0002-0000-2100-000002000000}">
      <formula1>"Open,In Progress,Awaiting Verification,Closed,Escalated"</formula1>
    </dataValidation>
    <dataValidation type="list" allowBlank="1" sqref="G20:G31" xr:uid="{00000000-0002-0000-2100-000003000000}">
      <formula1>"Yes,No,Partially,N/A"</formula1>
    </dataValidation>
    <dataValidation type="list" allowBlank="1" sqref="I20:I31" xr:uid="{00000000-0002-0000-2100-000004000000}">
      <formula1>"Green,Amber,Red,Not Started"</formula1>
    </dataValidation>
    <dataValidation type="list" allowBlank="1" sqref="C36:C43 E9:G29 E45:G65 E81:G101 E117:G137 E153:G173 E189:G209 E225:G245 E261:G281 E297:G317 E333:G353 E369:G389 E405:G425" xr:uid="{00000000-0002-0000-2100-000005000000}">
      <formula1>"Yes,No,N/A"</formula1>
    </dataValidation>
    <dataValidation type="list" allowBlank="1" sqref="H9:H29 H45:H65 H81:H101 H117:H137 H153:H173 H189:H209 H225:H245 H261:H281 H297:H317 H333:H353 H369:H389 H405:H425" xr:uid="{00000000-0002-0000-2100-000007000000}">
      <formula1>"Low,Medium,High,Critical,N/A"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T428"/>
  <sheetViews>
    <sheetView workbookViewId="0"/>
  </sheetViews>
  <sheetFormatPr defaultRowHeight="14.5" x14ac:dyDescent="0.35"/>
  <cols>
    <col min="1" max="1" width="5" customWidth="1"/>
    <col min="2" max="2" width="46" customWidth="1"/>
    <col min="3" max="3" width="20" customWidth="1"/>
    <col min="4" max="4" width="30" customWidth="1"/>
    <col min="5" max="7" width="7" customWidth="1"/>
    <col min="8" max="8" width="13" customWidth="1"/>
    <col min="9" max="9" width="30" customWidth="1"/>
    <col min="10" max="10" width="26" customWidth="1"/>
    <col min="11" max="11" width="14" customWidth="1"/>
    <col min="12" max="12" width="13" customWidth="1"/>
    <col min="13" max="15" width="14" customWidth="1"/>
    <col min="16" max="16" width="16" customWidth="1"/>
    <col min="17" max="17" width="28" customWidth="1"/>
    <col min="18" max="18" width="40" customWidth="1"/>
    <col min="19" max="19" width="14" customWidth="1"/>
    <col min="20" max="20" width="12" customWidth="1"/>
  </cols>
  <sheetData>
    <row r="1" spans="1:20" ht="28" customHeight="1" x14ac:dyDescent="0.35">
      <c r="A1" s="145" t="s">
        <v>826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2"/>
    </row>
    <row r="2" spans="1:20" x14ac:dyDescent="0.35">
      <c r="A2" s="168" t="s">
        <v>827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2"/>
    </row>
    <row r="3" spans="1:20" x14ac:dyDescent="0.35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0" ht="29" customHeight="1" x14ac:dyDescent="0.35">
      <c r="A4" s="167" t="s">
        <v>599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2"/>
    </row>
    <row r="5" spans="1:20" ht="72.5" x14ac:dyDescent="0.35">
      <c r="A5" s="108" t="s">
        <v>600</v>
      </c>
      <c r="B5" s="108"/>
      <c r="C5" s="108" t="s">
        <v>601</v>
      </c>
      <c r="D5" s="108"/>
      <c r="E5" s="108" t="s">
        <v>602</v>
      </c>
      <c r="F5" s="108"/>
      <c r="G5" s="108" t="s">
        <v>603</v>
      </c>
      <c r="H5" s="108"/>
      <c r="I5" s="108" t="s">
        <v>604</v>
      </c>
      <c r="J5" s="108"/>
      <c r="K5" s="108" t="s">
        <v>6</v>
      </c>
      <c r="L5" s="108"/>
      <c r="M5" s="108" t="s">
        <v>605</v>
      </c>
      <c r="N5" s="108"/>
      <c r="O5" s="108"/>
    </row>
    <row r="6" spans="1:20" ht="72.5" x14ac:dyDescent="0.35">
      <c r="A6" s="108" t="s">
        <v>606</v>
      </c>
      <c r="B6" s="108"/>
      <c r="C6" s="108" t="s">
        <v>607</v>
      </c>
      <c r="D6" s="108"/>
      <c r="E6" s="108" t="s">
        <v>608</v>
      </c>
      <c r="F6" s="108"/>
      <c r="G6" s="108" t="s">
        <v>609</v>
      </c>
      <c r="H6" s="108"/>
      <c r="I6" s="108" t="s">
        <v>610</v>
      </c>
      <c r="J6" s="109">
        <f>IFERROR(COUNTIF(E9:E29,"Yes")/(COUNTIF(E9:E29,"Yes")+COUNTIF(F9:F29,"No")),0)</f>
        <v>0</v>
      </c>
      <c r="K6" s="108"/>
      <c r="L6" s="108" t="str">
        <f>IF(J6&gt;=0.9,"Green",IF(J6&gt;=0.75,"Amber","Red"))</f>
        <v>Red</v>
      </c>
      <c r="M6" s="108"/>
      <c r="N6" s="108"/>
      <c r="O6" s="108"/>
    </row>
    <row r="7" spans="1:20" x14ac:dyDescent="0.35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</row>
    <row r="8" spans="1:20" ht="29" x14ac:dyDescent="0.35">
      <c r="A8" s="110" t="s">
        <v>611</v>
      </c>
      <c r="B8" s="110" t="s">
        <v>612</v>
      </c>
      <c r="C8" s="110" t="s">
        <v>613</v>
      </c>
      <c r="D8" s="110" t="s">
        <v>614</v>
      </c>
      <c r="E8" s="110" t="s">
        <v>81</v>
      </c>
      <c r="F8" s="110" t="s">
        <v>615</v>
      </c>
      <c r="G8" s="110" t="s">
        <v>616</v>
      </c>
      <c r="H8" s="110" t="s">
        <v>617</v>
      </c>
      <c r="I8" s="110" t="s">
        <v>618</v>
      </c>
      <c r="J8" s="110" t="s">
        <v>390</v>
      </c>
      <c r="K8" s="110" t="s">
        <v>351</v>
      </c>
      <c r="L8" s="110" t="s">
        <v>352</v>
      </c>
      <c r="M8" s="110" t="s">
        <v>292</v>
      </c>
      <c r="N8" s="110" t="s">
        <v>353</v>
      </c>
      <c r="O8" s="110" t="s">
        <v>619</v>
      </c>
    </row>
    <row r="9" spans="1:20" ht="29" x14ac:dyDescent="0.35">
      <c r="A9" s="105" t="s">
        <v>620</v>
      </c>
      <c r="B9" s="105" t="s">
        <v>828</v>
      </c>
      <c r="C9" s="105" t="s">
        <v>622</v>
      </c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</row>
    <row r="10" spans="1:20" ht="29" x14ac:dyDescent="0.35">
      <c r="A10" s="105" t="s">
        <v>623</v>
      </c>
      <c r="B10" s="105" t="s">
        <v>829</v>
      </c>
      <c r="C10" s="105" t="s">
        <v>622</v>
      </c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</row>
    <row r="11" spans="1:20" x14ac:dyDescent="0.35">
      <c r="A11" s="105" t="s">
        <v>625</v>
      </c>
      <c r="B11" s="105" t="s">
        <v>830</v>
      </c>
      <c r="C11" s="105" t="s">
        <v>622</v>
      </c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</row>
    <row r="12" spans="1:20" x14ac:dyDescent="0.35">
      <c r="A12" s="105" t="s">
        <v>627</v>
      </c>
      <c r="B12" s="105" t="s">
        <v>831</v>
      </c>
      <c r="C12" s="105" t="s">
        <v>743</v>
      </c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</row>
    <row r="13" spans="1:20" x14ac:dyDescent="0.35">
      <c r="A13" s="105" t="s">
        <v>629</v>
      </c>
      <c r="B13" s="105" t="s">
        <v>832</v>
      </c>
      <c r="C13" s="105" t="s">
        <v>622</v>
      </c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</row>
    <row r="14" spans="1:20" x14ac:dyDescent="0.35">
      <c r="A14" s="105" t="s">
        <v>631</v>
      </c>
      <c r="B14" s="105" t="s">
        <v>833</v>
      </c>
      <c r="C14" s="105" t="s">
        <v>622</v>
      </c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</row>
    <row r="15" spans="1:20" ht="24" customHeight="1" x14ac:dyDescent="0.35">
      <c r="A15" s="169" t="s">
        <v>633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2"/>
    </row>
    <row r="16" spans="1:20" ht="36" customHeight="1" x14ac:dyDescent="0.35">
      <c r="A16" s="169" t="s">
        <v>635</v>
      </c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2"/>
    </row>
    <row r="17" spans="1:18" ht="32" customHeight="1" x14ac:dyDescent="0.35">
      <c r="A17" s="169" t="s">
        <v>637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2"/>
    </row>
    <row r="18" spans="1:18" ht="29" x14ac:dyDescent="0.35">
      <c r="A18" s="105" t="s">
        <v>639</v>
      </c>
      <c r="B18" s="105" t="s">
        <v>834</v>
      </c>
      <c r="C18" s="105" t="s">
        <v>622</v>
      </c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</row>
    <row r="19" spans="1:18" ht="32" customHeight="1" x14ac:dyDescent="0.35">
      <c r="A19" s="105" t="s">
        <v>641</v>
      </c>
      <c r="B19" s="105" t="s">
        <v>835</v>
      </c>
      <c r="C19" s="105" t="s">
        <v>622</v>
      </c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</row>
    <row r="20" spans="1:18" ht="29" x14ac:dyDescent="0.35">
      <c r="A20" s="105" t="s">
        <v>643</v>
      </c>
      <c r="B20" s="105" t="s">
        <v>836</v>
      </c>
      <c r="C20" s="105" t="s">
        <v>622</v>
      </c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</row>
    <row r="21" spans="1:18" ht="29" x14ac:dyDescent="0.35">
      <c r="A21" s="105" t="s">
        <v>644</v>
      </c>
      <c r="B21" s="105" t="s">
        <v>706</v>
      </c>
      <c r="C21" s="105" t="s">
        <v>622</v>
      </c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</row>
    <row r="22" spans="1:18" ht="29" x14ac:dyDescent="0.35">
      <c r="A22" s="105" t="s">
        <v>645</v>
      </c>
      <c r="B22" s="105" t="s">
        <v>682</v>
      </c>
      <c r="C22" s="105" t="s">
        <v>683</v>
      </c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</row>
    <row r="23" spans="1:18" ht="29" x14ac:dyDescent="0.35">
      <c r="A23" s="105" t="s">
        <v>646</v>
      </c>
      <c r="B23" s="105" t="s">
        <v>685</v>
      </c>
      <c r="C23" s="105" t="s">
        <v>686</v>
      </c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</row>
    <row r="24" spans="1:18" ht="29" x14ac:dyDescent="0.35">
      <c r="A24" s="105" t="s">
        <v>649</v>
      </c>
      <c r="B24" s="105" t="s">
        <v>688</v>
      </c>
      <c r="C24" s="105" t="s">
        <v>686</v>
      </c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</row>
    <row r="25" spans="1:18" ht="29" x14ac:dyDescent="0.35">
      <c r="A25" s="105" t="s">
        <v>651</v>
      </c>
      <c r="B25" s="105" t="s">
        <v>690</v>
      </c>
      <c r="C25" s="105" t="s">
        <v>686</v>
      </c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</row>
    <row r="26" spans="1:18" ht="29" x14ac:dyDescent="0.35">
      <c r="A26" s="105" t="s">
        <v>653</v>
      </c>
      <c r="B26" s="105" t="s">
        <v>692</v>
      </c>
      <c r="C26" s="105" t="s">
        <v>686</v>
      </c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</row>
    <row r="27" spans="1:18" ht="29" x14ac:dyDescent="0.35">
      <c r="A27" s="105" t="s">
        <v>655</v>
      </c>
      <c r="B27" s="105" t="s">
        <v>694</v>
      </c>
      <c r="C27" s="105" t="s">
        <v>686</v>
      </c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</row>
    <row r="28" spans="1:18" ht="29" x14ac:dyDescent="0.35">
      <c r="A28" s="105" t="s">
        <v>658</v>
      </c>
      <c r="B28" s="105" t="s">
        <v>696</v>
      </c>
      <c r="C28" s="105" t="s">
        <v>686</v>
      </c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</row>
    <row r="29" spans="1:18" ht="29" x14ac:dyDescent="0.35">
      <c r="A29" s="105" t="s">
        <v>660</v>
      </c>
      <c r="B29" s="105" t="s">
        <v>698</v>
      </c>
      <c r="C29" s="105" t="s">
        <v>686</v>
      </c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</row>
    <row r="30" spans="1:18" x14ac:dyDescent="0.35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</row>
    <row r="31" spans="1:18" x14ac:dyDescent="0.35">
      <c r="A31" s="166" t="s">
        <v>699</v>
      </c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2"/>
    </row>
    <row r="32" spans="1:18" ht="58" x14ac:dyDescent="0.35">
      <c r="A32" s="108" t="s">
        <v>700</v>
      </c>
      <c r="B32" s="108" t="s">
        <v>701</v>
      </c>
      <c r="C32" s="108" t="s">
        <v>390</v>
      </c>
      <c r="D32" s="108" t="s">
        <v>351</v>
      </c>
      <c r="E32" s="108" t="s">
        <v>352</v>
      </c>
      <c r="F32" s="108" t="s">
        <v>292</v>
      </c>
      <c r="G32" s="108" t="s">
        <v>619</v>
      </c>
      <c r="H32" s="108" t="s">
        <v>353</v>
      </c>
      <c r="I32" s="108" t="s">
        <v>610</v>
      </c>
      <c r="J32" s="105"/>
      <c r="K32" s="105"/>
      <c r="L32" s="105"/>
      <c r="M32" s="105"/>
      <c r="N32" s="105"/>
      <c r="O32" s="105"/>
    </row>
    <row r="33" spans="1:18" x14ac:dyDescent="0.35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</row>
    <row r="34" spans="1:18" x14ac:dyDescent="0.35">
      <c r="A34" s="169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2"/>
    </row>
    <row r="35" spans="1:18" x14ac:dyDescent="0.35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</row>
    <row r="36" spans="1:18" ht="29" customHeight="1" x14ac:dyDescent="0.35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</row>
    <row r="37" spans="1:18" ht="29" customHeight="1" x14ac:dyDescent="0.35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</row>
    <row r="38" spans="1:18" ht="29" customHeight="1" x14ac:dyDescent="0.35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</row>
    <row r="39" spans="1:18" ht="29" customHeight="1" x14ac:dyDescent="0.35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</row>
    <row r="40" spans="1:18" ht="29" customHeight="1" x14ac:dyDescent="0.35">
      <c r="A40" s="167" t="s">
        <v>702</v>
      </c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2"/>
    </row>
    <row r="41" spans="1:18" ht="29" customHeight="1" x14ac:dyDescent="0.35">
      <c r="A41" s="108" t="s">
        <v>600</v>
      </c>
      <c r="B41" s="108"/>
      <c r="C41" s="108" t="s">
        <v>601</v>
      </c>
      <c r="D41" s="108"/>
      <c r="E41" s="108" t="s">
        <v>602</v>
      </c>
      <c r="F41" s="108"/>
      <c r="G41" s="108" t="s">
        <v>603</v>
      </c>
      <c r="H41" s="108"/>
      <c r="I41" s="108" t="s">
        <v>604</v>
      </c>
      <c r="J41" s="108"/>
      <c r="K41" s="108" t="s">
        <v>6</v>
      </c>
      <c r="L41" s="108"/>
      <c r="M41" s="108" t="s">
        <v>605</v>
      </c>
      <c r="N41" s="108"/>
      <c r="O41" s="108"/>
    </row>
    <row r="42" spans="1:18" ht="29" customHeight="1" x14ac:dyDescent="0.35">
      <c r="A42" s="108" t="s">
        <v>606</v>
      </c>
      <c r="B42" s="108"/>
      <c r="C42" s="108" t="s">
        <v>607</v>
      </c>
      <c r="D42" s="108"/>
      <c r="E42" s="108" t="s">
        <v>608</v>
      </c>
      <c r="F42" s="108"/>
      <c r="G42" s="108" t="s">
        <v>609</v>
      </c>
      <c r="H42" s="108"/>
      <c r="I42" s="108" t="s">
        <v>610</v>
      </c>
      <c r="J42" s="109">
        <f>IFERROR(COUNTIF(E45:E65,"Yes")/(COUNTIF(E45:E65,"Yes")+COUNTIF(F45:F65,"No")),0)</f>
        <v>0</v>
      </c>
      <c r="K42" s="108"/>
      <c r="L42" s="108" t="str">
        <f>IF(J42&gt;=0.9,"Green",IF(J42&gt;=0.75,"Amber","Red"))</f>
        <v>Red</v>
      </c>
      <c r="M42" s="108"/>
      <c r="N42" s="108"/>
      <c r="O42" s="108"/>
    </row>
    <row r="43" spans="1:18" ht="58" customHeight="1" x14ac:dyDescent="0.35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</row>
    <row r="44" spans="1:18" ht="29" x14ac:dyDescent="0.35">
      <c r="A44" s="110" t="s">
        <v>611</v>
      </c>
      <c r="B44" s="110" t="s">
        <v>612</v>
      </c>
      <c r="C44" s="110" t="s">
        <v>613</v>
      </c>
      <c r="D44" s="110" t="s">
        <v>614</v>
      </c>
      <c r="E44" s="110" t="s">
        <v>81</v>
      </c>
      <c r="F44" s="110" t="s">
        <v>615</v>
      </c>
      <c r="G44" s="110" t="s">
        <v>616</v>
      </c>
      <c r="H44" s="110" t="s">
        <v>617</v>
      </c>
      <c r="I44" s="110" t="s">
        <v>618</v>
      </c>
      <c r="J44" s="110" t="s">
        <v>390</v>
      </c>
      <c r="K44" s="110" t="s">
        <v>351</v>
      </c>
      <c r="L44" s="110" t="s">
        <v>352</v>
      </c>
      <c r="M44" s="110" t="s">
        <v>292</v>
      </c>
      <c r="N44" s="110" t="s">
        <v>353</v>
      </c>
      <c r="O44" s="110" t="s">
        <v>619</v>
      </c>
    </row>
    <row r="45" spans="1:18" ht="29" x14ac:dyDescent="0.35">
      <c r="A45" s="105" t="s">
        <v>620</v>
      </c>
      <c r="B45" s="105" t="s">
        <v>828</v>
      </c>
      <c r="C45" s="105" t="s">
        <v>622</v>
      </c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</row>
    <row r="46" spans="1:18" ht="29" x14ac:dyDescent="0.35">
      <c r="A46" s="105" t="s">
        <v>623</v>
      </c>
      <c r="B46" s="105" t="s">
        <v>829</v>
      </c>
      <c r="C46" s="105" t="s">
        <v>622</v>
      </c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</row>
    <row r="47" spans="1:18" x14ac:dyDescent="0.35">
      <c r="A47" s="105" t="s">
        <v>625</v>
      </c>
      <c r="B47" s="105" t="s">
        <v>830</v>
      </c>
      <c r="C47" s="105" t="s">
        <v>622</v>
      </c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</row>
    <row r="48" spans="1:18" x14ac:dyDescent="0.35">
      <c r="A48" s="105" t="s">
        <v>627</v>
      </c>
      <c r="B48" s="105" t="s">
        <v>831</v>
      </c>
      <c r="C48" s="105" t="s">
        <v>743</v>
      </c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</row>
    <row r="49" spans="1:15" x14ac:dyDescent="0.35">
      <c r="A49" s="105" t="s">
        <v>629</v>
      </c>
      <c r="B49" s="105" t="s">
        <v>832</v>
      </c>
      <c r="C49" s="105" t="s">
        <v>622</v>
      </c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</row>
    <row r="50" spans="1:15" x14ac:dyDescent="0.35">
      <c r="A50" s="105" t="s">
        <v>631</v>
      </c>
      <c r="B50" s="105" t="s">
        <v>833</v>
      </c>
      <c r="C50" s="105" t="s">
        <v>622</v>
      </c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</row>
    <row r="51" spans="1:15" ht="29" x14ac:dyDescent="0.35">
      <c r="A51" s="105" t="s">
        <v>633</v>
      </c>
      <c r="B51" s="105" t="s">
        <v>837</v>
      </c>
      <c r="C51" s="105" t="s">
        <v>743</v>
      </c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</row>
    <row r="52" spans="1:15" ht="29" x14ac:dyDescent="0.35">
      <c r="A52" s="105" t="s">
        <v>635</v>
      </c>
      <c r="B52" s="105" t="s">
        <v>838</v>
      </c>
      <c r="C52" s="105" t="s">
        <v>743</v>
      </c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</row>
    <row r="53" spans="1:15" ht="29" x14ac:dyDescent="0.35">
      <c r="A53" s="105" t="s">
        <v>637</v>
      </c>
      <c r="B53" s="105" t="s">
        <v>839</v>
      </c>
      <c r="C53" s="105" t="s">
        <v>743</v>
      </c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</row>
    <row r="54" spans="1:15" ht="29" x14ac:dyDescent="0.35">
      <c r="A54" s="105" t="s">
        <v>639</v>
      </c>
      <c r="B54" s="105" t="s">
        <v>834</v>
      </c>
      <c r="C54" s="105" t="s">
        <v>622</v>
      </c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</row>
    <row r="55" spans="1:15" ht="29" x14ac:dyDescent="0.35">
      <c r="A55" s="105" t="s">
        <v>641</v>
      </c>
      <c r="B55" s="105" t="s">
        <v>835</v>
      </c>
      <c r="C55" s="105" t="s">
        <v>622</v>
      </c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</row>
    <row r="56" spans="1:15" ht="29" x14ac:dyDescent="0.35">
      <c r="A56" s="105" t="s">
        <v>643</v>
      </c>
      <c r="B56" s="105" t="s">
        <v>836</v>
      </c>
      <c r="C56" s="105" t="s">
        <v>622</v>
      </c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</row>
    <row r="57" spans="1:15" ht="29" x14ac:dyDescent="0.35">
      <c r="A57" s="105" t="s">
        <v>644</v>
      </c>
      <c r="B57" s="105" t="s">
        <v>706</v>
      </c>
      <c r="C57" s="105" t="s">
        <v>622</v>
      </c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</row>
    <row r="58" spans="1:15" ht="29" x14ac:dyDescent="0.35">
      <c r="A58" s="105" t="s">
        <v>645</v>
      </c>
      <c r="B58" s="105" t="s">
        <v>682</v>
      </c>
      <c r="C58" s="105" t="s">
        <v>683</v>
      </c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</row>
    <row r="59" spans="1:15" ht="29" x14ac:dyDescent="0.35">
      <c r="A59" s="105" t="s">
        <v>646</v>
      </c>
      <c r="B59" s="105" t="s">
        <v>685</v>
      </c>
      <c r="C59" s="105" t="s">
        <v>686</v>
      </c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</row>
    <row r="60" spans="1:15" ht="29" x14ac:dyDescent="0.35">
      <c r="A60" s="105" t="s">
        <v>649</v>
      </c>
      <c r="B60" s="105" t="s">
        <v>688</v>
      </c>
      <c r="C60" s="105" t="s">
        <v>686</v>
      </c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</row>
    <row r="61" spans="1:15" ht="29" x14ac:dyDescent="0.35">
      <c r="A61" s="105" t="s">
        <v>651</v>
      </c>
      <c r="B61" s="105" t="s">
        <v>690</v>
      </c>
      <c r="C61" s="105" t="s">
        <v>686</v>
      </c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</row>
    <row r="62" spans="1:15" ht="29" x14ac:dyDescent="0.35">
      <c r="A62" s="105" t="s">
        <v>653</v>
      </c>
      <c r="B62" s="105" t="s">
        <v>692</v>
      </c>
      <c r="C62" s="105" t="s">
        <v>686</v>
      </c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</row>
    <row r="63" spans="1:15" ht="29" x14ac:dyDescent="0.35">
      <c r="A63" s="105" t="s">
        <v>655</v>
      </c>
      <c r="B63" s="105" t="s">
        <v>694</v>
      </c>
      <c r="C63" s="105" t="s">
        <v>686</v>
      </c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</row>
    <row r="64" spans="1:15" ht="29" x14ac:dyDescent="0.35">
      <c r="A64" s="105" t="s">
        <v>658</v>
      </c>
      <c r="B64" s="105" t="s">
        <v>696</v>
      </c>
      <c r="C64" s="105" t="s">
        <v>686</v>
      </c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</row>
    <row r="65" spans="1:15" ht="29" x14ac:dyDescent="0.35">
      <c r="A65" s="105" t="s">
        <v>660</v>
      </c>
      <c r="B65" s="105" t="s">
        <v>698</v>
      </c>
      <c r="C65" s="105" t="s">
        <v>686</v>
      </c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</row>
    <row r="66" spans="1:15" x14ac:dyDescent="0.35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</row>
    <row r="67" spans="1:15" x14ac:dyDescent="0.35">
      <c r="A67" s="166" t="s">
        <v>707</v>
      </c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2"/>
    </row>
    <row r="68" spans="1:15" ht="58" x14ac:dyDescent="0.35">
      <c r="A68" s="108" t="s">
        <v>700</v>
      </c>
      <c r="B68" s="108" t="s">
        <v>701</v>
      </c>
      <c r="C68" s="108" t="s">
        <v>390</v>
      </c>
      <c r="D68" s="108" t="s">
        <v>351</v>
      </c>
      <c r="E68" s="108" t="s">
        <v>352</v>
      </c>
      <c r="F68" s="108" t="s">
        <v>292</v>
      </c>
      <c r="G68" s="108" t="s">
        <v>619</v>
      </c>
      <c r="H68" s="108" t="s">
        <v>353</v>
      </c>
      <c r="I68" s="108" t="s">
        <v>610</v>
      </c>
      <c r="J68" s="105"/>
      <c r="K68" s="105"/>
      <c r="L68" s="105"/>
      <c r="M68" s="105"/>
      <c r="N68" s="105"/>
      <c r="O68" s="105"/>
    </row>
    <row r="69" spans="1:15" x14ac:dyDescent="0.35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</row>
    <row r="70" spans="1:15" x14ac:dyDescent="0.35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</row>
    <row r="71" spans="1:15" x14ac:dyDescent="0.35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</row>
    <row r="72" spans="1:15" x14ac:dyDescent="0.35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</row>
    <row r="73" spans="1:15" x14ac:dyDescent="0.35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</row>
    <row r="74" spans="1:15" x14ac:dyDescent="0.35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</row>
    <row r="75" spans="1:15" x14ac:dyDescent="0.35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</row>
    <row r="76" spans="1:15" x14ac:dyDescent="0.35">
      <c r="A76" s="167" t="s">
        <v>708</v>
      </c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2"/>
    </row>
    <row r="77" spans="1:15" ht="72.5" x14ac:dyDescent="0.35">
      <c r="A77" s="108" t="s">
        <v>600</v>
      </c>
      <c r="B77" s="108"/>
      <c r="C77" s="108" t="s">
        <v>601</v>
      </c>
      <c r="D77" s="108"/>
      <c r="E77" s="108" t="s">
        <v>602</v>
      </c>
      <c r="F77" s="108"/>
      <c r="G77" s="108" t="s">
        <v>603</v>
      </c>
      <c r="H77" s="108"/>
      <c r="I77" s="108" t="s">
        <v>604</v>
      </c>
      <c r="J77" s="108"/>
      <c r="K77" s="108" t="s">
        <v>6</v>
      </c>
      <c r="L77" s="108"/>
      <c r="M77" s="108" t="s">
        <v>605</v>
      </c>
      <c r="N77" s="108"/>
      <c r="O77" s="108"/>
    </row>
    <row r="78" spans="1:15" ht="72.5" x14ac:dyDescent="0.35">
      <c r="A78" s="108" t="s">
        <v>606</v>
      </c>
      <c r="B78" s="108"/>
      <c r="C78" s="108" t="s">
        <v>607</v>
      </c>
      <c r="D78" s="108"/>
      <c r="E78" s="108" t="s">
        <v>608</v>
      </c>
      <c r="F78" s="108"/>
      <c r="G78" s="108" t="s">
        <v>609</v>
      </c>
      <c r="H78" s="108"/>
      <c r="I78" s="108" t="s">
        <v>610</v>
      </c>
      <c r="J78" s="109">
        <f>IFERROR(COUNTIF(E81:E101,"Yes")/(COUNTIF(E81:E101,"Yes")+COUNTIF(F81:F101,"No")),0)</f>
        <v>0</v>
      </c>
      <c r="K78" s="108"/>
      <c r="L78" s="108" t="str">
        <f>IF(J78&gt;=0.9,"Green",IF(J78&gt;=0.75,"Amber","Red"))</f>
        <v>Red</v>
      </c>
      <c r="M78" s="108"/>
      <c r="N78" s="108"/>
      <c r="O78" s="108"/>
    </row>
    <row r="79" spans="1:15" x14ac:dyDescent="0.35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</row>
    <row r="80" spans="1:15" ht="29" x14ac:dyDescent="0.35">
      <c r="A80" s="110" t="s">
        <v>611</v>
      </c>
      <c r="B80" s="110" t="s">
        <v>612</v>
      </c>
      <c r="C80" s="110" t="s">
        <v>613</v>
      </c>
      <c r="D80" s="110" t="s">
        <v>614</v>
      </c>
      <c r="E80" s="110" t="s">
        <v>81</v>
      </c>
      <c r="F80" s="110" t="s">
        <v>615</v>
      </c>
      <c r="G80" s="110" t="s">
        <v>616</v>
      </c>
      <c r="H80" s="110" t="s">
        <v>617</v>
      </c>
      <c r="I80" s="110" t="s">
        <v>618</v>
      </c>
      <c r="J80" s="110" t="s">
        <v>390</v>
      </c>
      <c r="K80" s="110" t="s">
        <v>351</v>
      </c>
      <c r="L80" s="110" t="s">
        <v>352</v>
      </c>
      <c r="M80" s="110" t="s">
        <v>292</v>
      </c>
      <c r="N80" s="110" t="s">
        <v>353</v>
      </c>
      <c r="O80" s="110" t="s">
        <v>619</v>
      </c>
    </row>
    <row r="81" spans="1:15" ht="29" x14ac:dyDescent="0.35">
      <c r="A81" s="105" t="s">
        <v>620</v>
      </c>
      <c r="B81" s="105" t="s">
        <v>828</v>
      </c>
      <c r="C81" s="105" t="s">
        <v>622</v>
      </c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</row>
    <row r="82" spans="1:15" ht="29" x14ac:dyDescent="0.35">
      <c r="A82" s="105" t="s">
        <v>623</v>
      </c>
      <c r="B82" s="105" t="s">
        <v>829</v>
      </c>
      <c r="C82" s="105" t="s">
        <v>622</v>
      </c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</row>
    <row r="83" spans="1:15" x14ac:dyDescent="0.35">
      <c r="A83" s="105" t="s">
        <v>625</v>
      </c>
      <c r="B83" s="105" t="s">
        <v>830</v>
      </c>
      <c r="C83" s="105" t="s">
        <v>622</v>
      </c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</row>
    <row r="84" spans="1:15" x14ac:dyDescent="0.35">
      <c r="A84" s="105" t="s">
        <v>627</v>
      </c>
      <c r="B84" s="105" t="s">
        <v>831</v>
      </c>
      <c r="C84" s="105" t="s">
        <v>743</v>
      </c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</row>
    <row r="85" spans="1:15" x14ac:dyDescent="0.35">
      <c r="A85" s="105" t="s">
        <v>629</v>
      </c>
      <c r="B85" s="105" t="s">
        <v>832</v>
      </c>
      <c r="C85" s="105" t="s">
        <v>622</v>
      </c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</row>
    <row r="86" spans="1:15" x14ac:dyDescent="0.35">
      <c r="A86" s="105" t="s">
        <v>631</v>
      </c>
      <c r="B86" s="105" t="s">
        <v>833</v>
      </c>
      <c r="C86" s="105" t="s">
        <v>622</v>
      </c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</row>
    <row r="87" spans="1:15" ht="29" x14ac:dyDescent="0.35">
      <c r="A87" s="105" t="s">
        <v>633</v>
      </c>
      <c r="B87" s="105" t="s">
        <v>837</v>
      </c>
      <c r="C87" s="105" t="s">
        <v>743</v>
      </c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</row>
    <row r="88" spans="1:15" ht="29" x14ac:dyDescent="0.35">
      <c r="A88" s="105" t="s">
        <v>635</v>
      </c>
      <c r="B88" s="105" t="s">
        <v>838</v>
      </c>
      <c r="C88" s="105" t="s">
        <v>743</v>
      </c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</row>
    <row r="89" spans="1:15" ht="29" x14ac:dyDescent="0.35">
      <c r="A89" s="105" t="s">
        <v>637</v>
      </c>
      <c r="B89" s="105" t="s">
        <v>839</v>
      </c>
      <c r="C89" s="105" t="s">
        <v>743</v>
      </c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</row>
    <row r="90" spans="1:15" ht="29" x14ac:dyDescent="0.35">
      <c r="A90" s="105" t="s">
        <v>639</v>
      </c>
      <c r="B90" s="105" t="s">
        <v>834</v>
      </c>
      <c r="C90" s="105" t="s">
        <v>622</v>
      </c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</row>
    <row r="91" spans="1:15" ht="29" x14ac:dyDescent="0.35">
      <c r="A91" s="105" t="s">
        <v>641</v>
      </c>
      <c r="B91" s="105" t="s">
        <v>835</v>
      </c>
      <c r="C91" s="105" t="s">
        <v>622</v>
      </c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</row>
    <row r="92" spans="1:15" ht="29" x14ac:dyDescent="0.35">
      <c r="A92" s="105" t="s">
        <v>643</v>
      </c>
      <c r="B92" s="105" t="s">
        <v>836</v>
      </c>
      <c r="C92" s="105" t="s">
        <v>622</v>
      </c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</row>
    <row r="93" spans="1:15" ht="29" x14ac:dyDescent="0.35">
      <c r="A93" s="105" t="s">
        <v>644</v>
      </c>
      <c r="B93" s="105" t="s">
        <v>706</v>
      </c>
      <c r="C93" s="105" t="s">
        <v>622</v>
      </c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</row>
    <row r="94" spans="1:15" ht="29" x14ac:dyDescent="0.35">
      <c r="A94" s="105" t="s">
        <v>645</v>
      </c>
      <c r="B94" s="105" t="s">
        <v>682</v>
      </c>
      <c r="C94" s="105" t="s">
        <v>683</v>
      </c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</row>
    <row r="95" spans="1:15" ht="29" x14ac:dyDescent="0.35">
      <c r="A95" s="105" t="s">
        <v>646</v>
      </c>
      <c r="B95" s="105" t="s">
        <v>685</v>
      </c>
      <c r="C95" s="105" t="s">
        <v>686</v>
      </c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</row>
    <row r="96" spans="1:15" ht="29" x14ac:dyDescent="0.35">
      <c r="A96" s="105" t="s">
        <v>649</v>
      </c>
      <c r="B96" s="105" t="s">
        <v>688</v>
      </c>
      <c r="C96" s="105" t="s">
        <v>686</v>
      </c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</row>
    <row r="97" spans="1:15" ht="29" x14ac:dyDescent="0.35">
      <c r="A97" s="105" t="s">
        <v>651</v>
      </c>
      <c r="B97" s="105" t="s">
        <v>690</v>
      </c>
      <c r="C97" s="105" t="s">
        <v>686</v>
      </c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</row>
    <row r="98" spans="1:15" ht="29" x14ac:dyDescent="0.35">
      <c r="A98" s="105" t="s">
        <v>653</v>
      </c>
      <c r="B98" s="105" t="s">
        <v>692</v>
      </c>
      <c r="C98" s="105" t="s">
        <v>686</v>
      </c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</row>
    <row r="99" spans="1:15" ht="29" x14ac:dyDescent="0.35">
      <c r="A99" s="105" t="s">
        <v>655</v>
      </c>
      <c r="B99" s="105" t="s">
        <v>694</v>
      </c>
      <c r="C99" s="105" t="s">
        <v>686</v>
      </c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</row>
    <row r="100" spans="1:15" ht="29" x14ac:dyDescent="0.35">
      <c r="A100" s="105" t="s">
        <v>658</v>
      </c>
      <c r="B100" s="105" t="s">
        <v>696</v>
      </c>
      <c r="C100" s="105" t="s">
        <v>686</v>
      </c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</row>
    <row r="101" spans="1:15" ht="29" x14ac:dyDescent="0.35">
      <c r="A101" s="105" t="s">
        <v>660</v>
      </c>
      <c r="B101" s="105" t="s">
        <v>698</v>
      </c>
      <c r="C101" s="105" t="s">
        <v>686</v>
      </c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</row>
    <row r="102" spans="1:15" x14ac:dyDescent="0.35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</row>
    <row r="103" spans="1:15" x14ac:dyDescent="0.35">
      <c r="A103" s="166" t="s">
        <v>709</v>
      </c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2"/>
    </row>
    <row r="104" spans="1:15" ht="58" x14ac:dyDescent="0.35">
      <c r="A104" s="108" t="s">
        <v>700</v>
      </c>
      <c r="B104" s="108" t="s">
        <v>701</v>
      </c>
      <c r="C104" s="108" t="s">
        <v>390</v>
      </c>
      <c r="D104" s="108" t="s">
        <v>351</v>
      </c>
      <c r="E104" s="108" t="s">
        <v>352</v>
      </c>
      <c r="F104" s="108" t="s">
        <v>292</v>
      </c>
      <c r="G104" s="108" t="s">
        <v>619</v>
      </c>
      <c r="H104" s="108" t="s">
        <v>353</v>
      </c>
      <c r="I104" s="108" t="s">
        <v>610</v>
      </c>
      <c r="J104" s="105"/>
      <c r="K104" s="105"/>
      <c r="L104" s="105"/>
      <c r="M104" s="105"/>
      <c r="N104" s="105"/>
      <c r="O104" s="105"/>
    </row>
    <row r="105" spans="1:15" x14ac:dyDescent="0.35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</row>
    <row r="106" spans="1:15" x14ac:dyDescent="0.35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</row>
    <row r="107" spans="1:15" x14ac:dyDescent="0.35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</row>
    <row r="108" spans="1:15" x14ac:dyDescent="0.35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</row>
    <row r="109" spans="1:15" x14ac:dyDescent="0.35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</row>
    <row r="110" spans="1:15" x14ac:dyDescent="0.35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</row>
    <row r="111" spans="1:15" x14ac:dyDescent="0.35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</row>
    <row r="112" spans="1:15" x14ac:dyDescent="0.35">
      <c r="A112" s="167" t="s">
        <v>710</v>
      </c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2"/>
    </row>
    <row r="113" spans="1:15" ht="72.5" x14ac:dyDescent="0.35">
      <c r="A113" s="108" t="s">
        <v>600</v>
      </c>
      <c r="B113" s="108"/>
      <c r="C113" s="108" t="s">
        <v>601</v>
      </c>
      <c r="D113" s="108"/>
      <c r="E113" s="108" t="s">
        <v>602</v>
      </c>
      <c r="F113" s="108"/>
      <c r="G113" s="108" t="s">
        <v>603</v>
      </c>
      <c r="H113" s="108"/>
      <c r="I113" s="108" t="s">
        <v>604</v>
      </c>
      <c r="J113" s="108"/>
      <c r="K113" s="108" t="s">
        <v>6</v>
      </c>
      <c r="L113" s="108"/>
      <c r="M113" s="108" t="s">
        <v>605</v>
      </c>
      <c r="N113" s="108"/>
      <c r="O113" s="108"/>
    </row>
    <row r="114" spans="1:15" ht="72.5" x14ac:dyDescent="0.35">
      <c r="A114" s="108" t="s">
        <v>606</v>
      </c>
      <c r="B114" s="108"/>
      <c r="C114" s="108" t="s">
        <v>607</v>
      </c>
      <c r="D114" s="108"/>
      <c r="E114" s="108" t="s">
        <v>608</v>
      </c>
      <c r="F114" s="108"/>
      <c r="G114" s="108" t="s">
        <v>609</v>
      </c>
      <c r="H114" s="108"/>
      <c r="I114" s="108" t="s">
        <v>610</v>
      </c>
      <c r="J114" s="109">
        <f>IFERROR(COUNTIF(E117:E137,"Yes")/(COUNTIF(E117:E137,"Yes")+COUNTIF(F117:F137,"No")),0)</f>
        <v>0</v>
      </c>
      <c r="K114" s="108"/>
      <c r="L114" s="108" t="str">
        <f>IF(J114&gt;=0.9,"Green",IF(J114&gt;=0.75,"Amber","Red"))</f>
        <v>Red</v>
      </c>
      <c r="M114" s="108"/>
      <c r="N114" s="108"/>
      <c r="O114" s="108"/>
    </row>
    <row r="115" spans="1:15" x14ac:dyDescent="0.35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</row>
    <row r="116" spans="1:15" ht="29" x14ac:dyDescent="0.35">
      <c r="A116" s="110" t="s">
        <v>611</v>
      </c>
      <c r="B116" s="110" t="s">
        <v>612</v>
      </c>
      <c r="C116" s="110" t="s">
        <v>613</v>
      </c>
      <c r="D116" s="110" t="s">
        <v>614</v>
      </c>
      <c r="E116" s="110" t="s">
        <v>81</v>
      </c>
      <c r="F116" s="110" t="s">
        <v>615</v>
      </c>
      <c r="G116" s="110" t="s">
        <v>616</v>
      </c>
      <c r="H116" s="110" t="s">
        <v>617</v>
      </c>
      <c r="I116" s="110" t="s">
        <v>618</v>
      </c>
      <c r="J116" s="110" t="s">
        <v>390</v>
      </c>
      <c r="K116" s="110" t="s">
        <v>351</v>
      </c>
      <c r="L116" s="110" t="s">
        <v>352</v>
      </c>
      <c r="M116" s="110" t="s">
        <v>292</v>
      </c>
      <c r="N116" s="110" t="s">
        <v>353</v>
      </c>
      <c r="O116" s="110" t="s">
        <v>619</v>
      </c>
    </row>
    <row r="117" spans="1:15" ht="29" x14ac:dyDescent="0.35">
      <c r="A117" s="105" t="s">
        <v>620</v>
      </c>
      <c r="B117" s="105" t="s">
        <v>828</v>
      </c>
      <c r="C117" s="105" t="s">
        <v>622</v>
      </c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</row>
    <row r="118" spans="1:15" ht="29" x14ac:dyDescent="0.35">
      <c r="A118" s="105" t="s">
        <v>623</v>
      </c>
      <c r="B118" s="105" t="s">
        <v>829</v>
      </c>
      <c r="C118" s="105" t="s">
        <v>622</v>
      </c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</row>
    <row r="119" spans="1:15" x14ac:dyDescent="0.35">
      <c r="A119" s="105" t="s">
        <v>625</v>
      </c>
      <c r="B119" s="105" t="s">
        <v>830</v>
      </c>
      <c r="C119" s="105" t="s">
        <v>622</v>
      </c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</row>
    <row r="120" spans="1:15" x14ac:dyDescent="0.35">
      <c r="A120" s="105" t="s">
        <v>627</v>
      </c>
      <c r="B120" s="105" t="s">
        <v>831</v>
      </c>
      <c r="C120" s="105" t="s">
        <v>743</v>
      </c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</row>
    <row r="121" spans="1:15" x14ac:dyDescent="0.35">
      <c r="A121" s="105" t="s">
        <v>629</v>
      </c>
      <c r="B121" s="105" t="s">
        <v>832</v>
      </c>
      <c r="C121" s="105" t="s">
        <v>622</v>
      </c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</row>
    <row r="122" spans="1:15" x14ac:dyDescent="0.35">
      <c r="A122" s="105" t="s">
        <v>631</v>
      </c>
      <c r="B122" s="105" t="s">
        <v>833</v>
      </c>
      <c r="C122" s="105" t="s">
        <v>622</v>
      </c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</row>
    <row r="123" spans="1:15" ht="29" x14ac:dyDescent="0.35">
      <c r="A123" s="105" t="s">
        <v>633</v>
      </c>
      <c r="B123" s="105" t="s">
        <v>837</v>
      </c>
      <c r="C123" s="105" t="s">
        <v>743</v>
      </c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</row>
    <row r="124" spans="1:15" ht="29" x14ac:dyDescent="0.35">
      <c r="A124" s="105" t="s">
        <v>635</v>
      </c>
      <c r="B124" s="105" t="s">
        <v>838</v>
      </c>
      <c r="C124" s="105" t="s">
        <v>743</v>
      </c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</row>
    <row r="125" spans="1:15" ht="29" x14ac:dyDescent="0.35">
      <c r="A125" s="105" t="s">
        <v>637</v>
      </c>
      <c r="B125" s="105" t="s">
        <v>839</v>
      </c>
      <c r="C125" s="105" t="s">
        <v>743</v>
      </c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</row>
    <row r="126" spans="1:15" ht="29" x14ac:dyDescent="0.35">
      <c r="A126" s="105" t="s">
        <v>639</v>
      </c>
      <c r="B126" s="105" t="s">
        <v>834</v>
      </c>
      <c r="C126" s="105" t="s">
        <v>622</v>
      </c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</row>
    <row r="127" spans="1:15" ht="29" x14ac:dyDescent="0.35">
      <c r="A127" s="105" t="s">
        <v>641</v>
      </c>
      <c r="B127" s="105" t="s">
        <v>835</v>
      </c>
      <c r="C127" s="105" t="s">
        <v>622</v>
      </c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</row>
    <row r="128" spans="1:15" ht="29" x14ac:dyDescent="0.35">
      <c r="A128" s="105" t="s">
        <v>643</v>
      </c>
      <c r="B128" s="105" t="s">
        <v>836</v>
      </c>
      <c r="C128" s="105" t="s">
        <v>622</v>
      </c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</row>
    <row r="129" spans="1:15" ht="29" x14ac:dyDescent="0.35">
      <c r="A129" s="105" t="s">
        <v>644</v>
      </c>
      <c r="B129" s="105" t="s">
        <v>706</v>
      </c>
      <c r="C129" s="105" t="s">
        <v>622</v>
      </c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</row>
    <row r="130" spans="1:15" ht="29" x14ac:dyDescent="0.35">
      <c r="A130" s="105" t="s">
        <v>645</v>
      </c>
      <c r="B130" s="105" t="s">
        <v>682</v>
      </c>
      <c r="C130" s="105" t="s">
        <v>683</v>
      </c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</row>
    <row r="131" spans="1:15" ht="29" x14ac:dyDescent="0.35">
      <c r="A131" s="105" t="s">
        <v>646</v>
      </c>
      <c r="B131" s="105" t="s">
        <v>685</v>
      </c>
      <c r="C131" s="105" t="s">
        <v>686</v>
      </c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</row>
    <row r="132" spans="1:15" ht="29" x14ac:dyDescent="0.35">
      <c r="A132" s="105" t="s">
        <v>649</v>
      </c>
      <c r="B132" s="105" t="s">
        <v>688</v>
      </c>
      <c r="C132" s="105" t="s">
        <v>686</v>
      </c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</row>
    <row r="133" spans="1:15" ht="29" x14ac:dyDescent="0.35">
      <c r="A133" s="105" t="s">
        <v>651</v>
      </c>
      <c r="B133" s="105" t="s">
        <v>690</v>
      </c>
      <c r="C133" s="105" t="s">
        <v>686</v>
      </c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</row>
    <row r="134" spans="1:15" ht="29" x14ac:dyDescent="0.35">
      <c r="A134" s="105" t="s">
        <v>653</v>
      </c>
      <c r="B134" s="105" t="s">
        <v>692</v>
      </c>
      <c r="C134" s="105" t="s">
        <v>686</v>
      </c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</row>
    <row r="135" spans="1:15" ht="29" x14ac:dyDescent="0.35">
      <c r="A135" s="105" t="s">
        <v>655</v>
      </c>
      <c r="B135" s="105" t="s">
        <v>694</v>
      </c>
      <c r="C135" s="105" t="s">
        <v>686</v>
      </c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</row>
    <row r="136" spans="1:15" ht="29" x14ac:dyDescent="0.35">
      <c r="A136" s="105" t="s">
        <v>658</v>
      </c>
      <c r="B136" s="105" t="s">
        <v>696</v>
      </c>
      <c r="C136" s="105" t="s">
        <v>686</v>
      </c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</row>
    <row r="137" spans="1:15" ht="29" x14ac:dyDescent="0.35">
      <c r="A137" s="105" t="s">
        <v>660</v>
      </c>
      <c r="B137" s="105" t="s">
        <v>698</v>
      </c>
      <c r="C137" s="105" t="s">
        <v>686</v>
      </c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</row>
    <row r="138" spans="1:15" x14ac:dyDescent="0.35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</row>
    <row r="139" spans="1:15" x14ac:dyDescent="0.35">
      <c r="A139" s="166" t="s">
        <v>711</v>
      </c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2"/>
    </row>
    <row r="140" spans="1:15" ht="58" x14ac:dyDescent="0.35">
      <c r="A140" s="108" t="s">
        <v>700</v>
      </c>
      <c r="B140" s="108" t="s">
        <v>701</v>
      </c>
      <c r="C140" s="108" t="s">
        <v>390</v>
      </c>
      <c r="D140" s="108" t="s">
        <v>351</v>
      </c>
      <c r="E140" s="108" t="s">
        <v>352</v>
      </c>
      <c r="F140" s="108" t="s">
        <v>292</v>
      </c>
      <c r="G140" s="108" t="s">
        <v>619</v>
      </c>
      <c r="H140" s="108" t="s">
        <v>353</v>
      </c>
      <c r="I140" s="108" t="s">
        <v>610</v>
      </c>
      <c r="J140" s="105"/>
      <c r="K140" s="105"/>
      <c r="L140" s="105"/>
      <c r="M140" s="105"/>
      <c r="N140" s="105"/>
      <c r="O140" s="105"/>
    </row>
    <row r="141" spans="1:15" x14ac:dyDescent="0.35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</row>
    <row r="142" spans="1:15" x14ac:dyDescent="0.35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</row>
    <row r="143" spans="1:15" x14ac:dyDescent="0.35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</row>
    <row r="144" spans="1:15" x14ac:dyDescent="0.35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</row>
    <row r="145" spans="1:15" x14ac:dyDescent="0.35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</row>
    <row r="146" spans="1:15" x14ac:dyDescent="0.35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</row>
    <row r="147" spans="1:15" x14ac:dyDescent="0.35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</row>
    <row r="148" spans="1:15" x14ac:dyDescent="0.35">
      <c r="A148" s="167" t="s">
        <v>712</v>
      </c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2"/>
    </row>
    <row r="149" spans="1:15" ht="72.5" x14ac:dyDescent="0.35">
      <c r="A149" s="108" t="s">
        <v>600</v>
      </c>
      <c r="B149" s="108"/>
      <c r="C149" s="108" t="s">
        <v>601</v>
      </c>
      <c r="D149" s="108"/>
      <c r="E149" s="108" t="s">
        <v>602</v>
      </c>
      <c r="F149" s="108"/>
      <c r="G149" s="108" t="s">
        <v>603</v>
      </c>
      <c r="H149" s="108"/>
      <c r="I149" s="108" t="s">
        <v>604</v>
      </c>
      <c r="J149" s="108"/>
      <c r="K149" s="108" t="s">
        <v>6</v>
      </c>
      <c r="L149" s="108"/>
      <c r="M149" s="108" t="s">
        <v>605</v>
      </c>
      <c r="N149" s="108"/>
      <c r="O149" s="108"/>
    </row>
    <row r="150" spans="1:15" ht="72.5" x14ac:dyDescent="0.35">
      <c r="A150" s="108" t="s">
        <v>606</v>
      </c>
      <c r="B150" s="108"/>
      <c r="C150" s="108" t="s">
        <v>607</v>
      </c>
      <c r="D150" s="108"/>
      <c r="E150" s="108" t="s">
        <v>608</v>
      </c>
      <c r="F150" s="108"/>
      <c r="G150" s="108" t="s">
        <v>609</v>
      </c>
      <c r="H150" s="108"/>
      <c r="I150" s="108" t="s">
        <v>610</v>
      </c>
      <c r="J150" s="109">
        <f>IFERROR(COUNTIF(E153:E173,"Yes")/(COUNTIF(E153:E173,"Yes")+COUNTIF(F153:F173,"No")),0)</f>
        <v>0</v>
      </c>
      <c r="K150" s="108"/>
      <c r="L150" s="108" t="str">
        <f>IF(J150&gt;=0.9,"Green",IF(J150&gt;=0.75,"Amber","Red"))</f>
        <v>Red</v>
      </c>
      <c r="M150" s="108"/>
      <c r="N150" s="108"/>
      <c r="O150" s="108"/>
    </row>
    <row r="151" spans="1:15" x14ac:dyDescent="0.35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</row>
    <row r="152" spans="1:15" ht="29" x14ac:dyDescent="0.35">
      <c r="A152" s="110" t="s">
        <v>611</v>
      </c>
      <c r="B152" s="110" t="s">
        <v>612</v>
      </c>
      <c r="C152" s="110" t="s">
        <v>613</v>
      </c>
      <c r="D152" s="110" t="s">
        <v>614</v>
      </c>
      <c r="E152" s="110" t="s">
        <v>81</v>
      </c>
      <c r="F152" s="110" t="s">
        <v>615</v>
      </c>
      <c r="G152" s="110" t="s">
        <v>616</v>
      </c>
      <c r="H152" s="110" t="s">
        <v>617</v>
      </c>
      <c r="I152" s="110" t="s">
        <v>618</v>
      </c>
      <c r="J152" s="110" t="s">
        <v>390</v>
      </c>
      <c r="K152" s="110" t="s">
        <v>351</v>
      </c>
      <c r="L152" s="110" t="s">
        <v>352</v>
      </c>
      <c r="M152" s="110" t="s">
        <v>292</v>
      </c>
      <c r="N152" s="110" t="s">
        <v>353</v>
      </c>
      <c r="O152" s="110" t="s">
        <v>619</v>
      </c>
    </row>
    <row r="153" spans="1:15" ht="29" x14ac:dyDescent="0.35">
      <c r="A153" s="105" t="s">
        <v>620</v>
      </c>
      <c r="B153" s="105" t="s">
        <v>828</v>
      </c>
      <c r="C153" s="105" t="s">
        <v>622</v>
      </c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</row>
    <row r="154" spans="1:15" ht="29" x14ac:dyDescent="0.35">
      <c r="A154" s="105" t="s">
        <v>623</v>
      </c>
      <c r="B154" s="105" t="s">
        <v>829</v>
      </c>
      <c r="C154" s="105" t="s">
        <v>622</v>
      </c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</row>
    <row r="155" spans="1:15" x14ac:dyDescent="0.35">
      <c r="A155" s="105" t="s">
        <v>625</v>
      </c>
      <c r="B155" s="105" t="s">
        <v>830</v>
      </c>
      <c r="C155" s="105" t="s">
        <v>622</v>
      </c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</row>
    <row r="156" spans="1:15" x14ac:dyDescent="0.35">
      <c r="A156" s="105" t="s">
        <v>627</v>
      </c>
      <c r="B156" s="105" t="s">
        <v>831</v>
      </c>
      <c r="C156" s="105" t="s">
        <v>743</v>
      </c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</row>
    <row r="157" spans="1:15" x14ac:dyDescent="0.35">
      <c r="A157" s="105" t="s">
        <v>629</v>
      </c>
      <c r="B157" s="105" t="s">
        <v>832</v>
      </c>
      <c r="C157" s="105" t="s">
        <v>622</v>
      </c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</row>
    <row r="158" spans="1:15" x14ac:dyDescent="0.35">
      <c r="A158" s="105" t="s">
        <v>631</v>
      </c>
      <c r="B158" s="105" t="s">
        <v>833</v>
      </c>
      <c r="C158" s="105" t="s">
        <v>622</v>
      </c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</row>
    <row r="159" spans="1:15" ht="29" x14ac:dyDescent="0.35">
      <c r="A159" s="105" t="s">
        <v>633</v>
      </c>
      <c r="B159" s="105" t="s">
        <v>837</v>
      </c>
      <c r="C159" s="105" t="s">
        <v>743</v>
      </c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</row>
    <row r="160" spans="1:15" ht="29" x14ac:dyDescent="0.35">
      <c r="A160" s="105" t="s">
        <v>635</v>
      </c>
      <c r="B160" s="105" t="s">
        <v>838</v>
      </c>
      <c r="C160" s="105" t="s">
        <v>743</v>
      </c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</row>
    <row r="161" spans="1:15" ht="29" x14ac:dyDescent="0.35">
      <c r="A161" s="105" t="s">
        <v>637</v>
      </c>
      <c r="B161" s="105" t="s">
        <v>839</v>
      </c>
      <c r="C161" s="105" t="s">
        <v>743</v>
      </c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</row>
    <row r="162" spans="1:15" ht="29" x14ac:dyDescent="0.35">
      <c r="A162" s="105" t="s">
        <v>639</v>
      </c>
      <c r="B162" s="105" t="s">
        <v>834</v>
      </c>
      <c r="C162" s="105" t="s">
        <v>622</v>
      </c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</row>
    <row r="163" spans="1:15" ht="29" x14ac:dyDescent="0.35">
      <c r="A163" s="105" t="s">
        <v>641</v>
      </c>
      <c r="B163" s="105" t="s">
        <v>835</v>
      </c>
      <c r="C163" s="105" t="s">
        <v>622</v>
      </c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</row>
    <row r="164" spans="1:15" ht="29" x14ac:dyDescent="0.35">
      <c r="A164" s="105" t="s">
        <v>643</v>
      </c>
      <c r="B164" s="105" t="s">
        <v>836</v>
      </c>
      <c r="C164" s="105" t="s">
        <v>622</v>
      </c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</row>
    <row r="165" spans="1:15" ht="29" x14ac:dyDescent="0.35">
      <c r="A165" s="105" t="s">
        <v>644</v>
      </c>
      <c r="B165" s="105" t="s">
        <v>706</v>
      </c>
      <c r="C165" s="105" t="s">
        <v>622</v>
      </c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</row>
    <row r="166" spans="1:15" ht="29" x14ac:dyDescent="0.35">
      <c r="A166" s="105" t="s">
        <v>645</v>
      </c>
      <c r="B166" s="105" t="s">
        <v>682</v>
      </c>
      <c r="C166" s="105" t="s">
        <v>683</v>
      </c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</row>
    <row r="167" spans="1:15" ht="29" x14ac:dyDescent="0.35">
      <c r="A167" s="105" t="s">
        <v>646</v>
      </c>
      <c r="B167" s="105" t="s">
        <v>685</v>
      </c>
      <c r="C167" s="105" t="s">
        <v>686</v>
      </c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</row>
    <row r="168" spans="1:15" ht="29" x14ac:dyDescent="0.35">
      <c r="A168" s="105" t="s">
        <v>649</v>
      </c>
      <c r="B168" s="105" t="s">
        <v>688</v>
      </c>
      <c r="C168" s="105" t="s">
        <v>686</v>
      </c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</row>
    <row r="169" spans="1:15" ht="29" x14ac:dyDescent="0.35">
      <c r="A169" s="105" t="s">
        <v>651</v>
      </c>
      <c r="B169" s="105" t="s">
        <v>690</v>
      </c>
      <c r="C169" s="105" t="s">
        <v>686</v>
      </c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</row>
    <row r="170" spans="1:15" ht="29" x14ac:dyDescent="0.35">
      <c r="A170" s="105" t="s">
        <v>653</v>
      </c>
      <c r="B170" s="105" t="s">
        <v>692</v>
      </c>
      <c r="C170" s="105" t="s">
        <v>686</v>
      </c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</row>
    <row r="171" spans="1:15" ht="29" x14ac:dyDescent="0.35">
      <c r="A171" s="105" t="s">
        <v>655</v>
      </c>
      <c r="B171" s="105" t="s">
        <v>694</v>
      </c>
      <c r="C171" s="105" t="s">
        <v>686</v>
      </c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</row>
    <row r="172" spans="1:15" ht="29" x14ac:dyDescent="0.35">
      <c r="A172" s="105" t="s">
        <v>658</v>
      </c>
      <c r="B172" s="105" t="s">
        <v>696</v>
      </c>
      <c r="C172" s="105" t="s">
        <v>686</v>
      </c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</row>
    <row r="173" spans="1:15" ht="29" x14ac:dyDescent="0.35">
      <c r="A173" s="105" t="s">
        <v>660</v>
      </c>
      <c r="B173" s="105" t="s">
        <v>698</v>
      </c>
      <c r="C173" s="105" t="s">
        <v>686</v>
      </c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</row>
    <row r="174" spans="1:15" x14ac:dyDescent="0.35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</row>
    <row r="175" spans="1:15" x14ac:dyDescent="0.35">
      <c r="A175" s="166" t="s">
        <v>713</v>
      </c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2"/>
    </row>
    <row r="176" spans="1:15" ht="58" x14ac:dyDescent="0.35">
      <c r="A176" s="108" t="s">
        <v>700</v>
      </c>
      <c r="B176" s="108" t="s">
        <v>701</v>
      </c>
      <c r="C176" s="108" t="s">
        <v>390</v>
      </c>
      <c r="D176" s="108" t="s">
        <v>351</v>
      </c>
      <c r="E176" s="108" t="s">
        <v>352</v>
      </c>
      <c r="F176" s="108" t="s">
        <v>292</v>
      </c>
      <c r="G176" s="108" t="s">
        <v>619</v>
      </c>
      <c r="H176" s="108" t="s">
        <v>353</v>
      </c>
      <c r="I176" s="108" t="s">
        <v>610</v>
      </c>
      <c r="J176" s="105"/>
      <c r="K176" s="105"/>
      <c r="L176" s="105"/>
      <c r="M176" s="105"/>
      <c r="N176" s="105"/>
      <c r="O176" s="105"/>
    </row>
    <row r="177" spans="1:15" x14ac:dyDescent="0.35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</row>
    <row r="178" spans="1:15" x14ac:dyDescent="0.35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</row>
    <row r="179" spans="1:15" x14ac:dyDescent="0.35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</row>
    <row r="180" spans="1:15" x14ac:dyDescent="0.35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</row>
    <row r="181" spans="1:15" x14ac:dyDescent="0.35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</row>
    <row r="182" spans="1:15" x14ac:dyDescent="0.35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</row>
    <row r="183" spans="1:15" x14ac:dyDescent="0.35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</row>
    <row r="184" spans="1:15" x14ac:dyDescent="0.35">
      <c r="A184" s="167" t="s">
        <v>714</v>
      </c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2"/>
    </row>
    <row r="185" spans="1:15" ht="72.5" x14ac:dyDescent="0.35">
      <c r="A185" s="108" t="s">
        <v>600</v>
      </c>
      <c r="B185" s="108"/>
      <c r="C185" s="108" t="s">
        <v>601</v>
      </c>
      <c r="D185" s="108"/>
      <c r="E185" s="108" t="s">
        <v>602</v>
      </c>
      <c r="F185" s="108"/>
      <c r="G185" s="108" t="s">
        <v>603</v>
      </c>
      <c r="H185" s="108"/>
      <c r="I185" s="108" t="s">
        <v>604</v>
      </c>
      <c r="J185" s="108"/>
      <c r="K185" s="108" t="s">
        <v>6</v>
      </c>
      <c r="L185" s="108"/>
      <c r="M185" s="108" t="s">
        <v>605</v>
      </c>
      <c r="N185" s="108"/>
      <c r="O185" s="108"/>
    </row>
    <row r="186" spans="1:15" ht="72.5" x14ac:dyDescent="0.35">
      <c r="A186" s="108" t="s">
        <v>606</v>
      </c>
      <c r="B186" s="108"/>
      <c r="C186" s="108" t="s">
        <v>607</v>
      </c>
      <c r="D186" s="108"/>
      <c r="E186" s="108" t="s">
        <v>608</v>
      </c>
      <c r="F186" s="108"/>
      <c r="G186" s="108" t="s">
        <v>609</v>
      </c>
      <c r="H186" s="108"/>
      <c r="I186" s="108" t="s">
        <v>610</v>
      </c>
      <c r="J186" s="109">
        <f>IFERROR(COUNTIF(E189:E209,"Yes")/(COUNTIF(E189:E209,"Yes")+COUNTIF(F189:F209,"No")),0)</f>
        <v>0</v>
      </c>
      <c r="K186" s="108"/>
      <c r="L186" s="108" t="str">
        <f>IF(J186&gt;=0.9,"Green",IF(J186&gt;=0.75,"Amber","Red"))</f>
        <v>Red</v>
      </c>
      <c r="M186" s="108"/>
      <c r="N186" s="108"/>
      <c r="O186" s="108"/>
    </row>
    <row r="187" spans="1:15" x14ac:dyDescent="0.35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</row>
    <row r="188" spans="1:15" ht="29" x14ac:dyDescent="0.35">
      <c r="A188" s="110" t="s">
        <v>611</v>
      </c>
      <c r="B188" s="110" t="s">
        <v>612</v>
      </c>
      <c r="C188" s="110" t="s">
        <v>613</v>
      </c>
      <c r="D188" s="110" t="s">
        <v>614</v>
      </c>
      <c r="E188" s="110" t="s">
        <v>81</v>
      </c>
      <c r="F188" s="110" t="s">
        <v>615</v>
      </c>
      <c r="G188" s="110" t="s">
        <v>616</v>
      </c>
      <c r="H188" s="110" t="s">
        <v>617</v>
      </c>
      <c r="I188" s="110" t="s">
        <v>618</v>
      </c>
      <c r="J188" s="110" t="s">
        <v>390</v>
      </c>
      <c r="K188" s="110" t="s">
        <v>351</v>
      </c>
      <c r="L188" s="110" t="s">
        <v>352</v>
      </c>
      <c r="M188" s="110" t="s">
        <v>292</v>
      </c>
      <c r="N188" s="110" t="s">
        <v>353</v>
      </c>
      <c r="O188" s="110" t="s">
        <v>619</v>
      </c>
    </row>
    <row r="189" spans="1:15" ht="29" x14ac:dyDescent="0.35">
      <c r="A189" s="105" t="s">
        <v>620</v>
      </c>
      <c r="B189" s="105" t="s">
        <v>828</v>
      </c>
      <c r="C189" s="105" t="s">
        <v>622</v>
      </c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</row>
    <row r="190" spans="1:15" ht="29" x14ac:dyDescent="0.35">
      <c r="A190" s="105" t="s">
        <v>623</v>
      </c>
      <c r="B190" s="105" t="s">
        <v>829</v>
      </c>
      <c r="C190" s="105" t="s">
        <v>622</v>
      </c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</row>
    <row r="191" spans="1:15" x14ac:dyDescent="0.35">
      <c r="A191" s="105" t="s">
        <v>625</v>
      </c>
      <c r="B191" s="105" t="s">
        <v>830</v>
      </c>
      <c r="C191" s="105" t="s">
        <v>622</v>
      </c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</row>
    <row r="192" spans="1:15" x14ac:dyDescent="0.35">
      <c r="A192" s="105" t="s">
        <v>627</v>
      </c>
      <c r="B192" s="105" t="s">
        <v>831</v>
      </c>
      <c r="C192" s="105" t="s">
        <v>743</v>
      </c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</row>
    <row r="193" spans="1:15" x14ac:dyDescent="0.35">
      <c r="A193" s="105" t="s">
        <v>629</v>
      </c>
      <c r="B193" s="105" t="s">
        <v>832</v>
      </c>
      <c r="C193" s="105" t="s">
        <v>622</v>
      </c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</row>
    <row r="194" spans="1:15" x14ac:dyDescent="0.35">
      <c r="A194" s="105" t="s">
        <v>631</v>
      </c>
      <c r="B194" s="105" t="s">
        <v>833</v>
      </c>
      <c r="C194" s="105" t="s">
        <v>622</v>
      </c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</row>
    <row r="195" spans="1:15" ht="29" x14ac:dyDescent="0.35">
      <c r="A195" s="105" t="s">
        <v>633</v>
      </c>
      <c r="B195" s="105" t="s">
        <v>837</v>
      </c>
      <c r="C195" s="105" t="s">
        <v>743</v>
      </c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</row>
    <row r="196" spans="1:15" ht="29" x14ac:dyDescent="0.35">
      <c r="A196" s="105" t="s">
        <v>635</v>
      </c>
      <c r="B196" s="105" t="s">
        <v>838</v>
      </c>
      <c r="C196" s="105" t="s">
        <v>743</v>
      </c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</row>
    <row r="197" spans="1:15" ht="29" x14ac:dyDescent="0.35">
      <c r="A197" s="105" t="s">
        <v>637</v>
      </c>
      <c r="B197" s="105" t="s">
        <v>839</v>
      </c>
      <c r="C197" s="105" t="s">
        <v>743</v>
      </c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</row>
    <row r="198" spans="1:15" ht="29" x14ac:dyDescent="0.35">
      <c r="A198" s="105" t="s">
        <v>639</v>
      </c>
      <c r="B198" s="105" t="s">
        <v>834</v>
      </c>
      <c r="C198" s="105" t="s">
        <v>622</v>
      </c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</row>
    <row r="199" spans="1:15" ht="29" x14ac:dyDescent="0.35">
      <c r="A199" s="105" t="s">
        <v>641</v>
      </c>
      <c r="B199" s="105" t="s">
        <v>835</v>
      </c>
      <c r="C199" s="105" t="s">
        <v>622</v>
      </c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</row>
    <row r="200" spans="1:15" ht="29" x14ac:dyDescent="0.35">
      <c r="A200" s="105" t="s">
        <v>643</v>
      </c>
      <c r="B200" s="105" t="s">
        <v>836</v>
      </c>
      <c r="C200" s="105" t="s">
        <v>622</v>
      </c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</row>
    <row r="201" spans="1:15" ht="29" x14ac:dyDescent="0.35">
      <c r="A201" s="105" t="s">
        <v>644</v>
      </c>
      <c r="B201" s="105" t="s">
        <v>706</v>
      </c>
      <c r="C201" s="105" t="s">
        <v>622</v>
      </c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</row>
    <row r="202" spans="1:15" ht="29" x14ac:dyDescent="0.35">
      <c r="A202" s="105" t="s">
        <v>645</v>
      </c>
      <c r="B202" s="105" t="s">
        <v>682</v>
      </c>
      <c r="C202" s="105" t="s">
        <v>683</v>
      </c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</row>
    <row r="203" spans="1:15" ht="29" x14ac:dyDescent="0.35">
      <c r="A203" s="105" t="s">
        <v>646</v>
      </c>
      <c r="B203" s="105" t="s">
        <v>685</v>
      </c>
      <c r="C203" s="105" t="s">
        <v>686</v>
      </c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</row>
    <row r="204" spans="1:15" ht="29" x14ac:dyDescent="0.35">
      <c r="A204" s="105" t="s">
        <v>649</v>
      </c>
      <c r="B204" s="105" t="s">
        <v>688</v>
      </c>
      <c r="C204" s="105" t="s">
        <v>686</v>
      </c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</row>
    <row r="205" spans="1:15" ht="29" x14ac:dyDescent="0.35">
      <c r="A205" s="105" t="s">
        <v>651</v>
      </c>
      <c r="B205" s="105" t="s">
        <v>690</v>
      </c>
      <c r="C205" s="105" t="s">
        <v>686</v>
      </c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</row>
    <row r="206" spans="1:15" ht="29" x14ac:dyDescent="0.35">
      <c r="A206" s="105" t="s">
        <v>653</v>
      </c>
      <c r="B206" s="105" t="s">
        <v>692</v>
      </c>
      <c r="C206" s="105" t="s">
        <v>686</v>
      </c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</row>
    <row r="207" spans="1:15" ht="29" x14ac:dyDescent="0.35">
      <c r="A207" s="105" t="s">
        <v>655</v>
      </c>
      <c r="B207" s="105" t="s">
        <v>694</v>
      </c>
      <c r="C207" s="105" t="s">
        <v>686</v>
      </c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</row>
    <row r="208" spans="1:15" ht="29" x14ac:dyDescent="0.35">
      <c r="A208" s="105" t="s">
        <v>658</v>
      </c>
      <c r="B208" s="105" t="s">
        <v>696</v>
      </c>
      <c r="C208" s="105" t="s">
        <v>686</v>
      </c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</row>
    <row r="209" spans="1:15" ht="29" x14ac:dyDescent="0.35">
      <c r="A209" s="105" t="s">
        <v>660</v>
      </c>
      <c r="B209" s="105" t="s">
        <v>698</v>
      </c>
      <c r="C209" s="105" t="s">
        <v>686</v>
      </c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</row>
    <row r="210" spans="1:15" x14ac:dyDescent="0.35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</row>
    <row r="211" spans="1:15" x14ac:dyDescent="0.35">
      <c r="A211" s="166" t="s">
        <v>715</v>
      </c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2"/>
    </row>
    <row r="212" spans="1:15" ht="58" x14ac:dyDescent="0.35">
      <c r="A212" s="108" t="s">
        <v>700</v>
      </c>
      <c r="B212" s="108" t="s">
        <v>701</v>
      </c>
      <c r="C212" s="108" t="s">
        <v>390</v>
      </c>
      <c r="D212" s="108" t="s">
        <v>351</v>
      </c>
      <c r="E212" s="108" t="s">
        <v>352</v>
      </c>
      <c r="F212" s="108" t="s">
        <v>292</v>
      </c>
      <c r="G212" s="108" t="s">
        <v>619</v>
      </c>
      <c r="H212" s="108" t="s">
        <v>353</v>
      </c>
      <c r="I212" s="108" t="s">
        <v>610</v>
      </c>
      <c r="J212" s="105"/>
      <c r="K212" s="105"/>
      <c r="L212" s="105"/>
      <c r="M212" s="105"/>
      <c r="N212" s="105"/>
      <c r="O212" s="105"/>
    </row>
    <row r="213" spans="1:15" x14ac:dyDescent="0.35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</row>
    <row r="214" spans="1:15" x14ac:dyDescent="0.35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</row>
    <row r="215" spans="1:15" x14ac:dyDescent="0.3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</row>
    <row r="216" spans="1:15" x14ac:dyDescent="0.35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</row>
    <row r="217" spans="1:15" x14ac:dyDescent="0.35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</row>
    <row r="218" spans="1:15" x14ac:dyDescent="0.35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</row>
    <row r="219" spans="1:15" x14ac:dyDescent="0.35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</row>
    <row r="220" spans="1:15" x14ac:dyDescent="0.35">
      <c r="A220" s="167" t="s">
        <v>716</v>
      </c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2"/>
    </row>
    <row r="221" spans="1:15" ht="72.5" x14ac:dyDescent="0.35">
      <c r="A221" s="108" t="s">
        <v>600</v>
      </c>
      <c r="B221" s="108"/>
      <c r="C221" s="108" t="s">
        <v>601</v>
      </c>
      <c r="D221" s="108"/>
      <c r="E221" s="108" t="s">
        <v>602</v>
      </c>
      <c r="F221" s="108"/>
      <c r="G221" s="108" t="s">
        <v>603</v>
      </c>
      <c r="H221" s="108"/>
      <c r="I221" s="108" t="s">
        <v>604</v>
      </c>
      <c r="J221" s="108"/>
      <c r="K221" s="108" t="s">
        <v>6</v>
      </c>
      <c r="L221" s="108"/>
      <c r="M221" s="108" t="s">
        <v>605</v>
      </c>
      <c r="N221" s="108"/>
      <c r="O221" s="108"/>
    </row>
    <row r="222" spans="1:15" ht="72.5" x14ac:dyDescent="0.35">
      <c r="A222" s="108" t="s">
        <v>606</v>
      </c>
      <c r="B222" s="108"/>
      <c r="C222" s="108" t="s">
        <v>607</v>
      </c>
      <c r="D222" s="108"/>
      <c r="E222" s="108" t="s">
        <v>608</v>
      </c>
      <c r="F222" s="108"/>
      <c r="G222" s="108" t="s">
        <v>609</v>
      </c>
      <c r="H222" s="108"/>
      <c r="I222" s="108" t="s">
        <v>610</v>
      </c>
      <c r="J222" s="109">
        <f>IFERROR(COUNTIF(E225:E245,"Yes")/(COUNTIF(E225:E245,"Yes")+COUNTIF(F225:F245,"No")),0)</f>
        <v>0</v>
      </c>
      <c r="K222" s="108"/>
      <c r="L222" s="108" t="str">
        <f>IF(J222&gt;=0.9,"Green",IF(J222&gt;=0.75,"Amber","Red"))</f>
        <v>Red</v>
      </c>
      <c r="M222" s="108"/>
      <c r="N222" s="108"/>
      <c r="O222" s="108"/>
    </row>
    <row r="223" spans="1:15" x14ac:dyDescent="0.35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</row>
    <row r="224" spans="1:15" ht="29" x14ac:dyDescent="0.35">
      <c r="A224" s="110" t="s">
        <v>611</v>
      </c>
      <c r="B224" s="110" t="s">
        <v>612</v>
      </c>
      <c r="C224" s="110" t="s">
        <v>613</v>
      </c>
      <c r="D224" s="110" t="s">
        <v>614</v>
      </c>
      <c r="E224" s="110" t="s">
        <v>81</v>
      </c>
      <c r="F224" s="110" t="s">
        <v>615</v>
      </c>
      <c r="G224" s="110" t="s">
        <v>616</v>
      </c>
      <c r="H224" s="110" t="s">
        <v>617</v>
      </c>
      <c r="I224" s="110" t="s">
        <v>618</v>
      </c>
      <c r="J224" s="110" t="s">
        <v>390</v>
      </c>
      <c r="K224" s="110" t="s">
        <v>351</v>
      </c>
      <c r="L224" s="110" t="s">
        <v>352</v>
      </c>
      <c r="M224" s="110" t="s">
        <v>292</v>
      </c>
      <c r="N224" s="110" t="s">
        <v>353</v>
      </c>
      <c r="O224" s="110" t="s">
        <v>619</v>
      </c>
    </row>
    <row r="225" spans="1:15" ht="29" x14ac:dyDescent="0.35">
      <c r="A225" s="105" t="s">
        <v>620</v>
      </c>
      <c r="B225" s="105" t="s">
        <v>828</v>
      </c>
      <c r="C225" s="105" t="s">
        <v>622</v>
      </c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</row>
    <row r="226" spans="1:15" ht="29" x14ac:dyDescent="0.35">
      <c r="A226" s="105" t="s">
        <v>623</v>
      </c>
      <c r="B226" s="105" t="s">
        <v>829</v>
      </c>
      <c r="C226" s="105" t="s">
        <v>622</v>
      </c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</row>
    <row r="227" spans="1:15" x14ac:dyDescent="0.35">
      <c r="A227" s="105" t="s">
        <v>625</v>
      </c>
      <c r="B227" s="105" t="s">
        <v>830</v>
      </c>
      <c r="C227" s="105" t="s">
        <v>622</v>
      </c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</row>
    <row r="228" spans="1:15" x14ac:dyDescent="0.35">
      <c r="A228" s="105" t="s">
        <v>627</v>
      </c>
      <c r="B228" s="105" t="s">
        <v>831</v>
      </c>
      <c r="C228" s="105" t="s">
        <v>743</v>
      </c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</row>
    <row r="229" spans="1:15" x14ac:dyDescent="0.35">
      <c r="A229" s="105" t="s">
        <v>629</v>
      </c>
      <c r="B229" s="105" t="s">
        <v>832</v>
      </c>
      <c r="C229" s="105" t="s">
        <v>622</v>
      </c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</row>
    <row r="230" spans="1:15" x14ac:dyDescent="0.35">
      <c r="A230" s="105" t="s">
        <v>631</v>
      </c>
      <c r="B230" s="105" t="s">
        <v>833</v>
      </c>
      <c r="C230" s="105" t="s">
        <v>622</v>
      </c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</row>
    <row r="231" spans="1:15" ht="29" x14ac:dyDescent="0.35">
      <c r="A231" s="105" t="s">
        <v>633</v>
      </c>
      <c r="B231" s="105" t="s">
        <v>837</v>
      </c>
      <c r="C231" s="105" t="s">
        <v>743</v>
      </c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</row>
    <row r="232" spans="1:15" ht="29" x14ac:dyDescent="0.35">
      <c r="A232" s="105" t="s">
        <v>635</v>
      </c>
      <c r="B232" s="105" t="s">
        <v>838</v>
      </c>
      <c r="C232" s="105" t="s">
        <v>743</v>
      </c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</row>
    <row r="233" spans="1:15" ht="29" x14ac:dyDescent="0.35">
      <c r="A233" s="105" t="s">
        <v>637</v>
      </c>
      <c r="B233" s="105" t="s">
        <v>839</v>
      </c>
      <c r="C233" s="105" t="s">
        <v>743</v>
      </c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</row>
    <row r="234" spans="1:15" ht="29" x14ac:dyDescent="0.35">
      <c r="A234" s="105" t="s">
        <v>639</v>
      </c>
      <c r="B234" s="105" t="s">
        <v>834</v>
      </c>
      <c r="C234" s="105" t="s">
        <v>622</v>
      </c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</row>
    <row r="235" spans="1:15" ht="29" x14ac:dyDescent="0.35">
      <c r="A235" s="105" t="s">
        <v>641</v>
      </c>
      <c r="B235" s="105" t="s">
        <v>835</v>
      </c>
      <c r="C235" s="105" t="s">
        <v>622</v>
      </c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</row>
    <row r="236" spans="1:15" ht="29" x14ac:dyDescent="0.35">
      <c r="A236" s="105" t="s">
        <v>643</v>
      </c>
      <c r="B236" s="105" t="s">
        <v>836</v>
      </c>
      <c r="C236" s="105" t="s">
        <v>622</v>
      </c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</row>
    <row r="237" spans="1:15" ht="29" x14ac:dyDescent="0.35">
      <c r="A237" s="105" t="s">
        <v>644</v>
      </c>
      <c r="B237" s="105" t="s">
        <v>706</v>
      </c>
      <c r="C237" s="105" t="s">
        <v>622</v>
      </c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</row>
    <row r="238" spans="1:15" ht="29" x14ac:dyDescent="0.35">
      <c r="A238" s="105" t="s">
        <v>645</v>
      </c>
      <c r="B238" s="105" t="s">
        <v>682</v>
      </c>
      <c r="C238" s="105" t="s">
        <v>683</v>
      </c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</row>
    <row r="239" spans="1:15" ht="29" x14ac:dyDescent="0.35">
      <c r="A239" s="105" t="s">
        <v>646</v>
      </c>
      <c r="B239" s="105" t="s">
        <v>685</v>
      </c>
      <c r="C239" s="105" t="s">
        <v>686</v>
      </c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</row>
    <row r="240" spans="1:15" ht="29" x14ac:dyDescent="0.35">
      <c r="A240" s="105" t="s">
        <v>649</v>
      </c>
      <c r="B240" s="105" t="s">
        <v>688</v>
      </c>
      <c r="C240" s="105" t="s">
        <v>686</v>
      </c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</row>
    <row r="241" spans="1:15" ht="29" x14ac:dyDescent="0.35">
      <c r="A241" s="105" t="s">
        <v>651</v>
      </c>
      <c r="B241" s="105" t="s">
        <v>690</v>
      </c>
      <c r="C241" s="105" t="s">
        <v>686</v>
      </c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</row>
    <row r="242" spans="1:15" ht="29" x14ac:dyDescent="0.35">
      <c r="A242" s="105" t="s">
        <v>653</v>
      </c>
      <c r="B242" s="105" t="s">
        <v>692</v>
      </c>
      <c r="C242" s="105" t="s">
        <v>686</v>
      </c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</row>
    <row r="243" spans="1:15" ht="29" x14ac:dyDescent="0.35">
      <c r="A243" s="105" t="s">
        <v>655</v>
      </c>
      <c r="B243" s="105" t="s">
        <v>694</v>
      </c>
      <c r="C243" s="105" t="s">
        <v>686</v>
      </c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</row>
    <row r="244" spans="1:15" ht="29" x14ac:dyDescent="0.35">
      <c r="A244" s="105" t="s">
        <v>658</v>
      </c>
      <c r="B244" s="105" t="s">
        <v>696</v>
      </c>
      <c r="C244" s="105" t="s">
        <v>686</v>
      </c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</row>
    <row r="245" spans="1:15" ht="29" x14ac:dyDescent="0.35">
      <c r="A245" s="105" t="s">
        <v>660</v>
      </c>
      <c r="B245" s="105" t="s">
        <v>698</v>
      </c>
      <c r="C245" s="105" t="s">
        <v>686</v>
      </c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</row>
    <row r="246" spans="1:15" x14ac:dyDescent="0.35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</row>
    <row r="247" spans="1:15" x14ac:dyDescent="0.35">
      <c r="A247" s="166" t="s">
        <v>717</v>
      </c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2"/>
    </row>
    <row r="248" spans="1:15" ht="58" x14ac:dyDescent="0.35">
      <c r="A248" s="108" t="s">
        <v>700</v>
      </c>
      <c r="B248" s="108" t="s">
        <v>701</v>
      </c>
      <c r="C248" s="108" t="s">
        <v>390</v>
      </c>
      <c r="D248" s="108" t="s">
        <v>351</v>
      </c>
      <c r="E248" s="108" t="s">
        <v>352</v>
      </c>
      <c r="F248" s="108" t="s">
        <v>292</v>
      </c>
      <c r="G248" s="108" t="s">
        <v>619</v>
      </c>
      <c r="H248" s="108" t="s">
        <v>353</v>
      </c>
      <c r="I248" s="108" t="s">
        <v>610</v>
      </c>
      <c r="J248" s="105"/>
      <c r="K248" s="105"/>
      <c r="L248" s="105"/>
      <c r="M248" s="105"/>
      <c r="N248" s="105"/>
      <c r="O248" s="105"/>
    </row>
    <row r="249" spans="1:15" x14ac:dyDescent="0.35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</row>
    <row r="250" spans="1:15" x14ac:dyDescent="0.35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</row>
    <row r="251" spans="1:15" x14ac:dyDescent="0.35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</row>
    <row r="252" spans="1:15" x14ac:dyDescent="0.35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</row>
    <row r="253" spans="1:15" x14ac:dyDescent="0.35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</row>
    <row r="254" spans="1:15" x14ac:dyDescent="0.35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</row>
    <row r="255" spans="1:15" x14ac:dyDescent="0.3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</row>
    <row r="256" spans="1:15" x14ac:dyDescent="0.35">
      <c r="A256" s="167" t="s">
        <v>718</v>
      </c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2"/>
    </row>
    <row r="257" spans="1:15" ht="72.5" x14ac:dyDescent="0.35">
      <c r="A257" s="108" t="s">
        <v>600</v>
      </c>
      <c r="B257" s="108"/>
      <c r="C257" s="108" t="s">
        <v>601</v>
      </c>
      <c r="D257" s="108"/>
      <c r="E257" s="108" t="s">
        <v>602</v>
      </c>
      <c r="F257" s="108"/>
      <c r="G257" s="108" t="s">
        <v>603</v>
      </c>
      <c r="H257" s="108"/>
      <c r="I257" s="108" t="s">
        <v>604</v>
      </c>
      <c r="J257" s="108"/>
      <c r="K257" s="108" t="s">
        <v>6</v>
      </c>
      <c r="L257" s="108"/>
      <c r="M257" s="108" t="s">
        <v>605</v>
      </c>
      <c r="N257" s="108"/>
      <c r="O257" s="108"/>
    </row>
    <row r="258" spans="1:15" ht="72.5" x14ac:dyDescent="0.35">
      <c r="A258" s="108" t="s">
        <v>606</v>
      </c>
      <c r="B258" s="108"/>
      <c r="C258" s="108" t="s">
        <v>607</v>
      </c>
      <c r="D258" s="108"/>
      <c r="E258" s="108" t="s">
        <v>608</v>
      </c>
      <c r="F258" s="108"/>
      <c r="G258" s="108" t="s">
        <v>609</v>
      </c>
      <c r="H258" s="108"/>
      <c r="I258" s="108" t="s">
        <v>610</v>
      </c>
      <c r="J258" s="109">
        <f>IFERROR(COUNTIF(E261:E281,"Yes")/(COUNTIF(E261:E281,"Yes")+COUNTIF(F261:F281,"No")),0)</f>
        <v>0</v>
      </c>
      <c r="K258" s="108"/>
      <c r="L258" s="108" t="str">
        <f>IF(J258&gt;=0.9,"Green",IF(J258&gt;=0.75,"Amber","Red"))</f>
        <v>Red</v>
      </c>
      <c r="M258" s="108"/>
      <c r="N258" s="108"/>
      <c r="O258" s="108"/>
    </row>
    <row r="259" spans="1:15" x14ac:dyDescent="0.35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</row>
    <row r="260" spans="1:15" ht="29" x14ac:dyDescent="0.35">
      <c r="A260" s="110" t="s">
        <v>611</v>
      </c>
      <c r="B260" s="110" t="s">
        <v>612</v>
      </c>
      <c r="C260" s="110" t="s">
        <v>613</v>
      </c>
      <c r="D260" s="110" t="s">
        <v>614</v>
      </c>
      <c r="E260" s="110" t="s">
        <v>81</v>
      </c>
      <c r="F260" s="110" t="s">
        <v>615</v>
      </c>
      <c r="G260" s="110" t="s">
        <v>616</v>
      </c>
      <c r="H260" s="110" t="s">
        <v>617</v>
      </c>
      <c r="I260" s="110" t="s">
        <v>618</v>
      </c>
      <c r="J260" s="110" t="s">
        <v>390</v>
      </c>
      <c r="K260" s="110" t="s">
        <v>351</v>
      </c>
      <c r="L260" s="110" t="s">
        <v>352</v>
      </c>
      <c r="M260" s="110" t="s">
        <v>292</v>
      </c>
      <c r="N260" s="110" t="s">
        <v>353</v>
      </c>
      <c r="O260" s="110" t="s">
        <v>619</v>
      </c>
    </row>
    <row r="261" spans="1:15" ht="29" x14ac:dyDescent="0.35">
      <c r="A261" s="105" t="s">
        <v>620</v>
      </c>
      <c r="B261" s="105" t="s">
        <v>828</v>
      </c>
      <c r="C261" s="105" t="s">
        <v>622</v>
      </c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</row>
    <row r="262" spans="1:15" ht="29" x14ac:dyDescent="0.35">
      <c r="A262" s="105" t="s">
        <v>623</v>
      </c>
      <c r="B262" s="105" t="s">
        <v>829</v>
      </c>
      <c r="C262" s="105" t="s">
        <v>622</v>
      </c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</row>
    <row r="263" spans="1:15" x14ac:dyDescent="0.35">
      <c r="A263" s="105" t="s">
        <v>625</v>
      </c>
      <c r="B263" s="105" t="s">
        <v>830</v>
      </c>
      <c r="C263" s="105" t="s">
        <v>622</v>
      </c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</row>
    <row r="264" spans="1:15" x14ac:dyDescent="0.35">
      <c r="A264" s="105" t="s">
        <v>627</v>
      </c>
      <c r="B264" s="105" t="s">
        <v>831</v>
      </c>
      <c r="C264" s="105" t="s">
        <v>743</v>
      </c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</row>
    <row r="265" spans="1:15" x14ac:dyDescent="0.35">
      <c r="A265" s="105" t="s">
        <v>629</v>
      </c>
      <c r="B265" s="105" t="s">
        <v>832</v>
      </c>
      <c r="C265" s="105" t="s">
        <v>622</v>
      </c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</row>
    <row r="266" spans="1:15" x14ac:dyDescent="0.35">
      <c r="A266" s="105" t="s">
        <v>631</v>
      </c>
      <c r="B266" s="105" t="s">
        <v>833</v>
      </c>
      <c r="C266" s="105" t="s">
        <v>622</v>
      </c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</row>
    <row r="267" spans="1:15" ht="29" x14ac:dyDescent="0.35">
      <c r="A267" s="105" t="s">
        <v>633</v>
      </c>
      <c r="B267" s="105" t="s">
        <v>837</v>
      </c>
      <c r="C267" s="105" t="s">
        <v>743</v>
      </c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</row>
    <row r="268" spans="1:15" ht="29" x14ac:dyDescent="0.35">
      <c r="A268" s="105" t="s">
        <v>635</v>
      </c>
      <c r="B268" s="105" t="s">
        <v>838</v>
      </c>
      <c r="C268" s="105" t="s">
        <v>743</v>
      </c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</row>
    <row r="269" spans="1:15" ht="29" x14ac:dyDescent="0.35">
      <c r="A269" s="105" t="s">
        <v>637</v>
      </c>
      <c r="B269" s="105" t="s">
        <v>839</v>
      </c>
      <c r="C269" s="105" t="s">
        <v>743</v>
      </c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</row>
    <row r="270" spans="1:15" ht="29" x14ac:dyDescent="0.35">
      <c r="A270" s="105" t="s">
        <v>639</v>
      </c>
      <c r="B270" s="105" t="s">
        <v>834</v>
      </c>
      <c r="C270" s="105" t="s">
        <v>622</v>
      </c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</row>
    <row r="271" spans="1:15" ht="29" x14ac:dyDescent="0.35">
      <c r="A271" s="105" t="s">
        <v>641</v>
      </c>
      <c r="B271" s="105" t="s">
        <v>835</v>
      </c>
      <c r="C271" s="105" t="s">
        <v>622</v>
      </c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</row>
    <row r="272" spans="1:15" ht="29" x14ac:dyDescent="0.35">
      <c r="A272" s="105" t="s">
        <v>643</v>
      </c>
      <c r="B272" s="105" t="s">
        <v>836</v>
      </c>
      <c r="C272" s="105" t="s">
        <v>622</v>
      </c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</row>
    <row r="273" spans="1:15" ht="29" x14ac:dyDescent="0.35">
      <c r="A273" s="105" t="s">
        <v>644</v>
      </c>
      <c r="B273" s="105" t="s">
        <v>706</v>
      </c>
      <c r="C273" s="105" t="s">
        <v>622</v>
      </c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</row>
    <row r="274" spans="1:15" ht="29" x14ac:dyDescent="0.35">
      <c r="A274" s="105" t="s">
        <v>645</v>
      </c>
      <c r="B274" s="105" t="s">
        <v>682</v>
      </c>
      <c r="C274" s="105" t="s">
        <v>683</v>
      </c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</row>
    <row r="275" spans="1:15" ht="29" x14ac:dyDescent="0.35">
      <c r="A275" s="105" t="s">
        <v>646</v>
      </c>
      <c r="B275" s="105" t="s">
        <v>685</v>
      </c>
      <c r="C275" s="105" t="s">
        <v>686</v>
      </c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</row>
    <row r="276" spans="1:15" ht="29" x14ac:dyDescent="0.35">
      <c r="A276" s="105" t="s">
        <v>649</v>
      </c>
      <c r="B276" s="105" t="s">
        <v>688</v>
      </c>
      <c r="C276" s="105" t="s">
        <v>686</v>
      </c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</row>
    <row r="277" spans="1:15" ht="29" x14ac:dyDescent="0.35">
      <c r="A277" s="105" t="s">
        <v>651</v>
      </c>
      <c r="B277" s="105" t="s">
        <v>690</v>
      </c>
      <c r="C277" s="105" t="s">
        <v>686</v>
      </c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</row>
    <row r="278" spans="1:15" ht="29" x14ac:dyDescent="0.35">
      <c r="A278" s="105" t="s">
        <v>653</v>
      </c>
      <c r="B278" s="105" t="s">
        <v>692</v>
      </c>
      <c r="C278" s="105" t="s">
        <v>686</v>
      </c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</row>
    <row r="279" spans="1:15" ht="29" x14ac:dyDescent="0.35">
      <c r="A279" s="105" t="s">
        <v>655</v>
      </c>
      <c r="B279" s="105" t="s">
        <v>694</v>
      </c>
      <c r="C279" s="105" t="s">
        <v>686</v>
      </c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</row>
    <row r="280" spans="1:15" ht="29" x14ac:dyDescent="0.35">
      <c r="A280" s="105" t="s">
        <v>658</v>
      </c>
      <c r="B280" s="105" t="s">
        <v>696</v>
      </c>
      <c r="C280" s="105" t="s">
        <v>686</v>
      </c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</row>
    <row r="281" spans="1:15" ht="29" x14ac:dyDescent="0.35">
      <c r="A281" s="105" t="s">
        <v>660</v>
      </c>
      <c r="B281" s="105" t="s">
        <v>698</v>
      </c>
      <c r="C281" s="105" t="s">
        <v>686</v>
      </c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</row>
    <row r="282" spans="1:15" x14ac:dyDescent="0.35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</row>
    <row r="283" spans="1:15" x14ac:dyDescent="0.35">
      <c r="A283" s="166" t="s">
        <v>719</v>
      </c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2"/>
    </row>
    <row r="284" spans="1:15" ht="58" x14ac:dyDescent="0.35">
      <c r="A284" s="108" t="s">
        <v>700</v>
      </c>
      <c r="B284" s="108" t="s">
        <v>701</v>
      </c>
      <c r="C284" s="108" t="s">
        <v>390</v>
      </c>
      <c r="D284" s="108" t="s">
        <v>351</v>
      </c>
      <c r="E284" s="108" t="s">
        <v>352</v>
      </c>
      <c r="F284" s="108" t="s">
        <v>292</v>
      </c>
      <c r="G284" s="108" t="s">
        <v>619</v>
      </c>
      <c r="H284" s="108" t="s">
        <v>353</v>
      </c>
      <c r="I284" s="108" t="s">
        <v>610</v>
      </c>
      <c r="J284" s="105"/>
      <c r="K284" s="105"/>
      <c r="L284" s="105"/>
      <c r="M284" s="105"/>
      <c r="N284" s="105"/>
      <c r="O284" s="105"/>
    </row>
    <row r="285" spans="1:15" x14ac:dyDescent="0.3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</row>
    <row r="286" spans="1:15" x14ac:dyDescent="0.35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</row>
    <row r="287" spans="1:15" x14ac:dyDescent="0.35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</row>
    <row r="288" spans="1:15" x14ac:dyDescent="0.35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</row>
    <row r="289" spans="1:15" x14ac:dyDescent="0.35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</row>
    <row r="290" spans="1:15" x14ac:dyDescent="0.35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</row>
    <row r="291" spans="1:15" x14ac:dyDescent="0.35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</row>
    <row r="292" spans="1:15" x14ac:dyDescent="0.35">
      <c r="A292" s="167" t="s">
        <v>720</v>
      </c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2"/>
    </row>
    <row r="293" spans="1:15" ht="72.5" x14ac:dyDescent="0.35">
      <c r="A293" s="108" t="s">
        <v>600</v>
      </c>
      <c r="B293" s="108"/>
      <c r="C293" s="108" t="s">
        <v>601</v>
      </c>
      <c r="D293" s="108"/>
      <c r="E293" s="108" t="s">
        <v>602</v>
      </c>
      <c r="F293" s="108"/>
      <c r="G293" s="108" t="s">
        <v>603</v>
      </c>
      <c r="H293" s="108"/>
      <c r="I293" s="108" t="s">
        <v>604</v>
      </c>
      <c r="J293" s="108"/>
      <c r="K293" s="108" t="s">
        <v>6</v>
      </c>
      <c r="L293" s="108"/>
      <c r="M293" s="108" t="s">
        <v>605</v>
      </c>
      <c r="N293" s="108"/>
      <c r="O293" s="108"/>
    </row>
    <row r="294" spans="1:15" ht="72.5" x14ac:dyDescent="0.35">
      <c r="A294" s="108" t="s">
        <v>606</v>
      </c>
      <c r="B294" s="108"/>
      <c r="C294" s="108" t="s">
        <v>607</v>
      </c>
      <c r="D294" s="108"/>
      <c r="E294" s="108" t="s">
        <v>608</v>
      </c>
      <c r="F294" s="108"/>
      <c r="G294" s="108" t="s">
        <v>609</v>
      </c>
      <c r="H294" s="108"/>
      <c r="I294" s="108" t="s">
        <v>610</v>
      </c>
      <c r="J294" s="109">
        <f>IFERROR(COUNTIF(E297:E317,"Yes")/(COUNTIF(E297:E317,"Yes")+COUNTIF(F297:F317,"No")),0)</f>
        <v>0</v>
      </c>
      <c r="K294" s="108"/>
      <c r="L294" s="108" t="str">
        <f>IF(J294&gt;=0.9,"Green",IF(J294&gt;=0.75,"Amber","Red"))</f>
        <v>Red</v>
      </c>
      <c r="M294" s="108"/>
      <c r="N294" s="108"/>
      <c r="O294" s="108"/>
    </row>
    <row r="295" spans="1:15" x14ac:dyDescent="0.3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</row>
    <row r="296" spans="1:15" ht="29" x14ac:dyDescent="0.35">
      <c r="A296" s="110" t="s">
        <v>611</v>
      </c>
      <c r="B296" s="110" t="s">
        <v>612</v>
      </c>
      <c r="C296" s="110" t="s">
        <v>613</v>
      </c>
      <c r="D296" s="110" t="s">
        <v>614</v>
      </c>
      <c r="E296" s="110" t="s">
        <v>81</v>
      </c>
      <c r="F296" s="110" t="s">
        <v>615</v>
      </c>
      <c r="G296" s="110" t="s">
        <v>616</v>
      </c>
      <c r="H296" s="110" t="s">
        <v>617</v>
      </c>
      <c r="I296" s="110" t="s">
        <v>618</v>
      </c>
      <c r="J296" s="110" t="s">
        <v>390</v>
      </c>
      <c r="K296" s="110" t="s">
        <v>351</v>
      </c>
      <c r="L296" s="110" t="s">
        <v>352</v>
      </c>
      <c r="M296" s="110" t="s">
        <v>292</v>
      </c>
      <c r="N296" s="110" t="s">
        <v>353</v>
      </c>
      <c r="O296" s="110" t="s">
        <v>619</v>
      </c>
    </row>
    <row r="297" spans="1:15" ht="29" x14ac:dyDescent="0.35">
      <c r="A297" s="105" t="s">
        <v>620</v>
      </c>
      <c r="B297" s="105" t="s">
        <v>828</v>
      </c>
      <c r="C297" s="105" t="s">
        <v>622</v>
      </c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</row>
    <row r="298" spans="1:15" ht="29" x14ac:dyDescent="0.35">
      <c r="A298" s="105" t="s">
        <v>623</v>
      </c>
      <c r="B298" s="105" t="s">
        <v>829</v>
      </c>
      <c r="C298" s="105" t="s">
        <v>622</v>
      </c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</row>
    <row r="299" spans="1:15" x14ac:dyDescent="0.35">
      <c r="A299" s="105" t="s">
        <v>625</v>
      </c>
      <c r="B299" s="105" t="s">
        <v>830</v>
      </c>
      <c r="C299" s="105" t="s">
        <v>622</v>
      </c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</row>
    <row r="300" spans="1:15" x14ac:dyDescent="0.35">
      <c r="A300" s="105" t="s">
        <v>627</v>
      </c>
      <c r="B300" s="105" t="s">
        <v>831</v>
      </c>
      <c r="C300" s="105" t="s">
        <v>743</v>
      </c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</row>
    <row r="301" spans="1:15" x14ac:dyDescent="0.35">
      <c r="A301" s="105" t="s">
        <v>629</v>
      </c>
      <c r="B301" s="105" t="s">
        <v>832</v>
      </c>
      <c r="C301" s="105" t="s">
        <v>622</v>
      </c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</row>
    <row r="302" spans="1:15" x14ac:dyDescent="0.35">
      <c r="A302" s="105" t="s">
        <v>631</v>
      </c>
      <c r="B302" s="105" t="s">
        <v>833</v>
      </c>
      <c r="C302" s="105" t="s">
        <v>622</v>
      </c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</row>
    <row r="303" spans="1:15" ht="29" x14ac:dyDescent="0.35">
      <c r="A303" s="105" t="s">
        <v>633</v>
      </c>
      <c r="B303" s="105" t="s">
        <v>837</v>
      </c>
      <c r="C303" s="105" t="s">
        <v>743</v>
      </c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</row>
    <row r="304" spans="1:15" ht="29" x14ac:dyDescent="0.35">
      <c r="A304" s="105" t="s">
        <v>635</v>
      </c>
      <c r="B304" s="105" t="s">
        <v>838</v>
      </c>
      <c r="C304" s="105" t="s">
        <v>743</v>
      </c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</row>
    <row r="305" spans="1:15" ht="29" x14ac:dyDescent="0.35">
      <c r="A305" s="105" t="s">
        <v>637</v>
      </c>
      <c r="B305" s="105" t="s">
        <v>839</v>
      </c>
      <c r="C305" s="105" t="s">
        <v>743</v>
      </c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</row>
    <row r="306" spans="1:15" ht="29" x14ac:dyDescent="0.35">
      <c r="A306" s="105" t="s">
        <v>639</v>
      </c>
      <c r="B306" s="105" t="s">
        <v>834</v>
      </c>
      <c r="C306" s="105" t="s">
        <v>622</v>
      </c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</row>
    <row r="307" spans="1:15" ht="29" x14ac:dyDescent="0.35">
      <c r="A307" s="105" t="s">
        <v>641</v>
      </c>
      <c r="B307" s="105" t="s">
        <v>835</v>
      </c>
      <c r="C307" s="105" t="s">
        <v>622</v>
      </c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</row>
    <row r="308" spans="1:15" ht="29" x14ac:dyDescent="0.35">
      <c r="A308" s="105" t="s">
        <v>643</v>
      </c>
      <c r="B308" s="105" t="s">
        <v>836</v>
      </c>
      <c r="C308" s="105" t="s">
        <v>622</v>
      </c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</row>
    <row r="309" spans="1:15" ht="29" x14ac:dyDescent="0.35">
      <c r="A309" s="105" t="s">
        <v>644</v>
      </c>
      <c r="B309" s="105" t="s">
        <v>706</v>
      </c>
      <c r="C309" s="105" t="s">
        <v>622</v>
      </c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</row>
    <row r="310" spans="1:15" ht="29" x14ac:dyDescent="0.35">
      <c r="A310" s="105" t="s">
        <v>645</v>
      </c>
      <c r="B310" s="105" t="s">
        <v>682</v>
      </c>
      <c r="C310" s="105" t="s">
        <v>683</v>
      </c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</row>
    <row r="311" spans="1:15" ht="29" x14ac:dyDescent="0.35">
      <c r="A311" s="105" t="s">
        <v>646</v>
      </c>
      <c r="B311" s="105" t="s">
        <v>685</v>
      </c>
      <c r="C311" s="105" t="s">
        <v>686</v>
      </c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</row>
    <row r="312" spans="1:15" ht="29" x14ac:dyDescent="0.35">
      <c r="A312" s="105" t="s">
        <v>649</v>
      </c>
      <c r="B312" s="105" t="s">
        <v>688</v>
      </c>
      <c r="C312" s="105" t="s">
        <v>686</v>
      </c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</row>
    <row r="313" spans="1:15" ht="29" x14ac:dyDescent="0.35">
      <c r="A313" s="105" t="s">
        <v>651</v>
      </c>
      <c r="B313" s="105" t="s">
        <v>690</v>
      </c>
      <c r="C313" s="105" t="s">
        <v>686</v>
      </c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</row>
    <row r="314" spans="1:15" ht="29" x14ac:dyDescent="0.35">
      <c r="A314" s="105" t="s">
        <v>653</v>
      </c>
      <c r="B314" s="105" t="s">
        <v>692</v>
      </c>
      <c r="C314" s="105" t="s">
        <v>686</v>
      </c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</row>
    <row r="315" spans="1:15" ht="29" x14ac:dyDescent="0.35">
      <c r="A315" s="105" t="s">
        <v>655</v>
      </c>
      <c r="B315" s="105" t="s">
        <v>694</v>
      </c>
      <c r="C315" s="105" t="s">
        <v>686</v>
      </c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</row>
    <row r="316" spans="1:15" ht="29" x14ac:dyDescent="0.35">
      <c r="A316" s="105" t="s">
        <v>658</v>
      </c>
      <c r="B316" s="105" t="s">
        <v>696</v>
      </c>
      <c r="C316" s="105" t="s">
        <v>686</v>
      </c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</row>
    <row r="317" spans="1:15" ht="29" x14ac:dyDescent="0.35">
      <c r="A317" s="105" t="s">
        <v>660</v>
      </c>
      <c r="B317" s="105" t="s">
        <v>698</v>
      </c>
      <c r="C317" s="105" t="s">
        <v>686</v>
      </c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</row>
    <row r="318" spans="1:15" x14ac:dyDescent="0.35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</row>
    <row r="319" spans="1:15" x14ac:dyDescent="0.35">
      <c r="A319" s="166" t="s">
        <v>721</v>
      </c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2"/>
    </row>
    <row r="320" spans="1:15" ht="58" x14ac:dyDescent="0.35">
      <c r="A320" s="108" t="s">
        <v>700</v>
      </c>
      <c r="B320" s="108" t="s">
        <v>701</v>
      </c>
      <c r="C320" s="108" t="s">
        <v>390</v>
      </c>
      <c r="D320" s="108" t="s">
        <v>351</v>
      </c>
      <c r="E320" s="108" t="s">
        <v>352</v>
      </c>
      <c r="F320" s="108" t="s">
        <v>292</v>
      </c>
      <c r="G320" s="108" t="s">
        <v>619</v>
      </c>
      <c r="H320" s="108" t="s">
        <v>353</v>
      </c>
      <c r="I320" s="108" t="s">
        <v>610</v>
      </c>
      <c r="J320" s="105"/>
      <c r="K320" s="105"/>
      <c r="L320" s="105"/>
      <c r="M320" s="105"/>
      <c r="N320" s="105"/>
      <c r="O320" s="105"/>
    </row>
    <row r="321" spans="1:15" x14ac:dyDescent="0.35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</row>
    <row r="322" spans="1:15" x14ac:dyDescent="0.35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</row>
    <row r="323" spans="1:15" x14ac:dyDescent="0.35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</row>
    <row r="324" spans="1:15" x14ac:dyDescent="0.35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</row>
    <row r="325" spans="1:15" x14ac:dyDescent="0.3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</row>
    <row r="326" spans="1:15" x14ac:dyDescent="0.35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</row>
    <row r="327" spans="1:15" x14ac:dyDescent="0.35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</row>
    <row r="328" spans="1:15" x14ac:dyDescent="0.35">
      <c r="A328" s="167" t="s">
        <v>722</v>
      </c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2"/>
    </row>
    <row r="329" spans="1:15" ht="72.5" x14ac:dyDescent="0.35">
      <c r="A329" s="108" t="s">
        <v>600</v>
      </c>
      <c r="B329" s="108"/>
      <c r="C329" s="108" t="s">
        <v>601</v>
      </c>
      <c r="D329" s="108"/>
      <c r="E329" s="108" t="s">
        <v>602</v>
      </c>
      <c r="F329" s="108"/>
      <c r="G329" s="108" t="s">
        <v>603</v>
      </c>
      <c r="H329" s="108"/>
      <c r="I329" s="108" t="s">
        <v>604</v>
      </c>
      <c r="J329" s="108"/>
      <c r="K329" s="108" t="s">
        <v>6</v>
      </c>
      <c r="L329" s="108"/>
      <c r="M329" s="108" t="s">
        <v>605</v>
      </c>
      <c r="N329" s="108"/>
      <c r="O329" s="108"/>
    </row>
    <row r="330" spans="1:15" ht="72.5" x14ac:dyDescent="0.35">
      <c r="A330" s="108" t="s">
        <v>606</v>
      </c>
      <c r="B330" s="108"/>
      <c r="C330" s="108" t="s">
        <v>607</v>
      </c>
      <c r="D330" s="108"/>
      <c r="E330" s="108" t="s">
        <v>608</v>
      </c>
      <c r="F330" s="108"/>
      <c r="G330" s="108" t="s">
        <v>609</v>
      </c>
      <c r="H330" s="108"/>
      <c r="I330" s="108" t="s">
        <v>610</v>
      </c>
      <c r="J330" s="109">
        <f>IFERROR(COUNTIF(E333:E353,"Yes")/(COUNTIF(E333:E353,"Yes")+COUNTIF(F333:F353,"No")),0)</f>
        <v>0</v>
      </c>
      <c r="K330" s="108"/>
      <c r="L330" s="108" t="str">
        <f>IF(J330&gt;=0.9,"Green",IF(J330&gt;=0.75,"Amber","Red"))</f>
        <v>Red</v>
      </c>
      <c r="M330" s="108"/>
      <c r="N330" s="108"/>
      <c r="O330" s="108"/>
    </row>
    <row r="331" spans="1:15" x14ac:dyDescent="0.35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</row>
    <row r="332" spans="1:15" ht="29" x14ac:dyDescent="0.35">
      <c r="A332" s="110" t="s">
        <v>611</v>
      </c>
      <c r="B332" s="110" t="s">
        <v>612</v>
      </c>
      <c r="C332" s="110" t="s">
        <v>613</v>
      </c>
      <c r="D332" s="110" t="s">
        <v>614</v>
      </c>
      <c r="E332" s="110" t="s">
        <v>81</v>
      </c>
      <c r="F332" s="110" t="s">
        <v>615</v>
      </c>
      <c r="G332" s="110" t="s">
        <v>616</v>
      </c>
      <c r="H332" s="110" t="s">
        <v>617</v>
      </c>
      <c r="I332" s="110" t="s">
        <v>618</v>
      </c>
      <c r="J332" s="110" t="s">
        <v>390</v>
      </c>
      <c r="K332" s="110" t="s">
        <v>351</v>
      </c>
      <c r="L332" s="110" t="s">
        <v>352</v>
      </c>
      <c r="M332" s="110" t="s">
        <v>292</v>
      </c>
      <c r="N332" s="110" t="s">
        <v>353</v>
      </c>
      <c r="O332" s="110" t="s">
        <v>619</v>
      </c>
    </row>
    <row r="333" spans="1:15" ht="29" x14ac:dyDescent="0.35">
      <c r="A333" s="105" t="s">
        <v>620</v>
      </c>
      <c r="B333" s="105" t="s">
        <v>828</v>
      </c>
      <c r="C333" s="105" t="s">
        <v>622</v>
      </c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</row>
    <row r="334" spans="1:15" ht="29" x14ac:dyDescent="0.35">
      <c r="A334" s="105" t="s">
        <v>623</v>
      </c>
      <c r="B334" s="105" t="s">
        <v>829</v>
      </c>
      <c r="C334" s="105" t="s">
        <v>622</v>
      </c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</row>
    <row r="335" spans="1:15" x14ac:dyDescent="0.35">
      <c r="A335" s="105" t="s">
        <v>625</v>
      </c>
      <c r="B335" s="105" t="s">
        <v>830</v>
      </c>
      <c r="C335" s="105" t="s">
        <v>622</v>
      </c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</row>
    <row r="336" spans="1:15" x14ac:dyDescent="0.35">
      <c r="A336" s="105" t="s">
        <v>627</v>
      </c>
      <c r="B336" s="105" t="s">
        <v>831</v>
      </c>
      <c r="C336" s="105" t="s">
        <v>743</v>
      </c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</row>
    <row r="337" spans="1:15" x14ac:dyDescent="0.35">
      <c r="A337" s="105" t="s">
        <v>629</v>
      </c>
      <c r="B337" s="105" t="s">
        <v>832</v>
      </c>
      <c r="C337" s="105" t="s">
        <v>622</v>
      </c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</row>
    <row r="338" spans="1:15" x14ac:dyDescent="0.35">
      <c r="A338" s="105" t="s">
        <v>631</v>
      </c>
      <c r="B338" s="105" t="s">
        <v>833</v>
      </c>
      <c r="C338" s="105" t="s">
        <v>622</v>
      </c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</row>
    <row r="339" spans="1:15" ht="29" x14ac:dyDescent="0.35">
      <c r="A339" s="105" t="s">
        <v>633</v>
      </c>
      <c r="B339" s="105" t="s">
        <v>837</v>
      </c>
      <c r="C339" s="105" t="s">
        <v>743</v>
      </c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</row>
    <row r="340" spans="1:15" ht="29" x14ac:dyDescent="0.35">
      <c r="A340" s="105" t="s">
        <v>635</v>
      </c>
      <c r="B340" s="105" t="s">
        <v>838</v>
      </c>
      <c r="C340" s="105" t="s">
        <v>743</v>
      </c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</row>
    <row r="341" spans="1:15" ht="29" x14ac:dyDescent="0.35">
      <c r="A341" s="105" t="s">
        <v>637</v>
      </c>
      <c r="B341" s="105" t="s">
        <v>839</v>
      </c>
      <c r="C341" s="105" t="s">
        <v>743</v>
      </c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</row>
    <row r="342" spans="1:15" ht="29" x14ac:dyDescent="0.35">
      <c r="A342" s="105" t="s">
        <v>639</v>
      </c>
      <c r="B342" s="105" t="s">
        <v>834</v>
      </c>
      <c r="C342" s="105" t="s">
        <v>622</v>
      </c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</row>
    <row r="343" spans="1:15" ht="29" x14ac:dyDescent="0.35">
      <c r="A343" s="105" t="s">
        <v>641</v>
      </c>
      <c r="B343" s="105" t="s">
        <v>835</v>
      </c>
      <c r="C343" s="105" t="s">
        <v>622</v>
      </c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</row>
    <row r="344" spans="1:15" ht="29" x14ac:dyDescent="0.35">
      <c r="A344" s="105" t="s">
        <v>643</v>
      </c>
      <c r="B344" s="105" t="s">
        <v>836</v>
      </c>
      <c r="C344" s="105" t="s">
        <v>622</v>
      </c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</row>
    <row r="345" spans="1:15" ht="29" x14ac:dyDescent="0.35">
      <c r="A345" s="105" t="s">
        <v>644</v>
      </c>
      <c r="B345" s="105" t="s">
        <v>706</v>
      </c>
      <c r="C345" s="105" t="s">
        <v>622</v>
      </c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</row>
    <row r="346" spans="1:15" ht="29" x14ac:dyDescent="0.35">
      <c r="A346" s="105" t="s">
        <v>645</v>
      </c>
      <c r="B346" s="105" t="s">
        <v>682</v>
      </c>
      <c r="C346" s="105" t="s">
        <v>683</v>
      </c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</row>
    <row r="347" spans="1:15" ht="29" x14ac:dyDescent="0.35">
      <c r="A347" s="105" t="s">
        <v>646</v>
      </c>
      <c r="B347" s="105" t="s">
        <v>685</v>
      </c>
      <c r="C347" s="105" t="s">
        <v>686</v>
      </c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</row>
    <row r="348" spans="1:15" ht="29" x14ac:dyDescent="0.35">
      <c r="A348" s="105" t="s">
        <v>649</v>
      </c>
      <c r="B348" s="105" t="s">
        <v>688</v>
      </c>
      <c r="C348" s="105" t="s">
        <v>686</v>
      </c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</row>
    <row r="349" spans="1:15" ht="29" x14ac:dyDescent="0.35">
      <c r="A349" s="105" t="s">
        <v>651</v>
      </c>
      <c r="B349" s="105" t="s">
        <v>690</v>
      </c>
      <c r="C349" s="105" t="s">
        <v>686</v>
      </c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</row>
    <row r="350" spans="1:15" ht="29" x14ac:dyDescent="0.35">
      <c r="A350" s="105" t="s">
        <v>653</v>
      </c>
      <c r="B350" s="105" t="s">
        <v>692</v>
      </c>
      <c r="C350" s="105" t="s">
        <v>686</v>
      </c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</row>
    <row r="351" spans="1:15" ht="29" x14ac:dyDescent="0.35">
      <c r="A351" s="105" t="s">
        <v>655</v>
      </c>
      <c r="B351" s="105" t="s">
        <v>694</v>
      </c>
      <c r="C351" s="105" t="s">
        <v>686</v>
      </c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</row>
    <row r="352" spans="1:15" ht="29" x14ac:dyDescent="0.35">
      <c r="A352" s="105" t="s">
        <v>658</v>
      </c>
      <c r="B352" s="105" t="s">
        <v>696</v>
      </c>
      <c r="C352" s="105" t="s">
        <v>686</v>
      </c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</row>
    <row r="353" spans="1:15" ht="29" x14ac:dyDescent="0.35">
      <c r="A353" s="105" t="s">
        <v>660</v>
      </c>
      <c r="B353" s="105" t="s">
        <v>698</v>
      </c>
      <c r="C353" s="105" t="s">
        <v>686</v>
      </c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</row>
    <row r="354" spans="1:15" x14ac:dyDescent="0.35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</row>
    <row r="355" spans="1:15" x14ac:dyDescent="0.35">
      <c r="A355" s="166" t="s">
        <v>723</v>
      </c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2"/>
    </row>
    <row r="356" spans="1:15" ht="58" x14ac:dyDescent="0.35">
      <c r="A356" s="108" t="s">
        <v>700</v>
      </c>
      <c r="B356" s="108" t="s">
        <v>701</v>
      </c>
      <c r="C356" s="108" t="s">
        <v>390</v>
      </c>
      <c r="D356" s="108" t="s">
        <v>351</v>
      </c>
      <c r="E356" s="108" t="s">
        <v>352</v>
      </c>
      <c r="F356" s="108" t="s">
        <v>292</v>
      </c>
      <c r="G356" s="108" t="s">
        <v>619</v>
      </c>
      <c r="H356" s="108" t="s">
        <v>353</v>
      </c>
      <c r="I356" s="108" t="s">
        <v>610</v>
      </c>
      <c r="J356" s="105"/>
      <c r="K356" s="105"/>
      <c r="L356" s="105"/>
      <c r="M356" s="105"/>
      <c r="N356" s="105"/>
      <c r="O356" s="105"/>
    </row>
    <row r="357" spans="1:15" x14ac:dyDescent="0.35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</row>
    <row r="358" spans="1:15" x14ac:dyDescent="0.35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</row>
    <row r="359" spans="1:15" x14ac:dyDescent="0.35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</row>
    <row r="360" spans="1:15" x14ac:dyDescent="0.35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</row>
    <row r="361" spans="1:15" x14ac:dyDescent="0.35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</row>
    <row r="362" spans="1:15" x14ac:dyDescent="0.35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</row>
    <row r="363" spans="1:15" x14ac:dyDescent="0.35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</row>
    <row r="364" spans="1:15" x14ac:dyDescent="0.35">
      <c r="A364" s="167" t="s">
        <v>724</v>
      </c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2"/>
    </row>
    <row r="365" spans="1:15" ht="72.5" x14ac:dyDescent="0.35">
      <c r="A365" s="108" t="s">
        <v>600</v>
      </c>
      <c r="B365" s="108"/>
      <c r="C365" s="108" t="s">
        <v>601</v>
      </c>
      <c r="D365" s="108"/>
      <c r="E365" s="108" t="s">
        <v>602</v>
      </c>
      <c r="F365" s="108"/>
      <c r="G365" s="108" t="s">
        <v>603</v>
      </c>
      <c r="H365" s="108"/>
      <c r="I365" s="108" t="s">
        <v>604</v>
      </c>
      <c r="J365" s="108"/>
      <c r="K365" s="108" t="s">
        <v>6</v>
      </c>
      <c r="L365" s="108"/>
      <c r="M365" s="108" t="s">
        <v>605</v>
      </c>
      <c r="N365" s="108"/>
      <c r="O365" s="108"/>
    </row>
    <row r="366" spans="1:15" ht="72.5" x14ac:dyDescent="0.35">
      <c r="A366" s="108" t="s">
        <v>606</v>
      </c>
      <c r="B366" s="108"/>
      <c r="C366" s="108" t="s">
        <v>607</v>
      </c>
      <c r="D366" s="108"/>
      <c r="E366" s="108" t="s">
        <v>608</v>
      </c>
      <c r="F366" s="108"/>
      <c r="G366" s="108" t="s">
        <v>609</v>
      </c>
      <c r="H366" s="108"/>
      <c r="I366" s="108" t="s">
        <v>610</v>
      </c>
      <c r="J366" s="109">
        <f>IFERROR(COUNTIF(E369:E389,"Yes")/(COUNTIF(E369:E389,"Yes")+COUNTIF(F369:F389,"No")),0)</f>
        <v>0</v>
      </c>
      <c r="K366" s="108"/>
      <c r="L366" s="108" t="str">
        <f>IF(J366&gt;=0.9,"Green",IF(J366&gt;=0.75,"Amber","Red"))</f>
        <v>Red</v>
      </c>
      <c r="M366" s="108"/>
      <c r="N366" s="108"/>
      <c r="O366" s="108"/>
    </row>
    <row r="367" spans="1:15" x14ac:dyDescent="0.35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</row>
    <row r="368" spans="1:15" ht="29" x14ac:dyDescent="0.35">
      <c r="A368" s="110" t="s">
        <v>611</v>
      </c>
      <c r="B368" s="110" t="s">
        <v>612</v>
      </c>
      <c r="C368" s="110" t="s">
        <v>613</v>
      </c>
      <c r="D368" s="110" t="s">
        <v>614</v>
      </c>
      <c r="E368" s="110" t="s">
        <v>81</v>
      </c>
      <c r="F368" s="110" t="s">
        <v>615</v>
      </c>
      <c r="G368" s="110" t="s">
        <v>616</v>
      </c>
      <c r="H368" s="110" t="s">
        <v>617</v>
      </c>
      <c r="I368" s="110" t="s">
        <v>618</v>
      </c>
      <c r="J368" s="110" t="s">
        <v>390</v>
      </c>
      <c r="K368" s="110" t="s">
        <v>351</v>
      </c>
      <c r="L368" s="110" t="s">
        <v>352</v>
      </c>
      <c r="M368" s="110" t="s">
        <v>292</v>
      </c>
      <c r="N368" s="110" t="s">
        <v>353</v>
      </c>
      <c r="O368" s="110" t="s">
        <v>619</v>
      </c>
    </row>
    <row r="369" spans="1:15" ht="29" x14ac:dyDescent="0.35">
      <c r="A369" s="105" t="s">
        <v>620</v>
      </c>
      <c r="B369" s="105" t="s">
        <v>828</v>
      </c>
      <c r="C369" s="105" t="s">
        <v>622</v>
      </c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</row>
    <row r="370" spans="1:15" ht="29" x14ac:dyDescent="0.35">
      <c r="A370" s="105" t="s">
        <v>623</v>
      </c>
      <c r="B370" s="105" t="s">
        <v>829</v>
      </c>
      <c r="C370" s="105" t="s">
        <v>622</v>
      </c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</row>
    <row r="371" spans="1:15" x14ac:dyDescent="0.35">
      <c r="A371" s="105" t="s">
        <v>625</v>
      </c>
      <c r="B371" s="105" t="s">
        <v>830</v>
      </c>
      <c r="C371" s="105" t="s">
        <v>622</v>
      </c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</row>
    <row r="372" spans="1:15" x14ac:dyDescent="0.35">
      <c r="A372" s="105" t="s">
        <v>627</v>
      </c>
      <c r="B372" s="105" t="s">
        <v>831</v>
      </c>
      <c r="C372" s="105" t="s">
        <v>743</v>
      </c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</row>
    <row r="373" spans="1:15" x14ac:dyDescent="0.35">
      <c r="A373" s="105" t="s">
        <v>629</v>
      </c>
      <c r="B373" s="105" t="s">
        <v>832</v>
      </c>
      <c r="C373" s="105" t="s">
        <v>622</v>
      </c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</row>
    <row r="374" spans="1:15" x14ac:dyDescent="0.35">
      <c r="A374" s="105" t="s">
        <v>631</v>
      </c>
      <c r="B374" s="105" t="s">
        <v>833</v>
      </c>
      <c r="C374" s="105" t="s">
        <v>622</v>
      </c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</row>
    <row r="375" spans="1:15" ht="29" x14ac:dyDescent="0.35">
      <c r="A375" s="105" t="s">
        <v>633</v>
      </c>
      <c r="B375" s="105" t="s">
        <v>837</v>
      </c>
      <c r="C375" s="105" t="s">
        <v>743</v>
      </c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</row>
    <row r="376" spans="1:15" ht="29" x14ac:dyDescent="0.35">
      <c r="A376" s="105" t="s">
        <v>635</v>
      </c>
      <c r="B376" s="105" t="s">
        <v>838</v>
      </c>
      <c r="C376" s="105" t="s">
        <v>743</v>
      </c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</row>
    <row r="377" spans="1:15" ht="29" x14ac:dyDescent="0.35">
      <c r="A377" s="105" t="s">
        <v>637</v>
      </c>
      <c r="B377" s="105" t="s">
        <v>839</v>
      </c>
      <c r="C377" s="105" t="s">
        <v>743</v>
      </c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</row>
    <row r="378" spans="1:15" ht="29" x14ac:dyDescent="0.35">
      <c r="A378" s="105" t="s">
        <v>639</v>
      </c>
      <c r="B378" s="105" t="s">
        <v>834</v>
      </c>
      <c r="C378" s="105" t="s">
        <v>622</v>
      </c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</row>
    <row r="379" spans="1:15" ht="29" x14ac:dyDescent="0.35">
      <c r="A379" s="105" t="s">
        <v>641</v>
      </c>
      <c r="B379" s="105" t="s">
        <v>835</v>
      </c>
      <c r="C379" s="105" t="s">
        <v>622</v>
      </c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</row>
    <row r="380" spans="1:15" ht="29" x14ac:dyDescent="0.35">
      <c r="A380" s="105" t="s">
        <v>643</v>
      </c>
      <c r="B380" s="105" t="s">
        <v>836</v>
      </c>
      <c r="C380" s="105" t="s">
        <v>622</v>
      </c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</row>
    <row r="381" spans="1:15" ht="29" x14ac:dyDescent="0.35">
      <c r="A381" s="105" t="s">
        <v>644</v>
      </c>
      <c r="B381" s="105" t="s">
        <v>706</v>
      </c>
      <c r="C381" s="105" t="s">
        <v>622</v>
      </c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</row>
    <row r="382" spans="1:15" ht="29" x14ac:dyDescent="0.35">
      <c r="A382" s="105" t="s">
        <v>645</v>
      </c>
      <c r="B382" s="105" t="s">
        <v>682</v>
      </c>
      <c r="C382" s="105" t="s">
        <v>683</v>
      </c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</row>
    <row r="383" spans="1:15" ht="29" x14ac:dyDescent="0.35">
      <c r="A383" s="105" t="s">
        <v>646</v>
      </c>
      <c r="B383" s="105" t="s">
        <v>685</v>
      </c>
      <c r="C383" s="105" t="s">
        <v>686</v>
      </c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</row>
    <row r="384" spans="1:15" ht="29" x14ac:dyDescent="0.35">
      <c r="A384" s="105" t="s">
        <v>649</v>
      </c>
      <c r="B384" s="105" t="s">
        <v>688</v>
      </c>
      <c r="C384" s="105" t="s">
        <v>686</v>
      </c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</row>
    <row r="385" spans="1:15" ht="29" x14ac:dyDescent="0.35">
      <c r="A385" s="105" t="s">
        <v>651</v>
      </c>
      <c r="B385" s="105" t="s">
        <v>690</v>
      </c>
      <c r="C385" s="105" t="s">
        <v>686</v>
      </c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</row>
    <row r="386" spans="1:15" ht="29" x14ac:dyDescent="0.35">
      <c r="A386" s="105" t="s">
        <v>653</v>
      </c>
      <c r="B386" s="105" t="s">
        <v>692</v>
      </c>
      <c r="C386" s="105" t="s">
        <v>686</v>
      </c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</row>
    <row r="387" spans="1:15" ht="29" x14ac:dyDescent="0.35">
      <c r="A387" s="105" t="s">
        <v>655</v>
      </c>
      <c r="B387" s="105" t="s">
        <v>694</v>
      </c>
      <c r="C387" s="105" t="s">
        <v>686</v>
      </c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</row>
    <row r="388" spans="1:15" ht="29" x14ac:dyDescent="0.35">
      <c r="A388" s="105" t="s">
        <v>658</v>
      </c>
      <c r="B388" s="105" t="s">
        <v>696</v>
      </c>
      <c r="C388" s="105" t="s">
        <v>686</v>
      </c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</row>
    <row r="389" spans="1:15" ht="29" x14ac:dyDescent="0.35">
      <c r="A389" s="105" t="s">
        <v>660</v>
      </c>
      <c r="B389" s="105" t="s">
        <v>698</v>
      </c>
      <c r="C389" s="105" t="s">
        <v>686</v>
      </c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</row>
    <row r="390" spans="1:15" x14ac:dyDescent="0.35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</row>
    <row r="391" spans="1:15" x14ac:dyDescent="0.35">
      <c r="A391" s="166" t="s">
        <v>725</v>
      </c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2"/>
    </row>
    <row r="392" spans="1:15" ht="58" x14ac:dyDescent="0.35">
      <c r="A392" s="108" t="s">
        <v>700</v>
      </c>
      <c r="B392" s="108" t="s">
        <v>701</v>
      </c>
      <c r="C392" s="108" t="s">
        <v>390</v>
      </c>
      <c r="D392" s="108" t="s">
        <v>351</v>
      </c>
      <c r="E392" s="108" t="s">
        <v>352</v>
      </c>
      <c r="F392" s="108" t="s">
        <v>292</v>
      </c>
      <c r="G392" s="108" t="s">
        <v>619</v>
      </c>
      <c r="H392" s="108" t="s">
        <v>353</v>
      </c>
      <c r="I392" s="108" t="s">
        <v>610</v>
      </c>
      <c r="J392" s="105"/>
      <c r="K392" s="105"/>
      <c r="L392" s="105"/>
      <c r="M392" s="105"/>
      <c r="N392" s="105"/>
      <c r="O392" s="105"/>
    </row>
    <row r="393" spans="1:15" x14ac:dyDescent="0.35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</row>
    <row r="394" spans="1:15" x14ac:dyDescent="0.35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</row>
    <row r="395" spans="1:15" x14ac:dyDescent="0.3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</row>
    <row r="396" spans="1:15" x14ac:dyDescent="0.35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</row>
    <row r="397" spans="1:15" x14ac:dyDescent="0.35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</row>
    <row r="398" spans="1:15" x14ac:dyDescent="0.35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</row>
    <row r="399" spans="1:15" x14ac:dyDescent="0.35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</row>
    <row r="400" spans="1:15" x14ac:dyDescent="0.35">
      <c r="A400" s="167" t="s">
        <v>726</v>
      </c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2"/>
    </row>
    <row r="401" spans="1:15" ht="72.5" x14ac:dyDescent="0.35">
      <c r="A401" s="108" t="s">
        <v>600</v>
      </c>
      <c r="B401" s="108"/>
      <c r="C401" s="108" t="s">
        <v>601</v>
      </c>
      <c r="D401" s="108"/>
      <c r="E401" s="108" t="s">
        <v>602</v>
      </c>
      <c r="F401" s="108"/>
      <c r="G401" s="108" t="s">
        <v>603</v>
      </c>
      <c r="H401" s="108"/>
      <c r="I401" s="108" t="s">
        <v>604</v>
      </c>
      <c r="J401" s="108"/>
      <c r="K401" s="108" t="s">
        <v>6</v>
      </c>
      <c r="L401" s="108"/>
      <c r="M401" s="108" t="s">
        <v>605</v>
      </c>
      <c r="N401" s="108"/>
      <c r="O401" s="108"/>
    </row>
    <row r="402" spans="1:15" ht="72.5" x14ac:dyDescent="0.35">
      <c r="A402" s="108" t="s">
        <v>606</v>
      </c>
      <c r="B402" s="108"/>
      <c r="C402" s="108" t="s">
        <v>607</v>
      </c>
      <c r="D402" s="108"/>
      <c r="E402" s="108" t="s">
        <v>608</v>
      </c>
      <c r="F402" s="108"/>
      <c r="G402" s="108" t="s">
        <v>609</v>
      </c>
      <c r="H402" s="108"/>
      <c r="I402" s="108" t="s">
        <v>610</v>
      </c>
      <c r="J402" s="109">
        <f>IFERROR(COUNTIF(E405:E425,"Yes")/(COUNTIF(E405:E425,"Yes")+COUNTIF(F405:F425,"No")),0)</f>
        <v>0</v>
      </c>
      <c r="K402" s="108"/>
      <c r="L402" s="108" t="str">
        <f>IF(J402&gt;=0.9,"Green",IF(J402&gt;=0.75,"Amber","Red"))</f>
        <v>Red</v>
      </c>
      <c r="M402" s="108"/>
      <c r="N402" s="108"/>
      <c r="O402" s="108"/>
    </row>
    <row r="403" spans="1:15" x14ac:dyDescent="0.35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</row>
    <row r="404" spans="1:15" ht="29" x14ac:dyDescent="0.35">
      <c r="A404" s="110" t="s">
        <v>611</v>
      </c>
      <c r="B404" s="110" t="s">
        <v>612</v>
      </c>
      <c r="C404" s="110" t="s">
        <v>613</v>
      </c>
      <c r="D404" s="110" t="s">
        <v>614</v>
      </c>
      <c r="E404" s="110" t="s">
        <v>81</v>
      </c>
      <c r="F404" s="110" t="s">
        <v>615</v>
      </c>
      <c r="G404" s="110" t="s">
        <v>616</v>
      </c>
      <c r="H404" s="110" t="s">
        <v>617</v>
      </c>
      <c r="I404" s="110" t="s">
        <v>618</v>
      </c>
      <c r="J404" s="110" t="s">
        <v>390</v>
      </c>
      <c r="K404" s="110" t="s">
        <v>351</v>
      </c>
      <c r="L404" s="110" t="s">
        <v>352</v>
      </c>
      <c r="M404" s="110" t="s">
        <v>292</v>
      </c>
      <c r="N404" s="110" t="s">
        <v>353</v>
      </c>
      <c r="O404" s="110" t="s">
        <v>619</v>
      </c>
    </row>
    <row r="405" spans="1:15" ht="29" x14ac:dyDescent="0.35">
      <c r="A405" s="105" t="s">
        <v>620</v>
      </c>
      <c r="B405" s="105" t="s">
        <v>828</v>
      </c>
      <c r="C405" s="105" t="s">
        <v>622</v>
      </c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</row>
    <row r="406" spans="1:15" ht="29" x14ac:dyDescent="0.35">
      <c r="A406" s="105" t="s">
        <v>623</v>
      </c>
      <c r="B406" s="105" t="s">
        <v>829</v>
      </c>
      <c r="C406" s="105" t="s">
        <v>622</v>
      </c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</row>
    <row r="407" spans="1:15" x14ac:dyDescent="0.35">
      <c r="A407" s="105" t="s">
        <v>625</v>
      </c>
      <c r="B407" s="105" t="s">
        <v>830</v>
      </c>
      <c r="C407" s="105" t="s">
        <v>622</v>
      </c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</row>
    <row r="408" spans="1:15" x14ac:dyDescent="0.35">
      <c r="A408" s="105" t="s">
        <v>627</v>
      </c>
      <c r="B408" s="105" t="s">
        <v>831</v>
      </c>
      <c r="C408" s="105" t="s">
        <v>743</v>
      </c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</row>
    <row r="409" spans="1:15" x14ac:dyDescent="0.35">
      <c r="A409" s="105" t="s">
        <v>629</v>
      </c>
      <c r="B409" s="105" t="s">
        <v>832</v>
      </c>
      <c r="C409" s="105" t="s">
        <v>622</v>
      </c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</row>
    <row r="410" spans="1:15" x14ac:dyDescent="0.35">
      <c r="A410" s="105" t="s">
        <v>631</v>
      </c>
      <c r="B410" s="105" t="s">
        <v>833</v>
      </c>
      <c r="C410" s="105" t="s">
        <v>622</v>
      </c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</row>
    <row r="411" spans="1:15" ht="29" x14ac:dyDescent="0.35">
      <c r="A411" s="105" t="s">
        <v>633</v>
      </c>
      <c r="B411" s="105" t="s">
        <v>837</v>
      </c>
      <c r="C411" s="105" t="s">
        <v>743</v>
      </c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</row>
    <row r="412" spans="1:15" ht="29" x14ac:dyDescent="0.35">
      <c r="A412" s="105" t="s">
        <v>635</v>
      </c>
      <c r="B412" s="105" t="s">
        <v>838</v>
      </c>
      <c r="C412" s="105" t="s">
        <v>743</v>
      </c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</row>
    <row r="413" spans="1:15" ht="29" x14ac:dyDescent="0.35">
      <c r="A413" s="105" t="s">
        <v>637</v>
      </c>
      <c r="B413" s="105" t="s">
        <v>839</v>
      </c>
      <c r="C413" s="105" t="s">
        <v>743</v>
      </c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</row>
    <row r="414" spans="1:15" ht="29" x14ac:dyDescent="0.35">
      <c r="A414" s="105" t="s">
        <v>639</v>
      </c>
      <c r="B414" s="105" t="s">
        <v>834</v>
      </c>
      <c r="C414" s="105" t="s">
        <v>622</v>
      </c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</row>
    <row r="415" spans="1:15" ht="29" x14ac:dyDescent="0.35">
      <c r="A415" s="105" t="s">
        <v>641</v>
      </c>
      <c r="B415" s="105" t="s">
        <v>835</v>
      </c>
      <c r="C415" s="105" t="s">
        <v>622</v>
      </c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</row>
    <row r="416" spans="1:15" ht="29" x14ac:dyDescent="0.35">
      <c r="A416" s="105" t="s">
        <v>643</v>
      </c>
      <c r="B416" s="105" t="s">
        <v>836</v>
      </c>
      <c r="C416" s="105" t="s">
        <v>622</v>
      </c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</row>
    <row r="417" spans="1:15" ht="29" x14ac:dyDescent="0.35">
      <c r="A417" s="105" t="s">
        <v>644</v>
      </c>
      <c r="B417" s="105" t="s">
        <v>706</v>
      </c>
      <c r="C417" s="105" t="s">
        <v>622</v>
      </c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</row>
    <row r="418" spans="1:15" ht="29" x14ac:dyDescent="0.35">
      <c r="A418" s="105" t="s">
        <v>645</v>
      </c>
      <c r="B418" s="105" t="s">
        <v>682</v>
      </c>
      <c r="C418" s="105" t="s">
        <v>683</v>
      </c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</row>
    <row r="419" spans="1:15" ht="29" x14ac:dyDescent="0.35">
      <c r="A419" s="105" t="s">
        <v>646</v>
      </c>
      <c r="B419" s="105" t="s">
        <v>685</v>
      </c>
      <c r="C419" s="105" t="s">
        <v>686</v>
      </c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</row>
    <row r="420" spans="1:15" ht="29" x14ac:dyDescent="0.35">
      <c r="A420" s="105" t="s">
        <v>649</v>
      </c>
      <c r="B420" s="105" t="s">
        <v>688</v>
      </c>
      <c r="C420" s="105" t="s">
        <v>686</v>
      </c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</row>
    <row r="421" spans="1:15" ht="29" x14ac:dyDescent="0.35">
      <c r="A421" s="105" t="s">
        <v>651</v>
      </c>
      <c r="B421" s="105" t="s">
        <v>690</v>
      </c>
      <c r="C421" s="105" t="s">
        <v>686</v>
      </c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</row>
    <row r="422" spans="1:15" ht="29" x14ac:dyDescent="0.35">
      <c r="A422" s="105" t="s">
        <v>653</v>
      </c>
      <c r="B422" s="105" t="s">
        <v>692</v>
      </c>
      <c r="C422" s="105" t="s">
        <v>686</v>
      </c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</row>
    <row r="423" spans="1:15" ht="29" x14ac:dyDescent="0.35">
      <c r="A423" s="105" t="s">
        <v>655</v>
      </c>
      <c r="B423" s="105" t="s">
        <v>694</v>
      </c>
      <c r="C423" s="105" t="s">
        <v>686</v>
      </c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</row>
    <row r="424" spans="1:15" ht="29" x14ac:dyDescent="0.35">
      <c r="A424" s="105" t="s">
        <v>658</v>
      </c>
      <c r="B424" s="105" t="s">
        <v>696</v>
      </c>
      <c r="C424" s="105" t="s">
        <v>686</v>
      </c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</row>
    <row r="425" spans="1:15" ht="29" x14ac:dyDescent="0.35">
      <c r="A425" s="105" t="s">
        <v>660</v>
      </c>
      <c r="B425" s="105" t="s">
        <v>698</v>
      </c>
      <c r="C425" s="105" t="s">
        <v>686</v>
      </c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</row>
    <row r="426" spans="1:15" x14ac:dyDescent="0.35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</row>
    <row r="427" spans="1:15" x14ac:dyDescent="0.35">
      <c r="A427" s="166" t="s">
        <v>727</v>
      </c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2"/>
    </row>
    <row r="428" spans="1:15" ht="58" x14ac:dyDescent="0.35">
      <c r="A428" s="108" t="s">
        <v>700</v>
      </c>
      <c r="B428" s="108" t="s">
        <v>701</v>
      </c>
      <c r="C428" s="108" t="s">
        <v>390</v>
      </c>
      <c r="D428" s="108" t="s">
        <v>351</v>
      </c>
      <c r="E428" s="108" t="s">
        <v>352</v>
      </c>
      <c r="F428" s="108" t="s">
        <v>292</v>
      </c>
      <c r="G428" s="108" t="s">
        <v>619</v>
      </c>
      <c r="H428" s="108" t="s">
        <v>353</v>
      </c>
      <c r="I428" s="108" t="s">
        <v>610</v>
      </c>
      <c r="J428" s="105"/>
      <c r="K428" s="105"/>
      <c r="L428" s="105"/>
      <c r="M428" s="105"/>
      <c r="N428" s="105"/>
      <c r="O428" s="105"/>
    </row>
  </sheetData>
  <mergeCells count="30">
    <mergeCell ref="A355:O355"/>
    <mergeCell ref="A256:O256"/>
    <mergeCell ref="A16:R16"/>
    <mergeCell ref="A292:O292"/>
    <mergeCell ref="A283:O283"/>
    <mergeCell ref="A1:T1"/>
    <mergeCell ref="A175:O175"/>
    <mergeCell ref="A76:O76"/>
    <mergeCell ref="A247:O247"/>
    <mergeCell ref="A17:R17"/>
    <mergeCell ref="A4:O4"/>
    <mergeCell ref="A184:O184"/>
    <mergeCell ref="A112:O112"/>
    <mergeCell ref="A211:O211"/>
    <mergeCell ref="A427:O427"/>
    <mergeCell ref="A400:O400"/>
    <mergeCell ref="A2:T2"/>
    <mergeCell ref="A31:O31"/>
    <mergeCell ref="A220:O220"/>
    <mergeCell ref="A391:O391"/>
    <mergeCell ref="A40:O40"/>
    <mergeCell ref="A67:O67"/>
    <mergeCell ref="A34:R34"/>
    <mergeCell ref="A328:O328"/>
    <mergeCell ref="A148:O148"/>
    <mergeCell ref="A319:O319"/>
    <mergeCell ref="A15:R15"/>
    <mergeCell ref="A103:O103"/>
    <mergeCell ref="A364:O364"/>
    <mergeCell ref="A139:O139"/>
  </mergeCells>
  <conditionalFormatting sqref="I20:I31">
    <cfRule type="expression" dxfId="382" priority="1">
      <formula>I20="Green"</formula>
    </cfRule>
    <cfRule type="expression" dxfId="381" priority="2">
      <formula>I20="Amber"</formula>
    </cfRule>
    <cfRule type="expression" dxfId="380" priority="3">
      <formula>I20="Red"</formula>
    </cfRule>
  </conditionalFormatting>
  <dataValidations count="7">
    <dataValidation type="list" allowBlank="1" sqref="E5:E12" xr:uid="{00000000-0002-0000-2200-000000000000}">
      <formula1>"Yes,No,Partial,N/A"</formula1>
    </dataValidation>
    <dataValidation type="list" allowBlank="1" sqref="G5:G12" xr:uid="{00000000-0002-0000-2200-000001000000}">
      <formula1>"Low,Medium,High,Critical"</formula1>
    </dataValidation>
    <dataValidation type="list" allowBlank="1" sqref="S5:S12" xr:uid="{00000000-0002-0000-2200-000002000000}">
      <formula1>"Open,In Progress,Awaiting Verification,Closed,Escalated"</formula1>
    </dataValidation>
    <dataValidation type="list" allowBlank="1" sqref="G20:G31" xr:uid="{00000000-0002-0000-2200-000003000000}">
      <formula1>"Yes,No,Partially,N/A"</formula1>
    </dataValidation>
    <dataValidation type="list" allowBlank="1" sqref="I20:I31" xr:uid="{00000000-0002-0000-2200-000004000000}">
      <formula1>"Green,Amber,Red,Not Started"</formula1>
    </dataValidation>
    <dataValidation type="list" allowBlank="1" sqref="C36:C43 E9:G29 E45:G65 E81:G101 E117:G137 E153:G173 E189:G209 E225:G245 E261:G281 E297:G317 E333:G353 E369:G389 E405:G425" xr:uid="{00000000-0002-0000-2200-000005000000}">
      <formula1>"Yes,No,N/A"</formula1>
    </dataValidation>
    <dataValidation type="list" allowBlank="1" sqref="H9:H29 H45:H65 H81:H101 H117:H137 H153:H173 H189:H209 H225:H245 H261:H281 H297:H317 H333:H353 H369:H389 H405:H425" xr:uid="{00000000-0002-0000-2200-000007000000}">
      <formula1>"Low,Medium,High,Critical,N/A"</formula1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132"/>
  <sheetViews>
    <sheetView topLeftCell="A11" workbookViewId="0">
      <selection activeCell="B15" sqref="B15:B17"/>
    </sheetView>
  </sheetViews>
  <sheetFormatPr defaultRowHeight="14.5" x14ac:dyDescent="0.35"/>
  <cols>
    <col min="1" max="1" width="5" customWidth="1"/>
    <col min="2" max="2" width="46" customWidth="1"/>
    <col min="3" max="3" width="20" customWidth="1"/>
    <col min="4" max="4" width="30" customWidth="1"/>
    <col min="5" max="7" width="7" customWidth="1"/>
    <col min="8" max="8" width="13" customWidth="1"/>
    <col min="9" max="9" width="30" customWidth="1"/>
    <col min="10" max="10" width="26" customWidth="1"/>
    <col min="11" max="11" width="14" customWidth="1"/>
    <col min="12" max="12" width="13" customWidth="1"/>
    <col min="13" max="15" width="14" customWidth="1"/>
    <col min="16" max="16" width="16" customWidth="1"/>
    <col min="17" max="17" width="28" customWidth="1"/>
    <col min="18" max="18" width="40" customWidth="1"/>
    <col min="19" max="19" width="14" customWidth="1"/>
    <col min="20" max="20" width="12" customWidth="1"/>
  </cols>
  <sheetData>
    <row r="1" spans="1:20" ht="28" customHeight="1" x14ac:dyDescent="0.35">
      <c r="A1" s="145" t="s">
        <v>840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2"/>
    </row>
    <row r="2" spans="1:20" x14ac:dyDescent="0.35">
      <c r="A2" s="168" t="s">
        <v>841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2"/>
    </row>
    <row r="3" spans="1:20" x14ac:dyDescent="0.35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0" ht="29" customHeight="1" x14ac:dyDescent="0.35">
      <c r="A4" s="167" t="s">
        <v>730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2"/>
    </row>
    <row r="5" spans="1:20" ht="72.5" x14ac:dyDescent="0.35">
      <c r="A5" s="108" t="s">
        <v>600</v>
      </c>
      <c r="B5" s="108"/>
      <c r="C5" s="108" t="s">
        <v>601</v>
      </c>
      <c r="D5" s="108"/>
      <c r="E5" s="108" t="s">
        <v>602</v>
      </c>
      <c r="F5" s="108"/>
      <c r="G5" s="108" t="s">
        <v>603</v>
      </c>
      <c r="H5" s="108"/>
      <c r="I5" s="108" t="s">
        <v>604</v>
      </c>
      <c r="J5" s="108"/>
      <c r="K5" s="108" t="s">
        <v>6</v>
      </c>
      <c r="L5" s="108"/>
      <c r="M5" s="108" t="s">
        <v>605</v>
      </c>
      <c r="N5" s="108"/>
      <c r="O5" s="108"/>
    </row>
    <row r="6" spans="1:20" ht="72.5" x14ac:dyDescent="0.35">
      <c r="A6" s="108" t="s">
        <v>606</v>
      </c>
      <c r="B6" s="108"/>
      <c r="C6" s="108" t="s">
        <v>607</v>
      </c>
      <c r="D6" s="108"/>
      <c r="E6" s="108" t="s">
        <v>608</v>
      </c>
      <c r="F6" s="108"/>
      <c r="G6" s="108" t="s">
        <v>609</v>
      </c>
      <c r="H6" s="108"/>
      <c r="I6" s="108" t="s">
        <v>610</v>
      </c>
      <c r="J6" s="109">
        <f>IFERROR(COUNTIF(E9:E27,"Yes")/(COUNTIF(E9:E27,"Yes")+COUNTIF(F9:F27,"No")),0)</f>
        <v>0</v>
      </c>
      <c r="K6" s="108"/>
      <c r="L6" s="108" t="str">
        <f>IF(J6&gt;=0.9,"Green",IF(J6&gt;=0.75,"Amber","Red"))</f>
        <v>Red</v>
      </c>
      <c r="M6" s="108"/>
      <c r="N6" s="108"/>
      <c r="O6" s="108"/>
    </row>
    <row r="7" spans="1:20" x14ac:dyDescent="0.35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</row>
    <row r="8" spans="1:20" ht="29" x14ac:dyDescent="0.35">
      <c r="A8" s="110" t="s">
        <v>611</v>
      </c>
      <c r="B8" s="110" t="s">
        <v>612</v>
      </c>
      <c r="C8" s="110" t="s">
        <v>613</v>
      </c>
      <c r="D8" s="110" t="s">
        <v>614</v>
      </c>
      <c r="E8" s="110" t="s">
        <v>81</v>
      </c>
      <c r="F8" s="110" t="s">
        <v>615</v>
      </c>
      <c r="G8" s="110" t="s">
        <v>616</v>
      </c>
      <c r="H8" s="110" t="s">
        <v>617</v>
      </c>
      <c r="I8" s="110" t="s">
        <v>618</v>
      </c>
      <c r="J8" s="110" t="s">
        <v>390</v>
      </c>
      <c r="K8" s="110" t="s">
        <v>351</v>
      </c>
      <c r="L8" s="110" t="s">
        <v>352</v>
      </c>
      <c r="M8" s="110" t="s">
        <v>292</v>
      </c>
      <c r="N8" s="110" t="s">
        <v>353</v>
      </c>
      <c r="O8" s="110" t="s">
        <v>619</v>
      </c>
    </row>
    <row r="9" spans="1:20" ht="29" x14ac:dyDescent="0.35">
      <c r="A9" s="105" t="s">
        <v>620</v>
      </c>
      <c r="B9" s="105" t="s">
        <v>842</v>
      </c>
      <c r="C9" s="105" t="s">
        <v>622</v>
      </c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</row>
    <row r="10" spans="1:20" ht="29" x14ac:dyDescent="0.35">
      <c r="A10" s="105" t="s">
        <v>623</v>
      </c>
      <c r="B10" s="105" t="s">
        <v>843</v>
      </c>
      <c r="C10" s="105" t="s">
        <v>622</v>
      </c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</row>
    <row r="11" spans="1:20" ht="29" x14ac:dyDescent="0.35">
      <c r="A11" s="105" t="s">
        <v>625</v>
      </c>
      <c r="B11" s="105" t="s">
        <v>844</v>
      </c>
      <c r="C11" s="105" t="s">
        <v>622</v>
      </c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</row>
    <row r="12" spans="1:20" x14ac:dyDescent="0.35">
      <c r="A12" s="105" t="s">
        <v>627</v>
      </c>
      <c r="B12" s="105" t="s">
        <v>845</v>
      </c>
      <c r="C12" s="105" t="s">
        <v>622</v>
      </c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</row>
    <row r="13" spans="1:20" ht="29" x14ac:dyDescent="0.35">
      <c r="A13" s="105" t="s">
        <v>629</v>
      </c>
      <c r="B13" s="105" t="s">
        <v>846</v>
      </c>
      <c r="C13" s="105" t="s">
        <v>622</v>
      </c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</row>
    <row r="14" spans="1:20" ht="29" x14ac:dyDescent="0.35">
      <c r="A14" s="105" t="s">
        <v>631</v>
      </c>
      <c r="B14" s="105" t="s">
        <v>847</v>
      </c>
      <c r="C14" s="105" t="s">
        <v>622</v>
      </c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</row>
    <row r="15" spans="1:20" ht="28.5" customHeight="1" x14ac:dyDescent="0.35">
      <c r="A15" s="170" t="s">
        <v>633</v>
      </c>
      <c r="B15" s="105" t="s">
        <v>849</v>
      </c>
      <c r="C15" s="171" t="s">
        <v>622</v>
      </c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2"/>
    </row>
    <row r="16" spans="1:20" ht="36" customHeight="1" x14ac:dyDescent="0.35">
      <c r="A16" s="170" t="s">
        <v>635</v>
      </c>
      <c r="B16" s="105" t="s">
        <v>850</v>
      </c>
      <c r="C16" s="171" t="s">
        <v>622</v>
      </c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2"/>
    </row>
    <row r="17" spans="1:18" ht="32" customHeight="1" x14ac:dyDescent="0.35">
      <c r="A17" s="170" t="s">
        <v>637</v>
      </c>
      <c r="B17" s="105" t="s">
        <v>851</v>
      </c>
      <c r="C17" s="171" t="s">
        <v>622</v>
      </c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2"/>
    </row>
    <row r="18" spans="1:18" ht="29" x14ac:dyDescent="0.35">
      <c r="A18" s="105" t="s">
        <v>639</v>
      </c>
      <c r="B18" s="105" t="s">
        <v>848</v>
      </c>
      <c r="C18" s="105" t="s">
        <v>788</v>
      </c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</row>
    <row r="19" spans="1:18" ht="32" customHeight="1" x14ac:dyDescent="0.35">
      <c r="A19" s="105" t="s">
        <v>641</v>
      </c>
      <c r="B19" s="105" t="s">
        <v>706</v>
      </c>
      <c r="C19" s="105" t="s">
        <v>622</v>
      </c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</row>
    <row r="20" spans="1:18" ht="29" customHeight="1" x14ac:dyDescent="0.35">
      <c r="A20" s="105" t="s">
        <v>643</v>
      </c>
      <c r="B20" s="105" t="s">
        <v>682</v>
      </c>
      <c r="C20" s="105" t="s">
        <v>683</v>
      </c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</row>
    <row r="21" spans="1:18" ht="29" customHeight="1" x14ac:dyDescent="0.35">
      <c r="A21" s="105" t="s">
        <v>644</v>
      </c>
      <c r="B21" s="105" t="s">
        <v>685</v>
      </c>
      <c r="C21" s="105" t="s">
        <v>686</v>
      </c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</row>
    <row r="22" spans="1:18" ht="29" customHeight="1" x14ac:dyDescent="0.35">
      <c r="A22" s="105" t="s">
        <v>645</v>
      </c>
      <c r="B22" s="105" t="s">
        <v>688</v>
      </c>
      <c r="C22" s="105" t="s">
        <v>686</v>
      </c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</row>
    <row r="23" spans="1:18" ht="29" customHeight="1" x14ac:dyDescent="0.35">
      <c r="A23" s="105" t="s">
        <v>646</v>
      </c>
      <c r="B23" s="105" t="s">
        <v>690</v>
      </c>
      <c r="C23" s="105" t="s">
        <v>686</v>
      </c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</row>
    <row r="24" spans="1:18" ht="29" customHeight="1" x14ac:dyDescent="0.35">
      <c r="A24" s="105" t="s">
        <v>649</v>
      </c>
      <c r="B24" s="105" t="s">
        <v>692</v>
      </c>
      <c r="C24" s="105" t="s">
        <v>686</v>
      </c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</row>
    <row r="25" spans="1:18" ht="29" customHeight="1" x14ac:dyDescent="0.35">
      <c r="A25" s="105" t="s">
        <v>651</v>
      </c>
      <c r="B25" s="105" t="s">
        <v>694</v>
      </c>
      <c r="C25" s="105" t="s">
        <v>686</v>
      </c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</row>
    <row r="26" spans="1:18" ht="29" customHeight="1" x14ac:dyDescent="0.35">
      <c r="A26" s="105" t="s">
        <v>653</v>
      </c>
      <c r="B26" s="105" t="s">
        <v>696</v>
      </c>
      <c r="C26" s="105" t="s">
        <v>686</v>
      </c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</row>
    <row r="27" spans="1:18" ht="29" customHeight="1" x14ac:dyDescent="0.35">
      <c r="A27" s="105" t="s">
        <v>655</v>
      </c>
      <c r="B27" s="105" t="s">
        <v>698</v>
      </c>
      <c r="C27" s="105" t="s">
        <v>686</v>
      </c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</row>
    <row r="28" spans="1:18" ht="29" customHeight="1" x14ac:dyDescent="0.35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</row>
    <row r="29" spans="1:18" ht="29" customHeight="1" x14ac:dyDescent="0.35">
      <c r="A29" s="166" t="s">
        <v>758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2"/>
    </row>
    <row r="30" spans="1:18" ht="29" customHeight="1" x14ac:dyDescent="0.35">
      <c r="A30" s="108" t="s">
        <v>700</v>
      </c>
      <c r="B30" s="108" t="s">
        <v>701</v>
      </c>
      <c r="C30" s="108" t="s">
        <v>390</v>
      </c>
      <c r="D30" s="108" t="s">
        <v>351</v>
      </c>
      <c r="E30" s="108" t="s">
        <v>352</v>
      </c>
      <c r="F30" s="108" t="s">
        <v>292</v>
      </c>
      <c r="G30" s="108" t="s">
        <v>619</v>
      </c>
      <c r="H30" s="108" t="s">
        <v>353</v>
      </c>
      <c r="I30" s="108" t="s">
        <v>610</v>
      </c>
      <c r="J30" s="105"/>
      <c r="K30" s="105"/>
      <c r="L30" s="105"/>
      <c r="M30" s="105"/>
      <c r="N30" s="105"/>
      <c r="O30" s="105"/>
    </row>
    <row r="31" spans="1:18" ht="29" customHeight="1" x14ac:dyDescent="0.35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</row>
    <row r="32" spans="1:18" x14ac:dyDescent="0.35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</row>
    <row r="33" spans="1:18" x14ac:dyDescent="0.35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</row>
    <row r="34" spans="1:18" x14ac:dyDescent="0.35">
      <c r="A34" s="169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2"/>
    </row>
    <row r="35" spans="1:18" x14ac:dyDescent="0.35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</row>
    <row r="36" spans="1:18" ht="29" customHeight="1" x14ac:dyDescent="0.35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</row>
    <row r="37" spans="1:18" ht="29" customHeight="1" x14ac:dyDescent="0.35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</row>
    <row r="38" spans="1:18" ht="29" customHeight="1" x14ac:dyDescent="0.35">
      <c r="A38" s="167" t="s">
        <v>759</v>
      </c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2"/>
    </row>
    <row r="39" spans="1:18" ht="29" customHeight="1" x14ac:dyDescent="0.35">
      <c r="A39" s="108" t="s">
        <v>600</v>
      </c>
      <c r="B39" s="108"/>
      <c r="C39" s="108" t="s">
        <v>601</v>
      </c>
      <c r="D39" s="108"/>
      <c r="E39" s="108" t="s">
        <v>602</v>
      </c>
      <c r="F39" s="108"/>
      <c r="G39" s="108" t="s">
        <v>603</v>
      </c>
      <c r="H39" s="108"/>
      <c r="I39" s="108" t="s">
        <v>604</v>
      </c>
      <c r="J39" s="108"/>
      <c r="K39" s="108" t="s">
        <v>6</v>
      </c>
      <c r="L39" s="108"/>
      <c r="M39" s="108" t="s">
        <v>605</v>
      </c>
      <c r="N39" s="108"/>
      <c r="O39" s="108"/>
    </row>
    <row r="40" spans="1:18" ht="29" customHeight="1" x14ac:dyDescent="0.35">
      <c r="A40" s="108" t="s">
        <v>606</v>
      </c>
      <c r="B40" s="108"/>
      <c r="C40" s="108" t="s">
        <v>607</v>
      </c>
      <c r="D40" s="108"/>
      <c r="E40" s="108" t="s">
        <v>608</v>
      </c>
      <c r="F40" s="108"/>
      <c r="G40" s="108" t="s">
        <v>609</v>
      </c>
      <c r="H40" s="108"/>
      <c r="I40" s="108" t="s">
        <v>610</v>
      </c>
      <c r="J40" s="109">
        <f>IFERROR(COUNTIF(E43:E61,"Yes")/(COUNTIF(E43:E61,"Yes")+COUNTIF(F43:F61,"No")),0)</f>
        <v>0</v>
      </c>
      <c r="K40" s="108"/>
      <c r="L40" s="108" t="str">
        <f>IF(J40&gt;=0.9,"Green",IF(J40&gt;=0.75,"Amber","Red"))</f>
        <v>Red</v>
      </c>
      <c r="M40" s="108"/>
      <c r="N40" s="108"/>
      <c r="O40" s="108"/>
    </row>
    <row r="41" spans="1:18" ht="29" customHeight="1" x14ac:dyDescent="0.35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</row>
    <row r="42" spans="1:18" ht="29" customHeight="1" x14ac:dyDescent="0.35">
      <c r="A42" s="110" t="s">
        <v>611</v>
      </c>
      <c r="B42" s="110" t="s">
        <v>612</v>
      </c>
      <c r="C42" s="110" t="s">
        <v>613</v>
      </c>
      <c r="D42" s="110" t="s">
        <v>614</v>
      </c>
      <c r="E42" s="110" t="s">
        <v>81</v>
      </c>
      <c r="F42" s="110" t="s">
        <v>615</v>
      </c>
      <c r="G42" s="110" t="s">
        <v>616</v>
      </c>
      <c r="H42" s="110" t="s">
        <v>617</v>
      </c>
      <c r="I42" s="110" t="s">
        <v>618</v>
      </c>
      <c r="J42" s="110" t="s">
        <v>390</v>
      </c>
      <c r="K42" s="110" t="s">
        <v>351</v>
      </c>
      <c r="L42" s="110" t="s">
        <v>352</v>
      </c>
      <c r="M42" s="110" t="s">
        <v>292</v>
      </c>
      <c r="N42" s="110" t="s">
        <v>353</v>
      </c>
      <c r="O42" s="110" t="s">
        <v>619</v>
      </c>
    </row>
    <row r="43" spans="1:18" ht="58" customHeight="1" x14ac:dyDescent="0.35">
      <c r="A43" s="105" t="s">
        <v>620</v>
      </c>
      <c r="B43" s="105" t="s">
        <v>842</v>
      </c>
      <c r="C43" s="105" t="s">
        <v>622</v>
      </c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</row>
    <row r="44" spans="1:18" ht="29" x14ac:dyDescent="0.35">
      <c r="A44" s="105" t="s">
        <v>623</v>
      </c>
      <c r="B44" s="105" t="s">
        <v>843</v>
      </c>
      <c r="C44" s="105" t="s">
        <v>622</v>
      </c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</row>
    <row r="45" spans="1:18" ht="29" x14ac:dyDescent="0.35">
      <c r="A45" s="105" t="s">
        <v>625</v>
      </c>
      <c r="B45" s="105" t="s">
        <v>844</v>
      </c>
      <c r="C45" s="105" t="s">
        <v>622</v>
      </c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</row>
    <row r="46" spans="1:18" x14ac:dyDescent="0.35">
      <c r="A46" s="105" t="s">
        <v>627</v>
      </c>
      <c r="B46" s="105" t="s">
        <v>845</v>
      </c>
      <c r="C46" s="105" t="s">
        <v>622</v>
      </c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</row>
    <row r="47" spans="1:18" ht="29" x14ac:dyDescent="0.35">
      <c r="A47" s="105" t="s">
        <v>629</v>
      </c>
      <c r="B47" s="105" t="s">
        <v>846</v>
      </c>
      <c r="C47" s="105" t="s">
        <v>622</v>
      </c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</row>
    <row r="48" spans="1:18" ht="29" x14ac:dyDescent="0.35">
      <c r="A48" s="105" t="s">
        <v>631</v>
      </c>
      <c r="B48" s="105" t="s">
        <v>847</v>
      </c>
      <c r="C48" s="105" t="s">
        <v>622</v>
      </c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</row>
    <row r="49" spans="1:15" ht="29" x14ac:dyDescent="0.35">
      <c r="A49" s="105" t="s">
        <v>633</v>
      </c>
      <c r="B49" s="105" t="s">
        <v>849</v>
      </c>
      <c r="C49" s="105" t="s">
        <v>622</v>
      </c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</row>
    <row r="50" spans="1:15" ht="29" x14ac:dyDescent="0.35">
      <c r="A50" s="105" t="s">
        <v>635</v>
      </c>
      <c r="B50" s="105" t="s">
        <v>850</v>
      </c>
      <c r="C50" s="105" t="s">
        <v>622</v>
      </c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</row>
    <row r="51" spans="1:15" ht="29" x14ac:dyDescent="0.35">
      <c r="A51" s="105" t="s">
        <v>637</v>
      </c>
      <c r="B51" s="105" t="s">
        <v>851</v>
      </c>
      <c r="C51" s="105" t="s">
        <v>622</v>
      </c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</row>
    <row r="52" spans="1:15" ht="29" x14ac:dyDescent="0.35">
      <c r="A52" s="105" t="s">
        <v>639</v>
      </c>
      <c r="B52" s="105" t="s">
        <v>848</v>
      </c>
      <c r="C52" s="105" t="s">
        <v>788</v>
      </c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</row>
    <row r="53" spans="1:15" ht="29" x14ac:dyDescent="0.35">
      <c r="A53" s="105" t="s">
        <v>641</v>
      </c>
      <c r="B53" s="105" t="s">
        <v>706</v>
      </c>
      <c r="C53" s="105" t="s">
        <v>622</v>
      </c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</row>
    <row r="54" spans="1:15" ht="29" x14ac:dyDescent="0.35">
      <c r="A54" s="105" t="s">
        <v>643</v>
      </c>
      <c r="B54" s="105" t="s">
        <v>682</v>
      </c>
      <c r="C54" s="105" t="s">
        <v>683</v>
      </c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</row>
    <row r="55" spans="1:15" ht="29" x14ac:dyDescent="0.35">
      <c r="A55" s="105" t="s">
        <v>644</v>
      </c>
      <c r="B55" s="105" t="s">
        <v>685</v>
      </c>
      <c r="C55" s="105" t="s">
        <v>686</v>
      </c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</row>
    <row r="56" spans="1:15" ht="29" x14ac:dyDescent="0.35">
      <c r="A56" s="105" t="s">
        <v>645</v>
      </c>
      <c r="B56" s="105" t="s">
        <v>688</v>
      </c>
      <c r="C56" s="105" t="s">
        <v>686</v>
      </c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</row>
    <row r="57" spans="1:15" ht="29" x14ac:dyDescent="0.35">
      <c r="A57" s="105" t="s">
        <v>646</v>
      </c>
      <c r="B57" s="105" t="s">
        <v>690</v>
      </c>
      <c r="C57" s="105" t="s">
        <v>686</v>
      </c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</row>
    <row r="58" spans="1:15" ht="29" x14ac:dyDescent="0.35">
      <c r="A58" s="105" t="s">
        <v>649</v>
      </c>
      <c r="B58" s="105" t="s">
        <v>692</v>
      </c>
      <c r="C58" s="105" t="s">
        <v>686</v>
      </c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</row>
    <row r="59" spans="1:15" ht="29" x14ac:dyDescent="0.35">
      <c r="A59" s="105" t="s">
        <v>651</v>
      </c>
      <c r="B59" s="105" t="s">
        <v>694</v>
      </c>
      <c r="C59" s="105" t="s">
        <v>686</v>
      </c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</row>
    <row r="60" spans="1:15" ht="29" x14ac:dyDescent="0.35">
      <c r="A60" s="105" t="s">
        <v>653</v>
      </c>
      <c r="B60" s="105" t="s">
        <v>696</v>
      </c>
      <c r="C60" s="105" t="s">
        <v>686</v>
      </c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</row>
    <row r="61" spans="1:15" ht="29" x14ac:dyDescent="0.35">
      <c r="A61" s="105" t="s">
        <v>655</v>
      </c>
      <c r="B61" s="105" t="s">
        <v>698</v>
      </c>
      <c r="C61" s="105" t="s">
        <v>686</v>
      </c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</row>
    <row r="62" spans="1:15" x14ac:dyDescent="0.35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</row>
    <row r="63" spans="1:15" x14ac:dyDescent="0.35">
      <c r="A63" s="166" t="s">
        <v>763</v>
      </c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2"/>
    </row>
    <row r="64" spans="1:15" ht="58" x14ac:dyDescent="0.35">
      <c r="A64" s="108" t="s">
        <v>700</v>
      </c>
      <c r="B64" s="108" t="s">
        <v>701</v>
      </c>
      <c r="C64" s="108" t="s">
        <v>390</v>
      </c>
      <c r="D64" s="108" t="s">
        <v>351</v>
      </c>
      <c r="E64" s="108" t="s">
        <v>352</v>
      </c>
      <c r="F64" s="108" t="s">
        <v>292</v>
      </c>
      <c r="G64" s="108" t="s">
        <v>619</v>
      </c>
      <c r="H64" s="108" t="s">
        <v>353</v>
      </c>
      <c r="I64" s="108" t="s">
        <v>610</v>
      </c>
      <c r="J64" s="105"/>
      <c r="K64" s="105"/>
      <c r="L64" s="105"/>
      <c r="M64" s="105"/>
      <c r="N64" s="105"/>
      <c r="O64" s="105"/>
    </row>
    <row r="65" spans="1:15" x14ac:dyDescent="0.35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</row>
    <row r="66" spans="1:15" x14ac:dyDescent="0.35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</row>
    <row r="67" spans="1:15" x14ac:dyDescent="0.35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</row>
    <row r="68" spans="1:15" x14ac:dyDescent="0.35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</row>
    <row r="69" spans="1:15" x14ac:dyDescent="0.35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</row>
    <row r="70" spans="1:15" x14ac:dyDescent="0.35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</row>
    <row r="71" spans="1:15" x14ac:dyDescent="0.35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</row>
    <row r="72" spans="1:15" x14ac:dyDescent="0.35">
      <c r="A72" s="167" t="s">
        <v>764</v>
      </c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2"/>
    </row>
    <row r="73" spans="1:15" ht="72.5" x14ac:dyDescent="0.35">
      <c r="A73" s="108" t="s">
        <v>600</v>
      </c>
      <c r="B73" s="108"/>
      <c r="C73" s="108" t="s">
        <v>601</v>
      </c>
      <c r="D73" s="108"/>
      <c r="E73" s="108" t="s">
        <v>602</v>
      </c>
      <c r="F73" s="108"/>
      <c r="G73" s="108" t="s">
        <v>603</v>
      </c>
      <c r="H73" s="108"/>
      <c r="I73" s="108" t="s">
        <v>604</v>
      </c>
      <c r="J73" s="108"/>
      <c r="K73" s="108" t="s">
        <v>6</v>
      </c>
      <c r="L73" s="108"/>
      <c r="M73" s="108" t="s">
        <v>605</v>
      </c>
      <c r="N73" s="108"/>
      <c r="O73" s="108"/>
    </row>
    <row r="74" spans="1:15" ht="72.5" x14ac:dyDescent="0.35">
      <c r="A74" s="108" t="s">
        <v>606</v>
      </c>
      <c r="B74" s="108"/>
      <c r="C74" s="108" t="s">
        <v>607</v>
      </c>
      <c r="D74" s="108"/>
      <c r="E74" s="108" t="s">
        <v>608</v>
      </c>
      <c r="F74" s="108"/>
      <c r="G74" s="108" t="s">
        <v>609</v>
      </c>
      <c r="H74" s="108"/>
      <c r="I74" s="108" t="s">
        <v>610</v>
      </c>
      <c r="J74" s="109">
        <f>IFERROR(COUNTIF(E77:E95,"Yes")/(COUNTIF(E77:E95,"Yes")+COUNTIF(F77:F95,"No")),0)</f>
        <v>0</v>
      </c>
      <c r="K74" s="108"/>
      <c r="L74" s="108" t="str">
        <f>IF(J74&gt;=0.9,"Green",IF(J74&gt;=0.75,"Amber","Red"))</f>
        <v>Red</v>
      </c>
      <c r="M74" s="108"/>
      <c r="N74" s="108"/>
      <c r="O74" s="108"/>
    </row>
    <row r="75" spans="1:15" x14ac:dyDescent="0.35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</row>
    <row r="76" spans="1:15" ht="29" x14ac:dyDescent="0.35">
      <c r="A76" s="110" t="s">
        <v>611</v>
      </c>
      <c r="B76" s="110" t="s">
        <v>612</v>
      </c>
      <c r="C76" s="110" t="s">
        <v>613</v>
      </c>
      <c r="D76" s="110" t="s">
        <v>614</v>
      </c>
      <c r="E76" s="110" t="s">
        <v>81</v>
      </c>
      <c r="F76" s="110" t="s">
        <v>615</v>
      </c>
      <c r="G76" s="110" t="s">
        <v>616</v>
      </c>
      <c r="H76" s="110" t="s">
        <v>617</v>
      </c>
      <c r="I76" s="110" t="s">
        <v>618</v>
      </c>
      <c r="J76" s="110" t="s">
        <v>390</v>
      </c>
      <c r="K76" s="110" t="s">
        <v>351</v>
      </c>
      <c r="L76" s="110" t="s">
        <v>352</v>
      </c>
      <c r="M76" s="110" t="s">
        <v>292</v>
      </c>
      <c r="N76" s="110" t="s">
        <v>353</v>
      </c>
      <c r="O76" s="110" t="s">
        <v>619</v>
      </c>
    </row>
    <row r="77" spans="1:15" ht="29" x14ac:dyDescent="0.35">
      <c r="A77" s="105" t="s">
        <v>620</v>
      </c>
      <c r="B77" s="105" t="s">
        <v>842</v>
      </c>
      <c r="C77" s="105" t="s">
        <v>622</v>
      </c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</row>
    <row r="78" spans="1:15" ht="29" x14ac:dyDescent="0.35">
      <c r="A78" s="105" t="s">
        <v>623</v>
      </c>
      <c r="B78" s="105" t="s">
        <v>843</v>
      </c>
      <c r="C78" s="105" t="s">
        <v>622</v>
      </c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</row>
    <row r="79" spans="1:15" ht="29" x14ac:dyDescent="0.35">
      <c r="A79" s="105" t="s">
        <v>625</v>
      </c>
      <c r="B79" s="105" t="s">
        <v>844</v>
      </c>
      <c r="C79" s="105" t="s">
        <v>622</v>
      </c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</row>
    <row r="80" spans="1:15" x14ac:dyDescent="0.35">
      <c r="A80" s="105" t="s">
        <v>627</v>
      </c>
      <c r="B80" s="105" t="s">
        <v>845</v>
      </c>
      <c r="C80" s="105" t="s">
        <v>622</v>
      </c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</row>
    <row r="81" spans="1:15" ht="29" x14ac:dyDescent="0.35">
      <c r="A81" s="105" t="s">
        <v>629</v>
      </c>
      <c r="B81" s="105" t="s">
        <v>846</v>
      </c>
      <c r="C81" s="105" t="s">
        <v>622</v>
      </c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</row>
    <row r="82" spans="1:15" ht="29" x14ac:dyDescent="0.35">
      <c r="A82" s="105" t="s">
        <v>631</v>
      </c>
      <c r="B82" s="105" t="s">
        <v>847</v>
      </c>
      <c r="C82" s="105" t="s">
        <v>622</v>
      </c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</row>
    <row r="83" spans="1:15" ht="29" x14ac:dyDescent="0.35">
      <c r="A83" s="105" t="s">
        <v>633</v>
      </c>
      <c r="B83" s="105" t="s">
        <v>849</v>
      </c>
      <c r="C83" s="105" t="s">
        <v>622</v>
      </c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</row>
    <row r="84" spans="1:15" ht="29" x14ac:dyDescent="0.35">
      <c r="A84" s="105" t="s">
        <v>635</v>
      </c>
      <c r="B84" s="105" t="s">
        <v>850</v>
      </c>
      <c r="C84" s="105" t="s">
        <v>622</v>
      </c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</row>
    <row r="85" spans="1:15" ht="29" x14ac:dyDescent="0.35">
      <c r="A85" s="105" t="s">
        <v>637</v>
      </c>
      <c r="B85" s="105" t="s">
        <v>851</v>
      </c>
      <c r="C85" s="105" t="s">
        <v>622</v>
      </c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</row>
    <row r="86" spans="1:15" ht="29" x14ac:dyDescent="0.35">
      <c r="A86" s="105" t="s">
        <v>639</v>
      </c>
      <c r="B86" s="105" t="s">
        <v>848</v>
      </c>
      <c r="C86" s="105" t="s">
        <v>788</v>
      </c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</row>
    <row r="87" spans="1:15" ht="29" x14ac:dyDescent="0.35">
      <c r="A87" s="105" t="s">
        <v>641</v>
      </c>
      <c r="B87" s="105" t="s">
        <v>706</v>
      </c>
      <c r="C87" s="105" t="s">
        <v>622</v>
      </c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</row>
    <row r="88" spans="1:15" ht="29" x14ac:dyDescent="0.35">
      <c r="A88" s="105" t="s">
        <v>643</v>
      </c>
      <c r="B88" s="105" t="s">
        <v>682</v>
      </c>
      <c r="C88" s="105" t="s">
        <v>683</v>
      </c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</row>
    <row r="89" spans="1:15" ht="29" x14ac:dyDescent="0.35">
      <c r="A89" s="105" t="s">
        <v>644</v>
      </c>
      <c r="B89" s="105" t="s">
        <v>685</v>
      </c>
      <c r="C89" s="105" t="s">
        <v>686</v>
      </c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</row>
    <row r="90" spans="1:15" ht="29" x14ac:dyDescent="0.35">
      <c r="A90" s="105" t="s">
        <v>645</v>
      </c>
      <c r="B90" s="105" t="s">
        <v>688</v>
      </c>
      <c r="C90" s="105" t="s">
        <v>686</v>
      </c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</row>
    <row r="91" spans="1:15" ht="29" x14ac:dyDescent="0.35">
      <c r="A91" s="105" t="s">
        <v>646</v>
      </c>
      <c r="B91" s="105" t="s">
        <v>690</v>
      </c>
      <c r="C91" s="105" t="s">
        <v>686</v>
      </c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</row>
    <row r="92" spans="1:15" ht="29" x14ac:dyDescent="0.35">
      <c r="A92" s="105" t="s">
        <v>649</v>
      </c>
      <c r="B92" s="105" t="s">
        <v>692</v>
      </c>
      <c r="C92" s="105" t="s">
        <v>686</v>
      </c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</row>
    <row r="93" spans="1:15" ht="29" x14ac:dyDescent="0.35">
      <c r="A93" s="105" t="s">
        <v>651</v>
      </c>
      <c r="B93" s="105" t="s">
        <v>694</v>
      </c>
      <c r="C93" s="105" t="s">
        <v>686</v>
      </c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</row>
    <row r="94" spans="1:15" ht="29" x14ac:dyDescent="0.35">
      <c r="A94" s="105" t="s">
        <v>653</v>
      </c>
      <c r="B94" s="105" t="s">
        <v>696</v>
      </c>
      <c r="C94" s="105" t="s">
        <v>686</v>
      </c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</row>
    <row r="95" spans="1:15" ht="29" x14ac:dyDescent="0.35">
      <c r="A95" s="105" t="s">
        <v>655</v>
      </c>
      <c r="B95" s="105" t="s">
        <v>698</v>
      </c>
      <c r="C95" s="105" t="s">
        <v>686</v>
      </c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</row>
    <row r="96" spans="1:15" x14ac:dyDescent="0.35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</row>
    <row r="97" spans="1:15" x14ac:dyDescent="0.35">
      <c r="A97" s="166" t="s">
        <v>765</v>
      </c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2"/>
    </row>
    <row r="98" spans="1:15" ht="58" x14ac:dyDescent="0.35">
      <c r="A98" s="108" t="s">
        <v>700</v>
      </c>
      <c r="B98" s="108" t="s">
        <v>701</v>
      </c>
      <c r="C98" s="108" t="s">
        <v>390</v>
      </c>
      <c r="D98" s="108" t="s">
        <v>351</v>
      </c>
      <c r="E98" s="108" t="s">
        <v>352</v>
      </c>
      <c r="F98" s="108" t="s">
        <v>292</v>
      </c>
      <c r="G98" s="108" t="s">
        <v>619</v>
      </c>
      <c r="H98" s="108" t="s">
        <v>353</v>
      </c>
      <c r="I98" s="108" t="s">
        <v>610</v>
      </c>
      <c r="J98" s="105"/>
      <c r="K98" s="105"/>
      <c r="L98" s="105"/>
      <c r="M98" s="105"/>
      <c r="N98" s="105"/>
      <c r="O98" s="105"/>
    </row>
    <row r="99" spans="1:15" x14ac:dyDescent="0.35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</row>
    <row r="100" spans="1:15" x14ac:dyDescent="0.35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</row>
    <row r="101" spans="1:15" x14ac:dyDescent="0.35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</row>
    <row r="102" spans="1:15" x14ac:dyDescent="0.35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</row>
    <row r="103" spans="1:15" x14ac:dyDescent="0.35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</row>
    <row r="104" spans="1:15" x14ac:dyDescent="0.35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</row>
    <row r="105" spans="1:15" x14ac:dyDescent="0.35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</row>
    <row r="106" spans="1:15" x14ac:dyDescent="0.35">
      <c r="A106" s="167" t="s">
        <v>766</v>
      </c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2"/>
    </row>
    <row r="107" spans="1:15" ht="72.5" x14ac:dyDescent="0.35">
      <c r="A107" s="108" t="s">
        <v>600</v>
      </c>
      <c r="B107" s="108"/>
      <c r="C107" s="108" t="s">
        <v>601</v>
      </c>
      <c r="D107" s="108"/>
      <c r="E107" s="108" t="s">
        <v>602</v>
      </c>
      <c r="F107" s="108"/>
      <c r="G107" s="108" t="s">
        <v>603</v>
      </c>
      <c r="H107" s="108"/>
      <c r="I107" s="108" t="s">
        <v>604</v>
      </c>
      <c r="J107" s="108"/>
      <c r="K107" s="108" t="s">
        <v>6</v>
      </c>
      <c r="L107" s="108"/>
      <c r="M107" s="108" t="s">
        <v>605</v>
      </c>
      <c r="N107" s="108"/>
      <c r="O107" s="108"/>
    </row>
    <row r="108" spans="1:15" ht="72.5" x14ac:dyDescent="0.35">
      <c r="A108" s="108" t="s">
        <v>606</v>
      </c>
      <c r="B108" s="108"/>
      <c r="C108" s="108" t="s">
        <v>607</v>
      </c>
      <c r="D108" s="108"/>
      <c r="E108" s="108" t="s">
        <v>608</v>
      </c>
      <c r="F108" s="108"/>
      <c r="G108" s="108" t="s">
        <v>609</v>
      </c>
      <c r="H108" s="108"/>
      <c r="I108" s="108" t="s">
        <v>610</v>
      </c>
      <c r="J108" s="109">
        <f>IFERROR(COUNTIF(E111:E129,"Yes")/(COUNTIF(E111:E129,"Yes")+COUNTIF(F111:F129,"No")),0)</f>
        <v>0</v>
      </c>
      <c r="K108" s="108"/>
      <c r="L108" s="108" t="str">
        <f>IF(J108&gt;=0.9,"Green",IF(J108&gt;=0.75,"Amber","Red"))</f>
        <v>Red</v>
      </c>
      <c r="M108" s="108"/>
      <c r="N108" s="108"/>
      <c r="O108" s="108"/>
    </row>
    <row r="109" spans="1:15" x14ac:dyDescent="0.35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</row>
    <row r="110" spans="1:15" ht="29" x14ac:dyDescent="0.35">
      <c r="A110" s="110" t="s">
        <v>611</v>
      </c>
      <c r="B110" s="110" t="s">
        <v>612</v>
      </c>
      <c r="C110" s="110" t="s">
        <v>613</v>
      </c>
      <c r="D110" s="110" t="s">
        <v>614</v>
      </c>
      <c r="E110" s="110" t="s">
        <v>81</v>
      </c>
      <c r="F110" s="110" t="s">
        <v>615</v>
      </c>
      <c r="G110" s="110" t="s">
        <v>616</v>
      </c>
      <c r="H110" s="110" t="s">
        <v>617</v>
      </c>
      <c r="I110" s="110" t="s">
        <v>618</v>
      </c>
      <c r="J110" s="110" t="s">
        <v>390</v>
      </c>
      <c r="K110" s="110" t="s">
        <v>351</v>
      </c>
      <c r="L110" s="110" t="s">
        <v>352</v>
      </c>
      <c r="M110" s="110" t="s">
        <v>292</v>
      </c>
      <c r="N110" s="110" t="s">
        <v>353</v>
      </c>
      <c r="O110" s="110" t="s">
        <v>619</v>
      </c>
    </row>
    <row r="111" spans="1:15" ht="29" x14ac:dyDescent="0.35">
      <c r="A111" s="105" t="s">
        <v>620</v>
      </c>
      <c r="B111" s="105" t="s">
        <v>842</v>
      </c>
      <c r="C111" s="105" t="s">
        <v>622</v>
      </c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</row>
    <row r="112" spans="1:15" ht="29" x14ac:dyDescent="0.35">
      <c r="A112" s="105" t="s">
        <v>623</v>
      </c>
      <c r="B112" s="105" t="s">
        <v>843</v>
      </c>
      <c r="C112" s="105" t="s">
        <v>622</v>
      </c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</row>
    <row r="113" spans="1:15" ht="29" x14ac:dyDescent="0.35">
      <c r="A113" s="105" t="s">
        <v>625</v>
      </c>
      <c r="B113" s="105" t="s">
        <v>844</v>
      </c>
      <c r="C113" s="105" t="s">
        <v>622</v>
      </c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</row>
    <row r="114" spans="1:15" x14ac:dyDescent="0.35">
      <c r="A114" s="105" t="s">
        <v>627</v>
      </c>
      <c r="B114" s="105" t="s">
        <v>845</v>
      </c>
      <c r="C114" s="105" t="s">
        <v>622</v>
      </c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</row>
    <row r="115" spans="1:15" ht="29" x14ac:dyDescent="0.35">
      <c r="A115" s="105" t="s">
        <v>629</v>
      </c>
      <c r="B115" s="105" t="s">
        <v>846</v>
      </c>
      <c r="C115" s="105" t="s">
        <v>622</v>
      </c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</row>
    <row r="116" spans="1:15" ht="29" x14ac:dyDescent="0.35">
      <c r="A116" s="105" t="s">
        <v>631</v>
      </c>
      <c r="B116" s="105" t="s">
        <v>847</v>
      </c>
      <c r="C116" s="105" t="s">
        <v>622</v>
      </c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</row>
    <row r="117" spans="1:15" ht="29" x14ac:dyDescent="0.35">
      <c r="A117" s="105" t="s">
        <v>633</v>
      </c>
      <c r="B117" s="105" t="s">
        <v>849</v>
      </c>
      <c r="C117" s="105" t="s">
        <v>622</v>
      </c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</row>
    <row r="118" spans="1:15" ht="29" x14ac:dyDescent="0.35">
      <c r="A118" s="105" t="s">
        <v>635</v>
      </c>
      <c r="B118" s="105" t="s">
        <v>850</v>
      </c>
      <c r="C118" s="105" t="s">
        <v>622</v>
      </c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</row>
    <row r="119" spans="1:15" ht="29" x14ac:dyDescent="0.35">
      <c r="A119" s="105" t="s">
        <v>637</v>
      </c>
      <c r="B119" s="105" t="s">
        <v>851</v>
      </c>
      <c r="C119" s="105" t="s">
        <v>622</v>
      </c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</row>
    <row r="120" spans="1:15" ht="29" x14ac:dyDescent="0.35">
      <c r="A120" s="105" t="s">
        <v>639</v>
      </c>
      <c r="B120" s="105" t="s">
        <v>848</v>
      </c>
      <c r="C120" s="105" t="s">
        <v>788</v>
      </c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</row>
    <row r="121" spans="1:15" ht="29" x14ac:dyDescent="0.35">
      <c r="A121" s="105" t="s">
        <v>641</v>
      </c>
      <c r="B121" s="105" t="s">
        <v>706</v>
      </c>
      <c r="C121" s="105" t="s">
        <v>622</v>
      </c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</row>
    <row r="122" spans="1:15" ht="29" x14ac:dyDescent="0.35">
      <c r="A122" s="105" t="s">
        <v>643</v>
      </c>
      <c r="B122" s="105" t="s">
        <v>682</v>
      </c>
      <c r="C122" s="105" t="s">
        <v>683</v>
      </c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</row>
    <row r="123" spans="1:15" ht="29" x14ac:dyDescent="0.35">
      <c r="A123" s="105" t="s">
        <v>644</v>
      </c>
      <c r="B123" s="105" t="s">
        <v>685</v>
      </c>
      <c r="C123" s="105" t="s">
        <v>686</v>
      </c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</row>
    <row r="124" spans="1:15" ht="29" x14ac:dyDescent="0.35">
      <c r="A124" s="105" t="s">
        <v>645</v>
      </c>
      <c r="B124" s="105" t="s">
        <v>688</v>
      </c>
      <c r="C124" s="105" t="s">
        <v>686</v>
      </c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</row>
    <row r="125" spans="1:15" ht="29" x14ac:dyDescent="0.35">
      <c r="A125" s="105" t="s">
        <v>646</v>
      </c>
      <c r="B125" s="105" t="s">
        <v>690</v>
      </c>
      <c r="C125" s="105" t="s">
        <v>686</v>
      </c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</row>
    <row r="126" spans="1:15" ht="29" x14ac:dyDescent="0.35">
      <c r="A126" s="105" t="s">
        <v>649</v>
      </c>
      <c r="B126" s="105" t="s">
        <v>692</v>
      </c>
      <c r="C126" s="105" t="s">
        <v>686</v>
      </c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</row>
    <row r="127" spans="1:15" ht="29" x14ac:dyDescent="0.35">
      <c r="A127" s="105" t="s">
        <v>651</v>
      </c>
      <c r="B127" s="105" t="s">
        <v>694</v>
      </c>
      <c r="C127" s="105" t="s">
        <v>686</v>
      </c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</row>
    <row r="128" spans="1:15" ht="29" x14ac:dyDescent="0.35">
      <c r="A128" s="105" t="s">
        <v>653</v>
      </c>
      <c r="B128" s="105" t="s">
        <v>696</v>
      </c>
      <c r="C128" s="105" t="s">
        <v>686</v>
      </c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</row>
    <row r="129" spans="1:15" ht="29" x14ac:dyDescent="0.35">
      <c r="A129" s="105" t="s">
        <v>655</v>
      </c>
      <c r="B129" s="105" t="s">
        <v>698</v>
      </c>
      <c r="C129" s="105" t="s">
        <v>686</v>
      </c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</row>
    <row r="130" spans="1:15" x14ac:dyDescent="0.35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</row>
    <row r="131" spans="1:15" x14ac:dyDescent="0.35">
      <c r="A131" s="166" t="s">
        <v>767</v>
      </c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2"/>
    </row>
    <row r="132" spans="1:15" ht="58" x14ac:dyDescent="0.35">
      <c r="A132" s="108" t="s">
        <v>700</v>
      </c>
      <c r="B132" s="108" t="s">
        <v>701</v>
      </c>
      <c r="C132" s="108" t="s">
        <v>390</v>
      </c>
      <c r="D132" s="108" t="s">
        <v>351</v>
      </c>
      <c r="E132" s="108" t="s">
        <v>352</v>
      </c>
      <c r="F132" s="108" t="s">
        <v>292</v>
      </c>
      <c r="G132" s="108" t="s">
        <v>619</v>
      </c>
      <c r="H132" s="108" t="s">
        <v>353</v>
      </c>
      <c r="I132" s="108" t="s">
        <v>610</v>
      </c>
      <c r="J132" s="105"/>
      <c r="K132" s="105"/>
      <c r="L132" s="105"/>
      <c r="M132" s="105"/>
      <c r="N132" s="105"/>
      <c r="O132" s="105"/>
    </row>
  </sheetData>
  <mergeCells count="11">
    <mergeCell ref="A2:T2"/>
    <mergeCell ref="A97:O97"/>
    <mergeCell ref="A1:T1"/>
    <mergeCell ref="A29:O29"/>
    <mergeCell ref="A38:O38"/>
    <mergeCell ref="A63:O63"/>
    <mergeCell ref="A131:O131"/>
    <mergeCell ref="A4:O4"/>
    <mergeCell ref="A106:O106"/>
    <mergeCell ref="A34:R34"/>
    <mergeCell ref="A72:O72"/>
  </mergeCells>
  <conditionalFormatting sqref="I20:I31">
    <cfRule type="expression" dxfId="379" priority="1">
      <formula>I20="Green"</formula>
    </cfRule>
    <cfRule type="expression" dxfId="378" priority="2">
      <formula>I20="Amber"</formula>
    </cfRule>
    <cfRule type="expression" dxfId="377" priority="3">
      <formula>I20="Red"</formula>
    </cfRule>
  </conditionalFormatting>
  <dataValidations count="7">
    <dataValidation type="list" allowBlank="1" sqref="E5:E12" xr:uid="{00000000-0002-0000-2300-000000000000}">
      <formula1>"Yes,No,Partial,N/A"</formula1>
    </dataValidation>
    <dataValidation type="list" allowBlank="1" sqref="G5:G12" xr:uid="{00000000-0002-0000-2300-000001000000}">
      <formula1>"Low,Medium,High,Critical"</formula1>
    </dataValidation>
    <dataValidation type="list" allowBlank="1" sqref="S5:S12" xr:uid="{00000000-0002-0000-2300-000002000000}">
      <formula1>"Open,In Progress,Awaiting Verification,Closed,Escalated"</formula1>
    </dataValidation>
    <dataValidation type="list" allowBlank="1" sqref="G20:G31" xr:uid="{00000000-0002-0000-2300-000003000000}">
      <formula1>"Yes,No,Partially,N/A"</formula1>
    </dataValidation>
    <dataValidation type="list" allowBlank="1" sqref="I20:I31" xr:uid="{00000000-0002-0000-2300-000004000000}">
      <formula1>"Green,Amber,Red,Not Started"</formula1>
    </dataValidation>
    <dataValidation type="list" allowBlank="1" sqref="C36:C43 E9:G27 E43:G61 E77:G95 E111:G129" xr:uid="{00000000-0002-0000-2300-000005000000}">
      <formula1>"Yes,No,N/A"</formula1>
    </dataValidation>
    <dataValidation type="list" allowBlank="1" sqref="H9:H27 H43:H61 H77:H95 H111:H129" xr:uid="{00000000-0002-0000-2300-000007000000}">
      <formula1>"Low,Medium,High,Critical,N/A"</formula1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15"/>
  <sheetViews>
    <sheetView workbookViewId="0"/>
  </sheetViews>
  <sheetFormatPr defaultRowHeight="14.5" x14ac:dyDescent="0.35"/>
  <cols>
    <col min="8" max="9" width="32" customWidth="1"/>
  </cols>
  <sheetData>
    <row r="1" spans="1:26" ht="28" customHeight="1" x14ac:dyDescent="0.35">
      <c r="A1" s="97" t="s">
        <v>852</v>
      </c>
      <c r="B1" s="97"/>
      <c r="C1" s="97"/>
      <c r="D1" s="97"/>
      <c r="E1" s="97"/>
      <c r="F1" s="97"/>
      <c r="G1" s="97"/>
      <c r="H1" s="114" t="s">
        <v>853</v>
      </c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x14ac:dyDescent="0.35">
      <c r="H2" t="s">
        <v>854</v>
      </c>
      <c r="I2" t="s">
        <v>855</v>
      </c>
    </row>
    <row r="3" spans="1:26" x14ac:dyDescent="0.35">
      <c r="A3" s="99" t="s">
        <v>856</v>
      </c>
      <c r="B3" s="99" t="s">
        <v>300</v>
      </c>
      <c r="C3" s="99"/>
      <c r="D3" s="99" t="s">
        <v>857</v>
      </c>
      <c r="E3" s="99" t="s">
        <v>485</v>
      </c>
      <c r="F3" s="99" t="s">
        <v>858</v>
      </c>
      <c r="H3" t="s">
        <v>859</v>
      </c>
      <c r="I3" t="s">
        <v>860</v>
      </c>
    </row>
    <row r="4" spans="1:26" x14ac:dyDescent="0.35">
      <c r="A4" t="s">
        <v>296</v>
      </c>
      <c r="B4" t="s">
        <v>861</v>
      </c>
      <c r="D4">
        <v>1</v>
      </c>
      <c r="E4" t="s">
        <v>862</v>
      </c>
      <c r="F4" t="s">
        <v>863</v>
      </c>
    </row>
    <row r="5" spans="1:26" x14ac:dyDescent="0.35">
      <c r="A5" t="s">
        <v>296</v>
      </c>
      <c r="B5" t="s">
        <v>864</v>
      </c>
      <c r="D5">
        <v>2</v>
      </c>
      <c r="E5" t="s">
        <v>865</v>
      </c>
      <c r="F5" t="s">
        <v>866</v>
      </c>
    </row>
    <row r="6" spans="1:26" x14ac:dyDescent="0.35">
      <c r="A6" t="s">
        <v>296</v>
      </c>
      <c r="B6" t="s">
        <v>867</v>
      </c>
      <c r="D6">
        <v>3</v>
      </c>
      <c r="E6" t="s">
        <v>868</v>
      </c>
      <c r="F6" t="s">
        <v>869</v>
      </c>
    </row>
    <row r="7" spans="1:26" x14ac:dyDescent="0.35">
      <c r="A7" t="s">
        <v>870</v>
      </c>
      <c r="B7" t="s">
        <v>871</v>
      </c>
      <c r="D7">
        <v>4</v>
      </c>
      <c r="E7" t="s">
        <v>872</v>
      </c>
      <c r="F7" t="s">
        <v>873</v>
      </c>
    </row>
    <row r="8" spans="1:26" x14ac:dyDescent="0.35">
      <c r="A8" t="s">
        <v>870</v>
      </c>
      <c r="B8" t="s">
        <v>865</v>
      </c>
      <c r="D8">
        <v>5</v>
      </c>
      <c r="E8" t="s">
        <v>874</v>
      </c>
      <c r="F8" t="s">
        <v>875</v>
      </c>
    </row>
    <row r="9" spans="1:26" x14ac:dyDescent="0.35">
      <c r="A9" t="s">
        <v>870</v>
      </c>
      <c r="B9" t="s">
        <v>876</v>
      </c>
    </row>
    <row r="10" spans="1:26" x14ac:dyDescent="0.35">
      <c r="A10" t="s">
        <v>6</v>
      </c>
      <c r="B10" t="s">
        <v>305</v>
      </c>
    </row>
    <row r="11" spans="1:26" x14ac:dyDescent="0.35">
      <c r="A11" t="s">
        <v>6</v>
      </c>
      <c r="B11" t="s">
        <v>306</v>
      </c>
    </row>
    <row r="12" spans="1:26" x14ac:dyDescent="0.35">
      <c r="A12" t="s">
        <v>6</v>
      </c>
      <c r="B12" t="s">
        <v>307</v>
      </c>
    </row>
    <row r="13" spans="1:26" x14ac:dyDescent="0.35">
      <c r="A13" t="s">
        <v>877</v>
      </c>
      <c r="B13" t="s">
        <v>81</v>
      </c>
    </row>
    <row r="14" spans="1:26" x14ac:dyDescent="0.35">
      <c r="A14" t="s">
        <v>877</v>
      </c>
      <c r="B14" t="s">
        <v>615</v>
      </c>
    </row>
    <row r="15" spans="1:26" x14ac:dyDescent="0.35">
      <c r="A15" t="s">
        <v>877</v>
      </c>
      <c r="B15" t="s">
        <v>616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28"/>
  <sheetViews>
    <sheetView workbookViewId="0">
      <selection sqref="A1:S1"/>
    </sheetView>
  </sheetViews>
  <sheetFormatPr defaultRowHeight="14.5" x14ac:dyDescent="0.35"/>
  <cols>
    <col min="1" max="1" width="18" customWidth="1"/>
    <col min="2" max="2" width="24" customWidth="1"/>
    <col min="3" max="17" width="18" customWidth="1"/>
    <col min="18" max="18" width="30" customWidth="1"/>
    <col min="19" max="19" width="18" customWidth="1"/>
    <col min="23" max="32" width="22" customWidth="1"/>
    <col min="33" max="33" width="30" customWidth="1"/>
  </cols>
  <sheetData>
    <row r="1" spans="1:33" ht="28" customHeight="1" x14ac:dyDescent="0.35">
      <c r="A1" s="134" t="s">
        <v>878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97"/>
      <c r="U1" s="97"/>
      <c r="V1" s="97"/>
      <c r="W1" s="107" t="s">
        <v>310</v>
      </c>
      <c r="X1" s="107" t="s">
        <v>311</v>
      </c>
      <c r="Y1" s="107" t="s">
        <v>312</v>
      </c>
      <c r="Z1" s="107" t="s">
        <v>313</v>
      </c>
      <c r="AA1" s="107" t="s">
        <v>314</v>
      </c>
      <c r="AB1" s="107" t="s">
        <v>315</v>
      </c>
      <c r="AC1" s="107" t="s">
        <v>316</v>
      </c>
      <c r="AD1" s="107" t="s">
        <v>317</v>
      </c>
      <c r="AE1" s="107" t="s">
        <v>318</v>
      </c>
      <c r="AF1" s="107" t="s">
        <v>319</v>
      </c>
      <c r="AG1" s="107" t="s">
        <v>320</v>
      </c>
    </row>
    <row r="2" spans="1:33" x14ac:dyDescent="0.35">
      <c r="A2" t="s">
        <v>879</v>
      </c>
      <c r="L2" s="115" t="s">
        <v>880</v>
      </c>
      <c r="M2" s="115" t="s">
        <v>880</v>
      </c>
      <c r="N2" s="115" t="s">
        <v>880</v>
      </c>
      <c r="Q2" s="115" t="s">
        <v>880</v>
      </c>
      <c r="S2" s="115" t="s">
        <v>881</v>
      </c>
    </row>
    <row r="3" spans="1:33" x14ac:dyDescent="0.35">
      <c r="A3" s="99" t="s">
        <v>882</v>
      </c>
      <c r="B3" s="99" t="s">
        <v>883</v>
      </c>
      <c r="C3" s="99" t="s">
        <v>322</v>
      </c>
      <c r="D3" s="99" t="s">
        <v>323</v>
      </c>
      <c r="E3" s="99" t="s">
        <v>296</v>
      </c>
      <c r="F3" s="99" t="s">
        <v>884</v>
      </c>
      <c r="G3" s="99" t="s">
        <v>885</v>
      </c>
      <c r="H3" s="99" t="s">
        <v>604</v>
      </c>
      <c r="I3" s="99" t="s">
        <v>886</v>
      </c>
      <c r="J3" s="99" t="s">
        <v>887</v>
      </c>
      <c r="K3" s="99" t="s">
        <v>888</v>
      </c>
      <c r="L3" s="99" t="s">
        <v>889</v>
      </c>
      <c r="M3" s="99" t="s">
        <v>890</v>
      </c>
      <c r="N3" s="99" t="s">
        <v>891</v>
      </c>
      <c r="O3" s="99" t="s">
        <v>892</v>
      </c>
      <c r="P3" s="99" t="s">
        <v>893</v>
      </c>
      <c r="Q3" s="99" t="s">
        <v>6</v>
      </c>
      <c r="R3" s="99" t="s">
        <v>338</v>
      </c>
      <c r="S3" s="99" t="s">
        <v>577</v>
      </c>
      <c r="W3" t="s">
        <v>310</v>
      </c>
      <c r="X3" t="s">
        <v>311</v>
      </c>
      <c r="Y3" t="s">
        <v>312</v>
      </c>
      <c r="Z3" t="s">
        <v>313</v>
      </c>
      <c r="AA3" t="s">
        <v>314</v>
      </c>
      <c r="AB3" t="s">
        <v>315</v>
      </c>
      <c r="AC3" t="s">
        <v>316</v>
      </c>
      <c r="AD3" t="s">
        <v>317</v>
      </c>
      <c r="AE3" t="s">
        <v>318</v>
      </c>
      <c r="AF3" t="s">
        <v>319</v>
      </c>
      <c r="AG3" t="s">
        <v>320</v>
      </c>
    </row>
    <row r="4" spans="1:33" x14ac:dyDescent="0.35">
      <c r="A4" t="s">
        <v>894</v>
      </c>
      <c r="E4" t="s">
        <v>861</v>
      </c>
      <c r="G4" t="str">
        <f>HYPERLINK("#SW001!A1","Open SW001")</f>
        <v>Open SW001</v>
      </c>
      <c r="H4" s="104">
        <f>'SW001'!B11</f>
        <v>0</v>
      </c>
      <c r="I4" s="104">
        <f>'SW001'!B8</f>
        <v>0</v>
      </c>
      <c r="J4" s="104">
        <f>'SW001'!B9</f>
        <v>0</v>
      </c>
      <c r="K4" s="104" t="str">
        <f>'SW001'!B10</f>
        <v/>
      </c>
      <c r="L4">
        <f>IFERROR(INDEX('SW001'!$C$20:$C$45,MATCH("DBS",'SW001'!$A$20:$A$45,0)),"")</f>
        <v>0</v>
      </c>
      <c r="M4">
        <f>IFERROR(INDEX('SW001'!$C$20:$C$45,MATCH("Right to Work",'SW001'!$A$20:$A$45,0)),"")</f>
        <v>0</v>
      </c>
      <c r="N4">
        <f>IFERROR(INDEX('SW001'!$C$20:$C$45,MATCH("Probation",'SW001'!$A$20:$A$45,0)),"")</f>
        <v>0</v>
      </c>
      <c r="P4" t="str">
        <f t="shared" ref="P4:P28" ca="1" si="0">IF(B4="","",IFERROR(INDIRECT("'"&amp;A4&amp;"'!B11"),""))</f>
        <v/>
      </c>
      <c r="Q4" t="str">
        <f>'SW001'!B12</f>
        <v>Red</v>
      </c>
      <c r="S4" t="str">
        <f>IFERROR(IF(MAX('SW001'!$D$20:$D$240)=0,"",MAX('SW001'!$D$20:$D$240)),"")</f>
        <v/>
      </c>
      <c r="X4" t="str">
        <f t="shared" ref="X4:X28" si="1">IF(W4="","",IF(W4="Yes","Sponsored","Non-Sponsored"))</f>
        <v/>
      </c>
    </row>
    <row r="5" spans="1:33" x14ac:dyDescent="0.35">
      <c r="A5" t="s">
        <v>895</v>
      </c>
      <c r="E5" t="s">
        <v>861</v>
      </c>
      <c r="G5" t="str">
        <f>HYPERLINK("#SW002!A1","Open SW002")</f>
        <v>Open SW002</v>
      </c>
      <c r="H5" s="104">
        <f>'SW002'!B11</f>
        <v>0</v>
      </c>
      <c r="I5" s="104">
        <f>'SW002'!B8</f>
        <v>0</v>
      </c>
      <c r="J5" s="104">
        <f>'SW002'!B9</f>
        <v>0</v>
      </c>
      <c r="K5" s="104" t="str">
        <f>'SW002'!B10</f>
        <v/>
      </c>
      <c r="L5">
        <f>IFERROR(INDEX('SW002'!$C$20:$C$45,MATCH("DBS",'SW002'!$A$20:$A$45,0)),"")</f>
        <v>0</v>
      </c>
      <c r="M5">
        <f>IFERROR(INDEX('SW002'!$C$20:$C$45,MATCH("Right to Work",'SW002'!$A$20:$A$45,0)),"")</f>
        <v>0</v>
      </c>
      <c r="N5">
        <f>IFERROR(INDEX('SW002'!$C$20:$C$45,MATCH("Probation",'SW002'!$A$20:$A$45,0)),"")</f>
        <v>0</v>
      </c>
      <c r="P5" t="str">
        <f t="shared" ca="1" si="0"/>
        <v/>
      </c>
      <c r="Q5" t="str">
        <f>'SW002'!B12</f>
        <v>Red</v>
      </c>
      <c r="S5" t="str">
        <f>IFERROR(IF(MAX('SW002'!$D$20:$D$240)=0,"",MAX('SW002'!$D$20:$D$240)),"")</f>
        <v/>
      </c>
      <c r="X5" t="str">
        <f t="shared" si="1"/>
        <v/>
      </c>
    </row>
    <row r="6" spans="1:33" x14ac:dyDescent="0.35">
      <c r="A6" t="s">
        <v>896</v>
      </c>
      <c r="E6" t="s">
        <v>861</v>
      </c>
      <c r="G6" t="str">
        <f>HYPERLINK("#SW003!A1","Open SW003")</f>
        <v>Open SW003</v>
      </c>
      <c r="H6" s="104">
        <f>'SW003'!B11</f>
        <v>0</v>
      </c>
      <c r="I6" s="104">
        <f>'SW003'!B8</f>
        <v>0</v>
      </c>
      <c r="J6" s="104">
        <f>'SW003'!B9</f>
        <v>0</v>
      </c>
      <c r="K6" s="104" t="str">
        <f>'SW003'!B10</f>
        <v/>
      </c>
      <c r="L6">
        <f>IFERROR(INDEX('SW003'!$C$20:$C$45,MATCH("DBS",'SW003'!$A$20:$A$45,0)),"")</f>
        <v>0</v>
      </c>
      <c r="M6">
        <f>IFERROR(INDEX('SW003'!$C$20:$C$45,MATCH("Right to Work",'SW003'!$A$20:$A$45,0)),"")</f>
        <v>0</v>
      </c>
      <c r="N6">
        <f>IFERROR(INDEX('SW003'!$C$20:$C$45,MATCH("Probation",'SW003'!$A$20:$A$45,0)),"")</f>
        <v>0</v>
      </c>
      <c r="P6" t="str">
        <f t="shared" ca="1" si="0"/>
        <v/>
      </c>
      <c r="Q6" t="str">
        <f>'SW003'!B12</f>
        <v>Red</v>
      </c>
      <c r="S6" t="str">
        <f>IFERROR(IF(MAX('SW003'!$D$20:$D$240)=0,"",MAX('SW003'!$D$20:$D$240)),"")</f>
        <v/>
      </c>
      <c r="X6" t="str">
        <f t="shared" si="1"/>
        <v/>
      </c>
    </row>
    <row r="7" spans="1:33" x14ac:dyDescent="0.35">
      <c r="A7" t="s">
        <v>897</v>
      </c>
      <c r="E7" t="s">
        <v>861</v>
      </c>
      <c r="G7" t="str">
        <f>HYPERLINK("#SW004!A1","Open SW004")</f>
        <v>Open SW004</v>
      </c>
      <c r="H7" s="104">
        <f>'SW004'!B11</f>
        <v>0</v>
      </c>
      <c r="I7" s="104">
        <f>'SW004'!B8</f>
        <v>0</v>
      </c>
      <c r="J7" s="104">
        <f>'SW004'!B9</f>
        <v>0</v>
      </c>
      <c r="K7" s="104" t="str">
        <f>'SW004'!B10</f>
        <v/>
      </c>
      <c r="L7">
        <f>IFERROR(INDEX('SW004'!$C$20:$C$45,MATCH("DBS",'SW004'!$A$20:$A$45,0)),"")</f>
        <v>0</v>
      </c>
      <c r="M7">
        <f>IFERROR(INDEX('SW004'!$C$20:$C$45,MATCH("Right to Work",'SW004'!$A$20:$A$45,0)),"")</f>
        <v>0</v>
      </c>
      <c r="N7">
        <f>IFERROR(INDEX('SW004'!$C$20:$C$45,MATCH("Probation",'SW004'!$A$20:$A$45,0)),"")</f>
        <v>0</v>
      </c>
      <c r="P7" t="str">
        <f t="shared" ca="1" si="0"/>
        <v/>
      </c>
      <c r="Q7" t="str">
        <f>'SW004'!B12</f>
        <v>Red</v>
      </c>
      <c r="S7" t="str">
        <f>IFERROR(IF(MAX('SW004'!$D$20:$D$240)=0,"",MAX('SW004'!$D$20:$D$240)),"")</f>
        <v/>
      </c>
      <c r="X7" t="str">
        <f t="shared" si="1"/>
        <v/>
      </c>
    </row>
    <row r="8" spans="1:33" x14ac:dyDescent="0.35">
      <c r="A8" t="s">
        <v>898</v>
      </c>
      <c r="E8" t="s">
        <v>861</v>
      </c>
      <c r="G8" t="str">
        <f>HYPERLINK("#SW005!A1","Open SW005")</f>
        <v>Open SW005</v>
      </c>
      <c r="H8" s="104">
        <f>'SW005'!B11</f>
        <v>0</v>
      </c>
      <c r="I8" s="104">
        <f>'SW005'!B8</f>
        <v>0</v>
      </c>
      <c r="J8" s="104">
        <f>'SW005'!B9</f>
        <v>0</v>
      </c>
      <c r="K8" s="104" t="str">
        <f>'SW005'!B10</f>
        <v/>
      </c>
      <c r="L8">
        <f>IFERROR(INDEX('SW005'!$C$20:$C$45,MATCH("DBS",'SW005'!$A$20:$A$45,0)),"")</f>
        <v>0</v>
      </c>
      <c r="M8">
        <f>IFERROR(INDEX('SW005'!$C$20:$C$45,MATCH("Right to Work",'SW005'!$A$20:$A$45,0)),"")</f>
        <v>0</v>
      </c>
      <c r="N8">
        <f>IFERROR(INDEX('SW005'!$C$20:$C$45,MATCH("Probation",'SW005'!$A$20:$A$45,0)),"")</f>
        <v>0</v>
      </c>
      <c r="P8" t="str">
        <f t="shared" ca="1" si="0"/>
        <v/>
      </c>
      <c r="Q8" t="str">
        <f>'SW005'!B12</f>
        <v>Red</v>
      </c>
      <c r="S8" t="str">
        <f>IFERROR(IF(MAX('SW005'!$D$20:$D$240)=0,"",MAX('SW005'!$D$20:$D$240)),"")</f>
        <v/>
      </c>
      <c r="X8" t="str">
        <f t="shared" si="1"/>
        <v/>
      </c>
    </row>
    <row r="9" spans="1:33" x14ac:dyDescent="0.35">
      <c r="A9" t="s">
        <v>899</v>
      </c>
      <c r="E9" t="s">
        <v>861</v>
      </c>
      <c r="G9" t="str">
        <f>HYPERLINK("#SW006!A1","Open SW006")</f>
        <v>Open SW006</v>
      </c>
      <c r="H9" s="104">
        <f>'SW006'!B11</f>
        <v>0</v>
      </c>
      <c r="I9" s="104">
        <f>'SW006'!B8</f>
        <v>0</v>
      </c>
      <c r="J9" s="104">
        <f>'SW006'!B9</f>
        <v>0</v>
      </c>
      <c r="K9" s="104" t="str">
        <f>'SW006'!B10</f>
        <v/>
      </c>
      <c r="L9">
        <f>IFERROR(INDEX('SW006'!$C$20:$C$45,MATCH("DBS",'SW006'!$A$20:$A$45,0)),"")</f>
        <v>0</v>
      </c>
      <c r="M9">
        <f>IFERROR(INDEX('SW006'!$C$20:$C$45,MATCH("Right to Work",'SW006'!$A$20:$A$45,0)),"")</f>
        <v>0</v>
      </c>
      <c r="N9">
        <f>IFERROR(INDEX('SW006'!$C$20:$C$45,MATCH("Probation",'SW006'!$A$20:$A$45,0)),"")</f>
        <v>0</v>
      </c>
      <c r="P9" t="str">
        <f t="shared" ca="1" si="0"/>
        <v/>
      </c>
      <c r="Q9" t="str">
        <f>'SW006'!B12</f>
        <v>Red</v>
      </c>
      <c r="S9" t="str">
        <f>IFERROR(IF(MAX('SW006'!$D$20:$D$240)=0,"",MAX('SW006'!$D$20:$D$240)),"")</f>
        <v/>
      </c>
      <c r="X9" t="str">
        <f t="shared" si="1"/>
        <v/>
      </c>
    </row>
    <row r="10" spans="1:33" x14ac:dyDescent="0.35">
      <c r="A10" t="s">
        <v>900</v>
      </c>
      <c r="E10" t="s">
        <v>861</v>
      </c>
      <c r="G10" t="str">
        <f>HYPERLINK("#SW007!A1","Open SW007")</f>
        <v>Open SW007</v>
      </c>
      <c r="H10" s="104">
        <f>'SW007'!B11</f>
        <v>0</v>
      </c>
      <c r="I10" s="104">
        <f>'SW007'!B8</f>
        <v>0</v>
      </c>
      <c r="J10" s="104">
        <f>'SW007'!B9</f>
        <v>0</v>
      </c>
      <c r="K10" s="104" t="str">
        <f>'SW007'!B10</f>
        <v/>
      </c>
      <c r="L10">
        <f>IFERROR(INDEX('SW007'!$C$20:$C$45,MATCH("DBS",'SW007'!$A$20:$A$45,0)),"")</f>
        <v>0</v>
      </c>
      <c r="M10">
        <f>IFERROR(INDEX('SW007'!$C$20:$C$45,MATCH("Right to Work",'SW007'!$A$20:$A$45,0)),"")</f>
        <v>0</v>
      </c>
      <c r="N10">
        <f>IFERROR(INDEX('SW007'!$C$20:$C$45,MATCH("Probation",'SW007'!$A$20:$A$45,0)),"")</f>
        <v>0</v>
      </c>
      <c r="P10" t="str">
        <f t="shared" ca="1" si="0"/>
        <v/>
      </c>
      <c r="Q10" t="str">
        <f>'SW007'!B12</f>
        <v>Red</v>
      </c>
      <c r="S10" t="str">
        <f>IFERROR(IF(MAX('SW007'!$D$20:$D$240)=0,"",MAX('SW007'!$D$20:$D$240)),"")</f>
        <v/>
      </c>
      <c r="X10" t="str">
        <f t="shared" si="1"/>
        <v/>
      </c>
    </row>
    <row r="11" spans="1:33" x14ac:dyDescent="0.35">
      <c r="A11" t="s">
        <v>901</v>
      </c>
      <c r="E11" t="s">
        <v>861</v>
      </c>
      <c r="G11" t="str">
        <f>HYPERLINK("#SW008!A1","Open SW008")</f>
        <v>Open SW008</v>
      </c>
      <c r="H11" s="104">
        <f>'SW008'!B11</f>
        <v>0</v>
      </c>
      <c r="I11" s="104">
        <f>'SW008'!B8</f>
        <v>0</v>
      </c>
      <c r="J11" s="104">
        <f>'SW008'!B9</f>
        <v>0</v>
      </c>
      <c r="K11" s="104" t="str">
        <f>'SW008'!B10</f>
        <v/>
      </c>
      <c r="L11">
        <f>IFERROR(INDEX('SW008'!$C$20:$C$45,MATCH("DBS",'SW008'!$A$20:$A$45,0)),"")</f>
        <v>0</v>
      </c>
      <c r="M11">
        <f>IFERROR(INDEX('SW008'!$C$20:$C$45,MATCH("Right to Work",'SW008'!$A$20:$A$45,0)),"")</f>
        <v>0</v>
      </c>
      <c r="N11">
        <f>IFERROR(INDEX('SW008'!$C$20:$C$45,MATCH("Probation",'SW008'!$A$20:$A$45,0)),"")</f>
        <v>0</v>
      </c>
      <c r="P11" t="str">
        <f t="shared" ca="1" si="0"/>
        <v/>
      </c>
      <c r="Q11" t="str">
        <f>'SW008'!B12</f>
        <v>Red</v>
      </c>
      <c r="S11" t="str">
        <f>IFERROR(IF(MAX('SW008'!$D$20:$D$240)=0,"",MAX('SW008'!$D$20:$D$240)),"")</f>
        <v/>
      </c>
      <c r="X11" t="str">
        <f t="shared" si="1"/>
        <v/>
      </c>
    </row>
    <row r="12" spans="1:33" x14ac:dyDescent="0.35">
      <c r="A12" t="s">
        <v>902</v>
      </c>
      <c r="E12" t="s">
        <v>861</v>
      </c>
      <c r="G12" t="str">
        <f>HYPERLINK("#SW009!A1","Open SW009")</f>
        <v>Open SW009</v>
      </c>
      <c r="H12" s="104">
        <f>'SW009'!B11</f>
        <v>0</v>
      </c>
      <c r="I12" s="104">
        <f>'SW009'!B8</f>
        <v>0</v>
      </c>
      <c r="J12" s="104">
        <f>'SW009'!B9</f>
        <v>0</v>
      </c>
      <c r="K12" s="104" t="str">
        <f>'SW009'!B10</f>
        <v/>
      </c>
      <c r="L12">
        <f>IFERROR(INDEX('SW009'!$C$20:$C$45,MATCH("DBS",'SW009'!$A$20:$A$45,0)),"")</f>
        <v>0</v>
      </c>
      <c r="M12">
        <f>IFERROR(INDEX('SW009'!$C$20:$C$45,MATCH("Right to Work",'SW009'!$A$20:$A$45,0)),"")</f>
        <v>0</v>
      </c>
      <c r="N12">
        <f>IFERROR(INDEX('SW009'!$C$20:$C$45,MATCH("Probation",'SW009'!$A$20:$A$45,0)),"")</f>
        <v>0</v>
      </c>
      <c r="P12" t="str">
        <f t="shared" ca="1" si="0"/>
        <v/>
      </c>
      <c r="Q12" t="str">
        <f>'SW009'!B12</f>
        <v>Red</v>
      </c>
      <c r="S12" t="str">
        <f>IFERROR(IF(MAX('SW009'!$D$20:$D$240)=0,"",MAX('SW009'!$D$20:$D$240)),"")</f>
        <v/>
      </c>
      <c r="X12" t="str">
        <f t="shared" si="1"/>
        <v/>
      </c>
    </row>
    <row r="13" spans="1:33" x14ac:dyDescent="0.35">
      <c r="A13" t="s">
        <v>903</v>
      </c>
      <c r="E13" t="s">
        <v>861</v>
      </c>
      <c r="G13" t="str">
        <f>HYPERLINK("#SW010!A1","Open SW010")</f>
        <v>Open SW010</v>
      </c>
      <c r="H13" s="104">
        <f>'SW010'!B11</f>
        <v>0</v>
      </c>
      <c r="I13" s="104">
        <f>'SW010'!B8</f>
        <v>0</v>
      </c>
      <c r="J13" s="104">
        <f>'SW010'!B9</f>
        <v>0</v>
      </c>
      <c r="K13" s="104" t="str">
        <f>'SW010'!B10</f>
        <v/>
      </c>
      <c r="L13">
        <f>IFERROR(INDEX('SW010'!$C$20:$C$45,MATCH("DBS",'SW010'!$A$20:$A$45,0)),"")</f>
        <v>0</v>
      </c>
      <c r="M13">
        <f>IFERROR(INDEX('SW010'!$C$20:$C$45,MATCH("Right to Work",'SW010'!$A$20:$A$45,0)),"")</f>
        <v>0</v>
      </c>
      <c r="N13">
        <f>IFERROR(INDEX('SW010'!$C$20:$C$45,MATCH("Probation",'SW010'!$A$20:$A$45,0)),"")</f>
        <v>0</v>
      </c>
      <c r="P13" t="str">
        <f t="shared" ca="1" si="0"/>
        <v/>
      </c>
      <c r="Q13" t="str">
        <f>'SW010'!B12</f>
        <v>Red</v>
      </c>
      <c r="S13" t="str">
        <f>IFERROR(IF(MAX('SW010'!$D$20:$D$240)=0,"",MAX('SW010'!$D$20:$D$240)),"")</f>
        <v/>
      </c>
      <c r="X13" t="str">
        <f t="shared" si="1"/>
        <v/>
      </c>
    </row>
    <row r="14" spans="1:33" x14ac:dyDescent="0.35">
      <c r="A14" t="s">
        <v>904</v>
      </c>
      <c r="E14" t="s">
        <v>861</v>
      </c>
      <c r="G14" t="str">
        <f>HYPERLINK("#SW011!A1","Open SW011")</f>
        <v>Open SW011</v>
      </c>
      <c r="H14" s="104">
        <f>'SW011'!B11</f>
        <v>0</v>
      </c>
      <c r="I14" s="104">
        <f>'SW011'!B8</f>
        <v>0</v>
      </c>
      <c r="J14" s="104">
        <f>'SW011'!B9</f>
        <v>0</v>
      </c>
      <c r="K14" s="104" t="str">
        <f>'SW011'!B10</f>
        <v/>
      </c>
      <c r="L14">
        <f>IFERROR(INDEX('SW011'!$C$20:$C$45,MATCH("DBS",'SW011'!$A$20:$A$45,0)),"")</f>
        <v>0</v>
      </c>
      <c r="M14">
        <f>IFERROR(INDEX('SW011'!$C$20:$C$45,MATCH("Right to Work",'SW011'!$A$20:$A$45,0)),"")</f>
        <v>0</v>
      </c>
      <c r="N14">
        <f>IFERROR(INDEX('SW011'!$C$20:$C$45,MATCH("Probation",'SW011'!$A$20:$A$45,0)),"")</f>
        <v>0</v>
      </c>
      <c r="P14" t="str">
        <f t="shared" ca="1" si="0"/>
        <v/>
      </c>
      <c r="Q14" t="str">
        <f>'SW011'!B12</f>
        <v>Red</v>
      </c>
      <c r="S14" t="str">
        <f>IFERROR(IF(MAX('SW011'!$D$20:$D$240)=0,"",MAX('SW011'!$D$20:$D$240)),"")</f>
        <v/>
      </c>
      <c r="X14" t="str">
        <f t="shared" si="1"/>
        <v/>
      </c>
    </row>
    <row r="15" spans="1:33" x14ac:dyDescent="0.35">
      <c r="A15" t="s">
        <v>905</v>
      </c>
      <c r="E15" t="s">
        <v>861</v>
      </c>
      <c r="G15" t="str">
        <f>HYPERLINK("#SW012!A1","Open SW012")</f>
        <v>Open SW012</v>
      </c>
      <c r="H15" s="104">
        <f>'SW012'!B11</f>
        <v>0</v>
      </c>
      <c r="I15" s="104">
        <f>'SW012'!B8</f>
        <v>0</v>
      </c>
      <c r="J15" s="104">
        <f>'SW012'!B9</f>
        <v>0</v>
      </c>
      <c r="K15" s="104" t="str">
        <f>'SW012'!B10</f>
        <v/>
      </c>
      <c r="L15">
        <f>IFERROR(INDEX('SW012'!$C$20:$C$45,MATCH("DBS",'SW012'!$A$20:$A$45,0)),"")</f>
        <v>0</v>
      </c>
      <c r="M15">
        <f>IFERROR(INDEX('SW012'!$C$20:$C$45,MATCH("Right to Work",'SW012'!$A$20:$A$45,0)),"")</f>
        <v>0</v>
      </c>
      <c r="N15">
        <f>IFERROR(INDEX('SW012'!$C$20:$C$45,MATCH("Probation",'SW012'!$A$20:$A$45,0)),"")</f>
        <v>0</v>
      </c>
      <c r="P15" t="str">
        <f t="shared" ca="1" si="0"/>
        <v/>
      </c>
      <c r="Q15" t="str">
        <f>'SW012'!B12</f>
        <v>Red</v>
      </c>
      <c r="S15" t="str">
        <f>IFERROR(IF(MAX('SW012'!$D$20:$D$240)=0,"",MAX('SW012'!$D$20:$D$240)),"")</f>
        <v/>
      </c>
      <c r="X15" t="str">
        <f t="shared" si="1"/>
        <v/>
      </c>
    </row>
    <row r="16" spans="1:33" x14ac:dyDescent="0.35">
      <c r="A16" t="s">
        <v>906</v>
      </c>
      <c r="E16" t="s">
        <v>861</v>
      </c>
      <c r="G16" t="str">
        <f>HYPERLINK("#SW013!A1","Open SW013")</f>
        <v>Open SW013</v>
      </c>
      <c r="H16" s="104">
        <f>'SW013'!B11</f>
        <v>0</v>
      </c>
      <c r="I16" s="104">
        <f>'SW013'!B8</f>
        <v>0</v>
      </c>
      <c r="J16" s="104">
        <f>'SW013'!B9</f>
        <v>0</v>
      </c>
      <c r="K16" s="104" t="str">
        <f>'SW013'!B10</f>
        <v/>
      </c>
      <c r="L16">
        <f>IFERROR(INDEX('SW013'!$C$20:$C$45,MATCH("DBS",'SW013'!$A$20:$A$45,0)),"")</f>
        <v>0</v>
      </c>
      <c r="M16">
        <f>IFERROR(INDEX('SW013'!$C$20:$C$45,MATCH("Right to Work",'SW013'!$A$20:$A$45,0)),"")</f>
        <v>0</v>
      </c>
      <c r="N16">
        <f>IFERROR(INDEX('SW013'!$C$20:$C$45,MATCH("Probation",'SW013'!$A$20:$A$45,0)),"")</f>
        <v>0</v>
      </c>
      <c r="P16" t="str">
        <f t="shared" ca="1" si="0"/>
        <v/>
      </c>
      <c r="Q16" t="str">
        <f>'SW013'!B12</f>
        <v>Red</v>
      </c>
      <c r="S16" t="str">
        <f>IFERROR(IF(MAX('SW013'!$D$20:$D$240)=0,"",MAX('SW013'!$D$20:$D$240)),"")</f>
        <v/>
      </c>
      <c r="X16" t="str">
        <f t="shared" si="1"/>
        <v/>
      </c>
    </row>
    <row r="17" spans="1:24" x14ac:dyDescent="0.35">
      <c r="A17" t="s">
        <v>907</v>
      </c>
      <c r="E17" t="s">
        <v>861</v>
      </c>
      <c r="G17" t="str">
        <f>HYPERLINK("#SW014!A1","Open SW014")</f>
        <v>Open SW014</v>
      </c>
      <c r="H17" s="104">
        <f>'SW014'!B11</f>
        <v>0</v>
      </c>
      <c r="I17" s="104">
        <f>'SW014'!B8</f>
        <v>0</v>
      </c>
      <c r="J17" s="104">
        <f>'SW014'!B9</f>
        <v>0</v>
      </c>
      <c r="K17" s="104" t="str">
        <f>'SW014'!B10</f>
        <v/>
      </c>
      <c r="L17">
        <f>IFERROR(INDEX('SW014'!$C$20:$C$45,MATCH("DBS",'SW014'!$A$20:$A$45,0)),"")</f>
        <v>0</v>
      </c>
      <c r="M17">
        <f>IFERROR(INDEX('SW014'!$C$20:$C$45,MATCH("Right to Work",'SW014'!$A$20:$A$45,0)),"")</f>
        <v>0</v>
      </c>
      <c r="N17">
        <f>IFERROR(INDEX('SW014'!$C$20:$C$45,MATCH("Probation",'SW014'!$A$20:$A$45,0)),"")</f>
        <v>0</v>
      </c>
      <c r="P17" t="str">
        <f t="shared" ca="1" si="0"/>
        <v/>
      </c>
      <c r="Q17" t="str">
        <f>'SW014'!B12</f>
        <v>Red</v>
      </c>
      <c r="S17" t="str">
        <f>IFERROR(IF(MAX('SW014'!$D$20:$D$240)=0,"",MAX('SW014'!$D$20:$D$240)),"")</f>
        <v/>
      </c>
      <c r="X17" t="str">
        <f t="shared" si="1"/>
        <v/>
      </c>
    </row>
    <row r="18" spans="1:24" x14ac:dyDescent="0.35">
      <c r="A18" t="s">
        <v>908</v>
      </c>
      <c r="E18" t="s">
        <v>861</v>
      </c>
      <c r="G18" t="str">
        <f>HYPERLINK("#SW015!A1","Open SW015")</f>
        <v>Open SW015</v>
      </c>
      <c r="H18" s="104">
        <f>'SW015'!B11</f>
        <v>0</v>
      </c>
      <c r="I18" s="104">
        <f>'SW015'!B8</f>
        <v>0</v>
      </c>
      <c r="J18" s="104">
        <f>'SW015'!B9</f>
        <v>0</v>
      </c>
      <c r="K18" s="104" t="str">
        <f>'SW015'!B10</f>
        <v/>
      </c>
      <c r="L18">
        <f>IFERROR(INDEX('SW015'!$C$20:$C$45,MATCH("DBS",'SW015'!$A$20:$A$45,0)),"")</f>
        <v>0</v>
      </c>
      <c r="M18">
        <f>IFERROR(INDEX('SW015'!$C$20:$C$45,MATCH("Right to Work",'SW015'!$A$20:$A$45,0)),"")</f>
        <v>0</v>
      </c>
      <c r="N18">
        <f>IFERROR(INDEX('SW015'!$C$20:$C$45,MATCH("Probation",'SW015'!$A$20:$A$45,0)),"")</f>
        <v>0</v>
      </c>
      <c r="P18" t="str">
        <f t="shared" ca="1" si="0"/>
        <v/>
      </c>
      <c r="Q18" t="str">
        <f>'SW015'!B12</f>
        <v>Red</v>
      </c>
      <c r="S18" t="str">
        <f>IFERROR(IF(MAX('SW015'!$D$20:$D$240)=0,"",MAX('SW015'!$D$20:$D$240)),"")</f>
        <v/>
      </c>
      <c r="X18" t="str">
        <f t="shared" si="1"/>
        <v/>
      </c>
    </row>
    <row r="19" spans="1:24" x14ac:dyDescent="0.35">
      <c r="A19" t="s">
        <v>909</v>
      </c>
      <c r="E19" t="s">
        <v>861</v>
      </c>
      <c r="G19" t="str">
        <f>HYPERLINK("#SW016!A1","Open SW016")</f>
        <v>Open SW016</v>
      </c>
      <c r="H19" s="104">
        <f>'SW016'!B11</f>
        <v>0</v>
      </c>
      <c r="I19" s="104">
        <f>'SW016'!B8</f>
        <v>0</v>
      </c>
      <c r="J19" s="104">
        <f>'SW016'!B9</f>
        <v>0</v>
      </c>
      <c r="K19" s="104" t="str">
        <f>'SW016'!B10</f>
        <v/>
      </c>
      <c r="L19">
        <f>IFERROR(INDEX('SW016'!$C$20:$C$45,MATCH("DBS",'SW016'!$A$20:$A$45,0)),"")</f>
        <v>0</v>
      </c>
      <c r="M19">
        <f>IFERROR(INDEX('SW016'!$C$20:$C$45,MATCH("Right to Work",'SW016'!$A$20:$A$45,0)),"")</f>
        <v>0</v>
      </c>
      <c r="N19">
        <f>IFERROR(INDEX('SW016'!$C$20:$C$45,MATCH("Probation",'SW016'!$A$20:$A$45,0)),"")</f>
        <v>0</v>
      </c>
      <c r="P19" t="str">
        <f t="shared" ca="1" si="0"/>
        <v/>
      </c>
      <c r="Q19" t="str">
        <f>'SW016'!B12</f>
        <v>Red</v>
      </c>
      <c r="S19" t="str">
        <f>IFERROR(IF(MAX('SW016'!$D$20:$D$240)=0,"",MAX('SW016'!$D$20:$D$240)),"")</f>
        <v/>
      </c>
      <c r="X19" t="str">
        <f t="shared" si="1"/>
        <v/>
      </c>
    </row>
    <row r="20" spans="1:24" x14ac:dyDescent="0.35">
      <c r="A20" t="s">
        <v>910</v>
      </c>
      <c r="E20" t="s">
        <v>861</v>
      </c>
      <c r="G20" t="str">
        <f>HYPERLINK("#SW017!A1","Open SW017")</f>
        <v>Open SW017</v>
      </c>
      <c r="H20" s="104">
        <f>'SW017'!B11</f>
        <v>0</v>
      </c>
      <c r="I20" s="104">
        <f>'SW017'!B8</f>
        <v>0</v>
      </c>
      <c r="J20" s="104">
        <f>'SW017'!B9</f>
        <v>0</v>
      </c>
      <c r="K20" s="104" t="str">
        <f>'SW017'!B10</f>
        <v/>
      </c>
      <c r="L20">
        <f>IFERROR(INDEX('SW017'!$C$20:$C$45,MATCH("DBS",'SW017'!$A$20:$A$45,0)),"")</f>
        <v>0</v>
      </c>
      <c r="M20">
        <f>IFERROR(INDEX('SW017'!$C$20:$C$45,MATCH("Right to Work",'SW017'!$A$20:$A$45,0)),"")</f>
        <v>0</v>
      </c>
      <c r="N20">
        <f>IFERROR(INDEX('SW017'!$C$20:$C$45,MATCH("Probation",'SW017'!$A$20:$A$45,0)),"")</f>
        <v>0</v>
      </c>
      <c r="P20" t="str">
        <f t="shared" ca="1" si="0"/>
        <v/>
      </c>
      <c r="Q20" t="str">
        <f>'SW017'!B12</f>
        <v>Red</v>
      </c>
      <c r="S20" t="str">
        <f>IFERROR(IF(MAX('SW017'!$D$20:$D$240)=0,"",MAX('SW017'!$D$20:$D$240)),"")</f>
        <v/>
      </c>
      <c r="X20" t="str">
        <f t="shared" si="1"/>
        <v/>
      </c>
    </row>
    <row r="21" spans="1:24" x14ac:dyDescent="0.35">
      <c r="A21" t="s">
        <v>911</v>
      </c>
      <c r="E21" t="s">
        <v>861</v>
      </c>
      <c r="G21" t="str">
        <f>HYPERLINK("#SW018!A1","Open SW018")</f>
        <v>Open SW018</v>
      </c>
      <c r="H21" s="104">
        <f>'SW018'!B11</f>
        <v>0</v>
      </c>
      <c r="I21" s="104">
        <f>'SW018'!B8</f>
        <v>0</v>
      </c>
      <c r="J21" s="104">
        <f>'SW018'!B9</f>
        <v>0</v>
      </c>
      <c r="K21" s="104" t="str">
        <f>'SW018'!B10</f>
        <v/>
      </c>
      <c r="L21">
        <f>IFERROR(INDEX('SW018'!$C$20:$C$45,MATCH("DBS",'SW018'!$A$20:$A$45,0)),"")</f>
        <v>0</v>
      </c>
      <c r="M21">
        <f>IFERROR(INDEX('SW018'!$C$20:$C$45,MATCH("Right to Work",'SW018'!$A$20:$A$45,0)),"")</f>
        <v>0</v>
      </c>
      <c r="N21">
        <f>IFERROR(INDEX('SW018'!$C$20:$C$45,MATCH("Probation",'SW018'!$A$20:$A$45,0)),"")</f>
        <v>0</v>
      </c>
      <c r="P21" t="str">
        <f t="shared" ca="1" si="0"/>
        <v/>
      </c>
      <c r="Q21" t="str">
        <f>'SW018'!B12</f>
        <v>Red</v>
      </c>
      <c r="S21" t="str">
        <f>IFERROR(IF(MAX('SW018'!$D$20:$D$240)=0,"",MAX('SW018'!$D$20:$D$240)),"")</f>
        <v/>
      </c>
      <c r="X21" t="str">
        <f t="shared" si="1"/>
        <v/>
      </c>
    </row>
    <row r="22" spans="1:24" x14ac:dyDescent="0.35">
      <c r="A22" t="s">
        <v>912</v>
      </c>
      <c r="E22" t="s">
        <v>861</v>
      </c>
      <c r="G22" t="str">
        <f>HYPERLINK("#SW019!A1","Open SW019")</f>
        <v>Open SW019</v>
      </c>
      <c r="H22" s="104">
        <f>'SW019'!B11</f>
        <v>0</v>
      </c>
      <c r="I22" s="104">
        <f>'SW019'!B8</f>
        <v>0</v>
      </c>
      <c r="J22" s="104">
        <f>'SW019'!B9</f>
        <v>0</v>
      </c>
      <c r="K22" s="104" t="str">
        <f>'SW019'!B10</f>
        <v/>
      </c>
      <c r="L22">
        <f>IFERROR(INDEX('SW019'!$C$20:$C$45,MATCH("DBS",'SW019'!$A$20:$A$45,0)),"")</f>
        <v>0</v>
      </c>
      <c r="M22">
        <f>IFERROR(INDEX('SW019'!$C$20:$C$45,MATCH("Right to Work",'SW019'!$A$20:$A$45,0)),"")</f>
        <v>0</v>
      </c>
      <c r="N22">
        <f>IFERROR(INDEX('SW019'!$C$20:$C$45,MATCH("Probation",'SW019'!$A$20:$A$45,0)),"")</f>
        <v>0</v>
      </c>
      <c r="P22" t="str">
        <f t="shared" ca="1" si="0"/>
        <v/>
      </c>
      <c r="Q22" t="str">
        <f>'SW019'!B12</f>
        <v>Red</v>
      </c>
      <c r="S22" t="str">
        <f>IFERROR(IF(MAX('SW019'!$D$20:$D$240)=0,"",MAX('SW019'!$D$20:$D$240)),"")</f>
        <v/>
      </c>
      <c r="X22" t="str">
        <f t="shared" si="1"/>
        <v/>
      </c>
    </row>
    <row r="23" spans="1:24" x14ac:dyDescent="0.35">
      <c r="A23" t="s">
        <v>913</v>
      </c>
      <c r="E23" t="s">
        <v>861</v>
      </c>
      <c r="G23" t="str">
        <f>HYPERLINK("#SW020!A1","Open SW020")</f>
        <v>Open SW020</v>
      </c>
      <c r="H23" s="104">
        <f>'SW020'!B11</f>
        <v>0</v>
      </c>
      <c r="I23" s="104">
        <f>'SW020'!B8</f>
        <v>0</v>
      </c>
      <c r="J23" s="104">
        <f>'SW020'!B9</f>
        <v>0</v>
      </c>
      <c r="K23" s="104" t="str">
        <f>'SW020'!B10</f>
        <v/>
      </c>
      <c r="L23">
        <f>IFERROR(INDEX('SW020'!$C$20:$C$45,MATCH("DBS",'SW020'!$A$20:$A$45,0)),"")</f>
        <v>0</v>
      </c>
      <c r="M23">
        <f>IFERROR(INDEX('SW020'!$C$20:$C$45,MATCH("Right to Work",'SW020'!$A$20:$A$45,0)),"")</f>
        <v>0</v>
      </c>
      <c r="N23">
        <f>IFERROR(INDEX('SW020'!$C$20:$C$45,MATCH("Probation",'SW020'!$A$20:$A$45,0)),"")</f>
        <v>0</v>
      </c>
      <c r="P23" t="str">
        <f t="shared" ca="1" si="0"/>
        <v/>
      </c>
      <c r="Q23" t="str">
        <f>'SW020'!B12</f>
        <v>Red</v>
      </c>
      <c r="S23" t="str">
        <f>IFERROR(IF(MAX('SW020'!$D$20:$D$240)=0,"",MAX('SW020'!$D$20:$D$240)),"")</f>
        <v/>
      </c>
      <c r="X23" t="str">
        <f t="shared" si="1"/>
        <v/>
      </c>
    </row>
    <row r="24" spans="1:24" x14ac:dyDescent="0.35">
      <c r="A24" t="s">
        <v>914</v>
      </c>
      <c r="E24" t="s">
        <v>861</v>
      </c>
      <c r="G24" t="str">
        <f>HYPERLINK("#SW021!A1","Open SW021")</f>
        <v>Open SW021</v>
      </c>
      <c r="H24" s="104">
        <f>'SW021'!B11</f>
        <v>0</v>
      </c>
      <c r="I24" s="104">
        <f>'SW021'!B8</f>
        <v>0</v>
      </c>
      <c r="J24" s="104">
        <f>'SW021'!B9</f>
        <v>0</v>
      </c>
      <c r="K24" s="104" t="str">
        <f>'SW021'!B10</f>
        <v/>
      </c>
      <c r="L24">
        <f>IFERROR(INDEX('SW021'!$C$20:$C$45,MATCH("DBS",'SW021'!$A$20:$A$45,0)),"")</f>
        <v>0</v>
      </c>
      <c r="M24">
        <f>IFERROR(INDEX('SW021'!$C$20:$C$45,MATCH("Right to Work",'SW021'!$A$20:$A$45,0)),"")</f>
        <v>0</v>
      </c>
      <c r="N24">
        <f>IFERROR(INDEX('SW021'!$C$20:$C$45,MATCH("Probation",'SW021'!$A$20:$A$45,0)),"")</f>
        <v>0</v>
      </c>
      <c r="P24" t="str">
        <f t="shared" ca="1" si="0"/>
        <v/>
      </c>
      <c r="Q24" t="str">
        <f>'SW021'!B12</f>
        <v>Red</v>
      </c>
      <c r="S24" t="str">
        <f>IFERROR(IF(MAX('SW021'!$D$20:$D$240)=0,"",MAX('SW021'!$D$20:$D$240)),"")</f>
        <v/>
      </c>
      <c r="X24" t="str">
        <f t="shared" si="1"/>
        <v/>
      </c>
    </row>
    <row r="25" spans="1:24" x14ac:dyDescent="0.35">
      <c r="A25" t="s">
        <v>915</v>
      </c>
      <c r="E25" t="s">
        <v>861</v>
      </c>
      <c r="G25" t="str">
        <f>HYPERLINK("#SW022!A1","Open SW022")</f>
        <v>Open SW022</v>
      </c>
      <c r="H25" s="104">
        <f>'SW022'!B11</f>
        <v>0</v>
      </c>
      <c r="I25" s="104">
        <f>'SW022'!B8</f>
        <v>0</v>
      </c>
      <c r="J25" s="104">
        <f>'SW022'!B9</f>
        <v>0</v>
      </c>
      <c r="K25" s="104" t="str">
        <f>'SW022'!B10</f>
        <v/>
      </c>
      <c r="L25">
        <f>IFERROR(INDEX('SW022'!$C$20:$C$45,MATCH("DBS",'SW022'!$A$20:$A$45,0)),"")</f>
        <v>0</v>
      </c>
      <c r="M25">
        <f>IFERROR(INDEX('SW022'!$C$20:$C$45,MATCH("Right to Work",'SW022'!$A$20:$A$45,0)),"")</f>
        <v>0</v>
      </c>
      <c r="N25">
        <f>IFERROR(INDEX('SW022'!$C$20:$C$45,MATCH("Probation",'SW022'!$A$20:$A$45,0)),"")</f>
        <v>0</v>
      </c>
      <c r="P25" t="str">
        <f t="shared" ca="1" si="0"/>
        <v/>
      </c>
      <c r="Q25" t="str">
        <f>'SW022'!B12</f>
        <v>Red</v>
      </c>
      <c r="S25" t="str">
        <f>IFERROR(IF(MAX('SW022'!$D$20:$D$240)=0,"",MAX('SW022'!$D$20:$D$240)),"")</f>
        <v/>
      </c>
      <c r="X25" t="str">
        <f t="shared" si="1"/>
        <v/>
      </c>
    </row>
    <row r="26" spans="1:24" x14ac:dyDescent="0.35">
      <c r="A26" t="s">
        <v>916</v>
      </c>
      <c r="E26" t="s">
        <v>861</v>
      </c>
      <c r="G26" t="str">
        <f>HYPERLINK("#SW023!A1","Open SW023")</f>
        <v>Open SW023</v>
      </c>
      <c r="H26" s="104">
        <f>'SW023'!B11</f>
        <v>0</v>
      </c>
      <c r="I26" s="104">
        <f>'SW023'!B8</f>
        <v>0</v>
      </c>
      <c r="J26" s="104">
        <f>'SW023'!B9</f>
        <v>0</v>
      </c>
      <c r="K26" s="104" t="str">
        <f>'SW023'!B10</f>
        <v/>
      </c>
      <c r="L26">
        <f>IFERROR(INDEX('SW023'!$C$20:$C$45,MATCH("DBS",'SW023'!$A$20:$A$45,0)),"")</f>
        <v>0</v>
      </c>
      <c r="M26">
        <f>IFERROR(INDEX('SW023'!$C$20:$C$45,MATCH("Right to Work",'SW023'!$A$20:$A$45,0)),"")</f>
        <v>0</v>
      </c>
      <c r="N26">
        <f>IFERROR(INDEX('SW023'!$C$20:$C$45,MATCH("Probation",'SW023'!$A$20:$A$45,0)),"")</f>
        <v>0</v>
      </c>
      <c r="P26" t="str">
        <f t="shared" ca="1" si="0"/>
        <v/>
      </c>
      <c r="Q26" t="str">
        <f>'SW023'!B12</f>
        <v>Red</v>
      </c>
      <c r="S26" t="str">
        <f>IFERROR(IF(MAX('SW023'!$D$20:$D$240)=0,"",MAX('SW023'!$D$20:$D$240)),"")</f>
        <v/>
      </c>
      <c r="X26" t="str">
        <f t="shared" si="1"/>
        <v/>
      </c>
    </row>
    <row r="27" spans="1:24" x14ac:dyDescent="0.35">
      <c r="A27" t="s">
        <v>917</v>
      </c>
      <c r="E27" t="s">
        <v>861</v>
      </c>
      <c r="G27" t="str">
        <f>HYPERLINK("#SW024!A1","Open SW024")</f>
        <v>Open SW024</v>
      </c>
      <c r="H27" s="104">
        <f>'SW024'!B11</f>
        <v>0</v>
      </c>
      <c r="I27" s="104">
        <f>'SW024'!B8</f>
        <v>0</v>
      </c>
      <c r="J27" s="104">
        <f>'SW024'!B9</f>
        <v>0</v>
      </c>
      <c r="K27" s="104" t="str">
        <f>'SW024'!B10</f>
        <v/>
      </c>
      <c r="L27">
        <f>IFERROR(INDEX('SW024'!$C$20:$C$45,MATCH("DBS",'SW024'!$A$20:$A$45,0)),"")</f>
        <v>0</v>
      </c>
      <c r="M27">
        <f>IFERROR(INDEX('SW024'!$C$20:$C$45,MATCH("Right to Work",'SW024'!$A$20:$A$45,0)),"")</f>
        <v>0</v>
      </c>
      <c r="N27">
        <f>IFERROR(INDEX('SW024'!$C$20:$C$45,MATCH("Probation",'SW024'!$A$20:$A$45,0)),"")</f>
        <v>0</v>
      </c>
      <c r="P27" t="str">
        <f t="shared" ca="1" si="0"/>
        <v/>
      </c>
      <c r="Q27" t="str">
        <f>'SW024'!B12</f>
        <v>Red</v>
      </c>
      <c r="S27" t="str">
        <f>IFERROR(IF(MAX('SW024'!$D$20:$D$240)=0,"",MAX('SW024'!$D$20:$D$240)),"")</f>
        <v/>
      </c>
      <c r="X27" t="str">
        <f t="shared" si="1"/>
        <v/>
      </c>
    </row>
    <row r="28" spans="1:24" x14ac:dyDescent="0.35">
      <c r="A28" t="s">
        <v>918</v>
      </c>
      <c r="E28" t="s">
        <v>861</v>
      </c>
      <c r="G28" t="str">
        <f>HYPERLINK("#SW025!A1","Open SW025")</f>
        <v>Open SW025</v>
      </c>
      <c r="H28" s="104">
        <f>'SW025'!B11</f>
        <v>0</v>
      </c>
      <c r="I28" s="104">
        <f>'SW025'!B8</f>
        <v>0</v>
      </c>
      <c r="J28" s="104">
        <f>'SW025'!B9</f>
        <v>0</v>
      </c>
      <c r="K28" s="104" t="str">
        <f>'SW025'!B10</f>
        <v/>
      </c>
      <c r="L28">
        <f>IFERROR(INDEX('SW025'!$C$20:$C$45,MATCH("DBS",'SW025'!$A$20:$A$45,0)),"")</f>
        <v>0</v>
      </c>
      <c r="M28">
        <f>IFERROR(INDEX('SW025'!$C$20:$C$45,MATCH("Right to Work",'SW025'!$A$20:$A$45,0)),"")</f>
        <v>0</v>
      </c>
      <c r="N28">
        <f>IFERROR(INDEX('SW025'!$C$20:$C$45,MATCH("Probation",'SW025'!$A$20:$A$45,0)),"")</f>
        <v>0</v>
      </c>
      <c r="P28" t="str">
        <f t="shared" ca="1" si="0"/>
        <v/>
      </c>
      <c r="Q28" t="str">
        <f>'SW025'!B12</f>
        <v>Red</v>
      </c>
      <c r="S28" t="str">
        <f>IFERROR(IF(MAX('SW025'!$D$20:$D$240)=0,"",MAX('SW025'!$D$20:$D$240)),"")</f>
        <v/>
      </c>
      <c r="X28" t="str">
        <f t="shared" si="1"/>
        <v/>
      </c>
    </row>
  </sheetData>
  <mergeCells count="1">
    <mergeCell ref="A1:S1"/>
  </mergeCells>
  <conditionalFormatting sqref="L4:N28">
    <cfRule type="expression" dxfId="376" priority="4">
      <formula>ISNUMBER(SEARCH("Green",L4))</formula>
    </cfRule>
    <cfRule type="expression" dxfId="375" priority="5">
      <formula>ISNUMBER(SEARCH("Amber",L4))</formula>
    </cfRule>
    <cfRule type="expression" dxfId="374" priority="6">
      <formula>ISNUMBER(SEARCH("Red",L4))</formula>
    </cfRule>
    <cfRule type="expression" dxfId="373" priority="7">
      <formula>L4="N/A"</formula>
    </cfRule>
    <cfRule type="expression" dxfId="372" priority="24">
      <formula>L4="Green"</formula>
    </cfRule>
    <cfRule type="expression" dxfId="371" priority="25">
      <formula>L4="Amber"</formula>
    </cfRule>
    <cfRule type="expression" dxfId="370" priority="26">
      <formula>L4="Red"</formula>
    </cfRule>
  </conditionalFormatting>
  <conditionalFormatting sqref="Q4:Q28">
    <cfRule type="expression" dxfId="369" priority="1">
      <formula>Q4="Green"</formula>
    </cfRule>
    <cfRule type="expression" dxfId="368" priority="2">
      <formula>Q4="Amber"</formula>
    </cfRule>
    <cfRule type="expression" dxfId="367" priority="3">
      <formula>Q4="Red"</formula>
    </cfRule>
    <cfRule type="expression" dxfId="366" priority="16">
      <formula>ISNUMBER(SEARCH("Green",Q4))</formula>
    </cfRule>
    <cfRule type="expression" dxfId="365" priority="17">
      <formula>ISNUMBER(SEARCH("Amber",Q4))</formula>
    </cfRule>
    <cfRule type="expression" dxfId="364" priority="18">
      <formula>ISNUMBER(SEARCH("Red",Q4))</formula>
    </cfRule>
    <cfRule type="expression" dxfId="363" priority="19">
      <formula>Q4="N/A"</formula>
    </cfRule>
    <cfRule type="expression" dxfId="362" priority="27">
      <formula>L4="Green"</formula>
    </cfRule>
    <cfRule type="expression" dxfId="361" priority="28">
      <formula>L4="Amber"</formula>
    </cfRule>
    <cfRule type="expression" dxfId="360" priority="29">
      <formula>L4="Red"</formula>
    </cfRule>
  </conditionalFormatting>
  <conditionalFormatting sqref="S4:S28">
    <cfRule type="expression" dxfId="359" priority="20">
      <formula>ISNUMBER(SEARCH("Green",S4))</formula>
    </cfRule>
    <cfRule type="expression" dxfId="358" priority="21">
      <formula>ISNUMBER(SEARCH("Amber",S4))</formula>
    </cfRule>
    <cfRule type="expression" dxfId="357" priority="22">
      <formula>ISNUMBER(SEARCH("Red",S4))</formula>
    </cfRule>
    <cfRule type="expression" dxfId="356" priority="23">
      <formula>S4="N/A"</formula>
    </cfRule>
  </conditionalFormatting>
  <dataValidations count="6">
    <dataValidation type="list" allowBlank="1" sqref="W2:W200 Y2:Y200 AB2:AC200 AE2:AF200" xr:uid="{00000000-0002-0000-2500-000000000000}">
      <formula1>"Yes,No,N/A"</formula1>
    </dataValidation>
    <dataValidation type="list" allowBlank="1" sqref="X2:X200" xr:uid="{00000000-0002-0000-2500-000001000000}">
      <formula1>"Sponsored,Non-Sponsored,N/A"</formula1>
    </dataValidation>
    <dataValidation type="list" allowBlank="1" sqref="L4:L28 M4:M28 N4:N28 Q4:Q28 S4:S28" xr:uid="{00000000-0002-0000-2500-000002000000}">
      <formula1>"Green - Complete,Amber - In Progress,Red - Missing/Overdue,N/A"</formula1>
    </dataValidation>
    <dataValidation type="list" sqref="E4:E28" xr:uid="{00000000-0002-0000-2500-000003000000}">
      <formula1>"Active,Inactive,On Hold,Leaver"</formula1>
    </dataValidation>
    <dataValidation type="list" sqref="L4:N28 Q4:Q28" xr:uid="{00000000-0002-0000-2500-000004000000}">
      <formula1>"Green,Amber,Red,N/A"</formula1>
    </dataValidation>
    <dataValidation type="list" sqref="W4:W28 AE4:AF28 AB4:AC28 Y4:Y28" xr:uid="{00000000-0002-0000-2500-000006000000}">
      <formula1>"Yes,No,N/A"</formula1>
    </dataValidation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Z28"/>
  <sheetViews>
    <sheetView workbookViewId="0">
      <selection sqref="A1:K1"/>
    </sheetView>
  </sheetViews>
  <sheetFormatPr defaultRowHeight="14.5" x14ac:dyDescent="0.35"/>
  <cols>
    <col min="1" max="11" width="18" customWidth="1"/>
  </cols>
  <sheetData>
    <row r="1" spans="1:26" ht="28" customHeight="1" x14ac:dyDescent="0.35">
      <c r="A1" s="134" t="s">
        <v>919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x14ac:dyDescent="0.35">
      <c r="A2" t="s">
        <v>920</v>
      </c>
    </row>
    <row r="3" spans="1:26" x14ac:dyDescent="0.35">
      <c r="A3" s="102" t="s">
        <v>921</v>
      </c>
      <c r="B3" s="102">
        <f>COUNTIF('Induction Employee Register'!E4:E28,"Active")</f>
        <v>25</v>
      </c>
      <c r="C3" s="99"/>
      <c r="D3" s="99" t="s">
        <v>922</v>
      </c>
      <c r="E3" s="99" t="s">
        <v>923</v>
      </c>
      <c r="F3" s="99" t="s">
        <v>322</v>
      </c>
      <c r="G3" s="99" t="s">
        <v>323</v>
      </c>
      <c r="H3" s="99" t="s">
        <v>604</v>
      </c>
      <c r="I3" s="99" t="s">
        <v>886</v>
      </c>
      <c r="J3" s="99" t="s">
        <v>887</v>
      </c>
      <c r="K3" s="99" t="s">
        <v>6</v>
      </c>
    </row>
    <row r="4" spans="1:26" ht="29" x14ac:dyDescent="0.35">
      <c r="A4" s="103" t="s">
        <v>924</v>
      </c>
      <c r="B4" s="124">
        <f>IFERROR(AVERAGEIF('Induction Employee Register'!E4:E28,"Active",'Induction Employee Register'!H4:H28),0)</f>
        <v>0</v>
      </c>
      <c r="D4" t="str">
        <f>IF('Induction Employee Register'!A4="","",'Induction Employee Register'!A4)</f>
        <v>SW001</v>
      </c>
      <c r="E4" t="str">
        <f>IF('Induction Employee Register'!B4="","",'Induction Employee Register'!B4)</f>
        <v/>
      </c>
      <c r="F4" t="str">
        <f>IF('Induction Employee Register'!C4="","",'Induction Employee Register'!C4)</f>
        <v/>
      </c>
      <c r="G4" t="str">
        <f>IF('Induction Employee Register'!D4="","",'Induction Employee Register'!D4)</f>
        <v/>
      </c>
      <c r="H4" s="104">
        <f>'Induction Employee Register'!H4</f>
        <v>0</v>
      </c>
      <c r="I4" s="104">
        <f>'Induction Employee Register'!I4</f>
        <v>0</v>
      </c>
      <c r="J4" s="104">
        <f>'Induction Employee Register'!J4</f>
        <v>0</v>
      </c>
      <c r="K4" t="str">
        <f>'Induction Employee Register'!Q4</f>
        <v>Red</v>
      </c>
    </row>
    <row r="5" spans="1:26" ht="29" x14ac:dyDescent="0.35">
      <c r="A5" s="103" t="s">
        <v>925</v>
      </c>
      <c r="B5" s="124">
        <f>IFERROR(AVERAGEIF('Induction Employee Register'!E4:E28,"Active",'Induction Employee Register'!I4:I28),0)</f>
        <v>0</v>
      </c>
      <c r="D5" t="str">
        <f>IF('Induction Employee Register'!A5="","",'Induction Employee Register'!A5)</f>
        <v>SW002</v>
      </c>
      <c r="E5" t="str">
        <f>IF('Induction Employee Register'!B5="","",'Induction Employee Register'!B5)</f>
        <v/>
      </c>
      <c r="F5" t="str">
        <f>IF('Induction Employee Register'!C5="","",'Induction Employee Register'!C5)</f>
        <v/>
      </c>
      <c r="G5" t="str">
        <f>IF('Induction Employee Register'!D5="","",'Induction Employee Register'!D5)</f>
        <v/>
      </c>
      <c r="H5" s="104">
        <f>'Induction Employee Register'!H5</f>
        <v>0</v>
      </c>
      <c r="I5" s="104">
        <f>'Induction Employee Register'!I5</f>
        <v>0</v>
      </c>
      <c r="J5" s="104">
        <f>'Induction Employee Register'!J5</f>
        <v>0</v>
      </c>
      <c r="K5" t="str">
        <f>'Induction Employee Register'!Q5</f>
        <v>Red</v>
      </c>
    </row>
    <row r="6" spans="1:26" ht="43.5" x14ac:dyDescent="0.35">
      <c r="A6" s="103" t="s">
        <v>926</v>
      </c>
      <c r="B6" s="124">
        <f>IFERROR(AVERAGEIF('Induction Employee Register'!E4:E28,"Active",'Induction Employee Register'!J4:J28),0)</f>
        <v>0</v>
      </c>
      <c r="D6" t="str">
        <f>IF('Induction Employee Register'!A6="","",'Induction Employee Register'!A6)</f>
        <v>SW003</v>
      </c>
      <c r="E6" t="str">
        <f>IF('Induction Employee Register'!B6="","",'Induction Employee Register'!B6)</f>
        <v/>
      </c>
      <c r="F6" t="str">
        <f>IF('Induction Employee Register'!C6="","",'Induction Employee Register'!C6)</f>
        <v/>
      </c>
      <c r="G6" t="str">
        <f>IF('Induction Employee Register'!D6="","",'Induction Employee Register'!D6)</f>
        <v/>
      </c>
      <c r="H6" s="104">
        <f>'Induction Employee Register'!H6</f>
        <v>0</v>
      </c>
      <c r="I6" s="104">
        <f>'Induction Employee Register'!I6</f>
        <v>0</v>
      </c>
      <c r="J6" s="104">
        <f>'Induction Employee Register'!J6</f>
        <v>0</v>
      </c>
      <c r="K6" t="str">
        <f>'Induction Employee Register'!Q6</f>
        <v>Red</v>
      </c>
    </row>
    <row r="7" spans="1:26" x14ac:dyDescent="0.35">
      <c r="A7" s="103" t="s">
        <v>19</v>
      </c>
      <c r="B7" s="103">
        <f>COUNTIFS('Induction Employee Register'!E4:E28,"Active",'Induction Employee Register'!Q4:Q28,"Red")</f>
        <v>25</v>
      </c>
      <c r="D7" t="str">
        <f>IF('Induction Employee Register'!A7="","",'Induction Employee Register'!A7)</f>
        <v>SW004</v>
      </c>
      <c r="E7" t="str">
        <f>IF('Induction Employee Register'!B7="","",'Induction Employee Register'!B7)</f>
        <v/>
      </c>
      <c r="F7" t="str">
        <f>IF('Induction Employee Register'!C7="","",'Induction Employee Register'!C7)</f>
        <v/>
      </c>
      <c r="G7" t="str">
        <f>IF('Induction Employee Register'!D7="","",'Induction Employee Register'!D7)</f>
        <v/>
      </c>
      <c r="H7" s="104">
        <f>'Induction Employee Register'!H7</f>
        <v>0</v>
      </c>
      <c r="I7" s="104">
        <f>'Induction Employee Register'!I7</f>
        <v>0</v>
      </c>
      <c r="J7" s="104">
        <f>'Induction Employee Register'!J7</f>
        <v>0</v>
      </c>
      <c r="K7" t="str">
        <f>'Induction Employee Register'!Q7</f>
        <v>Red</v>
      </c>
    </row>
    <row r="8" spans="1:26" x14ac:dyDescent="0.35">
      <c r="A8" s="103" t="s">
        <v>18</v>
      </c>
      <c r="B8" s="103">
        <f>COUNTIFS('Induction Employee Register'!E4:E28,"Active",'Induction Employee Register'!Q4:Q28,"Amber")</f>
        <v>0</v>
      </c>
      <c r="D8" t="str">
        <f>IF('Induction Employee Register'!A8="","",'Induction Employee Register'!A8)</f>
        <v>SW005</v>
      </c>
      <c r="E8" t="str">
        <f>IF('Induction Employee Register'!B8="","",'Induction Employee Register'!B8)</f>
        <v/>
      </c>
      <c r="F8" t="str">
        <f>IF('Induction Employee Register'!C8="","",'Induction Employee Register'!C8)</f>
        <v/>
      </c>
      <c r="G8" t="str">
        <f>IF('Induction Employee Register'!D8="","",'Induction Employee Register'!D8)</f>
        <v/>
      </c>
      <c r="H8" s="104">
        <f>'Induction Employee Register'!H8</f>
        <v>0</v>
      </c>
      <c r="I8" s="104">
        <f>'Induction Employee Register'!I8</f>
        <v>0</v>
      </c>
      <c r="J8" s="104">
        <f>'Induction Employee Register'!J8</f>
        <v>0</v>
      </c>
      <c r="K8" t="str">
        <f>'Induction Employee Register'!Q8</f>
        <v>Red</v>
      </c>
    </row>
    <row r="9" spans="1:26" x14ac:dyDescent="0.35">
      <c r="A9" s="103" t="s">
        <v>17</v>
      </c>
      <c r="B9" s="103">
        <f>COUNTIFS('Induction Employee Register'!E4:E28,"Active",'Induction Employee Register'!Q4:Q28,"Green")</f>
        <v>0</v>
      </c>
      <c r="D9" t="str">
        <f>IF('Induction Employee Register'!A9="","",'Induction Employee Register'!A9)</f>
        <v>SW006</v>
      </c>
      <c r="E9" t="str">
        <f>IF('Induction Employee Register'!B9="","",'Induction Employee Register'!B9)</f>
        <v/>
      </c>
      <c r="F9" t="str">
        <f>IF('Induction Employee Register'!C9="","",'Induction Employee Register'!C9)</f>
        <v/>
      </c>
      <c r="G9" t="str">
        <f>IF('Induction Employee Register'!D9="","",'Induction Employee Register'!D9)</f>
        <v/>
      </c>
      <c r="H9" s="104">
        <f>'Induction Employee Register'!H9</f>
        <v>0</v>
      </c>
      <c r="I9" s="104">
        <f>'Induction Employee Register'!I9</f>
        <v>0</v>
      </c>
      <c r="J9" s="104">
        <f>'Induction Employee Register'!J9</f>
        <v>0</v>
      </c>
      <c r="K9" t="str">
        <f>'Induction Employee Register'!Q9</f>
        <v>Red</v>
      </c>
    </row>
    <row r="10" spans="1:26" x14ac:dyDescent="0.35">
      <c r="D10" t="str">
        <f>IF('Induction Employee Register'!A10="","",'Induction Employee Register'!A10)</f>
        <v>SW007</v>
      </c>
      <c r="E10" t="str">
        <f>IF('Induction Employee Register'!B10="","",'Induction Employee Register'!B10)</f>
        <v/>
      </c>
      <c r="F10" t="str">
        <f>IF('Induction Employee Register'!C10="","",'Induction Employee Register'!C10)</f>
        <v/>
      </c>
      <c r="G10" t="str">
        <f>IF('Induction Employee Register'!D10="","",'Induction Employee Register'!D10)</f>
        <v/>
      </c>
      <c r="H10" s="104">
        <f>'Induction Employee Register'!H10</f>
        <v>0</v>
      </c>
      <c r="I10" s="104">
        <f>'Induction Employee Register'!I10</f>
        <v>0</v>
      </c>
      <c r="J10" s="104">
        <f>'Induction Employee Register'!J10</f>
        <v>0</v>
      </c>
      <c r="K10" t="str">
        <f>'Induction Employee Register'!Q10</f>
        <v>Red</v>
      </c>
    </row>
    <row r="11" spans="1:26" x14ac:dyDescent="0.35">
      <c r="D11" t="str">
        <f>IF('Induction Employee Register'!A11="","",'Induction Employee Register'!A11)</f>
        <v>SW008</v>
      </c>
      <c r="E11" t="str">
        <f>IF('Induction Employee Register'!B11="","",'Induction Employee Register'!B11)</f>
        <v/>
      </c>
      <c r="F11" t="str">
        <f>IF('Induction Employee Register'!C11="","",'Induction Employee Register'!C11)</f>
        <v/>
      </c>
      <c r="G11" t="str">
        <f>IF('Induction Employee Register'!D11="","",'Induction Employee Register'!D11)</f>
        <v/>
      </c>
      <c r="H11" s="104">
        <f>'Induction Employee Register'!H11</f>
        <v>0</v>
      </c>
      <c r="I11" s="104">
        <f>'Induction Employee Register'!I11</f>
        <v>0</v>
      </c>
      <c r="J11" s="104">
        <f>'Induction Employee Register'!J11</f>
        <v>0</v>
      </c>
      <c r="K11" t="str">
        <f>'Induction Employee Register'!Q11</f>
        <v>Red</v>
      </c>
    </row>
    <row r="12" spans="1:26" x14ac:dyDescent="0.35">
      <c r="D12" t="str">
        <f>IF('Induction Employee Register'!A12="","",'Induction Employee Register'!A12)</f>
        <v>SW009</v>
      </c>
      <c r="E12" t="str">
        <f>IF('Induction Employee Register'!B12="","",'Induction Employee Register'!B12)</f>
        <v/>
      </c>
      <c r="F12" t="str">
        <f>IF('Induction Employee Register'!C12="","",'Induction Employee Register'!C12)</f>
        <v/>
      </c>
      <c r="G12" t="str">
        <f>IF('Induction Employee Register'!D12="","",'Induction Employee Register'!D12)</f>
        <v/>
      </c>
      <c r="H12" s="104">
        <f>'Induction Employee Register'!H12</f>
        <v>0</v>
      </c>
      <c r="I12" s="104">
        <f>'Induction Employee Register'!I12</f>
        <v>0</v>
      </c>
      <c r="J12" s="104">
        <f>'Induction Employee Register'!J12</f>
        <v>0</v>
      </c>
      <c r="K12" t="str">
        <f>'Induction Employee Register'!Q12</f>
        <v>Red</v>
      </c>
    </row>
    <row r="13" spans="1:26" x14ac:dyDescent="0.35">
      <c r="D13" t="str">
        <f>IF('Induction Employee Register'!A13="","",'Induction Employee Register'!A13)</f>
        <v>SW010</v>
      </c>
      <c r="E13" t="str">
        <f>IF('Induction Employee Register'!B13="","",'Induction Employee Register'!B13)</f>
        <v/>
      </c>
      <c r="F13" t="str">
        <f>IF('Induction Employee Register'!C13="","",'Induction Employee Register'!C13)</f>
        <v/>
      </c>
      <c r="G13" t="str">
        <f>IF('Induction Employee Register'!D13="","",'Induction Employee Register'!D13)</f>
        <v/>
      </c>
      <c r="H13" s="104">
        <f>'Induction Employee Register'!H13</f>
        <v>0</v>
      </c>
      <c r="I13" s="104">
        <f>'Induction Employee Register'!I13</f>
        <v>0</v>
      </c>
      <c r="J13" s="104">
        <f>'Induction Employee Register'!J13</f>
        <v>0</v>
      </c>
      <c r="K13" t="str">
        <f>'Induction Employee Register'!Q13</f>
        <v>Red</v>
      </c>
    </row>
    <row r="14" spans="1:26" x14ac:dyDescent="0.35">
      <c r="D14" t="str">
        <f>IF('Induction Employee Register'!A14="","",'Induction Employee Register'!A14)</f>
        <v>SW011</v>
      </c>
      <c r="E14" t="str">
        <f>IF('Induction Employee Register'!B14="","",'Induction Employee Register'!B14)</f>
        <v/>
      </c>
      <c r="F14" t="str">
        <f>IF('Induction Employee Register'!C14="","",'Induction Employee Register'!C14)</f>
        <v/>
      </c>
      <c r="G14" t="str">
        <f>IF('Induction Employee Register'!D14="","",'Induction Employee Register'!D14)</f>
        <v/>
      </c>
      <c r="H14" s="104">
        <f>'Induction Employee Register'!H14</f>
        <v>0</v>
      </c>
      <c r="I14" s="104">
        <f>'Induction Employee Register'!I14</f>
        <v>0</v>
      </c>
      <c r="J14" s="104">
        <f>'Induction Employee Register'!J14</f>
        <v>0</v>
      </c>
      <c r="K14" t="str">
        <f>'Induction Employee Register'!Q14</f>
        <v>Red</v>
      </c>
    </row>
    <row r="15" spans="1:26" x14ac:dyDescent="0.35">
      <c r="D15" t="str">
        <f>IF('Induction Employee Register'!A15="","",'Induction Employee Register'!A15)</f>
        <v>SW012</v>
      </c>
      <c r="E15" t="str">
        <f>IF('Induction Employee Register'!B15="","",'Induction Employee Register'!B15)</f>
        <v/>
      </c>
      <c r="F15" t="str">
        <f>IF('Induction Employee Register'!C15="","",'Induction Employee Register'!C15)</f>
        <v/>
      </c>
      <c r="G15" t="str">
        <f>IF('Induction Employee Register'!D15="","",'Induction Employee Register'!D15)</f>
        <v/>
      </c>
      <c r="H15" s="104">
        <f>'Induction Employee Register'!H15</f>
        <v>0</v>
      </c>
      <c r="I15" s="104">
        <f>'Induction Employee Register'!I15</f>
        <v>0</v>
      </c>
      <c r="J15" s="104">
        <f>'Induction Employee Register'!J15</f>
        <v>0</v>
      </c>
      <c r="K15" t="str">
        <f>'Induction Employee Register'!Q15</f>
        <v>Red</v>
      </c>
    </row>
    <row r="16" spans="1:26" x14ac:dyDescent="0.35">
      <c r="D16" t="str">
        <f>IF('Induction Employee Register'!A16="","",'Induction Employee Register'!A16)</f>
        <v>SW013</v>
      </c>
      <c r="E16" t="str">
        <f>IF('Induction Employee Register'!B16="","",'Induction Employee Register'!B16)</f>
        <v/>
      </c>
      <c r="F16" t="str">
        <f>IF('Induction Employee Register'!C16="","",'Induction Employee Register'!C16)</f>
        <v/>
      </c>
      <c r="G16" t="str">
        <f>IF('Induction Employee Register'!D16="","",'Induction Employee Register'!D16)</f>
        <v/>
      </c>
      <c r="H16" s="104">
        <f>'Induction Employee Register'!H16</f>
        <v>0</v>
      </c>
      <c r="I16" s="104">
        <f>'Induction Employee Register'!I16</f>
        <v>0</v>
      </c>
      <c r="J16" s="104">
        <f>'Induction Employee Register'!J16</f>
        <v>0</v>
      </c>
      <c r="K16" t="str">
        <f>'Induction Employee Register'!Q16</f>
        <v>Red</v>
      </c>
    </row>
    <row r="17" spans="4:11" x14ac:dyDescent="0.35">
      <c r="D17" t="str">
        <f>IF('Induction Employee Register'!A17="","",'Induction Employee Register'!A17)</f>
        <v>SW014</v>
      </c>
      <c r="E17" t="str">
        <f>IF('Induction Employee Register'!B17="","",'Induction Employee Register'!B17)</f>
        <v/>
      </c>
      <c r="F17" t="str">
        <f>IF('Induction Employee Register'!C17="","",'Induction Employee Register'!C17)</f>
        <v/>
      </c>
      <c r="G17" t="str">
        <f>IF('Induction Employee Register'!D17="","",'Induction Employee Register'!D17)</f>
        <v/>
      </c>
      <c r="H17" s="104">
        <f>'Induction Employee Register'!H17</f>
        <v>0</v>
      </c>
      <c r="I17" s="104">
        <f>'Induction Employee Register'!I17</f>
        <v>0</v>
      </c>
      <c r="J17" s="104">
        <f>'Induction Employee Register'!J17</f>
        <v>0</v>
      </c>
      <c r="K17" t="str">
        <f>'Induction Employee Register'!Q17</f>
        <v>Red</v>
      </c>
    </row>
    <row r="18" spans="4:11" x14ac:dyDescent="0.35">
      <c r="D18" t="str">
        <f>IF('Induction Employee Register'!A18="","",'Induction Employee Register'!A18)</f>
        <v>SW015</v>
      </c>
      <c r="E18" t="str">
        <f>IF('Induction Employee Register'!B18="","",'Induction Employee Register'!B18)</f>
        <v/>
      </c>
      <c r="F18" t="str">
        <f>IF('Induction Employee Register'!C18="","",'Induction Employee Register'!C18)</f>
        <v/>
      </c>
      <c r="G18" t="str">
        <f>IF('Induction Employee Register'!D18="","",'Induction Employee Register'!D18)</f>
        <v/>
      </c>
      <c r="H18" s="104">
        <f>'Induction Employee Register'!H18</f>
        <v>0</v>
      </c>
      <c r="I18" s="104">
        <f>'Induction Employee Register'!I18</f>
        <v>0</v>
      </c>
      <c r="J18" s="104">
        <f>'Induction Employee Register'!J18</f>
        <v>0</v>
      </c>
      <c r="K18" t="str">
        <f>'Induction Employee Register'!Q18</f>
        <v>Red</v>
      </c>
    </row>
    <row r="19" spans="4:11" x14ac:dyDescent="0.35">
      <c r="D19" t="str">
        <f>IF('Induction Employee Register'!A19="","",'Induction Employee Register'!A19)</f>
        <v>SW016</v>
      </c>
      <c r="E19" t="str">
        <f>IF('Induction Employee Register'!B19="","",'Induction Employee Register'!B19)</f>
        <v/>
      </c>
      <c r="F19" t="str">
        <f>IF('Induction Employee Register'!C19="","",'Induction Employee Register'!C19)</f>
        <v/>
      </c>
      <c r="G19" t="str">
        <f>IF('Induction Employee Register'!D19="","",'Induction Employee Register'!D19)</f>
        <v/>
      </c>
      <c r="H19" s="104">
        <f>'Induction Employee Register'!H19</f>
        <v>0</v>
      </c>
      <c r="I19" s="104">
        <f>'Induction Employee Register'!I19</f>
        <v>0</v>
      </c>
      <c r="J19" s="104">
        <f>'Induction Employee Register'!J19</f>
        <v>0</v>
      </c>
      <c r="K19" t="str">
        <f>'Induction Employee Register'!Q19</f>
        <v>Red</v>
      </c>
    </row>
    <row r="20" spans="4:11" x14ac:dyDescent="0.35">
      <c r="D20" t="str">
        <f>IF('Induction Employee Register'!A20="","",'Induction Employee Register'!A20)</f>
        <v>SW017</v>
      </c>
      <c r="E20" t="str">
        <f>IF('Induction Employee Register'!B20="","",'Induction Employee Register'!B20)</f>
        <v/>
      </c>
      <c r="F20" t="str">
        <f>IF('Induction Employee Register'!C20="","",'Induction Employee Register'!C20)</f>
        <v/>
      </c>
      <c r="G20" t="str">
        <f>IF('Induction Employee Register'!D20="","",'Induction Employee Register'!D20)</f>
        <v/>
      </c>
      <c r="H20" s="104">
        <f>'Induction Employee Register'!H20</f>
        <v>0</v>
      </c>
      <c r="I20" s="104">
        <f>'Induction Employee Register'!I20</f>
        <v>0</v>
      </c>
      <c r="J20" s="104">
        <f>'Induction Employee Register'!J20</f>
        <v>0</v>
      </c>
      <c r="K20" t="str">
        <f>'Induction Employee Register'!Q20</f>
        <v>Red</v>
      </c>
    </row>
    <row r="21" spans="4:11" x14ac:dyDescent="0.35">
      <c r="D21" t="str">
        <f>IF('Induction Employee Register'!A21="","",'Induction Employee Register'!A21)</f>
        <v>SW018</v>
      </c>
      <c r="E21" t="str">
        <f>IF('Induction Employee Register'!B21="","",'Induction Employee Register'!B21)</f>
        <v/>
      </c>
      <c r="F21" t="str">
        <f>IF('Induction Employee Register'!C21="","",'Induction Employee Register'!C21)</f>
        <v/>
      </c>
      <c r="G21" t="str">
        <f>IF('Induction Employee Register'!D21="","",'Induction Employee Register'!D21)</f>
        <v/>
      </c>
      <c r="H21" s="104">
        <f>'Induction Employee Register'!H21</f>
        <v>0</v>
      </c>
      <c r="I21" s="104">
        <f>'Induction Employee Register'!I21</f>
        <v>0</v>
      </c>
      <c r="J21" s="104">
        <f>'Induction Employee Register'!J21</f>
        <v>0</v>
      </c>
      <c r="K21" t="str">
        <f>'Induction Employee Register'!Q21</f>
        <v>Red</v>
      </c>
    </row>
    <row r="22" spans="4:11" x14ac:dyDescent="0.35">
      <c r="D22" t="str">
        <f>IF('Induction Employee Register'!A22="","",'Induction Employee Register'!A22)</f>
        <v>SW019</v>
      </c>
      <c r="E22" t="str">
        <f>IF('Induction Employee Register'!B22="","",'Induction Employee Register'!B22)</f>
        <v/>
      </c>
      <c r="F22" t="str">
        <f>IF('Induction Employee Register'!C22="","",'Induction Employee Register'!C22)</f>
        <v/>
      </c>
      <c r="G22" t="str">
        <f>IF('Induction Employee Register'!D22="","",'Induction Employee Register'!D22)</f>
        <v/>
      </c>
      <c r="H22" s="104">
        <f>'Induction Employee Register'!H22</f>
        <v>0</v>
      </c>
      <c r="I22" s="104">
        <f>'Induction Employee Register'!I22</f>
        <v>0</v>
      </c>
      <c r="J22" s="104">
        <f>'Induction Employee Register'!J22</f>
        <v>0</v>
      </c>
      <c r="K22" t="str">
        <f>'Induction Employee Register'!Q22</f>
        <v>Red</v>
      </c>
    </row>
    <row r="23" spans="4:11" x14ac:dyDescent="0.35">
      <c r="D23" t="str">
        <f>IF('Induction Employee Register'!A23="","",'Induction Employee Register'!A23)</f>
        <v>SW020</v>
      </c>
      <c r="E23" t="str">
        <f>IF('Induction Employee Register'!B23="","",'Induction Employee Register'!B23)</f>
        <v/>
      </c>
      <c r="F23" t="str">
        <f>IF('Induction Employee Register'!C23="","",'Induction Employee Register'!C23)</f>
        <v/>
      </c>
      <c r="G23" t="str">
        <f>IF('Induction Employee Register'!D23="","",'Induction Employee Register'!D23)</f>
        <v/>
      </c>
      <c r="H23" s="104">
        <f>'Induction Employee Register'!H23</f>
        <v>0</v>
      </c>
      <c r="I23" s="104">
        <f>'Induction Employee Register'!I23</f>
        <v>0</v>
      </c>
      <c r="J23" s="104">
        <f>'Induction Employee Register'!J23</f>
        <v>0</v>
      </c>
      <c r="K23" t="str">
        <f>'Induction Employee Register'!Q23</f>
        <v>Red</v>
      </c>
    </row>
    <row r="24" spans="4:11" x14ac:dyDescent="0.35">
      <c r="D24" t="str">
        <f>IF('Induction Employee Register'!A24="","",'Induction Employee Register'!A24)</f>
        <v>SW021</v>
      </c>
      <c r="E24" t="str">
        <f>IF('Induction Employee Register'!B24="","",'Induction Employee Register'!B24)</f>
        <v/>
      </c>
      <c r="F24" t="str">
        <f>IF('Induction Employee Register'!C24="","",'Induction Employee Register'!C24)</f>
        <v/>
      </c>
      <c r="G24" t="str">
        <f>IF('Induction Employee Register'!D24="","",'Induction Employee Register'!D24)</f>
        <v/>
      </c>
      <c r="H24" s="104">
        <f>'Induction Employee Register'!H24</f>
        <v>0</v>
      </c>
      <c r="I24" s="104">
        <f>'Induction Employee Register'!I24</f>
        <v>0</v>
      </c>
      <c r="J24" s="104">
        <f>'Induction Employee Register'!J24</f>
        <v>0</v>
      </c>
      <c r="K24" t="str">
        <f>'Induction Employee Register'!Q24</f>
        <v>Red</v>
      </c>
    </row>
    <row r="25" spans="4:11" x14ac:dyDescent="0.35">
      <c r="D25" t="str">
        <f>IF('Induction Employee Register'!A25="","",'Induction Employee Register'!A25)</f>
        <v>SW022</v>
      </c>
      <c r="E25" t="str">
        <f>IF('Induction Employee Register'!B25="","",'Induction Employee Register'!B25)</f>
        <v/>
      </c>
      <c r="F25" t="str">
        <f>IF('Induction Employee Register'!C25="","",'Induction Employee Register'!C25)</f>
        <v/>
      </c>
      <c r="G25" t="str">
        <f>IF('Induction Employee Register'!D25="","",'Induction Employee Register'!D25)</f>
        <v/>
      </c>
      <c r="H25" s="104">
        <f>'Induction Employee Register'!H25</f>
        <v>0</v>
      </c>
      <c r="I25" s="104">
        <f>'Induction Employee Register'!I25</f>
        <v>0</v>
      </c>
      <c r="J25" s="104">
        <f>'Induction Employee Register'!J25</f>
        <v>0</v>
      </c>
      <c r="K25" t="str">
        <f>'Induction Employee Register'!Q25</f>
        <v>Red</v>
      </c>
    </row>
    <row r="26" spans="4:11" x14ac:dyDescent="0.35">
      <c r="D26" t="str">
        <f>IF('Induction Employee Register'!A26="","",'Induction Employee Register'!A26)</f>
        <v>SW023</v>
      </c>
      <c r="E26" t="str">
        <f>IF('Induction Employee Register'!B26="","",'Induction Employee Register'!B26)</f>
        <v/>
      </c>
      <c r="F26" t="str">
        <f>IF('Induction Employee Register'!C26="","",'Induction Employee Register'!C26)</f>
        <v/>
      </c>
      <c r="G26" t="str">
        <f>IF('Induction Employee Register'!D26="","",'Induction Employee Register'!D26)</f>
        <v/>
      </c>
      <c r="H26" s="104">
        <f>'Induction Employee Register'!H26</f>
        <v>0</v>
      </c>
      <c r="I26" s="104">
        <f>'Induction Employee Register'!I26</f>
        <v>0</v>
      </c>
      <c r="J26" s="104">
        <f>'Induction Employee Register'!J26</f>
        <v>0</v>
      </c>
      <c r="K26" t="str">
        <f>'Induction Employee Register'!Q26</f>
        <v>Red</v>
      </c>
    </row>
    <row r="27" spans="4:11" x14ac:dyDescent="0.35">
      <c r="D27" t="str">
        <f>IF('Induction Employee Register'!A27="","",'Induction Employee Register'!A27)</f>
        <v>SW024</v>
      </c>
      <c r="E27" t="str">
        <f>IF('Induction Employee Register'!B27="","",'Induction Employee Register'!B27)</f>
        <v/>
      </c>
      <c r="F27" t="str">
        <f>IF('Induction Employee Register'!C27="","",'Induction Employee Register'!C27)</f>
        <v/>
      </c>
      <c r="G27" t="str">
        <f>IF('Induction Employee Register'!D27="","",'Induction Employee Register'!D27)</f>
        <v/>
      </c>
      <c r="H27" s="104">
        <f>'Induction Employee Register'!H27</f>
        <v>0</v>
      </c>
      <c r="I27" s="104">
        <f>'Induction Employee Register'!I27</f>
        <v>0</v>
      </c>
      <c r="J27" s="104">
        <f>'Induction Employee Register'!J27</f>
        <v>0</v>
      </c>
      <c r="K27" t="str">
        <f>'Induction Employee Register'!Q27</f>
        <v>Red</v>
      </c>
    </row>
    <row r="28" spans="4:11" x14ac:dyDescent="0.35">
      <c r="D28" t="str">
        <f>IF('Induction Employee Register'!A28="","",'Induction Employee Register'!A28)</f>
        <v>SW025</v>
      </c>
      <c r="E28" t="str">
        <f>IF('Induction Employee Register'!B28="","",'Induction Employee Register'!B28)</f>
        <v/>
      </c>
      <c r="F28" t="str">
        <f>IF('Induction Employee Register'!C28="","",'Induction Employee Register'!C28)</f>
        <v/>
      </c>
      <c r="G28" t="str">
        <f>IF('Induction Employee Register'!D28="","",'Induction Employee Register'!D28)</f>
        <v/>
      </c>
      <c r="H28" s="104">
        <f>'Induction Employee Register'!H28</f>
        <v>0</v>
      </c>
      <c r="I28" s="104">
        <f>'Induction Employee Register'!I28</f>
        <v>0</v>
      </c>
      <c r="J28" s="104">
        <f>'Induction Employee Register'!J28</f>
        <v>0</v>
      </c>
      <c r="K28" t="str">
        <f>'Induction Employee Register'!Q28</f>
        <v>Red</v>
      </c>
    </row>
  </sheetData>
  <mergeCells count="1">
    <mergeCell ref="A1:K1"/>
  </mergeCells>
  <conditionalFormatting sqref="K4:K28">
    <cfRule type="expression" dxfId="355" priority="1">
      <formula>K4="Green"</formula>
    </cfRule>
    <cfRule type="expression" dxfId="354" priority="2">
      <formula>K4="Amber"</formula>
    </cfRule>
    <cfRule type="expression" dxfId="353" priority="3">
      <formula>K4="Red"</formula>
    </cfRule>
    <cfRule type="expression" dxfId="352" priority="4">
      <formula>L4="Green"</formula>
    </cfRule>
    <cfRule type="expression" dxfId="351" priority="5">
      <formula>L4="Amber"</formula>
    </cfRule>
    <cfRule type="expression" dxfId="350" priority="6">
      <formula>L4="Red"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265"/>
  <sheetViews>
    <sheetView topLeftCell="A35" workbookViewId="0">
      <selection activeCell="C48" sqref="C48"/>
    </sheetView>
  </sheetViews>
  <sheetFormatPr defaultRowHeight="14.5" x14ac:dyDescent="0.35"/>
  <cols>
    <col min="1" max="1" width="42" customWidth="1"/>
    <col min="2" max="2" width="36" customWidth="1"/>
    <col min="3" max="3" width="52" customWidth="1"/>
    <col min="4" max="4" width="34" customWidth="1"/>
    <col min="5" max="5" width="30" customWidth="1"/>
    <col min="6" max="6" width="12" customWidth="1"/>
    <col min="7" max="7" width="16" customWidth="1"/>
    <col min="8" max="8" width="14" customWidth="1"/>
    <col min="9" max="9" width="28" customWidth="1"/>
    <col min="10" max="12" width="14" customWidth="1"/>
  </cols>
  <sheetData>
    <row r="1" spans="1:12" ht="30" customHeight="1" x14ac:dyDescent="0.35">
      <c r="A1" s="134" t="s">
        <v>927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x14ac:dyDescent="0.35">
      <c r="A2" t="s">
        <v>928</v>
      </c>
      <c r="D2" t="s">
        <v>929</v>
      </c>
    </row>
    <row r="4" spans="1:12" x14ac:dyDescent="0.35">
      <c r="A4" s="101" t="s">
        <v>882</v>
      </c>
      <c r="B4" s="101" t="str">
        <f>IF('Induction Employee Register'!A4="","",'Induction Employee Register'!A4)</f>
        <v>SW001</v>
      </c>
      <c r="D4" t="s">
        <v>930</v>
      </c>
      <c r="E4" t="s">
        <v>931</v>
      </c>
      <c r="F4" t="s">
        <v>932</v>
      </c>
      <c r="G4" t="s">
        <v>933</v>
      </c>
      <c r="H4" t="s">
        <v>58</v>
      </c>
      <c r="I4" t="s">
        <v>934</v>
      </c>
      <c r="J4" t="s">
        <v>54</v>
      </c>
      <c r="K4" t="s">
        <v>935</v>
      </c>
      <c r="L4" t="s">
        <v>43</v>
      </c>
    </row>
    <row r="5" spans="1:12" x14ac:dyDescent="0.35">
      <c r="A5" s="101" t="s">
        <v>883</v>
      </c>
      <c r="B5" s="101" t="str">
        <f>IF('Induction Employee Register'!B4="","",'Induction Employee Register'!B4)</f>
        <v/>
      </c>
      <c r="D5" t="s">
        <v>936</v>
      </c>
    </row>
    <row r="6" spans="1:12" x14ac:dyDescent="0.35">
      <c r="A6" s="101" t="s">
        <v>322</v>
      </c>
      <c r="B6" s="101" t="str">
        <f>IF('Induction Employee Register'!C4="","",'Induction Employee Register'!C4)</f>
        <v/>
      </c>
      <c r="D6" t="s">
        <v>937</v>
      </c>
      <c r="E6" t="s">
        <v>938</v>
      </c>
    </row>
    <row r="7" spans="1:12" x14ac:dyDescent="0.35">
      <c r="A7" s="101" t="s">
        <v>323</v>
      </c>
      <c r="B7" s="126" t="str">
        <f>IF('Induction Employee Register'!D4="","",'Induction Employee Register'!D4)</f>
        <v/>
      </c>
      <c r="D7" t="s">
        <v>939</v>
      </c>
      <c r="E7" t="s">
        <v>940</v>
      </c>
    </row>
    <row r="8" spans="1:12" x14ac:dyDescent="0.35">
      <c r="A8" s="101" t="s">
        <v>886</v>
      </c>
      <c r="B8" s="125">
        <f>IFERROR(COUNTIF($H$42:$H$230,"Pass")/(COUNTIF($H$42:$H$230,"Pass")+COUNTIF($H$42:$H$230,"Fail")+COUNTIF($H$42:$H$230,"Not Assessed")),0)</f>
        <v>0</v>
      </c>
      <c r="D8" t="s">
        <v>6</v>
      </c>
      <c r="E8" t="s">
        <v>941</v>
      </c>
    </row>
    <row r="9" spans="1:12" x14ac:dyDescent="0.35">
      <c r="A9" s="101" t="s">
        <v>887</v>
      </c>
      <c r="B9" s="125">
        <f>IFERROR(COUNTIF($H$235:$H$255,"Pass")/(COUNTIF($H$235:$H$255,"Pass")+COUNTIF($H$235:$H$255,"Fail")+COUNTIF($H$235:$H$255,"Not Assessed")),0)</f>
        <v>0</v>
      </c>
      <c r="D9" t="s">
        <v>942</v>
      </c>
      <c r="E9" t="s">
        <v>943</v>
      </c>
    </row>
    <row r="10" spans="1:12" x14ac:dyDescent="0.35">
      <c r="A10" s="101" t="s">
        <v>888</v>
      </c>
      <c r="B10" s="125" t="str">
        <f>IFERROR(IF($B$5="","",IF(INDEX('Mandatory Training Dashboard'!$D$5:$D$53,MATCH($B$5,'Mandatory Training Dashboard'!$A$5:$A$53,0))&gt;1,INDEX('Mandatory Training Dashboard'!$D$5:$D$53,MATCH($B$5,'Mandatory Training Dashboard'!$A$5:$A$53,0))/100,INDEX('Mandatory Training Dashboard'!$D$5:$D$53,MATCH($B$5,'Mandatory Training Dashboard'!$A$5:$A$53,0)))),0)</f>
        <v/>
      </c>
      <c r="D10" t="s">
        <v>944</v>
      </c>
      <c r="E10" t="s">
        <v>945</v>
      </c>
    </row>
    <row r="11" spans="1:12" x14ac:dyDescent="0.35">
      <c r="A11" s="101" t="s">
        <v>893</v>
      </c>
      <c r="B11" s="125">
        <f>IFERROR(AVERAGE(B8:B10),0)</f>
        <v>0</v>
      </c>
      <c r="D11" t="s">
        <v>946</v>
      </c>
      <c r="E11" t="s">
        <v>947</v>
      </c>
    </row>
    <row r="12" spans="1:12" x14ac:dyDescent="0.35">
      <c r="A12" s="101" t="s">
        <v>948</v>
      </c>
      <c r="B12" s="101" t="str">
        <f>IF(B11&gt;=0.9,"Green",IF(B11&gt;=0.75,"Amber","Red"))</f>
        <v>Red</v>
      </c>
      <c r="D12" t="s">
        <v>949</v>
      </c>
      <c r="E12" t="s">
        <v>950</v>
      </c>
    </row>
    <row r="13" spans="1:12" x14ac:dyDescent="0.35">
      <c r="A13" s="101" t="s">
        <v>891</v>
      </c>
      <c r="B13" s="101">
        <f>IF('Induction Employee Register'!N4="","",'Induction Employee Register'!N4)</f>
        <v>0</v>
      </c>
      <c r="D13" t="s">
        <v>951</v>
      </c>
      <c r="E13" t="s">
        <v>952</v>
      </c>
    </row>
    <row r="14" spans="1:12" x14ac:dyDescent="0.35">
      <c r="A14" s="101" t="s">
        <v>892</v>
      </c>
      <c r="B14" s="101" t="str">
        <f>IF('Induction Employee Register'!O4="","",'Induction Employee Register'!O4)</f>
        <v/>
      </c>
    </row>
    <row r="17" spans="1:12" ht="24" customHeight="1" x14ac:dyDescent="0.35">
      <c r="A17" s="135" t="s">
        <v>953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9" spans="1:12" ht="29" x14ac:dyDescent="0.35">
      <c r="A19" s="116" t="s">
        <v>954</v>
      </c>
      <c r="B19" s="116" t="s">
        <v>955</v>
      </c>
      <c r="C19" s="116" t="s">
        <v>956</v>
      </c>
      <c r="D19" s="116" t="s">
        <v>957</v>
      </c>
      <c r="E19" s="116" t="s">
        <v>958</v>
      </c>
      <c r="F19" s="116" t="s">
        <v>353</v>
      </c>
      <c r="G19" s="116" t="s">
        <v>335</v>
      </c>
      <c r="H19" s="116" t="s">
        <v>338</v>
      </c>
      <c r="I19" s="117" t="s">
        <v>959</v>
      </c>
      <c r="J19" t="s">
        <v>960</v>
      </c>
      <c r="K19" t="s">
        <v>300</v>
      </c>
      <c r="L19" t="s">
        <v>961</v>
      </c>
    </row>
    <row r="20" spans="1:12" x14ac:dyDescent="0.35">
      <c r="A20" s="118" t="s">
        <v>962</v>
      </c>
      <c r="B20" s="118" t="s">
        <v>81</v>
      </c>
      <c r="C20" s="118"/>
      <c r="D20" s="127"/>
      <c r="E20" s="127"/>
      <c r="F20" s="118"/>
      <c r="G20" s="118"/>
      <c r="H20" s="118"/>
      <c r="J20" t="s">
        <v>310</v>
      </c>
      <c r="K20" t="str">
        <f>IF('Induction Employee Register'!W4="","",'Induction Employee Register'!W4)</f>
        <v/>
      </c>
      <c r="L20" t="s">
        <v>963</v>
      </c>
    </row>
    <row r="21" spans="1:12" x14ac:dyDescent="0.35">
      <c r="A21" s="118" t="s">
        <v>964</v>
      </c>
      <c r="B21" s="118" t="s">
        <v>81</v>
      </c>
      <c r="C21" s="118"/>
      <c r="D21" s="127"/>
      <c r="E21" s="127"/>
      <c r="F21" s="118"/>
      <c r="G21" s="118"/>
      <c r="H21" s="118"/>
      <c r="J21" t="s">
        <v>311</v>
      </c>
      <c r="K21" t="str">
        <f>IF('Induction Employee Register'!X4="","",'Induction Employee Register'!X4)</f>
        <v/>
      </c>
      <c r="L21" t="s">
        <v>965</v>
      </c>
    </row>
    <row r="22" spans="1:12" x14ac:dyDescent="0.35">
      <c r="A22" s="118" t="s">
        <v>966</v>
      </c>
      <c r="B22" s="118" t="s">
        <v>81</v>
      </c>
      <c r="C22" s="118"/>
      <c r="D22" s="127"/>
      <c r="E22" s="127"/>
      <c r="F22" s="118"/>
      <c r="G22" s="118"/>
      <c r="H22" s="118"/>
      <c r="J22" t="s">
        <v>312</v>
      </c>
      <c r="K22" t="str">
        <f>IF('Induction Employee Register'!Y4="","",'Induction Employee Register'!Y4)</f>
        <v/>
      </c>
      <c r="L22" t="s">
        <v>967</v>
      </c>
    </row>
    <row r="23" spans="1:12" x14ac:dyDescent="0.35">
      <c r="A23" s="118" t="s">
        <v>52</v>
      </c>
      <c r="B23" s="118" t="s">
        <v>81</v>
      </c>
      <c r="C23" s="118"/>
      <c r="D23" s="127"/>
      <c r="E23" s="127"/>
      <c r="F23" s="118"/>
      <c r="G23" s="118"/>
      <c r="H23" s="118"/>
      <c r="J23" t="s">
        <v>313</v>
      </c>
      <c r="K23" t="str">
        <f>IF('Induction Employee Register'!Z4="","",'Induction Employee Register'!Z4)</f>
        <v/>
      </c>
      <c r="L23" t="s">
        <v>968</v>
      </c>
    </row>
    <row r="24" spans="1:12" x14ac:dyDescent="0.35">
      <c r="A24" s="118" t="s">
        <v>50</v>
      </c>
      <c r="B24" s="118" t="s">
        <v>81</v>
      </c>
      <c r="C24" s="118"/>
      <c r="D24" s="127"/>
      <c r="E24" s="127"/>
      <c r="F24" s="118"/>
      <c r="G24" s="118"/>
      <c r="H24" s="118"/>
      <c r="J24" t="s">
        <v>314</v>
      </c>
      <c r="K24" t="str">
        <f>IF('Induction Employee Register'!AA4="","",'Induction Employee Register'!AA4)</f>
        <v/>
      </c>
      <c r="L24" t="s">
        <v>968</v>
      </c>
    </row>
    <row r="25" spans="1:12" x14ac:dyDescent="0.35">
      <c r="A25" s="118" t="s">
        <v>329</v>
      </c>
      <c r="B25" s="118" t="s">
        <v>81</v>
      </c>
      <c r="C25" s="118"/>
      <c r="D25" s="127"/>
      <c r="E25" s="127"/>
      <c r="F25" s="118"/>
      <c r="G25" s="118"/>
      <c r="H25" s="118"/>
      <c r="J25" t="s">
        <v>315</v>
      </c>
      <c r="K25" t="str">
        <f>IF('Induction Employee Register'!AB4="","",'Induction Employee Register'!AB4)</f>
        <v/>
      </c>
      <c r="L25" t="s">
        <v>967</v>
      </c>
    </row>
    <row r="26" spans="1:12" x14ac:dyDescent="0.35">
      <c r="A26" s="118" t="s">
        <v>969</v>
      </c>
      <c r="B26" s="118" t="s">
        <v>81</v>
      </c>
      <c r="C26" s="118"/>
      <c r="D26" s="127"/>
      <c r="E26" s="127"/>
      <c r="F26" s="118"/>
      <c r="G26" s="118"/>
      <c r="H26" s="118"/>
      <c r="J26" t="s">
        <v>316</v>
      </c>
      <c r="K26" t="str">
        <f>IF('Induction Employee Register'!AC4="","",'Induction Employee Register'!AC4)</f>
        <v/>
      </c>
      <c r="L26" t="s">
        <v>967</v>
      </c>
    </row>
    <row r="27" spans="1:12" x14ac:dyDescent="0.35">
      <c r="A27" s="118" t="s">
        <v>970</v>
      </c>
      <c r="B27" s="118" t="s">
        <v>81</v>
      </c>
      <c r="C27" s="118"/>
      <c r="D27" s="127"/>
      <c r="E27" s="127"/>
      <c r="F27" s="118"/>
      <c r="G27" s="118"/>
      <c r="H27" s="118"/>
    </row>
    <row r="28" spans="1:12" x14ac:dyDescent="0.35">
      <c r="A28" s="118" t="s">
        <v>971</v>
      </c>
      <c r="B28" s="118" t="s">
        <v>81</v>
      </c>
      <c r="C28" s="118"/>
      <c r="D28" s="127"/>
      <c r="E28" s="127"/>
      <c r="F28" s="118"/>
      <c r="G28" s="118"/>
      <c r="H28" s="118"/>
    </row>
    <row r="29" spans="1:12" x14ac:dyDescent="0.35">
      <c r="A29" s="118" t="s">
        <v>972</v>
      </c>
      <c r="B29" s="118" t="s">
        <v>81</v>
      </c>
      <c r="C29" s="118"/>
      <c r="D29" s="127"/>
      <c r="E29" s="127"/>
      <c r="F29" s="118"/>
      <c r="G29" s="118"/>
      <c r="H29" s="118"/>
    </row>
    <row r="30" spans="1:12" x14ac:dyDescent="0.35">
      <c r="A30" s="118" t="s">
        <v>973</v>
      </c>
      <c r="B30" s="118" t="s">
        <v>81</v>
      </c>
      <c r="C30" s="118"/>
      <c r="D30" s="127"/>
      <c r="E30" s="127"/>
      <c r="F30" s="118"/>
      <c r="G30" s="118"/>
      <c r="H30" s="118"/>
    </row>
    <row r="31" spans="1:12" x14ac:dyDescent="0.35">
      <c r="A31" s="118" t="s">
        <v>974</v>
      </c>
      <c r="B31" s="118" t="s">
        <v>81</v>
      </c>
      <c r="C31" s="118"/>
      <c r="D31" s="127"/>
      <c r="E31" s="127"/>
      <c r="F31" s="118"/>
      <c r="G31" s="118"/>
      <c r="H31" s="118"/>
    </row>
    <row r="32" spans="1:12" x14ac:dyDescent="0.35">
      <c r="A32" s="118" t="s">
        <v>975</v>
      </c>
      <c r="B32" s="118" t="s">
        <v>81</v>
      </c>
      <c r="C32" s="118"/>
      <c r="D32" s="127"/>
      <c r="E32" s="127"/>
      <c r="F32" s="118"/>
      <c r="G32" s="118"/>
      <c r="H32" s="118"/>
    </row>
    <row r="33" spans="1:12" x14ac:dyDescent="0.35">
      <c r="A33" s="118" t="s">
        <v>54</v>
      </c>
      <c r="B33" s="118" t="s">
        <v>81</v>
      </c>
      <c r="C33" s="118"/>
      <c r="D33" s="127"/>
      <c r="E33" s="127"/>
      <c r="F33" s="118"/>
      <c r="G33" s="118"/>
      <c r="H33" s="118"/>
    </row>
    <row r="34" spans="1:12" x14ac:dyDescent="0.35">
      <c r="A34" s="119" t="s">
        <v>976</v>
      </c>
      <c r="B34" s="119" t="s">
        <v>81</v>
      </c>
      <c r="C34" s="119"/>
      <c r="D34" s="127"/>
      <c r="E34" s="127"/>
      <c r="F34" s="119"/>
      <c r="G34" s="119"/>
      <c r="H34" s="119"/>
    </row>
    <row r="35" spans="1:12" ht="24" customHeight="1" x14ac:dyDescent="0.35">
      <c r="A35" s="130" t="s">
        <v>977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</row>
    <row r="36" spans="1:12" x14ac:dyDescent="0.35">
      <c r="A36" s="119" t="s">
        <v>978</v>
      </c>
      <c r="B36" s="119" t="s">
        <v>81</v>
      </c>
      <c r="C36" s="119"/>
      <c r="D36" s="127"/>
      <c r="E36" s="127"/>
      <c r="F36" s="119"/>
      <c r="G36" s="119"/>
      <c r="H36" s="119"/>
    </row>
    <row r="37" spans="1:12" x14ac:dyDescent="0.35">
      <c r="A37" s="119" t="s">
        <v>979</v>
      </c>
      <c r="B37" s="119" t="s">
        <v>81</v>
      </c>
      <c r="C37" s="119"/>
      <c r="D37" s="127"/>
      <c r="E37" s="127"/>
      <c r="F37" s="119"/>
      <c r="G37" s="119"/>
      <c r="H37" s="119"/>
    </row>
    <row r="38" spans="1:12" x14ac:dyDescent="0.35">
      <c r="A38" s="119" t="s">
        <v>980</v>
      </c>
      <c r="B38" s="119" t="s">
        <v>81</v>
      </c>
      <c r="C38" s="119"/>
      <c r="D38" s="127"/>
      <c r="E38" s="127"/>
      <c r="F38" s="119"/>
      <c r="G38" s="119"/>
      <c r="H38" s="119"/>
    </row>
    <row r="39" spans="1:12" x14ac:dyDescent="0.35">
      <c r="A39" s="119" t="s">
        <v>981</v>
      </c>
      <c r="B39" s="119" t="s">
        <v>81</v>
      </c>
      <c r="C39" s="119"/>
      <c r="D39" s="127"/>
      <c r="E39" s="127"/>
      <c r="F39" s="119"/>
      <c r="G39" s="119"/>
      <c r="H39" s="119"/>
    </row>
    <row r="40" spans="1:12" x14ac:dyDescent="0.35">
      <c r="A40" s="119" t="s">
        <v>982</v>
      </c>
      <c r="B40" s="119" t="s">
        <v>81</v>
      </c>
      <c r="C40" s="119"/>
      <c r="D40" s="127"/>
      <c r="E40" s="127"/>
      <c r="F40" s="119"/>
      <c r="G40" s="119"/>
      <c r="H40" s="119"/>
    </row>
    <row r="41" spans="1:12" x14ac:dyDescent="0.35">
      <c r="A41" s="118"/>
      <c r="B41" s="118"/>
      <c r="C41" s="118"/>
      <c r="D41" s="127"/>
      <c r="E41" s="127"/>
      <c r="F41" s="118"/>
      <c r="G41" s="118"/>
      <c r="H41" s="118"/>
    </row>
    <row r="42" spans="1:12" x14ac:dyDescent="0.35">
      <c r="A42" s="120" t="s">
        <v>983</v>
      </c>
      <c r="B42" s="118"/>
      <c r="C42" s="118"/>
      <c r="D42" s="127"/>
      <c r="E42" s="127"/>
      <c r="F42" s="118"/>
      <c r="G42" s="118"/>
      <c r="H42" s="118"/>
      <c r="I42" s="96"/>
      <c r="J42" s="96"/>
      <c r="K42" s="96"/>
      <c r="L42" s="96"/>
    </row>
    <row r="43" spans="1:12" x14ac:dyDescent="0.35">
      <c r="A43" s="118"/>
      <c r="B43" s="118"/>
      <c r="C43" s="118"/>
      <c r="D43" s="127"/>
      <c r="E43" s="127"/>
      <c r="F43" s="118"/>
      <c r="G43" s="118"/>
      <c r="H43" s="118"/>
    </row>
    <row r="44" spans="1:12" ht="29" x14ac:dyDescent="0.35">
      <c r="A44" s="116" t="s">
        <v>984</v>
      </c>
      <c r="B44" s="116" t="s">
        <v>985</v>
      </c>
      <c r="C44" s="116" t="s">
        <v>986</v>
      </c>
      <c r="D44" s="116" t="s">
        <v>987</v>
      </c>
      <c r="E44" s="116" t="s">
        <v>988</v>
      </c>
      <c r="F44" s="116" t="s">
        <v>989</v>
      </c>
      <c r="G44" s="116" t="s">
        <v>389</v>
      </c>
      <c r="H44" s="116" t="s">
        <v>870</v>
      </c>
      <c r="I44" s="100" t="s">
        <v>390</v>
      </c>
      <c r="J44" s="100" t="s">
        <v>990</v>
      </c>
      <c r="K44" s="100" t="s">
        <v>991</v>
      </c>
      <c r="L44" s="100" t="s">
        <v>992</v>
      </c>
    </row>
    <row r="45" spans="1:12" ht="29" x14ac:dyDescent="0.35">
      <c r="A45" s="121" t="s">
        <v>993</v>
      </c>
      <c r="B45" s="121" t="s">
        <v>994</v>
      </c>
      <c r="C45" s="121" t="s">
        <v>995</v>
      </c>
      <c r="D45" s="121"/>
      <c r="E45" s="121" t="s">
        <v>996</v>
      </c>
      <c r="F45" s="121"/>
      <c r="G45" s="121"/>
      <c r="H45" s="121"/>
      <c r="I45" s="21"/>
      <c r="J45" s="21"/>
      <c r="K45" s="21"/>
      <c r="L45" s="21"/>
    </row>
    <row r="46" spans="1:12" ht="29" x14ac:dyDescent="0.35">
      <c r="A46" s="21" t="s">
        <v>993</v>
      </c>
      <c r="B46" s="21" t="s">
        <v>997</v>
      </c>
      <c r="C46" s="21" t="s">
        <v>998</v>
      </c>
      <c r="D46" s="21"/>
      <c r="E46" s="21" t="s">
        <v>996</v>
      </c>
      <c r="F46" s="21"/>
      <c r="G46" s="21"/>
      <c r="H46" s="21"/>
      <c r="I46" s="21"/>
      <c r="J46" s="21"/>
      <c r="K46" s="21"/>
      <c r="L46" s="21"/>
    </row>
    <row r="47" spans="1:12" ht="29" x14ac:dyDescent="0.35">
      <c r="A47" s="21" t="s">
        <v>993</v>
      </c>
      <c r="B47" s="21" t="s">
        <v>999</v>
      </c>
      <c r="C47" s="21" t="s">
        <v>1000</v>
      </c>
      <c r="D47" s="21"/>
      <c r="E47" s="21" t="s">
        <v>996</v>
      </c>
      <c r="F47" s="21"/>
      <c r="G47" s="21"/>
      <c r="H47" s="21"/>
      <c r="I47" s="21"/>
      <c r="J47" s="21"/>
      <c r="K47" s="21"/>
      <c r="L47" s="21"/>
    </row>
    <row r="48" spans="1:12" ht="29" x14ac:dyDescent="0.35">
      <c r="A48" s="21" t="s">
        <v>993</v>
      </c>
      <c r="B48" s="21" t="s">
        <v>1001</v>
      </c>
      <c r="C48" s="21" t="s">
        <v>1002</v>
      </c>
      <c r="D48" s="21"/>
      <c r="E48" s="21" t="s">
        <v>996</v>
      </c>
      <c r="F48" s="21"/>
      <c r="G48" s="21"/>
      <c r="H48" s="21"/>
      <c r="I48" s="21"/>
      <c r="J48" s="21"/>
      <c r="K48" s="21"/>
      <c r="L48" s="21"/>
    </row>
    <row r="49" spans="1:12" ht="43.5" x14ac:dyDescent="0.35">
      <c r="A49" s="21" t="s">
        <v>993</v>
      </c>
      <c r="B49" s="21" t="s">
        <v>1003</v>
      </c>
      <c r="C49" s="21" t="s">
        <v>1004</v>
      </c>
      <c r="D49" s="21"/>
      <c r="E49" s="21" t="s">
        <v>996</v>
      </c>
      <c r="F49" s="21"/>
      <c r="G49" s="21"/>
      <c r="H49" s="21"/>
      <c r="I49" s="21"/>
      <c r="J49" s="21"/>
      <c r="K49" s="21"/>
      <c r="L49" s="21"/>
    </row>
    <row r="50" spans="1:12" ht="29" x14ac:dyDescent="0.35">
      <c r="A50" s="21" t="s">
        <v>993</v>
      </c>
      <c r="B50" s="21" t="s">
        <v>1005</v>
      </c>
      <c r="C50" s="21" t="s">
        <v>1006</v>
      </c>
      <c r="D50" s="21"/>
      <c r="E50" s="21" t="s">
        <v>996</v>
      </c>
      <c r="F50" s="21"/>
      <c r="G50" s="21"/>
      <c r="H50" s="21"/>
      <c r="I50" s="21"/>
      <c r="J50" s="21"/>
      <c r="K50" s="21"/>
      <c r="L50" s="21"/>
    </row>
    <row r="51" spans="1:12" ht="43.5" x14ac:dyDescent="0.35">
      <c r="A51" s="21" t="s">
        <v>1007</v>
      </c>
      <c r="B51" s="21" t="s">
        <v>1008</v>
      </c>
      <c r="C51" s="21" t="s">
        <v>1009</v>
      </c>
      <c r="D51" s="21"/>
      <c r="E51" s="21" t="s">
        <v>996</v>
      </c>
      <c r="F51" s="21"/>
      <c r="G51" s="21"/>
      <c r="H51" s="21"/>
      <c r="I51" s="21"/>
      <c r="J51" s="21"/>
      <c r="K51" s="21"/>
      <c r="L51" s="21"/>
    </row>
    <row r="52" spans="1:12" ht="29" x14ac:dyDescent="0.35">
      <c r="A52" s="21" t="s">
        <v>1007</v>
      </c>
      <c r="B52" s="21" t="s">
        <v>1010</v>
      </c>
      <c r="C52" s="21" t="s">
        <v>1011</v>
      </c>
      <c r="D52" s="21"/>
      <c r="E52" s="21" t="s">
        <v>996</v>
      </c>
      <c r="F52" s="21"/>
      <c r="G52" s="21"/>
      <c r="H52" s="21"/>
      <c r="I52" s="21"/>
      <c r="J52" s="21"/>
      <c r="K52" s="21"/>
      <c r="L52" s="21"/>
    </row>
    <row r="53" spans="1:12" ht="29" x14ac:dyDescent="0.35">
      <c r="A53" s="21" t="s">
        <v>1007</v>
      </c>
      <c r="B53" s="21" t="s">
        <v>1012</v>
      </c>
      <c r="C53" s="21" t="s">
        <v>1013</v>
      </c>
      <c r="D53" s="21"/>
      <c r="E53" s="21" t="s">
        <v>996</v>
      </c>
      <c r="F53" s="21"/>
      <c r="G53" s="21"/>
      <c r="H53" s="21"/>
      <c r="I53" s="21"/>
      <c r="J53" s="21"/>
      <c r="K53" s="21"/>
      <c r="L53" s="21"/>
    </row>
    <row r="54" spans="1:12" ht="29" x14ac:dyDescent="0.35">
      <c r="A54" s="21" t="s">
        <v>1007</v>
      </c>
      <c r="B54" s="21" t="s">
        <v>1014</v>
      </c>
      <c r="C54" s="21" t="s">
        <v>1015</v>
      </c>
      <c r="D54" s="21"/>
      <c r="E54" s="21" t="s">
        <v>996</v>
      </c>
      <c r="F54" s="21"/>
      <c r="G54" s="21"/>
      <c r="H54" s="21"/>
      <c r="I54" s="21"/>
      <c r="J54" s="21"/>
      <c r="K54" s="21"/>
      <c r="L54" s="21"/>
    </row>
    <row r="55" spans="1:12" ht="29" x14ac:dyDescent="0.35">
      <c r="A55" s="21" t="s">
        <v>1007</v>
      </c>
      <c r="B55" s="21" t="s">
        <v>1016</v>
      </c>
      <c r="C55" s="21" t="s">
        <v>1017</v>
      </c>
      <c r="D55" s="21"/>
      <c r="E55" s="21" t="s">
        <v>996</v>
      </c>
      <c r="F55" s="21"/>
      <c r="G55" s="21"/>
      <c r="H55" s="21"/>
      <c r="I55" s="21"/>
      <c r="J55" s="21"/>
      <c r="K55" s="21"/>
      <c r="L55" s="21"/>
    </row>
    <row r="56" spans="1:12" ht="29" x14ac:dyDescent="0.35">
      <c r="A56" s="21" t="s">
        <v>1007</v>
      </c>
      <c r="B56" s="21" t="s">
        <v>1018</v>
      </c>
      <c r="C56" s="21" t="s">
        <v>1019</v>
      </c>
      <c r="D56" s="21"/>
      <c r="E56" s="21" t="s">
        <v>996</v>
      </c>
      <c r="F56" s="21"/>
      <c r="G56" s="21"/>
      <c r="H56" s="21"/>
      <c r="I56" s="21"/>
      <c r="J56" s="21"/>
      <c r="K56" s="21"/>
      <c r="L56" s="21"/>
    </row>
    <row r="57" spans="1:12" ht="43.5" x14ac:dyDescent="0.35">
      <c r="A57" s="21" t="s">
        <v>1020</v>
      </c>
      <c r="B57" s="21" t="s">
        <v>1021</v>
      </c>
      <c r="C57" s="21" t="s">
        <v>1022</v>
      </c>
      <c r="D57" s="21"/>
      <c r="E57" s="21" t="s">
        <v>1023</v>
      </c>
      <c r="F57" s="21"/>
      <c r="G57" s="21"/>
      <c r="H57" s="21"/>
      <c r="I57" s="21"/>
      <c r="J57" s="21"/>
      <c r="K57" s="21"/>
      <c r="L57" s="21"/>
    </row>
    <row r="58" spans="1:12" ht="43.5" x14ac:dyDescent="0.35">
      <c r="A58" s="21" t="s">
        <v>1020</v>
      </c>
      <c r="B58" s="21" t="s">
        <v>1024</v>
      </c>
      <c r="C58" s="21" t="s">
        <v>1025</v>
      </c>
      <c r="D58" s="21"/>
      <c r="E58" s="21" t="s">
        <v>1023</v>
      </c>
      <c r="F58" s="21"/>
      <c r="G58" s="21"/>
      <c r="H58" s="21"/>
      <c r="I58" s="21"/>
      <c r="J58" s="21"/>
      <c r="K58" s="21"/>
      <c r="L58" s="21"/>
    </row>
    <row r="59" spans="1:12" ht="43.5" x14ac:dyDescent="0.35">
      <c r="A59" s="21" t="s">
        <v>1020</v>
      </c>
      <c r="B59" s="21" t="s">
        <v>1026</v>
      </c>
      <c r="C59" s="21" t="s">
        <v>1027</v>
      </c>
      <c r="D59" s="21"/>
      <c r="E59" s="21" t="s">
        <v>1023</v>
      </c>
      <c r="F59" s="21"/>
      <c r="G59" s="21"/>
      <c r="H59" s="21"/>
      <c r="I59" s="21"/>
      <c r="J59" s="21"/>
      <c r="K59" s="21"/>
      <c r="L59" s="21"/>
    </row>
    <row r="60" spans="1:12" ht="43.5" x14ac:dyDescent="0.35">
      <c r="A60" s="21" t="s">
        <v>1020</v>
      </c>
      <c r="B60" s="21" t="s">
        <v>1028</v>
      </c>
      <c r="C60" s="21" t="s">
        <v>1029</v>
      </c>
      <c r="D60" s="21"/>
      <c r="E60" s="21" t="s">
        <v>1023</v>
      </c>
      <c r="F60" s="21"/>
      <c r="G60" s="21"/>
      <c r="H60" s="21"/>
      <c r="I60" s="21"/>
      <c r="J60" s="21"/>
      <c r="K60" s="21"/>
      <c r="L60" s="21"/>
    </row>
    <row r="61" spans="1:12" ht="43.5" x14ac:dyDescent="0.35">
      <c r="A61" s="21" t="s">
        <v>1020</v>
      </c>
      <c r="B61" s="21" t="s">
        <v>1030</v>
      </c>
      <c r="C61" s="21" t="s">
        <v>1031</v>
      </c>
      <c r="D61" s="21"/>
      <c r="E61" s="21" t="s">
        <v>1023</v>
      </c>
      <c r="F61" s="21"/>
      <c r="G61" s="21"/>
      <c r="H61" s="21"/>
      <c r="I61" s="21"/>
      <c r="J61" s="21"/>
      <c r="K61" s="21"/>
      <c r="L61" s="21"/>
    </row>
    <row r="62" spans="1:12" ht="43.5" x14ac:dyDescent="0.35">
      <c r="A62" s="21" t="s">
        <v>1020</v>
      </c>
      <c r="B62" s="21" t="s">
        <v>1032</v>
      </c>
      <c r="C62" s="21" t="s">
        <v>1033</v>
      </c>
      <c r="D62" s="21"/>
      <c r="E62" s="21" t="s">
        <v>1023</v>
      </c>
      <c r="F62" s="21"/>
      <c r="G62" s="21"/>
      <c r="H62" s="21"/>
      <c r="I62" s="21"/>
      <c r="J62" s="21"/>
      <c r="K62" s="21"/>
      <c r="L62" s="21"/>
    </row>
    <row r="63" spans="1:12" ht="29" x14ac:dyDescent="0.35">
      <c r="A63" s="21" t="s">
        <v>428</v>
      </c>
      <c r="B63" s="21" t="s">
        <v>1034</v>
      </c>
      <c r="C63" s="21" t="s">
        <v>1035</v>
      </c>
      <c r="D63" s="21"/>
      <c r="E63" s="21" t="s">
        <v>996</v>
      </c>
      <c r="F63" s="21"/>
      <c r="G63" s="21"/>
      <c r="H63" s="21"/>
      <c r="I63" s="21"/>
      <c r="J63" s="21"/>
      <c r="K63" s="21"/>
      <c r="L63" s="21"/>
    </row>
    <row r="64" spans="1:12" ht="43.5" x14ac:dyDescent="0.35">
      <c r="A64" s="21" t="s">
        <v>428</v>
      </c>
      <c r="B64" s="21" t="s">
        <v>1036</v>
      </c>
      <c r="C64" s="21" t="s">
        <v>1037</v>
      </c>
      <c r="D64" s="21"/>
      <c r="E64" s="21" t="s">
        <v>996</v>
      </c>
      <c r="F64" s="21"/>
      <c r="G64" s="21"/>
      <c r="H64" s="21"/>
      <c r="I64" s="21"/>
      <c r="J64" s="21"/>
      <c r="K64" s="21"/>
      <c r="L64" s="21"/>
    </row>
    <row r="65" spans="1:12" ht="29" x14ac:dyDescent="0.35">
      <c r="A65" s="21" t="s">
        <v>428</v>
      </c>
      <c r="B65" s="21" t="s">
        <v>1038</v>
      </c>
      <c r="C65" s="21" t="s">
        <v>1039</v>
      </c>
      <c r="D65" s="21"/>
      <c r="E65" s="21" t="s">
        <v>996</v>
      </c>
      <c r="F65" s="21"/>
      <c r="G65" s="21"/>
      <c r="H65" s="21"/>
      <c r="I65" s="21"/>
      <c r="J65" s="21"/>
      <c r="K65" s="21"/>
      <c r="L65" s="21"/>
    </row>
    <row r="66" spans="1:12" ht="43.5" x14ac:dyDescent="0.35">
      <c r="A66" s="21" t="s">
        <v>428</v>
      </c>
      <c r="B66" s="21" t="s">
        <v>1040</v>
      </c>
      <c r="C66" s="21" t="s">
        <v>1041</v>
      </c>
      <c r="D66" s="21"/>
      <c r="E66" s="21" t="s">
        <v>996</v>
      </c>
      <c r="F66" s="21"/>
      <c r="G66" s="21"/>
      <c r="H66" s="21"/>
      <c r="I66" s="21"/>
      <c r="J66" s="21"/>
      <c r="K66" s="21"/>
      <c r="L66" s="21"/>
    </row>
    <row r="67" spans="1:12" ht="29" x14ac:dyDescent="0.35">
      <c r="A67" s="21" t="s">
        <v>428</v>
      </c>
      <c r="B67" s="21" t="s">
        <v>1042</v>
      </c>
      <c r="C67" s="21" t="s">
        <v>1043</v>
      </c>
      <c r="D67" s="21"/>
      <c r="E67" s="21" t="s">
        <v>996</v>
      </c>
      <c r="F67" s="21"/>
      <c r="G67" s="21"/>
      <c r="H67" s="21"/>
      <c r="I67" s="21"/>
      <c r="J67" s="21"/>
      <c r="K67" s="21"/>
      <c r="L67" s="21"/>
    </row>
    <row r="68" spans="1:12" ht="29" x14ac:dyDescent="0.35">
      <c r="A68" s="21" t="s">
        <v>428</v>
      </c>
      <c r="B68" s="21" t="s">
        <v>1044</v>
      </c>
      <c r="C68" s="21" t="s">
        <v>1045</v>
      </c>
      <c r="D68" s="21"/>
      <c r="E68" s="21" t="s">
        <v>996</v>
      </c>
      <c r="F68" s="21"/>
      <c r="G68" s="21"/>
      <c r="H68" s="21"/>
      <c r="I68" s="21"/>
      <c r="J68" s="21"/>
      <c r="K68" s="21"/>
      <c r="L68" s="21"/>
    </row>
    <row r="69" spans="1:12" ht="29" x14ac:dyDescent="0.35">
      <c r="A69" s="21" t="s">
        <v>1046</v>
      </c>
      <c r="B69" s="21" t="s">
        <v>1047</v>
      </c>
      <c r="C69" s="21" t="s">
        <v>1048</v>
      </c>
      <c r="D69" s="21"/>
      <c r="E69" s="21" t="s">
        <v>996</v>
      </c>
      <c r="F69" s="21"/>
      <c r="G69" s="21"/>
      <c r="H69" s="21"/>
      <c r="I69" s="21"/>
      <c r="J69" s="21"/>
      <c r="K69" s="21"/>
      <c r="L69" s="21"/>
    </row>
    <row r="70" spans="1:12" ht="29" x14ac:dyDescent="0.35">
      <c r="A70" s="21" t="s">
        <v>1046</v>
      </c>
      <c r="B70" s="21" t="s">
        <v>1049</v>
      </c>
      <c r="C70" s="21" t="s">
        <v>1050</v>
      </c>
      <c r="D70" s="21"/>
      <c r="E70" s="21" t="s">
        <v>996</v>
      </c>
      <c r="F70" s="21"/>
      <c r="G70" s="21"/>
      <c r="H70" s="21"/>
      <c r="I70" s="21"/>
      <c r="J70" s="21"/>
      <c r="K70" s="21"/>
      <c r="L70" s="21"/>
    </row>
    <row r="71" spans="1:12" ht="29" x14ac:dyDescent="0.35">
      <c r="A71" s="21" t="s">
        <v>1046</v>
      </c>
      <c r="B71" s="21" t="s">
        <v>1051</v>
      </c>
      <c r="C71" s="21" t="s">
        <v>1052</v>
      </c>
      <c r="D71" s="21"/>
      <c r="E71" s="21" t="s">
        <v>996</v>
      </c>
      <c r="F71" s="21"/>
      <c r="G71" s="21"/>
      <c r="H71" s="21"/>
      <c r="I71" s="21"/>
      <c r="J71" s="21"/>
      <c r="K71" s="21"/>
      <c r="L71" s="21"/>
    </row>
    <row r="72" spans="1:12" ht="29" x14ac:dyDescent="0.35">
      <c r="A72" s="21" t="s">
        <v>1046</v>
      </c>
      <c r="B72" s="21" t="s">
        <v>1053</v>
      </c>
      <c r="C72" s="21" t="s">
        <v>1054</v>
      </c>
      <c r="D72" s="21"/>
      <c r="E72" s="21" t="s">
        <v>996</v>
      </c>
      <c r="F72" s="21"/>
      <c r="G72" s="21"/>
      <c r="H72" s="21"/>
      <c r="I72" s="21"/>
      <c r="J72" s="21"/>
      <c r="K72" s="21"/>
      <c r="L72" s="21"/>
    </row>
    <row r="73" spans="1:12" ht="29" x14ac:dyDescent="0.35">
      <c r="A73" s="21" t="s">
        <v>1046</v>
      </c>
      <c r="B73" s="21" t="s">
        <v>1055</v>
      </c>
      <c r="C73" s="21" t="s">
        <v>1056</v>
      </c>
      <c r="D73" s="21"/>
      <c r="E73" s="21" t="s">
        <v>996</v>
      </c>
      <c r="F73" s="21"/>
      <c r="G73" s="21"/>
      <c r="H73" s="21"/>
      <c r="I73" s="21"/>
      <c r="J73" s="21"/>
      <c r="K73" s="21"/>
      <c r="L73" s="21"/>
    </row>
    <row r="74" spans="1:12" ht="29" x14ac:dyDescent="0.35">
      <c r="A74" s="21" t="s">
        <v>1046</v>
      </c>
      <c r="B74" s="21" t="s">
        <v>1057</v>
      </c>
      <c r="C74" s="21" t="s">
        <v>1058</v>
      </c>
      <c r="D74" s="21"/>
      <c r="E74" s="21" t="s">
        <v>996</v>
      </c>
      <c r="F74" s="21"/>
      <c r="G74" s="21"/>
      <c r="H74" s="21"/>
      <c r="I74" s="21"/>
      <c r="J74" s="21"/>
      <c r="K74" s="21"/>
      <c r="L74" s="21"/>
    </row>
    <row r="75" spans="1:12" ht="29" x14ac:dyDescent="0.35">
      <c r="A75" s="21" t="s">
        <v>1059</v>
      </c>
      <c r="B75" s="21" t="s">
        <v>1060</v>
      </c>
      <c r="C75" s="21" t="s">
        <v>1061</v>
      </c>
      <c r="D75" s="21"/>
      <c r="E75" s="21" t="s">
        <v>996</v>
      </c>
      <c r="F75" s="21"/>
      <c r="G75" s="21"/>
      <c r="H75" s="21"/>
      <c r="I75" s="21"/>
      <c r="J75" s="21"/>
      <c r="K75" s="21"/>
      <c r="L75" s="21"/>
    </row>
    <row r="76" spans="1:12" ht="43.5" x14ac:dyDescent="0.35">
      <c r="A76" s="21" t="s">
        <v>1059</v>
      </c>
      <c r="B76" s="21" t="s">
        <v>1062</v>
      </c>
      <c r="C76" s="21" t="s">
        <v>1063</v>
      </c>
      <c r="D76" s="21"/>
      <c r="E76" s="21" t="s">
        <v>996</v>
      </c>
      <c r="F76" s="21"/>
      <c r="G76" s="21"/>
      <c r="H76" s="21"/>
      <c r="I76" s="21"/>
      <c r="J76" s="21"/>
      <c r="K76" s="21"/>
      <c r="L76" s="21"/>
    </row>
    <row r="77" spans="1:12" ht="29" x14ac:dyDescent="0.35">
      <c r="A77" s="21" t="s">
        <v>1059</v>
      </c>
      <c r="B77" s="21" t="s">
        <v>1064</v>
      </c>
      <c r="C77" s="21" t="s">
        <v>1065</v>
      </c>
      <c r="D77" s="21"/>
      <c r="E77" s="21" t="s">
        <v>996</v>
      </c>
      <c r="F77" s="21"/>
      <c r="G77" s="21"/>
      <c r="H77" s="21"/>
      <c r="I77" s="21"/>
      <c r="J77" s="21"/>
      <c r="K77" s="21"/>
      <c r="L77" s="21"/>
    </row>
    <row r="78" spans="1:12" ht="29" x14ac:dyDescent="0.35">
      <c r="A78" s="21" t="s">
        <v>1059</v>
      </c>
      <c r="B78" s="21" t="s">
        <v>1066</v>
      </c>
      <c r="C78" s="21" t="s">
        <v>1067</v>
      </c>
      <c r="D78" s="21"/>
      <c r="E78" s="21" t="s">
        <v>996</v>
      </c>
      <c r="F78" s="21"/>
      <c r="G78" s="21"/>
      <c r="H78" s="21"/>
      <c r="I78" s="21"/>
      <c r="J78" s="21"/>
      <c r="K78" s="21"/>
      <c r="L78" s="21"/>
    </row>
    <row r="79" spans="1:12" ht="29" x14ac:dyDescent="0.35">
      <c r="A79" s="21" t="s">
        <v>1059</v>
      </c>
      <c r="B79" s="21" t="s">
        <v>1068</v>
      </c>
      <c r="C79" s="21" t="s">
        <v>1069</v>
      </c>
      <c r="D79" s="21"/>
      <c r="E79" s="21" t="s">
        <v>996</v>
      </c>
      <c r="F79" s="21"/>
      <c r="G79" s="21"/>
      <c r="H79" s="21"/>
      <c r="I79" s="21"/>
      <c r="J79" s="21"/>
      <c r="K79" s="21"/>
      <c r="L79" s="21"/>
    </row>
    <row r="80" spans="1:12" ht="29" x14ac:dyDescent="0.35">
      <c r="A80" s="21" t="s">
        <v>1059</v>
      </c>
      <c r="B80" s="21" t="s">
        <v>1070</v>
      </c>
      <c r="C80" s="21" t="s">
        <v>1071</v>
      </c>
      <c r="D80" s="21"/>
      <c r="E80" s="21" t="s">
        <v>996</v>
      </c>
      <c r="F80" s="21"/>
      <c r="G80" s="21"/>
      <c r="H80" s="21"/>
      <c r="I80" s="21"/>
      <c r="J80" s="21"/>
      <c r="K80" s="21"/>
      <c r="L80" s="21"/>
    </row>
    <row r="81" spans="1:12" ht="29" x14ac:dyDescent="0.35">
      <c r="A81" s="21" t="s">
        <v>1072</v>
      </c>
      <c r="B81" s="21" t="s">
        <v>1073</v>
      </c>
      <c r="C81" s="21" t="s">
        <v>1074</v>
      </c>
      <c r="D81" s="21"/>
      <c r="E81" s="21" t="s">
        <v>996</v>
      </c>
      <c r="F81" s="21"/>
      <c r="G81" s="21"/>
      <c r="H81" s="21"/>
      <c r="I81" s="21"/>
      <c r="J81" s="21"/>
      <c r="K81" s="21"/>
      <c r="L81" s="21"/>
    </row>
    <row r="82" spans="1:12" ht="29" x14ac:dyDescent="0.35">
      <c r="A82" s="21" t="s">
        <v>1072</v>
      </c>
      <c r="B82" s="21" t="s">
        <v>1075</v>
      </c>
      <c r="C82" s="21" t="s">
        <v>1076</v>
      </c>
      <c r="D82" s="21"/>
      <c r="E82" s="21" t="s">
        <v>996</v>
      </c>
      <c r="F82" s="21"/>
      <c r="G82" s="21"/>
      <c r="H82" s="21"/>
      <c r="I82" s="21"/>
      <c r="J82" s="21"/>
      <c r="K82" s="21"/>
      <c r="L82" s="21"/>
    </row>
    <row r="83" spans="1:12" ht="29" x14ac:dyDescent="0.35">
      <c r="A83" s="21" t="s">
        <v>1072</v>
      </c>
      <c r="B83" s="21" t="s">
        <v>1077</v>
      </c>
      <c r="C83" s="21" t="s">
        <v>1078</v>
      </c>
      <c r="D83" s="21"/>
      <c r="E83" s="21" t="s">
        <v>996</v>
      </c>
      <c r="F83" s="21"/>
      <c r="G83" s="21"/>
      <c r="H83" s="21"/>
      <c r="I83" s="21"/>
      <c r="J83" s="21"/>
      <c r="K83" s="21"/>
      <c r="L83" s="21"/>
    </row>
    <row r="84" spans="1:12" ht="29" x14ac:dyDescent="0.35">
      <c r="A84" s="21" t="s">
        <v>1072</v>
      </c>
      <c r="B84" s="21" t="s">
        <v>1079</v>
      </c>
      <c r="C84" s="21" t="s">
        <v>1080</v>
      </c>
      <c r="D84" s="21"/>
      <c r="E84" s="21" t="s">
        <v>996</v>
      </c>
      <c r="F84" s="21"/>
      <c r="G84" s="21"/>
      <c r="H84" s="21"/>
      <c r="I84" s="21"/>
      <c r="J84" s="21"/>
      <c r="K84" s="21"/>
      <c r="L84" s="21"/>
    </row>
    <row r="85" spans="1:12" ht="29" x14ac:dyDescent="0.35">
      <c r="A85" s="21" t="s">
        <v>1072</v>
      </c>
      <c r="B85" s="21" t="s">
        <v>1081</v>
      </c>
      <c r="C85" s="21" t="s">
        <v>1082</v>
      </c>
      <c r="D85" s="21"/>
      <c r="E85" s="21" t="s">
        <v>996</v>
      </c>
      <c r="F85" s="21"/>
      <c r="G85" s="21"/>
      <c r="H85" s="21"/>
      <c r="I85" s="21"/>
      <c r="J85" s="21"/>
      <c r="K85" s="21"/>
      <c r="L85" s="21"/>
    </row>
    <row r="86" spans="1:12" ht="29" x14ac:dyDescent="0.35">
      <c r="A86" s="21" t="s">
        <v>1072</v>
      </c>
      <c r="B86" s="21" t="s">
        <v>1083</v>
      </c>
      <c r="C86" s="21" t="s">
        <v>1084</v>
      </c>
      <c r="D86" s="21"/>
      <c r="E86" s="21" t="s">
        <v>996</v>
      </c>
      <c r="F86" s="21"/>
      <c r="G86" s="21"/>
      <c r="H86" s="21"/>
      <c r="I86" s="21"/>
      <c r="J86" s="21"/>
      <c r="K86" s="21"/>
      <c r="L86" s="21"/>
    </row>
    <row r="87" spans="1:12" ht="29" x14ac:dyDescent="0.35">
      <c r="A87" s="21" t="s">
        <v>1085</v>
      </c>
      <c r="B87" s="21" t="s">
        <v>1086</v>
      </c>
      <c r="C87" s="21" t="s">
        <v>1087</v>
      </c>
      <c r="D87" s="21"/>
      <c r="E87" s="21" t="s">
        <v>996</v>
      </c>
      <c r="F87" s="21"/>
      <c r="G87" s="21"/>
      <c r="H87" s="21"/>
      <c r="I87" s="21"/>
      <c r="J87" s="21"/>
      <c r="K87" s="21"/>
      <c r="L87" s="21"/>
    </row>
    <row r="88" spans="1:12" ht="29" x14ac:dyDescent="0.35">
      <c r="A88" s="21" t="s">
        <v>1085</v>
      </c>
      <c r="B88" s="21" t="s">
        <v>1088</v>
      </c>
      <c r="C88" s="21" t="s">
        <v>1089</v>
      </c>
      <c r="D88" s="21"/>
      <c r="E88" s="21" t="s">
        <v>996</v>
      </c>
      <c r="F88" s="21"/>
      <c r="G88" s="21"/>
      <c r="H88" s="21"/>
      <c r="I88" s="21"/>
      <c r="J88" s="21"/>
      <c r="K88" s="21"/>
      <c r="L88" s="21"/>
    </row>
    <row r="89" spans="1:12" ht="29" x14ac:dyDescent="0.35">
      <c r="A89" s="21" t="s">
        <v>1085</v>
      </c>
      <c r="B89" s="21" t="s">
        <v>1090</v>
      </c>
      <c r="C89" s="21" t="s">
        <v>1091</v>
      </c>
      <c r="D89" s="21"/>
      <c r="E89" s="21" t="s">
        <v>996</v>
      </c>
      <c r="F89" s="21"/>
      <c r="G89" s="21"/>
      <c r="H89" s="21"/>
      <c r="I89" s="21"/>
      <c r="J89" s="21"/>
      <c r="K89" s="21"/>
      <c r="L89" s="21"/>
    </row>
    <row r="90" spans="1:12" ht="29" x14ac:dyDescent="0.35">
      <c r="A90" s="21" t="s">
        <v>1085</v>
      </c>
      <c r="B90" s="21" t="s">
        <v>1092</v>
      </c>
      <c r="C90" s="21" t="s">
        <v>1093</v>
      </c>
      <c r="D90" s="21"/>
      <c r="E90" s="21" t="s">
        <v>996</v>
      </c>
      <c r="F90" s="21"/>
      <c r="G90" s="21"/>
      <c r="H90" s="21"/>
      <c r="I90" s="21"/>
      <c r="J90" s="21"/>
      <c r="K90" s="21"/>
      <c r="L90" s="21"/>
    </row>
    <row r="91" spans="1:12" ht="29" x14ac:dyDescent="0.35">
      <c r="A91" s="21" t="s">
        <v>1085</v>
      </c>
      <c r="B91" s="21" t="s">
        <v>1094</v>
      </c>
      <c r="C91" s="21" t="s">
        <v>1095</v>
      </c>
      <c r="D91" s="21"/>
      <c r="E91" s="21" t="s">
        <v>996</v>
      </c>
      <c r="F91" s="21"/>
      <c r="G91" s="21"/>
      <c r="H91" s="21"/>
      <c r="I91" s="21"/>
      <c r="J91" s="21"/>
      <c r="K91" s="21"/>
      <c r="L91" s="21"/>
    </row>
    <row r="92" spans="1:12" ht="29" x14ac:dyDescent="0.35">
      <c r="A92" s="21" t="s">
        <v>1085</v>
      </c>
      <c r="B92" s="21" t="s">
        <v>1096</v>
      </c>
      <c r="C92" s="21" t="s">
        <v>1097</v>
      </c>
      <c r="D92" s="21"/>
      <c r="E92" s="21" t="s">
        <v>996</v>
      </c>
      <c r="F92" s="21"/>
      <c r="G92" s="21"/>
      <c r="H92" s="21"/>
      <c r="I92" s="21"/>
      <c r="J92" s="21"/>
      <c r="K92" s="21"/>
      <c r="L92" s="21"/>
    </row>
    <row r="93" spans="1:12" ht="29" x14ac:dyDescent="0.35">
      <c r="A93" s="21" t="s">
        <v>1098</v>
      </c>
      <c r="B93" s="21" t="s">
        <v>1099</v>
      </c>
      <c r="C93" s="21" t="s">
        <v>1100</v>
      </c>
      <c r="D93" s="21"/>
      <c r="E93" s="21" t="s">
        <v>996</v>
      </c>
      <c r="F93" s="21"/>
      <c r="G93" s="21"/>
      <c r="H93" s="21"/>
      <c r="I93" s="21"/>
      <c r="J93" s="21"/>
      <c r="K93" s="21"/>
      <c r="L93" s="21"/>
    </row>
    <row r="94" spans="1:12" ht="29" x14ac:dyDescent="0.35">
      <c r="A94" s="21" t="s">
        <v>1098</v>
      </c>
      <c r="B94" s="21" t="s">
        <v>1101</v>
      </c>
      <c r="C94" s="21" t="s">
        <v>1102</v>
      </c>
      <c r="D94" s="21"/>
      <c r="E94" s="21" t="s">
        <v>996</v>
      </c>
      <c r="F94" s="21"/>
      <c r="G94" s="21"/>
      <c r="H94" s="21"/>
      <c r="I94" s="21"/>
      <c r="J94" s="21"/>
      <c r="K94" s="21"/>
      <c r="L94" s="21"/>
    </row>
    <row r="95" spans="1:12" ht="29" x14ac:dyDescent="0.35">
      <c r="A95" s="21" t="s">
        <v>1098</v>
      </c>
      <c r="B95" s="21" t="s">
        <v>1103</v>
      </c>
      <c r="C95" s="21" t="s">
        <v>1104</v>
      </c>
      <c r="D95" s="21"/>
      <c r="E95" s="21" t="s">
        <v>996</v>
      </c>
      <c r="F95" s="21"/>
      <c r="G95" s="21"/>
      <c r="H95" s="21"/>
      <c r="I95" s="21"/>
      <c r="J95" s="21"/>
      <c r="K95" s="21"/>
      <c r="L95" s="21"/>
    </row>
    <row r="96" spans="1:12" ht="29" x14ac:dyDescent="0.35">
      <c r="A96" s="21" t="s">
        <v>1098</v>
      </c>
      <c r="B96" s="21" t="s">
        <v>1105</v>
      </c>
      <c r="C96" s="21" t="s">
        <v>1106</v>
      </c>
      <c r="D96" s="21"/>
      <c r="E96" s="21" t="s">
        <v>996</v>
      </c>
      <c r="F96" s="21"/>
      <c r="G96" s="21"/>
      <c r="H96" s="21"/>
      <c r="I96" s="21"/>
      <c r="J96" s="21"/>
      <c r="K96" s="21"/>
      <c r="L96" s="21"/>
    </row>
    <row r="97" spans="1:12" ht="29" x14ac:dyDescent="0.35">
      <c r="A97" s="21" t="s">
        <v>1098</v>
      </c>
      <c r="B97" s="21" t="s">
        <v>1107</v>
      </c>
      <c r="C97" s="21" t="s">
        <v>1108</v>
      </c>
      <c r="D97" s="21"/>
      <c r="E97" s="21" t="s">
        <v>996</v>
      </c>
      <c r="F97" s="21"/>
      <c r="G97" s="21"/>
      <c r="H97" s="21"/>
      <c r="I97" s="21"/>
      <c r="J97" s="21"/>
      <c r="K97" s="21"/>
      <c r="L97" s="21"/>
    </row>
    <row r="98" spans="1:12" ht="29" x14ac:dyDescent="0.35">
      <c r="A98" s="21" t="s">
        <v>1098</v>
      </c>
      <c r="B98" s="21" t="s">
        <v>1109</v>
      </c>
      <c r="C98" s="21" t="s">
        <v>1110</v>
      </c>
      <c r="D98" s="21"/>
      <c r="E98" s="21" t="s">
        <v>996</v>
      </c>
      <c r="F98" s="21"/>
      <c r="G98" s="21"/>
      <c r="H98" s="21"/>
      <c r="I98" s="21"/>
      <c r="J98" s="21"/>
      <c r="K98" s="21"/>
      <c r="L98" s="21"/>
    </row>
    <row r="99" spans="1:12" ht="29" x14ac:dyDescent="0.35">
      <c r="A99" s="21" t="s">
        <v>1111</v>
      </c>
      <c r="B99" s="21" t="s">
        <v>1112</v>
      </c>
      <c r="C99" s="21" t="s">
        <v>1113</v>
      </c>
      <c r="D99" s="21"/>
      <c r="E99" s="21" t="s">
        <v>1114</v>
      </c>
      <c r="F99" s="21"/>
      <c r="G99" s="21"/>
      <c r="H99" s="21"/>
      <c r="I99" s="21"/>
      <c r="J99" s="21"/>
      <c r="K99" s="21"/>
      <c r="L99" s="21"/>
    </row>
    <row r="100" spans="1:12" ht="29" x14ac:dyDescent="0.35">
      <c r="A100" s="21" t="s">
        <v>1111</v>
      </c>
      <c r="B100" s="21" t="s">
        <v>1115</v>
      </c>
      <c r="C100" s="21" t="s">
        <v>1116</v>
      </c>
      <c r="D100" s="21"/>
      <c r="E100" s="21" t="s">
        <v>1114</v>
      </c>
      <c r="F100" s="21"/>
      <c r="G100" s="21"/>
      <c r="H100" s="21"/>
      <c r="I100" s="21"/>
      <c r="J100" s="21"/>
      <c r="K100" s="21"/>
      <c r="L100" s="21"/>
    </row>
    <row r="101" spans="1:12" ht="29" x14ac:dyDescent="0.35">
      <c r="A101" s="21" t="s">
        <v>1111</v>
      </c>
      <c r="B101" s="21" t="s">
        <v>1117</v>
      </c>
      <c r="C101" s="21" t="s">
        <v>1118</v>
      </c>
      <c r="D101" s="21"/>
      <c r="E101" s="21" t="s">
        <v>1114</v>
      </c>
      <c r="F101" s="21"/>
      <c r="G101" s="21"/>
      <c r="H101" s="21"/>
      <c r="I101" s="21"/>
      <c r="J101" s="21"/>
      <c r="K101" s="21"/>
      <c r="L101" s="21"/>
    </row>
    <row r="102" spans="1:12" ht="29" x14ac:dyDescent="0.35">
      <c r="A102" s="21" t="s">
        <v>1111</v>
      </c>
      <c r="B102" s="21" t="s">
        <v>1119</v>
      </c>
      <c r="C102" s="21" t="s">
        <v>1120</v>
      </c>
      <c r="D102" s="21"/>
      <c r="E102" s="21" t="s">
        <v>1114</v>
      </c>
      <c r="F102" s="21"/>
      <c r="G102" s="21"/>
      <c r="H102" s="21"/>
      <c r="I102" s="21"/>
      <c r="J102" s="21"/>
      <c r="K102" s="21"/>
      <c r="L102" s="21"/>
    </row>
    <row r="103" spans="1:12" ht="29" x14ac:dyDescent="0.35">
      <c r="A103" s="21" t="s">
        <v>1111</v>
      </c>
      <c r="B103" s="21" t="s">
        <v>1121</v>
      </c>
      <c r="C103" s="21" t="s">
        <v>1122</v>
      </c>
      <c r="D103" s="21"/>
      <c r="E103" s="21" t="s">
        <v>1114</v>
      </c>
      <c r="F103" s="21"/>
      <c r="G103" s="21"/>
      <c r="H103" s="21"/>
      <c r="I103" s="21"/>
      <c r="J103" s="21"/>
      <c r="K103" s="21"/>
      <c r="L103" s="21"/>
    </row>
    <row r="104" spans="1:12" ht="29" x14ac:dyDescent="0.35">
      <c r="A104" s="21" t="s">
        <v>1111</v>
      </c>
      <c r="B104" s="21" t="s">
        <v>1123</v>
      </c>
      <c r="C104" s="21" t="s">
        <v>1124</v>
      </c>
      <c r="D104" s="21"/>
      <c r="E104" s="21" t="s">
        <v>1114</v>
      </c>
      <c r="F104" s="21"/>
      <c r="G104" s="21"/>
      <c r="H104" s="21"/>
      <c r="I104" s="21"/>
      <c r="J104" s="21"/>
      <c r="K104" s="21"/>
      <c r="L104" s="21"/>
    </row>
    <row r="105" spans="1:12" ht="29" x14ac:dyDescent="0.35">
      <c r="A105" s="21" t="s">
        <v>1125</v>
      </c>
      <c r="B105" s="21" t="s">
        <v>1126</v>
      </c>
      <c r="C105" s="21" t="s">
        <v>1127</v>
      </c>
      <c r="D105" s="21"/>
      <c r="E105" s="21" t="s">
        <v>1114</v>
      </c>
      <c r="F105" s="21"/>
      <c r="G105" s="21"/>
      <c r="H105" s="21"/>
      <c r="I105" s="21"/>
      <c r="J105" s="21"/>
      <c r="K105" s="21"/>
      <c r="L105" s="21"/>
    </row>
    <row r="106" spans="1:12" ht="29" x14ac:dyDescent="0.35">
      <c r="A106" s="21" t="s">
        <v>1125</v>
      </c>
      <c r="B106" s="21" t="s">
        <v>1128</v>
      </c>
      <c r="C106" s="21" t="s">
        <v>1129</v>
      </c>
      <c r="D106" s="21"/>
      <c r="E106" s="21" t="s">
        <v>1114</v>
      </c>
      <c r="F106" s="21"/>
      <c r="G106" s="21"/>
      <c r="H106" s="21"/>
      <c r="I106" s="21"/>
      <c r="J106" s="21"/>
      <c r="K106" s="21"/>
      <c r="L106" s="21"/>
    </row>
    <row r="107" spans="1:12" ht="43.5" x14ac:dyDescent="0.35">
      <c r="A107" s="21" t="s">
        <v>1125</v>
      </c>
      <c r="B107" s="21" t="s">
        <v>1130</v>
      </c>
      <c r="C107" s="21" t="s">
        <v>1131</v>
      </c>
      <c r="D107" s="21"/>
      <c r="E107" s="21" t="s">
        <v>1114</v>
      </c>
      <c r="F107" s="21"/>
      <c r="G107" s="21"/>
      <c r="H107" s="21"/>
      <c r="I107" s="21"/>
      <c r="J107" s="21"/>
      <c r="K107" s="21"/>
      <c r="L107" s="21"/>
    </row>
    <row r="108" spans="1:12" ht="29" x14ac:dyDescent="0.35">
      <c r="A108" s="21" t="s">
        <v>1125</v>
      </c>
      <c r="B108" s="21" t="s">
        <v>1132</v>
      </c>
      <c r="C108" s="21" t="s">
        <v>1133</v>
      </c>
      <c r="D108" s="21"/>
      <c r="E108" s="21" t="s">
        <v>1114</v>
      </c>
      <c r="F108" s="21"/>
      <c r="G108" s="21"/>
      <c r="H108" s="21"/>
      <c r="I108" s="21"/>
      <c r="J108" s="21"/>
      <c r="K108" s="21"/>
      <c r="L108" s="21"/>
    </row>
    <row r="109" spans="1:12" ht="29" x14ac:dyDescent="0.35">
      <c r="A109" s="21" t="s">
        <v>1125</v>
      </c>
      <c r="B109" s="21" t="s">
        <v>1134</v>
      </c>
      <c r="C109" s="21" t="s">
        <v>1135</v>
      </c>
      <c r="D109" s="21"/>
      <c r="E109" s="21" t="s">
        <v>1114</v>
      </c>
      <c r="F109" s="21"/>
      <c r="G109" s="21"/>
      <c r="H109" s="21"/>
      <c r="I109" s="21"/>
      <c r="J109" s="21"/>
      <c r="K109" s="21"/>
      <c r="L109" s="21"/>
    </row>
    <row r="110" spans="1:12" ht="29" x14ac:dyDescent="0.35">
      <c r="A110" s="21" t="s">
        <v>1125</v>
      </c>
      <c r="B110" s="21" t="s">
        <v>1136</v>
      </c>
      <c r="C110" s="21" t="s">
        <v>1137</v>
      </c>
      <c r="D110" s="21"/>
      <c r="E110" s="21" t="s">
        <v>1114</v>
      </c>
      <c r="F110" s="21"/>
      <c r="G110" s="21"/>
      <c r="H110" s="21"/>
      <c r="I110" s="21"/>
      <c r="J110" s="21"/>
      <c r="K110" s="21"/>
      <c r="L110" s="21"/>
    </row>
    <row r="111" spans="1:12" ht="29" x14ac:dyDescent="0.35">
      <c r="A111" s="21" t="s">
        <v>1138</v>
      </c>
      <c r="B111" s="21" t="s">
        <v>1139</v>
      </c>
      <c r="C111" s="21" t="s">
        <v>1140</v>
      </c>
      <c r="D111" s="21"/>
      <c r="E111" s="21" t="s">
        <v>996</v>
      </c>
      <c r="F111" s="21"/>
      <c r="G111" s="21"/>
      <c r="H111" s="21"/>
      <c r="I111" s="21"/>
      <c r="J111" s="21"/>
      <c r="K111" s="21"/>
      <c r="L111" s="21"/>
    </row>
    <row r="112" spans="1:12" ht="29" x14ac:dyDescent="0.35">
      <c r="A112" s="21" t="s">
        <v>1138</v>
      </c>
      <c r="B112" s="21" t="s">
        <v>1141</v>
      </c>
      <c r="C112" s="21" t="s">
        <v>1142</v>
      </c>
      <c r="D112" s="21"/>
      <c r="E112" s="21" t="s">
        <v>996</v>
      </c>
      <c r="F112" s="21"/>
      <c r="G112" s="21"/>
      <c r="H112" s="21"/>
      <c r="I112" s="21"/>
      <c r="J112" s="21"/>
      <c r="K112" s="21"/>
      <c r="L112" s="21"/>
    </row>
    <row r="113" spans="1:12" ht="29" x14ac:dyDescent="0.35">
      <c r="A113" s="21" t="s">
        <v>1138</v>
      </c>
      <c r="B113" s="21" t="s">
        <v>1143</v>
      </c>
      <c r="C113" s="21" t="s">
        <v>1144</v>
      </c>
      <c r="D113" s="21"/>
      <c r="E113" s="21" t="s">
        <v>996</v>
      </c>
      <c r="F113" s="21"/>
      <c r="G113" s="21"/>
      <c r="H113" s="21"/>
      <c r="I113" s="21"/>
      <c r="J113" s="21"/>
      <c r="K113" s="21"/>
      <c r="L113" s="21"/>
    </row>
    <row r="114" spans="1:12" ht="29" x14ac:dyDescent="0.35">
      <c r="A114" s="21" t="s">
        <v>1138</v>
      </c>
      <c r="B114" s="21" t="s">
        <v>1145</v>
      </c>
      <c r="C114" s="21" t="s">
        <v>1146</v>
      </c>
      <c r="D114" s="21"/>
      <c r="E114" s="21" t="s">
        <v>996</v>
      </c>
      <c r="F114" s="21"/>
      <c r="G114" s="21"/>
      <c r="H114" s="21"/>
      <c r="I114" s="21"/>
      <c r="J114" s="21"/>
      <c r="K114" s="21"/>
      <c r="L114" s="21"/>
    </row>
    <row r="115" spans="1:12" ht="29" x14ac:dyDescent="0.35">
      <c r="A115" s="21" t="s">
        <v>1138</v>
      </c>
      <c r="B115" s="21" t="s">
        <v>1147</v>
      </c>
      <c r="C115" s="21" t="s">
        <v>1148</v>
      </c>
      <c r="D115" s="21"/>
      <c r="E115" s="21" t="s">
        <v>996</v>
      </c>
      <c r="F115" s="21"/>
      <c r="G115" s="21"/>
      <c r="H115" s="21"/>
      <c r="I115" s="21"/>
      <c r="J115" s="21"/>
      <c r="K115" s="21"/>
      <c r="L115" s="21"/>
    </row>
    <row r="116" spans="1:12" ht="29" x14ac:dyDescent="0.35">
      <c r="A116" s="21" t="s">
        <v>1138</v>
      </c>
      <c r="B116" s="21" t="s">
        <v>1149</v>
      </c>
      <c r="C116" s="21" t="s">
        <v>1150</v>
      </c>
      <c r="D116" s="21"/>
      <c r="E116" s="21" t="s">
        <v>996</v>
      </c>
      <c r="F116" s="21"/>
      <c r="G116" s="21"/>
      <c r="H116" s="21"/>
      <c r="I116" s="21"/>
      <c r="J116" s="21"/>
      <c r="K116" s="21"/>
      <c r="L116" s="21"/>
    </row>
    <row r="117" spans="1:12" ht="29" x14ac:dyDescent="0.35">
      <c r="A117" s="21" t="s">
        <v>1151</v>
      </c>
      <c r="B117" s="21" t="s">
        <v>1152</v>
      </c>
      <c r="C117" s="21" t="s">
        <v>1153</v>
      </c>
      <c r="D117" s="21"/>
      <c r="E117" s="21" t="s">
        <v>996</v>
      </c>
      <c r="F117" s="21"/>
      <c r="G117" s="21"/>
      <c r="H117" s="21"/>
      <c r="I117" s="21"/>
      <c r="J117" s="21"/>
      <c r="K117" s="21"/>
      <c r="L117" s="21"/>
    </row>
    <row r="118" spans="1:12" ht="29" x14ac:dyDescent="0.35">
      <c r="A118" s="21" t="s">
        <v>1151</v>
      </c>
      <c r="B118" s="21" t="s">
        <v>1154</v>
      </c>
      <c r="C118" s="21" t="s">
        <v>1155</v>
      </c>
      <c r="D118" s="21"/>
      <c r="E118" s="21" t="s">
        <v>996</v>
      </c>
      <c r="F118" s="21"/>
      <c r="G118" s="21"/>
      <c r="H118" s="21"/>
      <c r="I118" s="21"/>
      <c r="J118" s="21"/>
      <c r="K118" s="21"/>
      <c r="L118" s="21"/>
    </row>
    <row r="119" spans="1:12" ht="29" x14ac:dyDescent="0.35">
      <c r="A119" s="21" t="s">
        <v>1151</v>
      </c>
      <c r="B119" s="21" t="s">
        <v>1156</v>
      </c>
      <c r="C119" s="21" t="s">
        <v>1157</v>
      </c>
      <c r="D119" s="21"/>
      <c r="E119" s="21" t="s">
        <v>996</v>
      </c>
      <c r="F119" s="21"/>
      <c r="G119" s="21"/>
      <c r="H119" s="21"/>
      <c r="I119" s="21"/>
      <c r="J119" s="21"/>
      <c r="K119" s="21"/>
      <c r="L119" s="21"/>
    </row>
    <row r="120" spans="1:12" ht="29" x14ac:dyDescent="0.35">
      <c r="A120" s="21" t="s">
        <v>1151</v>
      </c>
      <c r="B120" s="21" t="s">
        <v>1158</v>
      </c>
      <c r="C120" s="21" t="s">
        <v>1159</v>
      </c>
      <c r="D120" s="21"/>
      <c r="E120" s="21" t="s">
        <v>996</v>
      </c>
      <c r="F120" s="21"/>
      <c r="G120" s="21"/>
      <c r="H120" s="21"/>
      <c r="I120" s="21"/>
      <c r="J120" s="21"/>
      <c r="K120" s="21"/>
      <c r="L120" s="21"/>
    </row>
    <row r="121" spans="1:12" ht="29" x14ac:dyDescent="0.35">
      <c r="A121" s="21" t="s">
        <v>1151</v>
      </c>
      <c r="B121" s="21" t="s">
        <v>1160</v>
      </c>
      <c r="C121" s="21" t="s">
        <v>1161</v>
      </c>
      <c r="D121" s="21"/>
      <c r="E121" s="21" t="s">
        <v>996</v>
      </c>
      <c r="F121" s="21"/>
      <c r="G121" s="21"/>
      <c r="H121" s="21"/>
      <c r="I121" s="21"/>
      <c r="J121" s="21"/>
      <c r="K121" s="21"/>
      <c r="L121" s="21"/>
    </row>
    <row r="122" spans="1:12" ht="29" x14ac:dyDescent="0.35">
      <c r="A122" s="21" t="s">
        <v>1151</v>
      </c>
      <c r="B122" s="21" t="s">
        <v>1162</v>
      </c>
      <c r="C122" s="21" t="s">
        <v>1163</v>
      </c>
      <c r="D122" s="21"/>
      <c r="E122" s="21" t="s">
        <v>996</v>
      </c>
      <c r="F122" s="21"/>
      <c r="G122" s="21"/>
      <c r="H122" s="21"/>
      <c r="I122" s="21"/>
      <c r="J122" s="21"/>
      <c r="K122" s="21"/>
      <c r="L122" s="21"/>
    </row>
    <row r="123" spans="1:12" ht="29" x14ac:dyDescent="0.35">
      <c r="A123" s="21" t="s">
        <v>432</v>
      </c>
      <c r="B123" s="21" t="s">
        <v>1164</v>
      </c>
      <c r="C123" s="21" t="s">
        <v>1165</v>
      </c>
      <c r="D123" s="21"/>
      <c r="E123" s="21" t="s">
        <v>1114</v>
      </c>
      <c r="F123" s="21"/>
      <c r="G123" s="21"/>
      <c r="H123" s="21"/>
      <c r="I123" s="21"/>
      <c r="J123" s="21"/>
      <c r="K123" s="21"/>
      <c r="L123" s="21"/>
    </row>
    <row r="124" spans="1:12" ht="29" x14ac:dyDescent="0.35">
      <c r="A124" s="21" t="s">
        <v>432</v>
      </c>
      <c r="B124" s="21" t="s">
        <v>1166</v>
      </c>
      <c r="C124" s="21" t="s">
        <v>1167</v>
      </c>
      <c r="D124" s="21"/>
      <c r="E124" s="21" t="s">
        <v>1114</v>
      </c>
      <c r="F124" s="21"/>
      <c r="G124" s="21"/>
      <c r="H124" s="21"/>
      <c r="I124" s="21"/>
      <c r="J124" s="21"/>
      <c r="K124" s="21"/>
      <c r="L124" s="21"/>
    </row>
    <row r="125" spans="1:12" ht="29" x14ac:dyDescent="0.35">
      <c r="A125" s="21" t="s">
        <v>432</v>
      </c>
      <c r="B125" s="21" t="s">
        <v>1168</v>
      </c>
      <c r="C125" s="21" t="s">
        <v>1169</v>
      </c>
      <c r="D125" s="21"/>
      <c r="E125" s="21" t="s">
        <v>1114</v>
      </c>
      <c r="F125" s="21"/>
      <c r="G125" s="21"/>
      <c r="H125" s="21"/>
      <c r="I125" s="21"/>
      <c r="J125" s="21"/>
      <c r="K125" s="21"/>
      <c r="L125" s="21"/>
    </row>
    <row r="126" spans="1:12" ht="29" x14ac:dyDescent="0.35">
      <c r="A126" s="21" t="s">
        <v>432</v>
      </c>
      <c r="B126" s="21" t="s">
        <v>1170</v>
      </c>
      <c r="C126" s="21" t="s">
        <v>1171</v>
      </c>
      <c r="D126" s="21"/>
      <c r="E126" s="21" t="s">
        <v>1114</v>
      </c>
      <c r="F126" s="21"/>
      <c r="G126" s="21"/>
      <c r="H126" s="21"/>
      <c r="I126" s="21"/>
      <c r="J126" s="21"/>
      <c r="K126" s="21"/>
      <c r="L126" s="21"/>
    </row>
    <row r="127" spans="1:12" ht="29" x14ac:dyDescent="0.35">
      <c r="A127" s="21" t="s">
        <v>432</v>
      </c>
      <c r="B127" s="21" t="s">
        <v>1172</v>
      </c>
      <c r="C127" s="21" t="s">
        <v>1173</v>
      </c>
      <c r="D127" s="21"/>
      <c r="E127" s="21" t="s">
        <v>1114</v>
      </c>
      <c r="F127" s="21"/>
      <c r="G127" s="21"/>
      <c r="H127" s="21"/>
      <c r="I127" s="21"/>
      <c r="J127" s="21"/>
      <c r="K127" s="21"/>
      <c r="L127" s="21"/>
    </row>
    <row r="128" spans="1:12" ht="29" x14ac:dyDescent="0.35">
      <c r="A128" s="21" t="s">
        <v>432</v>
      </c>
      <c r="B128" s="21" t="s">
        <v>1174</v>
      </c>
      <c r="C128" s="21" t="s">
        <v>1175</v>
      </c>
      <c r="D128" s="21"/>
      <c r="E128" s="21" t="s">
        <v>1114</v>
      </c>
      <c r="F128" s="21"/>
      <c r="G128" s="21"/>
      <c r="H128" s="21"/>
      <c r="I128" s="21"/>
      <c r="J128" s="21"/>
      <c r="K128" s="21"/>
      <c r="L128" s="21"/>
    </row>
    <row r="129" spans="1:12" ht="29" x14ac:dyDescent="0.35">
      <c r="A129" s="21" t="s">
        <v>1176</v>
      </c>
      <c r="B129" s="21" t="s">
        <v>1177</v>
      </c>
      <c r="C129" s="21" t="s">
        <v>1178</v>
      </c>
      <c r="D129" s="21"/>
      <c r="E129" s="21" t="s">
        <v>996</v>
      </c>
      <c r="F129" s="21"/>
      <c r="G129" s="21"/>
      <c r="H129" s="21"/>
      <c r="I129" s="21"/>
      <c r="J129" s="21"/>
      <c r="K129" s="21"/>
      <c r="L129" s="21"/>
    </row>
    <row r="130" spans="1:12" ht="29" x14ac:dyDescent="0.35">
      <c r="A130" s="21" t="s">
        <v>1176</v>
      </c>
      <c r="B130" s="21" t="s">
        <v>1179</v>
      </c>
      <c r="C130" s="21" t="s">
        <v>1180</v>
      </c>
      <c r="D130" s="21"/>
      <c r="E130" s="21" t="s">
        <v>996</v>
      </c>
      <c r="F130" s="21"/>
      <c r="G130" s="21"/>
      <c r="H130" s="21"/>
      <c r="I130" s="21"/>
      <c r="J130" s="21"/>
      <c r="K130" s="21"/>
      <c r="L130" s="21"/>
    </row>
    <row r="131" spans="1:12" ht="29" x14ac:dyDescent="0.35">
      <c r="A131" s="21" t="s">
        <v>1176</v>
      </c>
      <c r="B131" s="21" t="s">
        <v>1181</v>
      </c>
      <c r="C131" s="21" t="s">
        <v>1182</v>
      </c>
      <c r="D131" s="21"/>
      <c r="E131" s="21" t="s">
        <v>996</v>
      </c>
      <c r="F131" s="21"/>
      <c r="G131" s="21"/>
      <c r="H131" s="21"/>
      <c r="I131" s="21"/>
      <c r="J131" s="21"/>
      <c r="K131" s="21"/>
      <c r="L131" s="21"/>
    </row>
    <row r="132" spans="1:12" ht="29" x14ac:dyDescent="0.35">
      <c r="A132" s="21" t="s">
        <v>1176</v>
      </c>
      <c r="B132" s="21" t="s">
        <v>1183</v>
      </c>
      <c r="C132" s="21" t="s">
        <v>1184</v>
      </c>
      <c r="D132" s="21"/>
      <c r="E132" s="21" t="s">
        <v>996</v>
      </c>
      <c r="F132" s="21"/>
      <c r="G132" s="21"/>
      <c r="H132" s="21"/>
      <c r="I132" s="21"/>
      <c r="J132" s="21"/>
      <c r="K132" s="21"/>
      <c r="L132" s="21"/>
    </row>
    <row r="133" spans="1:12" ht="29" x14ac:dyDescent="0.35">
      <c r="A133" s="21" t="s">
        <v>1176</v>
      </c>
      <c r="B133" s="21" t="s">
        <v>1185</v>
      </c>
      <c r="C133" s="21" t="s">
        <v>1186</v>
      </c>
      <c r="D133" s="21"/>
      <c r="E133" s="21" t="s">
        <v>996</v>
      </c>
      <c r="F133" s="21"/>
      <c r="G133" s="21"/>
      <c r="H133" s="21"/>
      <c r="I133" s="21"/>
      <c r="J133" s="21"/>
      <c r="K133" s="21"/>
      <c r="L133" s="21"/>
    </row>
    <row r="134" spans="1:12" ht="29" x14ac:dyDescent="0.35">
      <c r="A134" s="21" t="s">
        <v>1176</v>
      </c>
      <c r="B134" s="21" t="s">
        <v>1187</v>
      </c>
      <c r="C134" s="21" t="s">
        <v>1188</v>
      </c>
      <c r="D134" s="21"/>
      <c r="E134" s="21" t="s">
        <v>996</v>
      </c>
      <c r="F134" s="21"/>
      <c r="G134" s="21"/>
      <c r="H134" s="21"/>
      <c r="I134" s="21"/>
      <c r="J134" s="21"/>
      <c r="K134" s="21"/>
      <c r="L134" s="21"/>
    </row>
    <row r="135" spans="1:12" ht="29" x14ac:dyDescent="0.35">
      <c r="A135" s="21" t="s">
        <v>1189</v>
      </c>
      <c r="B135" s="21" t="s">
        <v>1190</v>
      </c>
      <c r="C135" s="21" t="s">
        <v>1191</v>
      </c>
      <c r="D135" s="21"/>
      <c r="E135" s="21" t="s">
        <v>996</v>
      </c>
      <c r="F135" s="21"/>
      <c r="G135" s="21"/>
      <c r="H135" s="21"/>
      <c r="I135" s="21"/>
      <c r="J135" s="21"/>
      <c r="K135" s="21"/>
      <c r="L135" s="21"/>
    </row>
    <row r="136" spans="1:12" ht="29" x14ac:dyDescent="0.35">
      <c r="A136" s="21" t="s">
        <v>1189</v>
      </c>
      <c r="B136" s="21" t="s">
        <v>1192</v>
      </c>
      <c r="C136" s="21" t="s">
        <v>1193</v>
      </c>
      <c r="D136" s="21"/>
      <c r="E136" s="21" t="s">
        <v>996</v>
      </c>
      <c r="F136" s="21"/>
      <c r="G136" s="21"/>
      <c r="H136" s="21"/>
      <c r="I136" s="21"/>
      <c r="J136" s="21"/>
      <c r="K136" s="21"/>
      <c r="L136" s="21"/>
    </row>
    <row r="137" spans="1:12" ht="29" x14ac:dyDescent="0.35">
      <c r="A137" s="21" t="s">
        <v>1189</v>
      </c>
      <c r="B137" s="21" t="s">
        <v>1194</v>
      </c>
      <c r="C137" s="21" t="s">
        <v>1195</v>
      </c>
      <c r="D137" s="21"/>
      <c r="E137" s="21" t="s">
        <v>996</v>
      </c>
      <c r="F137" s="21"/>
      <c r="G137" s="21"/>
      <c r="H137" s="21"/>
      <c r="I137" s="21"/>
      <c r="J137" s="21"/>
      <c r="K137" s="21"/>
      <c r="L137" s="21"/>
    </row>
    <row r="138" spans="1:12" ht="29" x14ac:dyDescent="0.35">
      <c r="A138" s="21" t="s">
        <v>1189</v>
      </c>
      <c r="B138" s="21" t="s">
        <v>1196</v>
      </c>
      <c r="C138" s="21" t="s">
        <v>1197</v>
      </c>
      <c r="D138" s="21"/>
      <c r="E138" s="21" t="s">
        <v>996</v>
      </c>
      <c r="F138" s="21"/>
      <c r="G138" s="21"/>
      <c r="H138" s="21"/>
      <c r="I138" s="21"/>
      <c r="J138" s="21"/>
      <c r="K138" s="21"/>
      <c r="L138" s="21"/>
    </row>
    <row r="139" spans="1:12" ht="29" x14ac:dyDescent="0.35">
      <c r="A139" s="21" t="s">
        <v>1189</v>
      </c>
      <c r="B139" s="21" t="s">
        <v>1198</v>
      </c>
      <c r="C139" s="21" t="s">
        <v>1199</v>
      </c>
      <c r="D139" s="21"/>
      <c r="E139" s="21" t="s">
        <v>996</v>
      </c>
      <c r="F139" s="21"/>
      <c r="G139" s="21"/>
      <c r="H139" s="21"/>
      <c r="I139" s="21"/>
      <c r="J139" s="21"/>
      <c r="K139" s="21"/>
      <c r="L139" s="21"/>
    </row>
    <row r="140" spans="1:12" ht="29" x14ac:dyDescent="0.35">
      <c r="A140" s="21" t="s">
        <v>1189</v>
      </c>
      <c r="B140" s="21" t="s">
        <v>1200</v>
      </c>
      <c r="C140" s="21" t="s">
        <v>1201</v>
      </c>
      <c r="D140" s="21"/>
      <c r="E140" s="21" t="s">
        <v>996</v>
      </c>
      <c r="F140" s="21"/>
      <c r="G140" s="21"/>
      <c r="H140" s="21"/>
      <c r="I140" s="21"/>
      <c r="J140" s="21"/>
      <c r="K140" s="21"/>
      <c r="L140" s="21"/>
    </row>
    <row r="141" spans="1:12" ht="29" x14ac:dyDescent="0.35">
      <c r="A141" s="21" t="s">
        <v>1202</v>
      </c>
      <c r="B141" s="21" t="s">
        <v>1203</v>
      </c>
      <c r="C141" s="21" t="s">
        <v>1204</v>
      </c>
      <c r="D141" s="21"/>
      <c r="E141" s="21" t="s">
        <v>996</v>
      </c>
      <c r="F141" s="21"/>
      <c r="G141" s="21"/>
      <c r="H141" s="21"/>
      <c r="I141" s="21"/>
      <c r="J141" s="21"/>
      <c r="K141" s="21"/>
      <c r="L141" s="21"/>
    </row>
    <row r="142" spans="1:12" ht="29" x14ac:dyDescent="0.35">
      <c r="A142" s="21" t="s">
        <v>1202</v>
      </c>
      <c r="B142" s="21" t="s">
        <v>1205</v>
      </c>
      <c r="C142" s="21" t="s">
        <v>1206</v>
      </c>
      <c r="D142" s="21"/>
      <c r="E142" s="21" t="s">
        <v>996</v>
      </c>
      <c r="F142" s="21"/>
      <c r="G142" s="21"/>
      <c r="H142" s="21"/>
      <c r="I142" s="21"/>
      <c r="J142" s="21"/>
      <c r="K142" s="21"/>
      <c r="L142" s="21"/>
    </row>
    <row r="143" spans="1:12" ht="29" x14ac:dyDescent="0.35">
      <c r="A143" s="21" t="s">
        <v>1202</v>
      </c>
      <c r="B143" s="21" t="s">
        <v>1207</v>
      </c>
      <c r="C143" s="21" t="s">
        <v>1208</v>
      </c>
      <c r="D143" s="21"/>
      <c r="E143" s="21" t="s">
        <v>996</v>
      </c>
      <c r="F143" s="21"/>
      <c r="G143" s="21"/>
      <c r="H143" s="21"/>
      <c r="I143" s="21"/>
      <c r="J143" s="21"/>
      <c r="K143" s="21"/>
      <c r="L143" s="21"/>
    </row>
    <row r="144" spans="1:12" ht="29" x14ac:dyDescent="0.35">
      <c r="A144" s="21" t="s">
        <v>1202</v>
      </c>
      <c r="B144" s="21" t="s">
        <v>1209</v>
      </c>
      <c r="C144" s="21" t="s">
        <v>1210</v>
      </c>
      <c r="D144" s="21"/>
      <c r="E144" s="21" t="s">
        <v>996</v>
      </c>
      <c r="F144" s="21"/>
      <c r="G144" s="21"/>
      <c r="H144" s="21"/>
      <c r="I144" s="21"/>
      <c r="J144" s="21"/>
      <c r="K144" s="21"/>
      <c r="L144" s="21"/>
    </row>
    <row r="145" spans="1:12" ht="29" x14ac:dyDescent="0.35">
      <c r="A145" s="21" t="s">
        <v>1202</v>
      </c>
      <c r="B145" s="21" t="s">
        <v>1211</v>
      </c>
      <c r="C145" s="21" t="s">
        <v>1212</v>
      </c>
      <c r="D145" s="21"/>
      <c r="E145" s="21" t="s">
        <v>996</v>
      </c>
      <c r="F145" s="21"/>
      <c r="G145" s="21"/>
      <c r="H145" s="21"/>
      <c r="I145" s="21"/>
      <c r="J145" s="21"/>
      <c r="K145" s="21"/>
      <c r="L145" s="21"/>
    </row>
    <row r="146" spans="1:12" ht="29" x14ac:dyDescent="0.35">
      <c r="A146" s="21" t="s">
        <v>1202</v>
      </c>
      <c r="B146" s="21" t="s">
        <v>1213</v>
      </c>
      <c r="C146" s="21" t="s">
        <v>1214</v>
      </c>
      <c r="D146" s="21"/>
      <c r="E146" s="21" t="s">
        <v>996</v>
      </c>
      <c r="F146" s="21"/>
      <c r="G146" s="21"/>
      <c r="H146" s="21"/>
      <c r="I146" s="21"/>
      <c r="J146" s="21"/>
      <c r="K146" s="21"/>
      <c r="L146" s="21"/>
    </row>
    <row r="147" spans="1:12" ht="29" x14ac:dyDescent="0.35">
      <c r="A147" s="21" t="s">
        <v>1215</v>
      </c>
      <c r="B147" s="21" t="s">
        <v>1216</v>
      </c>
      <c r="C147" s="21" t="s">
        <v>1217</v>
      </c>
      <c r="D147" s="21"/>
      <c r="E147" s="21" t="s">
        <v>996</v>
      </c>
      <c r="F147" s="21"/>
      <c r="G147" s="21"/>
      <c r="H147" s="21"/>
      <c r="I147" s="21"/>
      <c r="J147" s="21"/>
      <c r="K147" s="21"/>
      <c r="L147" s="21"/>
    </row>
    <row r="148" spans="1:12" ht="29" x14ac:dyDescent="0.35">
      <c r="A148" s="21" t="s">
        <v>1215</v>
      </c>
      <c r="B148" s="21" t="s">
        <v>1218</v>
      </c>
      <c r="C148" s="21" t="s">
        <v>1219</v>
      </c>
      <c r="D148" s="21"/>
      <c r="E148" s="21" t="s">
        <v>996</v>
      </c>
      <c r="F148" s="21"/>
      <c r="G148" s="21"/>
      <c r="H148" s="21"/>
      <c r="I148" s="21"/>
      <c r="J148" s="21"/>
      <c r="K148" s="21"/>
      <c r="L148" s="21"/>
    </row>
    <row r="149" spans="1:12" ht="29" x14ac:dyDescent="0.35">
      <c r="A149" s="21" t="s">
        <v>1215</v>
      </c>
      <c r="B149" s="21" t="s">
        <v>1220</v>
      </c>
      <c r="C149" s="21" t="s">
        <v>1221</v>
      </c>
      <c r="D149" s="21"/>
      <c r="E149" s="21" t="s">
        <v>996</v>
      </c>
      <c r="F149" s="21"/>
      <c r="G149" s="21"/>
      <c r="H149" s="21"/>
      <c r="I149" s="21"/>
      <c r="J149" s="21"/>
      <c r="K149" s="21"/>
      <c r="L149" s="21"/>
    </row>
    <row r="150" spans="1:12" ht="29" x14ac:dyDescent="0.35">
      <c r="A150" s="21" t="s">
        <v>1215</v>
      </c>
      <c r="B150" s="21" t="s">
        <v>1222</v>
      </c>
      <c r="C150" s="21" t="s">
        <v>1223</v>
      </c>
      <c r="D150" s="21"/>
      <c r="E150" s="21" t="s">
        <v>996</v>
      </c>
      <c r="F150" s="21"/>
      <c r="G150" s="21"/>
      <c r="H150" s="21"/>
      <c r="I150" s="21"/>
      <c r="J150" s="21"/>
      <c r="K150" s="21"/>
      <c r="L150" s="21"/>
    </row>
    <row r="151" spans="1:12" ht="24" customHeight="1" x14ac:dyDescent="0.35">
      <c r="A151" s="133" t="s">
        <v>1215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</row>
    <row r="152" spans="1:12" x14ac:dyDescent="0.35">
      <c r="A152" s="21" t="s">
        <v>1215</v>
      </c>
      <c r="B152" s="21" t="s">
        <v>1224</v>
      </c>
      <c r="C152" s="21" t="s">
        <v>1225</v>
      </c>
      <c r="D152" s="21"/>
      <c r="E152" s="21" t="s">
        <v>996</v>
      </c>
      <c r="F152" s="21"/>
      <c r="G152" s="21"/>
      <c r="H152" s="21"/>
      <c r="I152" s="21"/>
      <c r="J152" s="21"/>
      <c r="K152" s="21"/>
      <c r="L152" s="21"/>
    </row>
    <row r="158" spans="1:12" x14ac:dyDescent="0.35">
      <c r="A158" s="98" t="s">
        <v>1226</v>
      </c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</row>
    <row r="160" spans="1:12" ht="29" x14ac:dyDescent="0.35">
      <c r="A160" s="100" t="s">
        <v>1227</v>
      </c>
      <c r="B160" s="100" t="s">
        <v>1228</v>
      </c>
      <c r="C160" s="100" t="s">
        <v>1229</v>
      </c>
      <c r="D160" s="100" t="s">
        <v>389</v>
      </c>
      <c r="E160" s="100" t="s">
        <v>870</v>
      </c>
      <c r="F160" s="100" t="s">
        <v>390</v>
      </c>
      <c r="G160" s="100" t="s">
        <v>990</v>
      </c>
      <c r="H160" s="100" t="s">
        <v>1230</v>
      </c>
      <c r="I160" s="100"/>
      <c r="J160" s="100"/>
      <c r="K160" s="100"/>
      <c r="L160" s="100"/>
    </row>
    <row r="161" spans="1:8" x14ac:dyDescent="0.35">
      <c r="A161" s="21" t="s">
        <v>1231</v>
      </c>
      <c r="B161" s="21"/>
      <c r="C161" s="21"/>
      <c r="D161" s="21"/>
      <c r="E161" s="21"/>
      <c r="F161" s="21"/>
      <c r="G161" s="21"/>
      <c r="H161" s="21"/>
    </row>
    <row r="162" spans="1:8" x14ac:dyDescent="0.35">
      <c r="A162" s="21" t="s">
        <v>1232</v>
      </c>
      <c r="B162" s="21"/>
      <c r="C162" s="21"/>
      <c r="D162" s="21"/>
      <c r="E162" s="21"/>
      <c r="F162" s="21"/>
      <c r="G162" s="21"/>
      <c r="H162" s="21"/>
    </row>
    <row r="163" spans="1:8" x14ac:dyDescent="0.35">
      <c r="A163" s="21" t="s">
        <v>509</v>
      </c>
      <c r="B163" s="21"/>
      <c r="C163" s="21"/>
      <c r="D163" s="21"/>
      <c r="E163" s="21"/>
      <c r="F163" s="21"/>
      <c r="G163" s="21"/>
      <c r="H163" s="21"/>
    </row>
    <row r="164" spans="1:8" x14ac:dyDescent="0.35">
      <c r="A164" s="21" t="s">
        <v>1233</v>
      </c>
      <c r="B164" s="21"/>
      <c r="C164" s="21"/>
      <c r="D164" s="21"/>
      <c r="E164" s="21"/>
      <c r="F164" s="21"/>
      <c r="G164" s="21"/>
      <c r="H164" s="21"/>
    </row>
    <row r="165" spans="1:8" x14ac:dyDescent="0.35">
      <c r="A165" s="21" t="s">
        <v>1234</v>
      </c>
      <c r="B165" s="21"/>
      <c r="C165" s="21"/>
      <c r="D165" s="21"/>
      <c r="E165" s="21"/>
      <c r="F165" s="21"/>
      <c r="G165" s="21"/>
      <c r="H165" s="21"/>
    </row>
    <row r="166" spans="1:8" x14ac:dyDescent="0.35">
      <c r="A166" s="21" t="s">
        <v>1235</v>
      </c>
      <c r="B166" s="21"/>
      <c r="C166" s="21"/>
      <c r="D166" s="21"/>
      <c r="E166" s="21"/>
      <c r="F166" s="21"/>
      <c r="G166" s="21"/>
      <c r="H166" s="21"/>
    </row>
    <row r="167" spans="1:8" x14ac:dyDescent="0.35">
      <c r="A167" s="21" t="s">
        <v>1236</v>
      </c>
      <c r="B167" s="21"/>
      <c r="C167" s="21"/>
      <c r="D167" s="21"/>
      <c r="E167" s="21"/>
      <c r="F167" s="21"/>
      <c r="G167" s="21"/>
      <c r="H167" s="21"/>
    </row>
    <row r="168" spans="1:8" x14ac:dyDescent="0.35">
      <c r="A168" s="21" t="s">
        <v>1237</v>
      </c>
      <c r="B168" s="21"/>
      <c r="C168" s="21"/>
      <c r="D168" s="21"/>
      <c r="E168" s="21"/>
      <c r="F168" s="21"/>
      <c r="G168" s="21"/>
      <c r="H168" s="21"/>
    </row>
    <row r="169" spans="1:8" x14ac:dyDescent="0.35">
      <c r="A169" s="21" t="s">
        <v>1238</v>
      </c>
      <c r="B169" s="21"/>
      <c r="C169" s="21"/>
      <c r="D169" s="21"/>
      <c r="E169" s="21"/>
      <c r="F169" s="21"/>
      <c r="G169" s="21"/>
      <c r="H169" s="21"/>
    </row>
    <row r="170" spans="1:8" x14ac:dyDescent="0.35">
      <c r="A170" s="21" t="s">
        <v>1239</v>
      </c>
      <c r="B170" s="21"/>
      <c r="C170" s="21"/>
      <c r="D170" s="21"/>
      <c r="E170" s="21"/>
      <c r="F170" s="21"/>
      <c r="G170" s="21"/>
      <c r="H170" s="21"/>
    </row>
    <row r="171" spans="1:8" x14ac:dyDescent="0.35">
      <c r="A171" s="21" t="s">
        <v>1240</v>
      </c>
      <c r="B171" s="21"/>
      <c r="C171" s="21"/>
      <c r="D171" s="21"/>
      <c r="E171" s="21"/>
      <c r="F171" s="21"/>
      <c r="G171" s="21"/>
      <c r="H171" s="21"/>
    </row>
    <row r="172" spans="1:8" x14ac:dyDescent="0.35">
      <c r="A172" s="21" t="s">
        <v>1241</v>
      </c>
      <c r="B172" s="21"/>
      <c r="C172" s="21"/>
      <c r="D172" s="21"/>
      <c r="E172" s="21"/>
      <c r="F172" s="21"/>
      <c r="G172" s="21"/>
      <c r="H172" s="21"/>
    </row>
    <row r="173" spans="1:8" x14ac:dyDescent="0.35">
      <c r="A173" s="21" t="s">
        <v>1242</v>
      </c>
      <c r="B173" s="21"/>
      <c r="C173" s="21"/>
      <c r="D173" s="21"/>
      <c r="E173" s="21"/>
      <c r="F173" s="21"/>
      <c r="G173" s="21"/>
      <c r="H173" s="21"/>
    </row>
    <row r="174" spans="1:8" x14ac:dyDescent="0.35">
      <c r="A174" s="21" t="s">
        <v>1243</v>
      </c>
      <c r="B174" s="21"/>
      <c r="C174" s="21"/>
      <c r="D174" s="21"/>
      <c r="E174" s="21"/>
      <c r="F174" s="21"/>
      <c r="G174" s="21"/>
      <c r="H174" s="21"/>
    </row>
    <row r="175" spans="1:8" x14ac:dyDescent="0.35">
      <c r="A175" s="21" t="s">
        <v>1244</v>
      </c>
      <c r="B175" s="21"/>
      <c r="C175" s="21"/>
      <c r="D175" s="21"/>
      <c r="E175" s="21"/>
      <c r="F175" s="21"/>
      <c r="G175" s="21"/>
      <c r="H175" s="21"/>
    </row>
    <row r="176" spans="1:8" x14ac:dyDescent="0.35">
      <c r="A176" s="21" t="s">
        <v>1245</v>
      </c>
      <c r="B176" s="21"/>
      <c r="C176" s="21"/>
      <c r="D176" s="21"/>
      <c r="E176" s="21"/>
      <c r="F176" s="21"/>
      <c r="G176" s="21"/>
      <c r="H176" s="21"/>
    </row>
    <row r="177" spans="1:12" x14ac:dyDescent="0.35">
      <c r="A177" s="21" t="s">
        <v>1246</v>
      </c>
      <c r="B177" s="21"/>
      <c r="C177" s="21"/>
      <c r="D177" s="21"/>
      <c r="E177" s="21"/>
      <c r="F177" s="21"/>
      <c r="G177" s="21"/>
      <c r="H177" s="21"/>
    </row>
    <row r="178" spans="1:12" x14ac:dyDescent="0.35">
      <c r="A178" s="21" t="s">
        <v>1247</v>
      </c>
      <c r="B178" s="21"/>
      <c r="C178" s="21"/>
      <c r="D178" s="21"/>
      <c r="E178" s="21"/>
      <c r="F178" s="21"/>
      <c r="G178" s="21"/>
      <c r="H178" s="21"/>
    </row>
    <row r="179" spans="1:12" ht="24" customHeight="1" x14ac:dyDescent="0.35">
      <c r="A179" s="133" t="s">
        <v>1248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</row>
    <row r="180" spans="1:12" x14ac:dyDescent="0.35">
      <c r="A180" s="21" t="s">
        <v>1249</v>
      </c>
      <c r="B180" s="21"/>
      <c r="C180" s="21"/>
      <c r="D180" s="21"/>
      <c r="E180" s="21"/>
      <c r="F180" s="21"/>
      <c r="G180" s="21"/>
      <c r="H180" s="21"/>
    </row>
    <row r="186" spans="1:12" x14ac:dyDescent="0.35">
      <c r="A186" s="98" t="s">
        <v>1250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</row>
    <row r="188" spans="1:12" ht="29" x14ac:dyDescent="0.35">
      <c r="A188" s="100" t="s">
        <v>1251</v>
      </c>
      <c r="B188" s="100" t="s">
        <v>1252</v>
      </c>
      <c r="C188" s="100" t="s">
        <v>1253</v>
      </c>
      <c r="D188" s="100" t="s">
        <v>1254</v>
      </c>
      <c r="E188" s="100" t="s">
        <v>870</v>
      </c>
      <c r="F188" s="100" t="s">
        <v>1255</v>
      </c>
      <c r="G188" s="100" t="s">
        <v>338</v>
      </c>
    </row>
    <row r="189" spans="1:12" x14ac:dyDescent="0.35">
      <c r="A189" s="21" t="s">
        <v>428</v>
      </c>
      <c r="B189" s="21"/>
      <c r="C189" s="21"/>
      <c r="D189" s="21"/>
      <c r="E189" s="21"/>
      <c r="F189" s="21"/>
      <c r="G189" s="21"/>
    </row>
    <row r="190" spans="1:12" x14ac:dyDescent="0.35">
      <c r="A190" s="21" t="s">
        <v>582</v>
      </c>
      <c r="B190" s="21"/>
      <c r="C190" s="21"/>
      <c r="D190" s="21"/>
      <c r="E190" s="21"/>
      <c r="F190" s="21"/>
      <c r="G190" s="21"/>
    </row>
    <row r="191" spans="1:12" x14ac:dyDescent="0.35">
      <c r="A191" s="21" t="s">
        <v>435</v>
      </c>
      <c r="B191" s="21"/>
      <c r="C191" s="21"/>
      <c r="D191" s="21"/>
      <c r="E191" s="21"/>
      <c r="F191" s="21"/>
      <c r="G191" s="21"/>
    </row>
    <row r="192" spans="1:12" x14ac:dyDescent="0.35">
      <c r="A192" s="21" t="s">
        <v>93</v>
      </c>
      <c r="B192" s="21"/>
      <c r="C192" s="21"/>
      <c r="D192" s="21"/>
      <c r="E192" s="21"/>
      <c r="F192" s="21"/>
      <c r="G192" s="21"/>
    </row>
    <row r="193" spans="1:12" x14ac:dyDescent="0.35">
      <c r="A193" s="21" t="s">
        <v>431</v>
      </c>
      <c r="B193" s="21"/>
      <c r="C193" s="21"/>
      <c r="D193" s="21"/>
      <c r="E193" s="21"/>
      <c r="F193" s="21"/>
      <c r="G193" s="21"/>
    </row>
    <row r="194" spans="1:12" x14ac:dyDescent="0.35">
      <c r="A194" s="21" t="s">
        <v>97</v>
      </c>
      <c r="B194" s="21"/>
      <c r="C194" s="21"/>
      <c r="D194" s="21"/>
      <c r="E194" s="21"/>
      <c r="F194" s="21"/>
      <c r="G194" s="21"/>
    </row>
    <row r="195" spans="1:12" x14ac:dyDescent="0.35">
      <c r="A195" s="21" t="s">
        <v>100</v>
      </c>
      <c r="B195" s="21"/>
      <c r="C195" s="21"/>
      <c r="D195" s="21"/>
      <c r="E195" s="21"/>
      <c r="F195" s="21"/>
      <c r="G195" s="21"/>
    </row>
    <row r="196" spans="1:12" x14ac:dyDescent="0.35">
      <c r="A196" s="21" t="s">
        <v>1176</v>
      </c>
      <c r="B196" s="21"/>
      <c r="C196" s="21"/>
      <c r="D196" s="21"/>
      <c r="E196" s="21"/>
      <c r="F196" s="21"/>
      <c r="G196" s="21"/>
    </row>
    <row r="197" spans="1:12" x14ac:dyDescent="0.35">
      <c r="A197" s="21" t="s">
        <v>160</v>
      </c>
      <c r="B197" s="21"/>
      <c r="C197" s="21"/>
      <c r="D197" s="21"/>
      <c r="E197" s="21"/>
      <c r="F197" s="21"/>
      <c r="G197" s="21"/>
    </row>
    <row r="198" spans="1:12" x14ac:dyDescent="0.35">
      <c r="A198" s="21" t="s">
        <v>1256</v>
      </c>
      <c r="B198" s="21"/>
      <c r="C198" s="21"/>
      <c r="D198" s="21"/>
      <c r="E198" s="21"/>
      <c r="F198" s="21"/>
      <c r="G198" s="21"/>
    </row>
    <row r="199" spans="1:12" x14ac:dyDescent="0.35">
      <c r="A199" s="21" t="s">
        <v>1257</v>
      </c>
      <c r="B199" s="21"/>
      <c r="C199" s="21"/>
      <c r="D199" s="21"/>
      <c r="E199" s="21"/>
      <c r="F199" s="21"/>
      <c r="G199" s="21"/>
    </row>
    <row r="200" spans="1:12" x14ac:dyDescent="0.35">
      <c r="A200" s="21" t="s">
        <v>1258</v>
      </c>
      <c r="B200" s="21"/>
      <c r="C200" s="21"/>
      <c r="D200" s="21"/>
      <c r="E200" s="21"/>
      <c r="F200" s="21"/>
      <c r="G200" s="21"/>
    </row>
    <row r="201" spans="1:12" x14ac:dyDescent="0.35">
      <c r="A201" s="21" t="s">
        <v>116</v>
      </c>
      <c r="B201" s="21"/>
      <c r="C201" s="21"/>
      <c r="D201" s="21"/>
      <c r="E201" s="21"/>
      <c r="F201" s="21"/>
      <c r="G201" s="21"/>
    </row>
    <row r="202" spans="1:12" x14ac:dyDescent="0.35">
      <c r="A202" s="21" t="s">
        <v>129</v>
      </c>
      <c r="B202" s="21"/>
      <c r="C202" s="21"/>
      <c r="D202" s="21"/>
      <c r="E202" s="21"/>
      <c r="F202" s="21"/>
      <c r="G202" s="21"/>
    </row>
    <row r="203" spans="1:12" x14ac:dyDescent="0.35">
      <c r="A203" s="21" t="s">
        <v>437</v>
      </c>
      <c r="B203" s="21"/>
      <c r="C203" s="21"/>
      <c r="D203" s="21"/>
      <c r="E203" s="21"/>
      <c r="F203" s="21"/>
      <c r="G203" s="21"/>
    </row>
    <row r="204" spans="1:12" x14ac:dyDescent="0.35">
      <c r="A204" s="21" t="s">
        <v>125</v>
      </c>
      <c r="B204" s="21"/>
      <c r="C204" s="21"/>
      <c r="D204" s="21"/>
      <c r="E204" s="21"/>
      <c r="F204" s="21"/>
      <c r="G204" s="21"/>
    </row>
    <row r="205" spans="1:12" x14ac:dyDescent="0.35">
      <c r="A205" s="21" t="s">
        <v>442</v>
      </c>
      <c r="B205" s="21"/>
      <c r="C205" s="21"/>
      <c r="D205" s="21"/>
      <c r="E205" s="21"/>
      <c r="F205" s="21"/>
      <c r="G205" s="21"/>
    </row>
    <row r="206" spans="1:12" x14ac:dyDescent="0.35">
      <c r="A206" s="21" t="s">
        <v>1259</v>
      </c>
      <c r="B206" s="21"/>
      <c r="C206" s="21"/>
      <c r="D206" s="21"/>
      <c r="E206" s="21"/>
      <c r="F206" s="21"/>
      <c r="G206" s="21"/>
    </row>
    <row r="207" spans="1:12" ht="24" customHeight="1" x14ac:dyDescent="0.35">
      <c r="A207" s="133" t="s">
        <v>1260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</row>
    <row r="208" spans="1:12" x14ac:dyDescent="0.35">
      <c r="A208" s="21" t="s">
        <v>439</v>
      </c>
      <c r="B208" s="21"/>
      <c r="C208" s="21"/>
      <c r="D208" s="21"/>
      <c r="E208" s="21"/>
      <c r="F208" s="21"/>
      <c r="G208" s="21"/>
    </row>
    <row r="214" spans="1:12" x14ac:dyDescent="0.35">
      <c r="A214" s="98" t="s">
        <v>1261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</row>
    <row r="216" spans="1:12" x14ac:dyDescent="0.35">
      <c r="A216" s="100" t="s">
        <v>1262</v>
      </c>
      <c r="B216" s="100" t="s">
        <v>1263</v>
      </c>
      <c r="C216" s="100" t="s">
        <v>292</v>
      </c>
      <c r="D216" s="100" t="s">
        <v>371</v>
      </c>
      <c r="E216" s="100" t="s">
        <v>360</v>
      </c>
      <c r="F216" s="100" t="s">
        <v>1264</v>
      </c>
      <c r="G216" s="100" t="s">
        <v>990</v>
      </c>
      <c r="H216" s="100" t="s">
        <v>338</v>
      </c>
    </row>
    <row r="217" spans="1:12" x14ac:dyDescent="0.35">
      <c r="A217" t="s">
        <v>1265</v>
      </c>
    </row>
    <row r="218" spans="1:12" x14ac:dyDescent="0.35">
      <c r="A218" t="s">
        <v>1266</v>
      </c>
    </row>
    <row r="219" spans="1:12" x14ac:dyDescent="0.35">
      <c r="A219" t="s">
        <v>1267</v>
      </c>
    </row>
    <row r="220" spans="1:12" x14ac:dyDescent="0.35">
      <c r="A220" t="s">
        <v>1268</v>
      </c>
    </row>
    <row r="221" spans="1:12" x14ac:dyDescent="0.35">
      <c r="A221" t="s">
        <v>1269</v>
      </c>
    </row>
    <row r="222" spans="1:12" x14ac:dyDescent="0.35">
      <c r="A222" t="s">
        <v>1270</v>
      </c>
    </row>
    <row r="223" spans="1:12" ht="24" customHeight="1" x14ac:dyDescent="0.35">
      <c r="A223" s="129" t="s">
        <v>1271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</row>
    <row r="224" spans="1:12" x14ac:dyDescent="0.35">
      <c r="A224" t="s">
        <v>1272</v>
      </c>
    </row>
    <row r="230" spans="1:12" x14ac:dyDescent="0.35">
      <c r="A230" s="98" t="s">
        <v>1273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2" spans="1:12" ht="29" x14ac:dyDescent="0.35">
      <c r="A232" s="100" t="s">
        <v>1229</v>
      </c>
      <c r="B232" s="100" t="s">
        <v>1274</v>
      </c>
      <c r="C232" s="100" t="s">
        <v>390</v>
      </c>
      <c r="D232" s="100" t="s">
        <v>351</v>
      </c>
      <c r="E232" s="100" t="s">
        <v>352</v>
      </c>
      <c r="F232" s="100" t="s">
        <v>292</v>
      </c>
      <c r="G232" s="100" t="s">
        <v>353</v>
      </c>
      <c r="H232" s="100" t="s">
        <v>338</v>
      </c>
    </row>
    <row r="240" spans="1:12" x14ac:dyDescent="0.3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</row>
    <row r="241" spans="1:12" x14ac:dyDescent="0.3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</row>
    <row r="247" spans="1:12" ht="29" x14ac:dyDescent="0.35">
      <c r="A247" s="106" t="s">
        <v>1275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3"/>
    </row>
    <row r="248" spans="1:12" ht="43.5" x14ac:dyDescent="0.35">
      <c r="A248" s="111" t="s">
        <v>1276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3"/>
    </row>
    <row r="249" spans="1:12" ht="29" x14ac:dyDescent="0.35">
      <c r="A249" s="110" t="s">
        <v>1277</v>
      </c>
      <c r="B249" s="110" t="s">
        <v>1278</v>
      </c>
      <c r="C249" s="110" t="s">
        <v>81</v>
      </c>
      <c r="D249" s="110" t="s">
        <v>615</v>
      </c>
      <c r="E249" s="110" t="s">
        <v>616</v>
      </c>
      <c r="F249" s="110" t="s">
        <v>990</v>
      </c>
      <c r="G249" s="110" t="s">
        <v>1279</v>
      </c>
      <c r="H249" s="110" t="s">
        <v>390</v>
      </c>
      <c r="I249" s="110" t="s">
        <v>351</v>
      </c>
      <c r="J249" s="110" t="s">
        <v>292</v>
      </c>
      <c r="K249" s="110" t="s">
        <v>353</v>
      </c>
      <c r="L249" s="110" t="s">
        <v>619</v>
      </c>
    </row>
    <row r="250" spans="1:12" x14ac:dyDescent="0.35">
      <c r="A250" s="105" t="s">
        <v>1280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x14ac:dyDescent="0.35">
      <c r="A251" s="105" t="s">
        <v>1281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x14ac:dyDescent="0.35">
      <c r="A252" s="105" t="s">
        <v>1282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29" x14ac:dyDescent="0.35">
      <c r="A253" s="105" t="s">
        <v>1283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29" x14ac:dyDescent="0.35">
      <c r="A254" s="105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29" x14ac:dyDescent="0.35">
      <c r="A255" s="105" t="s">
        <v>1285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29" x14ac:dyDescent="0.35">
      <c r="A256" s="105" t="s">
        <v>1286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29" x14ac:dyDescent="0.35">
      <c r="A257" s="105" t="s">
        <v>1287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29" x14ac:dyDescent="0.35">
      <c r="A258" s="105" t="s">
        <v>1288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29" x14ac:dyDescent="0.35">
      <c r="A259" s="105" t="s">
        <v>1289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29" x14ac:dyDescent="0.35">
      <c r="A260" s="105" t="s">
        <v>1290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29" x14ac:dyDescent="0.35">
      <c r="A261" s="105" t="s">
        <v>1291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29" x14ac:dyDescent="0.35">
      <c r="A262" s="105" t="s">
        <v>1292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43.5" x14ac:dyDescent="0.35">
      <c r="A263" s="105" t="s">
        <v>1293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29" x14ac:dyDescent="0.35">
      <c r="A264" s="105" t="s">
        <v>1294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x14ac:dyDescent="0.35">
      <c r="A265" s="105" t="s">
        <v>1295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</sheetData>
  <mergeCells count="9">
    <mergeCell ref="A1:L1"/>
    <mergeCell ref="A17:L17"/>
    <mergeCell ref="A241:L241"/>
    <mergeCell ref="A223:L223"/>
    <mergeCell ref="A35:L35"/>
    <mergeCell ref="A240:L240"/>
    <mergeCell ref="A179:L179"/>
    <mergeCell ref="A151:L151"/>
    <mergeCell ref="A207:L207"/>
  </mergeCells>
  <conditionalFormatting sqref="B12">
    <cfRule type="expression" dxfId="349" priority="12">
      <formula>B12="Green"</formula>
    </cfRule>
    <cfRule type="expression" dxfId="348" priority="13">
      <formula>B12="Amber"</formula>
    </cfRule>
    <cfRule type="expression" dxfId="347" priority="14">
      <formula>B12="Red"</formula>
    </cfRule>
  </conditionalFormatting>
  <conditionalFormatting sqref="B182:B201">
    <cfRule type="expression" dxfId="346" priority="3">
      <formula>B182="Pass"</formula>
    </cfRule>
  </conditionalFormatting>
  <conditionalFormatting sqref="C20:C43">
    <cfRule type="expression" dxfId="345" priority="8">
      <formula>C20="Green"</formula>
    </cfRule>
    <cfRule type="expression" dxfId="344" priority="9">
      <formula>C20="Amber"</formula>
    </cfRule>
    <cfRule type="expression" dxfId="343" priority="10">
      <formula>C20="Red"</formula>
    </cfRule>
    <cfRule type="expression" dxfId="342" priority="11">
      <formula>C20="N/A"</formula>
    </cfRule>
  </conditionalFormatting>
  <conditionalFormatting sqref="C20:C45">
    <cfRule type="expression" dxfId="341" priority="4">
      <formula>ISNUMBER(SEARCH("Green",C20))</formula>
    </cfRule>
    <cfRule type="expression" dxfId="340" priority="5">
      <formula>ISNUMBER(SEARCH("Amber",C20))</formula>
    </cfRule>
    <cfRule type="expression" dxfId="339" priority="6">
      <formula>ISNUMBER(SEARCH("Red",C20))</formula>
    </cfRule>
    <cfRule type="expression" dxfId="338" priority="7">
      <formula>C20="N/A"</formula>
    </cfRule>
  </conditionalFormatting>
  <conditionalFormatting sqref="E154:E173">
    <cfRule type="expression" dxfId="337" priority="2">
      <formula>E154="Pass"</formula>
    </cfRule>
  </conditionalFormatting>
  <conditionalFormatting sqref="H38:H145">
    <cfRule type="expression" dxfId="336" priority="1">
      <formula>H38="Pass"</formula>
    </cfRule>
  </conditionalFormatting>
  <dataValidations count="8">
    <dataValidation type="list" sqref="H38:H145 E154:E173" xr:uid="{00000000-0002-0000-2700-000000000000}">
      <formula1>"Pass,Developing,Fail,N/A"</formula1>
    </dataValidation>
    <dataValidation type="list" sqref="F38:F145" xr:uid="{00000000-0002-0000-2700-000001000000}">
      <formula1>"1,2,3,4,5"</formula1>
    </dataValidation>
    <dataValidation type="list" sqref="B182:B201" xr:uid="{00000000-0002-0000-2700-000003000000}">
      <formula1>"Complete,In Progress,Not Started,N/A"</formula1>
    </dataValidation>
    <dataValidation type="list" allowBlank="1" sqref="C243:E258" xr:uid="{00000000-0002-0000-2700-000004000000}">
      <formula1>"Yes,No,N/A"</formula1>
    </dataValidation>
    <dataValidation type="list" allowBlank="1" sqref="C20:C45" xr:uid="{00000000-0002-0000-2700-000005000000}">
      <formula1>"Green - Received,Amber - Awaiting,Red - Missing,N/A"</formula1>
    </dataValidation>
    <dataValidation type="list" sqref="C20:C43" xr:uid="{00000000-0002-0000-2700-000006000000}">
      <formula1>"Green,Amber,Red,N/A"</formula1>
    </dataValidation>
    <dataValidation type="list" sqref="F42:F230" xr:uid="{00000000-0002-0000-2700-000007000000}">
      <formula1>"1,2,3,4,5,N/A"</formula1>
    </dataValidation>
    <dataValidation type="list" sqref="H42:H230 H235:H255" xr:uid="{00000000-0002-0000-2700-000008000000}">
      <formula1>"Pass,Fail,Not Assessed,N/A"</formula1>
    </dataValidation>
  </dataValidation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L265"/>
  <sheetViews>
    <sheetView workbookViewId="0"/>
  </sheetViews>
  <sheetFormatPr defaultRowHeight="14.5" x14ac:dyDescent="0.35"/>
  <cols>
    <col min="1" max="1" width="42" customWidth="1"/>
    <col min="2" max="2" width="36" customWidth="1"/>
    <col min="3" max="3" width="52" customWidth="1"/>
    <col min="4" max="4" width="34" customWidth="1"/>
    <col min="5" max="5" width="30" customWidth="1"/>
    <col min="6" max="6" width="12" customWidth="1"/>
    <col min="7" max="7" width="16" customWidth="1"/>
    <col min="8" max="8" width="14" customWidth="1"/>
    <col min="9" max="9" width="28" customWidth="1"/>
    <col min="10" max="12" width="14" customWidth="1"/>
  </cols>
  <sheetData>
    <row r="1" spans="1:12" ht="30" customHeight="1" x14ac:dyDescent="0.35">
      <c r="A1" s="134" t="s">
        <v>1296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x14ac:dyDescent="0.35">
      <c r="A2" t="s">
        <v>928</v>
      </c>
      <c r="D2" t="s">
        <v>929</v>
      </c>
    </row>
    <row r="4" spans="1:12" x14ac:dyDescent="0.35">
      <c r="A4" s="101" t="s">
        <v>882</v>
      </c>
      <c r="B4" s="101" t="str">
        <f>IF('Induction Employee Register'!A5="","",'Induction Employee Register'!A5)</f>
        <v>SW002</v>
      </c>
      <c r="D4" t="s">
        <v>930</v>
      </c>
      <c r="E4" t="s">
        <v>931</v>
      </c>
      <c r="F4" t="s">
        <v>932</v>
      </c>
      <c r="G4" t="s">
        <v>933</v>
      </c>
      <c r="H4" t="s">
        <v>58</v>
      </c>
      <c r="I4" t="s">
        <v>934</v>
      </c>
      <c r="J4" t="s">
        <v>54</v>
      </c>
      <c r="K4" t="s">
        <v>935</v>
      </c>
      <c r="L4" t="s">
        <v>43</v>
      </c>
    </row>
    <row r="5" spans="1:12" x14ac:dyDescent="0.35">
      <c r="A5" s="101" t="s">
        <v>883</v>
      </c>
      <c r="B5" s="101" t="str">
        <f>IF('Induction Employee Register'!B5="","",'Induction Employee Register'!B5)</f>
        <v/>
      </c>
      <c r="D5" t="s">
        <v>936</v>
      </c>
    </row>
    <row r="6" spans="1:12" x14ac:dyDescent="0.35">
      <c r="A6" s="101" t="s">
        <v>322</v>
      </c>
      <c r="B6" s="101" t="str">
        <f>IF('Induction Employee Register'!C5="","",'Induction Employee Register'!C5)</f>
        <v/>
      </c>
      <c r="D6" t="s">
        <v>937</v>
      </c>
      <c r="E6" t="s">
        <v>938</v>
      </c>
    </row>
    <row r="7" spans="1:12" x14ac:dyDescent="0.35">
      <c r="A7" s="101" t="s">
        <v>323</v>
      </c>
      <c r="B7" s="126" t="str">
        <f>IF('Induction Employee Register'!D5="","",'Induction Employee Register'!D5)</f>
        <v/>
      </c>
      <c r="D7" t="s">
        <v>939</v>
      </c>
      <c r="E7" t="s">
        <v>940</v>
      </c>
    </row>
    <row r="8" spans="1:12" x14ac:dyDescent="0.35">
      <c r="A8" s="101" t="s">
        <v>886</v>
      </c>
      <c r="B8" s="125">
        <f>IFERROR(COUNTIF($H$42:$H$230,"Pass")/(COUNTIF($H$42:$H$230,"Pass")+COUNTIF($H$42:$H$230,"Fail")+COUNTIF($H$42:$H$230,"Not Assessed")),0)</f>
        <v>0</v>
      </c>
      <c r="D8" t="s">
        <v>6</v>
      </c>
      <c r="E8" t="s">
        <v>941</v>
      </c>
    </row>
    <row r="9" spans="1:12" x14ac:dyDescent="0.35">
      <c r="A9" s="101" t="s">
        <v>887</v>
      </c>
      <c r="B9" s="125">
        <f>IFERROR(COUNTIF($H$235:$H$255,"Pass")/(COUNTIF($H$235:$H$255,"Pass")+COUNTIF($H$235:$H$255,"Fail")+COUNTIF($H$235:$H$255,"Not Assessed")),0)</f>
        <v>0</v>
      </c>
      <c r="D9" t="s">
        <v>942</v>
      </c>
      <c r="E9" t="s">
        <v>943</v>
      </c>
    </row>
    <row r="10" spans="1:12" x14ac:dyDescent="0.35">
      <c r="A10" s="101" t="s">
        <v>888</v>
      </c>
      <c r="B10" s="125" t="str">
        <f>IFERROR(IF($B$5="","",IF(INDEX('Mandatory Training Dashboard'!$D$5:$D$53,MATCH($B$5,'Mandatory Training Dashboard'!$A$5:$A$53,0))&gt;1,INDEX('Mandatory Training Dashboard'!$D$5:$D$53,MATCH($B$5,'Mandatory Training Dashboard'!$A$5:$A$53,0))/100,INDEX('Mandatory Training Dashboard'!$D$5:$D$53,MATCH($B$5,'Mandatory Training Dashboard'!$A$5:$A$53,0)))),0)</f>
        <v/>
      </c>
      <c r="D10" t="s">
        <v>944</v>
      </c>
      <c r="E10" t="s">
        <v>945</v>
      </c>
    </row>
    <row r="11" spans="1:12" x14ac:dyDescent="0.35">
      <c r="A11" s="101" t="s">
        <v>893</v>
      </c>
      <c r="B11" s="125">
        <f>IFERROR(AVERAGE(B8:B10),0)</f>
        <v>0</v>
      </c>
      <c r="D11" t="s">
        <v>946</v>
      </c>
      <c r="E11" t="s">
        <v>947</v>
      </c>
    </row>
    <row r="12" spans="1:12" x14ac:dyDescent="0.35">
      <c r="A12" s="101" t="s">
        <v>948</v>
      </c>
      <c r="B12" s="101" t="str">
        <f>IF(B11&gt;=0.9,"Green",IF(B11&gt;=0.75,"Amber","Red"))</f>
        <v>Red</v>
      </c>
      <c r="D12" t="s">
        <v>949</v>
      </c>
      <c r="E12" t="s">
        <v>950</v>
      </c>
    </row>
    <row r="13" spans="1:12" x14ac:dyDescent="0.35">
      <c r="A13" s="101" t="s">
        <v>891</v>
      </c>
      <c r="B13" s="101">
        <f>IF('Induction Employee Register'!N5="","",'Induction Employee Register'!N5)</f>
        <v>0</v>
      </c>
      <c r="D13" t="s">
        <v>951</v>
      </c>
      <c r="E13" t="s">
        <v>952</v>
      </c>
    </row>
    <row r="14" spans="1:12" x14ac:dyDescent="0.35">
      <c r="A14" s="101" t="s">
        <v>892</v>
      </c>
      <c r="B14" s="101" t="str">
        <f>IF('Induction Employee Register'!O5="","",'Induction Employee Register'!O5)</f>
        <v/>
      </c>
    </row>
    <row r="17" spans="1:12" ht="24" customHeight="1" x14ac:dyDescent="0.35">
      <c r="A17" s="135" t="s">
        <v>953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9" spans="1:12" ht="29" x14ac:dyDescent="0.35">
      <c r="A19" s="116" t="s">
        <v>954</v>
      </c>
      <c r="B19" s="116" t="s">
        <v>955</v>
      </c>
      <c r="C19" s="116" t="s">
        <v>956</v>
      </c>
      <c r="D19" s="116" t="s">
        <v>957</v>
      </c>
      <c r="E19" s="116" t="s">
        <v>958</v>
      </c>
      <c r="F19" s="116" t="s">
        <v>353</v>
      </c>
      <c r="G19" s="116" t="s">
        <v>335</v>
      </c>
      <c r="H19" s="116" t="s">
        <v>338</v>
      </c>
      <c r="I19" s="117" t="s">
        <v>959</v>
      </c>
      <c r="J19" t="s">
        <v>960</v>
      </c>
      <c r="K19" t="s">
        <v>300</v>
      </c>
      <c r="L19" t="s">
        <v>961</v>
      </c>
    </row>
    <row r="20" spans="1:12" x14ac:dyDescent="0.35">
      <c r="A20" s="118" t="s">
        <v>962</v>
      </c>
      <c r="B20" s="118" t="s">
        <v>81</v>
      </c>
      <c r="C20" s="118"/>
      <c r="D20" s="127"/>
      <c r="E20" s="127"/>
      <c r="F20" s="118"/>
      <c r="G20" s="118"/>
      <c r="H20" s="118"/>
      <c r="J20" t="s">
        <v>310</v>
      </c>
      <c r="K20" t="str">
        <f>IF('Induction Employee Register'!W5="","",'Induction Employee Register'!W5)</f>
        <v/>
      </c>
      <c r="L20" t="s">
        <v>963</v>
      </c>
    </row>
    <row r="21" spans="1:12" x14ac:dyDescent="0.35">
      <c r="A21" s="118" t="s">
        <v>964</v>
      </c>
      <c r="B21" s="118" t="s">
        <v>81</v>
      </c>
      <c r="C21" s="118"/>
      <c r="D21" s="127"/>
      <c r="E21" s="127"/>
      <c r="F21" s="118"/>
      <c r="G21" s="118"/>
      <c r="H21" s="118"/>
      <c r="J21" t="s">
        <v>311</v>
      </c>
      <c r="K21" t="str">
        <f>IF('Induction Employee Register'!X5="","",'Induction Employee Register'!X5)</f>
        <v/>
      </c>
      <c r="L21" t="s">
        <v>965</v>
      </c>
    </row>
    <row r="22" spans="1:12" x14ac:dyDescent="0.35">
      <c r="A22" s="118" t="s">
        <v>966</v>
      </c>
      <c r="B22" s="118" t="s">
        <v>81</v>
      </c>
      <c r="C22" s="118"/>
      <c r="D22" s="127"/>
      <c r="E22" s="127"/>
      <c r="F22" s="118"/>
      <c r="G22" s="118"/>
      <c r="H22" s="118"/>
      <c r="J22" t="s">
        <v>312</v>
      </c>
      <c r="K22" t="str">
        <f>IF('Induction Employee Register'!Y5="","",'Induction Employee Register'!Y5)</f>
        <v/>
      </c>
      <c r="L22" t="s">
        <v>967</v>
      </c>
    </row>
    <row r="23" spans="1:12" x14ac:dyDescent="0.35">
      <c r="A23" s="118" t="s">
        <v>52</v>
      </c>
      <c r="B23" s="118" t="s">
        <v>81</v>
      </c>
      <c r="C23" s="118"/>
      <c r="D23" s="127"/>
      <c r="E23" s="127"/>
      <c r="F23" s="118"/>
      <c r="G23" s="118"/>
      <c r="H23" s="118"/>
      <c r="J23" t="s">
        <v>313</v>
      </c>
      <c r="K23" t="str">
        <f>IF('Induction Employee Register'!Z5="","",'Induction Employee Register'!Z5)</f>
        <v/>
      </c>
      <c r="L23" t="s">
        <v>968</v>
      </c>
    </row>
    <row r="24" spans="1:12" x14ac:dyDescent="0.35">
      <c r="A24" s="118" t="s">
        <v>50</v>
      </c>
      <c r="B24" s="118" t="s">
        <v>81</v>
      </c>
      <c r="C24" s="118"/>
      <c r="D24" s="127"/>
      <c r="E24" s="127"/>
      <c r="F24" s="118"/>
      <c r="G24" s="118"/>
      <c r="H24" s="118"/>
      <c r="J24" t="s">
        <v>314</v>
      </c>
      <c r="K24" t="str">
        <f>IF('Induction Employee Register'!AA5="","",'Induction Employee Register'!AA5)</f>
        <v/>
      </c>
      <c r="L24" t="s">
        <v>968</v>
      </c>
    </row>
    <row r="25" spans="1:12" x14ac:dyDescent="0.35">
      <c r="A25" s="118" t="s">
        <v>329</v>
      </c>
      <c r="B25" s="118" t="s">
        <v>81</v>
      </c>
      <c r="C25" s="118"/>
      <c r="D25" s="127"/>
      <c r="E25" s="127"/>
      <c r="F25" s="118"/>
      <c r="G25" s="118"/>
      <c r="H25" s="118"/>
      <c r="J25" t="s">
        <v>315</v>
      </c>
      <c r="K25" t="str">
        <f>IF('Induction Employee Register'!AB5="","",'Induction Employee Register'!AB5)</f>
        <v/>
      </c>
      <c r="L25" t="s">
        <v>967</v>
      </c>
    </row>
    <row r="26" spans="1:12" x14ac:dyDescent="0.35">
      <c r="A26" s="118" t="s">
        <v>969</v>
      </c>
      <c r="B26" s="118" t="s">
        <v>81</v>
      </c>
      <c r="C26" s="118"/>
      <c r="D26" s="127"/>
      <c r="E26" s="127"/>
      <c r="F26" s="118"/>
      <c r="G26" s="118"/>
      <c r="H26" s="118"/>
      <c r="J26" t="s">
        <v>316</v>
      </c>
      <c r="K26" t="str">
        <f>IF('Induction Employee Register'!AC5="","",'Induction Employee Register'!AC5)</f>
        <v/>
      </c>
      <c r="L26" t="s">
        <v>967</v>
      </c>
    </row>
    <row r="27" spans="1:12" x14ac:dyDescent="0.35">
      <c r="A27" s="118" t="s">
        <v>970</v>
      </c>
      <c r="B27" s="118" t="s">
        <v>81</v>
      </c>
      <c r="C27" s="118"/>
      <c r="D27" s="127"/>
      <c r="E27" s="127"/>
      <c r="F27" s="118"/>
      <c r="G27" s="118"/>
      <c r="H27" s="118"/>
    </row>
    <row r="28" spans="1:12" x14ac:dyDescent="0.35">
      <c r="A28" s="118" t="s">
        <v>971</v>
      </c>
      <c r="B28" s="118" t="s">
        <v>81</v>
      </c>
      <c r="C28" s="118"/>
      <c r="D28" s="127"/>
      <c r="E28" s="127"/>
      <c r="F28" s="118"/>
      <c r="G28" s="118"/>
      <c r="H28" s="118"/>
    </row>
    <row r="29" spans="1:12" x14ac:dyDescent="0.35">
      <c r="A29" s="118" t="s">
        <v>972</v>
      </c>
      <c r="B29" s="118" t="s">
        <v>81</v>
      </c>
      <c r="C29" s="118"/>
      <c r="D29" s="127"/>
      <c r="E29" s="127"/>
      <c r="F29" s="118"/>
      <c r="G29" s="118"/>
      <c r="H29" s="118"/>
    </row>
    <row r="30" spans="1:12" x14ac:dyDescent="0.35">
      <c r="A30" s="118" t="s">
        <v>973</v>
      </c>
      <c r="B30" s="118" t="s">
        <v>81</v>
      </c>
      <c r="C30" s="118"/>
      <c r="D30" s="127"/>
      <c r="E30" s="127"/>
      <c r="F30" s="118"/>
      <c r="G30" s="118"/>
      <c r="H30" s="118"/>
    </row>
    <row r="31" spans="1:12" x14ac:dyDescent="0.35">
      <c r="A31" s="118" t="s">
        <v>974</v>
      </c>
      <c r="B31" s="118" t="s">
        <v>81</v>
      </c>
      <c r="C31" s="118"/>
      <c r="D31" s="127"/>
      <c r="E31" s="127"/>
      <c r="F31" s="118"/>
      <c r="G31" s="118"/>
      <c r="H31" s="118"/>
    </row>
    <row r="32" spans="1:12" x14ac:dyDescent="0.35">
      <c r="A32" s="118" t="s">
        <v>975</v>
      </c>
      <c r="B32" s="118" t="s">
        <v>81</v>
      </c>
      <c r="C32" s="118"/>
      <c r="D32" s="127"/>
      <c r="E32" s="127"/>
      <c r="F32" s="118"/>
      <c r="G32" s="118"/>
      <c r="H32" s="118"/>
    </row>
    <row r="33" spans="1:12" x14ac:dyDescent="0.35">
      <c r="A33" s="118" t="s">
        <v>54</v>
      </c>
      <c r="B33" s="118" t="s">
        <v>81</v>
      </c>
      <c r="C33" s="118"/>
      <c r="D33" s="127"/>
      <c r="E33" s="127"/>
      <c r="F33" s="118"/>
      <c r="G33" s="118"/>
      <c r="H33" s="118"/>
    </row>
    <row r="34" spans="1:12" x14ac:dyDescent="0.35">
      <c r="A34" s="119" t="s">
        <v>976</v>
      </c>
      <c r="B34" s="119" t="s">
        <v>81</v>
      </c>
      <c r="C34" s="119"/>
      <c r="D34" s="127"/>
      <c r="E34" s="127"/>
      <c r="F34" s="119"/>
      <c r="G34" s="119"/>
      <c r="H34" s="119"/>
    </row>
    <row r="35" spans="1:12" ht="24" customHeight="1" x14ac:dyDescent="0.35">
      <c r="A35" s="130" t="s">
        <v>977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</row>
    <row r="36" spans="1:12" x14ac:dyDescent="0.35">
      <c r="A36" s="119" t="s">
        <v>978</v>
      </c>
      <c r="B36" s="119" t="s">
        <v>81</v>
      </c>
      <c r="C36" s="119"/>
      <c r="D36" s="127"/>
      <c r="E36" s="127"/>
      <c r="F36" s="119"/>
      <c r="G36" s="119"/>
      <c r="H36" s="119"/>
    </row>
    <row r="37" spans="1:12" x14ac:dyDescent="0.35">
      <c r="A37" s="119" t="s">
        <v>979</v>
      </c>
      <c r="B37" s="119" t="s">
        <v>81</v>
      </c>
      <c r="C37" s="119"/>
      <c r="D37" s="127"/>
      <c r="E37" s="127"/>
      <c r="F37" s="119"/>
      <c r="G37" s="119"/>
      <c r="H37" s="119"/>
    </row>
    <row r="38" spans="1:12" x14ac:dyDescent="0.35">
      <c r="A38" s="119" t="s">
        <v>980</v>
      </c>
      <c r="B38" s="119" t="s">
        <v>81</v>
      </c>
      <c r="C38" s="119"/>
      <c r="D38" s="127"/>
      <c r="E38" s="127"/>
      <c r="F38" s="119"/>
      <c r="G38" s="119"/>
      <c r="H38" s="119"/>
    </row>
    <row r="39" spans="1:12" x14ac:dyDescent="0.35">
      <c r="A39" s="119" t="s">
        <v>981</v>
      </c>
      <c r="B39" s="119" t="s">
        <v>81</v>
      </c>
      <c r="C39" s="119"/>
      <c r="D39" s="127"/>
      <c r="E39" s="127"/>
      <c r="F39" s="119"/>
      <c r="G39" s="119"/>
      <c r="H39" s="119"/>
    </row>
    <row r="40" spans="1:12" x14ac:dyDescent="0.35">
      <c r="A40" s="119" t="s">
        <v>982</v>
      </c>
      <c r="B40" s="119" t="s">
        <v>81</v>
      </c>
      <c r="C40" s="119"/>
      <c r="D40" s="127"/>
      <c r="E40" s="127"/>
      <c r="F40" s="119"/>
      <c r="G40" s="119"/>
      <c r="H40" s="119"/>
    </row>
    <row r="41" spans="1:12" x14ac:dyDescent="0.35">
      <c r="A41" s="118"/>
      <c r="B41" s="118"/>
      <c r="C41" s="118"/>
      <c r="D41" s="127"/>
      <c r="E41" s="127"/>
      <c r="F41" s="118"/>
      <c r="G41" s="118"/>
      <c r="H41" s="118"/>
    </row>
    <row r="42" spans="1:12" x14ac:dyDescent="0.35">
      <c r="A42" s="120" t="s">
        <v>983</v>
      </c>
      <c r="B42" s="118"/>
      <c r="C42" s="118"/>
      <c r="D42" s="127"/>
      <c r="E42" s="127"/>
      <c r="F42" s="118"/>
      <c r="G42" s="118"/>
      <c r="H42" s="118"/>
      <c r="I42" s="96"/>
      <c r="J42" s="96"/>
      <c r="K42" s="96"/>
      <c r="L42" s="96"/>
    </row>
    <row r="43" spans="1:12" x14ac:dyDescent="0.35">
      <c r="A43" s="118"/>
      <c r="B43" s="118"/>
      <c r="C43" s="118"/>
      <c r="D43" s="127"/>
      <c r="E43" s="127"/>
      <c r="F43" s="118"/>
      <c r="G43" s="118"/>
      <c r="H43" s="118"/>
    </row>
    <row r="44" spans="1:12" ht="29" x14ac:dyDescent="0.35">
      <c r="A44" s="116" t="s">
        <v>984</v>
      </c>
      <c r="B44" s="116" t="s">
        <v>985</v>
      </c>
      <c r="C44" s="116" t="s">
        <v>986</v>
      </c>
      <c r="D44" s="116" t="s">
        <v>987</v>
      </c>
      <c r="E44" s="116" t="s">
        <v>988</v>
      </c>
      <c r="F44" s="116" t="s">
        <v>989</v>
      </c>
      <c r="G44" s="116" t="s">
        <v>389</v>
      </c>
      <c r="H44" s="116" t="s">
        <v>870</v>
      </c>
      <c r="I44" s="100" t="s">
        <v>390</v>
      </c>
      <c r="J44" s="100" t="s">
        <v>990</v>
      </c>
      <c r="K44" s="100" t="s">
        <v>991</v>
      </c>
      <c r="L44" s="100" t="s">
        <v>992</v>
      </c>
    </row>
    <row r="45" spans="1:12" ht="29" x14ac:dyDescent="0.35">
      <c r="A45" s="121" t="s">
        <v>993</v>
      </c>
      <c r="B45" s="121" t="s">
        <v>994</v>
      </c>
      <c r="C45" s="121" t="s">
        <v>995</v>
      </c>
      <c r="D45" s="121"/>
      <c r="E45" s="121" t="s">
        <v>996</v>
      </c>
      <c r="F45" s="121"/>
      <c r="G45" s="121"/>
      <c r="H45" s="121"/>
      <c r="I45" s="21"/>
      <c r="J45" s="21"/>
      <c r="K45" s="21"/>
      <c r="L45" s="21"/>
    </row>
    <row r="46" spans="1:12" ht="29" x14ac:dyDescent="0.35">
      <c r="A46" s="21" t="s">
        <v>993</v>
      </c>
      <c r="B46" s="21" t="s">
        <v>997</v>
      </c>
      <c r="C46" s="21" t="s">
        <v>998</v>
      </c>
      <c r="D46" s="21"/>
      <c r="E46" s="21" t="s">
        <v>996</v>
      </c>
      <c r="F46" s="21"/>
      <c r="G46" s="21"/>
      <c r="H46" s="21"/>
      <c r="I46" s="21"/>
      <c r="J46" s="21"/>
      <c r="K46" s="21"/>
      <c r="L46" s="21"/>
    </row>
    <row r="47" spans="1:12" ht="29" x14ac:dyDescent="0.35">
      <c r="A47" s="21" t="s">
        <v>993</v>
      </c>
      <c r="B47" s="21" t="s">
        <v>999</v>
      </c>
      <c r="C47" s="21" t="s">
        <v>1000</v>
      </c>
      <c r="D47" s="21"/>
      <c r="E47" s="21" t="s">
        <v>996</v>
      </c>
      <c r="F47" s="21"/>
      <c r="G47" s="21"/>
      <c r="H47" s="21"/>
      <c r="I47" s="21"/>
      <c r="J47" s="21"/>
      <c r="K47" s="21"/>
      <c r="L47" s="21"/>
    </row>
    <row r="48" spans="1:12" ht="29" x14ac:dyDescent="0.35">
      <c r="A48" s="21" t="s">
        <v>993</v>
      </c>
      <c r="B48" s="21" t="s">
        <v>1001</v>
      </c>
      <c r="C48" s="21" t="s">
        <v>1002</v>
      </c>
      <c r="D48" s="21"/>
      <c r="E48" s="21" t="s">
        <v>996</v>
      </c>
      <c r="F48" s="21"/>
      <c r="G48" s="21"/>
      <c r="H48" s="21"/>
      <c r="I48" s="21"/>
      <c r="J48" s="21"/>
      <c r="K48" s="21"/>
      <c r="L48" s="21"/>
    </row>
    <row r="49" spans="1:12" ht="43.5" x14ac:dyDescent="0.35">
      <c r="A49" s="21" t="s">
        <v>993</v>
      </c>
      <c r="B49" s="21" t="s">
        <v>1003</v>
      </c>
      <c r="C49" s="21" t="s">
        <v>1004</v>
      </c>
      <c r="D49" s="21"/>
      <c r="E49" s="21" t="s">
        <v>996</v>
      </c>
      <c r="F49" s="21"/>
      <c r="G49" s="21"/>
      <c r="H49" s="21"/>
      <c r="I49" s="21"/>
      <c r="J49" s="21"/>
      <c r="K49" s="21"/>
      <c r="L49" s="21"/>
    </row>
    <row r="50" spans="1:12" ht="29" x14ac:dyDescent="0.35">
      <c r="A50" s="21" t="s">
        <v>993</v>
      </c>
      <c r="B50" s="21" t="s">
        <v>1005</v>
      </c>
      <c r="C50" s="21" t="s">
        <v>1006</v>
      </c>
      <c r="D50" s="21"/>
      <c r="E50" s="21" t="s">
        <v>996</v>
      </c>
      <c r="F50" s="21"/>
      <c r="G50" s="21"/>
      <c r="H50" s="21"/>
      <c r="I50" s="21"/>
      <c r="J50" s="21"/>
      <c r="K50" s="21"/>
      <c r="L50" s="21"/>
    </row>
    <row r="51" spans="1:12" ht="43.5" x14ac:dyDescent="0.35">
      <c r="A51" s="21" t="s">
        <v>1007</v>
      </c>
      <c r="B51" s="21" t="s">
        <v>1008</v>
      </c>
      <c r="C51" s="21" t="s">
        <v>1009</v>
      </c>
      <c r="D51" s="21"/>
      <c r="E51" s="21" t="s">
        <v>996</v>
      </c>
      <c r="F51" s="21"/>
      <c r="G51" s="21"/>
      <c r="H51" s="21"/>
      <c r="I51" s="21"/>
      <c r="J51" s="21"/>
      <c r="K51" s="21"/>
      <c r="L51" s="21"/>
    </row>
    <row r="52" spans="1:12" ht="29" x14ac:dyDescent="0.35">
      <c r="A52" s="21" t="s">
        <v>1007</v>
      </c>
      <c r="B52" s="21" t="s">
        <v>1010</v>
      </c>
      <c r="C52" s="21" t="s">
        <v>1011</v>
      </c>
      <c r="D52" s="21"/>
      <c r="E52" s="21" t="s">
        <v>996</v>
      </c>
      <c r="F52" s="21"/>
      <c r="G52" s="21"/>
      <c r="H52" s="21"/>
      <c r="I52" s="21"/>
      <c r="J52" s="21"/>
      <c r="K52" s="21"/>
      <c r="L52" s="21"/>
    </row>
    <row r="53" spans="1:12" ht="29" x14ac:dyDescent="0.35">
      <c r="A53" s="21" t="s">
        <v>1007</v>
      </c>
      <c r="B53" s="21" t="s">
        <v>1012</v>
      </c>
      <c r="C53" s="21" t="s">
        <v>1013</v>
      </c>
      <c r="D53" s="21"/>
      <c r="E53" s="21" t="s">
        <v>996</v>
      </c>
      <c r="F53" s="21"/>
      <c r="G53" s="21"/>
      <c r="H53" s="21"/>
      <c r="I53" s="21"/>
      <c r="J53" s="21"/>
      <c r="K53" s="21"/>
      <c r="L53" s="21"/>
    </row>
    <row r="54" spans="1:12" ht="29" x14ac:dyDescent="0.35">
      <c r="A54" s="21" t="s">
        <v>1007</v>
      </c>
      <c r="B54" s="21" t="s">
        <v>1014</v>
      </c>
      <c r="C54" s="21" t="s">
        <v>1015</v>
      </c>
      <c r="D54" s="21"/>
      <c r="E54" s="21" t="s">
        <v>996</v>
      </c>
      <c r="F54" s="21"/>
      <c r="G54" s="21"/>
      <c r="H54" s="21"/>
      <c r="I54" s="21"/>
      <c r="J54" s="21"/>
      <c r="K54" s="21"/>
      <c r="L54" s="21"/>
    </row>
    <row r="55" spans="1:12" ht="29" x14ac:dyDescent="0.35">
      <c r="A55" s="21" t="s">
        <v>1007</v>
      </c>
      <c r="B55" s="21" t="s">
        <v>1016</v>
      </c>
      <c r="C55" s="21" t="s">
        <v>1017</v>
      </c>
      <c r="D55" s="21"/>
      <c r="E55" s="21" t="s">
        <v>996</v>
      </c>
      <c r="F55" s="21"/>
      <c r="G55" s="21"/>
      <c r="H55" s="21"/>
      <c r="I55" s="21"/>
      <c r="J55" s="21"/>
      <c r="K55" s="21"/>
      <c r="L55" s="21"/>
    </row>
    <row r="56" spans="1:12" ht="29" x14ac:dyDescent="0.35">
      <c r="A56" s="21" t="s">
        <v>1007</v>
      </c>
      <c r="B56" s="21" t="s">
        <v>1018</v>
      </c>
      <c r="C56" s="21" t="s">
        <v>1019</v>
      </c>
      <c r="D56" s="21"/>
      <c r="E56" s="21" t="s">
        <v>996</v>
      </c>
      <c r="F56" s="21"/>
      <c r="G56" s="21"/>
      <c r="H56" s="21"/>
      <c r="I56" s="21"/>
      <c r="J56" s="21"/>
      <c r="K56" s="21"/>
      <c r="L56" s="21"/>
    </row>
    <row r="57" spans="1:12" ht="43.5" x14ac:dyDescent="0.35">
      <c r="A57" s="21" t="s">
        <v>1020</v>
      </c>
      <c r="B57" s="21" t="s">
        <v>1021</v>
      </c>
      <c r="C57" s="21" t="s">
        <v>1022</v>
      </c>
      <c r="D57" s="21"/>
      <c r="E57" s="21" t="s">
        <v>1023</v>
      </c>
      <c r="F57" s="21"/>
      <c r="G57" s="21"/>
      <c r="H57" s="21"/>
      <c r="I57" s="21"/>
      <c r="J57" s="21"/>
      <c r="K57" s="21"/>
      <c r="L57" s="21"/>
    </row>
    <row r="58" spans="1:12" ht="43.5" x14ac:dyDescent="0.35">
      <c r="A58" s="21" t="s">
        <v>1020</v>
      </c>
      <c r="B58" s="21" t="s">
        <v>1024</v>
      </c>
      <c r="C58" s="21" t="s">
        <v>1025</v>
      </c>
      <c r="D58" s="21"/>
      <c r="E58" s="21" t="s">
        <v>1023</v>
      </c>
      <c r="F58" s="21"/>
      <c r="G58" s="21"/>
      <c r="H58" s="21"/>
      <c r="I58" s="21"/>
      <c r="J58" s="21"/>
      <c r="K58" s="21"/>
      <c r="L58" s="21"/>
    </row>
    <row r="59" spans="1:12" ht="43.5" x14ac:dyDescent="0.35">
      <c r="A59" s="21" t="s">
        <v>1020</v>
      </c>
      <c r="B59" s="21" t="s">
        <v>1026</v>
      </c>
      <c r="C59" s="21" t="s">
        <v>1027</v>
      </c>
      <c r="D59" s="21"/>
      <c r="E59" s="21" t="s">
        <v>1023</v>
      </c>
      <c r="F59" s="21"/>
      <c r="G59" s="21"/>
      <c r="H59" s="21"/>
      <c r="I59" s="21"/>
      <c r="J59" s="21"/>
      <c r="K59" s="21"/>
      <c r="L59" s="21"/>
    </row>
    <row r="60" spans="1:12" ht="43.5" x14ac:dyDescent="0.35">
      <c r="A60" s="21" t="s">
        <v>1020</v>
      </c>
      <c r="B60" s="21" t="s">
        <v>1028</v>
      </c>
      <c r="C60" s="21" t="s">
        <v>1029</v>
      </c>
      <c r="D60" s="21"/>
      <c r="E60" s="21" t="s">
        <v>1023</v>
      </c>
      <c r="F60" s="21"/>
      <c r="G60" s="21"/>
      <c r="H60" s="21"/>
      <c r="I60" s="21"/>
      <c r="J60" s="21"/>
      <c r="K60" s="21"/>
      <c r="L60" s="21"/>
    </row>
    <row r="61" spans="1:12" ht="43.5" x14ac:dyDescent="0.35">
      <c r="A61" s="21" t="s">
        <v>1020</v>
      </c>
      <c r="B61" s="21" t="s">
        <v>1030</v>
      </c>
      <c r="C61" s="21" t="s">
        <v>1031</v>
      </c>
      <c r="D61" s="21"/>
      <c r="E61" s="21" t="s">
        <v>1023</v>
      </c>
      <c r="F61" s="21"/>
      <c r="G61" s="21"/>
      <c r="H61" s="21"/>
      <c r="I61" s="21"/>
      <c r="J61" s="21"/>
      <c r="K61" s="21"/>
      <c r="L61" s="21"/>
    </row>
    <row r="62" spans="1:12" ht="43.5" x14ac:dyDescent="0.35">
      <c r="A62" s="21" t="s">
        <v>1020</v>
      </c>
      <c r="B62" s="21" t="s">
        <v>1032</v>
      </c>
      <c r="C62" s="21" t="s">
        <v>1033</v>
      </c>
      <c r="D62" s="21"/>
      <c r="E62" s="21" t="s">
        <v>1023</v>
      </c>
      <c r="F62" s="21"/>
      <c r="G62" s="21"/>
      <c r="H62" s="21"/>
      <c r="I62" s="21"/>
      <c r="J62" s="21"/>
      <c r="K62" s="21"/>
      <c r="L62" s="21"/>
    </row>
    <row r="63" spans="1:12" ht="29" x14ac:dyDescent="0.35">
      <c r="A63" s="21" t="s">
        <v>428</v>
      </c>
      <c r="B63" s="21" t="s">
        <v>1034</v>
      </c>
      <c r="C63" s="21" t="s">
        <v>1035</v>
      </c>
      <c r="D63" s="21"/>
      <c r="E63" s="21" t="s">
        <v>996</v>
      </c>
      <c r="F63" s="21"/>
      <c r="G63" s="21"/>
      <c r="H63" s="21"/>
      <c r="I63" s="21"/>
      <c r="J63" s="21"/>
      <c r="K63" s="21"/>
      <c r="L63" s="21"/>
    </row>
    <row r="64" spans="1:12" ht="43.5" x14ac:dyDescent="0.35">
      <c r="A64" s="21" t="s">
        <v>428</v>
      </c>
      <c r="B64" s="21" t="s">
        <v>1036</v>
      </c>
      <c r="C64" s="21" t="s">
        <v>1037</v>
      </c>
      <c r="D64" s="21"/>
      <c r="E64" s="21" t="s">
        <v>996</v>
      </c>
      <c r="F64" s="21"/>
      <c r="G64" s="21"/>
      <c r="H64" s="21"/>
      <c r="I64" s="21"/>
      <c r="J64" s="21"/>
      <c r="K64" s="21"/>
      <c r="L64" s="21"/>
    </row>
    <row r="65" spans="1:12" ht="29" x14ac:dyDescent="0.35">
      <c r="A65" s="21" t="s">
        <v>428</v>
      </c>
      <c r="B65" s="21" t="s">
        <v>1038</v>
      </c>
      <c r="C65" s="21" t="s">
        <v>1039</v>
      </c>
      <c r="D65" s="21"/>
      <c r="E65" s="21" t="s">
        <v>996</v>
      </c>
      <c r="F65" s="21"/>
      <c r="G65" s="21"/>
      <c r="H65" s="21"/>
      <c r="I65" s="21"/>
      <c r="J65" s="21"/>
      <c r="K65" s="21"/>
      <c r="L65" s="21"/>
    </row>
    <row r="66" spans="1:12" ht="43.5" x14ac:dyDescent="0.35">
      <c r="A66" s="21" t="s">
        <v>428</v>
      </c>
      <c r="B66" s="21" t="s">
        <v>1040</v>
      </c>
      <c r="C66" s="21" t="s">
        <v>1041</v>
      </c>
      <c r="D66" s="21"/>
      <c r="E66" s="21" t="s">
        <v>996</v>
      </c>
      <c r="F66" s="21"/>
      <c r="G66" s="21"/>
      <c r="H66" s="21"/>
      <c r="I66" s="21"/>
      <c r="J66" s="21"/>
      <c r="K66" s="21"/>
      <c r="L66" s="21"/>
    </row>
    <row r="67" spans="1:12" ht="29" x14ac:dyDescent="0.35">
      <c r="A67" s="21" t="s">
        <v>428</v>
      </c>
      <c r="B67" s="21" t="s">
        <v>1042</v>
      </c>
      <c r="C67" s="21" t="s">
        <v>1043</v>
      </c>
      <c r="D67" s="21"/>
      <c r="E67" s="21" t="s">
        <v>996</v>
      </c>
      <c r="F67" s="21"/>
      <c r="G67" s="21"/>
      <c r="H67" s="21"/>
      <c r="I67" s="21"/>
      <c r="J67" s="21"/>
      <c r="K67" s="21"/>
      <c r="L67" s="21"/>
    </row>
    <row r="68" spans="1:12" ht="29" x14ac:dyDescent="0.35">
      <c r="A68" s="21" t="s">
        <v>428</v>
      </c>
      <c r="B68" s="21" t="s">
        <v>1044</v>
      </c>
      <c r="C68" s="21" t="s">
        <v>1045</v>
      </c>
      <c r="D68" s="21"/>
      <c r="E68" s="21" t="s">
        <v>996</v>
      </c>
      <c r="F68" s="21"/>
      <c r="G68" s="21"/>
      <c r="H68" s="21"/>
      <c r="I68" s="21"/>
      <c r="J68" s="21"/>
      <c r="K68" s="21"/>
      <c r="L68" s="21"/>
    </row>
    <row r="69" spans="1:12" ht="29" x14ac:dyDescent="0.35">
      <c r="A69" s="21" t="s">
        <v>1046</v>
      </c>
      <c r="B69" s="21" t="s">
        <v>1047</v>
      </c>
      <c r="C69" s="21" t="s">
        <v>1048</v>
      </c>
      <c r="D69" s="21"/>
      <c r="E69" s="21" t="s">
        <v>996</v>
      </c>
      <c r="F69" s="21"/>
      <c r="G69" s="21"/>
      <c r="H69" s="21"/>
      <c r="I69" s="21"/>
      <c r="J69" s="21"/>
      <c r="K69" s="21"/>
      <c r="L69" s="21"/>
    </row>
    <row r="70" spans="1:12" ht="29" x14ac:dyDescent="0.35">
      <c r="A70" s="21" t="s">
        <v>1046</v>
      </c>
      <c r="B70" s="21" t="s">
        <v>1049</v>
      </c>
      <c r="C70" s="21" t="s">
        <v>1050</v>
      </c>
      <c r="D70" s="21"/>
      <c r="E70" s="21" t="s">
        <v>996</v>
      </c>
      <c r="F70" s="21"/>
      <c r="G70" s="21"/>
      <c r="H70" s="21"/>
      <c r="I70" s="21"/>
      <c r="J70" s="21"/>
      <c r="K70" s="21"/>
      <c r="L70" s="21"/>
    </row>
    <row r="71" spans="1:12" ht="29" x14ac:dyDescent="0.35">
      <c r="A71" s="21" t="s">
        <v>1046</v>
      </c>
      <c r="B71" s="21" t="s">
        <v>1051</v>
      </c>
      <c r="C71" s="21" t="s">
        <v>1052</v>
      </c>
      <c r="D71" s="21"/>
      <c r="E71" s="21" t="s">
        <v>996</v>
      </c>
      <c r="F71" s="21"/>
      <c r="G71" s="21"/>
      <c r="H71" s="21"/>
      <c r="I71" s="21"/>
      <c r="J71" s="21"/>
      <c r="K71" s="21"/>
      <c r="L71" s="21"/>
    </row>
    <row r="72" spans="1:12" ht="29" x14ac:dyDescent="0.35">
      <c r="A72" s="21" t="s">
        <v>1046</v>
      </c>
      <c r="B72" s="21" t="s">
        <v>1053</v>
      </c>
      <c r="C72" s="21" t="s">
        <v>1054</v>
      </c>
      <c r="D72" s="21"/>
      <c r="E72" s="21" t="s">
        <v>996</v>
      </c>
      <c r="F72" s="21"/>
      <c r="G72" s="21"/>
      <c r="H72" s="21"/>
      <c r="I72" s="21"/>
      <c r="J72" s="21"/>
      <c r="K72" s="21"/>
      <c r="L72" s="21"/>
    </row>
    <row r="73" spans="1:12" ht="29" x14ac:dyDescent="0.35">
      <c r="A73" s="21" t="s">
        <v>1046</v>
      </c>
      <c r="B73" s="21" t="s">
        <v>1055</v>
      </c>
      <c r="C73" s="21" t="s">
        <v>1056</v>
      </c>
      <c r="D73" s="21"/>
      <c r="E73" s="21" t="s">
        <v>996</v>
      </c>
      <c r="F73" s="21"/>
      <c r="G73" s="21"/>
      <c r="H73" s="21"/>
      <c r="I73" s="21"/>
      <c r="J73" s="21"/>
      <c r="K73" s="21"/>
      <c r="L73" s="21"/>
    </row>
    <row r="74" spans="1:12" ht="29" x14ac:dyDescent="0.35">
      <c r="A74" s="21" t="s">
        <v>1046</v>
      </c>
      <c r="B74" s="21" t="s">
        <v>1057</v>
      </c>
      <c r="C74" s="21" t="s">
        <v>1058</v>
      </c>
      <c r="D74" s="21"/>
      <c r="E74" s="21" t="s">
        <v>996</v>
      </c>
      <c r="F74" s="21"/>
      <c r="G74" s="21"/>
      <c r="H74" s="21"/>
      <c r="I74" s="21"/>
      <c r="J74" s="21"/>
      <c r="K74" s="21"/>
      <c r="L74" s="21"/>
    </row>
    <row r="75" spans="1:12" ht="29" x14ac:dyDescent="0.35">
      <c r="A75" s="21" t="s">
        <v>1059</v>
      </c>
      <c r="B75" s="21" t="s">
        <v>1060</v>
      </c>
      <c r="C75" s="21" t="s">
        <v>1061</v>
      </c>
      <c r="D75" s="21"/>
      <c r="E75" s="21" t="s">
        <v>996</v>
      </c>
      <c r="F75" s="21"/>
      <c r="G75" s="21"/>
      <c r="H75" s="21"/>
      <c r="I75" s="21"/>
      <c r="J75" s="21"/>
      <c r="K75" s="21"/>
      <c r="L75" s="21"/>
    </row>
    <row r="76" spans="1:12" ht="43.5" x14ac:dyDescent="0.35">
      <c r="A76" s="21" t="s">
        <v>1059</v>
      </c>
      <c r="B76" s="21" t="s">
        <v>1062</v>
      </c>
      <c r="C76" s="21" t="s">
        <v>1063</v>
      </c>
      <c r="D76" s="21"/>
      <c r="E76" s="21" t="s">
        <v>996</v>
      </c>
      <c r="F76" s="21"/>
      <c r="G76" s="21"/>
      <c r="H76" s="21"/>
      <c r="I76" s="21"/>
      <c r="J76" s="21"/>
      <c r="K76" s="21"/>
      <c r="L76" s="21"/>
    </row>
    <row r="77" spans="1:12" ht="29" x14ac:dyDescent="0.35">
      <c r="A77" s="21" t="s">
        <v>1059</v>
      </c>
      <c r="B77" s="21" t="s">
        <v>1064</v>
      </c>
      <c r="C77" s="21" t="s">
        <v>1065</v>
      </c>
      <c r="D77" s="21"/>
      <c r="E77" s="21" t="s">
        <v>996</v>
      </c>
      <c r="F77" s="21"/>
      <c r="G77" s="21"/>
      <c r="H77" s="21"/>
      <c r="I77" s="21"/>
      <c r="J77" s="21"/>
      <c r="K77" s="21"/>
      <c r="L77" s="21"/>
    </row>
    <row r="78" spans="1:12" ht="29" x14ac:dyDescent="0.35">
      <c r="A78" s="21" t="s">
        <v>1059</v>
      </c>
      <c r="B78" s="21" t="s">
        <v>1066</v>
      </c>
      <c r="C78" s="21" t="s">
        <v>1067</v>
      </c>
      <c r="D78" s="21"/>
      <c r="E78" s="21" t="s">
        <v>996</v>
      </c>
      <c r="F78" s="21"/>
      <c r="G78" s="21"/>
      <c r="H78" s="21"/>
      <c r="I78" s="21"/>
      <c r="J78" s="21"/>
      <c r="K78" s="21"/>
      <c r="L78" s="21"/>
    </row>
    <row r="79" spans="1:12" ht="29" x14ac:dyDescent="0.35">
      <c r="A79" s="21" t="s">
        <v>1059</v>
      </c>
      <c r="B79" s="21" t="s">
        <v>1068</v>
      </c>
      <c r="C79" s="21" t="s">
        <v>1069</v>
      </c>
      <c r="D79" s="21"/>
      <c r="E79" s="21" t="s">
        <v>996</v>
      </c>
      <c r="F79" s="21"/>
      <c r="G79" s="21"/>
      <c r="H79" s="21"/>
      <c r="I79" s="21"/>
      <c r="J79" s="21"/>
      <c r="K79" s="21"/>
      <c r="L79" s="21"/>
    </row>
    <row r="80" spans="1:12" ht="29" x14ac:dyDescent="0.35">
      <c r="A80" s="21" t="s">
        <v>1059</v>
      </c>
      <c r="B80" s="21" t="s">
        <v>1070</v>
      </c>
      <c r="C80" s="21" t="s">
        <v>1071</v>
      </c>
      <c r="D80" s="21"/>
      <c r="E80" s="21" t="s">
        <v>996</v>
      </c>
      <c r="F80" s="21"/>
      <c r="G80" s="21"/>
      <c r="H80" s="21"/>
      <c r="I80" s="21"/>
      <c r="J80" s="21"/>
      <c r="K80" s="21"/>
      <c r="L80" s="21"/>
    </row>
    <row r="81" spans="1:12" ht="29" x14ac:dyDescent="0.35">
      <c r="A81" s="21" t="s">
        <v>1072</v>
      </c>
      <c r="B81" s="21" t="s">
        <v>1073</v>
      </c>
      <c r="C81" s="21" t="s">
        <v>1074</v>
      </c>
      <c r="D81" s="21"/>
      <c r="E81" s="21" t="s">
        <v>996</v>
      </c>
      <c r="F81" s="21"/>
      <c r="G81" s="21"/>
      <c r="H81" s="21"/>
      <c r="I81" s="21"/>
      <c r="J81" s="21"/>
      <c r="K81" s="21"/>
      <c r="L81" s="21"/>
    </row>
    <row r="82" spans="1:12" ht="29" x14ac:dyDescent="0.35">
      <c r="A82" s="21" t="s">
        <v>1072</v>
      </c>
      <c r="B82" s="21" t="s">
        <v>1075</v>
      </c>
      <c r="C82" s="21" t="s">
        <v>1076</v>
      </c>
      <c r="D82" s="21"/>
      <c r="E82" s="21" t="s">
        <v>996</v>
      </c>
      <c r="F82" s="21"/>
      <c r="G82" s="21"/>
      <c r="H82" s="21"/>
      <c r="I82" s="21"/>
      <c r="J82" s="21"/>
      <c r="K82" s="21"/>
      <c r="L82" s="21"/>
    </row>
    <row r="83" spans="1:12" ht="29" x14ac:dyDescent="0.35">
      <c r="A83" s="21" t="s">
        <v>1072</v>
      </c>
      <c r="B83" s="21" t="s">
        <v>1077</v>
      </c>
      <c r="C83" s="21" t="s">
        <v>1078</v>
      </c>
      <c r="D83" s="21"/>
      <c r="E83" s="21" t="s">
        <v>996</v>
      </c>
      <c r="F83" s="21"/>
      <c r="G83" s="21"/>
      <c r="H83" s="21"/>
      <c r="I83" s="21"/>
      <c r="J83" s="21"/>
      <c r="K83" s="21"/>
      <c r="L83" s="21"/>
    </row>
    <row r="84" spans="1:12" ht="29" x14ac:dyDescent="0.35">
      <c r="A84" s="21" t="s">
        <v>1072</v>
      </c>
      <c r="B84" s="21" t="s">
        <v>1079</v>
      </c>
      <c r="C84" s="21" t="s">
        <v>1080</v>
      </c>
      <c r="D84" s="21"/>
      <c r="E84" s="21" t="s">
        <v>996</v>
      </c>
      <c r="F84" s="21"/>
      <c r="G84" s="21"/>
      <c r="H84" s="21"/>
      <c r="I84" s="21"/>
      <c r="J84" s="21"/>
      <c r="K84" s="21"/>
      <c r="L84" s="21"/>
    </row>
    <row r="85" spans="1:12" ht="29" x14ac:dyDescent="0.35">
      <c r="A85" s="21" t="s">
        <v>1072</v>
      </c>
      <c r="B85" s="21" t="s">
        <v>1081</v>
      </c>
      <c r="C85" s="21" t="s">
        <v>1082</v>
      </c>
      <c r="D85" s="21"/>
      <c r="E85" s="21" t="s">
        <v>996</v>
      </c>
      <c r="F85" s="21"/>
      <c r="G85" s="21"/>
      <c r="H85" s="21"/>
      <c r="I85" s="21"/>
      <c r="J85" s="21"/>
      <c r="K85" s="21"/>
      <c r="L85" s="21"/>
    </row>
    <row r="86" spans="1:12" ht="29" x14ac:dyDescent="0.35">
      <c r="A86" s="21" t="s">
        <v>1072</v>
      </c>
      <c r="B86" s="21" t="s">
        <v>1083</v>
      </c>
      <c r="C86" s="21" t="s">
        <v>1084</v>
      </c>
      <c r="D86" s="21"/>
      <c r="E86" s="21" t="s">
        <v>996</v>
      </c>
      <c r="F86" s="21"/>
      <c r="G86" s="21"/>
      <c r="H86" s="21"/>
      <c r="I86" s="21"/>
      <c r="J86" s="21"/>
      <c r="K86" s="21"/>
      <c r="L86" s="21"/>
    </row>
    <row r="87" spans="1:12" ht="29" x14ac:dyDescent="0.35">
      <c r="A87" s="21" t="s">
        <v>1085</v>
      </c>
      <c r="B87" s="21" t="s">
        <v>1086</v>
      </c>
      <c r="C87" s="21" t="s">
        <v>1087</v>
      </c>
      <c r="D87" s="21"/>
      <c r="E87" s="21" t="s">
        <v>996</v>
      </c>
      <c r="F87" s="21"/>
      <c r="G87" s="21"/>
      <c r="H87" s="21"/>
      <c r="I87" s="21"/>
      <c r="J87" s="21"/>
      <c r="K87" s="21"/>
      <c r="L87" s="21"/>
    </row>
    <row r="88" spans="1:12" ht="29" x14ac:dyDescent="0.35">
      <c r="A88" s="21" t="s">
        <v>1085</v>
      </c>
      <c r="B88" s="21" t="s">
        <v>1088</v>
      </c>
      <c r="C88" s="21" t="s">
        <v>1089</v>
      </c>
      <c r="D88" s="21"/>
      <c r="E88" s="21" t="s">
        <v>996</v>
      </c>
      <c r="F88" s="21"/>
      <c r="G88" s="21"/>
      <c r="H88" s="21"/>
      <c r="I88" s="21"/>
      <c r="J88" s="21"/>
      <c r="K88" s="21"/>
      <c r="L88" s="21"/>
    </row>
    <row r="89" spans="1:12" ht="29" x14ac:dyDescent="0.35">
      <c r="A89" s="21" t="s">
        <v>1085</v>
      </c>
      <c r="B89" s="21" t="s">
        <v>1090</v>
      </c>
      <c r="C89" s="21" t="s">
        <v>1091</v>
      </c>
      <c r="D89" s="21"/>
      <c r="E89" s="21" t="s">
        <v>996</v>
      </c>
      <c r="F89" s="21"/>
      <c r="G89" s="21"/>
      <c r="H89" s="21"/>
      <c r="I89" s="21"/>
      <c r="J89" s="21"/>
      <c r="K89" s="21"/>
      <c r="L89" s="21"/>
    </row>
    <row r="90" spans="1:12" ht="29" x14ac:dyDescent="0.35">
      <c r="A90" s="21" t="s">
        <v>1085</v>
      </c>
      <c r="B90" s="21" t="s">
        <v>1092</v>
      </c>
      <c r="C90" s="21" t="s">
        <v>1093</v>
      </c>
      <c r="D90" s="21"/>
      <c r="E90" s="21" t="s">
        <v>996</v>
      </c>
      <c r="F90" s="21"/>
      <c r="G90" s="21"/>
      <c r="H90" s="21"/>
      <c r="I90" s="21"/>
      <c r="J90" s="21"/>
      <c r="K90" s="21"/>
      <c r="L90" s="21"/>
    </row>
    <row r="91" spans="1:12" ht="29" x14ac:dyDescent="0.35">
      <c r="A91" s="21" t="s">
        <v>1085</v>
      </c>
      <c r="B91" s="21" t="s">
        <v>1094</v>
      </c>
      <c r="C91" s="21" t="s">
        <v>1095</v>
      </c>
      <c r="D91" s="21"/>
      <c r="E91" s="21" t="s">
        <v>996</v>
      </c>
      <c r="F91" s="21"/>
      <c r="G91" s="21"/>
      <c r="H91" s="21"/>
      <c r="I91" s="21"/>
      <c r="J91" s="21"/>
      <c r="K91" s="21"/>
      <c r="L91" s="21"/>
    </row>
    <row r="92" spans="1:12" ht="29" x14ac:dyDescent="0.35">
      <c r="A92" s="21" t="s">
        <v>1085</v>
      </c>
      <c r="B92" s="21" t="s">
        <v>1096</v>
      </c>
      <c r="C92" s="21" t="s">
        <v>1097</v>
      </c>
      <c r="D92" s="21"/>
      <c r="E92" s="21" t="s">
        <v>996</v>
      </c>
      <c r="F92" s="21"/>
      <c r="G92" s="21"/>
      <c r="H92" s="21"/>
      <c r="I92" s="21"/>
      <c r="J92" s="21"/>
      <c r="K92" s="21"/>
      <c r="L92" s="21"/>
    </row>
    <row r="93" spans="1:12" ht="29" x14ac:dyDescent="0.35">
      <c r="A93" s="21" t="s">
        <v>1098</v>
      </c>
      <c r="B93" s="21" t="s">
        <v>1099</v>
      </c>
      <c r="C93" s="21" t="s">
        <v>1100</v>
      </c>
      <c r="D93" s="21"/>
      <c r="E93" s="21" t="s">
        <v>996</v>
      </c>
      <c r="F93" s="21"/>
      <c r="G93" s="21"/>
      <c r="H93" s="21"/>
      <c r="I93" s="21"/>
      <c r="J93" s="21"/>
      <c r="K93" s="21"/>
      <c r="L93" s="21"/>
    </row>
    <row r="94" spans="1:12" ht="29" x14ac:dyDescent="0.35">
      <c r="A94" s="21" t="s">
        <v>1098</v>
      </c>
      <c r="B94" s="21" t="s">
        <v>1101</v>
      </c>
      <c r="C94" s="21" t="s">
        <v>1102</v>
      </c>
      <c r="D94" s="21"/>
      <c r="E94" s="21" t="s">
        <v>996</v>
      </c>
      <c r="F94" s="21"/>
      <c r="G94" s="21"/>
      <c r="H94" s="21"/>
      <c r="I94" s="21"/>
      <c r="J94" s="21"/>
      <c r="K94" s="21"/>
      <c r="L94" s="21"/>
    </row>
    <row r="95" spans="1:12" ht="29" x14ac:dyDescent="0.35">
      <c r="A95" s="21" t="s">
        <v>1098</v>
      </c>
      <c r="B95" s="21" t="s">
        <v>1103</v>
      </c>
      <c r="C95" s="21" t="s">
        <v>1104</v>
      </c>
      <c r="D95" s="21"/>
      <c r="E95" s="21" t="s">
        <v>996</v>
      </c>
      <c r="F95" s="21"/>
      <c r="G95" s="21"/>
      <c r="H95" s="21"/>
      <c r="I95" s="21"/>
      <c r="J95" s="21"/>
      <c r="K95" s="21"/>
      <c r="L95" s="21"/>
    </row>
    <row r="96" spans="1:12" ht="29" x14ac:dyDescent="0.35">
      <c r="A96" s="21" t="s">
        <v>1098</v>
      </c>
      <c r="B96" s="21" t="s">
        <v>1105</v>
      </c>
      <c r="C96" s="21" t="s">
        <v>1106</v>
      </c>
      <c r="D96" s="21"/>
      <c r="E96" s="21" t="s">
        <v>996</v>
      </c>
      <c r="F96" s="21"/>
      <c r="G96" s="21"/>
      <c r="H96" s="21"/>
      <c r="I96" s="21"/>
      <c r="J96" s="21"/>
      <c r="K96" s="21"/>
      <c r="L96" s="21"/>
    </row>
    <row r="97" spans="1:12" ht="29" x14ac:dyDescent="0.35">
      <c r="A97" s="21" t="s">
        <v>1098</v>
      </c>
      <c r="B97" s="21" t="s">
        <v>1107</v>
      </c>
      <c r="C97" s="21" t="s">
        <v>1108</v>
      </c>
      <c r="D97" s="21"/>
      <c r="E97" s="21" t="s">
        <v>996</v>
      </c>
      <c r="F97" s="21"/>
      <c r="G97" s="21"/>
      <c r="H97" s="21"/>
      <c r="I97" s="21"/>
      <c r="J97" s="21"/>
      <c r="K97" s="21"/>
      <c r="L97" s="21"/>
    </row>
    <row r="98" spans="1:12" ht="29" x14ac:dyDescent="0.35">
      <c r="A98" s="21" t="s">
        <v>1098</v>
      </c>
      <c r="B98" s="21" t="s">
        <v>1109</v>
      </c>
      <c r="C98" s="21" t="s">
        <v>1110</v>
      </c>
      <c r="D98" s="21"/>
      <c r="E98" s="21" t="s">
        <v>996</v>
      </c>
      <c r="F98" s="21"/>
      <c r="G98" s="21"/>
      <c r="H98" s="21"/>
      <c r="I98" s="21"/>
      <c r="J98" s="21"/>
      <c r="K98" s="21"/>
      <c r="L98" s="21"/>
    </row>
    <row r="99" spans="1:12" ht="29" x14ac:dyDescent="0.35">
      <c r="A99" s="21" t="s">
        <v>1111</v>
      </c>
      <c r="B99" s="21" t="s">
        <v>1112</v>
      </c>
      <c r="C99" s="21" t="s">
        <v>1113</v>
      </c>
      <c r="D99" s="21"/>
      <c r="E99" s="21" t="s">
        <v>1114</v>
      </c>
      <c r="F99" s="21"/>
      <c r="G99" s="21"/>
      <c r="H99" s="21"/>
      <c r="I99" s="21"/>
      <c r="J99" s="21"/>
      <c r="K99" s="21"/>
      <c r="L99" s="21"/>
    </row>
    <row r="100" spans="1:12" ht="29" x14ac:dyDescent="0.35">
      <c r="A100" s="21" t="s">
        <v>1111</v>
      </c>
      <c r="B100" s="21" t="s">
        <v>1115</v>
      </c>
      <c r="C100" s="21" t="s">
        <v>1116</v>
      </c>
      <c r="D100" s="21"/>
      <c r="E100" s="21" t="s">
        <v>1114</v>
      </c>
      <c r="F100" s="21"/>
      <c r="G100" s="21"/>
      <c r="H100" s="21"/>
      <c r="I100" s="21"/>
      <c r="J100" s="21"/>
      <c r="K100" s="21"/>
      <c r="L100" s="21"/>
    </row>
    <row r="101" spans="1:12" ht="29" x14ac:dyDescent="0.35">
      <c r="A101" s="21" t="s">
        <v>1111</v>
      </c>
      <c r="B101" s="21" t="s">
        <v>1117</v>
      </c>
      <c r="C101" s="21" t="s">
        <v>1118</v>
      </c>
      <c r="D101" s="21"/>
      <c r="E101" s="21" t="s">
        <v>1114</v>
      </c>
      <c r="F101" s="21"/>
      <c r="G101" s="21"/>
      <c r="H101" s="21"/>
      <c r="I101" s="21"/>
      <c r="J101" s="21"/>
      <c r="K101" s="21"/>
      <c r="L101" s="21"/>
    </row>
    <row r="102" spans="1:12" ht="29" x14ac:dyDescent="0.35">
      <c r="A102" s="21" t="s">
        <v>1111</v>
      </c>
      <c r="B102" s="21" t="s">
        <v>1119</v>
      </c>
      <c r="C102" s="21" t="s">
        <v>1120</v>
      </c>
      <c r="D102" s="21"/>
      <c r="E102" s="21" t="s">
        <v>1114</v>
      </c>
      <c r="F102" s="21"/>
      <c r="G102" s="21"/>
      <c r="H102" s="21"/>
      <c r="I102" s="21"/>
      <c r="J102" s="21"/>
      <c r="K102" s="21"/>
      <c r="L102" s="21"/>
    </row>
    <row r="103" spans="1:12" ht="29" x14ac:dyDescent="0.35">
      <c r="A103" s="21" t="s">
        <v>1111</v>
      </c>
      <c r="B103" s="21" t="s">
        <v>1121</v>
      </c>
      <c r="C103" s="21" t="s">
        <v>1122</v>
      </c>
      <c r="D103" s="21"/>
      <c r="E103" s="21" t="s">
        <v>1114</v>
      </c>
      <c r="F103" s="21"/>
      <c r="G103" s="21"/>
      <c r="H103" s="21"/>
      <c r="I103" s="21"/>
      <c r="J103" s="21"/>
      <c r="K103" s="21"/>
      <c r="L103" s="21"/>
    </row>
    <row r="104" spans="1:12" ht="29" x14ac:dyDescent="0.35">
      <c r="A104" s="21" t="s">
        <v>1111</v>
      </c>
      <c r="B104" s="21" t="s">
        <v>1123</v>
      </c>
      <c r="C104" s="21" t="s">
        <v>1124</v>
      </c>
      <c r="D104" s="21"/>
      <c r="E104" s="21" t="s">
        <v>1114</v>
      </c>
      <c r="F104" s="21"/>
      <c r="G104" s="21"/>
      <c r="H104" s="21"/>
      <c r="I104" s="21"/>
      <c r="J104" s="21"/>
      <c r="K104" s="21"/>
      <c r="L104" s="21"/>
    </row>
    <row r="105" spans="1:12" ht="29" x14ac:dyDescent="0.35">
      <c r="A105" s="21" t="s">
        <v>1125</v>
      </c>
      <c r="B105" s="21" t="s">
        <v>1126</v>
      </c>
      <c r="C105" s="21" t="s">
        <v>1127</v>
      </c>
      <c r="D105" s="21"/>
      <c r="E105" s="21" t="s">
        <v>1114</v>
      </c>
      <c r="F105" s="21"/>
      <c r="G105" s="21"/>
      <c r="H105" s="21"/>
      <c r="I105" s="21"/>
      <c r="J105" s="21"/>
      <c r="K105" s="21"/>
      <c r="L105" s="21"/>
    </row>
    <row r="106" spans="1:12" ht="29" x14ac:dyDescent="0.35">
      <c r="A106" s="21" t="s">
        <v>1125</v>
      </c>
      <c r="B106" s="21" t="s">
        <v>1128</v>
      </c>
      <c r="C106" s="21" t="s">
        <v>1129</v>
      </c>
      <c r="D106" s="21"/>
      <c r="E106" s="21" t="s">
        <v>1114</v>
      </c>
      <c r="F106" s="21"/>
      <c r="G106" s="21"/>
      <c r="H106" s="21"/>
      <c r="I106" s="21"/>
      <c r="J106" s="21"/>
      <c r="K106" s="21"/>
      <c r="L106" s="21"/>
    </row>
    <row r="107" spans="1:12" ht="43.5" x14ac:dyDescent="0.35">
      <c r="A107" s="21" t="s">
        <v>1125</v>
      </c>
      <c r="B107" s="21" t="s">
        <v>1130</v>
      </c>
      <c r="C107" s="21" t="s">
        <v>1131</v>
      </c>
      <c r="D107" s="21"/>
      <c r="E107" s="21" t="s">
        <v>1114</v>
      </c>
      <c r="F107" s="21"/>
      <c r="G107" s="21"/>
      <c r="H107" s="21"/>
      <c r="I107" s="21"/>
      <c r="J107" s="21"/>
      <c r="K107" s="21"/>
      <c r="L107" s="21"/>
    </row>
    <row r="108" spans="1:12" ht="29" x14ac:dyDescent="0.35">
      <c r="A108" s="21" t="s">
        <v>1125</v>
      </c>
      <c r="B108" s="21" t="s">
        <v>1132</v>
      </c>
      <c r="C108" s="21" t="s">
        <v>1133</v>
      </c>
      <c r="D108" s="21"/>
      <c r="E108" s="21" t="s">
        <v>1114</v>
      </c>
      <c r="F108" s="21"/>
      <c r="G108" s="21"/>
      <c r="H108" s="21"/>
      <c r="I108" s="21"/>
      <c r="J108" s="21"/>
      <c r="K108" s="21"/>
      <c r="L108" s="21"/>
    </row>
    <row r="109" spans="1:12" ht="29" x14ac:dyDescent="0.35">
      <c r="A109" s="21" t="s">
        <v>1125</v>
      </c>
      <c r="B109" s="21" t="s">
        <v>1134</v>
      </c>
      <c r="C109" s="21" t="s">
        <v>1135</v>
      </c>
      <c r="D109" s="21"/>
      <c r="E109" s="21" t="s">
        <v>1114</v>
      </c>
      <c r="F109" s="21"/>
      <c r="G109" s="21"/>
      <c r="H109" s="21"/>
      <c r="I109" s="21"/>
      <c r="J109" s="21"/>
      <c r="K109" s="21"/>
      <c r="L109" s="21"/>
    </row>
    <row r="110" spans="1:12" ht="29" x14ac:dyDescent="0.35">
      <c r="A110" s="21" t="s">
        <v>1125</v>
      </c>
      <c r="B110" s="21" t="s">
        <v>1136</v>
      </c>
      <c r="C110" s="21" t="s">
        <v>1137</v>
      </c>
      <c r="D110" s="21"/>
      <c r="E110" s="21" t="s">
        <v>1114</v>
      </c>
      <c r="F110" s="21"/>
      <c r="G110" s="21"/>
      <c r="H110" s="21"/>
      <c r="I110" s="21"/>
      <c r="J110" s="21"/>
      <c r="K110" s="21"/>
      <c r="L110" s="21"/>
    </row>
    <row r="111" spans="1:12" ht="29" x14ac:dyDescent="0.35">
      <c r="A111" s="21" t="s">
        <v>1138</v>
      </c>
      <c r="B111" s="21" t="s">
        <v>1139</v>
      </c>
      <c r="C111" s="21" t="s">
        <v>1140</v>
      </c>
      <c r="D111" s="21"/>
      <c r="E111" s="21" t="s">
        <v>996</v>
      </c>
      <c r="F111" s="21"/>
      <c r="G111" s="21"/>
      <c r="H111" s="21"/>
      <c r="I111" s="21"/>
      <c r="J111" s="21"/>
      <c r="K111" s="21"/>
      <c r="L111" s="21"/>
    </row>
    <row r="112" spans="1:12" ht="29" x14ac:dyDescent="0.35">
      <c r="A112" s="21" t="s">
        <v>1138</v>
      </c>
      <c r="B112" s="21" t="s">
        <v>1141</v>
      </c>
      <c r="C112" s="21" t="s">
        <v>1142</v>
      </c>
      <c r="D112" s="21"/>
      <c r="E112" s="21" t="s">
        <v>996</v>
      </c>
      <c r="F112" s="21"/>
      <c r="G112" s="21"/>
      <c r="H112" s="21"/>
      <c r="I112" s="21"/>
      <c r="J112" s="21"/>
      <c r="K112" s="21"/>
      <c r="L112" s="21"/>
    </row>
    <row r="113" spans="1:12" ht="29" x14ac:dyDescent="0.35">
      <c r="A113" s="21" t="s">
        <v>1138</v>
      </c>
      <c r="B113" s="21" t="s">
        <v>1143</v>
      </c>
      <c r="C113" s="21" t="s">
        <v>1144</v>
      </c>
      <c r="D113" s="21"/>
      <c r="E113" s="21" t="s">
        <v>996</v>
      </c>
      <c r="F113" s="21"/>
      <c r="G113" s="21"/>
      <c r="H113" s="21"/>
      <c r="I113" s="21"/>
      <c r="J113" s="21"/>
      <c r="K113" s="21"/>
      <c r="L113" s="21"/>
    </row>
    <row r="114" spans="1:12" ht="29" x14ac:dyDescent="0.35">
      <c r="A114" s="21" t="s">
        <v>1138</v>
      </c>
      <c r="B114" s="21" t="s">
        <v>1145</v>
      </c>
      <c r="C114" s="21" t="s">
        <v>1146</v>
      </c>
      <c r="D114" s="21"/>
      <c r="E114" s="21" t="s">
        <v>996</v>
      </c>
      <c r="F114" s="21"/>
      <c r="G114" s="21"/>
      <c r="H114" s="21"/>
      <c r="I114" s="21"/>
      <c r="J114" s="21"/>
      <c r="K114" s="21"/>
      <c r="L114" s="21"/>
    </row>
    <row r="115" spans="1:12" ht="29" x14ac:dyDescent="0.35">
      <c r="A115" s="21" t="s">
        <v>1138</v>
      </c>
      <c r="B115" s="21" t="s">
        <v>1147</v>
      </c>
      <c r="C115" s="21" t="s">
        <v>1148</v>
      </c>
      <c r="D115" s="21"/>
      <c r="E115" s="21" t="s">
        <v>996</v>
      </c>
      <c r="F115" s="21"/>
      <c r="G115" s="21"/>
      <c r="H115" s="21"/>
      <c r="I115" s="21"/>
      <c r="J115" s="21"/>
      <c r="K115" s="21"/>
      <c r="L115" s="21"/>
    </row>
    <row r="116" spans="1:12" ht="29" x14ac:dyDescent="0.35">
      <c r="A116" s="21" t="s">
        <v>1138</v>
      </c>
      <c r="B116" s="21" t="s">
        <v>1149</v>
      </c>
      <c r="C116" s="21" t="s">
        <v>1150</v>
      </c>
      <c r="D116" s="21"/>
      <c r="E116" s="21" t="s">
        <v>996</v>
      </c>
      <c r="F116" s="21"/>
      <c r="G116" s="21"/>
      <c r="H116" s="21"/>
      <c r="I116" s="21"/>
      <c r="J116" s="21"/>
      <c r="K116" s="21"/>
      <c r="L116" s="21"/>
    </row>
    <row r="117" spans="1:12" ht="29" x14ac:dyDescent="0.35">
      <c r="A117" s="21" t="s">
        <v>1151</v>
      </c>
      <c r="B117" s="21" t="s">
        <v>1152</v>
      </c>
      <c r="C117" s="21" t="s">
        <v>1153</v>
      </c>
      <c r="D117" s="21"/>
      <c r="E117" s="21" t="s">
        <v>996</v>
      </c>
      <c r="F117" s="21"/>
      <c r="G117" s="21"/>
      <c r="H117" s="21"/>
      <c r="I117" s="21"/>
      <c r="J117" s="21"/>
      <c r="K117" s="21"/>
      <c r="L117" s="21"/>
    </row>
    <row r="118" spans="1:12" ht="29" x14ac:dyDescent="0.35">
      <c r="A118" s="21" t="s">
        <v>1151</v>
      </c>
      <c r="B118" s="21" t="s">
        <v>1154</v>
      </c>
      <c r="C118" s="21" t="s">
        <v>1155</v>
      </c>
      <c r="D118" s="21"/>
      <c r="E118" s="21" t="s">
        <v>996</v>
      </c>
      <c r="F118" s="21"/>
      <c r="G118" s="21"/>
      <c r="H118" s="21"/>
      <c r="I118" s="21"/>
      <c r="J118" s="21"/>
      <c r="K118" s="21"/>
      <c r="L118" s="21"/>
    </row>
    <row r="119" spans="1:12" ht="29" x14ac:dyDescent="0.35">
      <c r="A119" s="21" t="s">
        <v>1151</v>
      </c>
      <c r="B119" s="21" t="s">
        <v>1156</v>
      </c>
      <c r="C119" s="21" t="s">
        <v>1157</v>
      </c>
      <c r="D119" s="21"/>
      <c r="E119" s="21" t="s">
        <v>996</v>
      </c>
      <c r="F119" s="21"/>
      <c r="G119" s="21"/>
      <c r="H119" s="21"/>
      <c r="I119" s="21"/>
      <c r="J119" s="21"/>
      <c r="K119" s="21"/>
      <c r="L119" s="21"/>
    </row>
    <row r="120" spans="1:12" ht="29" x14ac:dyDescent="0.35">
      <c r="A120" s="21" t="s">
        <v>1151</v>
      </c>
      <c r="B120" s="21" t="s">
        <v>1158</v>
      </c>
      <c r="C120" s="21" t="s">
        <v>1159</v>
      </c>
      <c r="D120" s="21"/>
      <c r="E120" s="21" t="s">
        <v>996</v>
      </c>
      <c r="F120" s="21"/>
      <c r="G120" s="21"/>
      <c r="H120" s="21"/>
      <c r="I120" s="21"/>
      <c r="J120" s="21"/>
      <c r="K120" s="21"/>
      <c r="L120" s="21"/>
    </row>
    <row r="121" spans="1:12" ht="29" x14ac:dyDescent="0.35">
      <c r="A121" s="21" t="s">
        <v>1151</v>
      </c>
      <c r="B121" s="21" t="s">
        <v>1160</v>
      </c>
      <c r="C121" s="21" t="s">
        <v>1161</v>
      </c>
      <c r="D121" s="21"/>
      <c r="E121" s="21" t="s">
        <v>996</v>
      </c>
      <c r="F121" s="21"/>
      <c r="G121" s="21"/>
      <c r="H121" s="21"/>
      <c r="I121" s="21"/>
      <c r="J121" s="21"/>
      <c r="K121" s="21"/>
      <c r="L121" s="21"/>
    </row>
    <row r="122" spans="1:12" ht="29" x14ac:dyDescent="0.35">
      <c r="A122" s="21" t="s">
        <v>1151</v>
      </c>
      <c r="B122" s="21" t="s">
        <v>1162</v>
      </c>
      <c r="C122" s="21" t="s">
        <v>1163</v>
      </c>
      <c r="D122" s="21"/>
      <c r="E122" s="21" t="s">
        <v>996</v>
      </c>
      <c r="F122" s="21"/>
      <c r="G122" s="21"/>
      <c r="H122" s="21"/>
      <c r="I122" s="21"/>
      <c r="J122" s="21"/>
      <c r="K122" s="21"/>
      <c r="L122" s="21"/>
    </row>
    <row r="123" spans="1:12" ht="29" x14ac:dyDescent="0.35">
      <c r="A123" s="21" t="s">
        <v>432</v>
      </c>
      <c r="B123" s="21" t="s">
        <v>1164</v>
      </c>
      <c r="C123" s="21" t="s">
        <v>1165</v>
      </c>
      <c r="D123" s="21"/>
      <c r="E123" s="21" t="s">
        <v>1114</v>
      </c>
      <c r="F123" s="21"/>
      <c r="G123" s="21"/>
      <c r="H123" s="21"/>
      <c r="I123" s="21"/>
      <c r="J123" s="21"/>
      <c r="K123" s="21"/>
      <c r="L123" s="21"/>
    </row>
    <row r="124" spans="1:12" ht="29" x14ac:dyDescent="0.35">
      <c r="A124" s="21" t="s">
        <v>432</v>
      </c>
      <c r="B124" s="21" t="s">
        <v>1166</v>
      </c>
      <c r="C124" s="21" t="s">
        <v>1167</v>
      </c>
      <c r="D124" s="21"/>
      <c r="E124" s="21" t="s">
        <v>1114</v>
      </c>
      <c r="F124" s="21"/>
      <c r="G124" s="21"/>
      <c r="H124" s="21"/>
      <c r="I124" s="21"/>
      <c r="J124" s="21"/>
      <c r="K124" s="21"/>
      <c r="L124" s="21"/>
    </row>
    <row r="125" spans="1:12" ht="29" x14ac:dyDescent="0.35">
      <c r="A125" s="21" t="s">
        <v>432</v>
      </c>
      <c r="B125" s="21" t="s">
        <v>1168</v>
      </c>
      <c r="C125" s="21" t="s">
        <v>1169</v>
      </c>
      <c r="D125" s="21"/>
      <c r="E125" s="21" t="s">
        <v>1114</v>
      </c>
      <c r="F125" s="21"/>
      <c r="G125" s="21"/>
      <c r="H125" s="21"/>
      <c r="I125" s="21"/>
      <c r="J125" s="21"/>
      <c r="K125" s="21"/>
      <c r="L125" s="21"/>
    </row>
    <row r="126" spans="1:12" ht="29" x14ac:dyDescent="0.35">
      <c r="A126" s="21" t="s">
        <v>432</v>
      </c>
      <c r="B126" s="21" t="s">
        <v>1170</v>
      </c>
      <c r="C126" s="21" t="s">
        <v>1171</v>
      </c>
      <c r="D126" s="21"/>
      <c r="E126" s="21" t="s">
        <v>1114</v>
      </c>
      <c r="F126" s="21"/>
      <c r="G126" s="21"/>
      <c r="H126" s="21"/>
      <c r="I126" s="21"/>
      <c r="J126" s="21"/>
      <c r="K126" s="21"/>
      <c r="L126" s="21"/>
    </row>
    <row r="127" spans="1:12" ht="29" x14ac:dyDescent="0.35">
      <c r="A127" s="21" t="s">
        <v>432</v>
      </c>
      <c r="B127" s="21" t="s">
        <v>1172</v>
      </c>
      <c r="C127" s="21" t="s">
        <v>1173</v>
      </c>
      <c r="D127" s="21"/>
      <c r="E127" s="21" t="s">
        <v>1114</v>
      </c>
      <c r="F127" s="21"/>
      <c r="G127" s="21"/>
      <c r="H127" s="21"/>
      <c r="I127" s="21"/>
      <c r="J127" s="21"/>
      <c r="K127" s="21"/>
      <c r="L127" s="21"/>
    </row>
    <row r="128" spans="1:12" ht="29" x14ac:dyDescent="0.35">
      <c r="A128" s="21" t="s">
        <v>432</v>
      </c>
      <c r="B128" s="21" t="s">
        <v>1174</v>
      </c>
      <c r="C128" s="21" t="s">
        <v>1175</v>
      </c>
      <c r="D128" s="21"/>
      <c r="E128" s="21" t="s">
        <v>1114</v>
      </c>
      <c r="F128" s="21"/>
      <c r="G128" s="21"/>
      <c r="H128" s="21"/>
      <c r="I128" s="21"/>
      <c r="J128" s="21"/>
      <c r="K128" s="21"/>
      <c r="L128" s="21"/>
    </row>
    <row r="129" spans="1:12" ht="29" x14ac:dyDescent="0.35">
      <c r="A129" s="21" t="s">
        <v>1176</v>
      </c>
      <c r="B129" s="21" t="s">
        <v>1177</v>
      </c>
      <c r="C129" s="21" t="s">
        <v>1178</v>
      </c>
      <c r="D129" s="21"/>
      <c r="E129" s="21" t="s">
        <v>996</v>
      </c>
      <c r="F129" s="21"/>
      <c r="G129" s="21"/>
      <c r="H129" s="21"/>
      <c r="I129" s="21"/>
      <c r="J129" s="21"/>
      <c r="K129" s="21"/>
      <c r="L129" s="21"/>
    </row>
    <row r="130" spans="1:12" ht="29" x14ac:dyDescent="0.35">
      <c r="A130" s="21" t="s">
        <v>1176</v>
      </c>
      <c r="B130" s="21" t="s">
        <v>1179</v>
      </c>
      <c r="C130" s="21" t="s">
        <v>1180</v>
      </c>
      <c r="D130" s="21"/>
      <c r="E130" s="21" t="s">
        <v>996</v>
      </c>
      <c r="F130" s="21"/>
      <c r="G130" s="21"/>
      <c r="H130" s="21"/>
      <c r="I130" s="21"/>
      <c r="J130" s="21"/>
      <c r="K130" s="21"/>
      <c r="L130" s="21"/>
    </row>
    <row r="131" spans="1:12" ht="29" x14ac:dyDescent="0.35">
      <c r="A131" s="21" t="s">
        <v>1176</v>
      </c>
      <c r="B131" s="21" t="s">
        <v>1181</v>
      </c>
      <c r="C131" s="21" t="s">
        <v>1182</v>
      </c>
      <c r="D131" s="21"/>
      <c r="E131" s="21" t="s">
        <v>996</v>
      </c>
      <c r="F131" s="21"/>
      <c r="G131" s="21"/>
      <c r="H131" s="21"/>
      <c r="I131" s="21"/>
      <c r="J131" s="21"/>
      <c r="K131" s="21"/>
      <c r="L131" s="21"/>
    </row>
    <row r="132" spans="1:12" ht="29" x14ac:dyDescent="0.35">
      <c r="A132" s="21" t="s">
        <v>1176</v>
      </c>
      <c r="B132" s="21" t="s">
        <v>1183</v>
      </c>
      <c r="C132" s="21" t="s">
        <v>1184</v>
      </c>
      <c r="D132" s="21"/>
      <c r="E132" s="21" t="s">
        <v>996</v>
      </c>
      <c r="F132" s="21"/>
      <c r="G132" s="21"/>
      <c r="H132" s="21"/>
      <c r="I132" s="21"/>
      <c r="J132" s="21"/>
      <c r="K132" s="21"/>
      <c r="L132" s="21"/>
    </row>
    <row r="133" spans="1:12" ht="29" x14ac:dyDescent="0.35">
      <c r="A133" s="21" t="s">
        <v>1176</v>
      </c>
      <c r="B133" s="21" t="s">
        <v>1185</v>
      </c>
      <c r="C133" s="21" t="s">
        <v>1186</v>
      </c>
      <c r="D133" s="21"/>
      <c r="E133" s="21" t="s">
        <v>996</v>
      </c>
      <c r="F133" s="21"/>
      <c r="G133" s="21"/>
      <c r="H133" s="21"/>
      <c r="I133" s="21"/>
      <c r="J133" s="21"/>
      <c r="K133" s="21"/>
      <c r="L133" s="21"/>
    </row>
    <row r="134" spans="1:12" ht="29" x14ac:dyDescent="0.35">
      <c r="A134" s="21" t="s">
        <v>1176</v>
      </c>
      <c r="B134" s="21" t="s">
        <v>1187</v>
      </c>
      <c r="C134" s="21" t="s">
        <v>1188</v>
      </c>
      <c r="D134" s="21"/>
      <c r="E134" s="21" t="s">
        <v>996</v>
      </c>
      <c r="F134" s="21"/>
      <c r="G134" s="21"/>
      <c r="H134" s="21"/>
      <c r="I134" s="21"/>
      <c r="J134" s="21"/>
      <c r="K134" s="21"/>
      <c r="L134" s="21"/>
    </row>
    <row r="135" spans="1:12" ht="29" x14ac:dyDescent="0.35">
      <c r="A135" s="21" t="s">
        <v>1189</v>
      </c>
      <c r="B135" s="21" t="s">
        <v>1190</v>
      </c>
      <c r="C135" s="21" t="s">
        <v>1191</v>
      </c>
      <c r="D135" s="21"/>
      <c r="E135" s="21" t="s">
        <v>996</v>
      </c>
      <c r="F135" s="21"/>
      <c r="G135" s="21"/>
      <c r="H135" s="21"/>
      <c r="I135" s="21"/>
      <c r="J135" s="21"/>
      <c r="K135" s="21"/>
      <c r="L135" s="21"/>
    </row>
    <row r="136" spans="1:12" ht="29" x14ac:dyDescent="0.35">
      <c r="A136" s="21" t="s">
        <v>1189</v>
      </c>
      <c r="B136" s="21" t="s">
        <v>1192</v>
      </c>
      <c r="C136" s="21" t="s">
        <v>1193</v>
      </c>
      <c r="D136" s="21"/>
      <c r="E136" s="21" t="s">
        <v>996</v>
      </c>
      <c r="F136" s="21"/>
      <c r="G136" s="21"/>
      <c r="H136" s="21"/>
      <c r="I136" s="21"/>
      <c r="J136" s="21"/>
      <c r="K136" s="21"/>
      <c r="L136" s="21"/>
    </row>
    <row r="137" spans="1:12" ht="29" x14ac:dyDescent="0.35">
      <c r="A137" s="21" t="s">
        <v>1189</v>
      </c>
      <c r="B137" s="21" t="s">
        <v>1194</v>
      </c>
      <c r="C137" s="21" t="s">
        <v>1195</v>
      </c>
      <c r="D137" s="21"/>
      <c r="E137" s="21" t="s">
        <v>996</v>
      </c>
      <c r="F137" s="21"/>
      <c r="G137" s="21"/>
      <c r="H137" s="21"/>
      <c r="I137" s="21"/>
      <c r="J137" s="21"/>
      <c r="K137" s="21"/>
      <c r="L137" s="21"/>
    </row>
    <row r="138" spans="1:12" ht="29" x14ac:dyDescent="0.35">
      <c r="A138" s="21" t="s">
        <v>1189</v>
      </c>
      <c r="B138" s="21" t="s">
        <v>1196</v>
      </c>
      <c r="C138" s="21" t="s">
        <v>1197</v>
      </c>
      <c r="D138" s="21"/>
      <c r="E138" s="21" t="s">
        <v>996</v>
      </c>
      <c r="F138" s="21"/>
      <c r="G138" s="21"/>
      <c r="H138" s="21"/>
      <c r="I138" s="21"/>
      <c r="J138" s="21"/>
      <c r="K138" s="21"/>
      <c r="L138" s="21"/>
    </row>
    <row r="139" spans="1:12" ht="29" x14ac:dyDescent="0.35">
      <c r="A139" s="21" t="s">
        <v>1189</v>
      </c>
      <c r="B139" s="21" t="s">
        <v>1198</v>
      </c>
      <c r="C139" s="21" t="s">
        <v>1199</v>
      </c>
      <c r="D139" s="21"/>
      <c r="E139" s="21" t="s">
        <v>996</v>
      </c>
      <c r="F139" s="21"/>
      <c r="G139" s="21"/>
      <c r="H139" s="21"/>
      <c r="I139" s="21"/>
      <c r="J139" s="21"/>
      <c r="K139" s="21"/>
      <c r="L139" s="21"/>
    </row>
    <row r="140" spans="1:12" ht="29" x14ac:dyDescent="0.35">
      <c r="A140" s="21" t="s">
        <v>1189</v>
      </c>
      <c r="B140" s="21" t="s">
        <v>1200</v>
      </c>
      <c r="C140" s="21" t="s">
        <v>1201</v>
      </c>
      <c r="D140" s="21"/>
      <c r="E140" s="21" t="s">
        <v>996</v>
      </c>
      <c r="F140" s="21"/>
      <c r="G140" s="21"/>
      <c r="H140" s="21"/>
      <c r="I140" s="21"/>
      <c r="J140" s="21"/>
      <c r="K140" s="21"/>
      <c r="L140" s="21"/>
    </row>
    <row r="141" spans="1:12" ht="29" x14ac:dyDescent="0.35">
      <c r="A141" s="21" t="s">
        <v>1202</v>
      </c>
      <c r="B141" s="21" t="s">
        <v>1203</v>
      </c>
      <c r="C141" s="21" t="s">
        <v>1204</v>
      </c>
      <c r="D141" s="21"/>
      <c r="E141" s="21" t="s">
        <v>996</v>
      </c>
      <c r="F141" s="21"/>
      <c r="G141" s="21"/>
      <c r="H141" s="21"/>
      <c r="I141" s="21"/>
      <c r="J141" s="21"/>
      <c r="K141" s="21"/>
      <c r="L141" s="21"/>
    </row>
    <row r="142" spans="1:12" ht="29" x14ac:dyDescent="0.35">
      <c r="A142" s="21" t="s">
        <v>1202</v>
      </c>
      <c r="B142" s="21" t="s">
        <v>1205</v>
      </c>
      <c r="C142" s="21" t="s">
        <v>1206</v>
      </c>
      <c r="D142" s="21"/>
      <c r="E142" s="21" t="s">
        <v>996</v>
      </c>
      <c r="F142" s="21"/>
      <c r="G142" s="21"/>
      <c r="H142" s="21"/>
      <c r="I142" s="21"/>
      <c r="J142" s="21"/>
      <c r="K142" s="21"/>
      <c r="L142" s="21"/>
    </row>
    <row r="143" spans="1:12" ht="29" x14ac:dyDescent="0.35">
      <c r="A143" s="21" t="s">
        <v>1202</v>
      </c>
      <c r="B143" s="21" t="s">
        <v>1207</v>
      </c>
      <c r="C143" s="21" t="s">
        <v>1208</v>
      </c>
      <c r="D143" s="21"/>
      <c r="E143" s="21" t="s">
        <v>996</v>
      </c>
      <c r="F143" s="21"/>
      <c r="G143" s="21"/>
      <c r="H143" s="21"/>
      <c r="I143" s="21"/>
      <c r="J143" s="21"/>
      <c r="K143" s="21"/>
      <c r="L143" s="21"/>
    </row>
    <row r="144" spans="1:12" ht="29" x14ac:dyDescent="0.35">
      <c r="A144" s="21" t="s">
        <v>1202</v>
      </c>
      <c r="B144" s="21" t="s">
        <v>1209</v>
      </c>
      <c r="C144" s="21" t="s">
        <v>1210</v>
      </c>
      <c r="D144" s="21"/>
      <c r="E144" s="21" t="s">
        <v>996</v>
      </c>
      <c r="F144" s="21"/>
      <c r="G144" s="21"/>
      <c r="H144" s="21"/>
      <c r="I144" s="21"/>
      <c r="J144" s="21"/>
      <c r="K144" s="21"/>
      <c r="L144" s="21"/>
    </row>
    <row r="145" spans="1:12" ht="29" x14ac:dyDescent="0.35">
      <c r="A145" s="21" t="s">
        <v>1202</v>
      </c>
      <c r="B145" s="21" t="s">
        <v>1211</v>
      </c>
      <c r="C145" s="21" t="s">
        <v>1212</v>
      </c>
      <c r="D145" s="21"/>
      <c r="E145" s="21" t="s">
        <v>996</v>
      </c>
      <c r="F145" s="21"/>
      <c r="G145" s="21"/>
      <c r="H145" s="21"/>
      <c r="I145" s="21"/>
      <c r="J145" s="21"/>
      <c r="K145" s="21"/>
      <c r="L145" s="21"/>
    </row>
    <row r="146" spans="1:12" ht="29" x14ac:dyDescent="0.35">
      <c r="A146" s="21" t="s">
        <v>1202</v>
      </c>
      <c r="B146" s="21" t="s">
        <v>1213</v>
      </c>
      <c r="C146" s="21" t="s">
        <v>1214</v>
      </c>
      <c r="D146" s="21"/>
      <c r="E146" s="21" t="s">
        <v>996</v>
      </c>
      <c r="F146" s="21"/>
      <c r="G146" s="21"/>
      <c r="H146" s="21"/>
      <c r="I146" s="21"/>
      <c r="J146" s="21"/>
      <c r="K146" s="21"/>
      <c r="L146" s="21"/>
    </row>
    <row r="147" spans="1:12" ht="29" x14ac:dyDescent="0.35">
      <c r="A147" s="21" t="s">
        <v>1215</v>
      </c>
      <c r="B147" s="21" t="s">
        <v>1216</v>
      </c>
      <c r="C147" s="21" t="s">
        <v>1217</v>
      </c>
      <c r="D147" s="21"/>
      <c r="E147" s="21" t="s">
        <v>996</v>
      </c>
      <c r="F147" s="21"/>
      <c r="G147" s="21"/>
      <c r="H147" s="21"/>
      <c r="I147" s="21"/>
      <c r="J147" s="21"/>
      <c r="K147" s="21"/>
      <c r="L147" s="21"/>
    </row>
    <row r="148" spans="1:12" ht="29" x14ac:dyDescent="0.35">
      <c r="A148" s="21" t="s">
        <v>1215</v>
      </c>
      <c r="B148" s="21" t="s">
        <v>1218</v>
      </c>
      <c r="C148" s="21" t="s">
        <v>1219</v>
      </c>
      <c r="D148" s="21"/>
      <c r="E148" s="21" t="s">
        <v>996</v>
      </c>
      <c r="F148" s="21"/>
      <c r="G148" s="21"/>
      <c r="H148" s="21"/>
      <c r="I148" s="21"/>
      <c r="J148" s="21"/>
      <c r="K148" s="21"/>
      <c r="L148" s="21"/>
    </row>
    <row r="149" spans="1:12" ht="29" x14ac:dyDescent="0.35">
      <c r="A149" s="21" t="s">
        <v>1215</v>
      </c>
      <c r="B149" s="21" t="s">
        <v>1220</v>
      </c>
      <c r="C149" s="21" t="s">
        <v>1221</v>
      </c>
      <c r="D149" s="21"/>
      <c r="E149" s="21" t="s">
        <v>996</v>
      </c>
      <c r="F149" s="21"/>
      <c r="G149" s="21"/>
      <c r="H149" s="21"/>
      <c r="I149" s="21"/>
      <c r="J149" s="21"/>
      <c r="K149" s="21"/>
      <c r="L149" s="21"/>
    </row>
    <row r="150" spans="1:12" ht="29" x14ac:dyDescent="0.35">
      <c r="A150" s="21" t="s">
        <v>1215</v>
      </c>
      <c r="B150" s="21" t="s">
        <v>1222</v>
      </c>
      <c r="C150" s="21" t="s">
        <v>1223</v>
      </c>
      <c r="D150" s="21"/>
      <c r="E150" s="21" t="s">
        <v>996</v>
      </c>
      <c r="F150" s="21"/>
      <c r="G150" s="21"/>
      <c r="H150" s="21"/>
      <c r="I150" s="21"/>
      <c r="J150" s="21"/>
      <c r="K150" s="21"/>
      <c r="L150" s="21"/>
    </row>
    <row r="151" spans="1:12" ht="24" customHeight="1" x14ac:dyDescent="0.35">
      <c r="A151" s="133" t="s">
        <v>1215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</row>
    <row r="152" spans="1:12" x14ac:dyDescent="0.35">
      <c r="A152" s="21" t="s">
        <v>1215</v>
      </c>
      <c r="B152" s="21" t="s">
        <v>1224</v>
      </c>
      <c r="C152" s="21" t="s">
        <v>1225</v>
      </c>
      <c r="D152" s="21"/>
      <c r="E152" s="21" t="s">
        <v>996</v>
      </c>
      <c r="F152" s="21"/>
      <c r="G152" s="21"/>
      <c r="H152" s="21"/>
      <c r="I152" s="21"/>
      <c r="J152" s="21"/>
      <c r="K152" s="21"/>
      <c r="L152" s="21"/>
    </row>
    <row r="158" spans="1:12" x14ac:dyDescent="0.35">
      <c r="A158" s="98" t="s">
        <v>1226</v>
      </c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</row>
    <row r="160" spans="1:12" ht="29" x14ac:dyDescent="0.35">
      <c r="A160" s="100" t="s">
        <v>1227</v>
      </c>
      <c r="B160" s="100" t="s">
        <v>1228</v>
      </c>
      <c r="C160" s="100" t="s">
        <v>1229</v>
      </c>
      <c r="D160" s="100" t="s">
        <v>389</v>
      </c>
      <c r="E160" s="100" t="s">
        <v>870</v>
      </c>
      <c r="F160" s="100" t="s">
        <v>390</v>
      </c>
      <c r="G160" s="100" t="s">
        <v>990</v>
      </c>
      <c r="H160" s="100" t="s">
        <v>1230</v>
      </c>
      <c r="I160" s="100"/>
      <c r="J160" s="100"/>
      <c r="K160" s="100"/>
      <c r="L160" s="100"/>
    </row>
    <row r="161" spans="1:8" x14ac:dyDescent="0.35">
      <c r="A161" s="21" t="s">
        <v>1231</v>
      </c>
      <c r="B161" s="21"/>
      <c r="C161" s="21"/>
      <c r="D161" s="21"/>
      <c r="E161" s="21"/>
      <c r="F161" s="21"/>
      <c r="G161" s="21"/>
      <c r="H161" s="21"/>
    </row>
    <row r="162" spans="1:8" x14ac:dyDescent="0.35">
      <c r="A162" s="21" t="s">
        <v>1232</v>
      </c>
      <c r="B162" s="21"/>
      <c r="C162" s="21"/>
      <c r="D162" s="21"/>
      <c r="E162" s="21"/>
      <c r="F162" s="21"/>
      <c r="G162" s="21"/>
      <c r="H162" s="21"/>
    </row>
    <row r="163" spans="1:8" x14ac:dyDescent="0.35">
      <c r="A163" s="21" t="s">
        <v>509</v>
      </c>
      <c r="B163" s="21"/>
      <c r="C163" s="21"/>
      <c r="D163" s="21"/>
      <c r="E163" s="21"/>
      <c r="F163" s="21"/>
      <c r="G163" s="21"/>
      <c r="H163" s="21"/>
    </row>
    <row r="164" spans="1:8" x14ac:dyDescent="0.35">
      <c r="A164" s="21" t="s">
        <v>1233</v>
      </c>
      <c r="B164" s="21"/>
      <c r="C164" s="21"/>
      <c r="D164" s="21"/>
      <c r="E164" s="21"/>
      <c r="F164" s="21"/>
      <c r="G164" s="21"/>
      <c r="H164" s="21"/>
    </row>
    <row r="165" spans="1:8" x14ac:dyDescent="0.35">
      <c r="A165" s="21" t="s">
        <v>1234</v>
      </c>
      <c r="B165" s="21"/>
      <c r="C165" s="21"/>
      <c r="D165" s="21"/>
      <c r="E165" s="21"/>
      <c r="F165" s="21"/>
      <c r="G165" s="21"/>
      <c r="H165" s="21"/>
    </row>
    <row r="166" spans="1:8" x14ac:dyDescent="0.35">
      <c r="A166" s="21" t="s">
        <v>1235</v>
      </c>
      <c r="B166" s="21"/>
      <c r="C166" s="21"/>
      <c r="D166" s="21"/>
      <c r="E166" s="21"/>
      <c r="F166" s="21"/>
      <c r="G166" s="21"/>
      <c r="H166" s="21"/>
    </row>
    <row r="167" spans="1:8" x14ac:dyDescent="0.35">
      <c r="A167" s="21" t="s">
        <v>1236</v>
      </c>
      <c r="B167" s="21"/>
      <c r="C167" s="21"/>
      <c r="D167" s="21"/>
      <c r="E167" s="21"/>
      <c r="F167" s="21"/>
      <c r="G167" s="21"/>
      <c r="H167" s="21"/>
    </row>
    <row r="168" spans="1:8" x14ac:dyDescent="0.35">
      <c r="A168" s="21" t="s">
        <v>1237</v>
      </c>
      <c r="B168" s="21"/>
      <c r="C168" s="21"/>
      <c r="D168" s="21"/>
      <c r="E168" s="21"/>
      <c r="F168" s="21"/>
      <c r="G168" s="21"/>
      <c r="H168" s="21"/>
    </row>
    <row r="169" spans="1:8" x14ac:dyDescent="0.35">
      <c r="A169" s="21" t="s">
        <v>1238</v>
      </c>
      <c r="B169" s="21"/>
      <c r="C169" s="21"/>
      <c r="D169" s="21"/>
      <c r="E169" s="21"/>
      <c r="F169" s="21"/>
      <c r="G169" s="21"/>
      <c r="H169" s="21"/>
    </row>
    <row r="170" spans="1:8" x14ac:dyDescent="0.35">
      <c r="A170" s="21" t="s">
        <v>1239</v>
      </c>
      <c r="B170" s="21"/>
      <c r="C170" s="21"/>
      <c r="D170" s="21"/>
      <c r="E170" s="21"/>
      <c r="F170" s="21"/>
      <c r="G170" s="21"/>
      <c r="H170" s="21"/>
    </row>
    <row r="171" spans="1:8" x14ac:dyDescent="0.35">
      <c r="A171" s="21" t="s">
        <v>1240</v>
      </c>
      <c r="B171" s="21"/>
      <c r="C171" s="21"/>
      <c r="D171" s="21"/>
      <c r="E171" s="21"/>
      <c r="F171" s="21"/>
      <c r="G171" s="21"/>
      <c r="H171" s="21"/>
    </row>
    <row r="172" spans="1:8" x14ac:dyDescent="0.35">
      <c r="A172" s="21" t="s">
        <v>1241</v>
      </c>
      <c r="B172" s="21"/>
      <c r="C172" s="21"/>
      <c r="D172" s="21"/>
      <c r="E172" s="21"/>
      <c r="F172" s="21"/>
      <c r="G172" s="21"/>
      <c r="H172" s="21"/>
    </row>
    <row r="173" spans="1:8" x14ac:dyDescent="0.35">
      <c r="A173" s="21" t="s">
        <v>1242</v>
      </c>
      <c r="B173" s="21"/>
      <c r="C173" s="21"/>
      <c r="D173" s="21"/>
      <c r="E173" s="21"/>
      <c r="F173" s="21"/>
      <c r="G173" s="21"/>
      <c r="H173" s="21"/>
    </row>
    <row r="174" spans="1:8" x14ac:dyDescent="0.35">
      <c r="A174" s="21" t="s">
        <v>1243</v>
      </c>
      <c r="B174" s="21"/>
      <c r="C174" s="21"/>
      <c r="D174" s="21"/>
      <c r="E174" s="21"/>
      <c r="F174" s="21"/>
      <c r="G174" s="21"/>
      <c r="H174" s="21"/>
    </row>
    <row r="175" spans="1:8" x14ac:dyDescent="0.35">
      <c r="A175" s="21" t="s">
        <v>1244</v>
      </c>
      <c r="B175" s="21"/>
      <c r="C175" s="21"/>
      <c r="D175" s="21"/>
      <c r="E175" s="21"/>
      <c r="F175" s="21"/>
      <c r="G175" s="21"/>
      <c r="H175" s="21"/>
    </row>
    <row r="176" spans="1:8" x14ac:dyDescent="0.35">
      <c r="A176" s="21" t="s">
        <v>1245</v>
      </c>
      <c r="B176" s="21"/>
      <c r="C176" s="21"/>
      <c r="D176" s="21"/>
      <c r="E176" s="21"/>
      <c r="F176" s="21"/>
      <c r="G176" s="21"/>
      <c r="H176" s="21"/>
    </row>
    <row r="177" spans="1:12" x14ac:dyDescent="0.35">
      <c r="A177" s="21" t="s">
        <v>1246</v>
      </c>
      <c r="B177" s="21"/>
      <c r="C177" s="21"/>
      <c r="D177" s="21"/>
      <c r="E177" s="21"/>
      <c r="F177" s="21"/>
      <c r="G177" s="21"/>
      <c r="H177" s="21"/>
    </row>
    <row r="178" spans="1:12" x14ac:dyDescent="0.35">
      <c r="A178" s="21" t="s">
        <v>1247</v>
      </c>
      <c r="B178" s="21"/>
      <c r="C178" s="21"/>
      <c r="D178" s="21"/>
      <c r="E178" s="21"/>
      <c r="F178" s="21"/>
      <c r="G178" s="21"/>
      <c r="H178" s="21"/>
    </row>
    <row r="179" spans="1:12" ht="24" customHeight="1" x14ac:dyDescent="0.35">
      <c r="A179" s="133" t="s">
        <v>1248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</row>
    <row r="180" spans="1:12" x14ac:dyDescent="0.35">
      <c r="A180" s="21" t="s">
        <v>1249</v>
      </c>
      <c r="B180" s="21"/>
      <c r="C180" s="21"/>
      <c r="D180" s="21"/>
      <c r="E180" s="21"/>
      <c r="F180" s="21"/>
      <c r="G180" s="21"/>
      <c r="H180" s="21"/>
    </row>
    <row r="186" spans="1:12" x14ac:dyDescent="0.35">
      <c r="A186" s="98" t="s">
        <v>1250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</row>
    <row r="188" spans="1:12" ht="29" x14ac:dyDescent="0.35">
      <c r="A188" s="100" t="s">
        <v>1251</v>
      </c>
      <c r="B188" s="100" t="s">
        <v>1252</v>
      </c>
      <c r="C188" s="100" t="s">
        <v>1253</v>
      </c>
      <c r="D188" s="100" t="s">
        <v>1254</v>
      </c>
      <c r="E188" s="100" t="s">
        <v>870</v>
      </c>
      <c r="F188" s="100" t="s">
        <v>1255</v>
      </c>
      <c r="G188" s="100" t="s">
        <v>338</v>
      </c>
    </row>
    <row r="189" spans="1:12" x14ac:dyDescent="0.35">
      <c r="A189" s="21" t="s">
        <v>428</v>
      </c>
      <c r="B189" s="21"/>
      <c r="C189" s="21"/>
      <c r="D189" s="21"/>
      <c r="E189" s="21"/>
      <c r="F189" s="21"/>
      <c r="G189" s="21"/>
    </row>
    <row r="190" spans="1:12" x14ac:dyDescent="0.35">
      <c r="A190" s="21" t="s">
        <v>582</v>
      </c>
      <c r="B190" s="21"/>
      <c r="C190" s="21"/>
      <c r="D190" s="21"/>
      <c r="E190" s="21"/>
      <c r="F190" s="21"/>
      <c r="G190" s="21"/>
    </row>
    <row r="191" spans="1:12" x14ac:dyDescent="0.35">
      <c r="A191" s="21" t="s">
        <v>435</v>
      </c>
      <c r="B191" s="21"/>
      <c r="C191" s="21"/>
      <c r="D191" s="21"/>
      <c r="E191" s="21"/>
      <c r="F191" s="21"/>
      <c r="G191" s="21"/>
    </row>
    <row r="192" spans="1:12" x14ac:dyDescent="0.35">
      <c r="A192" s="21" t="s">
        <v>93</v>
      </c>
      <c r="B192" s="21"/>
      <c r="C192" s="21"/>
      <c r="D192" s="21"/>
      <c r="E192" s="21"/>
      <c r="F192" s="21"/>
      <c r="G192" s="21"/>
    </row>
    <row r="193" spans="1:12" x14ac:dyDescent="0.35">
      <c r="A193" s="21" t="s">
        <v>431</v>
      </c>
      <c r="B193" s="21"/>
      <c r="C193" s="21"/>
      <c r="D193" s="21"/>
      <c r="E193" s="21"/>
      <c r="F193" s="21"/>
      <c r="G193" s="21"/>
    </row>
    <row r="194" spans="1:12" x14ac:dyDescent="0.35">
      <c r="A194" s="21" t="s">
        <v>97</v>
      </c>
      <c r="B194" s="21"/>
      <c r="C194" s="21"/>
      <c r="D194" s="21"/>
      <c r="E194" s="21"/>
      <c r="F194" s="21"/>
      <c r="G194" s="21"/>
    </row>
    <row r="195" spans="1:12" x14ac:dyDescent="0.35">
      <c r="A195" s="21" t="s">
        <v>100</v>
      </c>
      <c r="B195" s="21"/>
      <c r="C195" s="21"/>
      <c r="D195" s="21"/>
      <c r="E195" s="21"/>
      <c r="F195" s="21"/>
      <c r="G195" s="21"/>
    </row>
    <row r="196" spans="1:12" x14ac:dyDescent="0.35">
      <c r="A196" s="21" t="s">
        <v>1176</v>
      </c>
      <c r="B196" s="21"/>
      <c r="C196" s="21"/>
      <c r="D196" s="21"/>
      <c r="E196" s="21"/>
      <c r="F196" s="21"/>
      <c r="G196" s="21"/>
    </row>
    <row r="197" spans="1:12" x14ac:dyDescent="0.35">
      <c r="A197" s="21" t="s">
        <v>160</v>
      </c>
      <c r="B197" s="21"/>
      <c r="C197" s="21"/>
      <c r="D197" s="21"/>
      <c r="E197" s="21"/>
      <c r="F197" s="21"/>
      <c r="G197" s="21"/>
    </row>
    <row r="198" spans="1:12" x14ac:dyDescent="0.35">
      <c r="A198" s="21" t="s">
        <v>1256</v>
      </c>
      <c r="B198" s="21"/>
      <c r="C198" s="21"/>
      <c r="D198" s="21"/>
      <c r="E198" s="21"/>
      <c r="F198" s="21"/>
      <c r="G198" s="21"/>
    </row>
    <row r="199" spans="1:12" x14ac:dyDescent="0.35">
      <c r="A199" s="21" t="s">
        <v>1257</v>
      </c>
      <c r="B199" s="21"/>
      <c r="C199" s="21"/>
      <c r="D199" s="21"/>
      <c r="E199" s="21"/>
      <c r="F199" s="21"/>
      <c r="G199" s="21"/>
    </row>
    <row r="200" spans="1:12" x14ac:dyDescent="0.35">
      <c r="A200" s="21" t="s">
        <v>1258</v>
      </c>
      <c r="B200" s="21"/>
      <c r="C200" s="21"/>
      <c r="D200" s="21"/>
      <c r="E200" s="21"/>
      <c r="F200" s="21"/>
      <c r="G200" s="21"/>
    </row>
    <row r="201" spans="1:12" x14ac:dyDescent="0.35">
      <c r="A201" s="21" t="s">
        <v>116</v>
      </c>
      <c r="B201" s="21"/>
      <c r="C201" s="21"/>
      <c r="D201" s="21"/>
      <c r="E201" s="21"/>
      <c r="F201" s="21"/>
      <c r="G201" s="21"/>
    </row>
    <row r="202" spans="1:12" x14ac:dyDescent="0.35">
      <c r="A202" s="21" t="s">
        <v>129</v>
      </c>
      <c r="B202" s="21"/>
      <c r="C202" s="21"/>
      <c r="D202" s="21"/>
      <c r="E202" s="21"/>
      <c r="F202" s="21"/>
      <c r="G202" s="21"/>
    </row>
    <row r="203" spans="1:12" x14ac:dyDescent="0.35">
      <c r="A203" s="21" t="s">
        <v>437</v>
      </c>
      <c r="B203" s="21"/>
      <c r="C203" s="21"/>
      <c r="D203" s="21"/>
      <c r="E203" s="21"/>
      <c r="F203" s="21"/>
      <c r="G203" s="21"/>
    </row>
    <row r="204" spans="1:12" x14ac:dyDescent="0.35">
      <c r="A204" s="21" t="s">
        <v>125</v>
      </c>
      <c r="B204" s="21"/>
      <c r="C204" s="21"/>
      <c r="D204" s="21"/>
      <c r="E204" s="21"/>
      <c r="F204" s="21"/>
      <c r="G204" s="21"/>
    </row>
    <row r="205" spans="1:12" x14ac:dyDescent="0.35">
      <c r="A205" s="21" t="s">
        <v>442</v>
      </c>
      <c r="B205" s="21"/>
      <c r="C205" s="21"/>
      <c r="D205" s="21"/>
      <c r="E205" s="21"/>
      <c r="F205" s="21"/>
      <c r="G205" s="21"/>
    </row>
    <row r="206" spans="1:12" x14ac:dyDescent="0.35">
      <c r="A206" s="21" t="s">
        <v>1259</v>
      </c>
      <c r="B206" s="21"/>
      <c r="C206" s="21"/>
      <c r="D206" s="21"/>
      <c r="E206" s="21"/>
      <c r="F206" s="21"/>
      <c r="G206" s="21"/>
    </row>
    <row r="207" spans="1:12" ht="24" customHeight="1" x14ac:dyDescent="0.35">
      <c r="A207" s="133" t="s">
        <v>1260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</row>
    <row r="208" spans="1:12" x14ac:dyDescent="0.35">
      <c r="A208" s="21" t="s">
        <v>439</v>
      </c>
      <c r="B208" s="21"/>
      <c r="C208" s="21"/>
      <c r="D208" s="21"/>
      <c r="E208" s="21"/>
      <c r="F208" s="21"/>
      <c r="G208" s="21"/>
    </row>
    <row r="214" spans="1:12" x14ac:dyDescent="0.35">
      <c r="A214" s="98" t="s">
        <v>1261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</row>
    <row r="216" spans="1:12" x14ac:dyDescent="0.35">
      <c r="A216" s="100" t="s">
        <v>1262</v>
      </c>
      <c r="B216" s="100" t="s">
        <v>1263</v>
      </c>
      <c r="C216" s="100" t="s">
        <v>292</v>
      </c>
      <c r="D216" s="100" t="s">
        <v>371</v>
      </c>
      <c r="E216" s="100" t="s">
        <v>360</v>
      </c>
      <c r="F216" s="100" t="s">
        <v>1264</v>
      </c>
      <c r="G216" s="100" t="s">
        <v>990</v>
      </c>
      <c r="H216" s="100" t="s">
        <v>338</v>
      </c>
    </row>
    <row r="217" spans="1:12" x14ac:dyDescent="0.35">
      <c r="A217" t="s">
        <v>1265</v>
      </c>
    </row>
    <row r="218" spans="1:12" x14ac:dyDescent="0.35">
      <c r="A218" t="s">
        <v>1266</v>
      </c>
    </row>
    <row r="219" spans="1:12" x14ac:dyDescent="0.35">
      <c r="A219" t="s">
        <v>1267</v>
      </c>
    </row>
    <row r="220" spans="1:12" x14ac:dyDescent="0.35">
      <c r="A220" t="s">
        <v>1268</v>
      </c>
    </row>
    <row r="221" spans="1:12" x14ac:dyDescent="0.35">
      <c r="A221" t="s">
        <v>1269</v>
      </c>
    </row>
    <row r="222" spans="1:12" x14ac:dyDescent="0.35">
      <c r="A222" t="s">
        <v>1270</v>
      </c>
    </row>
    <row r="223" spans="1:12" ht="24" customHeight="1" x14ac:dyDescent="0.35">
      <c r="A223" s="129" t="s">
        <v>1271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</row>
    <row r="224" spans="1:12" x14ac:dyDescent="0.35">
      <c r="A224" t="s">
        <v>1272</v>
      </c>
    </row>
    <row r="230" spans="1:12" x14ac:dyDescent="0.35">
      <c r="A230" s="98" t="s">
        <v>1273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2" spans="1:12" ht="29" x14ac:dyDescent="0.35">
      <c r="A232" s="100" t="s">
        <v>1229</v>
      </c>
      <c r="B232" s="100" t="s">
        <v>1274</v>
      </c>
      <c r="C232" s="100" t="s">
        <v>390</v>
      </c>
      <c r="D232" s="100" t="s">
        <v>351</v>
      </c>
      <c r="E232" s="100" t="s">
        <v>352</v>
      </c>
      <c r="F232" s="100" t="s">
        <v>292</v>
      </c>
      <c r="G232" s="100" t="s">
        <v>353</v>
      </c>
      <c r="H232" s="100" t="s">
        <v>338</v>
      </c>
    </row>
    <row r="240" spans="1:12" x14ac:dyDescent="0.3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</row>
    <row r="241" spans="1:12" x14ac:dyDescent="0.3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</row>
    <row r="247" spans="1:12" ht="29" x14ac:dyDescent="0.35">
      <c r="A247" s="106" t="s">
        <v>1275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3"/>
    </row>
    <row r="248" spans="1:12" ht="43.5" x14ac:dyDescent="0.35">
      <c r="A248" s="111" t="s">
        <v>1276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3"/>
    </row>
    <row r="249" spans="1:12" ht="29" x14ac:dyDescent="0.35">
      <c r="A249" s="110" t="s">
        <v>1277</v>
      </c>
      <c r="B249" s="110" t="s">
        <v>1278</v>
      </c>
      <c r="C249" s="110" t="s">
        <v>81</v>
      </c>
      <c r="D249" s="110" t="s">
        <v>615</v>
      </c>
      <c r="E249" s="110" t="s">
        <v>616</v>
      </c>
      <c r="F249" s="110" t="s">
        <v>990</v>
      </c>
      <c r="G249" s="110" t="s">
        <v>1279</v>
      </c>
      <c r="H249" s="110" t="s">
        <v>390</v>
      </c>
      <c r="I249" s="110" t="s">
        <v>351</v>
      </c>
      <c r="J249" s="110" t="s">
        <v>292</v>
      </c>
      <c r="K249" s="110" t="s">
        <v>353</v>
      </c>
      <c r="L249" s="110" t="s">
        <v>619</v>
      </c>
    </row>
    <row r="250" spans="1:12" x14ac:dyDescent="0.35">
      <c r="A250" s="105" t="s">
        <v>1280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x14ac:dyDescent="0.35">
      <c r="A251" s="105" t="s">
        <v>1281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x14ac:dyDescent="0.35">
      <c r="A252" s="105" t="s">
        <v>1282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29" x14ac:dyDescent="0.35">
      <c r="A253" s="105" t="s">
        <v>1283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29" x14ac:dyDescent="0.35">
      <c r="A254" s="105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29" x14ac:dyDescent="0.35">
      <c r="A255" s="105" t="s">
        <v>1285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29" x14ac:dyDescent="0.35">
      <c r="A256" s="105" t="s">
        <v>1286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29" x14ac:dyDescent="0.35">
      <c r="A257" s="105" t="s">
        <v>1287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29" x14ac:dyDescent="0.35">
      <c r="A258" s="105" t="s">
        <v>1288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29" x14ac:dyDescent="0.35">
      <c r="A259" s="105" t="s">
        <v>1289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29" x14ac:dyDescent="0.35">
      <c r="A260" s="105" t="s">
        <v>1290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29" x14ac:dyDescent="0.35">
      <c r="A261" s="105" t="s">
        <v>1291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29" x14ac:dyDescent="0.35">
      <c r="A262" s="105" t="s">
        <v>1292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43.5" x14ac:dyDescent="0.35">
      <c r="A263" s="105" t="s">
        <v>1293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29" x14ac:dyDescent="0.35">
      <c r="A264" s="105" t="s">
        <v>1294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x14ac:dyDescent="0.35">
      <c r="A265" s="105" t="s">
        <v>1295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</sheetData>
  <mergeCells count="9">
    <mergeCell ref="A1:L1"/>
    <mergeCell ref="A17:L17"/>
    <mergeCell ref="A241:L241"/>
    <mergeCell ref="A223:L223"/>
    <mergeCell ref="A35:L35"/>
    <mergeCell ref="A240:L240"/>
    <mergeCell ref="A179:L179"/>
    <mergeCell ref="A151:L151"/>
    <mergeCell ref="A207:L207"/>
  </mergeCells>
  <conditionalFormatting sqref="B12">
    <cfRule type="expression" dxfId="335" priority="12">
      <formula>B12="Green"</formula>
    </cfRule>
    <cfRule type="expression" dxfId="334" priority="13">
      <formula>B12="Amber"</formula>
    </cfRule>
    <cfRule type="expression" dxfId="333" priority="14">
      <formula>B12="Red"</formula>
    </cfRule>
  </conditionalFormatting>
  <conditionalFormatting sqref="B182:B201">
    <cfRule type="expression" dxfId="332" priority="3">
      <formula>B182="Pass"</formula>
    </cfRule>
  </conditionalFormatting>
  <conditionalFormatting sqref="C20:C43">
    <cfRule type="expression" dxfId="331" priority="8">
      <formula>C20="Green"</formula>
    </cfRule>
    <cfRule type="expression" dxfId="330" priority="9">
      <formula>C20="Amber"</formula>
    </cfRule>
    <cfRule type="expression" dxfId="329" priority="10">
      <formula>C20="Red"</formula>
    </cfRule>
    <cfRule type="expression" dxfId="328" priority="11">
      <formula>C20="N/A"</formula>
    </cfRule>
  </conditionalFormatting>
  <conditionalFormatting sqref="C20:C45">
    <cfRule type="expression" dxfId="327" priority="4">
      <formula>ISNUMBER(SEARCH("Green",C20))</formula>
    </cfRule>
    <cfRule type="expression" dxfId="326" priority="5">
      <formula>ISNUMBER(SEARCH("Amber",C20))</formula>
    </cfRule>
    <cfRule type="expression" dxfId="325" priority="6">
      <formula>ISNUMBER(SEARCH("Red",C20))</formula>
    </cfRule>
    <cfRule type="expression" dxfId="324" priority="7">
      <formula>C20="N/A"</formula>
    </cfRule>
  </conditionalFormatting>
  <conditionalFormatting sqref="E154:E173">
    <cfRule type="expression" dxfId="323" priority="2">
      <formula>E154="Pass"</formula>
    </cfRule>
  </conditionalFormatting>
  <conditionalFormatting sqref="H38:H145">
    <cfRule type="expression" dxfId="322" priority="1">
      <formula>H38="Pass"</formula>
    </cfRule>
  </conditionalFormatting>
  <dataValidations count="8">
    <dataValidation type="list" sqref="H38:H145 E154:E173" xr:uid="{00000000-0002-0000-2800-000000000000}">
      <formula1>"Pass,Developing,Fail,N/A"</formula1>
    </dataValidation>
    <dataValidation type="list" sqref="F38:F145" xr:uid="{00000000-0002-0000-2800-000001000000}">
      <formula1>"1,2,3,4,5"</formula1>
    </dataValidation>
    <dataValidation type="list" sqref="B182:B201" xr:uid="{00000000-0002-0000-2800-000003000000}">
      <formula1>"Complete,In Progress,Not Started,N/A"</formula1>
    </dataValidation>
    <dataValidation type="list" allowBlank="1" sqref="C243:E258" xr:uid="{00000000-0002-0000-2800-000004000000}">
      <formula1>"Yes,No,N/A"</formula1>
    </dataValidation>
    <dataValidation type="list" allowBlank="1" sqref="C20:C45" xr:uid="{00000000-0002-0000-2800-000005000000}">
      <formula1>"Green - Received,Amber - Awaiting,Red - Missing,N/A"</formula1>
    </dataValidation>
    <dataValidation type="list" sqref="C20:C43" xr:uid="{00000000-0002-0000-2800-000006000000}">
      <formula1>"Green,Amber,Red,N/A"</formula1>
    </dataValidation>
    <dataValidation type="list" sqref="F42:F230" xr:uid="{00000000-0002-0000-2800-000007000000}">
      <formula1>"1,2,3,4,5,N/A"</formula1>
    </dataValidation>
    <dataValidation type="list" sqref="H42:H230 H235:H255" xr:uid="{00000000-0002-0000-2800-000008000000}">
      <formula1>"Pass,Fail,Not Assessed,N/A"</formula1>
    </dataValidation>
  </dataValidation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265"/>
  <sheetViews>
    <sheetView workbookViewId="0"/>
  </sheetViews>
  <sheetFormatPr defaultRowHeight="14.5" x14ac:dyDescent="0.35"/>
  <cols>
    <col min="1" max="1" width="42" customWidth="1"/>
    <col min="2" max="2" width="36" customWidth="1"/>
    <col min="3" max="3" width="52" customWidth="1"/>
    <col min="4" max="4" width="34" customWidth="1"/>
    <col min="5" max="5" width="30" customWidth="1"/>
    <col min="6" max="6" width="12" customWidth="1"/>
    <col min="7" max="7" width="16" customWidth="1"/>
    <col min="8" max="8" width="14" customWidth="1"/>
    <col min="9" max="9" width="28" customWidth="1"/>
    <col min="10" max="12" width="14" customWidth="1"/>
  </cols>
  <sheetData>
    <row r="1" spans="1:12" ht="30" customHeight="1" x14ac:dyDescent="0.35">
      <c r="A1" s="134" t="s">
        <v>1297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x14ac:dyDescent="0.35">
      <c r="A2" t="s">
        <v>928</v>
      </c>
      <c r="D2" t="s">
        <v>929</v>
      </c>
    </row>
    <row r="4" spans="1:12" x14ac:dyDescent="0.35">
      <c r="A4" s="101" t="s">
        <v>882</v>
      </c>
      <c r="B4" s="101" t="str">
        <f>IF('Induction Employee Register'!A6="","",'Induction Employee Register'!A6)</f>
        <v>SW003</v>
      </c>
      <c r="D4" t="s">
        <v>930</v>
      </c>
      <c r="E4" t="s">
        <v>931</v>
      </c>
      <c r="F4" t="s">
        <v>932</v>
      </c>
      <c r="G4" t="s">
        <v>933</v>
      </c>
      <c r="H4" t="s">
        <v>58</v>
      </c>
      <c r="I4" t="s">
        <v>934</v>
      </c>
      <c r="J4" t="s">
        <v>54</v>
      </c>
      <c r="K4" t="s">
        <v>935</v>
      </c>
      <c r="L4" t="s">
        <v>43</v>
      </c>
    </row>
    <row r="5" spans="1:12" x14ac:dyDescent="0.35">
      <c r="A5" s="101" t="s">
        <v>883</v>
      </c>
      <c r="B5" s="101" t="str">
        <f>IF('Induction Employee Register'!B6="","",'Induction Employee Register'!B6)</f>
        <v/>
      </c>
      <c r="D5" t="s">
        <v>936</v>
      </c>
    </row>
    <row r="6" spans="1:12" x14ac:dyDescent="0.35">
      <c r="A6" s="101" t="s">
        <v>322</v>
      </c>
      <c r="B6" s="101" t="str">
        <f>IF('Induction Employee Register'!C6="","",'Induction Employee Register'!C6)</f>
        <v/>
      </c>
      <c r="D6" t="s">
        <v>937</v>
      </c>
      <c r="E6" t="s">
        <v>938</v>
      </c>
    </row>
    <row r="7" spans="1:12" x14ac:dyDescent="0.35">
      <c r="A7" s="101" t="s">
        <v>323</v>
      </c>
      <c r="B7" s="126" t="str">
        <f>IF('Induction Employee Register'!D6="","",'Induction Employee Register'!D6)</f>
        <v/>
      </c>
      <c r="D7" t="s">
        <v>939</v>
      </c>
      <c r="E7" t="s">
        <v>940</v>
      </c>
    </row>
    <row r="8" spans="1:12" x14ac:dyDescent="0.35">
      <c r="A8" s="101" t="s">
        <v>886</v>
      </c>
      <c r="B8" s="125">
        <f>IFERROR(COUNTIF($H$42:$H$230,"Pass")/(COUNTIF($H$42:$H$230,"Pass")+COUNTIF($H$42:$H$230,"Fail")+COUNTIF($H$42:$H$230,"Not Assessed")),0)</f>
        <v>0</v>
      </c>
      <c r="D8" t="s">
        <v>6</v>
      </c>
      <c r="E8" t="s">
        <v>941</v>
      </c>
    </row>
    <row r="9" spans="1:12" x14ac:dyDescent="0.35">
      <c r="A9" s="101" t="s">
        <v>887</v>
      </c>
      <c r="B9" s="125">
        <f>IFERROR(COUNTIF($H$235:$H$255,"Pass")/(COUNTIF($H$235:$H$255,"Pass")+COUNTIF($H$235:$H$255,"Fail")+COUNTIF($H$235:$H$255,"Not Assessed")),0)</f>
        <v>0</v>
      </c>
      <c r="D9" t="s">
        <v>942</v>
      </c>
      <c r="E9" t="s">
        <v>943</v>
      </c>
    </row>
    <row r="10" spans="1:12" x14ac:dyDescent="0.35">
      <c r="A10" s="101" t="s">
        <v>888</v>
      </c>
      <c r="B10" s="125" t="str">
        <f>IFERROR(IF($B$5="","",IF(INDEX('Mandatory Training Dashboard'!$D$5:$D$53,MATCH($B$5,'Mandatory Training Dashboard'!$A$5:$A$53,0))&gt;1,INDEX('Mandatory Training Dashboard'!$D$5:$D$53,MATCH($B$5,'Mandatory Training Dashboard'!$A$5:$A$53,0))/100,INDEX('Mandatory Training Dashboard'!$D$5:$D$53,MATCH($B$5,'Mandatory Training Dashboard'!$A$5:$A$53,0)))),0)</f>
        <v/>
      </c>
      <c r="D10" t="s">
        <v>944</v>
      </c>
      <c r="E10" t="s">
        <v>945</v>
      </c>
    </row>
    <row r="11" spans="1:12" x14ac:dyDescent="0.35">
      <c r="A11" s="101" t="s">
        <v>893</v>
      </c>
      <c r="B11" s="125">
        <f>IFERROR(AVERAGE(B8:B10),0)</f>
        <v>0</v>
      </c>
      <c r="D11" t="s">
        <v>946</v>
      </c>
      <c r="E11" t="s">
        <v>947</v>
      </c>
    </row>
    <row r="12" spans="1:12" x14ac:dyDescent="0.35">
      <c r="A12" s="101" t="s">
        <v>948</v>
      </c>
      <c r="B12" s="101" t="str">
        <f>IF(B11&gt;=0.9,"Green",IF(B11&gt;=0.75,"Amber","Red"))</f>
        <v>Red</v>
      </c>
      <c r="D12" t="s">
        <v>949</v>
      </c>
      <c r="E12" t="s">
        <v>950</v>
      </c>
    </row>
    <row r="13" spans="1:12" x14ac:dyDescent="0.35">
      <c r="A13" s="101" t="s">
        <v>891</v>
      </c>
      <c r="B13" s="101">
        <f>IF('Induction Employee Register'!N6="","",'Induction Employee Register'!N6)</f>
        <v>0</v>
      </c>
      <c r="D13" t="s">
        <v>951</v>
      </c>
      <c r="E13" t="s">
        <v>952</v>
      </c>
    </row>
    <row r="14" spans="1:12" x14ac:dyDescent="0.35">
      <c r="A14" s="101" t="s">
        <v>892</v>
      </c>
      <c r="B14" s="101" t="str">
        <f>IF('Induction Employee Register'!O6="","",'Induction Employee Register'!O6)</f>
        <v/>
      </c>
    </row>
    <row r="17" spans="1:12" ht="24" customHeight="1" x14ac:dyDescent="0.35">
      <c r="A17" s="135" t="s">
        <v>953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9" spans="1:12" ht="29" x14ac:dyDescent="0.35">
      <c r="A19" s="116" t="s">
        <v>954</v>
      </c>
      <c r="B19" s="116" t="s">
        <v>955</v>
      </c>
      <c r="C19" s="116" t="s">
        <v>956</v>
      </c>
      <c r="D19" s="116" t="s">
        <v>957</v>
      </c>
      <c r="E19" s="116" t="s">
        <v>958</v>
      </c>
      <c r="F19" s="116" t="s">
        <v>353</v>
      </c>
      <c r="G19" s="116" t="s">
        <v>335</v>
      </c>
      <c r="H19" s="116" t="s">
        <v>338</v>
      </c>
      <c r="I19" s="117" t="s">
        <v>959</v>
      </c>
      <c r="J19" t="s">
        <v>960</v>
      </c>
      <c r="K19" t="s">
        <v>300</v>
      </c>
      <c r="L19" t="s">
        <v>961</v>
      </c>
    </row>
    <row r="20" spans="1:12" x14ac:dyDescent="0.35">
      <c r="A20" s="118" t="s">
        <v>962</v>
      </c>
      <c r="B20" s="118" t="s">
        <v>81</v>
      </c>
      <c r="C20" s="118"/>
      <c r="D20" s="127"/>
      <c r="E20" s="127"/>
      <c r="F20" s="118"/>
      <c r="G20" s="118"/>
      <c r="H20" s="118"/>
      <c r="J20" t="s">
        <v>310</v>
      </c>
      <c r="K20" t="str">
        <f>IF('Induction Employee Register'!W6="","",'Induction Employee Register'!W6)</f>
        <v/>
      </c>
      <c r="L20" t="s">
        <v>963</v>
      </c>
    </row>
    <row r="21" spans="1:12" x14ac:dyDescent="0.35">
      <c r="A21" s="118" t="s">
        <v>964</v>
      </c>
      <c r="B21" s="118" t="s">
        <v>81</v>
      </c>
      <c r="C21" s="118"/>
      <c r="D21" s="127"/>
      <c r="E21" s="127"/>
      <c r="F21" s="118"/>
      <c r="G21" s="118"/>
      <c r="H21" s="118"/>
      <c r="J21" t="s">
        <v>311</v>
      </c>
      <c r="K21" t="str">
        <f>IF('Induction Employee Register'!X6="","",'Induction Employee Register'!X6)</f>
        <v/>
      </c>
      <c r="L21" t="s">
        <v>965</v>
      </c>
    </row>
    <row r="22" spans="1:12" x14ac:dyDescent="0.35">
      <c r="A22" s="118" t="s">
        <v>966</v>
      </c>
      <c r="B22" s="118" t="s">
        <v>81</v>
      </c>
      <c r="C22" s="118"/>
      <c r="D22" s="127"/>
      <c r="E22" s="127"/>
      <c r="F22" s="118"/>
      <c r="G22" s="118"/>
      <c r="H22" s="118"/>
      <c r="J22" t="s">
        <v>312</v>
      </c>
      <c r="K22" t="str">
        <f>IF('Induction Employee Register'!Y6="","",'Induction Employee Register'!Y6)</f>
        <v/>
      </c>
      <c r="L22" t="s">
        <v>967</v>
      </c>
    </row>
    <row r="23" spans="1:12" x14ac:dyDescent="0.35">
      <c r="A23" s="118" t="s">
        <v>52</v>
      </c>
      <c r="B23" s="118" t="s">
        <v>81</v>
      </c>
      <c r="C23" s="118"/>
      <c r="D23" s="127"/>
      <c r="E23" s="127"/>
      <c r="F23" s="118"/>
      <c r="G23" s="118"/>
      <c r="H23" s="118"/>
      <c r="J23" t="s">
        <v>313</v>
      </c>
      <c r="K23" t="str">
        <f>IF('Induction Employee Register'!Z6="","",'Induction Employee Register'!Z6)</f>
        <v/>
      </c>
      <c r="L23" t="s">
        <v>968</v>
      </c>
    </row>
    <row r="24" spans="1:12" x14ac:dyDescent="0.35">
      <c r="A24" s="118" t="s">
        <v>50</v>
      </c>
      <c r="B24" s="118" t="s">
        <v>81</v>
      </c>
      <c r="C24" s="118"/>
      <c r="D24" s="127"/>
      <c r="E24" s="127"/>
      <c r="F24" s="118"/>
      <c r="G24" s="118"/>
      <c r="H24" s="118"/>
      <c r="J24" t="s">
        <v>314</v>
      </c>
      <c r="K24" t="str">
        <f>IF('Induction Employee Register'!AA6="","",'Induction Employee Register'!AA6)</f>
        <v/>
      </c>
      <c r="L24" t="s">
        <v>968</v>
      </c>
    </row>
    <row r="25" spans="1:12" x14ac:dyDescent="0.35">
      <c r="A25" s="118" t="s">
        <v>329</v>
      </c>
      <c r="B25" s="118" t="s">
        <v>81</v>
      </c>
      <c r="C25" s="118"/>
      <c r="D25" s="127"/>
      <c r="E25" s="127"/>
      <c r="F25" s="118"/>
      <c r="G25" s="118"/>
      <c r="H25" s="118"/>
      <c r="J25" t="s">
        <v>315</v>
      </c>
      <c r="K25" t="str">
        <f>IF('Induction Employee Register'!AB6="","",'Induction Employee Register'!AB6)</f>
        <v/>
      </c>
      <c r="L25" t="s">
        <v>967</v>
      </c>
    </row>
    <row r="26" spans="1:12" x14ac:dyDescent="0.35">
      <c r="A26" s="118" t="s">
        <v>969</v>
      </c>
      <c r="B26" s="118" t="s">
        <v>81</v>
      </c>
      <c r="C26" s="118"/>
      <c r="D26" s="127"/>
      <c r="E26" s="127"/>
      <c r="F26" s="118"/>
      <c r="G26" s="118"/>
      <c r="H26" s="118"/>
      <c r="J26" t="s">
        <v>316</v>
      </c>
      <c r="K26" t="str">
        <f>IF('Induction Employee Register'!AC6="","",'Induction Employee Register'!AC6)</f>
        <v/>
      </c>
      <c r="L26" t="s">
        <v>967</v>
      </c>
    </row>
    <row r="27" spans="1:12" x14ac:dyDescent="0.35">
      <c r="A27" s="118" t="s">
        <v>970</v>
      </c>
      <c r="B27" s="118" t="s">
        <v>81</v>
      </c>
      <c r="C27" s="118"/>
      <c r="D27" s="127"/>
      <c r="E27" s="127"/>
      <c r="F27" s="118"/>
      <c r="G27" s="118"/>
      <c r="H27" s="118"/>
    </row>
    <row r="28" spans="1:12" x14ac:dyDescent="0.35">
      <c r="A28" s="118" t="s">
        <v>971</v>
      </c>
      <c r="B28" s="118" t="s">
        <v>81</v>
      </c>
      <c r="C28" s="118"/>
      <c r="D28" s="127"/>
      <c r="E28" s="127"/>
      <c r="F28" s="118"/>
      <c r="G28" s="118"/>
      <c r="H28" s="118"/>
    </row>
    <row r="29" spans="1:12" x14ac:dyDescent="0.35">
      <c r="A29" s="118" t="s">
        <v>972</v>
      </c>
      <c r="B29" s="118" t="s">
        <v>81</v>
      </c>
      <c r="C29" s="118"/>
      <c r="D29" s="127"/>
      <c r="E29" s="127"/>
      <c r="F29" s="118"/>
      <c r="G29" s="118"/>
      <c r="H29" s="118"/>
    </row>
    <row r="30" spans="1:12" x14ac:dyDescent="0.35">
      <c r="A30" s="118" t="s">
        <v>973</v>
      </c>
      <c r="B30" s="118" t="s">
        <v>81</v>
      </c>
      <c r="C30" s="118"/>
      <c r="D30" s="127"/>
      <c r="E30" s="127"/>
      <c r="F30" s="118"/>
      <c r="G30" s="118"/>
      <c r="H30" s="118"/>
    </row>
    <row r="31" spans="1:12" x14ac:dyDescent="0.35">
      <c r="A31" s="118" t="s">
        <v>974</v>
      </c>
      <c r="B31" s="118" t="s">
        <v>81</v>
      </c>
      <c r="C31" s="118"/>
      <c r="D31" s="127"/>
      <c r="E31" s="127"/>
      <c r="F31" s="118"/>
      <c r="G31" s="118"/>
      <c r="H31" s="118"/>
    </row>
    <row r="32" spans="1:12" x14ac:dyDescent="0.35">
      <c r="A32" s="118" t="s">
        <v>975</v>
      </c>
      <c r="B32" s="118" t="s">
        <v>81</v>
      </c>
      <c r="C32" s="118"/>
      <c r="D32" s="127"/>
      <c r="E32" s="127"/>
      <c r="F32" s="118"/>
      <c r="G32" s="118"/>
      <c r="H32" s="118"/>
    </row>
    <row r="33" spans="1:12" x14ac:dyDescent="0.35">
      <c r="A33" s="118" t="s">
        <v>54</v>
      </c>
      <c r="B33" s="118" t="s">
        <v>81</v>
      </c>
      <c r="C33" s="118"/>
      <c r="D33" s="127"/>
      <c r="E33" s="127"/>
      <c r="F33" s="118"/>
      <c r="G33" s="118"/>
      <c r="H33" s="118"/>
    </row>
    <row r="34" spans="1:12" x14ac:dyDescent="0.35">
      <c r="A34" s="119" t="s">
        <v>976</v>
      </c>
      <c r="B34" s="119" t="s">
        <v>81</v>
      </c>
      <c r="C34" s="119"/>
      <c r="D34" s="127"/>
      <c r="E34" s="127"/>
      <c r="F34" s="119"/>
      <c r="G34" s="119"/>
      <c r="H34" s="119"/>
    </row>
    <row r="35" spans="1:12" ht="24" customHeight="1" x14ac:dyDescent="0.35">
      <c r="A35" s="130" t="s">
        <v>977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</row>
    <row r="36" spans="1:12" x14ac:dyDescent="0.35">
      <c r="A36" s="119" t="s">
        <v>978</v>
      </c>
      <c r="B36" s="119" t="s">
        <v>81</v>
      </c>
      <c r="C36" s="119"/>
      <c r="D36" s="127"/>
      <c r="E36" s="127"/>
      <c r="F36" s="119"/>
      <c r="G36" s="119"/>
      <c r="H36" s="119"/>
    </row>
    <row r="37" spans="1:12" x14ac:dyDescent="0.35">
      <c r="A37" s="119" t="s">
        <v>979</v>
      </c>
      <c r="B37" s="119" t="s">
        <v>81</v>
      </c>
      <c r="C37" s="119"/>
      <c r="D37" s="127"/>
      <c r="E37" s="127"/>
      <c r="F37" s="119"/>
      <c r="G37" s="119"/>
      <c r="H37" s="119"/>
    </row>
    <row r="38" spans="1:12" x14ac:dyDescent="0.35">
      <c r="A38" s="119" t="s">
        <v>980</v>
      </c>
      <c r="B38" s="119" t="s">
        <v>81</v>
      </c>
      <c r="C38" s="119"/>
      <c r="D38" s="127"/>
      <c r="E38" s="127"/>
      <c r="F38" s="119"/>
      <c r="G38" s="119"/>
      <c r="H38" s="119"/>
    </row>
    <row r="39" spans="1:12" x14ac:dyDescent="0.35">
      <c r="A39" s="119" t="s">
        <v>981</v>
      </c>
      <c r="B39" s="119" t="s">
        <v>81</v>
      </c>
      <c r="C39" s="119"/>
      <c r="D39" s="127"/>
      <c r="E39" s="127"/>
      <c r="F39" s="119"/>
      <c r="G39" s="119"/>
      <c r="H39" s="119"/>
    </row>
    <row r="40" spans="1:12" x14ac:dyDescent="0.35">
      <c r="A40" s="119" t="s">
        <v>982</v>
      </c>
      <c r="B40" s="119" t="s">
        <v>81</v>
      </c>
      <c r="C40" s="119"/>
      <c r="D40" s="127"/>
      <c r="E40" s="127"/>
      <c r="F40" s="119"/>
      <c r="G40" s="119"/>
      <c r="H40" s="119"/>
    </row>
    <row r="41" spans="1:12" x14ac:dyDescent="0.35">
      <c r="A41" s="118"/>
      <c r="B41" s="118"/>
      <c r="C41" s="118"/>
      <c r="D41" s="127"/>
      <c r="E41" s="127"/>
      <c r="F41" s="118"/>
      <c r="G41" s="118"/>
      <c r="H41" s="118"/>
    </row>
    <row r="42" spans="1:12" x14ac:dyDescent="0.35">
      <c r="A42" s="120" t="s">
        <v>983</v>
      </c>
      <c r="B42" s="118"/>
      <c r="C42" s="118"/>
      <c r="D42" s="127"/>
      <c r="E42" s="127"/>
      <c r="F42" s="118"/>
      <c r="G42" s="118"/>
      <c r="H42" s="118"/>
      <c r="I42" s="96"/>
      <c r="J42" s="96"/>
      <c r="K42" s="96"/>
      <c r="L42" s="96"/>
    </row>
    <row r="43" spans="1:12" x14ac:dyDescent="0.35">
      <c r="A43" s="118"/>
      <c r="B43" s="118"/>
      <c r="C43" s="118"/>
      <c r="D43" s="127"/>
      <c r="E43" s="127"/>
      <c r="F43" s="118"/>
      <c r="G43" s="118"/>
      <c r="H43" s="118"/>
    </row>
    <row r="44" spans="1:12" ht="29" x14ac:dyDescent="0.35">
      <c r="A44" s="116" t="s">
        <v>984</v>
      </c>
      <c r="B44" s="116" t="s">
        <v>985</v>
      </c>
      <c r="C44" s="116" t="s">
        <v>986</v>
      </c>
      <c r="D44" s="116" t="s">
        <v>987</v>
      </c>
      <c r="E44" s="116" t="s">
        <v>988</v>
      </c>
      <c r="F44" s="116" t="s">
        <v>989</v>
      </c>
      <c r="G44" s="116" t="s">
        <v>389</v>
      </c>
      <c r="H44" s="116" t="s">
        <v>870</v>
      </c>
      <c r="I44" s="100" t="s">
        <v>390</v>
      </c>
      <c r="J44" s="100" t="s">
        <v>990</v>
      </c>
      <c r="K44" s="100" t="s">
        <v>991</v>
      </c>
      <c r="L44" s="100" t="s">
        <v>992</v>
      </c>
    </row>
    <row r="45" spans="1:12" ht="29" x14ac:dyDescent="0.35">
      <c r="A45" s="121" t="s">
        <v>993</v>
      </c>
      <c r="B45" s="121" t="s">
        <v>994</v>
      </c>
      <c r="C45" s="121" t="s">
        <v>995</v>
      </c>
      <c r="D45" s="121"/>
      <c r="E45" s="121" t="s">
        <v>996</v>
      </c>
      <c r="F45" s="121"/>
      <c r="G45" s="121"/>
      <c r="H45" s="121"/>
      <c r="I45" s="21"/>
      <c r="J45" s="21"/>
      <c r="K45" s="21"/>
      <c r="L45" s="21"/>
    </row>
    <row r="46" spans="1:12" ht="29" x14ac:dyDescent="0.35">
      <c r="A46" s="21" t="s">
        <v>993</v>
      </c>
      <c r="B46" s="21" t="s">
        <v>997</v>
      </c>
      <c r="C46" s="21" t="s">
        <v>998</v>
      </c>
      <c r="D46" s="21"/>
      <c r="E46" s="21" t="s">
        <v>996</v>
      </c>
      <c r="F46" s="21"/>
      <c r="G46" s="21"/>
      <c r="H46" s="21"/>
      <c r="I46" s="21"/>
      <c r="J46" s="21"/>
      <c r="K46" s="21"/>
      <c r="L46" s="21"/>
    </row>
    <row r="47" spans="1:12" ht="29" x14ac:dyDescent="0.35">
      <c r="A47" s="21" t="s">
        <v>993</v>
      </c>
      <c r="B47" s="21" t="s">
        <v>999</v>
      </c>
      <c r="C47" s="21" t="s">
        <v>1000</v>
      </c>
      <c r="D47" s="21"/>
      <c r="E47" s="21" t="s">
        <v>996</v>
      </c>
      <c r="F47" s="21"/>
      <c r="G47" s="21"/>
      <c r="H47" s="21"/>
      <c r="I47" s="21"/>
      <c r="J47" s="21"/>
      <c r="K47" s="21"/>
      <c r="L47" s="21"/>
    </row>
    <row r="48" spans="1:12" ht="29" x14ac:dyDescent="0.35">
      <c r="A48" s="21" t="s">
        <v>993</v>
      </c>
      <c r="B48" s="21" t="s">
        <v>1001</v>
      </c>
      <c r="C48" s="21" t="s">
        <v>1002</v>
      </c>
      <c r="D48" s="21"/>
      <c r="E48" s="21" t="s">
        <v>996</v>
      </c>
      <c r="F48" s="21"/>
      <c r="G48" s="21"/>
      <c r="H48" s="21"/>
      <c r="I48" s="21"/>
      <c r="J48" s="21"/>
      <c r="K48" s="21"/>
      <c r="L48" s="21"/>
    </row>
    <row r="49" spans="1:12" ht="43.5" x14ac:dyDescent="0.35">
      <c r="A49" s="21" t="s">
        <v>993</v>
      </c>
      <c r="B49" s="21" t="s">
        <v>1003</v>
      </c>
      <c r="C49" s="21" t="s">
        <v>1004</v>
      </c>
      <c r="D49" s="21"/>
      <c r="E49" s="21" t="s">
        <v>996</v>
      </c>
      <c r="F49" s="21"/>
      <c r="G49" s="21"/>
      <c r="H49" s="21"/>
      <c r="I49" s="21"/>
      <c r="J49" s="21"/>
      <c r="K49" s="21"/>
      <c r="L49" s="21"/>
    </row>
    <row r="50" spans="1:12" ht="29" x14ac:dyDescent="0.35">
      <c r="A50" s="21" t="s">
        <v>993</v>
      </c>
      <c r="B50" s="21" t="s">
        <v>1005</v>
      </c>
      <c r="C50" s="21" t="s">
        <v>1006</v>
      </c>
      <c r="D50" s="21"/>
      <c r="E50" s="21" t="s">
        <v>996</v>
      </c>
      <c r="F50" s="21"/>
      <c r="G50" s="21"/>
      <c r="H50" s="21"/>
      <c r="I50" s="21"/>
      <c r="J50" s="21"/>
      <c r="K50" s="21"/>
      <c r="L50" s="21"/>
    </row>
    <row r="51" spans="1:12" ht="43.5" x14ac:dyDescent="0.35">
      <c r="A51" s="21" t="s">
        <v>1007</v>
      </c>
      <c r="B51" s="21" t="s">
        <v>1008</v>
      </c>
      <c r="C51" s="21" t="s">
        <v>1009</v>
      </c>
      <c r="D51" s="21"/>
      <c r="E51" s="21" t="s">
        <v>996</v>
      </c>
      <c r="F51" s="21"/>
      <c r="G51" s="21"/>
      <c r="H51" s="21"/>
      <c r="I51" s="21"/>
      <c r="J51" s="21"/>
      <c r="K51" s="21"/>
      <c r="L51" s="21"/>
    </row>
    <row r="52" spans="1:12" ht="29" x14ac:dyDescent="0.35">
      <c r="A52" s="21" t="s">
        <v>1007</v>
      </c>
      <c r="B52" s="21" t="s">
        <v>1010</v>
      </c>
      <c r="C52" s="21" t="s">
        <v>1011</v>
      </c>
      <c r="D52" s="21"/>
      <c r="E52" s="21" t="s">
        <v>996</v>
      </c>
      <c r="F52" s="21"/>
      <c r="G52" s="21"/>
      <c r="H52" s="21"/>
      <c r="I52" s="21"/>
      <c r="J52" s="21"/>
      <c r="K52" s="21"/>
      <c r="L52" s="21"/>
    </row>
    <row r="53" spans="1:12" ht="29" x14ac:dyDescent="0.35">
      <c r="A53" s="21" t="s">
        <v>1007</v>
      </c>
      <c r="B53" s="21" t="s">
        <v>1012</v>
      </c>
      <c r="C53" s="21" t="s">
        <v>1013</v>
      </c>
      <c r="D53" s="21"/>
      <c r="E53" s="21" t="s">
        <v>996</v>
      </c>
      <c r="F53" s="21"/>
      <c r="G53" s="21"/>
      <c r="H53" s="21"/>
      <c r="I53" s="21"/>
      <c r="J53" s="21"/>
      <c r="K53" s="21"/>
      <c r="L53" s="21"/>
    </row>
    <row r="54" spans="1:12" ht="29" x14ac:dyDescent="0.35">
      <c r="A54" s="21" t="s">
        <v>1007</v>
      </c>
      <c r="B54" s="21" t="s">
        <v>1014</v>
      </c>
      <c r="C54" s="21" t="s">
        <v>1015</v>
      </c>
      <c r="D54" s="21"/>
      <c r="E54" s="21" t="s">
        <v>996</v>
      </c>
      <c r="F54" s="21"/>
      <c r="G54" s="21"/>
      <c r="H54" s="21"/>
      <c r="I54" s="21"/>
      <c r="J54" s="21"/>
      <c r="K54" s="21"/>
      <c r="L54" s="21"/>
    </row>
    <row r="55" spans="1:12" ht="29" x14ac:dyDescent="0.35">
      <c r="A55" s="21" t="s">
        <v>1007</v>
      </c>
      <c r="B55" s="21" t="s">
        <v>1016</v>
      </c>
      <c r="C55" s="21" t="s">
        <v>1017</v>
      </c>
      <c r="D55" s="21"/>
      <c r="E55" s="21" t="s">
        <v>996</v>
      </c>
      <c r="F55" s="21"/>
      <c r="G55" s="21"/>
      <c r="H55" s="21"/>
      <c r="I55" s="21"/>
      <c r="J55" s="21"/>
      <c r="K55" s="21"/>
      <c r="L55" s="21"/>
    </row>
    <row r="56" spans="1:12" ht="29" x14ac:dyDescent="0.35">
      <c r="A56" s="21" t="s">
        <v>1007</v>
      </c>
      <c r="B56" s="21" t="s">
        <v>1018</v>
      </c>
      <c r="C56" s="21" t="s">
        <v>1019</v>
      </c>
      <c r="D56" s="21"/>
      <c r="E56" s="21" t="s">
        <v>996</v>
      </c>
      <c r="F56" s="21"/>
      <c r="G56" s="21"/>
      <c r="H56" s="21"/>
      <c r="I56" s="21"/>
      <c r="J56" s="21"/>
      <c r="K56" s="21"/>
      <c r="L56" s="21"/>
    </row>
    <row r="57" spans="1:12" ht="43.5" x14ac:dyDescent="0.35">
      <c r="A57" s="21" t="s">
        <v>1020</v>
      </c>
      <c r="B57" s="21" t="s">
        <v>1021</v>
      </c>
      <c r="C57" s="21" t="s">
        <v>1022</v>
      </c>
      <c r="D57" s="21"/>
      <c r="E57" s="21" t="s">
        <v>1023</v>
      </c>
      <c r="F57" s="21"/>
      <c r="G57" s="21"/>
      <c r="H57" s="21"/>
      <c r="I57" s="21"/>
      <c r="J57" s="21"/>
      <c r="K57" s="21"/>
      <c r="L57" s="21"/>
    </row>
    <row r="58" spans="1:12" ht="43.5" x14ac:dyDescent="0.35">
      <c r="A58" s="21" t="s">
        <v>1020</v>
      </c>
      <c r="B58" s="21" t="s">
        <v>1024</v>
      </c>
      <c r="C58" s="21" t="s">
        <v>1025</v>
      </c>
      <c r="D58" s="21"/>
      <c r="E58" s="21" t="s">
        <v>1023</v>
      </c>
      <c r="F58" s="21"/>
      <c r="G58" s="21"/>
      <c r="H58" s="21"/>
      <c r="I58" s="21"/>
      <c r="J58" s="21"/>
      <c r="K58" s="21"/>
      <c r="L58" s="21"/>
    </row>
    <row r="59" spans="1:12" ht="43.5" x14ac:dyDescent="0.35">
      <c r="A59" s="21" t="s">
        <v>1020</v>
      </c>
      <c r="B59" s="21" t="s">
        <v>1026</v>
      </c>
      <c r="C59" s="21" t="s">
        <v>1027</v>
      </c>
      <c r="D59" s="21"/>
      <c r="E59" s="21" t="s">
        <v>1023</v>
      </c>
      <c r="F59" s="21"/>
      <c r="G59" s="21"/>
      <c r="H59" s="21"/>
      <c r="I59" s="21"/>
      <c r="J59" s="21"/>
      <c r="K59" s="21"/>
      <c r="L59" s="21"/>
    </row>
    <row r="60" spans="1:12" ht="43.5" x14ac:dyDescent="0.35">
      <c r="A60" s="21" t="s">
        <v>1020</v>
      </c>
      <c r="B60" s="21" t="s">
        <v>1028</v>
      </c>
      <c r="C60" s="21" t="s">
        <v>1029</v>
      </c>
      <c r="D60" s="21"/>
      <c r="E60" s="21" t="s">
        <v>1023</v>
      </c>
      <c r="F60" s="21"/>
      <c r="G60" s="21"/>
      <c r="H60" s="21"/>
      <c r="I60" s="21"/>
      <c r="J60" s="21"/>
      <c r="K60" s="21"/>
      <c r="L60" s="21"/>
    </row>
    <row r="61" spans="1:12" ht="43.5" x14ac:dyDescent="0.35">
      <c r="A61" s="21" t="s">
        <v>1020</v>
      </c>
      <c r="B61" s="21" t="s">
        <v>1030</v>
      </c>
      <c r="C61" s="21" t="s">
        <v>1031</v>
      </c>
      <c r="D61" s="21"/>
      <c r="E61" s="21" t="s">
        <v>1023</v>
      </c>
      <c r="F61" s="21"/>
      <c r="G61" s="21"/>
      <c r="H61" s="21"/>
      <c r="I61" s="21"/>
      <c r="J61" s="21"/>
      <c r="K61" s="21"/>
      <c r="L61" s="21"/>
    </row>
    <row r="62" spans="1:12" ht="43.5" x14ac:dyDescent="0.35">
      <c r="A62" s="21" t="s">
        <v>1020</v>
      </c>
      <c r="B62" s="21" t="s">
        <v>1032</v>
      </c>
      <c r="C62" s="21" t="s">
        <v>1033</v>
      </c>
      <c r="D62" s="21"/>
      <c r="E62" s="21" t="s">
        <v>1023</v>
      </c>
      <c r="F62" s="21"/>
      <c r="G62" s="21"/>
      <c r="H62" s="21"/>
      <c r="I62" s="21"/>
      <c r="J62" s="21"/>
      <c r="K62" s="21"/>
      <c r="L62" s="21"/>
    </row>
    <row r="63" spans="1:12" ht="29" x14ac:dyDescent="0.35">
      <c r="A63" s="21" t="s">
        <v>428</v>
      </c>
      <c r="B63" s="21" t="s">
        <v>1034</v>
      </c>
      <c r="C63" s="21" t="s">
        <v>1035</v>
      </c>
      <c r="D63" s="21"/>
      <c r="E63" s="21" t="s">
        <v>996</v>
      </c>
      <c r="F63" s="21"/>
      <c r="G63" s="21"/>
      <c r="H63" s="21"/>
      <c r="I63" s="21"/>
      <c r="J63" s="21"/>
      <c r="K63" s="21"/>
      <c r="L63" s="21"/>
    </row>
    <row r="64" spans="1:12" ht="43.5" x14ac:dyDescent="0.35">
      <c r="A64" s="21" t="s">
        <v>428</v>
      </c>
      <c r="B64" s="21" t="s">
        <v>1036</v>
      </c>
      <c r="C64" s="21" t="s">
        <v>1037</v>
      </c>
      <c r="D64" s="21"/>
      <c r="E64" s="21" t="s">
        <v>996</v>
      </c>
      <c r="F64" s="21"/>
      <c r="G64" s="21"/>
      <c r="H64" s="21"/>
      <c r="I64" s="21"/>
      <c r="J64" s="21"/>
      <c r="K64" s="21"/>
      <c r="L64" s="21"/>
    </row>
    <row r="65" spans="1:12" ht="29" x14ac:dyDescent="0.35">
      <c r="A65" s="21" t="s">
        <v>428</v>
      </c>
      <c r="B65" s="21" t="s">
        <v>1038</v>
      </c>
      <c r="C65" s="21" t="s">
        <v>1039</v>
      </c>
      <c r="D65" s="21"/>
      <c r="E65" s="21" t="s">
        <v>996</v>
      </c>
      <c r="F65" s="21"/>
      <c r="G65" s="21"/>
      <c r="H65" s="21"/>
      <c r="I65" s="21"/>
      <c r="J65" s="21"/>
      <c r="K65" s="21"/>
      <c r="L65" s="21"/>
    </row>
    <row r="66" spans="1:12" ht="43.5" x14ac:dyDescent="0.35">
      <c r="A66" s="21" t="s">
        <v>428</v>
      </c>
      <c r="B66" s="21" t="s">
        <v>1040</v>
      </c>
      <c r="C66" s="21" t="s">
        <v>1041</v>
      </c>
      <c r="D66" s="21"/>
      <c r="E66" s="21" t="s">
        <v>996</v>
      </c>
      <c r="F66" s="21"/>
      <c r="G66" s="21"/>
      <c r="H66" s="21"/>
      <c r="I66" s="21"/>
      <c r="J66" s="21"/>
      <c r="K66" s="21"/>
      <c r="L66" s="21"/>
    </row>
    <row r="67" spans="1:12" ht="29" x14ac:dyDescent="0.35">
      <c r="A67" s="21" t="s">
        <v>428</v>
      </c>
      <c r="B67" s="21" t="s">
        <v>1042</v>
      </c>
      <c r="C67" s="21" t="s">
        <v>1043</v>
      </c>
      <c r="D67" s="21"/>
      <c r="E67" s="21" t="s">
        <v>996</v>
      </c>
      <c r="F67" s="21"/>
      <c r="G67" s="21"/>
      <c r="H67" s="21"/>
      <c r="I67" s="21"/>
      <c r="J67" s="21"/>
      <c r="K67" s="21"/>
      <c r="L67" s="21"/>
    </row>
    <row r="68" spans="1:12" ht="29" x14ac:dyDescent="0.35">
      <c r="A68" s="21" t="s">
        <v>428</v>
      </c>
      <c r="B68" s="21" t="s">
        <v>1044</v>
      </c>
      <c r="C68" s="21" t="s">
        <v>1045</v>
      </c>
      <c r="D68" s="21"/>
      <c r="E68" s="21" t="s">
        <v>996</v>
      </c>
      <c r="F68" s="21"/>
      <c r="G68" s="21"/>
      <c r="H68" s="21"/>
      <c r="I68" s="21"/>
      <c r="J68" s="21"/>
      <c r="K68" s="21"/>
      <c r="L68" s="21"/>
    </row>
    <row r="69" spans="1:12" ht="29" x14ac:dyDescent="0.35">
      <c r="A69" s="21" t="s">
        <v>1046</v>
      </c>
      <c r="B69" s="21" t="s">
        <v>1047</v>
      </c>
      <c r="C69" s="21" t="s">
        <v>1048</v>
      </c>
      <c r="D69" s="21"/>
      <c r="E69" s="21" t="s">
        <v>996</v>
      </c>
      <c r="F69" s="21"/>
      <c r="G69" s="21"/>
      <c r="H69" s="21"/>
      <c r="I69" s="21"/>
      <c r="J69" s="21"/>
      <c r="K69" s="21"/>
      <c r="L69" s="21"/>
    </row>
    <row r="70" spans="1:12" ht="29" x14ac:dyDescent="0.35">
      <c r="A70" s="21" t="s">
        <v>1046</v>
      </c>
      <c r="B70" s="21" t="s">
        <v>1049</v>
      </c>
      <c r="C70" s="21" t="s">
        <v>1050</v>
      </c>
      <c r="D70" s="21"/>
      <c r="E70" s="21" t="s">
        <v>996</v>
      </c>
      <c r="F70" s="21"/>
      <c r="G70" s="21"/>
      <c r="H70" s="21"/>
      <c r="I70" s="21"/>
      <c r="J70" s="21"/>
      <c r="K70" s="21"/>
      <c r="L70" s="21"/>
    </row>
    <row r="71" spans="1:12" ht="29" x14ac:dyDescent="0.35">
      <c r="A71" s="21" t="s">
        <v>1046</v>
      </c>
      <c r="B71" s="21" t="s">
        <v>1051</v>
      </c>
      <c r="C71" s="21" t="s">
        <v>1052</v>
      </c>
      <c r="D71" s="21"/>
      <c r="E71" s="21" t="s">
        <v>996</v>
      </c>
      <c r="F71" s="21"/>
      <c r="G71" s="21"/>
      <c r="H71" s="21"/>
      <c r="I71" s="21"/>
      <c r="J71" s="21"/>
      <c r="K71" s="21"/>
      <c r="L71" s="21"/>
    </row>
    <row r="72" spans="1:12" ht="29" x14ac:dyDescent="0.35">
      <c r="A72" s="21" t="s">
        <v>1046</v>
      </c>
      <c r="B72" s="21" t="s">
        <v>1053</v>
      </c>
      <c r="C72" s="21" t="s">
        <v>1054</v>
      </c>
      <c r="D72" s="21"/>
      <c r="E72" s="21" t="s">
        <v>996</v>
      </c>
      <c r="F72" s="21"/>
      <c r="G72" s="21"/>
      <c r="H72" s="21"/>
      <c r="I72" s="21"/>
      <c r="J72" s="21"/>
      <c r="K72" s="21"/>
      <c r="L72" s="21"/>
    </row>
    <row r="73" spans="1:12" ht="29" x14ac:dyDescent="0.35">
      <c r="A73" s="21" t="s">
        <v>1046</v>
      </c>
      <c r="B73" s="21" t="s">
        <v>1055</v>
      </c>
      <c r="C73" s="21" t="s">
        <v>1056</v>
      </c>
      <c r="D73" s="21"/>
      <c r="E73" s="21" t="s">
        <v>996</v>
      </c>
      <c r="F73" s="21"/>
      <c r="G73" s="21"/>
      <c r="H73" s="21"/>
      <c r="I73" s="21"/>
      <c r="J73" s="21"/>
      <c r="K73" s="21"/>
      <c r="L73" s="21"/>
    </row>
    <row r="74" spans="1:12" ht="29" x14ac:dyDescent="0.35">
      <c r="A74" s="21" t="s">
        <v>1046</v>
      </c>
      <c r="B74" s="21" t="s">
        <v>1057</v>
      </c>
      <c r="C74" s="21" t="s">
        <v>1058</v>
      </c>
      <c r="D74" s="21"/>
      <c r="E74" s="21" t="s">
        <v>996</v>
      </c>
      <c r="F74" s="21"/>
      <c r="G74" s="21"/>
      <c r="H74" s="21"/>
      <c r="I74" s="21"/>
      <c r="J74" s="21"/>
      <c r="K74" s="21"/>
      <c r="L74" s="21"/>
    </row>
    <row r="75" spans="1:12" ht="29" x14ac:dyDescent="0.35">
      <c r="A75" s="21" t="s">
        <v>1059</v>
      </c>
      <c r="B75" s="21" t="s">
        <v>1060</v>
      </c>
      <c r="C75" s="21" t="s">
        <v>1061</v>
      </c>
      <c r="D75" s="21"/>
      <c r="E75" s="21" t="s">
        <v>996</v>
      </c>
      <c r="F75" s="21"/>
      <c r="G75" s="21"/>
      <c r="H75" s="21"/>
      <c r="I75" s="21"/>
      <c r="J75" s="21"/>
      <c r="K75" s="21"/>
      <c r="L75" s="21"/>
    </row>
    <row r="76" spans="1:12" ht="43.5" x14ac:dyDescent="0.35">
      <c r="A76" s="21" t="s">
        <v>1059</v>
      </c>
      <c r="B76" s="21" t="s">
        <v>1062</v>
      </c>
      <c r="C76" s="21" t="s">
        <v>1063</v>
      </c>
      <c r="D76" s="21"/>
      <c r="E76" s="21" t="s">
        <v>996</v>
      </c>
      <c r="F76" s="21"/>
      <c r="G76" s="21"/>
      <c r="H76" s="21"/>
      <c r="I76" s="21"/>
      <c r="J76" s="21"/>
      <c r="K76" s="21"/>
      <c r="L76" s="21"/>
    </row>
    <row r="77" spans="1:12" ht="29" x14ac:dyDescent="0.35">
      <c r="A77" s="21" t="s">
        <v>1059</v>
      </c>
      <c r="B77" s="21" t="s">
        <v>1064</v>
      </c>
      <c r="C77" s="21" t="s">
        <v>1065</v>
      </c>
      <c r="D77" s="21"/>
      <c r="E77" s="21" t="s">
        <v>996</v>
      </c>
      <c r="F77" s="21"/>
      <c r="G77" s="21"/>
      <c r="H77" s="21"/>
      <c r="I77" s="21"/>
      <c r="J77" s="21"/>
      <c r="K77" s="21"/>
      <c r="L77" s="21"/>
    </row>
    <row r="78" spans="1:12" ht="29" x14ac:dyDescent="0.35">
      <c r="A78" s="21" t="s">
        <v>1059</v>
      </c>
      <c r="B78" s="21" t="s">
        <v>1066</v>
      </c>
      <c r="C78" s="21" t="s">
        <v>1067</v>
      </c>
      <c r="D78" s="21"/>
      <c r="E78" s="21" t="s">
        <v>996</v>
      </c>
      <c r="F78" s="21"/>
      <c r="G78" s="21"/>
      <c r="H78" s="21"/>
      <c r="I78" s="21"/>
      <c r="J78" s="21"/>
      <c r="K78" s="21"/>
      <c r="L78" s="21"/>
    </row>
    <row r="79" spans="1:12" ht="29" x14ac:dyDescent="0.35">
      <c r="A79" s="21" t="s">
        <v>1059</v>
      </c>
      <c r="B79" s="21" t="s">
        <v>1068</v>
      </c>
      <c r="C79" s="21" t="s">
        <v>1069</v>
      </c>
      <c r="D79" s="21"/>
      <c r="E79" s="21" t="s">
        <v>996</v>
      </c>
      <c r="F79" s="21"/>
      <c r="G79" s="21"/>
      <c r="H79" s="21"/>
      <c r="I79" s="21"/>
      <c r="J79" s="21"/>
      <c r="K79" s="21"/>
      <c r="L79" s="21"/>
    </row>
    <row r="80" spans="1:12" ht="29" x14ac:dyDescent="0.35">
      <c r="A80" s="21" t="s">
        <v>1059</v>
      </c>
      <c r="B80" s="21" t="s">
        <v>1070</v>
      </c>
      <c r="C80" s="21" t="s">
        <v>1071</v>
      </c>
      <c r="D80" s="21"/>
      <c r="E80" s="21" t="s">
        <v>996</v>
      </c>
      <c r="F80" s="21"/>
      <c r="G80" s="21"/>
      <c r="H80" s="21"/>
      <c r="I80" s="21"/>
      <c r="J80" s="21"/>
      <c r="K80" s="21"/>
      <c r="L80" s="21"/>
    </row>
    <row r="81" spans="1:12" ht="29" x14ac:dyDescent="0.35">
      <c r="A81" s="21" t="s">
        <v>1072</v>
      </c>
      <c r="B81" s="21" t="s">
        <v>1073</v>
      </c>
      <c r="C81" s="21" t="s">
        <v>1074</v>
      </c>
      <c r="D81" s="21"/>
      <c r="E81" s="21" t="s">
        <v>996</v>
      </c>
      <c r="F81" s="21"/>
      <c r="G81" s="21"/>
      <c r="H81" s="21"/>
      <c r="I81" s="21"/>
      <c r="J81" s="21"/>
      <c r="K81" s="21"/>
      <c r="L81" s="21"/>
    </row>
    <row r="82" spans="1:12" ht="29" x14ac:dyDescent="0.35">
      <c r="A82" s="21" t="s">
        <v>1072</v>
      </c>
      <c r="B82" s="21" t="s">
        <v>1075</v>
      </c>
      <c r="C82" s="21" t="s">
        <v>1076</v>
      </c>
      <c r="D82" s="21"/>
      <c r="E82" s="21" t="s">
        <v>996</v>
      </c>
      <c r="F82" s="21"/>
      <c r="G82" s="21"/>
      <c r="H82" s="21"/>
      <c r="I82" s="21"/>
      <c r="J82" s="21"/>
      <c r="K82" s="21"/>
      <c r="L82" s="21"/>
    </row>
    <row r="83" spans="1:12" ht="29" x14ac:dyDescent="0.35">
      <c r="A83" s="21" t="s">
        <v>1072</v>
      </c>
      <c r="B83" s="21" t="s">
        <v>1077</v>
      </c>
      <c r="C83" s="21" t="s">
        <v>1078</v>
      </c>
      <c r="D83" s="21"/>
      <c r="E83" s="21" t="s">
        <v>996</v>
      </c>
      <c r="F83" s="21"/>
      <c r="G83" s="21"/>
      <c r="H83" s="21"/>
      <c r="I83" s="21"/>
      <c r="J83" s="21"/>
      <c r="K83" s="21"/>
      <c r="L83" s="21"/>
    </row>
    <row r="84" spans="1:12" ht="29" x14ac:dyDescent="0.35">
      <c r="A84" s="21" t="s">
        <v>1072</v>
      </c>
      <c r="B84" s="21" t="s">
        <v>1079</v>
      </c>
      <c r="C84" s="21" t="s">
        <v>1080</v>
      </c>
      <c r="D84" s="21"/>
      <c r="E84" s="21" t="s">
        <v>996</v>
      </c>
      <c r="F84" s="21"/>
      <c r="G84" s="21"/>
      <c r="H84" s="21"/>
      <c r="I84" s="21"/>
      <c r="J84" s="21"/>
      <c r="K84" s="21"/>
      <c r="L84" s="21"/>
    </row>
    <row r="85" spans="1:12" ht="29" x14ac:dyDescent="0.35">
      <c r="A85" s="21" t="s">
        <v>1072</v>
      </c>
      <c r="B85" s="21" t="s">
        <v>1081</v>
      </c>
      <c r="C85" s="21" t="s">
        <v>1082</v>
      </c>
      <c r="D85" s="21"/>
      <c r="E85" s="21" t="s">
        <v>996</v>
      </c>
      <c r="F85" s="21"/>
      <c r="G85" s="21"/>
      <c r="H85" s="21"/>
      <c r="I85" s="21"/>
      <c r="J85" s="21"/>
      <c r="K85" s="21"/>
      <c r="L85" s="21"/>
    </row>
    <row r="86" spans="1:12" ht="29" x14ac:dyDescent="0.35">
      <c r="A86" s="21" t="s">
        <v>1072</v>
      </c>
      <c r="B86" s="21" t="s">
        <v>1083</v>
      </c>
      <c r="C86" s="21" t="s">
        <v>1084</v>
      </c>
      <c r="D86" s="21"/>
      <c r="E86" s="21" t="s">
        <v>996</v>
      </c>
      <c r="F86" s="21"/>
      <c r="G86" s="21"/>
      <c r="H86" s="21"/>
      <c r="I86" s="21"/>
      <c r="J86" s="21"/>
      <c r="K86" s="21"/>
      <c r="L86" s="21"/>
    </row>
    <row r="87" spans="1:12" ht="29" x14ac:dyDescent="0.35">
      <c r="A87" s="21" t="s">
        <v>1085</v>
      </c>
      <c r="B87" s="21" t="s">
        <v>1086</v>
      </c>
      <c r="C87" s="21" t="s">
        <v>1087</v>
      </c>
      <c r="D87" s="21"/>
      <c r="E87" s="21" t="s">
        <v>996</v>
      </c>
      <c r="F87" s="21"/>
      <c r="G87" s="21"/>
      <c r="H87" s="21"/>
      <c r="I87" s="21"/>
      <c r="J87" s="21"/>
      <c r="K87" s="21"/>
      <c r="L87" s="21"/>
    </row>
    <row r="88" spans="1:12" ht="29" x14ac:dyDescent="0.35">
      <c r="A88" s="21" t="s">
        <v>1085</v>
      </c>
      <c r="B88" s="21" t="s">
        <v>1088</v>
      </c>
      <c r="C88" s="21" t="s">
        <v>1089</v>
      </c>
      <c r="D88" s="21"/>
      <c r="E88" s="21" t="s">
        <v>996</v>
      </c>
      <c r="F88" s="21"/>
      <c r="G88" s="21"/>
      <c r="H88" s="21"/>
      <c r="I88" s="21"/>
      <c r="J88" s="21"/>
      <c r="K88" s="21"/>
      <c r="L88" s="21"/>
    </row>
    <row r="89" spans="1:12" ht="29" x14ac:dyDescent="0.35">
      <c r="A89" s="21" t="s">
        <v>1085</v>
      </c>
      <c r="B89" s="21" t="s">
        <v>1090</v>
      </c>
      <c r="C89" s="21" t="s">
        <v>1091</v>
      </c>
      <c r="D89" s="21"/>
      <c r="E89" s="21" t="s">
        <v>996</v>
      </c>
      <c r="F89" s="21"/>
      <c r="G89" s="21"/>
      <c r="H89" s="21"/>
      <c r="I89" s="21"/>
      <c r="J89" s="21"/>
      <c r="K89" s="21"/>
      <c r="L89" s="21"/>
    </row>
    <row r="90" spans="1:12" ht="29" x14ac:dyDescent="0.35">
      <c r="A90" s="21" t="s">
        <v>1085</v>
      </c>
      <c r="B90" s="21" t="s">
        <v>1092</v>
      </c>
      <c r="C90" s="21" t="s">
        <v>1093</v>
      </c>
      <c r="D90" s="21"/>
      <c r="E90" s="21" t="s">
        <v>996</v>
      </c>
      <c r="F90" s="21"/>
      <c r="G90" s="21"/>
      <c r="H90" s="21"/>
      <c r="I90" s="21"/>
      <c r="J90" s="21"/>
      <c r="K90" s="21"/>
      <c r="L90" s="21"/>
    </row>
    <row r="91" spans="1:12" ht="29" x14ac:dyDescent="0.35">
      <c r="A91" s="21" t="s">
        <v>1085</v>
      </c>
      <c r="B91" s="21" t="s">
        <v>1094</v>
      </c>
      <c r="C91" s="21" t="s">
        <v>1095</v>
      </c>
      <c r="D91" s="21"/>
      <c r="E91" s="21" t="s">
        <v>996</v>
      </c>
      <c r="F91" s="21"/>
      <c r="G91" s="21"/>
      <c r="H91" s="21"/>
      <c r="I91" s="21"/>
      <c r="J91" s="21"/>
      <c r="K91" s="21"/>
      <c r="L91" s="21"/>
    </row>
    <row r="92" spans="1:12" ht="29" x14ac:dyDescent="0.35">
      <c r="A92" s="21" t="s">
        <v>1085</v>
      </c>
      <c r="B92" s="21" t="s">
        <v>1096</v>
      </c>
      <c r="C92" s="21" t="s">
        <v>1097</v>
      </c>
      <c r="D92" s="21"/>
      <c r="E92" s="21" t="s">
        <v>996</v>
      </c>
      <c r="F92" s="21"/>
      <c r="G92" s="21"/>
      <c r="H92" s="21"/>
      <c r="I92" s="21"/>
      <c r="J92" s="21"/>
      <c r="K92" s="21"/>
      <c r="L92" s="21"/>
    </row>
    <row r="93" spans="1:12" ht="29" x14ac:dyDescent="0.35">
      <c r="A93" s="21" t="s">
        <v>1098</v>
      </c>
      <c r="B93" s="21" t="s">
        <v>1099</v>
      </c>
      <c r="C93" s="21" t="s">
        <v>1100</v>
      </c>
      <c r="D93" s="21"/>
      <c r="E93" s="21" t="s">
        <v>996</v>
      </c>
      <c r="F93" s="21"/>
      <c r="G93" s="21"/>
      <c r="H93" s="21"/>
      <c r="I93" s="21"/>
      <c r="J93" s="21"/>
      <c r="K93" s="21"/>
      <c r="L93" s="21"/>
    </row>
    <row r="94" spans="1:12" ht="29" x14ac:dyDescent="0.35">
      <c r="A94" s="21" t="s">
        <v>1098</v>
      </c>
      <c r="B94" s="21" t="s">
        <v>1101</v>
      </c>
      <c r="C94" s="21" t="s">
        <v>1102</v>
      </c>
      <c r="D94" s="21"/>
      <c r="E94" s="21" t="s">
        <v>996</v>
      </c>
      <c r="F94" s="21"/>
      <c r="G94" s="21"/>
      <c r="H94" s="21"/>
      <c r="I94" s="21"/>
      <c r="J94" s="21"/>
      <c r="K94" s="21"/>
      <c r="L94" s="21"/>
    </row>
    <row r="95" spans="1:12" ht="29" x14ac:dyDescent="0.35">
      <c r="A95" s="21" t="s">
        <v>1098</v>
      </c>
      <c r="B95" s="21" t="s">
        <v>1103</v>
      </c>
      <c r="C95" s="21" t="s">
        <v>1104</v>
      </c>
      <c r="D95" s="21"/>
      <c r="E95" s="21" t="s">
        <v>996</v>
      </c>
      <c r="F95" s="21"/>
      <c r="G95" s="21"/>
      <c r="H95" s="21"/>
      <c r="I95" s="21"/>
      <c r="J95" s="21"/>
      <c r="K95" s="21"/>
      <c r="L95" s="21"/>
    </row>
    <row r="96" spans="1:12" ht="29" x14ac:dyDescent="0.35">
      <c r="A96" s="21" t="s">
        <v>1098</v>
      </c>
      <c r="B96" s="21" t="s">
        <v>1105</v>
      </c>
      <c r="C96" s="21" t="s">
        <v>1106</v>
      </c>
      <c r="D96" s="21"/>
      <c r="E96" s="21" t="s">
        <v>996</v>
      </c>
      <c r="F96" s="21"/>
      <c r="G96" s="21"/>
      <c r="H96" s="21"/>
      <c r="I96" s="21"/>
      <c r="J96" s="21"/>
      <c r="K96" s="21"/>
      <c r="L96" s="21"/>
    </row>
    <row r="97" spans="1:12" ht="29" x14ac:dyDescent="0.35">
      <c r="A97" s="21" t="s">
        <v>1098</v>
      </c>
      <c r="B97" s="21" t="s">
        <v>1107</v>
      </c>
      <c r="C97" s="21" t="s">
        <v>1108</v>
      </c>
      <c r="D97" s="21"/>
      <c r="E97" s="21" t="s">
        <v>996</v>
      </c>
      <c r="F97" s="21"/>
      <c r="G97" s="21"/>
      <c r="H97" s="21"/>
      <c r="I97" s="21"/>
      <c r="J97" s="21"/>
      <c r="K97" s="21"/>
      <c r="L97" s="21"/>
    </row>
    <row r="98" spans="1:12" ht="29" x14ac:dyDescent="0.35">
      <c r="A98" s="21" t="s">
        <v>1098</v>
      </c>
      <c r="B98" s="21" t="s">
        <v>1109</v>
      </c>
      <c r="C98" s="21" t="s">
        <v>1110</v>
      </c>
      <c r="D98" s="21"/>
      <c r="E98" s="21" t="s">
        <v>996</v>
      </c>
      <c r="F98" s="21"/>
      <c r="G98" s="21"/>
      <c r="H98" s="21"/>
      <c r="I98" s="21"/>
      <c r="J98" s="21"/>
      <c r="K98" s="21"/>
      <c r="L98" s="21"/>
    </row>
    <row r="99" spans="1:12" ht="29" x14ac:dyDescent="0.35">
      <c r="A99" s="21" t="s">
        <v>1111</v>
      </c>
      <c r="B99" s="21" t="s">
        <v>1112</v>
      </c>
      <c r="C99" s="21" t="s">
        <v>1113</v>
      </c>
      <c r="D99" s="21"/>
      <c r="E99" s="21" t="s">
        <v>1114</v>
      </c>
      <c r="F99" s="21"/>
      <c r="G99" s="21"/>
      <c r="H99" s="21"/>
      <c r="I99" s="21"/>
      <c r="J99" s="21"/>
      <c r="K99" s="21"/>
      <c r="L99" s="21"/>
    </row>
    <row r="100" spans="1:12" ht="29" x14ac:dyDescent="0.35">
      <c r="A100" s="21" t="s">
        <v>1111</v>
      </c>
      <c r="B100" s="21" t="s">
        <v>1115</v>
      </c>
      <c r="C100" s="21" t="s">
        <v>1116</v>
      </c>
      <c r="D100" s="21"/>
      <c r="E100" s="21" t="s">
        <v>1114</v>
      </c>
      <c r="F100" s="21"/>
      <c r="G100" s="21"/>
      <c r="H100" s="21"/>
      <c r="I100" s="21"/>
      <c r="J100" s="21"/>
      <c r="K100" s="21"/>
      <c r="L100" s="21"/>
    </row>
    <row r="101" spans="1:12" ht="29" x14ac:dyDescent="0.35">
      <c r="A101" s="21" t="s">
        <v>1111</v>
      </c>
      <c r="B101" s="21" t="s">
        <v>1117</v>
      </c>
      <c r="C101" s="21" t="s">
        <v>1118</v>
      </c>
      <c r="D101" s="21"/>
      <c r="E101" s="21" t="s">
        <v>1114</v>
      </c>
      <c r="F101" s="21"/>
      <c r="G101" s="21"/>
      <c r="H101" s="21"/>
      <c r="I101" s="21"/>
      <c r="J101" s="21"/>
      <c r="K101" s="21"/>
      <c r="L101" s="21"/>
    </row>
    <row r="102" spans="1:12" ht="29" x14ac:dyDescent="0.35">
      <c r="A102" s="21" t="s">
        <v>1111</v>
      </c>
      <c r="B102" s="21" t="s">
        <v>1119</v>
      </c>
      <c r="C102" s="21" t="s">
        <v>1120</v>
      </c>
      <c r="D102" s="21"/>
      <c r="E102" s="21" t="s">
        <v>1114</v>
      </c>
      <c r="F102" s="21"/>
      <c r="G102" s="21"/>
      <c r="H102" s="21"/>
      <c r="I102" s="21"/>
      <c r="J102" s="21"/>
      <c r="K102" s="21"/>
      <c r="L102" s="21"/>
    </row>
    <row r="103" spans="1:12" ht="29" x14ac:dyDescent="0.35">
      <c r="A103" s="21" t="s">
        <v>1111</v>
      </c>
      <c r="B103" s="21" t="s">
        <v>1121</v>
      </c>
      <c r="C103" s="21" t="s">
        <v>1122</v>
      </c>
      <c r="D103" s="21"/>
      <c r="E103" s="21" t="s">
        <v>1114</v>
      </c>
      <c r="F103" s="21"/>
      <c r="G103" s="21"/>
      <c r="H103" s="21"/>
      <c r="I103" s="21"/>
      <c r="J103" s="21"/>
      <c r="K103" s="21"/>
      <c r="L103" s="21"/>
    </row>
    <row r="104" spans="1:12" ht="29" x14ac:dyDescent="0.35">
      <c r="A104" s="21" t="s">
        <v>1111</v>
      </c>
      <c r="B104" s="21" t="s">
        <v>1123</v>
      </c>
      <c r="C104" s="21" t="s">
        <v>1124</v>
      </c>
      <c r="D104" s="21"/>
      <c r="E104" s="21" t="s">
        <v>1114</v>
      </c>
      <c r="F104" s="21"/>
      <c r="G104" s="21"/>
      <c r="H104" s="21"/>
      <c r="I104" s="21"/>
      <c r="J104" s="21"/>
      <c r="K104" s="21"/>
      <c r="L104" s="21"/>
    </row>
    <row r="105" spans="1:12" ht="29" x14ac:dyDescent="0.35">
      <c r="A105" s="21" t="s">
        <v>1125</v>
      </c>
      <c r="B105" s="21" t="s">
        <v>1126</v>
      </c>
      <c r="C105" s="21" t="s">
        <v>1127</v>
      </c>
      <c r="D105" s="21"/>
      <c r="E105" s="21" t="s">
        <v>1114</v>
      </c>
      <c r="F105" s="21"/>
      <c r="G105" s="21"/>
      <c r="H105" s="21"/>
      <c r="I105" s="21"/>
      <c r="J105" s="21"/>
      <c r="K105" s="21"/>
      <c r="L105" s="21"/>
    </row>
    <row r="106" spans="1:12" ht="29" x14ac:dyDescent="0.35">
      <c r="A106" s="21" t="s">
        <v>1125</v>
      </c>
      <c r="B106" s="21" t="s">
        <v>1128</v>
      </c>
      <c r="C106" s="21" t="s">
        <v>1129</v>
      </c>
      <c r="D106" s="21"/>
      <c r="E106" s="21" t="s">
        <v>1114</v>
      </c>
      <c r="F106" s="21"/>
      <c r="G106" s="21"/>
      <c r="H106" s="21"/>
      <c r="I106" s="21"/>
      <c r="J106" s="21"/>
      <c r="K106" s="21"/>
      <c r="L106" s="21"/>
    </row>
    <row r="107" spans="1:12" ht="43.5" x14ac:dyDescent="0.35">
      <c r="A107" s="21" t="s">
        <v>1125</v>
      </c>
      <c r="B107" s="21" t="s">
        <v>1130</v>
      </c>
      <c r="C107" s="21" t="s">
        <v>1131</v>
      </c>
      <c r="D107" s="21"/>
      <c r="E107" s="21" t="s">
        <v>1114</v>
      </c>
      <c r="F107" s="21"/>
      <c r="G107" s="21"/>
      <c r="H107" s="21"/>
      <c r="I107" s="21"/>
      <c r="J107" s="21"/>
      <c r="K107" s="21"/>
      <c r="L107" s="21"/>
    </row>
    <row r="108" spans="1:12" ht="29" x14ac:dyDescent="0.35">
      <c r="A108" s="21" t="s">
        <v>1125</v>
      </c>
      <c r="B108" s="21" t="s">
        <v>1132</v>
      </c>
      <c r="C108" s="21" t="s">
        <v>1133</v>
      </c>
      <c r="D108" s="21"/>
      <c r="E108" s="21" t="s">
        <v>1114</v>
      </c>
      <c r="F108" s="21"/>
      <c r="G108" s="21"/>
      <c r="H108" s="21"/>
      <c r="I108" s="21"/>
      <c r="J108" s="21"/>
      <c r="K108" s="21"/>
      <c r="L108" s="21"/>
    </row>
    <row r="109" spans="1:12" ht="29" x14ac:dyDescent="0.35">
      <c r="A109" s="21" t="s">
        <v>1125</v>
      </c>
      <c r="B109" s="21" t="s">
        <v>1134</v>
      </c>
      <c r="C109" s="21" t="s">
        <v>1135</v>
      </c>
      <c r="D109" s="21"/>
      <c r="E109" s="21" t="s">
        <v>1114</v>
      </c>
      <c r="F109" s="21"/>
      <c r="G109" s="21"/>
      <c r="H109" s="21"/>
      <c r="I109" s="21"/>
      <c r="J109" s="21"/>
      <c r="K109" s="21"/>
      <c r="L109" s="21"/>
    </row>
    <row r="110" spans="1:12" ht="29" x14ac:dyDescent="0.35">
      <c r="A110" s="21" t="s">
        <v>1125</v>
      </c>
      <c r="B110" s="21" t="s">
        <v>1136</v>
      </c>
      <c r="C110" s="21" t="s">
        <v>1137</v>
      </c>
      <c r="D110" s="21"/>
      <c r="E110" s="21" t="s">
        <v>1114</v>
      </c>
      <c r="F110" s="21"/>
      <c r="G110" s="21"/>
      <c r="H110" s="21"/>
      <c r="I110" s="21"/>
      <c r="J110" s="21"/>
      <c r="K110" s="21"/>
      <c r="L110" s="21"/>
    </row>
    <row r="111" spans="1:12" ht="29" x14ac:dyDescent="0.35">
      <c r="A111" s="21" t="s">
        <v>1138</v>
      </c>
      <c r="B111" s="21" t="s">
        <v>1139</v>
      </c>
      <c r="C111" s="21" t="s">
        <v>1140</v>
      </c>
      <c r="D111" s="21"/>
      <c r="E111" s="21" t="s">
        <v>996</v>
      </c>
      <c r="F111" s="21"/>
      <c r="G111" s="21"/>
      <c r="H111" s="21"/>
      <c r="I111" s="21"/>
      <c r="J111" s="21"/>
      <c r="K111" s="21"/>
      <c r="L111" s="21"/>
    </row>
    <row r="112" spans="1:12" ht="29" x14ac:dyDescent="0.35">
      <c r="A112" s="21" t="s">
        <v>1138</v>
      </c>
      <c r="B112" s="21" t="s">
        <v>1141</v>
      </c>
      <c r="C112" s="21" t="s">
        <v>1142</v>
      </c>
      <c r="D112" s="21"/>
      <c r="E112" s="21" t="s">
        <v>996</v>
      </c>
      <c r="F112" s="21"/>
      <c r="G112" s="21"/>
      <c r="H112" s="21"/>
      <c r="I112" s="21"/>
      <c r="J112" s="21"/>
      <c r="K112" s="21"/>
      <c r="L112" s="21"/>
    </row>
    <row r="113" spans="1:12" ht="29" x14ac:dyDescent="0.35">
      <c r="A113" s="21" t="s">
        <v>1138</v>
      </c>
      <c r="B113" s="21" t="s">
        <v>1143</v>
      </c>
      <c r="C113" s="21" t="s">
        <v>1144</v>
      </c>
      <c r="D113" s="21"/>
      <c r="E113" s="21" t="s">
        <v>996</v>
      </c>
      <c r="F113" s="21"/>
      <c r="G113" s="21"/>
      <c r="H113" s="21"/>
      <c r="I113" s="21"/>
      <c r="J113" s="21"/>
      <c r="K113" s="21"/>
      <c r="L113" s="21"/>
    </row>
    <row r="114" spans="1:12" ht="29" x14ac:dyDescent="0.35">
      <c r="A114" s="21" t="s">
        <v>1138</v>
      </c>
      <c r="B114" s="21" t="s">
        <v>1145</v>
      </c>
      <c r="C114" s="21" t="s">
        <v>1146</v>
      </c>
      <c r="D114" s="21"/>
      <c r="E114" s="21" t="s">
        <v>996</v>
      </c>
      <c r="F114" s="21"/>
      <c r="G114" s="21"/>
      <c r="H114" s="21"/>
      <c r="I114" s="21"/>
      <c r="J114" s="21"/>
      <c r="K114" s="21"/>
      <c r="L114" s="21"/>
    </row>
    <row r="115" spans="1:12" ht="29" x14ac:dyDescent="0.35">
      <c r="A115" s="21" t="s">
        <v>1138</v>
      </c>
      <c r="B115" s="21" t="s">
        <v>1147</v>
      </c>
      <c r="C115" s="21" t="s">
        <v>1148</v>
      </c>
      <c r="D115" s="21"/>
      <c r="E115" s="21" t="s">
        <v>996</v>
      </c>
      <c r="F115" s="21"/>
      <c r="G115" s="21"/>
      <c r="H115" s="21"/>
      <c r="I115" s="21"/>
      <c r="J115" s="21"/>
      <c r="K115" s="21"/>
      <c r="L115" s="21"/>
    </row>
    <row r="116" spans="1:12" ht="29" x14ac:dyDescent="0.35">
      <c r="A116" s="21" t="s">
        <v>1138</v>
      </c>
      <c r="B116" s="21" t="s">
        <v>1149</v>
      </c>
      <c r="C116" s="21" t="s">
        <v>1150</v>
      </c>
      <c r="D116" s="21"/>
      <c r="E116" s="21" t="s">
        <v>996</v>
      </c>
      <c r="F116" s="21"/>
      <c r="G116" s="21"/>
      <c r="H116" s="21"/>
      <c r="I116" s="21"/>
      <c r="J116" s="21"/>
      <c r="K116" s="21"/>
      <c r="L116" s="21"/>
    </row>
    <row r="117" spans="1:12" ht="29" x14ac:dyDescent="0.35">
      <c r="A117" s="21" t="s">
        <v>1151</v>
      </c>
      <c r="B117" s="21" t="s">
        <v>1152</v>
      </c>
      <c r="C117" s="21" t="s">
        <v>1153</v>
      </c>
      <c r="D117" s="21"/>
      <c r="E117" s="21" t="s">
        <v>996</v>
      </c>
      <c r="F117" s="21"/>
      <c r="G117" s="21"/>
      <c r="H117" s="21"/>
      <c r="I117" s="21"/>
      <c r="J117" s="21"/>
      <c r="K117" s="21"/>
      <c r="L117" s="21"/>
    </row>
    <row r="118" spans="1:12" ht="29" x14ac:dyDescent="0.35">
      <c r="A118" s="21" t="s">
        <v>1151</v>
      </c>
      <c r="B118" s="21" t="s">
        <v>1154</v>
      </c>
      <c r="C118" s="21" t="s">
        <v>1155</v>
      </c>
      <c r="D118" s="21"/>
      <c r="E118" s="21" t="s">
        <v>996</v>
      </c>
      <c r="F118" s="21"/>
      <c r="G118" s="21"/>
      <c r="H118" s="21"/>
      <c r="I118" s="21"/>
      <c r="J118" s="21"/>
      <c r="K118" s="21"/>
      <c r="L118" s="21"/>
    </row>
    <row r="119" spans="1:12" ht="29" x14ac:dyDescent="0.35">
      <c r="A119" s="21" t="s">
        <v>1151</v>
      </c>
      <c r="B119" s="21" t="s">
        <v>1156</v>
      </c>
      <c r="C119" s="21" t="s">
        <v>1157</v>
      </c>
      <c r="D119" s="21"/>
      <c r="E119" s="21" t="s">
        <v>996</v>
      </c>
      <c r="F119" s="21"/>
      <c r="G119" s="21"/>
      <c r="H119" s="21"/>
      <c r="I119" s="21"/>
      <c r="J119" s="21"/>
      <c r="K119" s="21"/>
      <c r="L119" s="21"/>
    </row>
    <row r="120" spans="1:12" ht="29" x14ac:dyDescent="0.35">
      <c r="A120" s="21" t="s">
        <v>1151</v>
      </c>
      <c r="B120" s="21" t="s">
        <v>1158</v>
      </c>
      <c r="C120" s="21" t="s">
        <v>1159</v>
      </c>
      <c r="D120" s="21"/>
      <c r="E120" s="21" t="s">
        <v>996</v>
      </c>
      <c r="F120" s="21"/>
      <c r="G120" s="21"/>
      <c r="H120" s="21"/>
      <c r="I120" s="21"/>
      <c r="J120" s="21"/>
      <c r="K120" s="21"/>
      <c r="L120" s="21"/>
    </row>
    <row r="121" spans="1:12" ht="29" x14ac:dyDescent="0.35">
      <c r="A121" s="21" t="s">
        <v>1151</v>
      </c>
      <c r="B121" s="21" t="s">
        <v>1160</v>
      </c>
      <c r="C121" s="21" t="s">
        <v>1161</v>
      </c>
      <c r="D121" s="21"/>
      <c r="E121" s="21" t="s">
        <v>996</v>
      </c>
      <c r="F121" s="21"/>
      <c r="G121" s="21"/>
      <c r="H121" s="21"/>
      <c r="I121" s="21"/>
      <c r="J121" s="21"/>
      <c r="K121" s="21"/>
      <c r="L121" s="21"/>
    </row>
    <row r="122" spans="1:12" ht="29" x14ac:dyDescent="0.35">
      <c r="A122" s="21" t="s">
        <v>1151</v>
      </c>
      <c r="B122" s="21" t="s">
        <v>1162</v>
      </c>
      <c r="C122" s="21" t="s">
        <v>1163</v>
      </c>
      <c r="D122" s="21"/>
      <c r="E122" s="21" t="s">
        <v>996</v>
      </c>
      <c r="F122" s="21"/>
      <c r="G122" s="21"/>
      <c r="H122" s="21"/>
      <c r="I122" s="21"/>
      <c r="J122" s="21"/>
      <c r="K122" s="21"/>
      <c r="L122" s="21"/>
    </row>
    <row r="123" spans="1:12" ht="29" x14ac:dyDescent="0.35">
      <c r="A123" s="21" t="s">
        <v>432</v>
      </c>
      <c r="B123" s="21" t="s">
        <v>1164</v>
      </c>
      <c r="C123" s="21" t="s">
        <v>1165</v>
      </c>
      <c r="D123" s="21"/>
      <c r="E123" s="21" t="s">
        <v>1114</v>
      </c>
      <c r="F123" s="21"/>
      <c r="G123" s="21"/>
      <c r="H123" s="21"/>
      <c r="I123" s="21"/>
      <c r="J123" s="21"/>
      <c r="K123" s="21"/>
      <c r="L123" s="21"/>
    </row>
    <row r="124" spans="1:12" ht="29" x14ac:dyDescent="0.35">
      <c r="A124" s="21" t="s">
        <v>432</v>
      </c>
      <c r="B124" s="21" t="s">
        <v>1166</v>
      </c>
      <c r="C124" s="21" t="s">
        <v>1167</v>
      </c>
      <c r="D124" s="21"/>
      <c r="E124" s="21" t="s">
        <v>1114</v>
      </c>
      <c r="F124" s="21"/>
      <c r="G124" s="21"/>
      <c r="H124" s="21"/>
      <c r="I124" s="21"/>
      <c r="J124" s="21"/>
      <c r="K124" s="21"/>
      <c r="L124" s="21"/>
    </row>
    <row r="125" spans="1:12" ht="29" x14ac:dyDescent="0.35">
      <c r="A125" s="21" t="s">
        <v>432</v>
      </c>
      <c r="B125" s="21" t="s">
        <v>1168</v>
      </c>
      <c r="C125" s="21" t="s">
        <v>1169</v>
      </c>
      <c r="D125" s="21"/>
      <c r="E125" s="21" t="s">
        <v>1114</v>
      </c>
      <c r="F125" s="21"/>
      <c r="G125" s="21"/>
      <c r="H125" s="21"/>
      <c r="I125" s="21"/>
      <c r="J125" s="21"/>
      <c r="K125" s="21"/>
      <c r="L125" s="21"/>
    </row>
    <row r="126" spans="1:12" ht="29" x14ac:dyDescent="0.35">
      <c r="A126" s="21" t="s">
        <v>432</v>
      </c>
      <c r="B126" s="21" t="s">
        <v>1170</v>
      </c>
      <c r="C126" s="21" t="s">
        <v>1171</v>
      </c>
      <c r="D126" s="21"/>
      <c r="E126" s="21" t="s">
        <v>1114</v>
      </c>
      <c r="F126" s="21"/>
      <c r="G126" s="21"/>
      <c r="H126" s="21"/>
      <c r="I126" s="21"/>
      <c r="J126" s="21"/>
      <c r="K126" s="21"/>
      <c r="L126" s="21"/>
    </row>
    <row r="127" spans="1:12" ht="29" x14ac:dyDescent="0.35">
      <c r="A127" s="21" t="s">
        <v>432</v>
      </c>
      <c r="B127" s="21" t="s">
        <v>1172</v>
      </c>
      <c r="C127" s="21" t="s">
        <v>1173</v>
      </c>
      <c r="D127" s="21"/>
      <c r="E127" s="21" t="s">
        <v>1114</v>
      </c>
      <c r="F127" s="21"/>
      <c r="G127" s="21"/>
      <c r="H127" s="21"/>
      <c r="I127" s="21"/>
      <c r="J127" s="21"/>
      <c r="K127" s="21"/>
      <c r="L127" s="21"/>
    </row>
    <row r="128" spans="1:12" ht="29" x14ac:dyDescent="0.35">
      <c r="A128" s="21" t="s">
        <v>432</v>
      </c>
      <c r="B128" s="21" t="s">
        <v>1174</v>
      </c>
      <c r="C128" s="21" t="s">
        <v>1175</v>
      </c>
      <c r="D128" s="21"/>
      <c r="E128" s="21" t="s">
        <v>1114</v>
      </c>
      <c r="F128" s="21"/>
      <c r="G128" s="21"/>
      <c r="H128" s="21"/>
      <c r="I128" s="21"/>
      <c r="J128" s="21"/>
      <c r="K128" s="21"/>
      <c r="L128" s="21"/>
    </row>
    <row r="129" spans="1:12" ht="29" x14ac:dyDescent="0.35">
      <c r="A129" s="21" t="s">
        <v>1176</v>
      </c>
      <c r="B129" s="21" t="s">
        <v>1177</v>
      </c>
      <c r="C129" s="21" t="s">
        <v>1178</v>
      </c>
      <c r="D129" s="21"/>
      <c r="E129" s="21" t="s">
        <v>996</v>
      </c>
      <c r="F129" s="21"/>
      <c r="G129" s="21"/>
      <c r="H129" s="21"/>
      <c r="I129" s="21"/>
      <c r="J129" s="21"/>
      <c r="K129" s="21"/>
      <c r="L129" s="21"/>
    </row>
    <row r="130" spans="1:12" ht="29" x14ac:dyDescent="0.35">
      <c r="A130" s="21" t="s">
        <v>1176</v>
      </c>
      <c r="B130" s="21" t="s">
        <v>1179</v>
      </c>
      <c r="C130" s="21" t="s">
        <v>1180</v>
      </c>
      <c r="D130" s="21"/>
      <c r="E130" s="21" t="s">
        <v>996</v>
      </c>
      <c r="F130" s="21"/>
      <c r="G130" s="21"/>
      <c r="H130" s="21"/>
      <c r="I130" s="21"/>
      <c r="J130" s="21"/>
      <c r="K130" s="21"/>
      <c r="L130" s="21"/>
    </row>
    <row r="131" spans="1:12" ht="29" x14ac:dyDescent="0.35">
      <c r="A131" s="21" t="s">
        <v>1176</v>
      </c>
      <c r="B131" s="21" t="s">
        <v>1181</v>
      </c>
      <c r="C131" s="21" t="s">
        <v>1182</v>
      </c>
      <c r="D131" s="21"/>
      <c r="E131" s="21" t="s">
        <v>996</v>
      </c>
      <c r="F131" s="21"/>
      <c r="G131" s="21"/>
      <c r="H131" s="21"/>
      <c r="I131" s="21"/>
      <c r="J131" s="21"/>
      <c r="K131" s="21"/>
      <c r="L131" s="21"/>
    </row>
    <row r="132" spans="1:12" ht="29" x14ac:dyDescent="0.35">
      <c r="A132" s="21" t="s">
        <v>1176</v>
      </c>
      <c r="B132" s="21" t="s">
        <v>1183</v>
      </c>
      <c r="C132" s="21" t="s">
        <v>1184</v>
      </c>
      <c r="D132" s="21"/>
      <c r="E132" s="21" t="s">
        <v>996</v>
      </c>
      <c r="F132" s="21"/>
      <c r="G132" s="21"/>
      <c r="H132" s="21"/>
      <c r="I132" s="21"/>
      <c r="J132" s="21"/>
      <c r="K132" s="21"/>
      <c r="L132" s="21"/>
    </row>
    <row r="133" spans="1:12" ht="29" x14ac:dyDescent="0.35">
      <c r="A133" s="21" t="s">
        <v>1176</v>
      </c>
      <c r="B133" s="21" t="s">
        <v>1185</v>
      </c>
      <c r="C133" s="21" t="s">
        <v>1186</v>
      </c>
      <c r="D133" s="21"/>
      <c r="E133" s="21" t="s">
        <v>996</v>
      </c>
      <c r="F133" s="21"/>
      <c r="G133" s="21"/>
      <c r="H133" s="21"/>
      <c r="I133" s="21"/>
      <c r="J133" s="21"/>
      <c r="K133" s="21"/>
      <c r="L133" s="21"/>
    </row>
    <row r="134" spans="1:12" ht="29" x14ac:dyDescent="0.35">
      <c r="A134" s="21" t="s">
        <v>1176</v>
      </c>
      <c r="B134" s="21" t="s">
        <v>1187</v>
      </c>
      <c r="C134" s="21" t="s">
        <v>1188</v>
      </c>
      <c r="D134" s="21"/>
      <c r="E134" s="21" t="s">
        <v>996</v>
      </c>
      <c r="F134" s="21"/>
      <c r="G134" s="21"/>
      <c r="H134" s="21"/>
      <c r="I134" s="21"/>
      <c r="J134" s="21"/>
      <c r="K134" s="21"/>
      <c r="L134" s="21"/>
    </row>
    <row r="135" spans="1:12" ht="29" x14ac:dyDescent="0.35">
      <c r="A135" s="21" t="s">
        <v>1189</v>
      </c>
      <c r="B135" s="21" t="s">
        <v>1190</v>
      </c>
      <c r="C135" s="21" t="s">
        <v>1191</v>
      </c>
      <c r="D135" s="21"/>
      <c r="E135" s="21" t="s">
        <v>996</v>
      </c>
      <c r="F135" s="21"/>
      <c r="G135" s="21"/>
      <c r="H135" s="21"/>
      <c r="I135" s="21"/>
      <c r="J135" s="21"/>
      <c r="K135" s="21"/>
      <c r="L135" s="21"/>
    </row>
    <row r="136" spans="1:12" ht="29" x14ac:dyDescent="0.35">
      <c r="A136" s="21" t="s">
        <v>1189</v>
      </c>
      <c r="B136" s="21" t="s">
        <v>1192</v>
      </c>
      <c r="C136" s="21" t="s">
        <v>1193</v>
      </c>
      <c r="D136" s="21"/>
      <c r="E136" s="21" t="s">
        <v>996</v>
      </c>
      <c r="F136" s="21"/>
      <c r="G136" s="21"/>
      <c r="H136" s="21"/>
      <c r="I136" s="21"/>
      <c r="J136" s="21"/>
      <c r="K136" s="21"/>
      <c r="L136" s="21"/>
    </row>
    <row r="137" spans="1:12" ht="29" x14ac:dyDescent="0.35">
      <c r="A137" s="21" t="s">
        <v>1189</v>
      </c>
      <c r="B137" s="21" t="s">
        <v>1194</v>
      </c>
      <c r="C137" s="21" t="s">
        <v>1195</v>
      </c>
      <c r="D137" s="21"/>
      <c r="E137" s="21" t="s">
        <v>996</v>
      </c>
      <c r="F137" s="21"/>
      <c r="G137" s="21"/>
      <c r="H137" s="21"/>
      <c r="I137" s="21"/>
      <c r="J137" s="21"/>
      <c r="K137" s="21"/>
      <c r="L137" s="21"/>
    </row>
    <row r="138" spans="1:12" ht="29" x14ac:dyDescent="0.35">
      <c r="A138" s="21" t="s">
        <v>1189</v>
      </c>
      <c r="B138" s="21" t="s">
        <v>1196</v>
      </c>
      <c r="C138" s="21" t="s">
        <v>1197</v>
      </c>
      <c r="D138" s="21"/>
      <c r="E138" s="21" t="s">
        <v>996</v>
      </c>
      <c r="F138" s="21"/>
      <c r="G138" s="21"/>
      <c r="H138" s="21"/>
      <c r="I138" s="21"/>
      <c r="J138" s="21"/>
      <c r="K138" s="21"/>
      <c r="L138" s="21"/>
    </row>
    <row r="139" spans="1:12" ht="29" x14ac:dyDescent="0.35">
      <c r="A139" s="21" t="s">
        <v>1189</v>
      </c>
      <c r="B139" s="21" t="s">
        <v>1198</v>
      </c>
      <c r="C139" s="21" t="s">
        <v>1199</v>
      </c>
      <c r="D139" s="21"/>
      <c r="E139" s="21" t="s">
        <v>996</v>
      </c>
      <c r="F139" s="21"/>
      <c r="G139" s="21"/>
      <c r="H139" s="21"/>
      <c r="I139" s="21"/>
      <c r="J139" s="21"/>
      <c r="K139" s="21"/>
      <c r="L139" s="21"/>
    </row>
    <row r="140" spans="1:12" ht="29" x14ac:dyDescent="0.35">
      <c r="A140" s="21" t="s">
        <v>1189</v>
      </c>
      <c r="B140" s="21" t="s">
        <v>1200</v>
      </c>
      <c r="C140" s="21" t="s">
        <v>1201</v>
      </c>
      <c r="D140" s="21"/>
      <c r="E140" s="21" t="s">
        <v>996</v>
      </c>
      <c r="F140" s="21"/>
      <c r="G140" s="21"/>
      <c r="H140" s="21"/>
      <c r="I140" s="21"/>
      <c r="J140" s="21"/>
      <c r="K140" s="21"/>
      <c r="L140" s="21"/>
    </row>
    <row r="141" spans="1:12" ht="29" x14ac:dyDescent="0.35">
      <c r="A141" s="21" t="s">
        <v>1202</v>
      </c>
      <c r="B141" s="21" t="s">
        <v>1203</v>
      </c>
      <c r="C141" s="21" t="s">
        <v>1204</v>
      </c>
      <c r="D141" s="21"/>
      <c r="E141" s="21" t="s">
        <v>996</v>
      </c>
      <c r="F141" s="21"/>
      <c r="G141" s="21"/>
      <c r="H141" s="21"/>
      <c r="I141" s="21"/>
      <c r="J141" s="21"/>
      <c r="K141" s="21"/>
      <c r="L141" s="21"/>
    </row>
    <row r="142" spans="1:12" ht="29" x14ac:dyDescent="0.35">
      <c r="A142" s="21" t="s">
        <v>1202</v>
      </c>
      <c r="B142" s="21" t="s">
        <v>1205</v>
      </c>
      <c r="C142" s="21" t="s">
        <v>1206</v>
      </c>
      <c r="D142" s="21"/>
      <c r="E142" s="21" t="s">
        <v>996</v>
      </c>
      <c r="F142" s="21"/>
      <c r="G142" s="21"/>
      <c r="H142" s="21"/>
      <c r="I142" s="21"/>
      <c r="J142" s="21"/>
      <c r="K142" s="21"/>
      <c r="L142" s="21"/>
    </row>
    <row r="143" spans="1:12" ht="29" x14ac:dyDescent="0.35">
      <c r="A143" s="21" t="s">
        <v>1202</v>
      </c>
      <c r="B143" s="21" t="s">
        <v>1207</v>
      </c>
      <c r="C143" s="21" t="s">
        <v>1208</v>
      </c>
      <c r="D143" s="21"/>
      <c r="E143" s="21" t="s">
        <v>996</v>
      </c>
      <c r="F143" s="21"/>
      <c r="G143" s="21"/>
      <c r="H143" s="21"/>
      <c r="I143" s="21"/>
      <c r="J143" s="21"/>
      <c r="K143" s="21"/>
      <c r="L143" s="21"/>
    </row>
    <row r="144" spans="1:12" ht="29" x14ac:dyDescent="0.35">
      <c r="A144" s="21" t="s">
        <v>1202</v>
      </c>
      <c r="B144" s="21" t="s">
        <v>1209</v>
      </c>
      <c r="C144" s="21" t="s">
        <v>1210</v>
      </c>
      <c r="D144" s="21"/>
      <c r="E144" s="21" t="s">
        <v>996</v>
      </c>
      <c r="F144" s="21"/>
      <c r="G144" s="21"/>
      <c r="H144" s="21"/>
      <c r="I144" s="21"/>
      <c r="J144" s="21"/>
      <c r="K144" s="21"/>
      <c r="L144" s="21"/>
    </row>
    <row r="145" spans="1:12" ht="29" x14ac:dyDescent="0.35">
      <c r="A145" s="21" t="s">
        <v>1202</v>
      </c>
      <c r="B145" s="21" t="s">
        <v>1211</v>
      </c>
      <c r="C145" s="21" t="s">
        <v>1212</v>
      </c>
      <c r="D145" s="21"/>
      <c r="E145" s="21" t="s">
        <v>996</v>
      </c>
      <c r="F145" s="21"/>
      <c r="G145" s="21"/>
      <c r="H145" s="21"/>
      <c r="I145" s="21"/>
      <c r="J145" s="21"/>
      <c r="K145" s="21"/>
      <c r="L145" s="21"/>
    </row>
    <row r="146" spans="1:12" ht="29" x14ac:dyDescent="0.35">
      <c r="A146" s="21" t="s">
        <v>1202</v>
      </c>
      <c r="B146" s="21" t="s">
        <v>1213</v>
      </c>
      <c r="C146" s="21" t="s">
        <v>1214</v>
      </c>
      <c r="D146" s="21"/>
      <c r="E146" s="21" t="s">
        <v>996</v>
      </c>
      <c r="F146" s="21"/>
      <c r="G146" s="21"/>
      <c r="H146" s="21"/>
      <c r="I146" s="21"/>
      <c r="J146" s="21"/>
      <c r="K146" s="21"/>
      <c r="L146" s="21"/>
    </row>
    <row r="147" spans="1:12" ht="29" x14ac:dyDescent="0.35">
      <c r="A147" s="21" t="s">
        <v>1215</v>
      </c>
      <c r="B147" s="21" t="s">
        <v>1216</v>
      </c>
      <c r="C147" s="21" t="s">
        <v>1217</v>
      </c>
      <c r="D147" s="21"/>
      <c r="E147" s="21" t="s">
        <v>996</v>
      </c>
      <c r="F147" s="21"/>
      <c r="G147" s="21"/>
      <c r="H147" s="21"/>
      <c r="I147" s="21"/>
      <c r="J147" s="21"/>
      <c r="K147" s="21"/>
      <c r="L147" s="21"/>
    </row>
    <row r="148" spans="1:12" ht="29" x14ac:dyDescent="0.35">
      <c r="A148" s="21" t="s">
        <v>1215</v>
      </c>
      <c r="B148" s="21" t="s">
        <v>1218</v>
      </c>
      <c r="C148" s="21" t="s">
        <v>1219</v>
      </c>
      <c r="D148" s="21"/>
      <c r="E148" s="21" t="s">
        <v>996</v>
      </c>
      <c r="F148" s="21"/>
      <c r="G148" s="21"/>
      <c r="H148" s="21"/>
      <c r="I148" s="21"/>
      <c r="J148" s="21"/>
      <c r="K148" s="21"/>
      <c r="L148" s="21"/>
    </row>
    <row r="149" spans="1:12" ht="29" x14ac:dyDescent="0.35">
      <c r="A149" s="21" t="s">
        <v>1215</v>
      </c>
      <c r="B149" s="21" t="s">
        <v>1220</v>
      </c>
      <c r="C149" s="21" t="s">
        <v>1221</v>
      </c>
      <c r="D149" s="21"/>
      <c r="E149" s="21" t="s">
        <v>996</v>
      </c>
      <c r="F149" s="21"/>
      <c r="G149" s="21"/>
      <c r="H149" s="21"/>
      <c r="I149" s="21"/>
      <c r="J149" s="21"/>
      <c r="K149" s="21"/>
      <c r="L149" s="21"/>
    </row>
    <row r="150" spans="1:12" ht="29" x14ac:dyDescent="0.35">
      <c r="A150" s="21" t="s">
        <v>1215</v>
      </c>
      <c r="B150" s="21" t="s">
        <v>1222</v>
      </c>
      <c r="C150" s="21" t="s">
        <v>1223</v>
      </c>
      <c r="D150" s="21"/>
      <c r="E150" s="21" t="s">
        <v>996</v>
      </c>
      <c r="F150" s="21"/>
      <c r="G150" s="21"/>
      <c r="H150" s="21"/>
      <c r="I150" s="21"/>
      <c r="J150" s="21"/>
      <c r="K150" s="21"/>
      <c r="L150" s="21"/>
    </row>
    <row r="151" spans="1:12" ht="24" customHeight="1" x14ac:dyDescent="0.35">
      <c r="A151" s="133" t="s">
        <v>1215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</row>
    <row r="152" spans="1:12" x14ac:dyDescent="0.35">
      <c r="A152" s="21" t="s">
        <v>1215</v>
      </c>
      <c r="B152" s="21" t="s">
        <v>1224</v>
      </c>
      <c r="C152" s="21" t="s">
        <v>1225</v>
      </c>
      <c r="D152" s="21"/>
      <c r="E152" s="21" t="s">
        <v>996</v>
      </c>
      <c r="F152" s="21"/>
      <c r="G152" s="21"/>
      <c r="H152" s="21"/>
      <c r="I152" s="21"/>
      <c r="J152" s="21"/>
      <c r="K152" s="21"/>
      <c r="L152" s="21"/>
    </row>
    <row r="158" spans="1:12" x14ac:dyDescent="0.35">
      <c r="A158" s="98" t="s">
        <v>1226</v>
      </c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</row>
    <row r="160" spans="1:12" ht="29" x14ac:dyDescent="0.35">
      <c r="A160" s="100" t="s">
        <v>1227</v>
      </c>
      <c r="B160" s="100" t="s">
        <v>1228</v>
      </c>
      <c r="C160" s="100" t="s">
        <v>1229</v>
      </c>
      <c r="D160" s="100" t="s">
        <v>389</v>
      </c>
      <c r="E160" s="100" t="s">
        <v>870</v>
      </c>
      <c r="F160" s="100" t="s">
        <v>390</v>
      </c>
      <c r="G160" s="100" t="s">
        <v>990</v>
      </c>
      <c r="H160" s="100" t="s">
        <v>1230</v>
      </c>
      <c r="I160" s="100"/>
      <c r="J160" s="100"/>
      <c r="K160" s="100"/>
      <c r="L160" s="100"/>
    </row>
    <row r="161" spans="1:8" x14ac:dyDescent="0.35">
      <c r="A161" s="21" t="s">
        <v>1231</v>
      </c>
      <c r="B161" s="21"/>
      <c r="C161" s="21"/>
      <c r="D161" s="21"/>
      <c r="E161" s="21"/>
      <c r="F161" s="21"/>
      <c r="G161" s="21"/>
      <c r="H161" s="21"/>
    </row>
    <row r="162" spans="1:8" x14ac:dyDescent="0.35">
      <c r="A162" s="21" t="s">
        <v>1232</v>
      </c>
      <c r="B162" s="21"/>
      <c r="C162" s="21"/>
      <c r="D162" s="21"/>
      <c r="E162" s="21"/>
      <c r="F162" s="21"/>
      <c r="G162" s="21"/>
      <c r="H162" s="21"/>
    </row>
    <row r="163" spans="1:8" x14ac:dyDescent="0.35">
      <c r="A163" s="21" t="s">
        <v>509</v>
      </c>
      <c r="B163" s="21"/>
      <c r="C163" s="21"/>
      <c r="D163" s="21"/>
      <c r="E163" s="21"/>
      <c r="F163" s="21"/>
      <c r="G163" s="21"/>
      <c r="H163" s="21"/>
    </row>
    <row r="164" spans="1:8" x14ac:dyDescent="0.35">
      <c r="A164" s="21" t="s">
        <v>1233</v>
      </c>
      <c r="B164" s="21"/>
      <c r="C164" s="21"/>
      <c r="D164" s="21"/>
      <c r="E164" s="21"/>
      <c r="F164" s="21"/>
      <c r="G164" s="21"/>
      <c r="H164" s="21"/>
    </row>
    <row r="165" spans="1:8" x14ac:dyDescent="0.35">
      <c r="A165" s="21" t="s">
        <v>1234</v>
      </c>
      <c r="B165" s="21"/>
      <c r="C165" s="21"/>
      <c r="D165" s="21"/>
      <c r="E165" s="21"/>
      <c r="F165" s="21"/>
      <c r="G165" s="21"/>
      <c r="H165" s="21"/>
    </row>
    <row r="166" spans="1:8" x14ac:dyDescent="0.35">
      <c r="A166" s="21" t="s">
        <v>1235</v>
      </c>
      <c r="B166" s="21"/>
      <c r="C166" s="21"/>
      <c r="D166" s="21"/>
      <c r="E166" s="21"/>
      <c r="F166" s="21"/>
      <c r="G166" s="21"/>
      <c r="H166" s="21"/>
    </row>
    <row r="167" spans="1:8" x14ac:dyDescent="0.35">
      <c r="A167" s="21" t="s">
        <v>1236</v>
      </c>
      <c r="B167" s="21"/>
      <c r="C167" s="21"/>
      <c r="D167" s="21"/>
      <c r="E167" s="21"/>
      <c r="F167" s="21"/>
      <c r="G167" s="21"/>
      <c r="H167" s="21"/>
    </row>
    <row r="168" spans="1:8" x14ac:dyDescent="0.35">
      <c r="A168" s="21" t="s">
        <v>1237</v>
      </c>
      <c r="B168" s="21"/>
      <c r="C168" s="21"/>
      <c r="D168" s="21"/>
      <c r="E168" s="21"/>
      <c r="F168" s="21"/>
      <c r="G168" s="21"/>
      <c r="H168" s="21"/>
    </row>
    <row r="169" spans="1:8" x14ac:dyDescent="0.35">
      <c r="A169" s="21" t="s">
        <v>1238</v>
      </c>
      <c r="B169" s="21"/>
      <c r="C169" s="21"/>
      <c r="D169" s="21"/>
      <c r="E169" s="21"/>
      <c r="F169" s="21"/>
      <c r="G169" s="21"/>
      <c r="H169" s="21"/>
    </row>
    <row r="170" spans="1:8" x14ac:dyDescent="0.35">
      <c r="A170" s="21" t="s">
        <v>1239</v>
      </c>
      <c r="B170" s="21"/>
      <c r="C170" s="21"/>
      <c r="D170" s="21"/>
      <c r="E170" s="21"/>
      <c r="F170" s="21"/>
      <c r="G170" s="21"/>
      <c r="H170" s="21"/>
    </row>
    <row r="171" spans="1:8" x14ac:dyDescent="0.35">
      <c r="A171" s="21" t="s">
        <v>1240</v>
      </c>
      <c r="B171" s="21"/>
      <c r="C171" s="21"/>
      <c r="D171" s="21"/>
      <c r="E171" s="21"/>
      <c r="F171" s="21"/>
      <c r="G171" s="21"/>
      <c r="H171" s="21"/>
    </row>
    <row r="172" spans="1:8" x14ac:dyDescent="0.35">
      <c r="A172" s="21" t="s">
        <v>1241</v>
      </c>
      <c r="B172" s="21"/>
      <c r="C172" s="21"/>
      <c r="D172" s="21"/>
      <c r="E172" s="21"/>
      <c r="F172" s="21"/>
      <c r="G172" s="21"/>
      <c r="H172" s="21"/>
    </row>
    <row r="173" spans="1:8" x14ac:dyDescent="0.35">
      <c r="A173" s="21" t="s">
        <v>1242</v>
      </c>
      <c r="B173" s="21"/>
      <c r="C173" s="21"/>
      <c r="D173" s="21"/>
      <c r="E173" s="21"/>
      <c r="F173" s="21"/>
      <c r="G173" s="21"/>
      <c r="H173" s="21"/>
    </row>
    <row r="174" spans="1:8" x14ac:dyDescent="0.35">
      <c r="A174" s="21" t="s">
        <v>1243</v>
      </c>
      <c r="B174" s="21"/>
      <c r="C174" s="21"/>
      <c r="D174" s="21"/>
      <c r="E174" s="21"/>
      <c r="F174" s="21"/>
      <c r="G174" s="21"/>
      <c r="H174" s="21"/>
    </row>
    <row r="175" spans="1:8" x14ac:dyDescent="0.35">
      <c r="A175" s="21" t="s">
        <v>1244</v>
      </c>
      <c r="B175" s="21"/>
      <c r="C175" s="21"/>
      <c r="D175" s="21"/>
      <c r="E175" s="21"/>
      <c r="F175" s="21"/>
      <c r="G175" s="21"/>
      <c r="H175" s="21"/>
    </row>
    <row r="176" spans="1:8" x14ac:dyDescent="0.35">
      <c r="A176" s="21" t="s">
        <v>1245</v>
      </c>
      <c r="B176" s="21"/>
      <c r="C176" s="21"/>
      <c r="D176" s="21"/>
      <c r="E176" s="21"/>
      <c r="F176" s="21"/>
      <c r="G176" s="21"/>
      <c r="H176" s="21"/>
    </row>
    <row r="177" spans="1:12" x14ac:dyDescent="0.35">
      <c r="A177" s="21" t="s">
        <v>1246</v>
      </c>
      <c r="B177" s="21"/>
      <c r="C177" s="21"/>
      <c r="D177" s="21"/>
      <c r="E177" s="21"/>
      <c r="F177" s="21"/>
      <c r="G177" s="21"/>
      <c r="H177" s="21"/>
    </row>
    <row r="178" spans="1:12" x14ac:dyDescent="0.35">
      <c r="A178" s="21" t="s">
        <v>1247</v>
      </c>
      <c r="B178" s="21"/>
      <c r="C178" s="21"/>
      <c r="D178" s="21"/>
      <c r="E178" s="21"/>
      <c r="F178" s="21"/>
      <c r="G178" s="21"/>
      <c r="H178" s="21"/>
    </row>
    <row r="179" spans="1:12" ht="24" customHeight="1" x14ac:dyDescent="0.35">
      <c r="A179" s="133" t="s">
        <v>1248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</row>
    <row r="180" spans="1:12" x14ac:dyDescent="0.35">
      <c r="A180" s="21" t="s">
        <v>1249</v>
      </c>
      <c r="B180" s="21"/>
      <c r="C180" s="21"/>
      <c r="D180" s="21"/>
      <c r="E180" s="21"/>
      <c r="F180" s="21"/>
      <c r="G180" s="21"/>
      <c r="H180" s="21"/>
    </row>
    <row r="186" spans="1:12" x14ac:dyDescent="0.35">
      <c r="A186" s="98" t="s">
        <v>1250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</row>
    <row r="188" spans="1:12" ht="29" x14ac:dyDescent="0.35">
      <c r="A188" s="100" t="s">
        <v>1251</v>
      </c>
      <c r="B188" s="100" t="s">
        <v>1252</v>
      </c>
      <c r="C188" s="100" t="s">
        <v>1253</v>
      </c>
      <c r="D188" s="100" t="s">
        <v>1254</v>
      </c>
      <c r="E188" s="100" t="s">
        <v>870</v>
      </c>
      <c r="F188" s="100" t="s">
        <v>1255</v>
      </c>
      <c r="G188" s="100" t="s">
        <v>338</v>
      </c>
    </row>
    <row r="189" spans="1:12" x14ac:dyDescent="0.35">
      <c r="A189" s="21" t="s">
        <v>428</v>
      </c>
      <c r="B189" s="21"/>
      <c r="C189" s="21"/>
      <c r="D189" s="21"/>
      <c r="E189" s="21"/>
      <c r="F189" s="21"/>
      <c r="G189" s="21"/>
    </row>
    <row r="190" spans="1:12" x14ac:dyDescent="0.35">
      <c r="A190" s="21" t="s">
        <v>582</v>
      </c>
      <c r="B190" s="21"/>
      <c r="C190" s="21"/>
      <c r="D190" s="21"/>
      <c r="E190" s="21"/>
      <c r="F190" s="21"/>
      <c r="G190" s="21"/>
    </row>
    <row r="191" spans="1:12" x14ac:dyDescent="0.35">
      <c r="A191" s="21" t="s">
        <v>435</v>
      </c>
      <c r="B191" s="21"/>
      <c r="C191" s="21"/>
      <c r="D191" s="21"/>
      <c r="E191" s="21"/>
      <c r="F191" s="21"/>
      <c r="G191" s="21"/>
    </row>
    <row r="192" spans="1:12" x14ac:dyDescent="0.35">
      <c r="A192" s="21" t="s">
        <v>93</v>
      </c>
      <c r="B192" s="21"/>
      <c r="C192" s="21"/>
      <c r="D192" s="21"/>
      <c r="E192" s="21"/>
      <c r="F192" s="21"/>
      <c r="G192" s="21"/>
    </row>
    <row r="193" spans="1:12" x14ac:dyDescent="0.35">
      <c r="A193" s="21" t="s">
        <v>431</v>
      </c>
      <c r="B193" s="21"/>
      <c r="C193" s="21"/>
      <c r="D193" s="21"/>
      <c r="E193" s="21"/>
      <c r="F193" s="21"/>
      <c r="G193" s="21"/>
    </row>
    <row r="194" spans="1:12" x14ac:dyDescent="0.35">
      <c r="A194" s="21" t="s">
        <v>97</v>
      </c>
      <c r="B194" s="21"/>
      <c r="C194" s="21"/>
      <c r="D194" s="21"/>
      <c r="E194" s="21"/>
      <c r="F194" s="21"/>
      <c r="G194" s="21"/>
    </row>
    <row r="195" spans="1:12" x14ac:dyDescent="0.35">
      <c r="A195" s="21" t="s">
        <v>100</v>
      </c>
      <c r="B195" s="21"/>
      <c r="C195" s="21"/>
      <c r="D195" s="21"/>
      <c r="E195" s="21"/>
      <c r="F195" s="21"/>
      <c r="G195" s="21"/>
    </row>
    <row r="196" spans="1:12" x14ac:dyDescent="0.35">
      <c r="A196" s="21" t="s">
        <v>1176</v>
      </c>
      <c r="B196" s="21"/>
      <c r="C196" s="21"/>
      <c r="D196" s="21"/>
      <c r="E196" s="21"/>
      <c r="F196" s="21"/>
      <c r="G196" s="21"/>
    </row>
    <row r="197" spans="1:12" x14ac:dyDescent="0.35">
      <c r="A197" s="21" t="s">
        <v>160</v>
      </c>
      <c r="B197" s="21"/>
      <c r="C197" s="21"/>
      <c r="D197" s="21"/>
      <c r="E197" s="21"/>
      <c r="F197" s="21"/>
      <c r="G197" s="21"/>
    </row>
    <row r="198" spans="1:12" x14ac:dyDescent="0.35">
      <c r="A198" s="21" t="s">
        <v>1256</v>
      </c>
      <c r="B198" s="21"/>
      <c r="C198" s="21"/>
      <c r="D198" s="21"/>
      <c r="E198" s="21"/>
      <c r="F198" s="21"/>
      <c r="G198" s="21"/>
    </row>
    <row r="199" spans="1:12" x14ac:dyDescent="0.35">
      <c r="A199" s="21" t="s">
        <v>1257</v>
      </c>
      <c r="B199" s="21"/>
      <c r="C199" s="21"/>
      <c r="D199" s="21"/>
      <c r="E199" s="21"/>
      <c r="F199" s="21"/>
      <c r="G199" s="21"/>
    </row>
    <row r="200" spans="1:12" x14ac:dyDescent="0.35">
      <c r="A200" s="21" t="s">
        <v>1258</v>
      </c>
      <c r="B200" s="21"/>
      <c r="C200" s="21"/>
      <c r="D200" s="21"/>
      <c r="E200" s="21"/>
      <c r="F200" s="21"/>
      <c r="G200" s="21"/>
    </row>
    <row r="201" spans="1:12" x14ac:dyDescent="0.35">
      <c r="A201" s="21" t="s">
        <v>116</v>
      </c>
      <c r="B201" s="21"/>
      <c r="C201" s="21"/>
      <c r="D201" s="21"/>
      <c r="E201" s="21"/>
      <c r="F201" s="21"/>
      <c r="G201" s="21"/>
    </row>
    <row r="202" spans="1:12" x14ac:dyDescent="0.35">
      <c r="A202" s="21" t="s">
        <v>129</v>
      </c>
      <c r="B202" s="21"/>
      <c r="C202" s="21"/>
      <c r="D202" s="21"/>
      <c r="E202" s="21"/>
      <c r="F202" s="21"/>
      <c r="G202" s="21"/>
    </row>
    <row r="203" spans="1:12" x14ac:dyDescent="0.35">
      <c r="A203" s="21" t="s">
        <v>437</v>
      </c>
      <c r="B203" s="21"/>
      <c r="C203" s="21"/>
      <c r="D203" s="21"/>
      <c r="E203" s="21"/>
      <c r="F203" s="21"/>
      <c r="G203" s="21"/>
    </row>
    <row r="204" spans="1:12" x14ac:dyDescent="0.35">
      <c r="A204" s="21" t="s">
        <v>125</v>
      </c>
      <c r="B204" s="21"/>
      <c r="C204" s="21"/>
      <c r="D204" s="21"/>
      <c r="E204" s="21"/>
      <c r="F204" s="21"/>
      <c r="G204" s="21"/>
    </row>
    <row r="205" spans="1:12" x14ac:dyDescent="0.35">
      <c r="A205" s="21" t="s">
        <v>442</v>
      </c>
      <c r="B205" s="21"/>
      <c r="C205" s="21"/>
      <c r="D205" s="21"/>
      <c r="E205" s="21"/>
      <c r="F205" s="21"/>
      <c r="G205" s="21"/>
    </row>
    <row r="206" spans="1:12" x14ac:dyDescent="0.35">
      <c r="A206" s="21" t="s">
        <v>1259</v>
      </c>
      <c r="B206" s="21"/>
      <c r="C206" s="21"/>
      <c r="D206" s="21"/>
      <c r="E206" s="21"/>
      <c r="F206" s="21"/>
      <c r="G206" s="21"/>
    </row>
    <row r="207" spans="1:12" ht="24" customHeight="1" x14ac:dyDescent="0.35">
      <c r="A207" s="133" t="s">
        <v>1260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</row>
    <row r="208" spans="1:12" x14ac:dyDescent="0.35">
      <c r="A208" s="21" t="s">
        <v>439</v>
      </c>
      <c r="B208" s="21"/>
      <c r="C208" s="21"/>
      <c r="D208" s="21"/>
      <c r="E208" s="21"/>
      <c r="F208" s="21"/>
      <c r="G208" s="21"/>
    </row>
    <row r="214" spans="1:12" x14ac:dyDescent="0.35">
      <c r="A214" s="98" t="s">
        <v>1261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</row>
    <row r="216" spans="1:12" x14ac:dyDescent="0.35">
      <c r="A216" s="100" t="s">
        <v>1262</v>
      </c>
      <c r="B216" s="100" t="s">
        <v>1263</v>
      </c>
      <c r="C216" s="100" t="s">
        <v>292</v>
      </c>
      <c r="D216" s="100" t="s">
        <v>371</v>
      </c>
      <c r="E216" s="100" t="s">
        <v>360</v>
      </c>
      <c r="F216" s="100" t="s">
        <v>1264</v>
      </c>
      <c r="G216" s="100" t="s">
        <v>990</v>
      </c>
      <c r="H216" s="100" t="s">
        <v>338</v>
      </c>
    </row>
    <row r="217" spans="1:12" x14ac:dyDescent="0.35">
      <c r="A217" t="s">
        <v>1265</v>
      </c>
    </row>
    <row r="218" spans="1:12" x14ac:dyDescent="0.35">
      <c r="A218" t="s">
        <v>1266</v>
      </c>
    </row>
    <row r="219" spans="1:12" x14ac:dyDescent="0.35">
      <c r="A219" t="s">
        <v>1267</v>
      </c>
    </row>
    <row r="220" spans="1:12" x14ac:dyDescent="0.35">
      <c r="A220" t="s">
        <v>1268</v>
      </c>
    </row>
    <row r="221" spans="1:12" x14ac:dyDescent="0.35">
      <c r="A221" t="s">
        <v>1269</v>
      </c>
    </row>
    <row r="222" spans="1:12" x14ac:dyDescent="0.35">
      <c r="A222" t="s">
        <v>1270</v>
      </c>
    </row>
    <row r="223" spans="1:12" ht="24" customHeight="1" x14ac:dyDescent="0.35">
      <c r="A223" s="129" t="s">
        <v>1271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</row>
    <row r="224" spans="1:12" x14ac:dyDescent="0.35">
      <c r="A224" t="s">
        <v>1272</v>
      </c>
    </row>
    <row r="230" spans="1:12" x14ac:dyDescent="0.35">
      <c r="A230" s="98" t="s">
        <v>1273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2" spans="1:12" ht="29" x14ac:dyDescent="0.35">
      <c r="A232" s="100" t="s">
        <v>1229</v>
      </c>
      <c r="B232" s="100" t="s">
        <v>1274</v>
      </c>
      <c r="C232" s="100" t="s">
        <v>390</v>
      </c>
      <c r="D232" s="100" t="s">
        <v>351</v>
      </c>
      <c r="E232" s="100" t="s">
        <v>352</v>
      </c>
      <c r="F232" s="100" t="s">
        <v>292</v>
      </c>
      <c r="G232" s="100" t="s">
        <v>353</v>
      </c>
      <c r="H232" s="100" t="s">
        <v>338</v>
      </c>
    </row>
    <row r="240" spans="1:12" x14ac:dyDescent="0.3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</row>
    <row r="241" spans="1:12" x14ac:dyDescent="0.3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</row>
    <row r="247" spans="1:12" ht="29" x14ac:dyDescent="0.35">
      <c r="A247" s="106" t="s">
        <v>1275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3"/>
    </row>
    <row r="248" spans="1:12" ht="43.5" x14ac:dyDescent="0.35">
      <c r="A248" s="111" t="s">
        <v>1276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3"/>
    </row>
    <row r="249" spans="1:12" ht="29" x14ac:dyDescent="0.35">
      <c r="A249" s="110" t="s">
        <v>1277</v>
      </c>
      <c r="B249" s="110" t="s">
        <v>1278</v>
      </c>
      <c r="C249" s="110" t="s">
        <v>81</v>
      </c>
      <c r="D249" s="110" t="s">
        <v>615</v>
      </c>
      <c r="E249" s="110" t="s">
        <v>616</v>
      </c>
      <c r="F249" s="110" t="s">
        <v>990</v>
      </c>
      <c r="G249" s="110" t="s">
        <v>1279</v>
      </c>
      <c r="H249" s="110" t="s">
        <v>390</v>
      </c>
      <c r="I249" s="110" t="s">
        <v>351</v>
      </c>
      <c r="J249" s="110" t="s">
        <v>292</v>
      </c>
      <c r="K249" s="110" t="s">
        <v>353</v>
      </c>
      <c r="L249" s="110" t="s">
        <v>619</v>
      </c>
    </row>
    <row r="250" spans="1:12" x14ac:dyDescent="0.35">
      <c r="A250" s="105" t="s">
        <v>1280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x14ac:dyDescent="0.35">
      <c r="A251" s="105" t="s">
        <v>1281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x14ac:dyDescent="0.35">
      <c r="A252" s="105" t="s">
        <v>1282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29" x14ac:dyDescent="0.35">
      <c r="A253" s="105" t="s">
        <v>1283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29" x14ac:dyDescent="0.35">
      <c r="A254" s="105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29" x14ac:dyDescent="0.35">
      <c r="A255" s="105" t="s">
        <v>1285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29" x14ac:dyDescent="0.35">
      <c r="A256" s="105" t="s">
        <v>1286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29" x14ac:dyDescent="0.35">
      <c r="A257" s="105" t="s">
        <v>1287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29" x14ac:dyDescent="0.35">
      <c r="A258" s="105" t="s">
        <v>1288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29" x14ac:dyDescent="0.35">
      <c r="A259" s="105" t="s">
        <v>1289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29" x14ac:dyDescent="0.35">
      <c r="A260" s="105" t="s">
        <v>1290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29" x14ac:dyDescent="0.35">
      <c r="A261" s="105" t="s">
        <v>1291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29" x14ac:dyDescent="0.35">
      <c r="A262" s="105" t="s">
        <v>1292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43.5" x14ac:dyDescent="0.35">
      <c r="A263" s="105" t="s">
        <v>1293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29" x14ac:dyDescent="0.35">
      <c r="A264" s="105" t="s">
        <v>1294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x14ac:dyDescent="0.35">
      <c r="A265" s="105" t="s">
        <v>1295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</sheetData>
  <mergeCells count="9">
    <mergeCell ref="A1:L1"/>
    <mergeCell ref="A17:L17"/>
    <mergeCell ref="A241:L241"/>
    <mergeCell ref="A223:L223"/>
    <mergeCell ref="A35:L35"/>
    <mergeCell ref="A240:L240"/>
    <mergeCell ref="A179:L179"/>
    <mergeCell ref="A151:L151"/>
    <mergeCell ref="A207:L207"/>
  </mergeCells>
  <conditionalFormatting sqref="B12">
    <cfRule type="expression" dxfId="321" priority="12">
      <formula>B12="Green"</formula>
    </cfRule>
    <cfRule type="expression" dxfId="320" priority="13">
      <formula>B12="Amber"</formula>
    </cfRule>
    <cfRule type="expression" dxfId="319" priority="14">
      <formula>B12="Red"</formula>
    </cfRule>
  </conditionalFormatting>
  <conditionalFormatting sqref="B182:B201">
    <cfRule type="expression" dxfId="318" priority="3">
      <formula>B182="Pass"</formula>
    </cfRule>
  </conditionalFormatting>
  <conditionalFormatting sqref="C20:C43">
    <cfRule type="expression" dxfId="317" priority="8">
      <formula>C20="Green"</formula>
    </cfRule>
    <cfRule type="expression" dxfId="316" priority="9">
      <formula>C20="Amber"</formula>
    </cfRule>
    <cfRule type="expression" dxfId="315" priority="10">
      <formula>C20="Red"</formula>
    </cfRule>
    <cfRule type="expression" dxfId="314" priority="11">
      <formula>C20="N/A"</formula>
    </cfRule>
  </conditionalFormatting>
  <conditionalFormatting sqref="C20:C45">
    <cfRule type="expression" dxfId="313" priority="4">
      <formula>ISNUMBER(SEARCH("Green",C20))</formula>
    </cfRule>
    <cfRule type="expression" dxfId="312" priority="5">
      <formula>ISNUMBER(SEARCH("Amber",C20))</formula>
    </cfRule>
    <cfRule type="expression" dxfId="311" priority="6">
      <formula>ISNUMBER(SEARCH("Red",C20))</formula>
    </cfRule>
    <cfRule type="expression" dxfId="310" priority="7">
      <formula>C20="N/A"</formula>
    </cfRule>
  </conditionalFormatting>
  <conditionalFormatting sqref="E154:E173">
    <cfRule type="expression" dxfId="309" priority="2">
      <formula>E154="Pass"</formula>
    </cfRule>
  </conditionalFormatting>
  <conditionalFormatting sqref="H38:H145">
    <cfRule type="expression" dxfId="308" priority="1">
      <formula>H38="Pass"</formula>
    </cfRule>
  </conditionalFormatting>
  <dataValidations count="8">
    <dataValidation type="list" sqref="H38:H145 E154:E173" xr:uid="{00000000-0002-0000-2900-000000000000}">
      <formula1>"Pass,Developing,Fail,N/A"</formula1>
    </dataValidation>
    <dataValidation type="list" sqref="F38:F145" xr:uid="{00000000-0002-0000-2900-000001000000}">
      <formula1>"1,2,3,4,5"</formula1>
    </dataValidation>
    <dataValidation type="list" sqref="B182:B201" xr:uid="{00000000-0002-0000-2900-000003000000}">
      <formula1>"Complete,In Progress,Not Started,N/A"</formula1>
    </dataValidation>
    <dataValidation type="list" allowBlank="1" sqref="C243:E258" xr:uid="{00000000-0002-0000-2900-000004000000}">
      <formula1>"Yes,No,N/A"</formula1>
    </dataValidation>
    <dataValidation type="list" allowBlank="1" sqref="C20:C45" xr:uid="{00000000-0002-0000-2900-000005000000}">
      <formula1>"Green - Received,Amber - Awaiting,Red - Missing,N/A"</formula1>
    </dataValidation>
    <dataValidation type="list" sqref="C20:C43" xr:uid="{00000000-0002-0000-2900-000006000000}">
      <formula1>"Green,Amber,Red,N/A"</formula1>
    </dataValidation>
    <dataValidation type="list" sqref="F42:F230" xr:uid="{00000000-0002-0000-2900-000007000000}">
      <formula1>"1,2,3,4,5,N/A"</formula1>
    </dataValidation>
    <dataValidation type="list" sqref="H42:H230 H235:H255" xr:uid="{00000000-0002-0000-2900-000008000000}">
      <formula1>"Pass,Fail,Not Assessed,N/A"</formula1>
    </dataValidation>
  </dataValidation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L265"/>
  <sheetViews>
    <sheetView workbookViewId="0"/>
  </sheetViews>
  <sheetFormatPr defaultRowHeight="14.5" x14ac:dyDescent="0.35"/>
  <cols>
    <col min="1" max="1" width="42" customWidth="1"/>
    <col min="2" max="2" width="36" customWidth="1"/>
    <col min="3" max="3" width="52" customWidth="1"/>
    <col min="4" max="4" width="34" customWidth="1"/>
    <col min="5" max="5" width="30" customWidth="1"/>
    <col min="6" max="6" width="12" customWidth="1"/>
    <col min="7" max="7" width="16" customWidth="1"/>
    <col min="8" max="8" width="14" customWidth="1"/>
    <col min="9" max="9" width="28" customWidth="1"/>
    <col min="10" max="12" width="14" customWidth="1"/>
  </cols>
  <sheetData>
    <row r="1" spans="1:12" ht="30" customHeight="1" x14ac:dyDescent="0.35">
      <c r="A1" s="134" t="s">
        <v>1298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x14ac:dyDescent="0.35">
      <c r="A2" t="s">
        <v>928</v>
      </c>
      <c r="D2" t="s">
        <v>929</v>
      </c>
    </row>
    <row r="4" spans="1:12" x14ac:dyDescent="0.35">
      <c r="A4" s="101" t="s">
        <v>882</v>
      </c>
      <c r="B4" s="101" t="str">
        <f>IF('Induction Employee Register'!A7="","",'Induction Employee Register'!A7)</f>
        <v>SW004</v>
      </c>
      <c r="D4" t="s">
        <v>930</v>
      </c>
      <c r="E4" t="s">
        <v>931</v>
      </c>
      <c r="F4" t="s">
        <v>932</v>
      </c>
      <c r="G4" t="s">
        <v>933</v>
      </c>
      <c r="H4" t="s">
        <v>58</v>
      </c>
      <c r="I4" t="s">
        <v>934</v>
      </c>
      <c r="J4" t="s">
        <v>54</v>
      </c>
      <c r="K4" t="s">
        <v>935</v>
      </c>
      <c r="L4" t="s">
        <v>43</v>
      </c>
    </row>
    <row r="5" spans="1:12" x14ac:dyDescent="0.35">
      <c r="A5" s="101" t="s">
        <v>883</v>
      </c>
      <c r="B5" s="101" t="str">
        <f>IF('Induction Employee Register'!B7="","",'Induction Employee Register'!B7)</f>
        <v/>
      </c>
      <c r="D5" t="s">
        <v>936</v>
      </c>
    </row>
    <row r="6" spans="1:12" x14ac:dyDescent="0.35">
      <c r="A6" s="101" t="s">
        <v>322</v>
      </c>
      <c r="B6" s="101" t="str">
        <f>IF('Induction Employee Register'!C7="","",'Induction Employee Register'!C7)</f>
        <v/>
      </c>
      <c r="D6" t="s">
        <v>937</v>
      </c>
      <c r="E6" t="s">
        <v>938</v>
      </c>
    </row>
    <row r="7" spans="1:12" x14ac:dyDescent="0.35">
      <c r="A7" s="101" t="s">
        <v>323</v>
      </c>
      <c r="B7" s="126" t="str">
        <f>IF('Induction Employee Register'!D7="","",'Induction Employee Register'!D7)</f>
        <v/>
      </c>
      <c r="D7" t="s">
        <v>939</v>
      </c>
      <c r="E7" t="s">
        <v>940</v>
      </c>
    </row>
    <row r="8" spans="1:12" x14ac:dyDescent="0.35">
      <c r="A8" s="101" t="s">
        <v>886</v>
      </c>
      <c r="B8" s="125">
        <f>IFERROR(COUNTIF($H$42:$H$230,"Pass")/(COUNTIF($H$42:$H$230,"Pass")+COUNTIF($H$42:$H$230,"Fail")+COUNTIF($H$42:$H$230,"Not Assessed")),0)</f>
        <v>0</v>
      </c>
      <c r="D8" t="s">
        <v>6</v>
      </c>
      <c r="E8" t="s">
        <v>941</v>
      </c>
    </row>
    <row r="9" spans="1:12" x14ac:dyDescent="0.35">
      <c r="A9" s="101" t="s">
        <v>887</v>
      </c>
      <c r="B9" s="125">
        <f>IFERROR(COUNTIF($H$235:$H$255,"Pass")/(COUNTIF($H$235:$H$255,"Pass")+COUNTIF($H$235:$H$255,"Fail")+COUNTIF($H$235:$H$255,"Not Assessed")),0)</f>
        <v>0</v>
      </c>
      <c r="D9" t="s">
        <v>942</v>
      </c>
      <c r="E9" t="s">
        <v>943</v>
      </c>
    </row>
    <row r="10" spans="1:12" x14ac:dyDescent="0.35">
      <c r="A10" s="101" t="s">
        <v>888</v>
      </c>
      <c r="B10" s="125" t="str">
        <f>IFERROR(IF($B$5="","",IF(INDEX('Mandatory Training Dashboard'!$D$5:$D$53,MATCH($B$5,'Mandatory Training Dashboard'!$A$5:$A$53,0))&gt;1,INDEX('Mandatory Training Dashboard'!$D$5:$D$53,MATCH($B$5,'Mandatory Training Dashboard'!$A$5:$A$53,0))/100,INDEX('Mandatory Training Dashboard'!$D$5:$D$53,MATCH($B$5,'Mandatory Training Dashboard'!$A$5:$A$53,0)))),0)</f>
        <v/>
      </c>
      <c r="D10" t="s">
        <v>944</v>
      </c>
      <c r="E10" t="s">
        <v>945</v>
      </c>
    </row>
    <row r="11" spans="1:12" x14ac:dyDescent="0.35">
      <c r="A11" s="101" t="s">
        <v>893</v>
      </c>
      <c r="B11" s="125">
        <f>IFERROR(AVERAGE(B8:B10),0)</f>
        <v>0</v>
      </c>
      <c r="D11" t="s">
        <v>946</v>
      </c>
      <c r="E11" t="s">
        <v>947</v>
      </c>
    </row>
    <row r="12" spans="1:12" x14ac:dyDescent="0.35">
      <c r="A12" s="101" t="s">
        <v>948</v>
      </c>
      <c r="B12" s="101" t="str">
        <f>IF(B11&gt;=0.9,"Green",IF(B11&gt;=0.75,"Amber","Red"))</f>
        <v>Red</v>
      </c>
      <c r="D12" t="s">
        <v>949</v>
      </c>
      <c r="E12" t="s">
        <v>950</v>
      </c>
    </row>
    <row r="13" spans="1:12" x14ac:dyDescent="0.35">
      <c r="A13" s="101" t="s">
        <v>891</v>
      </c>
      <c r="B13" s="101">
        <f>IF('Induction Employee Register'!N7="","",'Induction Employee Register'!N7)</f>
        <v>0</v>
      </c>
      <c r="D13" t="s">
        <v>951</v>
      </c>
      <c r="E13" t="s">
        <v>952</v>
      </c>
    </row>
    <row r="14" spans="1:12" x14ac:dyDescent="0.35">
      <c r="A14" s="101" t="s">
        <v>892</v>
      </c>
      <c r="B14" s="101" t="str">
        <f>IF('Induction Employee Register'!O7="","",'Induction Employee Register'!O7)</f>
        <v/>
      </c>
    </row>
    <row r="17" spans="1:12" ht="24" customHeight="1" x14ac:dyDescent="0.35">
      <c r="A17" s="135" t="s">
        <v>953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9" spans="1:12" ht="29" x14ac:dyDescent="0.35">
      <c r="A19" s="116" t="s">
        <v>954</v>
      </c>
      <c r="B19" s="116" t="s">
        <v>955</v>
      </c>
      <c r="C19" s="116" t="s">
        <v>956</v>
      </c>
      <c r="D19" s="116" t="s">
        <v>957</v>
      </c>
      <c r="E19" s="116" t="s">
        <v>958</v>
      </c>
      <c r="F19" s="116" t="s">
        <v>353</v>
      </c>
      <c r="G19" s="116" t="s">
        <v>335</v>
      </c>
      <c r="H19" s="116" t="s">
        <v>338</v>
      </c>
      <c r="I19" s="117" t="s">
        <v>959</v>
      </c>
      <c r="J19" t="s">
        <v>960</v>
      </c>
      <c r="K19" t="s">
        <v>300</v>
      </c>
      <c r="L19" t="s">
        <v>961</v>
      </c>
    </row>
    <row r="20" spans="1:12" x14ac:dyDescent="0.35">
      <c r="A20" s="118" t="s">
        <v>962</v>
      </c>
      <c r="B20" s="118" t="s">
        <v>81</v>
      </c>
      <c r="C20" s="118"/>
      <c r="D20" s="127"/>
      <c r="E20" s="127"/>
      <c r="F20" s="118"/>
      <c r="G20" s="118"/>
      <c r="H20" s="118"/>
      <c r="J20" t="s">
        <v>310</v>
      </c>
      <c r="K20" t="str">
        <f>IF('Induction Employee Register'!W7="","",'Induction Employee Register'!W7)</f>
        <v/>
      </c>
      <c r="L20" t="s">
        <v>963</v>
      </c>
    </row>
    <row r="21" spans="1:12" x14ac:dyDescent="0.35">
      <c r="A21" s="118" t="s">
        <v>964</v>
      </c>
      <c r="B21" s="118" t="s">
        <v>81</v>
      </c>
      <c r="C21" s="118"/>
      <c r="D21" s="127"/>
      <c r="E21" s="127"/>
      <c r="F21" s="118"/>
      <c r="G21" s="118"/>
      <c r="H21" s="118"/>
      <c r="J21" t="s">
        <v>311</v>
      </c>
      <c r="K21" t="str">
        <f>IF('Induction Employee Register'!X7="","",'Induction Employee Register'!X7)</f>
        <v/>
      </c>
      <c r="L21" t="s">
        <v>965</v>
      </c>
    </row>
    <row r="22" spans="1:12" x14ac:dyDescent="0.35">
      <c r="A22" s="118" t="s">
        <v>966</v>
      </c>
      <c r="B22" s="118" t="s">
        <v>81</v>
      </c>
      <c r="C22" s="118"/>
      <c r="D22" s="127"/>
      <c r="E22" s="127"/>
      <c r="F22" s="118"/>
      <c r="G22" s="118"/>
      <c r="H22" s="118"/>
      <c r="J22" t="s">
        <v>312</v>
      </c>
      <c r="K22" t="str">
        <f>IF('Induction Employee Register'!Y7="","",'Induction Employee Register'!Y7)</f>
        <v/>
      </c>
      <c r="L22" t="s">
        <v>967</v>
      </c>
    </row>
    <row r="23" spans="1:12" x14ac:dyDescent="0.35">
      <c r="A23" s="118" t="s">
        <v>52</v>
      </c>
      <c r="B23" s="118" t="s">
        <v>81</v>
      </c>
      <c r="C23" s="118"/>
      <c r="D23" s="127"/>
      <c r="E23" s="127"/>
      <c r="F23" s="118"/>
      <c r="G23" s="118"/>
      <c r="H23" s="118"/>
      <c r="J23" t="s">
        <v>313</v>
      </c>
      <c r="K23" t="str">
        <f>IF('Induction Employee Register'!Z7="","",'Induction Employee Register'!Z7)</f>
        <v/>
      </c>
      <c r="L23" t="s">
        <v>968</v>
      </c>
    </row>
    <row r="24" spans="1:12" x14ac:dyDescent="0.35">
      <c r="A24" s="118" t="s">
        <v>50</v>
      </c>
      <c r="B24" s="118" t="s">
        <v>81</v>
      </c>
      <c r="C24" s="118"/>
      <c r="D24" s="127"/>
      <c r="E24" s="127"/>
      <c r="F24" s="118"/>
      <c r="G24" s="118"/>
      <c r="H24" s="118"/>
      <c r="J24" t="s">
        <v>314</v>
      </c>
      <c r="K24" t="str">
        <f>IF('Induction Employee Register'!AA7="","",'Induction Employee Register'!AA7)</f>
        <v/>
      </c>
      <c r="L24" t="s">
        <v>968</v>
      </c>
    </row>
    <row r="25" spans="1:12" x14ac:dyDescent="0.35">
      <c r="A25" s="118" t="s">
        <v>329</v>
      </c>
      <c r="B25" s="118" t="s">
        <v>81</v>
      </c>
      <c r="C25" s="118"/>
      <c r="D25" s="127"/>
      <c r="E25" s="127"/>
      <c r="F25" s="118"/>
      <c r="G25" s="118"/>
      <c r="H25" s="118"/>
      <c r="J25" t="s">
        <v>315</v>
      </c>
      <c r="K25" t="str">
        <f>IF('Induction Employee Register'!AB7="","",'Induction Employee Register'!AB7)</f>
        <v/>
      </c>
      <c r="L25" t="s">
        <v>967</v>
      </c>
    </row>
    <row r="26" spans="1:12" x14ac:dyDescent="0.35">
      <c r="A26" s="118" t="s">
        <v>969</v>
      </c>
      <c r="B26" s="118" t="s">
        <v>81</v>
      </c>
      <c r="C26" s="118"/>
      <c r="D26" s="127"/>
      <c r="E26" s="127"/>
      <c r="F26" s="118"/>
      <c r="G26" s="118"/>
      <c r="H26" s="118"/>
      <c r="J26" t="s">
        <v>316</v>
      </c>
      <c r="K26" t="str">
        <f>IF('Induction Employee Register'!AC7="","",'Induction Employee Register'!AC7)</f>
        <v/>
      </c>
      <c r="L26" t="s">
        <v>967</v>
      </c>
    </row>
    <row r="27" spans="1:12" x14ac:dyDescent="0.35">
      <c r="A27" s="118" t="s">
        <v>970</v>
      </c>
      <c r="B27" s="118" t="s">
        <v>81</v>
      </c>
      <c r="C27" s="118"/>
      <c r="D27" s="127"/>
      <c r="E27" s="127"/>
      <c r="F27" s="118"/>
      <c r="G27" s="118"/>
      <c r="H27" s="118"/>
    </row>
    <row r="28" spans="1:12" x14ac:dyDescent="0.35">
      <c r="A28" s="118" t="s">
        <v>971</v>
      </c>
      <c r="B28" s="118" t="s">
        <v>81</v>
      </c>
      <c r="C28" s="118"/>
      <c r="D28" s="127"/>
      <c r="E28" s="127"/>
      <c r="F28" s="118"/>
      <c r="G28" s="118"/>
      <c r="H28" s="118"/>
    </row>
    <row r="29" spans="1:12" x14ac:dyDescent="0.35">
      <c r="A29" s="118" t="s">
        <v>972</v>
      </c>
      <c r="B29" s="118" t="s">
        <v>81</v>
      </c>
      <c r="C29" s="118"/>
      <c r="D29" s="127"/>
      <c r="E29" s="127"/>
      <c r="F29" s="118"/>
      <c r="G29" s="118"/>
      <c r="H29" s="118"/>
    </row>
    <row r="30" spans="1:12" x14ac:dyDescent="0.35">
      <c r="A30" s="118" t="s">
        <v>973</v>
      </c>
      <c r="B30" s="118" t="s">
        <v>81</v>
      </c>
      <c r="C30" s="118"/>
      <c r="D30" s="127"/>
      <c r="E30" s="127"/>
      <c r="F30" s="118"/>
      <c r="G30" s="118"/>
      <c r="H30" s="118"/>
    </row>
    <row r="31" spans="1:12" x14ac:dyDescent="0.35">
      <c r="A31" s="118" t="s">
        <v>974</v>
      </c>
      <c r="B31" s="118" t="s">
        <v>81</v>
      </c>
      <c r="C31" s="118"/>
      <c r="D31" s="127"/>
      <c r="E31" s="127"/>
      <c r="F31" s="118"/>
      <c r="G31" s="118"/>
      <c r="H31" s="118"/>
    </row>
    <row r="32" spans="1:12" x14ac:dyDescent="0.35">
      <c r="A32" s="118" t="s">
        <v>975</v>
      </c>
      <c r="B32" s="118" t="s">
        <v>81</v>
      </c>
      <c r="C32" s="118"/>
      <c r="D32" s="127"/>
      <c r="E32" s="127"/>
      <c r="F32" s="118"/>
      <c r="G32" s="118"/>
      <c r="H32" s="118"/>
    </row>
    <row r="33" spans="1:12" x14ac:dyDescent="0.35">
      <c r="A33" s="118" t="s">
        <v>54</v>
      </c>
      <c r="B33" s="118" t="s">
        <v>81</v>
      </c>
      <c r="C33" s="118"/>
      <c r="D33" s="127"/>
      <c r="E33" s="127"/>
      <c r="F33" s="118"/>
      <c r="G33" s="118"/>
      <c r="H33" s="118"/>
    </row>
    <row r="34" spans="1:12" x14ac:dyDescent="0.35">
      <c r="A34" s="119" t="s">
        <v>976</v>
      </c>
      <c r="B34" s="119" t="s">
        <v>81</v>
      </c>
      <c r="C34" s="119"/>
      <c r="D34" s="127"/>
      <c r="E34" s="127"/>
      <c r="F34" s="119"/>
      <c r="G34" s="119"/>
      <c r="H34" s="119"/>
    </row>
    <row r="35" spans="1:12" ht="24" customHeight="1" x14ac:dyDescent="0.35">
      <c r="A35" s="130" t="s">
        <v>977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</row>
    <row r="36" spans="1:12" x14ac:dyDescent="0.35">
      <c r="A36" s="119" t="s">
        <v>978</v>
      </c>
      <c r="B36" s="119" t="s">
        <v>81</v>
      </c>
      <c r="C36" s="119"/>
      <c r="D36" s="127"/>
      <c r="E36" s="127"/>
      <c r="F36" s="119"/>
      <c r="G36" s="119"/>
      <c r="H36" s="119"/>
    </row>
    <row r="37" spans="1:12" x14ac:dyDescent="0.35">
      <c r="A37" s="119" t="s">
        <v>979</v>
      </c>
      <c r="B37" s="119" t="s">
        <v>81</v>
      </c>
      <c r="C37" s="119"/>
      <c r="D37" s="127"/>
      <c r="E37" s="127"/>
      <c r="F37" s="119"/>
      <c r="G37" s="119"/>
      <c r="H37" s="119"/>
    </row>
    <row r="38" spans="1:12" x14ac:dyDescent="0.35">
      <c r="A38" s="119" t="s">
        <v>980</v>
      </c>
      <c r="B38" s="119" t="s">
        <v>81</v>
      </c>
      <c r="C38" s="119"/>
      <c r="D38" s="127"/>
      <c r="E38" s="127"/>
      <c r="F38" s="119"/>
      <c r="G38" s="119"/>
      <c r="H38" s="119"/>
    </row>
    <row r="39" spans="1:12" x14ac:dyDescent="0.35">
      <c r="A39" s="119" t="s">
        <v>981</v>
      </c>
      <c r="B39" s="119" t="s">
        <v>81</v>
      </c>
      <c r="C39" s="119"/>
      <c r="D39" s="127"/>
      <c r="E39" s="127"/>
      <c r="F39" s="119"/>
      <c r="G39" s="119"/>
      <c r="H39" s="119"/>
    </row>
    <row r="40" spans="1:12" x14ac:dyDescent="0.35">
      <c r="A40" s="119" t="s">
        <v>982</v>
      </c>
      <c r="B40" s="119" t="s">
        <v>81</v>
      </c>
      <c r="C40" s="119"/>
      <c r="D40" s="127"/>
      <c r="E40" s="127"/>
      <c r="F40" s="119"/>
      <c r="G40" s="119"/>
      <c r="H40" s="119"/>
    </row>
    <row r="41" spans="1:12" x14ac:dyDescent="0.35">
      <c r="A41" s="118"/>
      <c r="B41" s="118"/>
      <c r="C41" s="118"/>
      <c r="D41" s="127"/>
      <c r="E41" s="127"/>
      <c r="F41" s="118"/>
      <c r="G41" s="118"/>
      <c r="H41" s="118"/>
    </row>
    <row r="42" spans="1:12" x14ac:dyDescent="0.35">
      <c r="A42" s="120" t="s">
        <v>983</v>
      </c>
      <c r="B42" s="118"/>
      <c r="C42" s="118"/>
      <c r="D42" s="127"/>
      <c r="E42" s="127"/>
      <c r="F42" s="118"/>
      <c r="G42" s="118"/>
      <c r="H42" s="118"/>
      <c r="I42" s="96"/>
      <c r="J42" s="96"/>
      <c r="K42" s="96"/>
      <c r="L42" s="96"/>
    </row>
    <row r="43" spans="1:12" x14ac:dyDescent="0.35">
      <c r="A43" s="118"/>
      <c r="B43" s="118"/>
      <c r="C43" s="118"/>
      <c r="D43" s="127"/>
      <c r="E43" s="127"/>
      <c r="F43" s="118"/>
      <c r="G43" s="118"/>
      <c r="H43" s="118"/>
    </row>
    <row r="44" spans="1:12" ht="29" x14ac:dyDescent="0.35">
      <c r="A44" s="116" t="s">
        <v>984</v>
      </c>
      <c r="B44" s="116" t="s">
        <v>985</v>
      </c>
      <c r="C44" s="116" t="s">
        <v>986</v>
      </c>
      <c r="D44" s="116" t="s">
        <v>987</v>
      </c>
      <c r="E44" s="116" t="s">
        <v>988</v>
      </c>
      <c r="F44" s="116" t="s">
        <v>989</v>
      </c>
      <c r="G44" s="116" t="s">
        <v>389</v>
      </c>
      <c r="H44" s="116" t="s">
        <v>870</v>
      </c>
      <c r="I44" s="100" t="s">
        <v>390</v>
      </c>
      <c r="J44" s="100" t="s">
        <v>990</v>
      </c>
      <c r="K44" s="100" t="s">
        <v>991</v>
      </c>
      <c r="L44" s="100" t="s">
        <v>992</v>
      </c>
    </row>
    <row r="45" spans="1:12" ht="29" x14ac:dyDescent="0.35">
      <c r="A45" s="121" t="s">
        <v>993</v>
      </c>
      <c r="B45" s="121" t="s">
        <v>994</v>
      </c>
      <c r="C45" s="121" t="s">
        <v>995</v>
      </c>
      <c r="D45" s="121"/>
      <c r="E45" s="121" t="s">
        <v>996</v>
      </c>
      <c r="F45" s="121"/>
      <c r="G45" s="121"/>
      <c r="H45" s="121"/>
      <c r="I45" s="21"/>
      <c r="J45" s="21"/>
      <c r="K45" s="21"/>
      <c r="L45" s="21"/>
    </row>
    <row r="46" spans="1:12" ht="29" x14ac:dyDescent="0.35">
      <c r="A46" s="21" t="s">
        <v>993</v>
      </c>
      <c r="B46" s="21" t="s">
        <v>997</v>
      </c>
      <c r="C46" s="21" t="s">
        <v>998</v>
      </c>
      <c r="D46" s="21"/>
      <c r="E46" s="21" t="s">
        <v>996</v>
      </c>
      <c r="F46" s="21"/>
      <c r="G46" s="21"/>
      <c r="H46" s="21"/>
      <c r="I46" s="21"/>
      <c r="J46" s="21"/>
      <c r="K46" s="21"/>
      <c r="L46" s="21"/>
    </row>
    <row r="47" spans="1:12" ht="29" x14ac:dyDescent="0.35">
      <c r="A47" s="21" t="s">
        <v>993</v>
      </c>
      <c r="B47" s="21" t="s">
        <v>999</v>
      </c>
      <c r="C47" s="21" t="s">
        <v>1000</v>
      </c>
      <c r="D47" s="21"/>
      <c r="E47" s="21" t="s">
        <v>996</v>
      </c>
      <c r="F47" s="21"/>
      <c r="G47" s="21"/>
      <c r="H47" s="21"/>
      <c r="I47" s="21"/>
      <c r="J47" s="21"/>
      <c r="K47" s="21"/>
      <c r="L47" s="21"/>
    </row>
    <row r="48" spans="1:12" ht="29" x14ac:dyDescent="0.35">
      <c r="A48" s="21" t="s">
        <v>993</v>
      </c>
      <c r="B48" s="21" t="s">
        <v>1001</v>
      </c>
      <c r="C48" s="21" t="s">
        <v>1002</v>
      </c>
      <c r="D48" s="21"/>
      <c r="E48" s="21" t="s">
        <v>996</v>
      </c>
      <c r="F48" s="21"/>
      <c r="G48" s="21"/>
      <c r="H48" s="21"/>
      <c r="I48" s="21"/>
      <c r="J48" s="21"/>
      <c r="K48" s="21"/>
      <c r="L48" s="21"/>
    </row>
    <row r="49" spans="1:12" ht="43.5" x14ac:dyDescent="0.35">
      <c r="A49" s="21" t="s">
        <v>993</v>
      </c>
      <c r="B49" s="21" t="s">
        <v>1003</v>
      </c>
      <c r="C49" s="21" t="s">
        <v>1004</v>
      </c>
      <c r="D49" s="21"/>
      <c r="E49" s="21" t="s">
        <v>996</v>
      </c>
      <c r="F49" s="21"/>
      <c r="G49" s="21"/>
      <c r="H49" s="21"/>
      <c r="I49" s="21"/>
      <c r="J49" s="21"/>
      <c r="K49" s="21"/>
      <c r="L49" s="21"/>
    </row>
    <row r="50" spans="1:12" ht="29" x14ac:dyDescent="0.35">
      <c r="A50" s="21" t="s">
        <v>993</v>
      </c>
      <c r="B50" s="21" t="s">
        <v>1005</v>
      </c>
      <c r="C50" s="21" t="s">
        <v>1006</v>
      </c>
      <c r="D50" s="21"/>
      <c r="E50" s="21" t="s">
        <v>996</v>
      </c>
      <c r="F50" s="21"/>
      <c r="G50" s="21"/>
      <c r="H50" s="21"/>
      <c r="I50" s="21"/>
      <c r="J50" s="21"/>
      <c r="K50" s="21"/>
      <c r="L50" s="21"/>
    </row>
    <row r="51" spans="1:12" ht="43.5" x14ac:dyDescent="0.35">
      <c r="A51" s="21" t="s">
        <v>1007</v>
      </c>
      <c r="B51" s="21" t="s">
        <v>1008</v>
      </c>
      <c r="C51" s="21" t="s">
        <v>1009</v>
      </c>
      <c r="D51" s="21"/>
      <c r="E51" s="21" t="s">
        <v>996</v>
      </c>
      <c r="F51" s="21"/>
      <c r="G51" s="21"/>
      <c r="H51" s="21"/>
      <c r="I51" s="21"/>
      <c r="J51" s="21"/>
      <c r="K51" s="21"/>
      <c r="L51" s="21"/>
    </row>
    <row r="52" spans="1:12" ht="29" x14ac:dyDescent="0.35">
      <c r="A52" s="21" t="s">
        <v>1007</v>
      </c>
      <c r="B52" s="21" t="s">
        <v>1010</v>
      </c>
      <c r="C52" s="21" t="s">
        <v>1011</v>
      </c>
      <c r="D52" s="21"/>
      <c r="E52" s="21" t="s">
        <v>996</v>
      </c>
      <c r="F52" s="21"/>
      <c r="G52" s="21"/>
      <c r="H52" s="21"/>
      <c r="I52" s="21"/>
      <c r="J52" s="21"/>
      <c r="K52" s="21"/>
      <c r="L52" s="21"/>
    </row>
    <row r="53" spans="1:12" ht="29" x14ac:dyDescent="0.35">
      <c r="A53" s="21" t="s">
        <v>1007</v>
      </c>
      <c r="B53" s="21" t="s">
        <v>1012</v>
      </c>
      <c r="C53" s="21" t="s">
        <v>1013</v>
      </c>
      <c r="D53" s="21"/>
      <c r="E53" s="21" t="s">
        <v>996</v>
      </c>
      <c r="F53" s="21"/>
      <c r="G53" s="21"/>
      <c r="H53" s="21"/>
      <c r="I53" s="21"/>
      <c r="J53" s="21"/>
      <c r="K53" s="21"/>
      <c r="L53" s="21"/>
    </row>
    <row r="54" spans="1:12" ht="29" x14ac:dyDescent="0.35">
      <c r="A54" s="21" t="s">
        <v>1007</v>
      </c>
      <c r="B54" s="21" t="s">
        <v>1014</v>
      </c>
      <c r="C54" s="21" t="s">
        <v>1015</v>
      </c>
      <c r="D54" s="21"/>
      <c r="E54" s="21" t="s">
        <v>996</v>
      </c>
      <c r="F54" s="21"/>
      <c r="G54" s="21"/>
      <c r="H54" s="21"/>
      <c r="I54" s="21"/>
      <c r="J54" s="21"/>
      <c r="K54" s="21"/>
      <c r="L54" s="21"/>
    </row>
    <row r="55" spans="1:12" ht="29" x14ac:dyDescent="0.35">
      <c r="A55" s="21" t="s">
        <v>1007</v>
      </c>
      <c r="B55" s="21" t="s">
        <v>1016</v>
      </c>
      <c r="C55" s="21" t="s">
        <v>1017</v>
      </c>
      <c r="D55" s="21"/>
      <c r="E55" s="21" t="s">
        <v>996</v>
      </c>
      <c r="F55" s="21"/>
      <c r="G55" s="21"/>
      <c r="H55" s="21"/>
      <c r="I55" s="21"/>
      <c r="J55" s="21"/>
      <c r="K55" s="21"/>
      <c r="L55" s="21"/>
    </row>
    <row r="56" spans="1:12" ht="29" x14ac:dyDescent="0.35">
      <c r="A56" s="21" t="s">
        <v>1007</v>
      </c>
      <c r="B56" s="21" t="s">
        <v>1018</v>
      </c>
      <c r="C56" s="21" t="s">
        <v>1019</v>
      </c>
      <c r="D56" s="21"/>
      <c r="E56" s="21" t="s">
        <v>996</v>
      </c>
      <c r="F56" s="21"/>
      <c r="G56" s="21"/>
      <c r="H56" s="21"/>
      <c r="I56" s="21"/>
      <c r="J56" s="21"/>
      <c r="K56" s="21"/>
      <c r="L56" s="21"/>
    </row>
    <row r="57" spans="1:12" ht="43.5" x14ac:dyDescent="0.35">
      <c r="A57" s="21" t="s">
        <v>1020</v>
      </c>
      <c r="B57" s="21" t="s">
        <v>1021</v>
      </c>
      <c r="C57" s="21" t="s">
        <v>1022</v>
      </c>
      <c r="D57" s="21"/>
      <c r="E57" s="21" t="s">
        <v>1023</v>
      </c>
      <c r="F57" s="21"/>
      <c r="G57" s="21"/>
      <c r="H57" s="21"/>
      <c r="I57" s="21"/>
      <c r="J57" s="21"/>
      <c r="K57" s="21"/>
      <c r="L57" s="21"/>
    </row>
    <row r="58" spans="1:12" ht="43.5" x14ac:dyDescent="0.35">
      <c r="A58" s="21" t="s">
        <v>1020</v>
      </c>
      <c r="B58" s="21" t="s">
        <v>1024</v>
      </c>
      <c r="C58" s="21" t="s">
        <v>1025</v>
      </c>
      <c r="D58" s="21"/>
      <c r="E58" s="21" t="s">
        <v>1023</v>
      </c>
      <c r="F58" s="21"/>
      <c r="G58" s="21"/>
      <c r="H58" s="21"/>
      <c r="I58" s="21"/>
      <c r="J58" s="21"/>
      <c r="K58" s="21"/>
      <c r="L58" s="21"/>
    </row>
    <row r="59" spans="1:12" ht="43.5" x14ac:dyDescent="0.35">
      <c r="A59" s="21" t="s">
        <v>1020</v>
      </c>
      <c r="B59" s="21" t="s">
        <v>1026</v>
      </c>
      <c r="C59" s="21" t="s">
        <v>1027</v>
      </c>
      <c r="D59" s="21"/>
      <c r="E59" s="21" t="s">
        <v>1023</v>
      </c>
      <c r="F59" s="21"/>
      <c r="G59" s="21"/>
      <c r="H59" s="21"/>
      <c r="I59" s="21"/>
      <c r="J59" s="21"/>
      <c r="K59" s="21"/>
      <c r="L59" s="21"/>
    </row>
    <row r="60" spans="1:12" ht="43.5" x14ac:dyDescent="0.35">
      <c r="A60" s="21" t="s">
        <v>1020</v>
      </c>
      <c r="B60" s="21" t="s">
        <v>1028</v>
      </c>
      <c r="C60" s="21" t="s">
        <v>1029</v>
      </c>
      <c r="D60" s="21"/>
      <c r="E60" s="21" t="s">
        <v>1023</v>
      </c>
      <c r="F60" s="21"/>
      <c r="G60" s="21"/>
      <c r="H60" s="21"/>
      <c r="I60" s="21"/>
      <c r="J60" s="21"/>
      <c r="K60" s="21"/>
      <c r="L60" s="21"/>
    </row>
    <row r="61" spans="1:12" ht="43.5" x14ac:dyDescent="0.35">
      <c r="A61" s="21" t="s">
        <v>1020</v>
      </c>
      <c r="B61" s="21" t="s">
        <v>1030</v>
      </c>
      <c r="C61" s="21" t="s">
        <v>1031</v>
      </c>
      <c r="D61" s="21"/>
      <c r="E61" s="21" t="s">
        <v>1023</v>
      </c>
      <c r="F61" s="21"/>
      <c r="G61" s="21"/>
      <c r="H61" s="21"/>
      <c r="I61" s="21"/>
      <c r="J61" s="21"/>
      <c r="K61" s="21"/>
      <c r="L61" s="21"/>
    </row>
    <row r="62" spans="1:12" ht="43.5" x14ac:dyDescent="0.35">
      <c r="A62" s="21" t="s">
        <v>1020</v>
      </c>
      <c r="B62" s="21" t="s">
        <v>1032</v>
      </c>
      <c r="C62" s="21" t="s">
        <v>1033</v>
      </c>
      <c r="D62" s="21"/>
      <c r="E62" s="21" t="s">
        <v>1023</v>
      </c>
      <c r="F62" s="21"/>
      <c r="G62" s="21"/>
      <c r="H62" s="21"/>
      <c r="I62" s="21"/>
      <c r="J62" s="21"/>
      <c r="K62" s="21"/>
      <c r="L62" s="21"/>
    </row>
    <row r="63" spans="1:12" ht="29" x14ac:dyDescent="0.35">
      <c r="A63" s="21" t="s">
        <v>428</v>
      </c>
      <c r="B63" s="21" t="s">
        <v>1034</v>
      </c>
      <c r="C63" s="21" t="s">
        <v>1035</v>
      </c>
      <c r="D63" s="21"/>
      <c r="E63" s="21" t="s">
        <v>996</v>
      </c>
      <c r="F63" s="21"/>
      <c r="G63" s="21"/>
      <c r="H63" s="21"/>
      <c r="I63" s="21"/>
      <c r="J63" s="21"/>
      <c r="K63" s="21"/>
      <c r="L63" s="21"/>
    </row>
    <row r="64" spans="1:12" ht="43.5" x14ac:dyDescent="0.35">
      <c r="A64" s="21" t="s">
        <v>428</v>
      </c>
      <c r="B64" s="21" t="s">
        <v>1036</v>
      </c>
      <c r="C64" s="21" t="s">
        <v>1037</v>
      </c>
      <c r="D64" s="21"/>
      <c r="E64" s="21" t="s">
        <v>996</v>
      </c>
      <c r="F64" s="21"/>
      <c r="G64" s="21"/>
      <c r="H64" s="21"/>
      <c r="I64" s="21"/>
      <c r="J64" s="21"/>
      <c r="K64" s="21"/>
      <c r="L64" s="21"/>
    </row>
    <row r="65" spans="1:12" ht="29" x14ac:dyDescent="0.35">
      <c r="A65" s="21" t="s">
        <v>428</v>
      </c>
      <c r="B65" s="21" t="s">
        <v>1038</v>
      </c>
      <c r="C65" s="21" t="s">
        <v>1039</v>
      </c>
      <c r="D65" s="21"/>
      <c r="E65" s="21" t="s">
        <v>996</v>
      </c>
      <c r="F65" s="21"/>
      <c r="G65" s="21"/>
      <c r="H65" s="21"/>
      <c r="I65" s="21"/>
      <c r="J65" s="21"/>
      <c r="K65" s="21"/>
      <c r="L65" s="21"/>
    </row>
    <row r="66" spans="1:12" ht="43.5" x14ac:dyDescent="0.35">
      <c r="A66" s="21" t="s">
        <v>428</v>
      </c>
      <c r="B66" s="21" t="s">
        <v>1040</v>
      </c>
      <c r="C66" s="21" t="s">
        <v>1041</v>
      </c>
      <c r="D66" s="21"/>
      <c r="E66" s="21" t="s">
        <v>996</v>
      </c>
      <c r="F66" s="21"/>
      <c r="G66" s="21"/>
      <c r="H66" s="21"/>
      <c r="I66" s="21"/>
      <c r="J66" s="21"/>
      <c r="K66" s="21"/>
      <c r="L66" s="21"/>
    </row>
    <row r="67" spans="1:12" ht="29" x14ac:dyDescent="0.35">
      <c r="A67" s="21" t="s">
        <v>428</v>
      </c>
      <c r="B67" s="21" t="s">
        <v>1042</v>
      </c>
      <c r="C67" s="21" t="s">
        <v>1043</v>
      </c>
      <c r="D67" s="21"/>
      <c r="E67" s="21" t="s">
        <v>996</v>
      </c>
      <c r="F67" s="21"/>
      <c r="G67" s="21"/>
      <c r="H67" s="21"/>
      <c r="I67" s="21"/>
      <c r="J67" s="21"/>
      <c r="K67" s="21"/>
      <c r="L67" s="21"/>
    </row>
    <row r="68" spans="1:12" ht="29" x14ac:dyDescent="0.35">
      <c r="A68" s="21" t="s">
        <v>428</v>
      </c>
      <c r="B68" s="21" t="s">
        <v>1044</v>
      </c>
      <c r="C68" s="21" t="s">
        <v>1045</v>
      </c>
      <c r="D68" s="21"/>
      <c r="E68" s="21" t="s">
        <v>996</v>
      </c>
      <c r="F68" s="21"/>
      <c r="G68" s="21"/>
      <c r="H68" s="21"/>
      <c r="I68" s="21"/>
      <c r="J68" s="21"/>
      <c r="K68" s="21"/>
      <c r="L68" s="21"/>
    </row>
    <row r="69" spans="1:12" ht="29" x14ac:dyDescent="0.35">
      <c r="A69" s="21" t="s">
        <v>1046</v>
      </c>
      <c r="B69" s="21" t="s">
        <v>1047</v>
      </c>
      <c r="C69" s="21" t="s">
        <v>1048</v>
      </c>
      <c r="D69" s="21"/>
      <c r="E69" s="21" t="s">
        <v>996</v>
      </c>
      <c r="F69" s="21"/>
      <c r="G69" s="21"/>
      <c r="H69" s="21"/>
      <c r="I69" s="21"/>
      <c r="J69" s="21"/>
      <c r="K69" s="21"/>
      <c r="L69" s="21"/>
    </row>
    <row r="70" spans="1:12" ht="29" x14ac:dyDescent="0.35">
      <c r="A70" s="21" t="s">
        <v>1046</v>
      </c>
      <c r="B70" s="21" t="s">
        <v>1049</v>
      </c>
      <c r="C70" s="21" t="s">
        <v>1050</v>
      </c>
      <c r="D70" s="21"/>
      <c r="E70" s="21" t="s">
        <v>996</v>
      </c>
      <c r="F70" s="21"/>
      <c r="G70" s="21"/>
      <c r="H70" s="21"/>
      <c r="I70" s="21"/>
      <c r="J70" s="21"/>
      <c r="K70" s="21"/>
      <c r="L70" s="21"/>
    </row>
    <row r="71" spans="1:12" ht="29" x14ac:dyDescent="0.35">
      <c r="A71" s="21" t="s">
        <v>1046</v>
      </c>
      <c r="B71" s="21" t="s">
        <v>1051</v>
      </c>
      <c r="C71" s="21" t="s">
        <v>1052</v>
      </c>
      <c r="D71" s="21"/>
      <c r="E71" s="21" t="s">
        <v>996</v>
      </c>
      <c r="F71" s="21"/>
      <c r="G71" s="21"/>
      <c r="H71" s="21"/>
      <c r="I71" s="21"/>
      <c r="J71" s="21"/>
      <c r="K71" s="21"/>
      <c r="L71" s="21"/>
    </row>
    <row r="72" spans="1:12" ht="29" x14ac:dyDescent="0.35">
      <c r="A72" s="21" t="s">
        <v>1046</v>
      </c>
      <c r="B72" s="21" t="s">
        <v>1053</v>
      </c>
      <c r="C72" s="21" t="s">
        <v>1054</v>
      </c>
      <c r="D72" s="21"/>
      <c r="E72" s="21" t="s">
        <v>996</v>
      </c>
      <c r="F72" s="21"/>
      <c r="G72" s="21"/>
      <c r="H72" s="21"/>
      <c r="I72" s="21"/>
      <c r="J72" s="21"/>
      <c r="K72" s="21"/>
      <c r="L72" s="21"/>
    </row>
    <row r="73" spans="1:12" ht="29" x14ac:dyDescent="0.35">
      <c r="A73" s="21" t="s">
        <v>1046</v>
      </c>
      <c r="B73" s="21" t="s">
        <v>1055</v>
      </c>
      <c r="C73" s="21" t="s">
        <v>1056</v>
      </c>
      <c r="D73" s="21"/>
      <c r="E73" s="21" t="s">
        <v>996</v>
      </c>
      <c r="F73" s="21"/>
      <c r="G73" s="21"/>
      <c r="H73" s="21"/>
      <c r="I73" s="21"/>
      <c r="J73" s="21"/>
      <c r="K73" s="21"/>
      <c r="L73" s="21"/>
    </row>
    <row r="74" spans="1:12" ht="29" x14ac:dyDescent="0.35">
      <c r="A74" s="21" t="s">
        <v>1046</v>
      </c>
      <c r="B74" s="21" t="s">
        <v>1057</v>
      </c>
      <c r="C74" s="21" t="s">
        <v>1058</v>
      </c>
      <c r="D74" s="21"/>
      <c r="E74" s="21" t="s">
        <v>996</v>
      </c>
      <c r="F74" s="21"/>
      <c r="G74" s="21"/>
      <c r="H74" s="21"/>
      <c r="I74" s="21"/>
      <c r="J74" s="21"/>
      <c r="K74" s="21"/>
      <c r="L74" s="21"/>
    </row>
    <row r="75" spans="1:12" ht="29" x14ac:dyDescent="0.35">
      <c r="A75" s="21" t="s">
        <v>1059</v>
      </c>
      <c r="B75" s="21" t="s">
        <v>1060</v>
      </c>
      <c r="C75" s="21" t="s">
        <v>1061</v>
      </c>
      <c r="D75" s="21"/>
      <c r="E75" s="21" t="s">
        <v>996</v>
      </c>
      <c r="F75" s="21"/>
      <c r="G75" s="21"/>
      <c r="H75" s="21"/>
      <c r="I75" s="21"/>
      <c r="J75" s="21"/>
      <c r="K75" s="21"/>
      <c r="L75" s="21"/>
    </row>
    <row r="76" spans="1:12" ht="43.5" x14ac:dyDescent="0.35">
      <c r="A76" s="21" t="s">
        <v>1059</v>
      </c>
      <c r="B76" s="21" t="s">
        <v>1062</v>
      </c>
      <c r="C76" s="21" t="s">
        <v>1063</v>
      </c>
      <c r="D76" s="21"/>
      <c r="E76" s="21" t="s">
        <v>996</v>
      </c>
      <c r="F76" s="21"/>
      <c r="G76" s="21"/>
      <c r="H76" s="21"/>
      <c r="I76" s="21"/>
      <c r="J76" s="21"/>
      <c r="K76" s="21"/>
      <c r="L76" s="21"/>
    </row>
    <row r="77" spans="1:12" ht="29" x14ac:dyDescent="0.35">
      <c r="A77" s="21" t="s">
        <v>1059</v>
      </c>
      <c r="B77" s="21" t="s">
        <v>1064</v>
      </c>
      <c r="C77" s="21" t="s">
        <v>1065</v>
      </c>
      <c r="D77" s="21"/>
      <c r="E77" s="21" t="s">
        <v>996</v>
      </c>
      <c r="F77" s="21"/>
      <c r="G77" s="21"/>
      <c r="H77" s="21"/>
      <c r="I77" s="21"/>
      <c r="J77" s="21"/>
      <c r="K77" s="21"/>
      <c r="L77" s="21"/>
    </row>
    <row r="78" spans="1:12" ht="29" x14ac:dyDescent="0.35">
      <c r="A78" s="21" t="s">
        <v>1059</v>
      </c>
      <c r="B78" s="21" t="s">
        <v>1066</v>
      </c>
      <c r="C78" s="21" t="s">
        <v>1067</v>
      </c>
      <c r="D78" s="21"/>
      <c r="E78" s="21" t="s">
        <v>996</v>
      </c>
      <c r="F78" s="21"/>
      <c r="G78" s="21"/>
      <c r="H78" s="21"/>
      <c r="I78" s="21"/>
      <c r="J78" s="21"/>
      <c r="K78" s="21"/>
      <c r="L78" s="21"/>
    </row>
    <row r="79" spans="1:12" ht="29" x14ac:dyDescent="0.35">
      <c r="A79" s="21" t="s">
        <v>1059</v>
      </c>
      <c r="B79" s="21" t="s">
        <v>1068</v>
      </c>
      <c r="C79" s="21" t="s">
        <v>1069</v>
      </c>
      <c r="D79" s="21"/>
      <c r="E79" s="21" t="s">
        <v>996</v>
      </c>
      <c r="F79" s="21"/>
      <c r="G79" s="21"/>
      <c r="H79" s="21"/>
      <c r="I79" s="21"/>
      <c r="J79" s="21"/>
      <c r="K79" s="21"/>
      <c r="L79" s="21"/>
    </row>
    <row r="80" spans="1:12" ht="29" x14ac:dyDescent="0.35">
      <c r="A80" s="21" t="s">
        <v>1059</v>
      </c>
      <c r="B80" s="21" t="s">
        <v>1070</v>
      </c>
      <c r="C80" s="21" t="s">
        <v>1071</v>
      </c>
      <c r="D80" s="21"/>
      <c r="E80" s="21" t="s">
        <v>996</v>
      </c>
      <c r="F80" s="21"/>
      <c r="G80" s="21"/>
      <c r="H80" s="21"/>
      <c r="I80" s="21"/>
      <c r="J80" s="21"/>
      <c r="K80" s="21"/>
      <c r="L80" s="21"/>
    </row>
    <row r="81" spans="1:12" ht="29" x14ac:dyDescent="0.35">
      <c r="A81" s="21" t="s">
        <v>1072</v>
      </c>
      <c r="B81" s="21" t="s">
        <v>1073</v>
      </c>
      <c r="C81" s="21" t="s">
        <v>1074</v>
      </c>
      <c r="D81" s="21"/>
      <c r="E81" s="21" t="s">
        <v>996</v>
      </c>
      <c r="F81" s="21"/>
      <c r="G81" s="21"/>
      <c r="H81" s="21"/>
      <c r="I81" s="21"/>
      <c r="J81" s="21"/>
      <c r="K81" s="21"/>
      <c r="L81" s="21"/>
    </row>
    <row r="82" spans="1:12" ht="29" x14ac:dyDescent="0.35">
      <c r="A82" s="21" t="s">
        <v>1072</v>
      </c>
      <c r="B82" s="21" t="s">
        <v>1075</v>
      </c>
      <c r="C82" s="21" t="s">
        <v>1076</v>
      </c>
      <c r="D82" s="21"/>
      <c r="E82" s="21" t="s">
        <v>996</v>
      </c>
      <c r="F82" s="21"/>
      <c r="G82" s="21"/>
      <c r="H82" s="21"/>
      <c r="I82" s="21"/>
      <c r="J82" s="21"/>
      <c r="K82" s="21"/>
      <c r="L82" s="21"/>
    </row>
    <row r="83" spans="1:12" ht="29" x14ac:dyDescent="0.35">
      <c r="A83" s="21" t="s">
        <v>1072</v>
      </c>
      <c r="B83" s="21" t="s">
        <v>1077</v>
      </c>
      <c r="C83" s="21" t="s">
        <v>1078</v>
      </c>
      <c r="D83" s="21"/>
      <c r="E83" s="21" t="s">
        <v>996</v>
      </c>
      <c r="F83" s="21"/>
      <c r="G83" s="21"/>
      <c r="H83" s="21"/>
      <c r="I83" s="21"/>
      <c r="J83" s="21"/>
      <c r="K83" s="21"/>
      <c r="L83" s="21"/>
    </row>
    <row r="84" spans="1:12" ht="29" x14ac:dyDescent="0.35">
      <c r="A84" s="21" t="s">
        <v>1072</v>
      </c>
      <c r="B84" s="21" t="s">
        <v>1079</v>
      </c>
      <c r="C84" s="21" t="s">
        <v>1080</v>
      </c>
      <c r="D84" s="21"/>
      <c r="E84" s="21" t="s">
        <v>996</v>
      </c>
      <c r="F84" s="21"/>
      <c r="G84" s="21"/>
      <c r="H84" s="21"/>
      <c r="I84" s="21"/>
      <c r="J84" s="21"/>
      <c r="K84" s="21"/>
      <c r="L84" s="21"/>
    </row>
    <row r="85" spans="1:12" ht="29" x14ac:dyDescent="0.35">
      <c r="A85" s="21" t="s">
        <v>1072</v>
      </c>
      <c r="B85" s="21" t="s">
        <v>1081</v>
      </c>
      <c r="C85" s="21" t="s">
        <v>1082</v>
      </c>
      <c r="D85" s="21"/>
      <c r="E85" s="21" t="s">
        <v>996</v>
      </c>
      <c r="F85" s="21"/>
      <c r="G85" s="21"/>
      <c r="H85" s="21"/>
      <c r="I85" s="21"/>
      <c r="J85" s="21"/>
      <c r="K85" s="21"/>
      <c r="L85" s="21"/>
    </row>
    <row r="86" spans="1:12" ht="29" x14ac:dyDescent="0.35">
      <c r="A86" s="21" t="s">
        <v>1072</v>
      </c>
      <c r="B86" s="21" t="s">
        <v>1083</v>
      </c>
      <c r="C86" s="21" t="s">
        <v>1084</v>
      </c>
      <c r="D86" s="21"/>
      <c r="E86" s="21" t="s">
        <v>996</v>
      </c>
      <c r="F86" s="21"/>
      <c r="G86" s="21"/>
      <c r="H86" s="21"/>
      <c r="I86" s="21"/>
      <c r="J86" s="21"/>
      <c r="K86" s="21"/>
      <c r="L86" s="21"/>
    </row>
    <row r="87" spans="1:12" ht="29" x14ac:dyDescent="0.35">
      <c r="A87" s="21" t="s">
        <v>1085</v>
      </c>
      <c r="B87" s="21" t="s">
        <v>1086</v>
      </c>
      <c r="C87" s="21" t="s">
        <v>1087</v>
      </c>
      <c r="D87" s="21"/>
      <c r="E87" s="21" t="s">
        <v>996</v>
      </c>
      <c r="F87" s="21"/>
      <c r="G87" s="21"/>
      <c r="H87" s="21"/>
      <c r="I87" s="21"/>
      <c r="J87" s="21"/>
      <c r="K87" s="21"/>
      <c r="L87" s="21"/>
    </row>
    <row r="88" spans="1:12" ht="29" x14ac:dyDescent="0.35">
      <c r="A88" s="21" t="s">
        <v>1085</v>
      </c>
      <c r="B88" s="21" t="s">
        <v>1088</v>
      </c>
      <c r="C88" s="21" t="s">
        <v>1089</v>
      </c>
      <c r="D88" s="21"/>
      <c r="E88" s="21" t="s">
        <v>996</v>
      </c>
      <c r="F88" s="21"/>
      <c r="G88" s="21"/>
      <c r="H88" s="21"/>
      <c r="I88" s="21"/>
      <c r="J88" s="21"/>
      <c r="K88" s="21"/>
      <c r="L88" s="21"/>
    </row>
    <row r="89" spans="1:12" ht="29" x14ac:dyDescent="0.35">
      <c r="A89" s="21" t="s">
        <v>1085</v>
      </c>
      <c r="B89" s="21" t="s">
        <v>1090</v>
      </c>
      <c r="C89" s="21" t="s">
        <v>1091</v>
      </c>
      <c r="D89" s="21"/>
      <c r="E89" s="21" t="s">
        <v>996</v>
      </c>
      <c r="F89" s="21"/>
      <c r="G89" s="21"/>
      <c r="H89" s="21"/>
      <c r="I89" s="21"/>
      <c r="J89" s="21"/>
      <c r="K89" s="21"/>
      <c r="L89" s="21"/>
    </row>
    <row r="90" spans="1:12" ht="29" x14ac:dyDescent="0.35">
      <c r="A90" s="21" t="s">
        <v>1085</v>
      </c>
      <c r="B90" s="21" t="s">
        <v>1092</v>
      </c>
      <c r="C90" s="21" t="s">
        <v>1093</v>
      </c>
      <c r="D90" s="21"/>
      <c r="E90" s="21" t="s">
        <v>996</v>
      </c>
      <c r="F90" s="21"/>
      <c r="G90" s="21"/>
      <c r="H90" s="21"/>
      <c r="I90" s="21"/>
      <c r="J90" s="21"/>
      <c r="K90" s="21"/>
      <c r="L90" s="21"/>
    </row>
    <row r="91" spans="1:12" ht="29" x14ac:dyDescent="0.35">
      <c r="A91" s="21" t="s">
        <v>1085</v>
      </c>
      <c r="B91" s="21" t="s">
        <v>1094</v>
      </c>
      <c r="C91" s="21" t="s">
        <v>1095</v>
      </c>
      <c r="D91" s="21"/>
      <c r="E91" s="21" t="s">
        <v>996</v>
      </c>
      <c r="F91" s="21"/>
      <c r="G91" s="21"/>
      <c r="H91" s="21"/>
      <c r="I91" s="21"/>
      <c r="J91" s="21"/>
      <c r="K91" s="21"/>
      <c r="L91" s="21"/>
    </row>
    <row r="92" spans="1:12" ht="29" x14ac:dyDescent="0.35">
      <c r="A92" s="21" t="s">
        <v>1085</v>
      </c>
      <c r="B92" s="21" t="s">
        <v>1096</v>
      </c>
      <c r="C92" s="21" t="s">
        <v>1097</v>
      </c>
      <c r="D92" s="21"/>
      <c r="E92" s="21" t="s">
        <v>996</v>
      </c>
      <c r="F92" s="21"/>
      <c r="G92" s="21"/>
      <c r="H92" s="21"/>
      <c r="I92" s="21"/>
      <c r="J92" s="21"/>
      <c r="K92" s="21"/>
      <c r="L92" s="21"/>
    </row>
    <row r="93" spans="1:12" ht="29" x14ac:dyDescent="0.35">
      <c r="A93" s="21" t="s">
        <v>1098</v>
      </c>
      <c r="B93" s="21" t="s">
        <v>1099</v>
      </c>
      <c r="C93" s="21" t="s">
        <v>1100</v>
      </c>
      <c r="D93" s="21"/>
      <c r="E93" s="21" t="s">
        <v>996</v>
      </c>
      <c r="F93" s="21"/>
      <c r="G93" s="21"/>
      <c r="H93" s="21"/>
      <c r="I93" s="21"/>
      <c r="J93" s="21"/>
      <c r="K93" s="21"/>
      <c r="L93" s="21"/>
    </row>
    <row r="94" spans="1:12" ht="29" x14ac:dyDescent="0.35">
      <c r="A94" s="21" t="s">
        <v>1098</v>
      </c>
      <c r="B94" s="21" t="s">
        <v>1101</v>
      </c>
      <c r="C94" s="21" t="s">
        <v>1102</v>
      </c>
      <c r="D94" s="21"/>
      <c r="E94" s="21" t="s">
        <v>996</v>
      </c>
      <c r="F94" s="21"/>
      <c r="G94" s="21"/>
      <c r="H94" s="21"/>
      <c r="I94" s="21"/>
      <c r="J94" s="21"/>
      <c r="K94" s="21"/>
      <c r="L94" s="21"/>
    </row>
    <row r="95" spans="1:12" ht="29" x14ac:dyDescent="0.35">
      <c r="A95" s="21" t="s">
        <v>1098</v>
      </c>
      <c r="B95" s="21" t="s">
        <v>1103</v>
      </c>
      <c r="C95" s="21" t="s">
        <v>1104</v>
      </c>
      <c r="D95" s="21"/>
      <c r="E95" s="21" t="s">
        <v>996</v>
      </c>
      <c r="F95" s="21"/>
      <c r="G95" s="21"/>
      <c r="H95" s="21"/>
      <c r="I95" s="21"/>
      <c r="J95" s="21"/>
      <c r="K95" s="21"/>
      <c r="L95" s="21"/>
    </row>
    <row r="96" spans="1:12" ht="29" x14ac:dyDescent="0.35">
      <c r="A96" s="21" t="s">
        <v>1098</v>
      </c>
      <c r="B96" s="21" t="s">
        <v>1105</v>
      </c>
      <c r="C96" s="21" t="s">
        <v>1106</v>
      </c>
      <c r="D96" s="21"/>
      <c r="E96" s="21" t="s">
        <v>996</v>
      </c>
      <c r="F96" s="21"/>
      <c r="G96" s="21"/>
      <c r="H96" s="21"/>
      <c r="I96" s="21"/>
      <c r="J96" s="21"/>
      <c r="K96" s="21"/>
      <c r="L96" s="21"/>
    </row>
    <row r="97" spans="1:12" ht="29" x14ac:dyDescent="0.35">
      <c r="A97" s="21" t="s">
        <v>1098</v>
      </c>
      <c r="B97" s="21" t="s">
        <v>1107</v>
      </c>
      <c r="C97" s="21" t="s">
        <v>1108</v>
      </c>
      <c r="D97" s="21"/>
      <c r="E97" s="21" t="s">
        <v>996</v>
      </c>
      <c r="F97" s="21"/>
      <c r="G97" s="21"/>
      <c r="H97" s="21"/>
      <c r="I97" s="21"/>
      <c r="J97" s="21"/>
      <c r="K97" s="21"/>
      <c r="L97" s="21"/>
    </row>
    <row r="98" spans="1:12" ht="29" x14ac:dyDescent="0.35">
      <c r="A98" s="21" t="s">
        <v>1098</v>
      </c>
      <c r="B98" s="21" t="s">
        <v>1109</v>
      </c>
      <c r="C98" s="21" t="s">
        <v>1110</v>
      </c>
      <c r="D98" s="21"/>
      <c r="E98" s="21" t="s">
        <v>996</v>
      </c>
      <c r="F98" s="21"/>
      <c r="G98" s="21"/>
      <c r="H98" s="21"/>
      <c r="I98" s="21"/>
      <c r="J98" s="21"/>
      <c r="K98" s="21"/>
      <c r="L98" s="21"/>
    </row>
    <row r="99" spans="1:12" ht="29" x14ac:dyDescent="0.35">
      <c r="A99" s="21" t="s">
        <v>1111</v>
      </c>
      <c r="B99" s="21" t="s">
        <v>1112</v>
      </c>
      <c r="C99" s="21" t="s">
        <v>1113</v>
      </c>
      <c r="D99" s="21"/>
      <c r="E99" s="21" t="s">
        <v>1114</v>
      </c>
      <c r="F99" s="21"/>
      <c r="G99" s="21"/>
      <c r="H99" s="21"/>
      <c r="I99" s="21"/>
      <c r="J99" s="21"/>
      <c r="K99" s="21"/>
      <c r="L99" s="21"/>
    </row>
    <row r="100" spans="1:12" ht="29" x14ac:dyDescent="0.35">
      <c r="A100" s="21" t="s">
        <v>1111</v>
      </c>
      <c r="B100" s="21" t="s">
        <v>1115</v>
      </c>
      <c r="C100" s="21" t="s">
        <v>1116</v>
      </c>
      <c r="D100" s="21"/>
      <c r="E100" s="21" t="s">
        <v>1114</v>
      </c>
      <c r="F100" s="21"/>
      <c r="G100" s="21"/>
      <c r="H100" s="21"/>
      <c r="I100" s="21"/>
      <c r="J100" s="21"/>
      <c r="K100" s="21"/>
      <c r="L100" s="21"/>
    </row>
    <row r="101" spans="1:12" ht="29" x14ac:dyDescent="0.35">
      <c r="A101" s="21" t="s">
        <v>1111</v>
      </c>
      <c r="B101" s="21" t="s">
        <v>1117</v>
      </c>
      <c r="C101" s="21" t="s">
        <v>1118</v>
      </c>
      <c r="D101" s="21"/>
      <c r="E101" s="21" t="s">
        <v>1114</v>
      </c>
      <c r="F101" s="21"/>
      <c r="G101" s="21"/>
      <c r="H101" s="21"/>
      <c r="I101" s="21"/>
      <c r="J101" s="21"/>
      <c r="K101" s="21"/>
      <c r="L101" s="21"/>
    </row>
    <row r="102" spans="1:12" ht="29" x14ac:dyDescent="0.35">
      <c r="A102" s="21" t="s">
        <v>1111</v>
      </c>
      <c r="B102" s="21" t="s">
        <v>1119</v>
      </c>
      <c r="C102" s="21" t="s">
        <v>1120</v>
      </c>
      <c r="D102" s="21"/>
      <c r="E102" s="21" t="s">
        <v>1114</v>
      </c>
      <c r="F102" s="21"/>
      <c r="G102" s="21"/>
      <c r="H102" s="21"/>
      <c r="I102" s="21"/>
      <c r="J102" s="21"/>
      <c r="K102" s="21"/>
      <c r="L102" s="21"/>
    </row>
    <row r="103" spans="1:12" ht="29" x14ac:dyDescent="0.35">
      <c r="A103" s="21" t="s">
        <v>1111</v>
      </c>
      <c r="B103" s="21" t="s">
        <v>1121</v>
      </c>
      <c r="C103" s="21" t="s">
        <v>1122</v>
      </c>
      <c r="D103" s="21"/>
      <c r="E103" s="21" t="s">
        <v>1114</v>
      </c>
      <c r="F103" s="21"/>
      <c r="G103" s="21"/>
      <c r="H103" s="21"/>
      <c r="I103" s="21"/>
      <c r="J103" s="21"/>
      <c r="K103" s="21"/>
      <c r="L103" s="21"/>
    </row>
    <row r="104" spans="1:12" ht="29" x14ac:dyDescent="0.35">
      <c r="A104" s="21" t="s">
        <v>1111</v>
      </c>
      <c r="B104" s="21" t="s">
        <v>1123</v>
      </c>
      <c r="C104" s="21" t="s">
        <v>1124</v>
      </c>
      <c r="D104" s="21"/>
      <c r="E104" s="21" t="s">
        <v>1114</v>
      </c>
      <c r="F104" s="21"/>
      <c r="G104" s="21"/>
      <c r="H104" s="21"/>
      <c r="I104" s="21"/>
      <c r="J104" s="21"/>
      <c r="K104" s="21"/>
      <c r="L104" s="21"/>
    </row>
    <row r="105" spans="1:12" ht="29" x14ac:dyDescent="0.35">
      <c r="A105" s="21" t="s">
        <v>1125</v>
      </c>
      <c r="B105" s="21" t="s">
        <v>1126</v>
      </c>
      <c r="C105" s="21" t="s">
        <v>1127</v>
      </c>
      <c r="D105" s="21"/>
      <c r="E105" s="21" t="s">
        <v>1114</v>
      </c>
      <c r="F105" s="21"/>
      <c r="G105" s="21"/>
      <c r="H105" s="21"/>
      <c r="I105" s="21"/>
      <c r="J105" s="21"/>
      <c r="K105" s="21"/>
      <c r="L105" s="21"/>
    </row>
    <row r="106" spans="1:12" ht="29" x14ac:dyDescent="0.35">
      <c r="A106" s="21" t="s">
        <v>1125</v>
      </c>
      <c r="B106" s="21" t="s">
        <v>1128</v>
      </c>
      <c r="C106" s="21" t="s">
        <v>1129</v>
      </c>
      <c r="D106" s="21"/>
      <c r="E106" s="21" t="s">
        <v>1114</v>
      </c>
      <c r="F106" s="21"/>
      <c r="G106" s="21"/>
      <c r="H106" s="21"/>
      <c r="I106" s="21"/>
      <c r="J106" s="21"/>
      <c r="K106" s="21"/>
      <c r="L106" s="21"/>
    </row>
    <row r="107" spans="1:12" ht="43.5" x14ac:dyDescent="0.35">
      <c r="A107" s="21" t="s">
        <v>1125</v>
      </c>
      <c r="B107" s="21" t="s">
        <v>1130</v>
      </c>
      <c r="C107" s="21" t="s">
        <v>1131</v>
      </c>
      <c r="D107" s="21"/>
      <c r="E107" s="21" t="s">
        <v>1114</v>
      </c>
      <c r="F107" s="21"/>
      <c r="G107" s="21"/>
      <c r="H107" s="21"/>
      <c r="I107" s="21"/>
      <c r="J107" s="21"/>
      <c r="K107" s="21"/>
      <c r="L107" s="21"/>
    </row>
    <row r="108" spans="1:12" ht="29" x14ac:dyDescent="0.35">
      <c r="A108" s="21" t="s">
        <v>1125</v>
      </c>
      <c r="B108" s="21" t="s">
        <v>1132</v>
      </c>
      <c r="C108" s="21" t="s">
        <v>1133</v>
      </c>
      <c r="D108" s="21"/>
      <c r="E108" s="21" t="s">
        <v>1114</v>
      </c>
      <c r="F108" s="21"/>
      <c r="G108" s="21"/>
      <c r="H108" s="21"/>
      <c r="I108" s="21"/>
      <c r="J108" s="21"/>
      <c r="K108" s="21"/>
      <c r="L108" s="21"/>
    </row>
    <row r="109" spans="1:12" ht="29" x14ac:dyDescent="0.35">
      <c r="A109" s="21" t="s">
        <v>1125</v>
      </c>
      <c r="B109" s="21" t="s">
        <v>1134</v>
      </c>
      <c r="C109" s="21" t="s">
        <v>1135</v>
      </c>
      <c r="D109" s="21"/>
      <c r="E109" s="21" t="s">
        <v>1114</v>
      </c>
      <c r="F109" s="21"/>
      <c r="G109" s="21"/>
      <c r="H109" s="21"/>
      <c r="I109" s="21"/>
      <c r="J109" s="21"/>
      <c r="K109" s="21"/>
      <c r="L109" s="21"/>
    </row>
    <row r="110" spans="1:12" ht="29" x14ac:dyDescent="0.35">
      <c r="A110" s="21" t="s">
        <v>1125</v>
      </c>
      <c r="B110" s="21" t="s">
        <v>1136</v>
      </c>
      <c r="C110" s="21" t="s">
        <v>1137</v>
      </c>
      <c r="D110" s="21"/>
      <c r="E110" s="21" t="s">
        <v>1114</v>
      </c>
      <c r="F110" s="21"/>
      <c r="G110" s="21"/>
      <c r="H110" s="21"/>
      <c r="I110" s="21"/>
      <c r="J110" s="21"/>
      <c r="K110" s="21"/>
      <c r="L110" s="21"/>
    </row>
    <row r="111" spans="1:12" ht="29" x14ac:dyDescent="0.35">
      <c r="A111" s="21" t="s">
        <v>1138</v>
      </c>
      <c r="B111" s="21" t="s">
        <v>1139</v>
      </c>
      <c r="C111" s="21" t="s">
        <v>1140</v>
      </c>
      <c r="D111" s="21"/>
      <c r="E111" s="21" t="s">
        <v>996</v>
      </c>
      <c r="F111" s="21"/>
      <c r="G111" s="21"/>
      <c r="H111" s="21"/>
      <c r="I111" s="21"/>
      <c r="J111" s="21"/>
      <c r="K111" s="21"/>
      <c r="L111" s="21"/>
    </row>
    <row r="112" spans="1:12" ht="29" x14ac:dyDescent="0.35">
      <c r="A112" s="21" t="s">
        <v>1138</v>
      </c>
      <c r="B112" s="21" t="s">
        <v>1141</v>
      </c>
      <c r="C112" s="21" t="s">
        <v>1142</v>
      </c>
      <c r="D112" s="21"/>
      <c r="E112" s="21" t="s">
        <v>996</v>
      </c>
      <c r="F112" s="21"/>
      <c r="G112" s="21"/>
      <c r="H112" s="21"/>
      <c r="I112" s="21"/>
      <c r="J112" s="21"/>
      <c r="K112" s="21"/>
      <c r="L112" s="21"/>
    </row>
    <row r="113" spans="1:12" ht="29" x14ac:dyDescent="0.35">
      <c r="A113" s="21" t="s">
        <v>1138</v>
      </c>
      <c r="B113" s="21" t="s">
        <v>1143</v>
      </c>
      <c r="C113" s="21" t="s">
        <v>1144</v>
      </c>
      <c r="D113" s="21"/>
      <c r="E113" s="21" t="s">
        <v>996</v>
      </c>
      <c r="F113" s="21"/>
      <c r="G113" s="21"/>
      <c r="H113" s="21"/>
      <c r="I113" s="21"/>
      <c r="J113" s="21"/>
      <c r="K113" s="21"/>
      <c r="L113" s="21"/>
    </row>
    <row r="114" spans="1:12" ht="29" x14ac:dyDescent="0.35">
      <c r="A114" s="21" t="s">
        <v>1138</v>
      </c>
      <c r="B114" s="21" t="s">
        <v>1145</v>
      </c>
      <c r="C114" s="21" t="s">
        <v>1146</v>
      </c>
      <c r="D114" s="21"/>
      <c r="E114" s="21" t="s">
        <v>996</v>
      </c>
      <c r="F114" s="21"/>
      <c r="G114" s="21"/>
      <c r="H114" s="21"/>
      <c r="I114" s="21"/>
      <c r="J114" s="21"/>
      <c r="K114" s="21"/>
      <c r="L114" s="21"/>
    </row>
    <row r="115" spans="1:12" ht="29" x14ac:dyDescent="0.35">
      <c r="A115" s="21" t="s">
        <v>1138</v>
      </c>
      <c r="B115" s="21" t="s">
        <v>1147</v>
      </c>
      <c r="C115" s="21" t="s">
        <v>1148</v>
      </c>
      <c r="D115" s="21"/>
      <c r="E115" s="21" t="s">
        <v>996</v>
      </c>
      <c r="F115" s="21"/>
      <c r="G115" s="21"/>
      <c r="H115" s="21"/>
      <c r="I115" s="21"/>
      <c r="J115" s="21"/>
      <c r="K115" s="21"/>
      <c r="L115" s="21"/>
    </row>
    <row r="116" spans="1:12" ht="29" x14ac:dyDescent="0.35">
      <c r="A116" s="21" t="s">
        <v>1138</v>
      </c>
      <c r="B116" s="21" t="s">
        <v>1149</v>
      </c>
      <c r="C116" s="21" t="s">
        <v>1150</v>
      </c>
      <c r="D116" s="21"/>
      <c r="E116" s="21" t="s">
        <v>996</v>
      </c>
      <c r="F116" s="21"/>
      <c r="G116" s="21"/>
      <c r="H116" s="21"/>
      <c r="I116" s="21"/>
      <c r="J116" s="21"/>
      <c r="K116" s="21"/>
      <c r="L116" s="21"/>
    </row>
    <row r="117" spans="1:12" ht="29" x14ac:dyDescent="0.35">
      <c r="A117" s="21" t="s">
        <v>1151</v>
      </c>
      <c r="B117" s="21" t="s">
        <v>1152</v>
      </c>
      <c r="C117" s="21" t="s">
        <v>1153</v>
      </c>
      <c r="D117" s="21"/>
      <c r="E117" s="21" t="s">
        <v>996</v>
      </c>
      <c r="F117" s="21"/>
      <c r="G117" s="21"/>
      <c r="H117" s="21"/>
      <c r="I117" s="21"/>
      <c r="J117" s="21"/>
      <c r="K117" s="21"/>
      <c r="L117" s="21"/>
    </row>
    <row r="118" spans="1:12" ht="29" x14ac:dyDescent="0.35">
      <c r="A118" s="21" t="s">
        <v>1151</v>
      </c>
      <c r="B118" s="21" t="s">
        <v>1154</v>
      </c>
      <c r="C118" s="21" t="s">
        <v>1155</v>
      </c>
      <c r="D118" s="21"/>
      <c r="E118" s="21" t="s">
        <v>996</v>
      </c>
      <c r="F118" s="21"/>
      <c r="G118" s="21"/>
      <c r="H118" s="21"/>
      <c r="I118" s="21"/>
      <c r="J118" s="21"/>
      <c r="K118" s="21"/>
      <c r="L118" s="21"/>
    </row>
    <row r="119" spans="1:12" ht="29" x14ac:dyDescent="0.35">
      <c r="A119" s="21" t="s">
        <v>1151</v>
      </c>
      <c r="B119" s="21" t="s">
        <v>1156</v>
      </c>
      <c r="C119" s="21" t="s">
        <v>1157</v>
      </c>
      <c r="D119" s="21"/>
      <c r="E119" s="21" t="s">
        <v>996</v>
      </c>
      <c r="F119" s="21"/>
      <c r="G119" s="21"/>
      <c r="H119" s="21"/>
      <c r="I119" s="21"/>
      <c r="J119" s="21"/>
      <c r="K119" s="21"/>
      <c r="L119" s="21"/>
    </row>
    <row r="120" spans="1:12" ht="29" x14ac:dyDescent="0.35">
      <c r="A120" s="21" t="s">
        <v>1151</v>
      </c>
      <c r="B120" s="21" t="s">
        <v>1158</v>
      </c>
      <c r="C120" s="21" t="s">
        <v>1159</v>
      </c>
      <c r="D120" s="21"/>
      <c r="E120" s="21" t="s">
        <v>996</v>
      </c>
      <c r="F120" s="21"/>
      <c r="G120" s="21"/>
      <c r="H120" s="21"/>
      <c r="I120" s="21"/>
      <c r="J120" s="21"/>
      <c r="K120" s="21"/>
      <c r="L120" s="21"/>
    </row>
    <row r="121" spans="1:12" ht="29" x14ac:dyDescent="0.35">
      <c r="A121" s="21" t="s">
        <v>1151</v>
      </c>
      <c r="B121" s="21" t="s">
        <v>1160</v>
      </c>
      <c r="C121" s="21" t="s">
        <v>1161</v>
      </c>
      <c r="D121" s="21"/>
      <c r="E121" s="21" t="s">
        <v>996</v>
      </c>
      <c r="F121" s="21"/>
      <c r="G121" s="21"/>
      <c r="H121" s="21"/>
      <c r="I121" s="21"/>
      <c r="J121" s="21"/>
      <c r="K121" s="21"/>
      <c r="L121" s="21"/>
    </row>
    <row r="122" spans="1:12" ht="29" x14ac:dyDescent="0.35">
      <c r="A122" s="21" t="s">
        <v>1151</v>
      </c>
      <c r="B122" s="21" t="s">
        <v>1162</v>
      </c>
      <c r="C122" s="21" t="s">
        <v>1163</v>
      </c>
      <c r="D122" s="21"/>
      <c r="E122" s="21" t="s">
        <v>996</v>
      </c>
      <c r="F122" s="21"/>
      <c r="G122" s="21"/>
      <c r="H122" s="21"/>
      <c r="I122" s="21"/>
      <c r="J122" s="21"/>
      <c r="K122" s="21"/>
      <c r="L122" s="21"/>
    </row>
    <row r="123" spans="1:12" ht="29" x14ac:dyDescent="0.35">
      <c r="A123" s="21" t="s">
        <v>432</v>
      </c>
      <c r="B123" s="21" t="s">
        <v>1164</v>
      </c>
      <c r="C123" s="21" t="s">
        <v>1165</v>
      </c>
      <c r="D123" s="21"/>
      <c r="E123" s="21" t="s">
        <v>1114</v>
      </c>
      <c r="F123" s="21"/>
      <c r="G123" s="21"/>
      <c r="H123" s="21"/>
      <c r="I123" s="21"/>
      <c r="J123" s="21"/>
      <c r="K123" s="21"/>
      <c r="L123" s="21"/>
    </row>
    <row r="124" spans="1:12" ht="29" x14ac:dyDescent="0.35">
      <c r="A124" s="21" t="s">
        <v>432</v>
      </c>
      <c r="B124" s="21" t="s">
        <v>1166</v>
      </c>
      <c r="C124" s="21" t="s">
        <v>1167</v>
      </c>
      <c r="D124" s="21"/>
      <c r="E124" s="21" t="s">
        <v>1114</v>
      </c>
      <c r="F124" s="21"/>
      <c r="G124" s="21"/>
      <c r="H124" s="21"/>
      <c r="I124" s="21"/>
      <c r="J124" s="21"/>
      <c r="K124" s="21"/>
      <c r="L124" s="21"/>
    </row>
    <row r="125" spans="1:12" ht="29" x14ac:dyDescent="0.35">
      <c r="A125" s="21" t="s">
        <v>432</v>
      </c>
      <c r="B125" s="21" t="s">
        <v>1168</v>
      </c>
      <c r="C125" s="21" t="s">
        <v>1169</v>
      </c>
      <c r="D125" s="21"/>
      <c r="E125" s="21" t="s">
        <v>1114</v>
      </c>
      <c r="F125" s="21"/>
      <c r="G125" s="21"/>
      <c r="H125" s="21"/>
      <c r="I125" s="21"/>
      <c r="J125" s="21"/>
      <c r="K125" s="21"/>
      <c r="L125" s="21"/>
    </row>
    <row r="126" spans="1:12" ht="29" x14ac:dyDescent="0.35">
      <c r="A126" s="21" t="s">
        <v>432</v>
      </c>
      <c r="B126" s="21" t="s">
        <v>1170</v>
      </c>
      <c r="C126" s="21" t="s">
        <v>1171</v>
      </c>
      <c r="D126" s="21"/>
      <c r="E126" s="21" t="s">
        <v>1114</v>
      </c>
      <c r="F126" s="21"/>
      <c r="G126" s="21"/>
      <c r="H126" s="21"/>
      <c r="I126" s="21"/>
      <c r="J126" s="21"/>
      <c r="K126" s="21"/>
      <c r="L126" s="21"/>
    </row>
    <row r="127" spans="1:12" ht="29" x14ac:dyDescent="0.35">
      <c r="A127" s="21" t="s">
        <v>432</v>
      </c>
      <c r="B127" s="21" t="s">
        <v>1172</v>
      </c>
      <c r="C127" s="21" t="s">
        <v>1173</v>
      </c>
      <c r="D127" s="21"/>
      <c r="E127" s="21" t="s">
        <v>1114</v>
      </c>
      <c r="F127" s="21"/>
      <c r="G127" s="21"/>
      <c r="H127" s="21"/>
      <c r="I127" s="21"/>
      <c r="J127" s="21"/>
      <c r="K127" s="21"/>
      <c r="L127" s="21"/>
    </row>
    <row r="128" spans="1:12" ht="29" x14ac:dyDescent="0.35">
      <c r="A128" s="21" t="s">
        <v>432</v>
      </c>
      <c r="B128" s="21" t="s">
        <v>1174</v>
      </c>
      <c r="C128" s="21" t="s">
        <v>1175</v>
      </c>
      <c r="D128" s="21"/>
      <c r="E128" s="21" t="s">
        <v>1114</v>
      </c>
      <c r="F128" s="21"/>
      <c r="G128" s="21"/>
      <c r="H128" s="21"/>
      <c r="I128" s="21"/>
      <c r="J128" s="21"/>
      <c r="K128" s="21"/>
      <c r="L128" s="21"/>
    </row>
    <row r="129" spans="1:12" ht="29" x14ac:dyDescent="0.35">
      <c r="A129" s="21" t="s">
        <v>1176</v>
      </c>
      <c r="B129" s="21" t="s">
        <v>1177</v>
      </c>
      <c r="C129" s="21" t="s">
        <v>1178</v>
      </c>
      <c r="D129" s="21"/>
      <c r="E129" s="21" t="s">
        <v>996</v>
      </c>
      <c r="F129" s="21"/>
      <c r="G129" s="21"/>
      <c r="H129" s="21"/>
      <c r="I129" s="21"/>
      <c r="J129" s="21"/>
      <c r="K129" s="21"/>
      <c r="L129" s="21"/>
    </row>
    <row r="130" spans="1:12" ht="29" x14ac:dyDescent="0.35">
      <c r="A130" s="21" t="s">
        <v>1176</v>
      </c>
      <c r="B130" s="21" t="s">
        <v>1179</v>
      </c>
      <c r="C130" s="21" t="s">
        <v>1180</v>
      </c>
      <c r="D130" s="21"/>
      <c r="E130" s="21" t="s">
        <v>996</v>
      </c>
      <c r="F130" s="21"/>
      <c r="G130" s="21"/>
      <c r="H130" s="21"/>
      <c r="I130" s="21"/>
      <c r="J130" s="21"/>
      <c r="K130" s="21"/>
      <c r="L130" s="21"/>
    </row>
    <row r="131" spans="1:12" ht="29" x14ac:dyDescent="0.35">
      <c r="A131" s="21" t="s">
        <v>1176</v>
      </c>
      <c r="B131" s="21" t="s">
        <v>1181</v>
      </c>
      <c r="C131" s="21" t="s">
        <v>1182</v>
      </c>
      <c r="D131" s="21"/>
      <c r="E131" s="21" t="s">
        <v>996</v>
      </c>
      <c r="F131" s="21"/>
      <c r="G131" s="21"/>
      <c r="H131" s="21"/>
      <c r="I131" s="21"/>
      <c r="J131" s="21"/>
      <c r="K131" s="21"/>
      <c r="L131" s="21"/>
    </row>
    <row r="132" spans="1:12" ht="29" x14ac:dyDescent="0.35">
      <c r="A132" s="21" t="s">
        <v>1176</v>
      </c>
      <c r="B132" s="21" t="s">
        <v>1183</v>
      </c>
      <c r="C132" s="21" t="s">
        <v>1184</v>
      </c>
      <c r="D132" s="21"/>
      <c r="E132" s="21" t="s">
        <v>996</v>
      </c>
      <c r="F132" s="21"/>
      <c r="G132" s="21"/>
      <c r="H132" s="21"/>
      <c r="I132" s="21"/>
      <c r="J132" s="21"/>
      <c r="K132" s="21"/>
      <c r="L132" s="21"/>
    </row>
    <row r="133" spans="1:12" ht="29" x14ac:dyDescent="0.35">
      <c r="A133" s="21" t="s">
        <v>1176</v>
      </c>
      <c r="B133" s="21" t="s">
        <v>1185</v>
      </c>
      <c r="C133" s="21" t="s">
        <v>1186</v>
      </c>
      <c r="D133" s="21"/>
      <c r="E133" s="21" t="s">
        <v>996</v>
      </c>
      <c r="F133" s="21"/>
      <c r="G133" s="21"/>
      <c r="H133" s="21"/>
      <c r="I133" s="21"/>
      <c r="J133" s="21"/>
      <c r="K133" s="21"/>
      <c r="L133" s="21"/>
    </row>
    <row r="134" spans="1:12" ht="29" x14ac:dyDescent="0.35">
      <c r="A134" s="21" t="s">
        <v>1176</v>
      </c>
      <c r="B134" s="21" t="s">
        <v>1187</v>
      </c>
      <c r="C134" s="21" t="s">
        <v>1188</v>
      </c>
      <c r="D134" s="21"/>
      <c r="E134" s="21" t="s">
        <v>996</v>
      </c>
      <c r="F134" s="21"/>
      <c r="G134" s="21"/>
      <c r="H134" s="21"/>
      <c r="I134" s="21"/>
      <c r="J134" s="21"/>
      <c r="K134" s="21"/>
      <c r="L134" s="21"/>
    </row>
    <row r="135" spans="1:12" ht="29" x14ac:dyDescent="0.35">
      <c r="A135" s="21" t="s">
        <v>1189</v>
      </c>
      <c r="B135" s="21" t="s">
        <v>1190</v>
      </c>
      <c r="C135" s="21" t="s">
        <v>1191</v>
      </c>
      <c r="D135" s="21"/>
      <c r="E135" s="21" t="s">
        <v>996</v>
      </c>
      <c r="F135" s="21"/>
      <c r="G135" s="21"/>
      <c r="H135" s="21"/>
      <c r="I135" s="21"/>
      <c r="J135" s="21"/>
      <c r="K135" s="21"/>
      <c r="L135" s="21"/>
    </row>
    <row r="136" spans="1:12" ht="29" x14ac:dyDescent="0.35">
      <c r="A136" s="21" t="s">
        <v>1189</v>
      </c>
      <c r="B136" s="21" t="s">
        <v>1192</v>
      </c>
      <c r="C136" s="21" t="s">
        <v>1193</v>
      </c>
      <c r="D136" s="21"/>
      <c r="E136" s="21" t="s">
        <v>996</v>
      </c>
      <c r="F136" s="21"/>
      <c r="G136" s="21"/>
      <c r="H136" s="21"/>
      <c r="I136" s="21"/>
      <c r="J136" s="21"/>
      <c r="K136" s="21"/>
      <c r="L136" s="21"/>
    </row>
    <row r="137" spans="1:12" ht="29" x14ac:dyDescent="0.35">
      <c r="A137" s="21" t="s">
        <v>1189</v>
      </c>
      <c r="B137" s="21" t="s">
        <v>1194</v>
      </c>
      <c r="C137" s="21" t="s">
        <v>1195</v>
      </c>
      <c r="D137" s="21"/>
      <c r="E137" s="21" t="s">
        <v>996</v>
      </c>
      <c r="F137" s="21"/>
      <c r="G137" s="21"/>
      <c r="H137" s="21"/>
      <c r="I137" s="21"/>
      <c r="J137" s="21"/>
      <c r="K137" s="21"/>
      <c r="L137" s="21"/>
    </row>
    <row r="138" spans="1:12" ht="29" x14ac:dyDescent="0.35">
      <c r="A138" s="21" t="s">
        <v>1189</v>
      </c>
      <c r="B138" s="21" t="s">
        <v>1196</v>
      </c>
      <c r="C138" s="21" t="s">
        <v>1197</v>
      </c>
      <c r="D138" s="21"/>
      <c r="E138" s="21" t="s">
        <v>996</v>
      </c>
      <c r="F138" s="21"/>
      <c r="G138" s="21"/>
      <c r="H138" s="21"/>
      <c r="I138" s="21"/>
      <c r="J138" s="21"/>
      <c r="K138" s="21"/>
      <c r="L138" s="21"/>
    </row>
    <row r="139" spans="1:12" ht="29" x14ac:dyDescent="0.35">
      <c r="A139" s="21" t="s">
        <v>1189</v>
      </c>
      <c r="B139" s="21" t="s">
        <v>1198</v>
      </c>
      <c r="C139" s="21" t="s">
        <v>1199</v>
      </c>
      <c r="D139" s="21"/>
      <c r="E139" s="21" t="s">
        <v>996</v>
      </c>
      <c r="F139" s="21"/>
      <c r="G139" s="21"/>
      <c r="H139" s="21"/>
      <c r="I139" s="21"/>
      <c r="J139" s="21"/>
      <c r="K139" s="21"/>
      <c r="L139" s="21"/>
    </row>
    <row r="140" spans="1:12" ht="29" x14ac:dyDescent="0.35">
      <c r="A140" s="21" t="s">
        <v>1189</v>
      </c>
      <c r="B140" s="21" t="s">
        <v>1200</v>
      </c>
      <c r="C140" s="21" t="s">
        <v>1201</v>
      </c>
      <c r="D140" s="21"/>
      <c r="E140" s="21" t="s">
        <v>996</v>
      </c>
      <c r="F140" s="21"/>
      <c r="G140" s="21"/>
      <c r="H140" s="21"/>
      <c r="I140" s="21"/>
      <c r="J140" s="21"/>
      <c r="K140" s="21"/>
      <c r="L140" s="21"/>
    </row>
    <row r="141" spans="1:12" ht="29" x14ac:dyDescent="0.35">
      <c r="A141" s="21" t="s">
        <v>1202</v>
      </c>
      <c r="B141" s="21" t="s">
        <v>1203</v>
      </c>
      <c r="C141" s="21" t="s">
        <v>1204</v>
      </c>
      <c r="D141" s="21"/>
      <c r="E141" s="21" t="s">
        <v>996</v>
      </c>
      <c r="F141" s="21"/>
      <c r="G141" s="21"/>
      <c r="H141" s="21"/>
      <c r="I141" s="21"/>
      <c r="J141" s="21"/>
      <c r="K141" s="21"/>
      <c r="L141" s="21"/>
    </row>
    <row r="142" spans="1:12" ht="29" x14ac:dyDescent="0.35">
      <c r="A142" s="21" t="s">
        <v>1202</v>
      </c>
      <c r="B142" s="21" t="s">
        <v>1205</v>
      </c>
      <c r="C142" s="21" t="s">
        <v>1206</v>
      </c>
      <c r="D142" s="21"/>
      <c r="E142" s="21" t="s">
        <v>996</v>
      </c>
      <c r="F142" s="21"/>
      <c r="G142" s="21"/>
      <c r="H142" s="21"/>
      <c r="I142" s="21"/>
      <c r="J142" s="21"/>
      <c r="K142" s="21"/>
      <c r="L142" s="21"/>
    </row>
    <row r="143" spans="1:12" ht="29" x14ac:dyDescent="0.35">
      <c r="A143" s="21" t="s">
        <v>1202</v>
      </c>
      <c r="B143" s="21" t="s">
        <v>1207</v>
      </c>
      <c r="C143" s="21" t="s">
        <v>1208</v>
      </c>
      <c r="D143" s="21"/>
      <c r="E143" s="21" t="s">
        <v>996</v>
      </c>
      <c r="F143" s="21"/>
      <c r="G143" s="21"/>
      <c r="H143" s="21"/>
      <c r="I143" s="21"/>
      <c r="J143" s="21"/>
      <c r="K143" s="21"/>
      <c r="L143" s="21"/>
    </row>
    <row r="144" spans="1:12" ht="29" x14ac:dyDescent="0.35">
      <c r="A144" s="21" t="s">
        <v>1202</v>
      </c>
      <c r="B144" s="21" t="s">
        <v>1209</v>
      </c>
      <c r="C144" s="21" t="s">
        <v>1210</v>
      </c>
      <c r="D144" s="21"/>
      <c r="E144" s="21" t="s">
        <v>996</v>
      </c>
      <c r="F144" s="21"/>
      <c r="G144" s="21"/>
      <c r="H144" s="21"/>
      <c r="I144" s="21"/>
      <c r="J144" s="21"/>
      <c r="K144" s="21"/>
      <c r="L144" s="21"/>
    </row>
    <row r="145" spans="1:12" ht="29" x14ac:dyDescent="0.35">
      <c r="A145" s="21" t="s">
        <v>1202</v>
      </c>
      <c r="B145" s="21" t="s">
        <v>1211</v>
      </c>
      <c r="C145" s="21" t="s">
        <v>1212</v>
      </c>
      <c r="D145" s="21"/>
      <c r="E145" s="21" t="s">
        <v>996</v>
      </c>
      <c r="F145" s="21"/>
      <c r="G145" s="21"/>
      <c r="H145" s="21"/>
      <c r="I145" s="21"/>
      <c r="J145" s="21"/>
      <c r="K145" s="21"/>
      <c r="L145" s="21"/>
    </row>
    <row r="146" spans="1:12" ht="29" x14ac:dyDescent="0.35">
      <c r="A146" s="21" t="s">
        <v>1202</v>
      </c>
      <c r="B146" s="21" t="s">
        <v>1213</v>
      </c>
      <c r="C146" s="21" t="s">
        <v>1214</v>
      </c>
      <c r="D146" s="21"/>
      <c r="E146" s="21" t="s">
        <v>996</v>
      </c>
      <c r="F146" s="21"/>
      <c r="G146" s="21"/>
      <c r="H146" s="21"/>
      <c r="I146" s="21"/>
      <c r="J146" s="21"/>
      <c r="K146" s="21"/>
      <c r="L146" s="21"/>
    </row>
    <row r="147" spans="1:12" ht="29" x14ac:dyDescent="0.35">
      <c r="A147" s="21" t="s">
        <v>1215</v>
      </c>
      <c r="B147" s="21" t="s">
        <v>1216</v>
      </c>
      <c r="C147" s="21" t="s">
        <v>1217</v>
      </c>
      <c r="D147" s="21"/>
      <c r="E147" s="21" t="s">
        <v>996</v>
      </c>
      <c r="F147" s="21"/>
      <c r="G147" s="21"/>
      <c r="H147" s="21"/>
      <c r="I147" s="21"/>
      <c r="J147" s="21"/>
      <c r="K147" s="21"/>
      <c r="L147" s="21"/>
    </row>
    <row r="148" spans="1:12" ht="29" x14ac:dyDescent="0.35">
      <c r="A148" s="21" t="s">
        <v>1215</v>
      </c>
      <c r="B148" s="21" t="s">
        <v>1218</v>
      </c>
      <c r="C148" s="21" t="s">
        <v>1219</v>
      </c>
      <c r="D148" s="21"/>
      <c r="E148" s="21" t="s">
        <v>996</v>
      </c>
      <c r="F148" s="21"/>
      <c r="G148" s="21"/>
      <c r="H148" s="21"/>
      <c r="I148" s="21"/>
      <c r="J148" s="21"/>
      <c r="K148" s="21"/>
      <c r="L148" s="21"/>
    </row>
    <row r="149" spans="1:12" ht="29" x14ac:dyDescent="0.35">
      <c r="A149" s="21" t="s">
        <v>1215</v>
      </c>
      <c r="B149" s="21" t="s">
        <v>1220</v>
      </c>
      <c r="C149" s="21" t="s">
        <v>1221</v>
      </c>
      <c r="D149" s="21"/>
      <c r="E149" s="21" t="s">
        <v>996</v>
      </c>
      <c r="F149" s="21"/>
      <c r="G149" s="21"/>
      <c r="H149" s="21"/>
      <c r="I149" s="21"/>
      <c r="J149" s="21"/>
      <c r="K149" s="21"/>
      <c r="L149" s="21"/>
    </row>
    <row r="150" spans="1:12" ht="29" x14ac:dyDescent="0.35">
      <c r="A150" s="21" t="s">
        <v>1215</v>
      </c>
      <c r="B150" s="21" t="s">
        <v>1222</v>
      </c>
      <c r="C150" s="21" t="s">
        <v>1223</v>
      </c>
      <c r="D150" s="21"/>
      <c r="E150" s="21" t="s">
        <v>996</v>
      </c>
      <c r="F150" s="21"/>
      <c r="G150" s="21"/>
      <c r="H150" s="21"/>
      <c r="I150" s="21"/>
      <c r="J150" s="21"/>
      <c r="K150" s="21"/>
      <c r="L150" s="21"/>
    </row>
    <row r="151" spans="1:12" ht="24" customHeight="1" x14ac:dyDescent="0.35">
      <c r="A151" s="133" t="s">
        <v>1215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</row>
    <row r="152" spans="1:12" x14ac:dyDescent="0.35">
      <c r="A152" s="21" t="s">
        <v>1215</v>
      </c>
      <c r="B152" s="21" t="s">
        <v>1224</v>
      </c>
      <c r="C152" s="21" t="s">
        <v>1225</v>
      </c>
      <c r="D152" s="21"/>
      <c r="E152" s="21" t="s">
        <v>996</v>
      </c>
      <c r="F152" s="21"/>
      <c r="G152" s="21"/>
      <c r="H152" s="21"/>
      <c r="I152" s="21"/>
      <c r="J152" s="21"/>
      <c r="K152" s="21"/>
      <c r="L152" s="21"/>
    </row>
    <row r="158" spans="1:12" x14ac:dyDescent="0.35">
      <c r="A158" s="98" t="s">
        <v>1226</v>
      </c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</row>
    <row r="160" spans="1:12" ht="29" x14ac:dyDescent="0.35">
      <c r="A160" s="100" t="s">
        <v>1227</v>
      </c>
      <c r="B160" s="100" t="s">
        <v>1228</v>
      </c>
      <c r="C160" s="100" t="s">
        <v>1229</v>
      </c>
      <c r="D160" s="100" t="s">
        <v>389</v>
      </c>
      <c r="E160" s="100" t="s">
        <v>870</v>
      </c>
      <c r="F160" s="100" t="s">
        <v>390</v>
      </c>
      <c r="G160" s="100" t="s">
        <v>990</v>
      </c>
      <c r="H160" s="100" t="s">
        <v>1230</v>
      </c>
      <c r="I160" s="100"/>
      <c r="J160" s="100"/>
      <c r="K160" s="100"/>
      <c r="L160" s="100"/>
    </row>
    <row r="161" spans="1:8" x14ac:dyDescent="0.35">
      <c r="A161" s="21" t="s">
        <v>1231</v>
      </c>
      <c r="B161" s="21"/>
      <c r="C161" s="21"/>
      <c r="D161" s="21"/>
      <c r="E161" s="21"/>
      <c r="F161" s="21"/>
      <c r="G161" s="21"/>
      <c r="H161" s="21"/>
    </row>
    <row r="162" spans="1:8" x14ac:dyDescent="0.35">
      <c r="A162" s="21" t="s">
        <v>1232</v>
      </c>
      <c r="B162" s="21"/>
      <c r="C162" s="21"/>
      <c r="D162" s="21"/>
      <c r="E162" s="21"/>
      <c r="F162" s="21"/>
      <c r="G162" s="21"/>
      <c r="H162" s="21"/>
    </row>
    <row r="163" spans="1:8" x14ac:dyDescent="0.35">
      <c r="A163" s="21" t="s">
        <v>509</v>
      </c>
      <c r="B163" s="21"/>
      <c r="C163" s="21"/>
      <c r="D163" s="21"/>
      <c r="E163" s="21"/>
      <c r="F163" s="21"/>
      <c r="G163" s="21"/>
      <c r="H163" s="21"/>
    </row>
    <row r="164" spans="1:8" x14ac:dyDescent="0.35">
      <c r="A164" s="21" t="s">
        <v>1233</v>
      </c>
      <c r="B164" s="21"/>
      <c r="C164" s="21"/>
      <c r="D164" s="21"/>
      <c r="E164" s="21"/>
      <c r="F164" s="21"/>
      <c r="G164" s="21"/>
      <c r="H164" s="21"/>
    </row>
    <row r="165" spans="1:8" x14ac:dyDescent="0.35">
      <c r="A165" s="21" t="s">
        <v>1234</v>
      </c>
      <c r="B165" s="21"/>
      <c r="C165" s="21"/>
      <c r="D165" s="21"/>
      <c r="E165" s="21"/>
      <c r="F165" s="21"/>
      <c r="G165" s="21"/>
      <c r="H165" s="21"/>
    </row>
    <row r="166" spans="1:8" x14ac:dyDescent="0.35">
      <c r="A166" s="21" t="s">
        <v>1235</v>
      </c>
      <c r="B166" s="21"/>
      <c r="C166" s="21"/>
      <c r="D166" s="21"/>
      <c r="E166" s="21"/>
      <c r="F166" s="21"/>
      <c r="G166" s="21"/>
      <c r="H166" s="21"/>
    </row>
    <row r="167" spans="1:8" x14ac:dyDescent="0.35">
      <c r="A167" s="21" t="s">
        <v>1236</v>
      </c>
      <c r="B167" s="21"/>
      <c r="C167" s="21"/>
      <c r="D167" s="21"/>
      <c r="E167" s="21"/>
      <c r="F167" s="21"/>
      <c r="G167" s="21"/>
      <c r="H167" s="21"/>
    </row>
    <row r="168" spans="1:8" x14ac:dyDescent="0.35">
      <c r="A168" s="21" t="s">
        <v>1237</v>
      </c>
      <c r="B168" s="21"/>
      <c r="C168" s="21"/>
      <c r="D168" s="21"/>
      <c r="E168" s="21"/>
      <c r="F168" s="21"/>
      <c r="G168" s="21"/>
      <c r="H168" s="21"/>
    </row>
    <row r="169" spans="1:8" x14ac:dyDescent="0.35">
      <c r="A169" s="21" t="s">
        <v>1238</v>
      </c>
      <c r="B169" s="21"/>
      <c r="C169" s="21"/>
      <c r="D169" s="21"/>
      <c r="E169" s="21"/>
      <c r="F169" s="21"/>
      <c r="G169" s="21"/>
      <c r="H169" s="21"/>
    </row>
    <row r="170" spans="1:8" x14ac:dyDescent="0.35">
      <c r="A170" s="21" t="s">
        <v>1239</v>
      </c>
      <c r="B170" s="21"/>
      <c r="C170" s="21"/>
      <c r="D170" s="21"/>
      <c r="E170" s="21"/>
      <c r="F170" s="21"/>
      <c r="G170" s="21"/>
      <c r="H170" s="21"/>
    </row>
    <row r="171" spans="1:8" x14ac:dyDescent="0.35">
      <c r="A171" s="21" t="s">
        <v>1240</v>
      </c>
      <c r="B171" s="21"/>
      <c r="C171" s="21"/>
      <c r="D171" s="21"/>
      <c r="E171" s="21"/>
      <c r="F171" s="21"/>
      <c r="G171" s="21"/>
      <c r="H171" s="21"/>
    </row>
    <row r="172" spans="1:8" x14ac:dyDescent="0.35">
      <c r="A172" s="21" t="s">
        <v>1241</v>
      </c>
      <c r="B172" s="21"/>
      <c r="C172" s="21"/>
      <c r="D172" s="21"/>
      <c r="E172" s="21"/>
      <c r="F172" s="21"/>
      <c r="G172" s="21"/>
      <c r="H172" s="21"/>
    </row>
    <row r="173" spans="1:8" x14ac:dyDescent="0.35">
      <c r="A173" s="21" t="s">
        <v>1242</v>
      </c>
      <c r="B173" s="21"/>
      <c r="C173" s="21"/>
      <c r="D173" s="21"/>
      <c r="E173" s="21"/>
      <c r="F173" s="21"/>
      <c r="G173" s="21"/>
      <c r="H173" s="21"/>
    </row>
    <row r="174" spans="1:8" x14ac:dyDescent="0.35">
      <c r="A174" s="21" t="s">
        <v>1243</v>
      </c>
      <c r="B174" s="21"/>
      <c r="C174" s="21"/>
      <c r="D174" s="21"/>
      <c r="E174" s="21"/>
      <c r="F174" s="21"/>
      <c r="G174" s="21"/>
      <c r="H174" s="21"/>
    </row>
    <row r="175" spans="1:8" x14ac:dyDescent="0.35">
      <c r="A175" s="21" t="s">
        <v>1244</v>
      </c>
      <c r="B175" s="21"/>
      <c r="C175" s="21"/>
      <c r="D175" s="21"/>
      <c r="E175" s="21"/>
      <c r="F175" s="21"/>
      <c r="G175" s="21"/>
      <c r="H175" s="21"/>
    </row>
    <row r="176" spans="1:8" x14ac:dyDescent="0.35">
      <c r="A176" s="21" t="s">
        <v>1245</v>
      </c>
      <c r="B176" s="21"/>
      <c r="C176" s="21"/>
      <c r="D176" s="21"/>
      <c r="E176" s="21"/>
      <c r="F176" s="21"/>
      <c r="G176" s="21"/>
      <c r="H176" s="21"/>
    </row>
    <row r="177" spans="1:12" x14ac:dyDescent="0.35">
      <c r="A177" s="21" t="s">
        <v>1246</v>
      </c>
      <c r="B177" s="21"/>
      <c r="C177" s="21"/>
      <c r="D177" s="21"/>
      <c r="E177" s="21"/>
      <c r="F177" s="21"/>
      <c r="G177" s="21"/>
      <c r="H177" s="21"/>
    </row>
    <row r="178" spans="1:12" x14ac:dyDescent="0.35">
      <c r="A178" s="21" t="s">
        <v>1247</v>
      </c>
      <c r="B178" s="21"/>
      <c r="C178" s="21"/>
      <c r="D178" s="21"/>
      <c r="E178" s="21"/>
      <c r="F178" s="21"/>
      <c r="G178" s="21"/>
      <c r="H178" s="21"/>
    </row>
    <row r="179" spans="1:12" ht="24" customHeight="1" x14ac:dyDescent="0.35">
      <c r="A179" s="133" t="s">
        <v>1248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</row>
    <row r="180" spans="1:12" x14ac:dyDescent="0.35">
      <c r="A180" s="21" t="s">
        <v>1249</v>
      </c>
      <c r="B180" s="21"/>
      <c r="C180" s="21"/>
      <c r="D180" s="21"/>
      <c r="E180" s="21"/>
      <c r="F180" s="21"/>
      <c r="G180" s="21"/>
      <c r="H180" s="21"/>
    </row>
    <row r="186" spans="1:12" x14ac:dyDescent="0.35">
      <c r="A186" s="98" t="s">
        <v>1250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</row>
    <row r="188" spans="1:12" ht="29" x14ac:dyDescent="0.35">
      <c r="A188" s="100" t="s">
        <v>1251</v>
      </c>
      <c r="B188" s="100" t="s">
        <v>1252</v>
      </c>
      <c r="C188" s="100" t="s">
        <v>1253</v>
      </c>
      <c r="D188" s="100" t="s">
        <v>1254</v>
      </c>
      <c r="E188" s="100" t="s">
        <v>870</v>
      </c>
      <c r="F188" s="100" t="s">
        <v>1255</v>
      </c>
      <c r="G188" s="100" t="s">
        <v>338</v>
      </c>
    </row>
    <row r="189" spans="1:12" x14ac:dyDescent="0.35">
      <c r="A189" s="21" t="s">
        <v>428</v>
      </c>
      <c r="B189" s="21"/>
      <c r="C189" s="21"/>
      <c r="D189" s="21"/>
      <c r="E189" s="21"/>
      <c r="F189" s="21"/>
      <c r="G189" s="21"/>
    </row>
    <row r="190" spans="1:12" x14ac:dyDescent="0.35">
      <c r="A190" s="21" t="s">
        <v>582</v>
      </c>
      <c r="B190" s="21"/>
      <c r="C190" s="21"/>
      <c r="D190" s="21"/>
      <c r="E190" s="21"/>
      <c r="F190" s="21"/>
      <c r="G190" s="21"/>
    </row>
    <row r="191" spans="1:12" x14ac:dyDescent="0.35">
      <c r="A191" s="21" t="s">
        <v>435</v>
      </c>
      <c r="B191" s="21"/>
      <c r="C191" s="21"/>
      <c r="D191" s="21"/>
      <c r="E191" s="21"/>
      <c r="F191" s="21"/>
      <c r="G191" s="21"/>
    </row>
    <row r="192" spans="1:12" x14ac:dyDescent="0.35">
      <c r="A192" s="21" t="s">
        <v>93</v>
      </c>
      <c r="B192" s="21"/>
      <c r="C192" s="21"/>
      <c r="D192" s="21"/>
      <c r="E192" s="21"/>
      <c r="F192" s="21"/>
      <c r="G192" s="21"/>
    </row>
    <row r="193" spans="1:12" x14ac:dyDescent="0.35">
      <c r="A193" s="21" t="s">
        <v>431</v>
      </c>
      <c r="B193" s="21"/>
      <c r="C193" s="21"/>
      <c r="D193" s="21"/>
      <c r="E193" s="21"/>
      <c r="F193" s="21"/>
      <c r="G193" s="21"/>
    </row>
    <row r="194" spans="1:12" x14ac:dyDescent="0.35">
      <c r="A194" s="21" t="s">
        <v>97</v>
      </c>
      <c r="B194" s="21"/>
      <c r="C194" s="21"/>
      <c r="D194" s="21"/>
      <c r="E194" s="21"/>
      <c r="F194" s="21"/>
      <c r="G194" s="21"/>
    </row>
    <row r="195" spans="1:12" x14ac:dyDescent="0.35">
      <c r="A195" s="21" t="s">
        <v>100</v>
      </c>
      <c r="B195" s="21"/>
      <c r="C195" s="21"/>
      <c r="D195" s="21"/>
      <c r="E195" s="21"/>
      <c r="F195" s="21"/>
      <c r="G195" s="21"/>
    </row>
    <row r="196" spans="1:12" x14ac:dyDescent="0.35">
      <c r="A196" s="21" t="s">
        <v>1176</v>
      </c>
      <c r="B196" s="21"/>
      <c r="C196" s="21"/>
      <c r="D196" s="21"/>
      <c r="E196" s="21"/>
      <c r="F196" s="21"/>
      <c r="G196" s="21"/>
    </row>
    <row r="197" spans="1:12" x14ac:dyDescent="0.35">
      <c r="A197" s="21" t="s">
        <v>160</v>
      </c>
      <c r="B197" s="21"/>
      <c r="C197" s="21"/>
      <c r="D197" s="21"/>
      <c r="E197" s="21"/>
      <c r="F197" s="21"/>
      <c r="G197" s="21"/>
    </row>
    <row r="198" spans="1:12" x14ac:dyDescent="0.35">
      <c r="A198" s="21" t="s">
        <v>1256</v>
      </c>
      <c r="B198" s="21"/>
      <c r="C198" s="21"/>
      <c r="D198" s="21"/>
      <c r="E198" s="21"/>
      <c r="F198" s="21"/>
      <c r="G198" s="21"/>
    </row>
    <row r="199" spans="1:12" x14ac:dyDescent="0.35">
      <c r="A199" s="21" t="s">
        <v>1257</v>
      </c>
      <c r="B199" s="21"/>
      <c r="C199" s="21"/>
      <c r="D199" s="21"/>
      <c r="E199" s="21"/>
      <c r="F199" s="21"/>
      <c r="G199" s="21"/>
    </row>
    <row r="200" spans="1:12" x14ac:dyDescent="0.35">
      <c r="A200" s="21" t="s">
        <v>1258</v>
      </c>
      <c r="B200" s="21"/>
      <c r="C200" s="21"/>
      <c r="D200" s="21"/>
      <c r="E200" s="21"/>
      <c r="F200" s="21"/>
      <c r="G200" s="21"/>
    </row>
    <row r="201" spans="1:12" x14ac:dyDescent="0.35">
      <c r="A201" s="21" t="s">
        <v>116</v>
      </c>
      <c r="B201" s="21"/>
      <c r="C201" s="21"/>
      <c r="D201" s="21"/>
      <c r="E201" s="21"/>
      <c r="F201" s="21"/>
      <c r="G201" s="21"/>
    </row>
    <row r="202" spans="1:12" x14ac:dyDescent="0.35">
      <c r="A202" s="21" t="s">
        <v>129</v>
      </c>
      <c r="B202" s="21"/>
      <c r="C202" s="21"/>
      <c r="D202" s="21"/>
      <c r="E202" s="21"/>
      <c r="F202" s="21"/>
      <c r="G202" s="21"/>
    </row>
    <row r="203" spans="1:12" x14ac:dyDescent="0.35">
      <c r="A203" s="21" t="s">
        <v>437</v>
      </c>
      <c r="B203" s="21"/>
      <c r="C203" s="21"/>
      <c r="D203" s="21"/>
      <c r="E203" s="21"/>
      <c r="F203" s="21"/>
      <c r="G203" s="21"/>
    </row>
    <row r="204" spans="1:12" x14ac:dyDescent="0.35">
      <c r="A204" s="21" t="s">
        <v>125</v>
      </c>
      <c r="B204" s="21"/>
      <c r="C204" s="21"/>
      <c r="D204" s="21"/>
      <c r="E204" s="21"/>
      <c r="F204" s="21"/>
      <c r="G204" s="21"/>
    </row>
    <row r="205" spans="1:12" x14ac:dyDescent="0.35">
      <c r="A205" s="21" t="s">
        <v>442</v>
      </c>
      <c r="B205" s="21"/>
      <c r="C205" s="21"/>
      <c r="D205" s="21"/>
      <c r="E205" s="21"/>
      <c r="F205" s="21"/>
      <c r="G205" s="21"/>
    </row>
    <row r="206" spans="1:12" x14ac:dyDescent="0.35">
      <c r="A206" s="21" t="s">
        <v>1259</v>
      </c>
      <c r="B206" s="21"/>
      <c r="C206" s="21"/>
      <c r="D206" s="21"/>
      <c r="E206" s="21"/>
      <c r="F206" s="21"/>
      <c r="G206" s="21"/>
    </row>
    <row r="207" spans="1:12" ht="24" customHeight="1" x14ac:dyDescent="0.35">
      <c r="A207" s="133" t="s">
        <v>1260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</row>
    <row r="208" spans="1:12" x14ac:dyDescent="0.35">
      <c r="A208" s="21" t="s">
        <v>439</v>
      </c>
      <c r="B208" s="21"/>
      <c r="C208" s="21"/>
      <c r="D208" s="21"/>
      <c r="E208" s="21"/>
      <c r="F208" s="21"/>
      <c r="G208" s="21"/>
    </row>
    <row r="214" spans="1:12" x14ac:dyDescent="0.35">
      <c r="A214" s="98" t="s">
        <v>1261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</row>
    <row r="216" spans="1:12" x14ac:dyDescent="0.35">
      <c r="A216" s="100" t="s">
        <v>1262</v>
      </c>
      <c r="B216" s="100" t="s">
        <v>1263</v>
      </c>
      <c r="C216" s="100" t="s">
        <v>292</v>
      </c>
      <c r="D216" s="100" t="s">
        <v>371</v>
      </c>
      <c r="E216" s="100" t="s">
        <v>360</v>
      </c>
      <c r="F216" s="100" t="s">
        <v>1264</v>
      </c>
      <c r="G216" s="100" t="s">
        <v>990</v>
      </c>
      <c r="H216" s="100" t="s">
        <v>338</v>
      </c>
    </row>
    <row r="217" spans="1:12" x14ac:dyDescent="0.35">
      <c r="A217" t="s">
        <v>1265</v>
      </c>
    </row>
    <row r="218" spans="1:12" x14ac:dyDescent="0.35">
      <c r="A218" t="s">
        <v>1266</v>
      </c>
    </row>
    <row r="219" spans="1:12" x14ac:dyDescent="0.35">
      <c r="A219" t="s">
        <v>1267</v>
      </c>
    </row>
    <row r="220" spans="1:12" x14ac:dyDescent="0.35">
      <c r="A220" t="s">
        <v>1268</v>
      </c>
    </row>
    <row r="221" spans="1:12" x14ac:dyDescent="0.35">
      <c r="A221" t="s">
        <v>1269</v>
      </c>
    </row>
    <row r="222" spans="1:12" x14ac:dyDescent="0.35">
      <c r="A222" t="s">
        <v>1270</v>
      </c>
    </row>
    <row r="223" spans="1:12" ht="24" customHeight="1" x14ac:dyDescent="0.35">
      <c r="A223" s="129" t="s">
        <v>1271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</row>
    <row r="224" spans="1:12" x14ac:dyDescent="0.35">
      <c r="A224" t="s">
        <v>1272</v>
      </c>
    </row>
    <row r="230" spans="1:12" x14ac:dyDescent="0.35">
      <c r="A230" s="98" t="s">
        <v>1273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2" spans="1:12" ht="29" x14ac:dyDescent="0.35">
      <c r="A232" s="100" t="s">
        <v>1229</v>
      </c>
      <c r="B232" s="100" t="s">
        <v>1274</v>
      </c>
      <c r="C232" s="100" t="s">
        <v>390</v>
      </c>
      <c r="D232" s="100" t="s">
        <v>351</v>
      </c>
      <c r="E232" s="100" t="s">
        <v>352</v>
      </c>
      <c r="F232" s="100" t="s">
        <v>292</v>
      </c>
      <c r="G232" s="100" t="s">
        <v>353</v>
      </c>
      <c r="H232" s="100" t="s">
        <v>338</v>
      </c>
    </row>
    <row r="240" spans="1:12" x14ac:dyDescent="0.3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</row>
    <row r="241" spans="1:12" x14ac:dyDescent="0.3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</row>
    <row r="247" spans="1:12" ht="29" x14ac:dyDescent="0.35">
      <c r="A247" s="106" t="s">
        <v>1275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3"/>
    </row>
    <row r="248" spans="1:12" ht="43.5" x14ac:dyDescent="0.35">
      <c r="A248" s="111" t="s">
        <v>1276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3"/>
    </row>
    <row r="249" spans="1:12" ht="29" x14ac:dyDescent="0.35">
      <c r="A249" s="110" t="s">
        <v>1277</v>
      </c>
      <c r="B249" s="110" t="s">
        <v>1278</v>
      </c>
      <c r="C249" s="110" t="s">
        <v>81</v>
      </c>
      <c r="D249" s="110" t="s">
        <v>615</v>
      </c>
      <c r="E249" s="110" t="s">
        <v>616</v>
      </c>
      <c r="F249" s="110" t="s">
        <v>990</v>
      </c>
      <c r="G249" s="110" t="s">
        <v>1279</v>
      </c>
      <c r="H249" s="110" t="s">
        <v>390</v>
      </c>
      <c r="I249" s="110" t="s">
        <v>351</v>
      </c>
      <c r="J249" s="110" t="s">
        <v>292</v>
      </c>
      <c r="K249" s="110" t="s">
        <v>353</v>
      </c>
      <c r="L249" s="110" t="s">
        <v>619</v>
      </c>
    </row>
    <row r="250" spans="1:12" x14ac:dyDescent="0.35">
      <c r="A250" s="105" t="s">
        <v>1280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x14ac:dyDescent="0.35">
      <c r="A251" s="105" t="s">
        <v>1281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x14ac:dyDescent="0.35">
      <c r="A252" s="105" t="s">
        <v>1282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29" x14ac:dyDescent="0.35">
      <c r="A253" s="105" t="s">
        <v>1283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29" x14ac:dyDescent="0.35">
      <c r="A254" s="105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29" x14ac:dyDescent="0.35">
      <c r="A255" s="105" t="s">
        <v>1285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29" x14ac:dyDescent="0.35">
      <c r="A256" s="105" t="s">
        <v>1286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29" x14ac:dyDescent="0.35">
      <c r="A257" s="105" t="s">
        <v>1287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29" x14ac:dyDescent="0.35">
      <c r="A258" s="105" t="s">
        <v>1288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29" x14ac:dyDescent="0.35">
      <c r="A259" s="105" t="s">
        <v>1289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29" x14ac:dyDescent="0.35">
      <c r="A260" s="105" t="s">
        <v>1290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29" x14ac:dyDescent="0.35">
      <c r="A261" s="105" t="s">
        <v>1291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29" x14ac:dyDescent="0.35">
      <c r="A262" s="105" t="s">
        <v>1292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43.5" x14ac:dyDescent="0.35">
      <c r="A263" s="105" t="s">
        <v>1293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29" x14ac:dyDescent="0.35">
      <c r="A264" s="105" t="s">
        <v>1294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x14ac:dyDescent="0.35">
      <c r="A265" s="105" t="s">
        <v>1295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</sheetData>
  <mergeCells count="9">
    <mergeCell ref="A1:L1"/>
    <mergeCell ref="A17:L17"/>
    <mergeCell ref="A241:L241"/>
    <mergeCell ref="A223:L223"/>
    <mergeCell ref="A35:L35"/>
    <mergeCell ref="A240:L240"/>
    <mergeCell ref="A179:L179"/>
    <mergeCell ref="A151:L151"/>
    <mergeCell ref="A207:L207"/>
  </mergeCells>
  <conditionalFormatting sqref="B12">
    <cfRule type="expression" dxfId="307" priority="12">
      <formula>B12="Green"</formula>
    </cfRule>
    <cfRule type="expression" dxfId="306" priority="13">
      <formula>B12="Amber"</formula>
    </cfRule>
    <cfRule type="expression" dxfId="305" priority="14">
      <formula>B12="Red"</formula>
    </cfRule>
  </conditionalFormatting>
  <conditionalFormatting sqref="B182:B201">
    <cfRule type="expression" dxfId="304" priority="3">
      <formula>B182="Pass"</formula>
    </cfRule>
  </conditionalFormatting>
  <conditionalFormatting sqref="C20:C43">
    <cfRule type="expression" dxfId="303" priority="8">
      <formula>C20="Green"</formula>
    </cfRule>
    <cfRule type="expression" dxfId="302" priority="9">
      <formula>C20="Amber"</formula>
    </cfRule>
    <cfRule type="expression" dxfId="301" priority="10">
      <formula>C20="Red"</formula>
    </cfRule>
    <cfRule type="expression" dxfId="300" priority="11">
      <formula>C20="N/A"</formula>
    </cfRule>
  </conditionalFormatting>
  <conditionalFormatting sqref="C20:C45">
    <cfRule type="expression" dxfId="299" priority="4">
      <formula>ISNUMBER(SEARCH("Green",C20))</formula>
    </cfRule>
    <cfRule type="expression" dxfId="298" priority="5">
      <formula>ISNUMBER(SEARCH("Amber",C20))</formula>
    </cfRule>
    <cfRule type="expression" dxfId="297" priority="6">
      <formula>ISNUMBER(SEARCH("Red",C20))</formula>
    </cfRule>
    <cfRule type="expression" dxfId="296" priority="7">
      <formula>C20="N/A"</formula>
    </cfRule>
  </conditionalFormatting>
  <conditionalFormatting sqref="E154:E173">
    <cfRule type="expression" dxfId="295" priority="2">
      <formula>E154="Pass"</formula>
    </cfRule>
  </conditionalFormatting>
  <conditionalFormatting sqref="H38:H145">
    <cfRule type="expression" dxfId="294" priority="1">
      <formula>H38="Pass"</formula>
    </cfRule>
  </conditionalFormatting>
  <dataValidations count="8">
    <dataValidation type="list" sqref="H38:H145 E154:E173" xr:uid="{00000000-0002-0000-2A00-000000000000}">
      <formula1>"Pass,Developing,Fail,N/A"</formula1>
    </dataValidation>
    <dataValidation type="list" sqref="F38:F145" xr:uid="{00000000-0002-0000-2A00-000001000000}">
      <formula1>"1,2,3,4,5"</formula1>
    </dataValidation>
    <dataValidation type="list" sqref="B182:B201" xr:uid="{00000000-0002-0000-2A00-000003000000}">
      <formula1>"Complete,In Progress,Not Started,N/A"</formula1>
    </dataValidation>
    <dataValidation type="list" allowBlank="1" sqref="C243:E258" xr:uid="{00000000-0002-0000-2A00-000004000000}">
      <formula1>"Yes,No,N/A"</formula1>
    </dataValidation>
    <dataValidation type="list" allowBlank="1" sqref="C20:C45" xr:uid="{00000000-0002-0000-2A00-000005000000}">
      <formula1>"Green - Received,Amber - Awaiting,Red - Missing,N/A"</formula1>
    </dataValidation>
    <dataValidation type="list" sqref="C20:C43" xr:uid="{00000000-0002-0000-2A00-000006000000}">
      <formula1>"Green,Amber,Red,N/A"</formula1>
    </dataValidation>
    <dataValidation type="list" sqref="F42:F230" xr:uid="{00000000-0002-0000-2A00-000007000000}">
      <formula1>"1,2,3,4,5,N/A"</formula1>
    </dataValidation>
    <dataValidation type="list" sqref="H42:H230 H235:H255" xr:uid="{00000000-0002-0000-2A00-000008000000}">
      <formula1>"Pass,Fail,Not Assessed,N/A"</formula1>
    </dataValidation>
  </dataValidation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L265"/>
  <sheetViews>
    <sheetView workbookViewId="0"/>
  </sheetViews>
  <sheetFormatPr defaultRowHeight="14.5" x14ac:dyDescent="0.35"/>
  <cols>
    <col min="1" max="1" width="42" customWidth="1"/>
    <col min="2" max="2" width="36" customWidth="1"/>
    <col min="3" max="3" width="52" customWidth="1"/>
    <col min="4" max="4" width="34" customWidth="1"/>
    <col min="5" max="5" width="30" customWidth="1"/>
    <col min="6" max="6" width="12" customWidth="1"/>
    <col min="7" max="7" width="16" customWidth="1"/>
    <col min="8" max="8" width="14" customWidth="1"/>
    <col min="9" max="9" width="28" customWidth="1"/>
    <col min="10" max="12" width="14" customWidth="1"/>
  </cols>
  <sheetData>
    <row r="1" spans="1:12" ht="30" customHeight="1" x14ac:dyDescent="0.35">
      <c r="A1" s="134" t="s">
        <v>1299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x14ac:dyDescent="0.35">
      <c r="A2" t="s">
        <v>928</v>
      </c>
      <c r="D2" t="s">
        <v>929</v>
      </c>
    </row>
    <row r="4" spans="1:12" x14ac:dyDescent="0.35">
      <c r="A4" s="101" t="s">
        <v>882</v>
      </c>
      <c r="B4" s="101" t="str">
        <f>IF('Induction Employee Register'!A8="","",'Induction Employee Register'!A8)</f>
        <v>SW005</v>
      </c>
      <c r="D4" t="s">
        <v>930</v>
      </c>
      <c r="E4" t="s">
        <v>931</v>
      </c>
      <c r="F4" t="s">
        <v>932</v>
      </c>
      <c r="G4" t="s">
        <v>933</v>
      </c>
      <c r="H4" t="s">
        <v>58</v>
      </c>
      <c r="I4" t="s">
        <v>934</v>
      </c>
      <c r="J4" t="s">
        <v>54</v>
      </c>
      <c r="K4" t="s">
        <v>935</v>
      </c>
      <c r="L4" t="s">
        <v>43</v>
      </c>
    </row>
    <row r="5" spans="1:12" x14ac:dyDescent="0.35">
      <c r="A5" s="101" t="s">
        <v>883</v>
      </c>
      <c r="B5" s="101" t="str">
        <f>IF('Induction Employee Register'!B8="","",'Induction Employee Register'!B8)</f>
        <v/>
      </c>
      <c r="D5" t="s">
        <v>936</v>
      </c>
    </row>
    <row r="6" spans="1:12" x14ac:dyDescent="0.35">
      <c r="A6" s="101" t="s">
        <v>322</v>
      </c>
      <c r="B6" s="101" t="str">
        <f>IF('Induction Employee Register'!C8="","",'Induction Employee Register'!C8)</f>
        <v/>
      </c>
      <c r="D6" t="s">
        <v>937</v>
      </c>
      <c r="E6" t="s">
        <v>938</v>
      </c>
    </row>
    <row r="7" spans="1:12" x14ac:dyDescent="0.35">
      <c r="A7" s="101" t="s">
        <v>323</v>
      </c>
      <c r="B7" s="126" t="str">
        <f>IF('Induction Employee Register'!D8="","",'Induction Employee Register'!D8)</f>
        <v/>
      </c>
      <c r="D7" t="s">
        <v>939</v>
      </c>
      <c r="E7" t="s">
        <v>940</v>
      </c>
    </row>
    <row r="8" spans="1:12" x14ac:dyDescent="0.35">
      <c r="A8" s="101" t="s">
        <v>886</v>
      </c>
      <c r="B8" s="125">
        <f>IFERROR(COUNTIF($H$42:$H$230,"Pass")/(COUNTIF($H$42:$H$230,"Pass")+COUNTIF($H$42:$H$230,"Fail")+COUNTIF($H$42:$H$230,"Not Assessed")),0)</f>
        <v>0</v>
      </c>
      <c r="D8" t="s">
        <v>6</v>
      </c>
      <c r="E8" t="s">
        <v>941</v>
      </c>
    </row>
    <row r="9" spans="1:12" x14ac:dyDescent="0.35">
      <c r="A9" s="101" t="s">
        <v>887</v>
      </c>
      <c r="B9" s="125">
        <f>IFERROR(COUNTIF($H$235:$H$255,"Pass")/(COUNTIF($H$235:$H$255,"Pass")+COUNTIF($H$235:$H$255,"Fail")+COUNTIF($H$235:$H$255,"Not Assessed")),0)</f>
        <v>0</v>
      </c>
      <c r="D9" t="s">
        <v>942</v>
      </c>
      <c r="E9" t="s">
        <v>943</v>
      </c>
    </row>
    <row r="10" spans="1:12" x14ac:dyDescent="0.35">
      <c r="A10" s="101" t="s">
        <v>888</v>
      </c>
      <c r="B10" s="125" t="str">
        <f>IFERROR(IF($B$5="","",IF(INDEX('Mandatory Training Dashboard'!$D$5:$D$53,MATCH($B$5,'Mandatory Training Dashboard'!$A$5:$A$53,0))&gt;1,INDEX('Mandatory Training Dashboard'!$D$5:$D$53,MATCH($B$5,'Mandatory Training Dashboard'!$A$5:$A$53,0))/100,INDEX('Mandatory Training Dashboard'!$D$5:$D$53,MATCH($B$5,'Mandatory Training Dashboard'!$A$5:$A$53,0)))),0)</f>
        <v/>
      </c>
      <c r="D10" t="s">
        <v>944</v>
      </c>
      <c r="E10" t="s">
        <v>945</v>
      </c>
    </row>
    <row r="11" spans="1:12" x14ac:dyDescent="0.35">
      <c r="A11" s="101" t="s">
        <v>893</v>
      </c>
      <c r="B11" s="125">
        <f>IFERROR(AVERAGE(B8:B10),0)</f>
        <v>0</v>
      </c>
      <c r="D11" t="s">
        <v>946</v>
      </c>
      <c r="E11" t="s">
        <v>947</v>
      </c>
    </row>
    <row r="12" spans="1:12" x14ac:dyDescent="0.35">
      <c r="A12" s="101" t="s">
        <v>948</v>
      </c>
      <c r="B12" s="101" t="str">
        <f>IF(B11&gt;=0.9,"Green",IF(B11&gt;=0.75,"Amber","Red"))</f>
        <v>Red</v>
      </c>
      <c r="D12" t="s">
        <v>949</v>
      </c>
      <c r="E12" t="s">
        <v>950</v>
      </c>
    </row>
    <row r="13" spans="1:12" x14ac:dyDescent="0.35">
      <c r="A13" s="101" t="s">
        <v>891</v>
      </c>
      <c r="B13" s="101">
        <f>IF('Induction Employee Register'!N8="","",'Induction Employee Register'!N8)</f>
        <v>0</v>
      </c>
      <c r="D13" t="s">
        <v>951</v>
      </c>
      <c r="E13" t="s">
        <v>952</v>
      </c>
    </row>
    <row r="14" spans="1:12" x14ac:dyDescent="0.35">
      <c r="A14" s="101" t="s">
        <v>892</v>
      </c>
      <c r="B14" s="101" t="str">
        <f>IF('Induction Employee Register'!O8="","",'Induction Employee Register'!O8)</f>
        <v/>
      </c>
    </row>
    <row r="17" spans="1:12" ht="24" customHeight="1" x14ac:dyDescent="0.35">
      <c r="A17" s="135" t="s">
        <v>953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9" spans="1:12" ht="29" x14ac:dyDescent="0.35">
      <c r="A19" s="116" t="s">
        <v>954</v>
      </c>
      <c r="B19" s="116" t="s">
        <v>955</v>
      </c>
      <c r="C19" s="116" t="s">
        <v>956</v>
      </c>
      <c r="D19" s="116" t="s">
        <v>957</v>
      </c>
      <c r="E19" s="116" t="s">
        <v>958</v>
      </c>
      <c r="F19" s="116" t="s">
        <v>353</v>
      </c>
      <c r="G19" s="116" t="s">
        <v>335</v>
      </c>
      <c r="H19" s="116" t="s">
        <v>338</v>
      </c>
      <c r="I19" s="117" t="s">
        <v>959</v>
      </c>
      <c r="J19" t="s">
        <v>960</v>
      </c>
      <c r="K19" t="s">
        <v>300</v>
      </c>
      <c r="L19" t="s">
        <v>961</v>
      </c>
    </row>
    <row r="20" spans="1:12" x14ac:dyDescent="0.35">
      <c r="A20" s="118" t="s">
        <v>962</v>
      </c>
      <c r="B20" s="118" t="s">
        <v>81</v>
      </c>
      <c r="C20" s="118"/>
      <c r="D20" s="127"/>
      <c r="E20" s="127"/>
      <c r="F20" s="118"/>
      <c r="G20" s="118"/>
      <c r="H20" s="118"/>
      <c r="J20" t="s">
        <v>310</v>
      </c>
      <c r="K20" t="str">
        <f>IF('Induction Employee Register'!W8="","",'Induction Employee Register'!W8)</f>
        <v/>
      </c>
      <c r="L20" t="s">
        <v>963</v>
      </c>
    </row>
    <row r="21" spans="1:12" x14ac:dyDescent="0.35">
      <c r="A21" s="118" t="s">
        <v>964</v>
      </c>
      <c r="B21" s="118" t="s">
        <v>81</v>
      </c>
      <c r="C21" s="118"/>
      <c r="D21" s="127"/>
      <c r="E21" s="127"/>
      <c r="F21" s="118"/>
      <c r="G21" s="118"/>
      <c r="H21" s="118"/>
      <c r="J21" t="s">
        <v>311</v>
      </c>
      <c r="K21" t="str">
        <f>IF('Induction Employee Register'!X8="","",'Induction Employee Register'!X8)</f>
        <v/>
      </c>
      <c r="L21" t="s">
        <v>965</v>
      </c>
    </row>
    <row r="22" spans="1:12" x14ac:dyDescent="0.35">
      <c r="A22" s="118" t="s">
        <v>966</v>
      </c>
      <c r="B22" s="118" t="s">
        <v>81</v>
      </c>
      <c r="C22" s="118"/>
      <c r="D22" s="127"/>
      <c r="E22" s="127"/>
      <c r="F22" s="118"/>
      <c r="G22" s="118"/>
      <c r="H22" s="118"/>
      <c r="J22" t="s">
        <v>312</v>
      </c>
      <c r="K22" t="str">
        <f>IF('Induction Employee Register'!Y8="","",'Induction Employee Register'!Y8)</f>
        <v/>
      </c>
      <c r="L22" t="s">
        <v>967</v>
      </c>
    </row>
    <row r="23" spans="1:12" x14ac:dyDescent="0.35">
      <c r="A23" s="118" t="s">
        <v>52</v>
      </c>
      <c r="B23" s="118" t="s">
        <v>81</v>
      </c>
      <c r="C23" s="118"/>
      <c r="D23" s="127"/>
      <c r="E23" s="127"/>
      <c r="F23" s="118"/>
      <c r="G23" s="118"/>
      <c r="H23" s="118"/>
      <c r="J23" t="s">
        <v>313</v>
      </c>
      <c r="K23" t="str">
        <f>IF('Induction Employee Register'!Z8="","",'Induction Employee Register'!Z8)</f>
        <v/>
      </c>
      <c r="L23" t="s">
        <v>968</v>
      </c>
    </row>
    <row r="24" spans="1:12" x14ac:dyDescent="0.35">
      <c r="A24" s="118" t="s">
        <v>50</v>
      </c>
      <c r="B24" s="118" t="s">
        <v>81</v>
      </c>
      <c r="C24" s="118"/>
      <c r="D24" s="127"/>
      <c r="E24" s="127"/>
      <c r="F24" s="118"/>
      <c r="G24" s="118"/>
      <c r="H24" s="118"/>
      <c r="J24" t="s">
        <v>314</v>
      </c>
      <c r="K24" t="str">
        <f>IF('Induction Employee Register'!AA8="","",'Induction Employee Register'!AA8)</f>
        <v/>
      </c>
      <c r="L24" t="s">
        <v>968</v>
      </c>
    </row>
    <row r="25" spans="1:12" x14ac:dyDescent="0.35">
      <c r="A25" s="118" t="s">
        <v>329</v>
      </c>
      <c r="B25" s="118" t="s">
        <v>81</v>
      </c>
      <c r="C25" s="118"/>
      <c r="D25" s="127"/>
      <c r="E25" s="127"/>
      <c r="F25" s="118"/>
      <c r="G25" s="118"/>
      <c r="H25" s="118"/>
      <c r="J25" t="s">
        <v>315</v>
      </c>
      <c r="K25" t="str">
        <f>IF('Induction Employee Register'!AB8="","",'Induction Employee Register'!AB8)</f>
        <v/>
      </c>
      <c r="L25" t="s">
        <v>967</v>
      </c>
    </row>
    <row r="26" spans="1:12" x14ac:dyDescent="0.35">
      <c r="A26" s="118" t="s">
        <v>969</v>
      </c>
      <c r="B26" s="118" t="s">
        <v>81</v>
      </c>
      <c r="C26" s="118"/>
      <c r="D26" s="127"/>
      <c r="E26" s="127"/>
      <c r="F26" s="118"/>
      <c r="G26" s="118"/>
      <c r="H26" s="118"/>
      <c r="J26" t="s">
        <v>316</v>
      </c>
      <c r="K26" t="str">
        <f>IF('Induction Employee Register'!AC8="","",'Induction Employee Register'!AC8)</f>
        <v/>
      </c>
      <c r="L26" t="s">
        <v>967</v>
      </c>
    </row>
    <row r="27" spans="1:12" x14ac:dyDescent="0.35">
      <c r="A27" s="118" t="s">
        <v>970</v>
      </c>
      <c r="B27" s="118" t="s">
        <v>81</v>
      </c>
      <c r="C27" s="118"/>
      <c r="D27" s="127"/>
      <c r="E27" s="127"/>
      <c r="F27" s="118"/>
      <c r="G27" s="118"/>
      <c r="H27" s="118"/>
    </row>
    <row r="28" spans="1:12" x14ac:dyDescent="0.35">
      <c r="A28" s="118" t="s">
        <v>971</v>
      </c>
      <c r="B28" s="118" t="s">
        <v>81</v>
      </c>
      <c r="C28" s="118"/>
      <c r="D28" s="127"/>
      <c r="E28" s="127"/>
      <c r="F28" s="118"/>
      <c r="G28" s="118"/>
      <c r="H28" s="118"/>
    </row>
    <row r="29" spans="1:12" x14ac:dyDescent="0.35">
      <c r="A29" s="118" t="s">
        <v>972</v>
      </c>
      <c r="B29" s="118" t="s">
        <v>81</v>
      </c>
      <c r="C29" s="118"/>
      <c r="D29" s="127"/>
      <c r="E29" s="127"/>
      <c r="F29" s="118"/>
      <c r="G29" s="118"/>
      <c r="H29" s="118"/>
    </row>
    <row r="30" spans="1:12" x14ac:dyDescent="0.35">
      <c r="A30" s="118" t="s">
        <v>973</v>
      </c>
      <c r="B30" s="118" t="s">
        <v>81</v>
      </c>
      <c r="C30" s="118"/>
      <c r="D30" s="127"/>
      <c r="E30" s="127"/>
      <c r="F30" s="118"/>
      <c r="G30" s="118"/>
      <c r="H30" s="118"/>
    </row>
    <row r="31" spans="1:12" x14ac:dyDescent="0.35">
      <c r="A31" s="118" t="s">
        <v>974</v>
      </c>
      <c r="B31" s="118" t="s">
        <v>81</v>
      </c>
      <c r="C31" s="118"/>
      <c r="D31" s="127"/>
      <c r="E31" s="127"/>
      <c r="F31" s="118"/>
      <c r="G31" s="118"/>
      <c r="H31" s="118"/>
    </row>
    <row r="32" spans="1:12" x14ac:dyDescent="0.35">
      <c r="A32" s="118" t="s">
        <v>975</v>
      </c>
      <c r="B32" s="118" t="s">
        <v>81</v>
      </c>
      <c r="C32" s="118"/>
      <c r="D32" s="127"/>
      <c r="E32" s="127"/>
      <c r="F32" s="118"/>
      <c r="G32" s="118"/>
      <c r="H32" s="118"/>
    </row>
    <row r="33" spans="1:12" x14ac:dyDescent="0.35">
      <c r="A33" s="118" t="s">
        <v>54</v>
      </c>
      <c r="B33" s="118" t="s">
        <v>81</v>
      </c>
      <c r="C33" s="118"/>
      <c r="D33" s="127"/>
      <c r="E33" s="127"/>
      <c r="F33" s="118"/>
      <c r="G33" s="118"/>
      <c r="H33" s="118"/>
    </row>
    <row r="34" spans="1:12" x14ac:dyDescent="0.35">
      <c r="A34" s="119" t="s">
        <v>976</v>
      </c>
      <c r="B34" s="119" t="s">
        <v>81</v>
      </c>
      <c r="C34" s="119"/>
      <c r="D34" s="127"/>
      <c r="E34" s="127"/>
      <c r="F34" s="119"/>
      <c r="G34" s="119"/>
      <c r="H34" s="119"/>
    </row>
    <row r="35" spans="1:12" ht="24" customHeight="1" x14ac:dyDescent="0.35">
      <c r="A35" s="130" t="s">
        <v>977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</row>
    <row r="36" spans="1:12" x14ac:dyDescent="0.35">
      <c r="A36" s="119" t="s">
        <v>978</v>
      </c>
      <c r="B36" s="119" t="s">
        <v>81</v>
      </c>
      <c r="C36" s="119"/>
      <c r="D36" s="127"/>
      <c r="E36" s="127"/>
      <c r="F36" s="119"/>
      <c r="G36" s="119"/>
      <c r="H36" s="119"/>
    </row>
    <row r="37" spans="1:12" x14ac:dyDescent="0.35">
      <c r="A37" s="119" t="s">
        <v>979</v>
      </c>
      <c r="B37" s="119" t="s">
        <v>81</v>
      </c>
      <c r="C37" s="119"/>
      <c r="D37" s="127"/>
      <c r="E37" s="127"/>
      <c r="F37" s="119"/>
      <c r="G37" s="119"/>
      <c r="H37" s="119"/>
    </row>
    <row r="38" spans="1:12" x14ac:dyDescent="0.35">
      <c r="A38" s="119" t="s">
        <v>980</v>
      </c>
      <c r="B38" s="119" t="s">
        <v>81</v>
      </c>
      <c r="C38" s="119"/>
      <c r="D38" s="127"/>
      <c r="E38" s="127"/>
      <c r="F38" s="119"/>
      <c r="G38" s="119"/>
      <c r="H38" s="119"/>
    </row>
    <row r="39" spans="1:12" x14ac:dyDescent="0.35">
      <c r="A39" s="119" t="s">
        <v>981</v>
      </c>
      <c r="B39" s="119" t="s">
        <v>81</v>
      </c>
      <c r="C39" s="119"/>
      <c r="D39" s="127"/>
      <c r="E39" s="127"/>
      <c r="F39" s="119"/>
      <c r="G39" s="119"/>
      <c r="H39" s="119"/>
    </row>
    <row r="40" spans="1:12" x14ac:dyDescent="0.35">
      <c r="A40" s="119" t="s">
        <v>982</v>
      </c>
      <c r="B40" s="119" t="s">
        <v>81</v>
      </c>
      <c r="C40" s="119"/>
      <c r="D40" s="127"/>
      <c r="E40" s="127"/>
      <c r="F40" s="119"/>
      <c r="G40" s="119"/>
      <c r="H40" s="119"/>
    </row>
    <row r="41" spans="1:12" x14ac:dyDescent="0.35">
      <c r="A41" s="118"/>
      <c r="B41" s="118"/>
      <c r="C41" s="118"/>
      <c r="D41" s="127"/>
      <c r="E41" s="127"/>
      <c r="F41" s="118"/>
      <c r="G41" s="118"/>
      <c r="H41" s="118"/>
    </row>
    <row r="42" spans="1:12" x14ac:dyDescent="0.35">
      <c r="A42" s="120" t="s">
        <v>983</v>
      </c>
      <c r="B42" s="118"/>
      <c r="C42" s="118"/>
      <c r="D42" s="127"/>
      <c r="E42" s="127"/>
      <c r="F42" s="118"/>
      <c r="G42" s="118"/>
      <c r="H42" s="118"/>
      <c r="I42" s="96"/>
      <c r="J42" s="96"/>
      <c r="K42" s="96"/>
      <c r="L42" s="96"/>
    </row>
    <row r="43" spans="1:12" x14ac:dyDescent="0.35">
      <c r="A43" s="118"/>
      <c r="B43" s="118"/>
      <c r="C43" s="118"/>
      <c r="D43" s="127"/>
      <c r="E43" s="127"/>
      <c r="F43" s="118"/>
      <c r="G43" s="118"/>
      <c r="H43" s="118"/>
    </row>
    <row r="44" spans="1:12" ht="29" x14ac:dyDescent="0.35">
      <c r="A44" s="116" t="s">
        <v>984</v>
      </c>
      <c r="B44" s="116" t="s">
        <v>985</v>
      </c>
      <c r="C44" s="116" t="s">
        <v>986</v>
      </c>
      <c r="D44" s="116" t="s">
        <v>987</v>
      </c>
      <c r="E44" s="116" t="s">
        <v>988</v>
      </c>
      <c r="F44" s="116" t="s">
        <v>989</v>
      </c>
      <c r="G44" s="116" t="s">
        <v>389</v>
      </c>
      <c r="H44" s="116" t="s">
        <v>870</v>
      </c>
      <c r="I44" s="100" t="s">
        <v>390</v>
      </c>
      <c r="J44" s="100" t="s">
        <v>990</v>
      </c>
      <c r="K44" s="100" t="s">
        <v>991</v>
      </c>
      <c r="L44" s="100" t="s">
        <v>992</v>
      </c>
    </row>
    <row r="45" spans="1:12" ht="29" x14ac:dyDescent="0.35">
      <c r="A45" s="121" t="s">
        <v>993</v>
      </c>
      <c r="B45" s="121" t="s">
        <v>994</v>
      </c>
      <c r="C45" s="121" t="s">
        <v>995</v>
      </c>
      <c r="D45" s="121"/>
      <c r="E45" s="121" t="s">
        <v>996</v>
      </c>
      <c r="F45" s="121"/>
      <c r="G45" s="121"/>
      <c r="H45" s="121"/>
      <c r="I45" s="21"/>
      <c r="J45" s="21"/>
      <c r="K45" s="21"/>
      <c r="L45" s="21"/>
    </row>
    <row r="46" spans="1:12" ht="29" x14ac:dyDescent="0.35">
      <c r="A46" s="21" t="s">
        <v>993</v>
      </c>
      <c r="B46" s="21" t="s">
        <v>997</v>
      </c>
      <c r="C46" s="21" t="s">
        <v>998</v>
      </c>
      <c r="D46" s="21"/>
      <c r="E46" s="21" t="s">
        <v>996</v>
      </c>
      <c r="F46" s="21"/>
      <c r="G46" s="21"/>
      <c r="H46" s="21"/>
      <c r="I46" s="21"/>
      <c r="J46" s="21"/>
      <c r="K46" s="21"/>
      <c r="L46" s="21"/>
    </row>
    <row r="47" spans="1:12" ht="29" x14ac:dyDescent="0.35">
      <c r="A47" s="21" t="s">
        <v>993</v>
      </c>
      <c r="B47" s="21" t="s">
        <v>999</v>
      </c>
      <c r="C47" s="21" t="s">
        <v>1000</v>
      </c>
      <c r="D47" s="21"/>
      <c r="E47" s="21" t="s">
        <v>996</v>
      </c>
      <c r="F47" s="21"/>
      <c r="G47" s="21"/>
      <c r="H47" s="21"/>
      <c r="I47" s="21"/>
      <c r="J47" s="21"/>
      <c r="K47" s="21"/>
      <c r="L47" s="21"/>
    </row>
    <row r="48" spans="1:12" ht="29" x14ac:dyDescent="0.35">
      <c r="A48" s="21" t="s">
        <v>993</v>
      </c>
      <c r="B48" s="21" t="s">
        <v>1001</v>
      </c>
      <c r="C48" s="21" t="s">
        <v>1002</v>
      </c>
      <c r="D48" s="21"/>
      <c r="E48" s="21" t="s">
        <v>996</v>
      </c>
      <c r="F48" s="21"/>
      <c r="G48" s="21"/>
      <c r="H48" s="21"/>
      <c r="I48" s="21"/>
      <c r="J48" s="21"/>
      <c r="K48" s="21"/>
      <c r="L48" s="21"/>
    </row>
    <row r="49" spans="1:12" ht="43.5" x14ac:dyDescent="0.35">
      <c r="A49" s="21" t="s">
        <v>993</v>
      </c>
      <c r="B49" s="21" t="s">
        <v>1003</v>
      </c>
      <c r="C49" s="21" t="s">
        <v>1004</v>
      </c>
      <c r="D49" s="21"/>
      <c r="E49" s="21" t="s">
        <v>996</v>
      </c>
      <c r="F49" s="21"/>
      <c r="G49" s="21"/>
      <c r="H49" s="21"/>
      <c r="I49" s="21"/>
      <c r="J49" s="21"/>
      <c r="K49" s="21"/>
      <c r="L49" s="21"/>
    </row>
    <row r="50" spans="1:12" ht="29" x14ac:dyDescent="0.35">
      <c r="A50" s="21" t="s">
        <v>993</v>
      </c>
      <c r="B50" s="21" t="s">
        <v>1005</v>
      </c>
      <c r="C50" s="21" t="s">
        <v>1006</v>
      </c>
      <c r="D50" s="21"/>
      <c r="E50" s="21" t="s">
        <v>996</v>
      </c>
      <c r="F50" s="21"/>
      <c r="G50" s="21"/>
      <c r="H50" s="21"/>
      <c r="I50" s="21"/>
      <c r="J50" s="21"/>
      <c r="K50" s="21"/>
      <c r="L50" s="21"/>
    </row>
    <row r="51" spans="1:12" ht="43.5" x14ac:dyDescent="0.35">
      <c r="A51" s="21" t="s">
        <v>1007</v>
      </c>
      <c r="B51" s="21" t="s">
        <v>1008</v>
      </c>
      <c r="C51" s="21" t="s">
        <v>1009</v>
      </c>
      <c r="D51" s="21"/>
      <c r="E51" s="21" t="s">
        <v>996</v>
      </c>
      <c r="F51" s="21"/>
      <c r="G51" s="21"/>
      <c r="H51" s="21"/>
      <c r="I51" s="21"/>
      <c r="J51" s="21"/>
      <c r="K51" s="21"/>
      <c r="L51" s="21"/>
    </row>
    <row r="52" spans="1:12" ht="29" x14ac:dyDescent="0.35">
      <c r="A52" s="21" t="s">
        <v>1007</v>
      </c>
      <c r="B52" s="21" t="s">
        <v>1010</v>
      </c>
      <c r="C52" s="21" t="s">
        <v>1011</v>
      </c>
      <c r="D52" s="21"/>
      <c r="E52" s="21" t="s">
        <v>996</v>
      </c>
      <c r="F52" s="21"/>
      <c r="G52" s="21"/>
      <c r="H52" s="21"/>
      <c r="I52" s="21"/>
      <c r="J52" s="21"/>
      <c r="K52" s="21"/>
      <c r="L52" s="21"/>
    </row>
    <row r="53" spans="1:12" ht="29" x14ac:dyDescent="0.35">
      <c r="A53" s="21" t="s">
        <v>1007</v>
      </c>
      <c r="B53" s="21" t="s">
        <v>1012</v>
      </c>
      <c r="C53" s="21" t="s">
        <v>1013</v>
      </c>
      <c r="D53" s="21"/>
      <c r="E53" s="21" t="s">
        <v>996</v>
      </c>
      <c r="F53" s="21"/>
      <c r="G53" s="21"/>
      <c r="H53" s="21"/>
      <c r="I53" s="21"/>
      <c r="J53" s="21"/>
      <c r="K53" s="21"/>
      <c r="L53" s="21"/>
    </row>
    <row r="54" spans="1:12" ht="29" x14ac:dyDescent="0.35">
      <c r="A54" s="21" t="s">
        <v>1007</v>
      </c>
      <c r="B54" s="21" t="s">
        <v>1014</v>
      </c>
      <c r="C54" s="21" t="s">
        <v>1015</v>
      </c>
      <c r="D54" s="21"/>
      <c r="E54" s="21" t="s">
        <v>996</v>
      </c>
      <c r="F54" s="21"/>
      <c r="G54" s="21"/>
      <c r="H54" s="21"/>
      <c r="I54" s="21"/>
      <c r="J54" s="21"/>
      <c r="K54" s="21"/>
      <c r="L54" s="21"/>
    </row>
    <row r="55" spans="1:12" ht="29" x14ac:dyDescent="0.35">
      <c r="A55" s="21" t="s">
        <v>1007</v>
      </c>
      <c r="B55" s="21" t="s">
        <v>1016</v>
      </c>
      <c r="C55" s="21" t="s">
        <v>1017</v>
      </c>
      <c r="D55" s="21"/>
      <c r="E55" s="21" t="s">
        <v>996</v>
      </c>
      <c r="F55" s="21"/>
      <c r="G55" s="21"/>
      <c r="H55" s="21"/>
      <c r="I55" s="21"/>
      <c r="J55" s="21"/>
      <c r="K55" s="21"/>
      <c r="L55" s="21"/>
    </row>
    <row r="56" spans="1:12" ht="29" x14ac:dyDescent="0.35">
      <c r="A56" s="21" t="s">
        <v>1007</v>
      </c>
      <c r="B56" s="21" t="s">
        <v>1018</v>
      </c>
      <c r="C56" s="21" t="s">
        <v>1019</v>
      </c>
      <c r="D56" s="21"/>
      <c r="E56" s="21" t="s">
        <v>996</v>
      </c>
      <c r="F56" s="21"/>
      <c r="G56" s="21"/>
      <c r="H56" s="21"/>
      <c r="I56" s="21"/>
      <c r="J56" s="21"/>
      <c r="K56" s="21"/>
      <c r="L56" s="21"/>
    </row>
    <row r="57" spans="1:12" ht="43.5" x14ac:dyDescent="0.35">
      <c r="A57" s="21" t="s">
        <v>1020</v>
      </c>
      <c r="B57" s="21" t="s">
        <v>1021</v>
      </c>
      <c r="C57" s="21" t="s">
        <v>1022</v>
      </c>
      <c r="D57" s="21"/>
      <c r="E57" s="21" t="s">
        <v>1023</v>
      </c>
      <c r="F57" s="21"/>
      <c r="G57" s="21"/>
      <c r="H57" s="21"/>
      <c r="I57" s="21"/>
      <c r="J57" s="21"/>
      <c r="K57" s="21"/>
      <c r="L57" s="21"/>
    </row>
    <row r="58" spans="1:12" ht="43.5" x14ac:dyDescent="0.35">
      <c r="A58" s="21" t="s">
        <v>1020</v>
      </c>
      <c r="B58" s="21" t="s">
        <v>1024</v>
      </c>
      <c r="C58" s="21" t="s">
        <v>1025</v>
      </c>
      <c r="D58" s="21"/>
      <c r="E58" s="21" t="s">
        <v>1023</v>
      </c>
      <c r="F58" s="21"/>
      <c r="G58" s="21"/>
      <c r="H58" s="21"/>
      <c r="I58" s="21"/>
      <c r="J58" s="21"/>
      <c r="K58" s="21"/>
      <c r="L58" s="21"/>
    </row>
    <row r="59" spans="1:12" ht="43.5" x14ac:dyDescent="0.35">
      <c r="A59" s="21" t="s">
        <v>1020</v>
      </c>
      <c r="B59" s="21" t="s">
        <v>1026</v>
      </c>
      <c r="C59" s="21" t="s">
        <v>1027</v>
      </c>
      <c r="D59" s="21"/>
      <c r="E59" s="21" t="s">
        <v>1023</v>
      </c>
      <c r="F59" s="21"/>
      <c r="G59" s="21"/>
      <c r="H59" s="21"/>
      <c r="I59" s="21"/>
      <c r="J59" s="21"/>
      <c r="K59" s="21"/>
      <c r="L59" s="21"/>
    </row>
    <row r="60" spans="1:12" ht="43.5" x14ac:dyDescent="0.35">
      <c r="A60" s="21" t="s">
        <v>1020</v>
      </c>
      <c r="B60" s="21" t="s">
        <v>1028</v>
      </c>
      <c r="C60" s="21" t="s">
        <v>1029</v>
      </c>
      <c r="D60" s="21"/>
      <c r="E60" s="21" t="s">
        <v>1023</v>
      </c>
      <c r="F60" s="21"/>
      <c r="G60" s="21"/>
      <c r="H60" s="21"/>
      <c r="I60" s="21"/>
      <c r="J60" s="21"/>
      <c r="K60" s="21"/>
      <c r="L60" s="21"/>
    </row>
    <row r="61" spans="1:12" ht="43.5" x14ac:dyDescent="0.35">
      <c r="A61" s="21" t="s">
        <v>1020</v>
      </c>
      <c r="B61" s="21" t="s">
        <v>1030</v>
      </c>
      <c r="C61" s="21" t="s">
        <v>1031</v>
      </c>
      <c r="D61" s="21"/>
      <c r="E61" s="21" t="s">
        <v>1023</v>
      </c>
      <c r="F61" s="21"/>
      <c r="G61" s="21"/>
      <c r="H61" s="21"/>
      <c r="I61" s="21"/>
      <c r="J61" s="21"/>
      <c r="K61" s="21"/>
      <c r="L61" s="21"/>
    </row>
    <row r="62" spans="1:12" ht="43.5" x14ac:dyDescent="0.35">
      <c r="A62" s="21" t="s">
        <v>1020</v>
      </c>
      <c r="B62" s="21" t="s">
        <v>1032</v>
      </c>
      <c r="C62" s="21" t="s">
        <v>1033</v>
      </c>
      <c r="D62" s="21"/>
      <c r="E62" s="21" t="s">
        <v>1023</v>
      </c>
      <c r="F62" s="21"/>
      <c r="G62" s="21"/>
      <c r="H62" s="21"/>
      <c r="I62" s="21"/>
      <c r="J62" s="21"/>
      <c r="K62" s="21"/>
      <c r="L62" s="21"/>
    </row>
    <row r="63" spans="1:12" ht="29" x14ac:dyDescent="0.35">
      <c r="A63" s="21" t="s">
        <v>428</v>
      </c>
      <c r="B63" s="21" t="s">
        <v>1034</v>
      </c>
      <c r="C63" s="21" t="s">
        <v>1035</v>
      </c>
      <c r="D63" s="21"/>
      <c r="E63" s="21" t="s">
        <v>996</v>
      </c>
      <c r="F63" s="21"/>
      <c r="G63" s="21"/>
      <c r="H63" s="21"/>
      <c r="I63" s="21"/>
      <c r="J63" s="21"/>
      <c r="K63" s="21"/>
      <c r="L63" s="21"/>
    </row>
    <row r="64" spans="1:12" ht="43.5" x14ac:dyDescent="0.35">
      <c r="A64" s="21" t="s">
        <v>428</v>
      </c>
      <c r="B64" s="21" t="s">
        <v>1036</v>
      </c>
      <c r="C64" s="21" t="s">
        <v>1037</v>
      </c>
      <c r="D64" s="21"/>
      <c r="E64" s="21" t="s">
        <v>996</v>
      </c>
      <c r="F64" s="21"/>
      <c r="G64" s="21"/>
      <c r="H64" s="21"/>
      <c r="I64" s="21"/>
      <c r="J64" s="21"/>
      <c r="K64" s="21"/>
      <c r="L64" s="21"/>
    </row>
    <row r="65" spans="1:12" ht="29" x14ac:dyDescent="0.35">
      <c r="A65" s="21" t="s">
        <v>428</v>
      </c>
      <c r="B65" s="21" t="s">
        <v>1038</v>
      </c>
      <c r="C65" s="21" t="s">
        <v>1039</v>
      </c>
      <c r="D65" s="21"/>
      <c r="E65" s="21" t="s">
        <v>996</v>
      </c>
      <c r="F65" s="21"/>
      <c r="G65" s="21"/>
      <c r="H65" s="21"/>
      <c r="I65" s="21"/>
      <c r="J65" s="21"/>
      <c r="K65" s="21"/>
      <c r="L65" s="21"/>
    </row>
    <row r="66" spans="1:12" ht="43.5" x14ac:dyDescent="0.35">
      <c r="A66" s="21" t="s">
        <v>428</v>
      </c>
      <c r="B66" s="21" t="s">
        <v>1040</v>
      </c>
      <c r="C66" s="21" t="s">
        <v>1041</v>
      </c>
      <c r="D66" s="21"/>
      <c r="E66" s="21" t="s">
        <v>996</v>
      </c>
      <c r="F66" s="21"/>
      <c r="G66" s="21"/>
      <c r="H66" s="21"/>
      <c r="I66" s="21"/>
      <c r="J66" s="21"/>
      <c r="K66" s="21"/>
      <c r="L66" s="21"/>
    </row>
    <row r="67" spans="1:12" ht="29" x14ac:dyDescent="0.35">
      <c r="A67" s="21" t="s">
        <v>428</v>
      </c>
      <c r="B67" s="21" t="s">
        <v>1042</v>
      </c>
      <c r="C67" s="21" t="s">
        <v>1043</v>
      </c>
      <c r="D67" s="21"/>
      <c r="E67" s="21" t="s">
        <v>996</v>
      </c>
      <c r="F67" s="21"/>
      <c r="G67" s="21"/>
      <c r="H67" s="21"/>
      <c r="I67" s="21"/>
      <c r="J67" s="21"/>
      <c r="K67" s="21"/>
      <c r="L67" s="21"/>
    </row>
    <row r="68" spans="1:12" ht="29" x14ac:dyDescent="0.35">
      <c r="A68" s="21" t="s">
        <v>428</v>
      </c>
      <c r="B68" s="21" t="s">
        <v>1044</v>
      </c>
      <c r="C68" s="21" t="s">
        <v>1045</v>
      </c>
      <c r="D68" s="21"/>
      <c r="E68" s="21" t="s">
        <v>996</v>
      </c>
      <c r="F68" s="21"/>
      <c r="G68" s="21"/>
      <c r="H68" s="21"/>
      <c r="I68" s="21"/>
      <c r="J68" s="21"/>
      <c r="K68" s="21"/>
      <c r="L68" s="21"/>
    </row>
    <row r="69" spans="1:12" ht="29" x14ac:dyDescent="0.35">
      <c r="A69" s="21" t="s">
        <v>1046</v>
      </c>
      <c r="B69" s="21" t="s">
        <v>1047</v>
      </c>
      <c r="C69" s="21" t="s">
        <v>1048</v>
      </c>
      <c r="D69" s="21"/>
      <c r="E69" s="21" t="s">
        <v>996</v>
      </c>
      <c r="F69" s="21"/>
      <c r="G69" s="21"/>
      <c r="H69" s="21"/>
      <c r="I69" s="21"/>
      <c r="J69" s="21"/>
      <c r="K69" s="21"/>
      <c r="L69" s="21"/>
    </row>
    <row r="70" spans="1:12" ht="29" x14ac:dyDescent="0.35">
      <c r="A70" s="21" t="s">
        <v>1046</v>
      </c>
      <c r="B70" s="21" t="s">
        <v>1049</v>
      </c>
      <c r="C70" s="21" t="s">
        <v>1050</v>
      </c>
      <c r="D70" s="21"/>
      <c r="E70" s="21" t="s">
        <v>996</v>
      </c>
      <c r="F70" s="21"/>
      <c r="G70" s="21"/>
      <c r="H70" s="21"/>
      <c r="I70" s="21"/>
      <c r="J70" s="21"/>
      <c r="K70" s="21"/>
      <c r="L70" s="21"/>
    </row>
    <row r="71" spans="1:12" ht="29" x14ac:dyDescent="0.35">
      <c r="A71" s="21" t="s">
        <v>1046</v>
      </c>
      <c r="B71" s="21" t="s">
        <v>1051</v>
      </c>
      <c r="C71" s="21" t="s">
        <v>1052</v>
      </c>
      <c r="D71" s="21"/>
      <c r="E71" s="21" t="s">
        <v>996</v>
      </c>
      <c r="F71" s="21"/>
      <c r="G71" s="21"/>
      <c r="H71" s="21"/>
      <c r="I71" s="21"/>
      <c r="J71" s="21"/>
      <c r="K71" s="21"/>
      <c r="L71" s="21"/>
    </row>
    <row r="72" spans="1:12" ht="29" x14ac:dyDescent="0.35">
      <c r="A72" s="21" t="s">
        <v>1046</v>
      </c>
      <c r="B72" s="21" t="s">
        <v>1053</v>
      </c>
      <c r="C72" s="21" t="s">
        <v>1054</v>
      </c>
      <c r="D72" s="21"/>
      <c r="E72" s="21" t="s">
        <v>996</v>
      </c>
      <c r="F72" s="21"/>
      <c r="G72" s="21"/>
      <c r="H72" s="21"/>
      <c r="I72" s="21"/>
      <c r="J72" s="21"/>
      <c r="K72" s="21"/>
      <c r="L72" s="21"/>
    </row>
    <row r="73" spans="1:12" ht="29" x14ac:dyDescent="0.35">
      <c r="A73" s="21" t="s">
        <v>1046</v>
      </c>
      <c r="B73" s="21" t="s">
        <v>1055</v>
      </c>
      <c r="C73" s="21" t="s">
        <v>1056</v>
      </c>
      <c r="D73" s="21"/>
      <c r="E73" s="21" t="s">
        <v>996</v>
      </c>
      <c r="F73" s="21"/>
      <c r="G73" s="21"/>
      <c r="H73" s="21"/>
      <c r="I73" s="21"/>
      <c r="J73" s="21"/>
      <c r="K73" s="21"/>
      <c r="L73" s="21"/>
    </row>
    <row r="74" spans="1:12" ht="29" x14ac:dyDescent="0.35">
      <c r="A74" s="21" t="s">
        <v>1046</v>
      </c>
      <c r="B74" s="21" t="s">
        <v>1057</v>
      </c>
      <c r="C74" s="21" t="s">
        <v>1058</v>
      </c>
      <c r="D74" s="21"/>
      <c r="E74" s="21" t="s">
        <v>996</v>
      </c>
      <c r="F74" s="21"/>
      <c r="G74" s="21"/>
      <c r="H74" s="21"/>
      <c r="I74" s="21"/>
      <c r="J74" s="21"/>
      <c r="K74" s="21"/>
      <c r="L74" s="21"/>
    </row>
    <row r="75" spans="1:12" ht="29" x14ac:dyDescent="0.35">
      <c r="A75" s="21" t="s">
        <v>1059</v>
      </c>
      <c r="B75" s="21" t="s">
        <v>1060</v>
      </c>
      <c r="C75" s="21" t="s">
        <v>1061</v>
      </c>
      <c r="D75" s="21"/>
      <c r="E75" s="21" t="s">
        <v>996</v>
      </c>
      <c r="F75" s="21"/>
      <c r="G75" s="21"/>
      <c r="H75" s="21"/>
      <c r="I75" s="21"/>
      <c r="J75" s="21"/>
      <c r="K75" s="21"/>
      <c r="L75" s="21"/>
    </row>
    <row r="76" spans="1:12" ht="43.5" x14ac:dyDescent="0.35">
      <c r="A76" s="21" t="s">
        <v>1059</v>
      </c>
      <c r="B76" s="21" t="s">
        <v>1062</v>
      </c>
      <c r="C76" s="21" t="s">
        <v>1063</v>
      </c>
      <c r="D76" s="21"/>
      <c r="E76" s="21" t="s">
        <v>996</v>
      </c>
      <c r="F76" s="21"/>
      <c r="G76" s="21"/>
      <c r="H76" s="21"/>
      <c r="I76" s="21"/>
      <c r="J76" s="21"/>
      <c r="K76" s="21"/>
      <c r="L76" s="21"/>
    </row>
    <row r="77" spans="1:12" ht="29" x14ac:dyDescent="0.35">
      <c r="A77" s="21" t="s">
        <v>1059</v>
      </c>
      <c r="B77" s="21" t="s">
        <v>1064</v>
      </c>
      <c r="C77" s="21" t="s">
        <v>1065</v>
      </c>
      <c r="D77" s="21"/>
      <c r="E77" s="21" t="s">
        <v>996</v>
      </c>
      <c r="F77" s="21"/>
      <c r="G77" s="21"/>
      <c r="H77" s="21"/>
      <c r="I77" s="21"/>
      <c r="J77" s="21"/>
      <c r="K77" s="21"/>
      <c r="L77" s="21"/>
    </row>
    <row r="78" spans="1:12" ht="29" x14ac:dyDescent="0.35">
      <c r="A78" s="21" t="s">
        <v>1059</v>
      </c>
      <c r="B78" s="21" t="s">
        <v>1066</v>
      </c>
      <c r="C78" s="21" t="s">
        <v>1067</v>
      </c>
      <c r="D78" s="21"/>
      <c r="E78" s="21" t="s">
        <v>996</v>
      </c>
      <c r="F78" s="21"/>
      <c r="G78" s="21"/>
      <c r="H78" s="21"/>
      <c r="I78" s="21"/>
      <c r="J78" s="21"/>
      <c r="K78" s="21"/>
      <c r="L78" s="21"/>
    </row>
    <row r="79" spans="1:12" ht="29" x14ac:dyDescent="0.35">
      <c r="A79" s="21" t="s">
        <v>1059</v>
      </c>
      <c r="B79" s="21" t="s">
        <v>1068</v>
      </c>
      <c r="C79" s="21" t="s">
        <v>1069</v>
      </c>
      <c r="D79" s="21"/>
      <c r="E79" s="21" t="s">
        <v>996</v>
      </c>
      <c r="F79" s="21"/>
      <c r="G79" s="21"/>
      <c r="H79" s="21"/>
      <c r="I79" s="21"/>
      <c r="J79" s="21"/>
      <c r="K79" s="21"/>
      <c r="L79" s="21"/>
    </row>
    <row r="80" spans="1:12" ht="29" x14ac:dyDescent="0.35">
      <c r="A80" s="21" t="s">
        <v>1059</v>
      </c>
      <c r="B80" s="21" t="s">
        <v>1070</v>
      </c>
      <c r="C80" s="21" t="s">
        <v>1071</v>
      </c>
      <c r="D80" s="21"/>
      <c r="E80" s="21" t="s">
        <v>996</v>
      </c>
      <c r="F80" s="21"/>
      <c r="G80" s="21"/>
      <c r="H80" s="21"/>
      <c r="I80" s="21"/>
      <c r="J80" s="21"/>
      <c r="K80" s="21"/>
      <c r="L80" s="21"/>
    </row>
    <row r="81" spans="1:12" ht="29" x14ac:dyDescent="0.35">
      <c r="A81" s="21" t="s">
        <v>1072</v>
      </c>
      <c r="B81" s="21" t="s">
        <v>1073</v>
      </c>
      <c r="C81" s="21" t="s">
        <v>1074</v>
      </c>
      <c r="D81" s="21"/>
      <c r="E81" s="21" t="s">
        <v>996</v>
      </c>
      <c r="F81" s="21"/>
      <c r="G81" s="21"/>
      <c r="H81" s="21"/>
      <c r="I81" s="21"/>
      <c r="J81" s="21"/>
      <c r="K81" s="21"/>
      <c r="L81" s="21"/>
    </row>
    <row r="82" spans="1:12" ht="29" x14ac:dyDescent="0.35">
      <c r="A82" s="21" t="s">
        <v>1072</v>
      </c>
      <c r="B82" s="21" t="s">
        <v>1075</v>
      </c>
      <c r="C82" s="21" t="s">
        <v>1076</v>
      </c>
      <c r="D82" s="21"/>
      <c r="E82" s="21" t="s">
        <v>996</v>
      </c>
      <c r="F82" s="21"/>
      <c r="G82" s="21"/>
      <c r="H82" s="21"/>
      <c r="I82" s="21"/>
      <c r="J82" s="21"/>
      <c r="K82" s="21"/>
      <c r="L82" s="21"/>
    </row>
    <row r="83" spans="1:12" ht="29" x14ac:dyDescent="0.35">
      <c r="A83" s="21" t="s">
        <v>1072</v>
      </c>
      <c r="B83" s="21" t="s">
        <v>1077</v>
      </c>
      <c r="C83" s="21" t="s">
        <v>1078</v>
      </c>
      <c r="D83" s="21"/>
      <c r="E83" s="21" t="s">
        <v>996</v>
      </c>
      <c r="F83" s="21"/>
      <c r="G83" s="21"/>
      <c r="H83" s="21"/>
      <c r="I83" s="21"/>
      <c r="J83" s="21"/>
      <c r="K83" s="21"/>
      <c r="L83" s="21"/>
    </row>
    <row r="84" spans="1:12" ht="29" x14ac:dyDescent="0.35">
      <c r="A84" s="21" t="s">
        <v>1072</v>
      </c>
      <c r="B84" s="21" t="s">
        <v>1079</v>
      </c>
      <c r="C84" s="21" t="s">
        <v>1080</v>
      </c>
      <c r="D84" s="21"/>
      <c r="E84" s="21" t="s">
        <v>996</v>
      </c>
      <c r="F84" s="21"/>
      <c r="G84" s="21"/>
      <c r="H84" s="21"/>
      <c r="I84" s="21"/>
      <c r="J84" s="21"/>
      <c r="K84" s="21"/>
      <c r="L84" s="21"/>
    </row>
    <row r="85" spans="1:12" ht="29" x14ac:dyDescent="0.35">
      <c r="A85" s="21" t="s">
        <v>1072</v>
      </c>
      <c r="B85" s="21" t="s">
        <v>1081</v>
      </c>
      <c r="C85" s="21" t="s">
        <v>1082</v>
      </c>
      <c r="D85" s="21"/>
      <c r="E85" s="21" t="s">
        <v>996</v>
      </c>
      <c r="F85" s="21"/>
      <c r="G85" s="21"/>
      <c r="H85" s="21"/>
      <c r="I85" s="21"/>
      <c r="J85" s="21"/>
      <c r="K85" s="21"/>
      <c r="L85" s="21"/>
    </row>
    <row r="86" spans="1:12" ht="29" x14ac:dyDescent="0.35">
      <c r="A86" s="21" t="s">
        <v>1072</v>
      </c>
      <c r="B86" s="21" t="s">
        <v>1083</v>
      </c>
      <c r="C86" s="21" t="s">
        <v>1084</v>
      </c>
      <c r="D86" s="21"/>
      <c r="E86" s="21" t="s">
        <v>996</v>
      </c>
      <c r="F86" s="21"/>
      <c r="G86" s="21"/>
      <c r="H86" s="21"/>
      <c r="I86" s="21"/>
      <c r="J86" s="21"/>
      <c r="K86" s="21"/>
      <c r="L86" s="21"/>
    </row>
    <row r="87" spans="1:12" ht="29" x14ac:dyDescent="0.35">
      <c r="A87" s="21" t="s">
        <v>1085</v>
      </c>
      <c r="B87" s="21" t="s">
        <v>1086</v>
      </c>
      <c r="C87" s="21" t="s">
        <v>1087</v>
      </c>
      <c r="D87" s="21"/>
      <c r="E87" s="21" t="s">
        <v>996</v>
      </c>
      <c r="F87" s="21"/>
      <c r="G87" s="21"/>
      <c r="H87" s="21"/>
      <c r="I87" s="21"/>
      <c r="J87" s="21"/>
      <c r="K87" s="21"/>
      <c r="L87" s="21"/>
    </row>
    <row r="88" spans="1:12" ht="29" x14ac:dyDescent="0.35">
      <c r="A88" s="21" t="s">
        <v>1085</v>
      </c>
      <c r="B88" s="21" t="s">
        <v>1088</v>
      </c>
      <c r="C88" s="21" t="s">
        <v>1089</v>
      </c>
      <c r="D88" s="21"/>
      <c r="E88" s="21" t="s">
        <v>996</v>
      </c>
      <c r="F88" s="21"/>
      <c r="G88" s="21"/>
      <c r="H88" s="21"/>
      <c r="I88" s="21"/>
      <c r="J88" s="21"/>
      <c r="K88" s="21"/>
      <c r="L88" s="21"/>
    </row>
    <row r="89" spans="1:12" ht="29" x14ac:dyDescent="0.35">
      <c r="A89" s="21" t="s">
        <v>1085</v>
      </c>
      <c r="B89" s="21" t="s">
        <v>1090</v>
      </c>
      <c r="C89" s="21" t="s">
        <v>1091</v>
      </c>
      <c r="D89" s="21"/>
      <c r="E89" s="21" t="s">
        <v>996</v>
      </c>
      <c r="F89" s="21"/>
      <c r="G89" s="21"/>
      <c r="H89" s="21"/>
      <c r="I89" s="21"/>
      <c r="J89" s="21"/>
      <c r="K89" s="21"/>
      <c r="L89" s="21"/>
    </row>
    <row r="90" spans="1:12" ht="29" x14ac:dyDescent="0.35">
      <c r="A90" s="21" t="s">
        <v>1085</v>
      </c>
      <c r="B90" s="21" t="s">
        <v>1092</v>
      </c>
      <c r="C90" s="21" t="s">
        <v>1093</v>
      </c>
      <c r="D90" s="21"/>
      <c r="E90" s="21" t="s">
        <v>996</v>
      </c>
      <c r="F90" s="21"/>
      <c r="G90" s="21"/>
      <c r="H90" s="21"/>
      <c r="I90" s="21"/>
      <c r="J90" s="21"/>
      <c r="K90" s="21"/>
      <c r="L90" s="21"/>
    </row>
    <row r="91" spans="1:12" ht="29" x14ac:dyDescent="0.35">
      <c r="A91" s="21" t="s">
        <v>1085</v>
      </c>
      <c r="B91" s="21" t="s">
        <v>1094</v>
      </c>
      <c r="C91" s="21" t="s">
        <v>1095</v>
      </c>
      <c r="D91" s="21"/>
      <c r="E91" s="21" t="s">
        <v>996</v>
      </c>
      <c r="F91" s="21"/>
      <c r="G91" s="21"/>
      <c r="H91" s="21"/>
      <c r="I91" s="21"/>
      <c r="J91" s="21"/>
      <c r="K91" s="21"/>
      <c r="L91" s="21"/>
    </row>
    <row r="92" spans="1:12" ht="29" x14ac:dyDescent="0.35">
      <c r="A92" s="21" t="s">
        <v>1085</v>
      </c>
      <c r="B92" s="21" t="s">
        <v>1096</v>
      </c>
      <c r="C92" s="21" t="s">
        <v>1097</v>
      </c>
      <c r="D92" s="21"/>
      <c r="E92" s="21" t="s">
        <v>996</v>
      </c>
      <c r="F92" s="21"/>
      <c r="G92" s="21"/>
      <c r="H92" s="21"/>
      <c r="I92" s="21"/>
      <c r="J92" s="21"/>
      <c r="K92" s="21"/>
      <c r="L92" s="21"/>
    </row>
    <row r="93" spans="1:12" ht="29" x14ac:dyDescent="0.35">
      <c r="A93" s="21" t="s">
        <v>1098</v>
      </c>
      <c r="B93" s="21" t="s">
        <v>1099</v>
      </c>
      <c r="C93" s="21" t="s">
        <v>1100</v>
      </c>
      <c r="D93" s="21"/>
      <c r="E93" s="21" t="s">
        <v>996</v>
      </c>
      <c r="F93" s="21"/>
      <c r="G93" s="21"/>
      <c r="H93" s="21"/>
      <c r="I93" s="21"/>
      <c r="J93" s="21"/>
      <c r="K93" s="21"/>
      <c r="L93" s="21"/>
    </row>
    <row r="94" spans="1:12" ht="29" x14ac:dyDescent="0.35">
      <c r="A94" s="21" t="s">
        <v>1098</v>
      </c>
      <c r="B94" s="21" t="s">
        <v>1101</v>
      </c>
      <c r="C94" s="21" t="s">
        <v>1102</v>
      </c>
      <c r="D94" s="21"/>
      <c r="E94" s="21" t="s">
        <v>996</v>
      </c>
      <c r="F94" s="21"/>
      <c r="G94" s="21"/>
      <c r="H94" s="21"/>
      <c r="I94" s="21"/>
      <c r="J94" s="21"/>
      <c r="K94" s="21"/>
      <c r="L94" s="21"/>
    </row>
    <row r="95" spans="1:12" ht="29" x14ac:dyDescent="0.35">
      <c r="A95" s="21" t="s">
        <v>1098</v>
      </c>
      <c r="B95" s="21" t="s">
        <v>1103</v>
      </c>
      <c r="C95" s="21" t="s">
        <v>1104</v>
      </c>
      <c r="D95" s="21"/>
      <c r="E95" s="21" t="s">
        <v>996</v>
      </c>
      <c r="F95" s="21"/>
      <c r="G95" s="21"/>
      <c r="H95" s="21"/>
      <c r="I95" s="21"/>
      <c r="J95" s="21"/>
      <c r="K95" s="21"/>
      <c r="L95" s="21"/>
    </row>
    <row r="96" spans="1:12" ht="29" x14ac:dyDescent="0.35">
      <c r="A96" s="21" t="s">
        <v>1098</v>
      </c>
      <c r="B96" s="21" t="s">
        <v>1105</v>
      </c>
      <c r="C96" s="21" t="s">
        <v>1106</v>
      </c>
      <c r="D96" s="21"/>
      <c r="E96" s="21" t="s">
        <v>996</v>
      </c>
      <c r="F96" s="21"/>
      <c r="G96" s="21"/>
      <c r="H96" s="21"/>
      <c r="I96" s="21"/>
      <c r="J96" s="21"/>
      <c r="K96" s="21"/>
      <c r="L96" s="21"/>
    </row>
    <row r="97" spans="1:12" ht="29" x14ac:dyDescent="0.35">
      <c r="A97" s="21" t="s">
        <v>1098</v>
      </c>
      <c r="B97" s="21" t="s">
        <v>1107</v>
      </c>
      <c r="C97" s="21" t="s">
        <v>1108</v>
      </c>
      <c r="D97" s="21"/>
      <c r="E97" s="21" t="s">
        <v>996</v>
      </c>
      <c r="F97" s="21"/>
      <c r="G97" s="21"/>
      <c r="H97" s="21"/>
      <c r="I97" s="21"/>
      <c r="J97" s="21"/>
      <c r="K97" s="21"/>
      <c r="L97" s="21"/>
    </row>
    <row r="98" spans="1:12" ht="29" x14ac:dyDescent="0.35">
      <c r="A98" s="21" t="s">
        <v>1098</v>
      </c>
      <c r="B98" s="21" t="s">
        <v>1109</v>
      </c>
      <c r="C98" s="21" t="s">
        <v>1110</v>
      </c>
      <c r="D98" s="21"/>
      <c r="E98" s="21" t="s">
        <v>996</v>
      </c>
      <c r="F98" s="21"/>
      <c r="G98" s="21"/>
      <c r="H98" s="21"/>
      <c r="I98" s="21"/>
      <c r="J98" s="21"/>
      <c r="K98" s="21"/>
      <c r="L98" s="21"/>
    </row>
    <row r="99" spans="1:12" ht="29" x14ac:dyDescent="0.35">
      <c r="A99" s="21" t="s">
        <v>1111</v>
      </c>
      <c r="B99" s="21" t="s">
        <v>1112</v>
      </c>
      <c r="C99" s="21" t="s">
        <v>1113</v>
      </c>
      <c r="D99" s="21"/>
      <c r="E99" s="21" t="s">
        <v>1114</v>
      </c>
      <c r="F99" s="21"/>
      <c r="G99" s="21"/>
      <c r="H99" s="21"/>
      <c r="I99" s="21"/>
      <c r="J99" s="21"/>
      <c r="K99" s="21"/>
      <c r="L99" s="21"/>
    </row>
    <row r="100" spans="1:12" ht="29" x14ac:dyDescent="0.35">
      <c r="A100" s="21" t="s">
        <v>1111</v>
      </c>
      <c r="B100" s="21" t="s">
        <v>1115</v>
      </c>
      <c r="C100" s="21" t="s">
        <v>1116</v>
      </c>
      <c r="D100" s="21"/>
      <c r="E100" s="21" t="s">
        <v>1114</v>
      </c>
      <c r="F100" s="21"/>
      <c r="G100" s="21"/>
      <c r="H100" s="21"/>
      <c r="I100" s="21"/>
      <c r="J100" s="21"/>
      <c r="K100" s="21"/>
      <c r="L100" s="21"/>
    </row>
    <row r="101" spans="1:12" ht="29" x14ac:dyDescent="0.35">
      <c r="A101" s="21" t="s">
        <v>1111</v>
      </c>
      <c r="B101" s="21" t="s">
        <v>1117</v>
      </c>
      <c r="C101" s="21" t="s">
        <v>1118</v>
      </c>
      <c r="D101" s="21"/>
      <c r="E101" s="21" t="s">
        <v>1114</v>
      </c>
      <c r="F101" s="21"/>
      <c r="G101" s="21"/>
      <c r="H101" s="21"/>
      <c r="I101" s="21"/>
      <c r="J101" s="21"/>
      <c r="K101" s="21"/>
      <c r="L101" s="21"/>
    </row>
    <row r="102" spans="1:12" ht="29" x14ac:dyDescent="0.35">
      <c r="A102" s="21" t="s">
        <v>1111</v>
      </c>
      <c r="B102" s="21" t="s">
        <v>1119</v>
      </c>
      <c r="C102" s="21" t="s">
        <v>1120</v>
      </c>
      <c r="D102" s="21"/>
      <c r="E102" s="21" t="s">
        <v>1114</v>
      </c>
      <c r="F102" s="21"/>
      <c r="G102" s="21"/>
      <c r="H102" s="21"/>
      <c r="I102" s="21"/>
      <c r="J102" s="21"/>
      <c r="K102" s="21"/>
      <c r="L102" s="21"/>
    </row>
    <row r="103" spans="1:12" ht="29" x14ac:dyDescent="0.35">
      <c r="A103" s="21" t="s">
        <v>1111</v>
      </c>
      <c r="B103" s="21" t="s">
        <v>1121</v>
      </c>
      <c r="C103" s="21" t="s">
        <v>1122</v>
      </c>
      <c r="D103" s="21"/>
      <c r="E103" s="21" t="s">
        <v>1114</v>
      </c>
      <c r="F103" s="21"/>
      <c r="G103" s="21"/>
      <c r="H103" s="21"/>
      <c r="I103" s="21"/>
      <c r="J103" s="21"/>
      <c r="K103" s="21"/>
      <c r="L103" s="21"/>
    </row>
    <row r="104" spans="1:12" ht="29" x14ac:dyDescent="0.35">
      <c r="A104" s="21" t="s">
        <v>1111</v>
      </c>
      <c r="B104" s="21" t="s">
        <v>1123</v>
      </c>
      <c r="C104" s="21" t="s">
        <v>1124</v>
      </c>
      <c r="D104" s="21"/>
      <c r="E104" s="21" t="s">
        <v>1114</v>
      </c>
      <c r="F104" s="21"/>
      <c r="G104" s="21"/>
      <c r="H104" s="21"/>
      <c r="I104" s="21"/>
      <c r="J104" s="21"/>
      <c r="K104" s="21"/>
      <c r="L104" s="21"/>
    </row>
    <row r="105" spans="1:12" ht="29" x14ac:dyDescent="0.35">
      <c r="A105" s="21" t="s">
        <v>1125</v>
      </c>
      <c r="B105" s="21" t="s">
        <v>1126</v>
      </c>
      <c r="C105" s="21" t="s">
        <v>1127</v>
      </c>
      <c r="D105" s="21"/>
      <c r="E105" s="21" t="s">
        <v>1114</v>
      </c>
      <c r="F105" s="21"/>
      <c r="G105" s="21"/>
      <c r="H105" s="21"/>
      <c r="I105" s="21"/>
      <c r="J105" s="21"/>
      <c r="K105" s="21"/>
      <c r="L105" s="21"/>
    </row>
    <row r="106" spans="1:12" ht="29" x14ac:dyDescent="0.35">
      <c r="A106" s="21" t="s">
        <v>1125</v>
      </c>
      <c r="B106" s="21" t="s">
        <v>1128</v>
      </c>
      <c r="C106" s="21" t="s">
        <v>1129</v>
      </c>
      <c r="D106" s="21"/>
      <c r="E106" s="21" t="s">
        <v>1114</v>
      </c>
      <c r="F106" s="21"/>
      <c r="G106" s="21"/>
      <c r="H106" s="21"/>
      <c r="I106" s="21"/>
      <c r="J106" s="21"/>
      <c r="K106" s="21"/>
      <c r="L106" s="21"/>
    </row>
    <row r="107" spans="1:12" ht="43.5" x14ac:dyDescent="0.35">
      <c r="A107" s="21" t="s">
        <v>1125</v>
      </c>
      <c r="B107" s="21" t="s">
        <v>1130</v>
      </c>
      <c r="C107" s="21" t="s">
        <v>1131</v>
      </c>
      <c r="D107" s="21"/>
      <c r="E107" s="21" t="s">
        <v>1114</v>
      </c>
      <c r="F107" s="21"/>
      <c r="G107" s="21"/>
      <c r="H107" s="21"/>
      <c r="I107" s="21"/>
      <c r="J107" s="21"/>
      <c r="K107" s="21"/>
      <c r="L107" s="21"/>
    </row>
    <row r="108" spans="1:12" ht="29" x14ac:dyDescent="0.35">
      <c r="A108" s="21" t="s">
        <v>1125</v>
      </c>
      <c r="B108" s="21" t="s">
        <v>1132</v>
      </c>
      <c r="C108" s="21" t="s">
        <v>1133</v>
      </c>
      <c r="D108" s="21"/>
      <c r="E108" s="21" t="s">
        <v>1114</v>
      </c>
      <c r="F108" s="21"/>
      <c r="G108" s="21"/>
      <c r="H108" s="21"/>
      <c r="I108" s="21"/>
      <c r="J108" s="21"/>
      <c r="K108" s="21"/>
      <c r="L108" s="21"/>
    </row>
    <row r="109" spans="1:12" ht="29" x14ac:dyDescent="0.35">
      <c r="A109" s="21" t="s">
        <v>1125</v>
      </c>
      <c r="B109" s="21" t="s">
        <v>1134</v>
      </c>
      <c r="C109" s="21" t="s">
        <v>1135</v>
      </c>
      <c r="D109" s="21"/>
      <c r="E109" s="21" t="s">
        <v>1114</v>
      </c>
      <c r="F109" s="21"/>
      <c r="G109" s="21"/>
      <c r="H109" s="21"/>
      <c r="I109" s="21"/>
      <c r="J109" s="21"/>
      <c r="K109" s="21"/>
      <c r="L109" s="21"/>
    </row>
    <row r="110" spans="1:12" ht="29" x14ac:dyDescent="0.35">
      <c r="A110" s="21" t="s">
        <v>1125</v>
      </c>
      <c r="B110" s="21" t="s">
        <v>1136</v>
      </c>
      <c r="C110" s="21" t="s">
        <v>1137</v>
      </c>
      <c r="D110" s="21"/>
      <c r="E110" s="21" t="s">
        <v>1114</v>
      </c>
      <c r="F110" s="21"/>
      <c r="G110" s="21"/>
      <c r="H110" s="21"/>
      <c r="I110" s="21"/>
      <c r="J110" s="21"/>
      <c r="K110" s="21"/>
      <c r="L110" s="21"/>
    </row>
    <row r="111" spans="1:12" ht="29" x14ac:dyDescent="0.35">
      <c r="A111" s="21" t="s">
        <v>1138</v>
      </c>
      <c r="B111" s="21" t="s">
        <v>1139</v>
      </c>
      <c r="C111" s="21" t="s">
        <v>1140</v>
      </c>
      <c r="D111" s="21"/>
      <c r="E111" s="21" t="s">
        <v>996</v>
      </c>
      <c r="F111" s="21"/>
      <c r="G111" s="21"/>
      <c r="H111" s="21"/>
      <c r="I111" s="21"/>
      <c r="J111" s="21"/>
      <c r="K111" s="21"/>
      <c r="L111" s="21"/>
    </row>
    <row r="112" spans="1:12" ht="29" x14ac:dyDescent="0.35">
      <c r="A112" s="21" t="s">
        <v>1138</v>
      </c>
      <c r="B112" s="21" t="s">
        <v>1141</v>
      </c>
      <c r="C112" s="21" t="s">
        <v>1142</v>
      </c>
      <c r="D112" s="21"/>
      <c r="E112" s="21" t="s">
        <v>996</v>
      </c>
      <c r="F112" s="21"/>
      <c r="G112" s="21"/>
      <c r="H112" s="21"/>
      <c r="I112" s="21"/>
      <c r="J112" s="21"/>
      <c r="K112" s="21"/>
      <c r="L112" s="21"/>
    </row>
    <row r="113" spans="1:12" ht="29" x14ac:dyDescent="0.35">
      <c r="A113" s="21" t="s">
        <v>1138</v>
      </c>
      <c r="B113" s="21" t="s">
        <v>1143</v>
      </c>
      <c r="C113" s="21" t="s">
        <v>1144</v>
      </c>
      <c r="D113" s="21"/>
      <c r="E113" s="21" t="s">
        <v>996</v>
      </c>
      <c r="F113" s="21"/>
      <c r="G113" s="21"/>
      <c r="H113" s="21"/>
      <c r="I113" s="21"/>
      <c r="J113" s="21"/>
      <c r="K113" s="21"/>
      <c r="L113" s="21"/>
    </row>
    <row r="114" spans="1:12" ht="29" x14ac:dyDescent="0.35">
      <c r="A114" s="21" t="s">
        <v>1138</v>
      </c>
      <c r="B114" s="21" t="s">
        <v>1145</v>
      </c>
      <c r="C114" s="21" t="s">
        <v>1146</v>
      </c>
      <c r="D114" s="21"/>
      <c r="E114" s="21" t="s">
        <v>996</v>
      </c>
      <c r="F114" s="21"/>
      <c r="G114" s="21"/>
      <c r="H114" s="21"/>
      <c r="I114" s="21"/>
      <c r="J114" s="21"/>
      <c r="K114" s="21"/>
      <c r="L114" s="21"/>
    </row>
    <row r="115" spans="1:12" ht="29" x14ac:dyDescent="0.35">
      <c r="A115" s="21" t="s">
        <v>1138</v>
      </c>
      <c r="B115" s="21" t="s">
        <v>1147</v>
      </c>
      <c r="C115" s="21" t="s">
        <v>1148</v>
      </c>
      <c r="D115" s="21"/>
      <c r="E115" s="21" t="s">
        <v>996</v>
      </c>
      <c r="F115" s="21"/>
      <c r="G115" s="21"/>
      <c r="H115" s="21"/>
      <c r="I115" s="21"/>
      <c r="J115" s="21"/>
      <c r="K115" s="21"/>
      <c r="L115" s="21"/>
    </row>
    <row r="116" spans="1:12" ht="29" x14ac:dyDescent="0.35">
      <c r="A116" s="21" t="s">
        <v>1138</v>
      </c>
      <c r="B116" s="21" t="s">
        <v>1149</v>
      </c>
      <c r="C116" s="21" t="s">
        <v>1150</v>
      </c>
      <c r="D116" s="21"/>
      <c r="E116" s="21" t="s">
        <v>996</v>
      </c>
      <c r="F116" s="21"/>
      <c r="G116" s="21"/>
      <c r="H116" s="21"/>
      <c r="I116" s="21"/>
      <c r="J116" s="21"/>
      <c r="K116" s="21"/>
      <c r="L116" s="21"/>
    </row>
    <row r="117" spans="1:12" ht="29" x14ac:dyDescent="0.35">
      <c r="A117" s="21" t="s">
        <v>1151</v>
      </c>
      <c r="B117" s="21" t="s">
        <v>1152</v>
      </c>
      <c r="C117" s="21" t="s">
        <v>1153</v>
      </c>
      <c r="D117" s="21"/>
      <c r="E117" s="21" t="s">
        <v>996</v>
      </c>
      <c r="F117" s="21"/>
      <c r="G117" s="21"/>
      <c r="H117" s="21"/>
      <c r="I117" s="21"/>
      <c r="J117" s="21"/>
      <c r="K117" s="21"/>
      <c r="L117" s="21"/>
    </row>
    <row r="118" spans="1:12" ht="29" x14ac:dyDescent="0.35">
      <c r="A118" s="21" t="s">
        <v>1151</v>
      </c>
      <c r="B118" s="21" t="s">
        <v>1154</v>
      </c>
      <c r="C118" s="21" t="s">
        <v>1155</v>
      </c>
      <c r="D118" s="21"/>
      <c r="E118" s="21" t="s">
        <v>996</v>
      </c>
      <c r="F118" s="21"/>
      <c r="G118" s="21"/>
      <c r="H118" s="21"/>
      <c r="I118" s="21"/>
      <c r="J118" s="21"/>
      <c r="K118" s="21"/>
      <c r="L118" s="21"/>
    </row>
    <row r="119" spans="1:12" ht="29" x14ac:dyDescent="0.35">
      <c r="A119" s="21" t="s">
        <v>1151</v>
      </c>
      <c r="B119" s="21" t="s">
        <v>1156</v>
      </c>
      <c r="C119" s="21" t="s">
        <v>1157</v>
      </c>
      <c r="D119" s="21"/>
      <c r="E119" s="21" t="s">
        <v>996</v>
      </c>
      <c r="F119" s="21"/>
      <c r="G119" s="21"/>
      <c r="H119" s="21"/>
      <c r="I119" s="21"/>
      <c r="J119" s="21"/>
      <c r="K119" s="21"/>
      <c r="L119" s="21"/>
    </row>
    <row r="120" spans="1:12" ht="29" x14ac:dyDescent="0.35">
      <c r="A120" s="21" t="s">
        <v>1151</v>
      </c>
      <c r="B120" s="21" t="s">
        <v>1158</v>
      </c>
      <c r="C120" s="21" t="s">
        <v>1159</v>
      </c>
      <c r="D120" s="21"/>
      <c r="E120" s="21" t="s">
        <v>996</v>
      </c>
      <c r="F120" s="21"/>
      <c r="G120" s="21"/>
      <c r="H120" s="21"/>
      <c r="I120" s="21"/>
      <c r="J120" s="21"/>
      <c r="K120" s="21"/>
      <c r="L120" s="21"/>
    </row>
    <row r="121" spans="1:12" ht="29" x14ac:dyDescent="0.35">
      <c r="A121" s="21" t="s">
        <v>1151</v>
      </c>
      <c r="B121" s="21" t="s">
        <v>1160</v>
      </c>
      <c r="C121" s="21" t="s">
        <v>1161</v>
      </c>
      <c r="D121" s="21"/>
      <c r="E121" s="21" t="s">
        <v>996</v>
      </c>
      <c r="F121" s="21"/>
      <c r="G121" s="21"/>
      <c r="H121" s="21"/>
      <c r="I121" s="21"/>
      <c r="J121" s="21"/>
      <c r="K121" s="21"/>
      <c r="L121" s="21"/>
    </row>
    <row r="122" spans="1:12" ht="29" x14ac:dyDescent="0.35">
      <c r="A122" s="21" t="s">
        <v>1151</v>
      </c>
      <c r="B122" s="21" t="s">
        <v>1162</v>
      </c>
      <c r="C122" s="21" t="s">
        <v>1163</v>
      </c>
      <c r="D122" s="21"/>
      <c r="E122" s="21" t="s">
        <v>996</v>
      </c>
      <c r="F122" s="21"/>
      <c r="G122" s="21"/>
      <c r="H122" s="21"/>
      <c r="I122" s="21"/>
      <c r="J122" s="21"/>
      <c r="K122" s="21"/>
      <c r="L122" s="21"/>
    </row>
    <row r="123" spans="1:12" ht="29" x14ac:dyDescent="0.35">
      <c r="A123" s="21" t="s">
        <v>432</v>
      </c>
      <c r="B123" s="21" t="s">
        <v>1164</v>
      </c>
      <c r="C123" s="21" t="s">
        <v>1165</v>
      </c>
      <c r="D123" s="21"/>
      <c r="E123" s="21" t="s">
        <v>1114</v>
      </c>
      <c r="F123" s="21"/>
      <c r="G123" s="21"/>
      <c r="H123" s="21"/>
      <c r="I123" s="21"/>
      <c r="J123" s="21"/>
      <c r="K123" s="21"/>
      <c r="L123" s="21"/>
    </row>
    <row r="124" spans="1:12" ht="29" x14ac:dyDescent="0.35">
      <c r="A124" s="21" t="s">
        <v>432</v>
      </c>
      <c r="B124" s="21" t="s">
        <v>1166</v>
      </c>
      <c r="C124" s="21" t="s">
        <v>1167</v>
      </c>
      <c r="D124" s="21"/>
      <c r="E124" s="21" t="s">
        <v>1114</v>
      </c>
      <c r="F124" s="21"/>
      <c r="G124" s="21"/>
      <c r="H124" s="21"/>
      <c r="I124" s="21"/>
      <c r="J124" s="21"/>
      <c r="K124" s="21"/>
      <c r="L124" s="21"/>
    </row>
    <row r="125" spans="1:12" ht="29" x14ac:dyDescent="0.35">
      <c r="A125" s="21" t="s">
        <v>432</v>
      </c>
      <c r="B125" s="21" t="s">
        <v>1168</v>
      </c>
      <c r="C125" s="21" t="s">
        <v>1169</v>
      </c>
      <c r="D125" s="21"/>
      <c r="E125" s="21" t="s">
        <v>1114</v>
      </c>
      <c r="F125" s="21"/>
      <c r="G125" s="21"/>
      <c r="H125" s="21"/>
      <c r="I125" s="21"/>
      <c r="J125" s="21"/>
      <c r="K125" s="21"/>
      <c r="L125" s="21"/>
    </row>
    <row r="126" spans="1:12" ht="29" x14ac:dyDescent="0.35">
      <c r="A126" s="21" t="s">
        <v>432</v>
      </c>
      <c r="B126" s="21" t="s">
        <v>1170</v>
      </c>
      <c r="C126" s="21" t="s">
        <v>1171</v>
      </c>
      <c r="D126" s="21"/>
      <c r="E126" s="21" t="s">
        <v>1114</v>
      </c>
      <c r="F126" s="21"/>
      <c r="G126" s="21"/>
      <c r="H126" s="21"/>
      <c r="I126" s="21"/>
      <c r="J126" s="21"/>
      <c r="K126" s="21"/>
      <c r="L126" s="21"/>
    </row>
    <row r="127" spans="1:12" ht="29" x14ac:dyDescent="0.35">
      <c r="A127" s="21" t="s">
        <v>432</v>
      </c>
      <c r="B127" s="21" t="s">
        <v>1172</v>
      </c>
      <c r="C127" s="21" t="s">
        <v>1173</v>
      </c>
      <c r="D127" s="21"/>
      <c r="E127" s="21" t="s">
        <v>1114</v>
      </c>
      <c r="F127" s="21"/>
      <c r="G127" s="21"/>
      <c r="H127" s="21"/>
      <c r="I127" s="21"/>
      <c r="J127" s="21"/>
      <c r="K127" s="21"/>
      <c r="L127" s="21"/>
    </row>
    <row r="128" spans="1:12" ht="29" x14ac:dyDescent="0.35">
      <c r="A128" s="21" t="s">
        <v>432</v>
      </c>
      <c r="B128" s="21" t="s">
        <v>1174</v>
      </c>
      <c r="C128" s="21" t="s">
        <v>1175</v>
      </c>
      <c r="D128" s="21"/>
      <c r="E128" s="21" t="s">
        <v>1114</v>
      </c>
      <c r="F128" s="21"/>
      <c r="G128" s="21"/>
      <c r="H128" s="21"/>
      <c r="I128" s="21"/>
      <c r="J128" s="21"/>
      <c r="K128" s="21"/>
      <c r="L128" s="21"/>
    </row>
    <row r="129" spans="1:12" ht="29" x14ac:dyDescent="0.35">
      <c r="A129" s="21" t="s">
        <v>1176</v>
      </c>
      <c r="B129" s="21" t="s">
        <v>1177</v>
      </c>
      <c r="C129" s="21" t="s">
        <v>1178</v>
      </c>
      <c r="D129" s="21"/>
      <c r="E129" s="21" t="s">
        <v>996</v>
      </c>
      <c r="F129" s="21"/>
      <c r="G129" s="21"/>
      <c r="H129" s="21"/>
      <c r="I129" s="21"/>
      <c r="J129" s="21"/>
      <c r="K129" s="21"/>
      <c r="L129" s="21"/>
    </row>
    <row r="130" spans="1:12" ht="29" x14ac:dyDescent="0.35">
      <c r="A130" s="21" t="s">
        <v>1176</v>
      </c>
      <c r="B130" s="21" t="s">
        <v>1179</v>
      </c>
      <c r="C130" s="21" t="s">
        <v>1180</v>
      </c>
      <c r="D130" s="21"/>
      <c r="E130" s="21" t="s">
        <v>996</v>
      </c>
      <c r="F130" s="21"/>
      <c r="G130" s="21"/>
      <c r="H130" s="21"/>
      <c r="I130" s="21"/>
      <c r="J130" s="21"/>
      <c r="K130" s="21"/>
      <c r="L130" s="21"/>
    </row>
    <row r="131" spans="1:12" ht="29" x14ac:dyDescent="0.35">
      <c r="A131" s="21" t="s">
        <v>1176</v>
      </c>
      <c r="B131" s="21" t="s">
        <v>1181</v>
      </c>
      <c r="C131" s="21" t="s">
        <v>1182</v>
      </c>
      <c r="D131" s="21"/>
      <c r="E131" s="21" t="s">
        <v>996</v>
      </c>
      <c r="F131" s="21"/>
      <c r="G131" s="21"/>
      <c r="H131" s="21"/>
      <c r="I131" s="21"/>
      <c r="J131" s="21"/>
      <c r="K131" s="21"/>
      <c r="L131" s="21"/>
    </row>
    <row r="132" spans="1:12" ht="29" x14ac:dyDescent="0.35">
      <c r="A132" s="21" t="s">
        <v>1176</v>
      </c>
      <c r="B132" s="21" t="s">
        <v>1183</v>
      </c>
      <c r="C132" s="21" t="s">
        <v>1184</v>
      </c>
      <c r="D132" s="21"/>
      <c r="E132" s="21" t="s">
        <v>996</v>
      </c>
      <c r="F132" s="21"/>
      <c r="G132" s="21"/>
      <c r="H132" s="21"/>
      <c r="I132" s="21"/>
      <c r="J132" s="21"/>
      <c r="K132" s="21"/>
      <c r="L132" s="21"/>
    </row>
    <row r="133" spans="1:12" ht="29" x14ac:dyDescent="0.35">
      <c r="A133" s="21" t="s">
        <v>1176</v>
      </c>
      <c r="B133" s="21" t="s">
        <v>1185</v>
      </c>
      <c r="C133" s="21" t="s">
        <v>1186</v>
      </c>
      <c r="D133" s="21"/>
      <c r="E133" s="21" t="s">
        <v>996</v>
      </c>
      <c r="F133" s="21"/>
      <c r="G133" s="21"/>
      <c r="H133" s="21"/>
      <c r="I133" s="21"/>
      <c r="J133" s="21"/>
      <c r="K133" s="21"/>
      <c r="L133" s="21"/>
    </row>
    <row r="134" spans="1:12" ht="29" x14ac:dyDescent="0.35">
      <c r="A134" s="21" t="s">
        <v>1176</v>
      </c>
      <c r="B134" s="21" t="s">
        <v>1187</v>
      </c>
      <c r="C134" s="21" t="s">
        <v>1188</v>
      </c>
      <c r="D134" s="21"/>
      <c r="E134" s="21" t="s">
        <v>996</v>
      </c>
      <c r="F134" s="21"/>
      <c r="G134" s="21"/>
      <c r="H134" s="21"/>
      <c r="I134" s="21"/>
      <c r="J134" s="21"/>
      <c r="K134" s="21"/>
      <c r="L134" s="21"/>
    </row>
    <row r="135" spans="1:12" ht="29" x14ac:dyDescent="0.35">
      <c r="A135" s="21" t="s">
        <v>1189</v>
      </c>
      <c r="B135" s="21" t="s">
        <v>1190</v>
      </c>
      <c r="C135" s="21" t="s">
        <v>1191</v>
      </c>
      <c r="D135" s="21"/>
      <c r="E135" s="21" t="s">
        <v>996</v>
      </c>
      <c r="F135" s="21"/>
      <c r="G135" s="21"/>
      <c r="H135" s="21"/>
      <c r="I135" s="21"/>
      <c r="J135" s="21"/>
      <c r="K135" s="21"/>
      <c r="L135" s="21"/>
    </row>
    <row r="136" spans="1:12" ht="29" x14ac:dyDescent="0.35">
      <c r="A136" s="21" t="s">
        <v>1189</v>
      </c>
      <c r="B136" s="21" t="s">
        <v>1192</v>
      </c>
      <c r="C136" s="21" t="s">
        <v>1193</v>
      </c>
      <c r="D136" s="21"/>
      <c r="E136" s="21" t="s">
        <v>996</v>
      </c>
      <c r="F136" s="21"/>
      <c r="G136" s="21"/>
      <c r="H136" s="21"/>
      <c r="I136" s="21"/>
      <c r="J136" s="21"/>
      <c r="K136" s="21"/>
      <c r="L136" s="21"/>
    </row>
    <row r="137" spans="1:12" ht="29" x14ac:dyDescent="0.35">
      <c r="A137" s="21" t="s">
        <v>1189</v>
      </c>
      <c r="B137" s="21" t="s">
        <v>1194</v>
      </c>
      <c r="C137" s="21" t="s">
        <v>1195</v>
      </c>
      <c r="D137" s="21"/>
      <c r="E137" s="21" t="s">
        <v>996</v>
      </c>
      <c r="F137" s="21"/>
      <c r="G137" s="21"/>
      <c r="H137" s="21"/>
      <c r="I137" s="21"/>
      <c r="J137" s="21"/>
      <c r="K137" s="21"/>
      <c r="L137" s="21"/>
    </row>
    <row r="138" spans="1:12" ht="29" x14ac:dyDescent="0.35">
      <c r="A138" s="21" t="s">
        <v>1189</v>
      </c>
      <c r="B138" s="21" t="s">
        <v>1196</v>
      </c>
      <c r="C138" s="21" t="s">
        <v>1197</v>
      </c>
      <c r="D138" s="21"/>
      <c r="E138" s="21" t="s">
        <v>996</v>
      </c>
      <c r="F138" s="21"/>
      <c r="G138" s="21"/>
      <c r="H138" s="21"/>
      <c r="I138" s="21"/>
      <c r="J138" s="21"/>
      <c r="K138" s="21"/>
      <c r="L138" s="21"/>
    </row>
    <row r="139" spans="1:12" ht="29" x14ac:dyDescent="0.35">
      <c r="A139" s="21" t="s">
        <v>1189</v>
      </c>
      <c r="B139" s="21" t="s">
        <v>1198</v>
      </c>
      <c r="C139" s="21" t="s">
        <v>1199</v>
      </c>
      <c r="D139" s="21"/>
      <c r="E139" s="21" t="s">
        <v>996</v>
      </c>
      <c r="F139" s="21"/>
      <c r="G139" s="21"/>
      <c r="H139" s="21"/>
      <c r="I139" s="21"/>
      <c r="J139" s="21"/>
      <c r="K139" s="21"/>
      <c r="L139" s="21"/>
    </row>
    <row r="140" spans="1:12" ht="29" x14ac:dyDescent="0.35">
      <c r="A140" s="21" t="s">
        <v>1189</v>
      </c>
      <c r="B140" s="21" t="s">
        <v>1200</v>
      </c>
      <c r="C140" s="21" t="s">
        <v>1201</v>
      </c>
      <c r="D140" s="21"/>
      <c r="E140" s="21" t="s">
        <v>996</v>
      </c>
      <c r="F140" s="21"/>
      <c r="G140" s="21"/>
      <c r="H140" s="21"/>
      <c r="I140" s="21"/>
      <c r="J140" s="21"/>
      <c r="K140" s="21"/>
      <c r="L140" s="21"/>
    </row>
    <row r="141" spans="1:12" ht="29" x14ac:dyDescent="0.35">
      <c r="A141" s="21" t="s">
        <v>1202</v>
      </c>
      <c r="B141" s="21" t="s">
        <v>1203</v>
      </c>
      <c r="C141" s="21" t="s">
        <v>1204</v>
      </c>
      <c r="D141" s="21"/>
      <c r="E141" s="21" t="s">
        <v>996</v>
      </c>
      <c r="F141" s="21"/>
      <c r="G141" s="21"/>
      <c r="H141" s="21"/>
      <c r="I141" s="21"/>
      <c r="J141" s="21"/>
      <c r="K141" s="21"/>
      <c r="L141" s="21"/>
    </row>
    <row r="142" spans="1:12" ht="29" x14ac:dyDescent="0.35">
      <c r="A142" s="21" t="s">
        <v>1202</v>
      </c>
      <c r="B142" s="21" t="s">
        <v>1205</v>
      </c>
      <c r="C142" s="21" t="s">
        <v>1206</v>
      </c>
      <c r="D142" s="21"/>
      <c r="E142" s="21" t="s">
        <v>996</v>
      </c>
      <c r="F142" s="21"/>
      <c r="G142" s="21"/>
      <c r="H142" s="21"/>
      <c r="I142" s="21"/>
      <c r="J142" s="21"/>
      <c r="K142" s="21"/>
      <c r="L142" s="21"/>
    </row>
    <row r="143" spans="1:12" ht="29" x14ac:dyDescent="0.35">
      <c r="A143" s="21" t="s">
        <v>1202</v>
      </c>
      <c r="B143" s="21" t="s">
        <v>1207</v>
      </c>
      <c r="C143" s="21" t="s">
        <v>1208</v>
      </c>
      <c r="D143" s="21"/>
      <c r="E143" s="21" t="s">
        <v>996</v>
      </c>
      <c r="F143" s="21"/>
      <c r="G143" s="21"/>
      <c r="H143" s="21"/>
      <c r="I143" s="21"/>
      <c r="J143" s="21"/>
      <c r="K143" s="21"/>
      <c r="L143" s="21"/>
    </row>
    <row r="144" spans="1:12" ht="29" x14ac:dyDescent="0.35">
      <c r="A144" s="21" t="s">
        <v>1202</v>
      </c>
      <c r="B144" s="21" t="s">
        <v>1209</v>
      </c>
      <c r="C144" s="21" t="s">
        <v>1210</v>
      </c>
      <c r="D144" s="21"/>
      <c r="E144" s="21" t="s">
        <v>996</v>
      </c>
      <c r="F144" s="21"/>
      <c r="G144" s="21"/>
      <c r="H144" s="21"/>
      <c r="I144" s="21"/>
      <c r="J144" s="21"/>
      <c r="K144" s="21"/>
      <c r="L144" s="21"/>
    </row>
    <row r="145" spans="1:12" ht="29" x14ac:dyDescent="0.35">
      <c r="A145" s="21" t="s">
        <v>1202</v>
      </c>
      <c r="B145" s="21" t="s">
        <v>1211</v>
      </c>
      <c r="C145" s="21" t="s">
        <v>1212</v>
      </c>
      <c r="D145" s="21"/>
      <c r="E145" s="21" t="s">
        <v>996</v>
      </c>
      <c r="F145" s="21"/>
      <c r="G145" s="21"/>
      <c r="H145" s="21"/>
      <c r="I145" s="21"/>
      <c r="J145" s="21"/>
      <c r="K145" s="21"/>
      <c r="L145" s="21"/>
    </row>
    <row r="146" spans="1:12" ht="29" x14ac:dyDescent="0.35">
      <c r="A146" s="21" t="s">
        <v>1202</v>
      </c>
      <c r="B146" s="21" t="s">
        <v>1213</v>
      </c>
      <c r="C146" s="21" t="s">
        <v>1214</v>
      </c>
      <c r="D146" s="21"/>
      <c r="E146" s="21" t="s">
        <v>996</v>
      </c>
      <c r="F146" s="21"/>
      <c r="G146" s="21"/>
      <c r="H146" s="21"/>
      <c r="I146" s="21"/>
      <c r="J146" s="21"/>
      <c r="K146" s="21"/>
      <c r="L146" s="21"/>
    </row>
    <row r="147" spans="1:12" ht="29" x14ac:dyDescent="0.35">
      <c r="A147" s="21" t="s">
        <v>1215</v>
      </c>
      <c r="B147" s="21" t="s">
        <v>1216</v>
      </c>
      <c r="C147" s="21" t="s">
        <v>1217</v>
      </c>
      <c r="D147" s="21"/>
      <c r="E147" s="21" t="s">
        <v>996</v>
      </c>
      <c r="F147" s="21"/>
      <c r="G147" s="21"/>
      <c r="H147" s="21"/>
      <c r="I147" s="21"/>
      <c r="J147" s="21"/>
      <c r="K147" s="21"/>
      <c r="L147" s="21"/>
    </row>
    <row r="148" spans="1:12" ht="29" x14ac:dyDescent="0.35">
      <c r="A148" s="21" t="s">
        <v>1215</v>
      </c>
      <c r="B148" s="21" t="s">
        <v>1218</v>
      </c>
      <c r="C148" s="21" t="s">
        <v>1219</v>
      </c>
      <c r="D148" s="21"/>
      <c r="E148" s="21" t="s">
        <v>996</v>
      </c>
      <c r="F148" s="21"/>
      <c r="G148" s="21"/>
      <c r="H148" s="21"/>
      <c r="I148" s="21"/>
      <c r="J148" s="21"/>
      <c r="K148" s="21"/>
      <c r="L148" s="21"/>
    </row>
    <row r="149" spans="1:12" ht="29" x14ac:dyDescent="0.35">
      <c r="A149" s="21" t="s">
        <v>1215</v>
      </c>
      <c r="B149" s="21" t="s">
        <v>1220</v>
      </c>
      <c r="C149" s="21" t="s">
        <v>1221</v>
      </c>
      <c r="D149" s="21"/>
      <c r="E149" s="21" t="s">
        <v>996</v>
      </c>
      <c r="F149" s="21"/>
      <c r="G149" s="21"/>
      <c r="H149" s="21"/>
      <c r="I149" s="21"/>
      <c r="J149" s="21"/>
      <c r="K149" s="21"/>
      <c r="L149" s="21"/>
    </row>
    <row r="150" spans="1:12" ht="29" x14ac:dyDescent="0.35">
      <c r="A150" s="21" t="s">
        <v>1215</v>
      </c>
      <c r="B150" s="21" t="s">
        <v>1222</v>
      </c>
      <c r="C150" s="21" t="s">
        <v>1223</v>
      </c>
      <c r="D150" s="21"/>
      <c r="E150" s="21" t="s">
        <v>996</v>
      </c>
      <c r="F150" s="21"/>
      <c r="G150" s="21"/>
      <c r="H150" s="21"/>
      <c r="I150" s="21"/>
      <c r="J150" s="21"/>
      <c r="K150" s="21"/>
      <c r="L150" s="21"/>
    </row>
    <row r="151" spans="1:12" ht="24" customHeight="1" x14ac:dyDescent="0.35">
      <c r="A151" s="133" t="s">
        <v>1215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</row>
    <row r="152" spans="1:12" x14ac:dyDescent="0.35">
      <c r="A152" s="21" t="s">
        <v>1215</v>
      </c>
      <c r="B152" s="21" t="s">
        <v>1224</v>
      </c>
      <c r="C152" s="21" t="s">
        <v>1225</v>
      </c>
      <c r="D152" s="21"/>
      <c r="E152" s="21" t="s">
        <v>996</v>
      </c>
      <c r="F152" s="21"/>
      <c r="G152" s="21"/>
      <c r="H152" s="21"/>
      <c r="I152" s="21"/>
      <c r="J152" s="21"/>
      <c r="K152" s="21"/>
      <c r="L152" s="21"/>
    </row>
    <row r="158" spans="1:12" x14ac:dyDescent="0.35">
      <c r="A158" s="98" t="s">
        <v>1226</v>
      </c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</row>
    <row r="160" spans="1:12" ht="29" x14ac:dyDescent="0.35">
      <c r="A160" s="100" t="s">
        <v>1227</v>
      </c>
      <c r="B160" s="100" t="s">
        <v>1228</v>
      </c>
      <c r="C160" s="100" t="s">
        <v>1229</v>
      </c>
      <c r="D160" s="100" t="s">
        <v>389</v>
      </c>
      <c r="E160" s="100" t="s">
        <v>870</v>
      </c>
      <c r="F160" s="100" t="s">
        <v>390</v>
      </c>
      <c r="G160" s="100" t="s">
        <v>990</v>
      </c>
      <c r="H160" s="100" t="s">
        <v>1230</v>
      </c>
      <c r="I160" s="100"/>
      <c r="J160" s="100"/>
      <c r="K160" s="100"/>
      <c r="L160" s="100"/>
    </row>
    <row r="161" spans="1:8" x14ac:dyDescent="0.35">
      <c r="A161" s="21" t="s">
        <v>1231</v>
      </c>
      <c r="B161" s="21"/>
      <c r="C161" s="21"/>
      <c r="D161" s="21"/>
      <c r="E161" s="21"/>
      <c r="F161" s="21"/>
      <c r="G161" s="21"/>
      <c r="H161" s="21"/>
    </row>
    <row r="162" spans="1:8" x14ac:dyDescent="0.35">
      <c r="A162" s="21" t="s">
        <v>1232</v>
      </c>
      <c r="B162" s="21"/>
      <c r="C162" s="21"/>
      <c r="D162" s="21"/>
      <c r="E162" s="21"/>
      <c r="F162" s="21"/>
      <c r="G162" s="21"/>
      <c r="H162" s="21"/>
    </row>
    <row r="163" spans="1:8" x14ac:dyDescent="0.35">
      <c r="A163" s="21" t="s">
        <v>509</v>
      </c>
      <c r="B163" s="21"/>
      <c r="C163" s="21"/>
      <c r="D163" s="21"/>
      <c r="E163" s="21"/>
      <c r="F163" s="21"/>
      <c r="G163" s="21"/>
      <c r="H163" s="21"/>
    </row>
    <row r="164" spans="1:8" x14ac:dyDescent="0.35">
      <c r="A164" s="21" t="s">
        <v>1233</v>
      </c>
      <c r="B164" s="21"/>
      <c r="C164" s="21"/>
      <c r="D164" s="21"/>
      <c r="E164" s="21"/>
      <c r="F164" s="21"/>
      <c r="G164" s="21"/>
      <c r="H164" s="21"/>
    </row>
    <row r="165" spans="1:8" x14ac:dyDescent="0.35">
      <c r="A165" s="21" t="s">
        <v>1234</v>
      </c>
      <c r="B165" s="21"/>
      <c r="C165" s="21"/>
      <c r="D165" s="21"/>
      <c r="E165" s="21"/>
      <c r="F165" s="21"/>
      <c r="G165" s="21"/>
      <c r="H165" s="21"/>
    </row>
    <row r="166" spans="1:8" x14ac:dyDescent="0.35">
      <c r="A166" s="21" t="s">
        <v>1235</v>
      </c>
      <c r="B166" s="21"/>
      <c r="C166" s="21"/>
      <c r="D166" s="21"/>
      <c r="E166" s="21"/>
      <c r="F166" s="21"/>
      <c r="G166" s="21"/>
      <c r="H166" s="21"/>
    </row>
    <row r="167" spans="1:8" x14ac:dyDescent="0.35">
      <c r="A167" s="21" t="s">
        <v>1236</v>
      </c>
      <c r="B167" s="21"/>
      <c r="C167" s="21"/>
      <c r="D167" s="21"/>
      <c r="E167" s="21"/>
      <c r="F167" s="21"/>
      <c r="G167" s="21"/>
      <c r="H167" s="21"/>
    </row>
    <row r="168" spans="1:8" x14ac:dyDescent="0.35">
      <c r="A168" s="21" t="s">
        <v>1237</v>
      </c>
      <c r="B168" s="21"/>
      <c r="C168" s="21"/>
      <c r="D168" s="21"/>
      <c r="E168" s="21"/>
      <c r="F168" s="21"/>
      <c r="G168" s="21"/>
      <c r="H168" s="21"/>
    </row>
    <row r="169" spans="1:8" x14ac:dyDescent="0.35">
      <c r="A169" s="21" t="s">
        <v>1238</v>
      </c>
      <c r="B169" s="21"/>
      <c r="C169" s="21"/>
      <c r="D169" s="21"/>
      <c r="E169" s="21"/>
      <c r="F169" s="21"/>
      <c r="G169" s="21"/>
      <c r="H169" s="21"/>
    </row>
    <row r="170" spans="1:8" x14ac:dyDescent="0.35">
      <c r="A170" s="21" t="s">
        <v>1239</v>
      </c>
      <c r="B170" s="21"/>
      <c r="C170" s="21"/>
      <c r="D170" s="21"/>
      <c r="E170" s="21"/>
      <c r="F170" s="21"/>
      <c r="G170" s="21"/>
      <c r="H170" s="21"/>
    </row>
    <row r="171" spans="1:8" x14ac:dyDescent="0.35">
      <c r="A171" s="21" t="s">
        <v>1240</v>
      </c>
      <c r="B171" s="21"/>
      <c r="C171" s="21"/>
      <c r="D171" s="21"/>
      <c r="E171" s="21"/>
      <c r="F171" s="21"/>
      <c r="G171" s="21"/>
      <c r="H171" s="21"/>
    </row>
    <row r="172" spans="1:8" x14ac:dyDescent="0.35">
      <c r="A172" s="21" t="s">
        <v>1241</v>
      </c>
      <c r="B172" s="21"/>
      <c r="C172" s="21"/>
      <c r="D172" s="21"/>
      <c r="E172" s="21"/>
      <c r="F172" s="21"/>
      <c r="G172" s="21"/>
      <c r="H172" s="21"/>
    </row>
    <row r="173" spans="1:8" x14ac:dyDescent="0.35">
      <c r="A173" s="21" t="s">
        <v>1242</v>
      </c>
      <c r="B173" s="21"/>
      <c r="C173" s="21"/>
      <c r="D173" s="21"/>
      <c r="E173" s="21"/>
      <c r="F173" s="21"/>
      <c r="G173" s="21"/>
      <c r="H173" s="21"/>
    </row>
    <row r="174" spans="1:8" x14ac:dyDescent="0.35">
      <c r="A174" s="21" t="s">
        <v>1243</v>
      </c>
      <c r="B174" s="21"/>
      <c r="C174" s="21"/>
      <c r="D174" s="21"/>
      <c r="E174" s="21"/>
      <c r="F174" s="21"/>
      <c r="G174" s="21"/>
      <c r="H174" s="21"/>
    </row>
    <row r="175" spans="1:8" x14ac:dyDescent="0.35">
      <c r="A175" s="21" t="s">
        <v>1244</v>
      </c>
      <c r="B175" s="21"/>
      <c r="C175" s="21"/>
      <c r="D175" s="21"/>
      <c r="E175" s="21"/>
      <c r="F175" s="21"/>
      <c r="G175" s="21"/>
      <c r="H175" s="21"/>
    </row>
    <row r="176" spans="1:8" x14ac:dyDescent="0.35">
      <c r="A176" s="21" t="s">
        <v>1245</v>
      </c>
      <c r="B176" s="21"/>
      <c r="C176" s="21"/>
      <c r="D176" s="21"/>
      <c r="E176" s="21"/>
      <c r="F176" s="21"/>
      <c r="G176" s="21"/>
      <c r="H176" s="21"/>
    </row>
    <row r="177" spans="1:12" x14ac:dyDescent="0.35">
      <c r="A177" s="21" t="s">
        <v>1246</v>
      </c>
      <c r="B177" s="21"/>
      <c r="C177" s="21"/>
      <c r="D177" s="21"/>
      <c r="E177" s="21"/>
      <c r="F177" s="21"/>
      <c r="G177" s="21"/>
      <c r="H177" s="21"/>
    </row>
    <row r="178" spans="1:12" x14ac:dyDescent="0.35">
      <c r="A178" s="21" t="s">
        <v>1247</v>
      </c>
      <c r="B178" s="21"/>
      <c r="C178" s="21"/>
      <c r="D178" s="21"/>
      <c r="E178" s="21"/>
      <c r="F178" s="21"/>
      <c r="G178" s="21"/>
      <c r="H178" s="21"/>
    </row>
    <row r="179" spans="1:12" ht="24" customHeight="1" x14ac:dyDescent="0.35">
      <c r="A179" s="133" t="s">
        <v>1248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</row>
    <row r="180" spans="1:12" x14ac:dyDescent="0.35">
      <c r="A180" s="21" t="s">
        <v>1249</v>
      </c>
      <c r="B180" s="21"/>
      <c r="C180" s="21"/>
      <c r="D180" s="21"/>
      <c r="E180" s="21"/>
      <c r="F180" s="21"/>
      <c r="G180" s="21"/>
      <c r="H180" s="21"/>
    </row>
    <row r="186" spans="1:12" x14ac:dyDescent="0.35">
      <c r="A186" s="98" t="s">
        <v>1250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</row>
    <row r="188" spans="1:12" ht="29" x14ac:dyDescent="0.35">
      <c r="A188" s="100" t="s">
        <v>1251</v>
      </c>
      <c r="B188" s="100" t="s">
        <v>1252</v>
      </c>
      <c r="C188" s="100" t="s">
        <v>1253</v>
      </c>
      <c r="D188" s="100" t="s">
        <v>1254</v>
      </c>
      <c r="E188" s="100" t="s">
        <v>870</v>
      </c>
      <c r="F188" s="100" t="s">
        <v>1255</v>
      </c>
      <c r="G188" s="100" t="s">
        <v>338</v>
      </c>
    </row>
    <row r="189" spans="1:12" x14ac:dyDescent="0.35">
      <c r="A189" s="21" t="s">
        <v>428</v>
      </c>
      <c r="B189" s="21"/>
      <c r="C189" s="21"/>
      <c r="D189" s="21"/>
      <c r="E189" s="21"/>
      <c r="F189" s="21"/>
      <c r="G189" s="21"/>
    </row>
    <row r="190" spans="1:12" x14ac:dyDescent="0.35">
      <c r="A190" s="21" t="s">
        <v>582</v>
      </c>
      <c r="B190" s="21"/>
      <c r="C190" s="21"/>
      <c r="D190" s="21"/>
      <c r="E190" s="21"/>
      <c r="F190" s="21"/>
      <c r="G190" s="21"/>
    </row>
    <row r="191" spans="1:12" x14ac:dyDescent="0.35">
      <c r="A191" s="21" t="s">
        <v>435</v>
      </c>
      <c r="B191" s="21"/>
      <c r="C191" s="21"/>
      <c r="D191" s="21"/>
      <c r="E191" s="21"/>
      <c r="F191" s="21"/>
      <c r="G191" s="21"/>
    </row>
    <row r="192" spans="1:12" x14ac:dyDescent="0.35">
      <c r="A192" s="21" t="s">
        <v>93</v>
      </c>
      <c r="B192" s="21"/>
      <c r="C192" s="21"/>
      <c r="D192" s="21"/>
      <c r="E192" s="21"/>
      <c r="F192" s="21"/>
      <c r="G192" s="21"/>
    </row>
    <row r="193" spans="1:12" x14ac:dyDescent="0.35">
      <c r="A193" s="21" t="s">
        <v>431</v>
      </c>
      <c r="B193" s="21"/>
      <c r="C193" s="21"/>
      <c r="D193" s="21"/>
      <c r="E193" s="21"/>
      <c r="F193" s="21"/>
      <c r="G193" s="21"/>
    </row>
    <row r="194" spans="1:12" x14ac:dyDescent="0.35">
      <c r="A194" s="21" t="s">
        <v>97</v>
      </c>
      <c r="B194" s="21"/>
      <c r="C194" s="21"/>
      <c r="D194" s="21"/>
      <c r="E194" s="21"/>
      <c r="F194" s="21"/>
      <c r="G194" s="21"/>
    </row>
    <row r="195" spans="1:12" x14ac:dyDescent="0.35">
      <c r="A195" s="21" t="s">
        <v>100</v>
      </c>
      <c r="B195" s="21"/>
      <c r="C195" s="21"/>
      <c r="D195" s="21"/>
      <c r="E195" s="21"/>
      <c r="F195" s="21"/>
      <c r="G195" s="21"/>
    </row>
    <row r="196" spans="1:12" x14ac:dyDescent="0.35">
      <c r="A196" s="21" t="s">
        <v>1176</v>
      </c>
      <c r="B196" s="21"/>
      <c r="C196" s="21"/>
      <c r="D196" s="21"/>
      <c r="E196" s="21"/>
      <c r="F196" s="21"/>
      <c r="G196" s="21"/>
    </row>
    <row r="197" spans="1:12" x14ac:dyDescent="0.35">
      <c r="A197" s="21" t="s">
        <v>160</v>
      </c>
      <c r="B197" s="21"/>
      <c r="C197" s="21"/>
      <c r="D197" s="21"/>
      <c r="E197" s="21"/>
      <c r="F197" s="21"/>
      <c r="G197" s="21"/>
    </row>
    <row r="198" spans="1:12" x14ac:dyDescent="0.35">
      <c r="A198" s="21" t="s">
        <v>1256</v>
      </c>
      <c r="B198" s="21"/>
      <c r="C198" s="21"/>
      <c r="D198" s="21"/>
      <c r="E198" s="21"/>
      <c r="F198" s="21"/>
      <c r="G198" s="21"/>
    </row>
    <row r="199" spans="1:12" x14ac:dyDescent="0.35">
      <c r="A199" s="21" t="s">
        <v>1257</v>
      </c>
      <c r="B199" s="21"/>
      <c r="C199" s="21"/>
      <c r="D199" s="21"/>
      <c r="E199" s="21"/>
      <c r="F199" s="21"/>
      <c r="G199" s="21"/>
    </row>
    <row r="200" spans="1:12" x14ac:dyDescent="0.35">
      <c r="A200" s="21" t="s">
        <v>1258</v>
      </c>
      <c r="B200" s="21"/>
      <c r="C200" s="21"/>
      <c r="D200" s="21"/>
      <c r="E200" s="21"/>
      <c r="F200" s="21"/>
      <c r="G200" s="21"/>
    </row>
    <row r="201" spans="1:12" x14ac:dyDescent="0.35">
      <c r="A201" s="21" t="s">
        <v>116</v>
      </c>
      <c r="B201" s="21"/>
      <c r="C201" s="21"/>
      <c r="D201" s="21"/>
      <c r="E201" s="21"/>
      <c r="F201" s="21"/>
      <c r="G201" s="21"/>
    </row>
    <row r="202" spans="1:12" x14ac:dyDescent="0.35">
      <c r="A202" s="21" t="s">
        <v>129</v>
      </c>
      <c r="B202" s="21"/>
      <c r="C202" s="21"/>
      <c r="D202" s="21"/>
      <c r="E202" s="21"/>
      <c r="F202" s="21"/>
      <c r="G202" s="21"/>
    </row>
    <row r="203" spans="1:12" x14ac:dyDescent="0.35">
      <c r="A203" s="21" t="s">
        <v>437</v>
      </c>
      <c r="B203" s="21"/>
      <c r="C203" s="21"/>
      <c r="D203" s="21"/>
      <c r="E203" s="21"/>
      <c r="F203" s="21"/>
      <c r="G203" s="21"/>
    </row>
    <row r="204" spans="1:12" x14ac:dyDescent="0.35">
      <c r="A204" s="21" t="s">
        <v>125</v>
      </c>
      <c r="B204" s="21"/>
      <c r="C204" s="21"/>
      <c r="D204" s="21"/>
      <c r="E204" s="21"/>
      <c r="F204" s="21"/>
      <c r="G204" s="21"/>
    </row>
    <row r="205" spans="1:12" x14ac:dyDescent="0.35">
      <c r="A205" s="21" t="s">
        <v>442</v>
      </c>
      <c r="B205" s="21"/>
      <c r="C205" s="21"/>
      <c r="D205" s="21"/>
      <c r="E205" s="21"/>
      <c r="F205" s="21"/>
      <c r="G205" s="21"/>
    </row>
    <row r="206" spans="1:12" x14ac:dyDescent="0.35">
      <c r="A206" s="21" t="s">
        <v>1259</v>
      </c>
      <c r="B206" s="21"/>
      <c r="C206" s="21"/>
      <c r="D206" s="21"/>
      <c r="E206" s="21"/>
      <c r="F206" s="21"/>
      <c r="G206" s="21"/>
    </row>
    <row r="207" spans="1:12" ht="24" customHeight="1" x14ac:dyDescent="0.35">
      <c r="A207" s="133" t="s">
        <v>1260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</row>
    <row r="208" spans="1:12" x14ac:dyDescent="0.35">
      <c r="A208" s="21" t="s">
        <v>439</v>
      </c>
      <c r="B208" s="21"/>
      <c r="C208" s="21"/>
      <c r="D208" s="21"/>
      <c r="E208" s="21"/>
      <c r="F208" s="21"/>
      <c r="G208" s="21"/>
    </row>
    <row r="214" spans="1:12" x14ac:dyDescent="0.35">
      <c r="A214" s="98" t="s">
        <v>1261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</row>
    <row r="216" spans="1:12" x14ac:dyDescent="0.35">
      <c r="A216" s="100" t="s">
        <v>1262</v>
      </c>
      <c r="B216" s="100" t="s">
        <v>1263</v>
      </c>
      <c r="C216" s="100" t="s">
        <v>292</v>
      </c>
      <c r="D216" s="100" t="s">
        <v>371</v>
      </c>
      <c r="E216" s="100" t="s">
        <v>360</v>
      </c>
      <c r="F216" s="100" t="s">
        <v>1264</v>
      </c>
      <c r="G216" s="100" t="s">
        <v>990</v>
      </c>
      <c r="H216" s="100" t="s">
        <v>338</v>
      </c>
    </row>
    <row r="217" spans="1:12" x14ac:dyDescent="0.35">
      <c r="A217" t="s">
        <v>1265</v>
      </c>
    </row>
    <row r="218" spans="1:12" x14ac:dyDescent="0.35">
      <c r="A218" t="s">
        <v>1266</v>
      </c>
    </row>
    <row r="219" spans="1:12" x14ac:dyDescent="0.35">
      <c r="A219" t="s">
        <v>1267</v>
      </c>
    </row>
    <row r="220" spans="1:12" x14ac:dyDescent="0.35">
      <c r="A220" t="s">
        <v>1268</v>
      </c>
    </row>
    <row r="221" spans="1:12" x14ac:dyDescent="0.35">
      <c r="A221" t="s">
        <v>1269</v>
      </c>
    </row>
    <row r="222" spans="1:12" x14ac:dyDescent="0.35">
      <c r="A222" t="s">
        <v>1270</v>
      </c>
    </row>
    <row r="223" spans="1:12" ht="24" customHeight="1" x14ac:dyDescent="0.35">
      <c r="A223" s="129" t="s">
        <v>1271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</row>
    <row r="224" spans="1:12" x14ac:dyDescent="0.35">
      <c r="A224" t="s">
        <v>1272</v>
      </c>
    </row>
    <row r="230" spans="1:12" x14ac:dyDescent="0.35">
      <c r="A230" s="98" t="s">
        <v>1273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2" spans="1:12" ht="29" x14ac:dyDescent="0.35">
      <c r="A232" s="100" t="s">
        <v>1229</v>
      </c>
      <c r="B232" s="100" t="s">
        <v>1274</v>
      </c>
      <c r="C232" s="100" t="s">
        <v>390</v>
      </c>
      <c r="D232" s="100" t="s">
        <v>351</v>
      </c>
      <c r="E232" s="100" t="s">
        <v>352</v>
      </c>
      <c r="F232" s="100" t="s">
        <v>292</v>
      </c>
      <c r="G232" s="100" t="s">
        <v>353</v>
      </c>
      <c r="H232" s="100" t="s">
        <v>338</v>
      </c>
    </row>
    <row r="240" spans="1:12" x14ac:dyDescent="0.3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</row>
    <row r="241" spans="1:12" x14ac:dyDescent="0.3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</row>
    <row r="247" spans="1:12" ht="29" x14ac:dyDescent="0.35">
      <c r="A247" s="106" t="s">
        <v>1275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3"/>
    </row>
    <row r="248" spans="1:12" ht="43.5" x14ac:dyDescent="0.35">
      <c r="A248" s="111" t="s">
        <v>1276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3"/>
    </row>
    <row r="249" spans="1:12" ht="29" x14ac:dyDescent="0.35">
      <c r="A249" s="110" t="s">
        <v>1277</v>
      </c>
      <c r="B249" s="110" t="s">
        <v>1278</v>
      </c>
      <c r="C249" s="110" t="s">
        <v>81</v>
      </c>
      <c r="D249" s="110" t="s">
        <v>615</v>
      </c>
      <c r="E249" s="110" t="s">
        <v>616</v>
      </c>
      <c r="F249" s="110" t="s">
        <v>990</v>
      </c>
      <c r="G249" s="110" t="s">
        <v>1279</v>
      </c>
      <c r="H249" s="110" t="s">
        <v>390</v>
      </c>
      <c r="I249" s="110" t="s">
        <v>351</v>
      </c>
      <c r="J249" s="110" t="s">
        <v>292</v>
      </c>
      <c r="K249" s="110" t="s">
        <v>353</v>
      </c>
      <c r="L249" s="110" t="s">
        <v>619</v>
      </c>
    </row>
    <row r="250" spans="1:12" x14ac:dyDescent="0.35">
      <c r="A250" s="105" t="s">
        <v>1280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x14ac:dyDescent="0.35">
      <c r="A251" s="105" t="s">
        <v>1281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x14ac:dyDescent="0.35">
      <c r="A252" s="105" t="s">
        <v>1282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29" x14ac:dyDescent="0.35">
      <c r="A253" s="105" t="s">
        <v>1283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29" x14ac:dyDescent="0.35">
      <c r="A254" s="105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29" x14ac:dyDescent="0.35">
      <c r="A255" s="105" t="s">
        <v>1285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29" x14ac:dyDescent="0.35">
      <c r="A256" s="105" t="s">
        <v>1286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29" x14ac:dyDescent="0.35">
      <c r="A257" s="105" t="s">
        <v>1287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29" x14ac:dyDescent="0.35">
      <c r="A258" s="105" t="s">
        <v>1288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29" x14ac:dyDescent="0.35">
      <c r="A259" s="105" t="s">
        <v>1289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29" x14ac:dyDescent="0.35">
      <c r="A260" s="105" t="s">
        <v>1290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29" x14ac:dyDescent="0.35">
      <c r="A261" s="105" t="s">
        <v>1291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29" x14ac:dyDescent="0.35">
      <c r="A262" s="105" t="s">
        <v>1292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43.5" x14ac:dyDescent="0.35">
      <c r="A263" s="105" t="s">
        <v>1293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29" x14ac:dyDescent="0.35">
      <c r="A264" s="105" t="s">
        <v>1294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x14ac:dyDescent="0.35">
      <c r="A265" s="105" t="s">
        <v>1295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</sheetData>
  <mergeCells count="9">
    <mergeCell ref="A1:L1"/>
    <mergeCell ref="A17:L17"/>
    <mergeCell ref="A241:L241"/>
    <mergeCell ref="A223:L223"/>
    <mergeCell ref="A35:L35"/>
    <mergeCell ref="A240:L240"/>
    <mergeCell ref="A179:L179"/>
    <mergeCell ref="A151:L151"/>
    <mergeCell ref="A207:L207"/>
  </mergeCells>
  <conditionalFormatting sqref="B12">
    <cfRule type="expression" dxfId="293" priority="12">
      <formula>B12="Green"</formula>
    </cfRule>
    <cfRule type="expression" dxfId="292" priority="13">
      <formula>B12="Amber"</formula>
    </cfRule>
    <cfRule type="expression" dxfId="291" priority="14">
      <formula>B12="Red"</formula>
    </cfRule>
  </conditionalFormatting>
  <conditionalFormatting sqref="B182:B201">
    <cfRule type="expression" dxfId="290" priority="3">
      <formula>B182="Pass"</formula>
    </cfRule>
  </conditionalFormatting>
  <conditionalFormatting sqref="C20:C43">
    <cfRule type="expression" dxfId="289" priority="8">
      <formula>C20="Green"</formula>
    </cfRule>
    <cfRule type="expression" dxfId="288" priority="9">
      <formula>C20="Amber"</formula>
    </cfRule>
    <cfRule type="expression" dxfId="287" priority="10">
      <formula>C20="Red"</formula>
    </cfRule>
    <cfRule type="expression" dxfId="286" priority="11">
      <formula>C20="N/A"</formula>
    </cfRule>
  </conditionalFormatting>
  <conditionalFormatting sqref="C20:C45">
    <cfRule type="expression" dxfId="285" priority="4">
      <formula>ISNUMBER(SEARCH("Green",C20))</formula>
    </cfRule>
    <cfRule type="expression" dxfId="284" priority="5">
      <formula>ISNUMBER(SEARCH("Amber",C20))</formula>
    </cfRule>
    <cfRule type="expression" dxfId="283" priority="6">
      <formula>ISNUMBER(SEARCH("Red",C20))</formula>
    </cfRule>
    <cfRule type="expression" dxfId="282" priority="7">
      <formula>C20="N/A"</formula>
    </cfRule>
  </conditionalFormatting>
  <conditionalFormatting sqref="E154:E173">
    <cfRule type="expression" dxfId="281" priority="2">
      <formula>E154="Pass"</formula>
    </cfRule>
  </conditionalFormatting>
  <conditionalFormatting sqref="H38:H145">
    <cfRule type="expression" dxfId="280" priority="1">
      <formula>H38="Pass"</formula>
    </cfRule>
  </conditionalFormatting>
  <dataValidations count="8">
    <dataValidation type="list" sqref="H38:H145 E154:E173" xr:uid="{00000000-0002-0000-2B00-000000000000}">
      <formula1>"Pass,Developing,Fail,N/A"</formula1>
    </dataValidation>
    <dataValidation type="list" sqref="F38:F145" xr:uid="{00000000-0002-0000-2B00-000001000000}">
      <formula1>"1,2,3,4,5"</formula1>
    </dataValidation>
    <dataValidation type="list" sqref="B182:B201" xr:uid="{00000000-0002-0000-2B00-000003000000}">
      <formula1>"Complete,In Progress,Not Started,N/A"</formula1>
    </dataValidation>
    <dataValidation type="list" allowBlank="1" sqref="C243:E258" xr:uid="{00000000-0002-0000-2B00-000004000000}">
      <formula1>"Yes,No,N/A"</formula1>
    </dataValidation>
    <dataValidation type="list" allowBlank="1" sqref="C20:C45" xr:uid="{00000000-0002-0000-2B00-000005000000}">
      <formula1>"Green - Received,Amber - Awaiting,Red - Missing,N/A"</formula1>
    </dataValidation>
    <dataValidation type="list" sqref="C20:C43" xr:uid="{00000000-0002-0000-2B00-000006000000}">
      <formula1>"Green,Amber,Red,N/A"</formula1>
    </dataValidation>
    <dataValidation type="list" sqref="F42:F230" xr:uid="{00000000-0002-0000-2B00-000007000000}">
      <formula1>"1,2,3,4,5,N/A"</formula1>
    </dataValidation>
    <dataValidation type="list" sqref="H42:H230 H235:H255" xr:uid="{00000000-0002-0000-2B00-000008000000}">
      <formula1>"Pass,Fail,Not Assessed,N/A"</formula1>
    </dataValidation>
  </dataValidation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L265"/>
  <sheetViews>
    <sheetView workbookViewId="0"/>
  </sheetViews>
  <sheetFormatPr defaultRowHeight="14.5" x14ac:dyDescent="0.35"/>
  <cols>
    <col min="1" max="1" width="42" customWidth="1"/>
    <col min="2" max="2" width="36" customWidth="1"/>
    <col min="3" max="3" width="52" customWidth="1"/>
    <col min="4" max="4" width="34" customWidth="1"/>
    <col min="5" max="5" width="30" customWidth="1"/>
    <col min="6" max="6" width="12" customWidth="1"/>
    <col min="7" max="7" width="16" customWidth="1"/>
    <col min="8" max="8" width="14" customWidth="1"/>
    <col min="9" max="9" width="28" customWidth="1"/>
    <col min="10" max="12" width="14" customWidth="1"/>
  </cols>
  <sheetData>
    <row r="1" spans="1:12" ht="30" customHeight="1" x14ac:dyDescent="0.35">
      <c r="A1" s="134" t="s">
        <v>1300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x14ac:dyDescent="0.35">
      <c r="A2" t="s">
        <v>928</v>
      </c>
      <c r="D2" t="s">
        <v>929</v>
      </c>
    </row>
    <row r="4" spans="1:12" x14ac:dyDescent="0.35">
      <c r="A4" s="101" t="s">
        <v>882</v>
      </c>
      <c r="B4" s="101" t="str">
        <f>IF('Induction Employee Register'!A9="","",'Induction Employee Register'!A9)</f>
        <v>SW006</v>
      </c>
      <c r="D4" t="s">
        <v>930</v>
      </c>
      <c r="E4" t="s">
        <v>931</v>
      </c>
      <c r="F4" t="s">
        <v>932</v>
      </c>
      <c r="G4" t="s">
        <v>933</v>
      </c>
      <c r="H4" t="s">
        <v>58</v>
      </c>
      <c r="I4" t="s">
        <v>934</v>
      </c>
      <c r="J4" t="s">
        <v>54</v>
      </c>
      <c r="K4" t="s">
        <v>935</v>
      </c>
      <c r="L4" t="s">
        <v>43</v>
      </c>
    </row>
    <row r="5" spans="1:12" x14ac:dyDescent="0.35">
      <c r="A5" s="101" t="s">
        <v>883</v>
      </c>
      <c r="B5" s="101" t="str">
        <f>IF('Induction Employee Register'!B9="","",'Induction Employee Register'!B9)</f>
        <v/>
      </c>
      <c r="D5" t="s">
        <v>936</v>
      </c>
    </row>
    <row r="6" spans="1:12" x14ac:dyDescent="0.35">
      <c r="A6" s="101" t="s">
        <v>322</v>
      </c>
      <c r="B6" s="101" t="str">
        <f>IF('Induction Employee Register'!C9="","",'Induction Employee Register'!C9)</f>
        <v/>
      </c>
      <c r="D6" t="s">
        <v>937</v>
      </c>
      <c r="E6" t="s">
        <v>938</v>
      </c>
    </row>
    <row r="7" spans="1:12" x14ac:dyDescent="0.35">
      <c r="A7" s="101" t="s">
        <v>323</v>
      </c>
      <c r="B7" s="126" t="str">
        <f>IF('Induction Employee Register'!D9="","",'Induction Employee Register'!D9)</f>
        <v/>
      </c>
      <c r="D7" t="s">
        <v>939</v>
      </c>
      <c r="E7" t="s">
        <v>940</v>
      </c>
    </row>
    <row r="8" spans="1:12" x14ac:dyDescent="0.35">
      <c r="A8" s="101" t="s">
        <v>886</v>
      </c>
      <c r="B8" s="125">
        <f>IFERROR(COUNTIF($H$42:$H$230,"Pass")/(COUNTIF($H$42:$H$230,"Pass")+COUNTIF($H$42:$H$230,"Fail")+COUNTIF($H$42:$H$230,"Not Assessed")),0)</f>
        <v>0</v>
      </c>
      <c r="D8" t="s">
        <v>6</v>
      </c>
      <c r="E8" t="s">
        <v>941</v>
      </c>
    </row>
    <row r="9" spans="1:12" x14ac:dyDescent="0.35">
      <c r="A9" s="101" t="s">
        <v>887</v>
      </c>
      <c r="B9" s="125">
        <f>IFERROR(COUNTIF($H$235:$H$255,"Pass")/(COUNTIF($H$235:$H$255,"Pass")+COUNTIF($H$235:$H$255,"Fail")+COUNTIF($H$235:$H$255,"Not Assessed")),0)</f>
        <v>0</v>
      </c>
      <c r="D9" t="s">
        <v>942</v>
      </c>
      <c r="E9" t="s">
        <v>943</v>
      </c>
    </row>
    <row r="10" spans="1:12" x14ac:dyDescent="0.35">
      <c r="A10" s="101" t="s">
        <v>888</v>
      </c>
      <c r="B10" s="125" t="str">
        <f>IFERROR(IF($B$5="","",IF(INDEX('Mandatory Training Dashboard'!$D$5:$D$53,MATCH($B$5,'Mandatory Training Dashboard'!$A$5:$A$53,0))&gt;1,INDEX('Mandatory Training Dashboard'!$D$5:$D$53,MATCH($B$5,'Mandatory Training Dashboard'!$A$5:$A$53,0))/100,INDEX('Mandatory Training Dashboard'!$D$5:$D$53,MATCH($B$5,'Mandatory Training Dashboard'!$A$5:$A$53,0)))),0)</f>
        <v/>
      </c>
      <c r="D10" t="s">
        <v>944</v>
      </c>
      <c r="E10" t="s">
        <v>945</v>
      </c>
    </row>
    <row r="11" spans="1:12" x14ac:dyDescent="0.35">
      <c r="A11" s="101" t="s">
        <v>893</v>
      </c>
      <c r="B11" s="125">
        <f>IFERROR(AVERAGE(B8:B10),0)</f>
        <v>0</v>
      </c>
      <c r="D11" t="s">
        <v>946</v>
      </c>
      <c r="E11" t="s">
        <v>947</v>
      </c>
    </row>
    <row r="12" spans="1:12" x14ac:dyDescent="0.35">
      <c r="A12" s="101" t="s">
        <v>948</v>
      </c>
      <c r="B12" s="101" t="str">
        <f>IF(B11&gt;=0.9,"Green",IF(B11&gt;=0.75,"Amber","Red"))</f>
        <v>Red</v>
      </c>
      <c r="D12" t="s">
        <v>949</v>
      </c>
      <c r="E12" t="s">
        <v>950</v>
      </c>
    </row>
    <row r="13" spans="1:12" x14ac:dyDescent="0.35">
      <c r="A13" s="101" t="s">
        <v>891</v>
      </c>
      <c r="B13" s="101">
        <f>IF('Induction Employee Register'!N9="","",'Induction Employee Register'!N9)</f>
        <v>0</v>
      </c>
      <c r="D13" t="s">
        <v>951</v>
      </c>
      <c r="E13" t="s">
        <v>952</v>
      </c>
    </row>
    <row r="14" spans="1:12" x14ac:dyDescent="0.35">
      <c r="A14" s="101" t="s">
        <v>892</v>
      </c>
      <c r="B14" s="101" t="str">
        <f>IF('Induction Employee Register'!O9="","",'Induction Employee Register'!O9)</f>
        <v/>
      </c>
    </row>
    <row r="17" spans="1:12" ht="24" customHeight="1" x14ac:dyDescent="0.35">
      <c r="A17" s="135" t="s">
        <v>953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9" spans="1:12" ht="29" x14ac:dyDescent="0.35">
      <c r="A19" s="116" t="s">
        <v>954</v>
      </c>
      <c r="B19" s="116" t="s">
        <v>955</v>
      </c>
      <c r="C19" s="116" t="s">
        <v>956</v>
      </c>
      <c r="D19" s="116" t="s">
        <v>957</v>
      </c>
      <c r="E19" s="116" t="s">
        <v>958</v>
      </c>
      <c r="F19" s="116" t="s">
        <v>353</v>
      </c>
      <c r="G19" s="116" t="s">
        <v>335</v>
      </c>
      <c r="H19" s="116" t="s">
        <v>338</v>
      </c>
      <c r="I19" s="117" t="s">
        <v>959</v>
      </c>
      <c r="J19" t="s">
        <v>960</v>
      </c>
      <c r="K19" t="s">
        <v>300</v>
      </c>
      <c r="L19" t="s">
        <v>961</v>
      </c>
    </row>
    <row r="20" spans="1:12" x14ac:dyDescent="0.35">
      <c r="A20" s="118" t="s">
        <v>962</v>
      </c>
      <c r="B20" s="118" t="s">
        <v>81</v>
      </c>
      <c r="C20" s="118"/>
      <c r="D20" s="127"/>
      <c r="E20" s="127"/>
      <c r="F20" s="118"/>
      <c r="G20" s="118"/>
      <c r="H20" s="118"/>
      <c r="J20" t="s">
        <v>310</v>
      </c>
      <c r="K20" t="str">
        <f>IF('Induction Employee Register'!W9="","",'Induction Employee Register'!W9)</f>
        <v/>
      </c>
      <c r="L20" t="s">
        <v>963</v>
      </c>
    </row>
    <row r="21" spans="1:12" x14ac:dyDescent="0.35">
      <c r="A21" s="118" t="s">
        <v>964</v>
      </c>
      <c r="B21" s="118" t="s">
        <v>81</v>
      </c>
      <c r="C21" s="118"/>
      <c r="D21" s="127"/>
      <c r="E21" s="127"/>
      <c r="F21" s="118"/>
      <c r="G21" s="118"/>
      <c r="H21" s="118"/>
      <c r="J21" t="s">
        <v>311</v>
      </c>
      <c r="K21" t="str">
        <f>IF('Induction Employee Register'!X9="","",'Induction Employee Register'!X9)</f>
        <v/>
      </c>
      <c r="L21" t="s">
        <v>965</v>
      </c>
    </row>
    <row r="22" spans="1:12" x14ac:dyDescent="0.35">
      <c r="A22" s="118" t="s">
        <v>966</v>
      </c>
      <c r="B22" s="118" t="s">
        <v>81</v>
      </c>
      <c r="C22" s="118"/>
      <c r="D22" s="127"/>
      <c r="E22" s="127"/>
      <c r="F22" s="118"/>
      <c r="G22" s="118"/>
      <c r="H22" s="118"/>
      <c r="J22" t="s">
        <v>312</v>
      </c>
      <c r="K22" t="str">
        <f>IF('Induction Employee Register'!Y9="","",'Induction Employee Register'!Y9)</f>
        <v/>
      </c>
      <c r="L22" t="s">
        <v>967</v>
      </c>
    </row>
    <row r="23" spans="1:12" x14ac:dyDescent="0.35">
      <c r="A23" s="118" t="s">
        <v>52</v>
      </c>
      <c r="B23" s="118" t="s">
        <v>81</v>
      </c>
      <c r="C23" s="118"/>
      <c r="D23" s="127"/>
      <c r="E23" s="127"/>
      <c r="F23" s="118"/>
      <c r="G23" s="118"/>
      <c r="H23" s="118"/>
      <c r="J23" t="s">
        <v>313</v>
      </c>
      <c r="K23" t="str">
        <f>IF('Induction Employee Register'!Z9="","",'Induction Employee Register'!Z9)</f>
        <v/>
      </c>
      <c r="L23" t="s">
        <v>968</v>
      </c>
    </row>
    <row r="24" spans="1:12" x14ac:dyDescent="0.35">
      <c r="A24" s="118" t="s">
        <v>50</v>
      </c>
      <c r="B24" s="118" t="s">
        <v>81</v>
      </c>
      <c r="C24" s="118"/>
      <c r="D24" s="127"/>
      <c r="E24" s="127"/>
      <c r="F24" s="118"/>
      <c r="G24" s="118"/>
      <c r="H24" s="118"/>
      <c r="J24" t="s">
        <v>314</v>
      </c>
      <c r="K24" t="str">
        <f>IF('Induction Employee Register'!AA9="","",'Induction Employee Register'!AA9)</f>
        <v/>
      </c>
      <c r="L24" t="s">
        <v>968</v>
      </c>
    </row>
    <row r="25" spans="1:12" x14ac:dyDescent="0.35">
      <c r="A25" s="118" t="s">
        <v>329</v>
      </c>
      <c r="B25" s="118" t="s">
        <v>81</v>
      </c>
      <c r="C25" s="118"/>
      <c r="D25" s="127"/>
      <c r="E25" s="127"/>
      <c r="F25" s="118"/>
      <c r="G25" s="118"/>
      <c r="H25" s="118"/>
      <c r="J25" t="s">
        <v>315</v>
      </c>
      <c r="K25" t="str">
        <f>IF('Induction Employee Register'!AB9="","",'Induction Employee Register'!AB9)</f>
        <v/>
      </c>
      <c r="L25" t="s">
        <v>967</v>
      </c>
    </row>
    <row r="26" spans="1:12" x14ac:dyDescent="0.35">
      <c r="A26" s="118" t="s">
        <v>969</v>
      </c>
      <c r="B26" s="118" t="s">
        <v>81</v>
      </c>
      <c r="C26" s="118"/>
      <c r="D26" s="127"/>
      <c r="E26" s="127"/>
      <c r="F26" s="118"/>
      <c r="G26" s="118"/>
      <c r="H26" s="118"/>
      <c r="J26" t="s">
        <v>316</v>
      </c>
      <c r="K26" t="str">
        <f>IF('Induction Employee Register'!AC9="","",'Induction Employee Register'!AC9)</f>
        <v/>
      </c>
      <c r="L26" t="s">
        <v>967</v>
      </c>
    </row>
    <row r="27" spans="1:12" x14ac:dyDescent="0.35">
      <c r="A27" s="118" t="s">
        <v>970</v>
      </c>
      <c r="B27" s="118" t="s">
        <v>81</v>
      </c>
      <c r="C27" s="118"/>
      <c r="D27" s="127"/>
      <c r="E27" s="127"/>
      <c r="F27" s="118"/>
      <c r="G27" s="118"/>
      <c r="H27" s="118"/>
    </row>
    <row r="28" spans="1:12" x14ac:dyDescent="0.35">
      <c r="A28" s="118" t="s">
        <v>971</v>
      </c>
      <c r="B28" s="118" t="s">
        <v>81</v>
      </c>
      <c r="C28" s="118"/>
      <c r="D28" s="127"/>
      <c r="E28" s="127"/>
      <c r="F28" s="118"/>
      <c r="G28" s="118"/>
      <c r="H28" s="118"/>
    </row>
    <row r="29" spans="1:12" x14ac:dyDescent="0.35">
      <c r="A29" s="118" t="s">
        <v>972</v>
      </c>
      <c r="B29" s="118" t="s">
        <v>81</v>
      </c>
      <c r="C29" s="118"/>
      <c r="D29" s="127"/>
      <c r="E29" s="127"/>
      <c r="F29" s="118"/>
      <c r="G29" s="118"/>
      <c r="H29" s="118"/>
    </row>
    <row r="30" spans="1:12" x14ac:dyDescent="0.35">
      <c r="A30" s="118" t="s">
        <v>973</v>
      </c>
      <c r="B30" s="118" t="s">
        <v>81</v>
      </c>
      <c r="C30" s="118"/>
      <c r="D30" s="127"/>
      <c r="E30" s="127"/>
      <c r="F30" s="118"/>
      <c r="G30" s="118"/>
      <c r="H30" s="118"/>
    </row>
    <row r="31" spans="1:12" x14ac:dyDescent="0.35">
      <c r="A31" s="118" t="s">
        <v>974</v>
      </c>
      <c r="B31" s="118" t="s">
        <v>81</v>
      </c>
      <c r="C31" s="118"/>
      <c r="D31" s="127"/>
      <c r="E31" s="127"/>
      <c r="F31" s="118"/>
      <c r="G31" s="118"/>
      <c r="H31" s="118"/>
    </row>
    <row r="32" spans="1:12" x14ac:dyDescent="0.35">
      <c r="A32" s="118" t="s">
        <v>975</v>
      </c>
      <c r="B32" s="118" t="s">
        <v>81</v>
      </c>
      <c r="C32" s="118"/>
      <c r="D32" s="127"/>
      <c r="E32" s="127"/>
      <c r="F32" s="118"/>
      <c r="G32" s="118"/>
      <c r="H32" s="118"/>
    </row>
    <row r="33" spans="1:12" x14ac:dyDescent="0.35">
      <c r="A33" s="118" t="s">
        <v>54</v>
      </c>
      <c r="B33" s="118" t="s">
        <v>81</v>
      </c>
      <c r="C33" s="118"/>
      <c r="D33" s="127"/>
      <c r="E33" s="127"/>
      <c r="F33" s="118"/>
      <c r="G33" s="118"/>
      <c r="H33" s="118"/>
    </row>
    <row r="34" spans="1:12" x14ac:dyDescent="0.35">
      <c r="A34" s="119" t="s">
        <v>976</v>
      </c>
      <c r="B34" s="119" t="s">
        <v>81</v>
      </c>
      <c r="C34" s="119"/>
      <c r="D34" s="127"/>
      <c r="E34" s="127"/>
      <c r="F34" s="119"/>
      <c r="G34" s="119"/>
      <c r="H34" s="119"/>
    </row>
    <row r="35" spans="1:12" ht="24" customHeight="1" x14ac:dyDescent="0.35">
      <c r="A35" s="130" t="s">
        <v>977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</row>
    <row r="36" spans="1:12" x14ac:dyDescent="0.35">
      <c r="A36" s="119" t="s">
        <v>978</v>
      </c>
      <c r="B36" s="119" t="s">
        <v>81</v>
      </c>
      <c r="C36" s="119"/>
      <c r="D36" s="127"/>
      <c r="E36" s="127"/>
      <c r="F36" s="119"/>
      <c r="G36" s="119"/>
      <c r="H36" s="119"/>
    </row>
    <row r="37" spans="1:12" x14ac:dyDescent="0.35">
      <c r="A37" s="119" t="s">
        <v>979</v>
      </c>
      <c r="B37" s="119" t="s">
        <v>81</v>
      </c>
      <c r="C37" s="119"/>
      <c r="D37" s="127"/>
      <c r="E37" s="127"/>
      <c r="F37" s="119"/>
      <c r="G37" s="119"/>
      <c r="H37" s="119"/>
    </row>
    <row r="38" spans="1:12" x14ac:dyDescent="0.35">
      <c r="A38" s="119" t="s">
        <v>980</v>
      </c>
      <c r="B38" s="119" t="s">
        <v>81</v>
      </c>
      <c r="C38" s="119"/>
      <c r="D38" s="127"/>
      <c r="E38" s="127"/>
      <c r="F38" s="119"/>
      <c r="G38" s="119"/>
      <c r="H38" s="119"/>
    </row>
    <row r="39" spans="1:12" x14ac:dyDescent="0.35">
      <c r="A39" s="119" t="s">
        <v>981</v>
      </c>
      <c r="B39" s="119" t="s">
        <v>81</v>
      </c>
      <c r="C39" s="119"/>
      <c r="D39" s="127"/>
      <c r="E39" s="127"/>
      <c r="F39" s="119"/>
      <c r="G39" s="119"/>
      <c r="H39" s="119"/>
    </row>
    <row r="40" spans="1:12" x14ac:dyDescent="0.35">
      <c r="A40" s="119" t="s">
        <v>982</v>
      </c>
      <c r="B40" s="119" t="s">
        <v>81</v>
      </c>
      <c r="C40" s="119"/>
      <c r="D40" s="127"/>
      <c r="E40" s="127"/>
      <c r="F40" s="119"/>
      <c r="G40" s="119"/>
      <c r="H40" s="119"/>
    </row>
    <row r="41" spans="1:12" x14ac:dyDescent="0.35">
      <c r="A41" s="118"/>
      <c r="B41" s="118"/>
      <c r="C41" s="118"/>
      <c r="D41" s="127"/>
      <c r="E41" s="127"/>
      <c r="F41" s="118"/>
      <c r="G41" s="118"/>
      <c r="H41" s="118"/>
    </row>
    <row r="42" spans="1:12" x14ac:dyDescent="0.35">
      <c r="A42" s="120" t="s">
        <v>983</v>
      </c>
      <c r="B42" s="118"/>
      <c r="C42" s="118"/>
      <c r="D42" s="127"/>
      <c r="E42" s="127"/>
      <c r="F42" s="118"/>
      <c r="G42" s="118"/>
      <c r="H42" s="118"/>
      <c r="I42" s="96"/>
      <c r="J42" s="96"/>
      <c r="K42" s="96"/>
      <c r="L42" s="96"/>
    </row>
    <row r="43" spans="1:12" x14ac:dyDescent="0.35">
      <c r="A43" s="118"/>
      <c r="B43" s="118"/>
      <c r="C43" s="118"/>
      <c r="D43" s="127"/>
      <c r="E43" s="127"/>
      <c r="F43" s="118"/>
      <c r="G43" s="118"/>
      <c r="H43" s="118"/>
    </row>
    <row r="44" spans="1:12" ht="29" x14ac:dyDescent="0.35">
      <c r="A44" s="116" t="s">
        <v>984</v>
      </c>
      <c r="B44" s="116" t="s">
        <v>985</v>
      </c>
      <c r="C44" s="116" t="s">
        <v>986</v>
      </c>
      <c r="D44" s="116" t="s">
        <v>987</v>
      </c>
      <c r="E44" s="116" t="s">
        <v>988</v>
      </c>
      <c r="F44" s="116" t="s">
        <v>989</v>
      </c>
      <c r="G44" s="116" t="s">
        <v>389</v>
      </c>
      <c r="H44" s="116" t="s">
        <v>870</v>
      </c>
      <c r="I44" s="100" t="s">
        <v>390</v>
      </c>
      <c r="J44" s="100" t="s">
        <v>990</v>
      </c>
      <c r="K44" s="100" t="s">
        <v>991</v>
      </c>
      <c r="L44" s="100" t="s">
        <v>992</v>
      </c>
    </row>
    <row r="45" spans="1:12" ht="29" x14ac:dyDescent="0.35">
      <c r="A45" s="121" t="s">
        <v>993</v>
      </c>
      <c r="B45" s="121" t="s">
        <v>994</v>
      </c>
      <c r="C45" s="121" t="s">
        <v>995</v>
      </c>
      <c r="D45" s="121"/>
      <c r="E45" s="121" t="s">
        <v>996</v>
      </c>
      <c r="F45" s="121"/>
      <c r="G45" s="121"/>
      <c r="H45" s="121"/>
      <c r="I45" s="21"/>
      <c r="J45" s="21"/>
      <c r="K45" s="21"/>
      <c r="L45" s="21"/>
    </row>
    <row r="46" spans="1:12" ht="29" x14ac:dyDescent="0.35">
      <c r="A46" s="21" t="s">
        <v>993</v>
      </c>
      <c r="B46" s="21" t="s">
        <v>997</v>
      </c>
      <c r="C46" s="21" t="s">
        <v>998</v>
      </c>
      <c r="D46" s="21"/>
      <c r="E46" s="21" t="s">
        <v>996</v>
      </c>
      <c r="F46" s="21"/>
      <c r="G46" s="21"/>
      <c r="H46" s="21"/>
      <c r="I46" s="21"/>
      <c r="J46" s="21"/>
      <c r="K46" s="21"/>
      <c r="L46" s="21"/>
    </row>
    <row r="47" spans="1:12" ht="29" x14ac:dyDescent="0.35">
      <c r="A47" s="21" t="s">
        <v>993</v>
      </c>
      <c r="B47" s="21" t="s">
        <v>999</v>
      </c>
      <c r="C47" s="21" t="s">
        <v>1000</v>
      </c>
      <c r="D47" s="21"/>
      <c r="E47" s="21" t="s">
        <v>996</v>
      </c>
      <c r="F47" s="21"/>
      <c r="G47" s="21"/>
      <c r="H47" s="21"/>
      <c r="I47" s="21"/>
      <c r="J47" s="21"/>
      <c r="K47" s="21"/>
      <c r="L47" s="21"/>
    </row>
    <row r="48" spans="1:12" ht="29" x14ac:dyDescent="0.35">
      <c r="A48" s="21" t="s">
        <v>993</v>
      </c>
      <c r="B48" s="21" t="s">
        <v>1001</v>
      </c>
      <c r="C48" s="21" t="s">
        <v>1002</v>
      </c>
      <c r="D48" s="21"/>
      <c r="E48" s="21" t="s">
        <v>996</v>
      </c>
      <c r="F48" s="21"/>
      <c r="G48" s="21"/>
      <c r="H48" s="21"/>
      <c r="I48" s="21"/>
      <c r="J48" s="21"/>
      <c r="K48" s="21"/>
      <c r="L48" s="21"/>
    </row>
    <row r="49" spans="1:12" ht="43.5" x14ac:dyDescent="0.35">
      <c r="A49" s="21" t="s">
        <v>993</v>
      </c>
      <c r="B49" s="21" t="s">
        <v>1003</v>
      </c>
      <c r="C49" s="21" t="s">
        <v>1004</v>
      </c>
      <c r="D49" s="21"/>
      <c r="E49" s="21" t="s">
        <v>996</v>
      </c>
      <c r="F49" s="21"/>
      <c r="G49" s="21"/>
      <c r="H49" s="21"/>
      <c r="I49" s="21"/>
      <c r="J49" s="21"/>
      <c r="K49" s="21"/>
      <c r="L49" s="21"/>
    </row>
    <row r="50" spans="1:12" ht="29" x14ac:dyDescent="0.35">
      <c r="A50" s="21" t="s">
        <v>993</v>
      </c>
      <c r="B50" s="21" t="s">
        <v>1005</v>
      </c>
      <c r="C50" s="21" t="s">
        <v>1006</v>
      </c>
      <c r="D50" s="21"/>
      <c r="E50" s="21" t="s">
        <v>996</v>
      </c>
      <c r="F50" s="21"/>
      <c r="G50" s="21"/>
      <c r="H50" s="21"/>
      <c r="I50" s="21"/>
      <c r="J50" s="21"/>
      <c r="K50" s="21"/>
      <c r="L50" s="21"/>
    </row>
    <row r="51" spans="1:12" ht="43.5" x14ac:dyDescent="0.35">
      <c r="A51" s="21" t="s">
        <v>1007</v>
      </c>
      <c r="B51" s="21" t="s">
        <v>1008</v>
      </c>
      <c r="C51" s="21" t="s">
        <v>1009</v>
      </c>
      <c r="D51" s="21"/>
      <c r="E51" s="21" t="s">
        <v>996</v>
      </c>
      <c r="F51" s="21"/>
      <c r="G51" s="21"/>
      <c r="H51" s="21"/>
      <c r="I51" s="21"/>
      <c r="J51" s="21"/>
      <c r="K51" s="21"/>
      <c r="L51" s="21"/>
    </row>
    <row r="52" spans="1:12" ht="29" x14ac:dyDescent="0.35">
      <c r="A52" s="21" t="s">
        <v>1007</v>
      </c>
      <c r="B52" s="21" t="s">
        <v>1010</v>
      </c>
      <c r="C52" s="21" t="s">
        <v>1011</v>
      </c>
      <c r="D52" s="21"/>
      <c r="E52" s="21" t="s">
        <v>996</v>
      </c>
      <c r="F52" s="21"/>
      <c r="G52" s="21"/>
      <c r="H52" s="21"/>
      <c r="I52" s="21"/>
      <c r="J52" s="21"/>
      <c r="K52" s="21"/>
      <c r="L52" s="21"/>
    </row>
    <row r="53" spans="1:12" ht="29" x14ac:dyDescent="0.35">
      <c r="A53" s="21" t="s">
        <v>1007</v>
      </c>
      <c r="B53" s="21" t="s">
        <v>1012</v>
      </c>
      <c r="C53" s="21" t="s">
        <v>1013</v>
      </c>
      <c r="D53" s="21"/>
      <c r="E53" s="21" t="s">
        <v>996</v>
      </c>
      <c r="F53" s="21"/>
      <c r="G53" s="21"/>
      <c r="H53" s="21"/>
      <c r="I53" s="21"/>
      <c r="J53" s="21"/>
      <c r="K53" s="21"/>
      <c r="L53" s="21"/>
    </row>
    <row r="54" spans="1:12" ht="29" x14ac:dyDescent="0.35">
      <c r="A54" s="21" t="s">
        <v>1007</v>
      </c>
      <c r="B54" s="21" t="s">
        <v>1014</v>
      </c>
      <c r="C54" s="21" t="s">
        <v>1015</v>
      </c>
      <c r="D54" s="21"/>
      <c r="E54" s="21" t="s">
        <v>996</v>
      </c>
      <c r="F54" s="21"/>
      <c r="G54" s="21"/>
      <c r="H54" s="21"/>
      <c r="I54" s="21"/>
      <c r="J54" s="21"/>
      <c r="K54" s="21"/>
      <c r="L54" s="21"/>
    </row>
    <row r="55" spans="1:12" ht="29" x14ac:dyDescent="0.35">
      <c r="A55" s="21" t="s">
        <v>1007</v>
      </c>
      <c r="B55" s="21" t="s">
        <v>1016</v>
      </c>
      <c r="C55" s="21" t="s">
        <v>1017</v>
      </c>
      <c r="D55" s="21"/>
      <c r="E55" s="21" t="s">
        <v>996</v>
      </c>
      <c r="F55" s="21"/>
      <c r="G55" s="21"/>
      <c r="H55" s="21"/>
      <c r="I55" s="21"/>
      <c r="J55" s="21"/>
      <c r="K55" s="21"/>
      <c r="L55" s="21"/>
    </row>
    <row r="56" spans="1:12" ht="29" x14ac:dyDescent="0.35">
      <c r="A56" s="21" t="s">
        <v>1007</v>
      </c>
      <c r="B56" s="21" t="s">
        <v>1018</v>
      </c>
      <c r="C56" s="21" t="s">
        <v>1019</v>
      </c>
      <c r="D56" s="21"/>
      <c r="E56" s="21" t="s">
        <v>996</v>
      </c>
      <c r="F56" s="21"/>
      <c r="G56" s="21"/>
      <c r="H56" s="21"/>
      <c r="I56" s="21"/>
      <c r="J56" s="21"/>
      <c r="K56" s="21"/>
      <c r="L56" s="21"/>
    </row>
    <row r="57" spans="1:12" ht="43.5" x14ac:dyDescent="0.35">
      <c r="A57" s="21" t="s">
        <v>1020</v>
      </c>
      <c r="B57" s="21" t="s">
        <v>1021</v>
      </c>
      <c r="C57" s="21" t="s">
        <v>1022</v>
      </c>
      <c r="D57" s="21"/>
      <c r="E57" s="21" t="s">
        <v>1023</v>
      </c>
      <c r="F57" s="21"/>
      <c r="G57" s="21"/>
      <c r="H57" s="21"/>
      <c r="I57" s="21"/>
      <c r="J57" s="21"/>
      <c r="K57" s="21"/>
      <c r="L57" s="21"/>
    </row>
    <row r="58" spans="1:12" ht="43.5" x14ac:dyDescent="0.35">
      <c r="A58" s="21" t="s">
        <v>1020</v>
      </c>
      <c r="B58" s="21" t="s">
        <v>1024</v>
      </c>
      <c r="C58" s="21" t="s">
        <v>1025</v>
      </c>
      <c r="D58" s="21"/>
      <c r="E58" s="21" t="s">
        <v>1023</v>
      </c>
      <c r="F58" s="21"/>
      <c r="G58" s="21"/>
      <c r="H58" s="21"/>
      <c r="I58" s="21"/>
      <c r="J58" s="21"/>
      <c r="K58" s="21"/>
      <c r="L58" s="21"/>
    </row>
    <row r="59" spans="1:12" ht="43.5" x14ac:dyDescent="0.35">
      <c r="A59" s="21" t="s">
        <v>1020</v>
      </c>
      <c r="B59" s="21" t="s">
        <v>1026</v>
      </c>
      <c r="C59" s="21" t="s">
        <v>1027</v>
      </c>
      <c r="D59" s="21"/>
      <c r="E59" s="21" t="s">
        <v>1023</v>
      </c>
      <c r="F59" s="21"/>
      <c r="G59" s="21"/>
      <c r="H59" s="21"/>
      <c r="I59" s="21"/>
      <c r="J59" s="21"/>
      <c r="K59" s="21"/>
      <c r="L59" s="21"/>
    </row>
    <row r="60" spans="1:12" ht="43.5" x14ac:dyDescent="0.35">
      <c r="A60" s="21" t="s">
        <v>1020</v>
      </c>
      <c r="B60" s="21" t="s">
        <v>1028</v>
      </c>
      <c r="C60" s="21" t="s">
        <v>1029</v>
      </c>
      <c r="D60" s="21"/>
      <c r="E60" s="21" t="s">
        <v>1023</v>
      </c>
      <c r="F60" s="21"/>
      <c r="G60" s="21"/>
      <c r="H60" s="21"/>
      <c r="I60" s="21"/>
      <c r="J60" s="21"/>
      <c r="K60" s="21"/>
      <c r="L60" s="21"/>
    </row>
    <row r="61" spans="1:12" ht="43.5" x14ac:dyDescent="0.35">
      <c r="A61" s="21" t="s">
        <v>1020</v>
      </c>
      <c r="B61" s="21" t="s">
        <v>1030</v>
      </c>
      <c r="C61" s="21" t="s">
        <v>1031</v>
      </c>
      <c r="D61" s="21"/>
      <c r="E61" s="21" t="s">
        <v>1023</v>
      </c>
      <c r="F61" s="21"/>
      <c r="G61" s="21"/>
      <c r="H61" s="21"/>
      <c r="I61" s="21"/>
      <c r="J61" s="21"/>
      <c r="K61" s="21"/>
      <c r="L61" s="21"/>
    </row>
    <row r="62" spans="1:12" ht="43.5" x14ac:dyDescent="0.35">
      <c r="A62" s="21" t="s">
        <v>1020</v>
      </c>
      <c r="B62" s="21" t="s">
        <v>1032</v>
      </c>
      <c r="C62" s="21" t="s">
        <v>1033</v>
      </c>
      <c r="D62" s="21"/>
      <c r="E62" s="21" t="s">
        <v>1023</v>
      </c>
      <c r="F62" s="21"/>
      <c r="G62" s="21"/>
      <c r="H62" s="21"/>
      <c r="I62" s="21"/>
      <c r="J62" s="21"/>
      <c r="K62" s="21"/>
      <c r="L62" s="21"/>
    </row>
    <row r="63" spans="1:12" ht="29" x14ac:dyDescent="0.35">
      <c r="A63" s="21" t="s">
        <v>428</v>
      </c>
      <c r="B63" s="21" t="s">
        <v>1034</v>
      </c>
      <c r="C63" s="21" t="s">
        <v>1035</v>
      </c>
      <c r="D63" s="21"/>
      <c r="E63" s="21" t="s">
        <v>996</v>
      </c>
      <c r="F63" s="21"/>
      <c r="G63" s="21"/>
      <c r="H63" s="21"/>
      <c r="I63" s="21"/>
      <c r="J63" s="21"/>
      <c r="K63" s="21"/>
      <c r="L63" s="21"/>
    </row>
    <row r="64" spans="1:12" ht="43.5" x14ac:dyDescent="0.35">
      <c r="A64" s="21" t="s">
        <v>428</v>
      </c>
      <c r="B64" s="21" t="s">
        <v>1036</v>
      </c>
      <c r="C64" s="21" t="s">
        <v>1037</v>
      </c>
      <c r="D64" s="21"/>
      <c r="E64" s="21" t="s">
        <v>996</v>
      </c>
      <c r="F64" s="21"/>
      <c r="G64" s="21"/>
      <c r="H64" s="21"/>
      <c r="I64" s="21"/>
      <c r="J64" s="21"/>
      <c r="K64" s="21"/>
      <c r="L64" s="21"/>
    </row>
    <row r="65" spans="1:12" ht="29" x14ac:dyDescent="0.35">
      <c r="A65" s="21" t="s">
        <v>428</v>
      </c>
      <c r="B65" s="21" t="s">
        <v>1038</v>
      </c>
      <c r="C65" s="21" t="s">
        <v>1039</v>
      </c>
      <c r="D65" s="21"/>
      <c r="E65" s="21" t="s">
        <v>996</v>
      </c>
      <c r="F65" s="21"/>
      <c r="G65" s="21"/>
      <c r="H65" s="21"/>
      <c r="I65" s="21"/>
      <c r="J65" s="21"/>
      <c r="K65" s="21"/>
      <c r="L65" s="21"/>
    </row>
    <row r="66" spans="1:12" ht="43.5" x14ac:dyDescent="0.35">
      <c r="A66" s="21" t="s">
        <v>428</v>
      </c>
      <c r="B66" s="21" t="s">
        <v>1040</v>
      </c>
      <c r="C66" s="21" t="s">
        <v>1041</v>
      </c>
      <c r="D66" s="21"/>
      <c r="E66" s="21" t="s">
        <v>996</v>
      </c>
      <c r="F66" s="21"/>
      <c r="G66" s="21"/>
      <c r="H66" s="21"/>
      <c r="I66" s="21"/>
      <c r="J66" s="21"/>
      <c r="K66" s="21"/>
      <c r="L66" s="21"/>
    </row>
    <row r="67" spans="1:12" ht="29" x14ac:dyDescent="0.35">
      <c r="A67" s="21" t="s">
        <v>428</v>
      </c>
      <c r="B67" s="21" t="s">
        <v>1042</v>
      </c>
      <c r="C67" s="21" t="s">
        <v>1043</v>
      </c>
      <c r="D67" s="21"/>
      <c r="E67" s="21" t="s">
        <v>996</v>
      </c>
      <c r="F67" s="21"/>
      <c r="G67" s="21"/>
      <c r="H67" s="21"/>
      <c r="I67" s="21"/>
      <c r="J67" s="21"/>
      <c r="K67" s="21"/>
      <c r="L67" s="21"/>
    </row>
    <row r="68" spans="1:12" ht="29" x14ac:dyDescent="0.35">
      <c r="A68" s="21" t="s">
        <v>428</v>
      </c>
      <c r="B68" s="21" t="s">
        <v>1044</v>
      </c>
      <c r="C68" s="21" t="s">
        <v>1045</v>
      </c>
      <c r="D68" s="21"/>
      <c r="E68" s="21" t="s">
        <v>996</v>
      </c>
      <c r="F68" s="21"/>
      <c r="G68" s="21"/>
      <c r="H68" s="21"/>
      <c r="I68" s="21"/>
      <c r="J68" s="21"/>
      <c r="K68" s="21"/>
      <c r="L68" s="21"/>
    </row>
    <row r="69" spans="1:12" ht="29" x14ac:dyDescent="0.35">
      <c r="A69" s="21" t="s">
        <v>1046</v>
      </c>
      <c r="B69" s="21" t="s">
        <v>1047</v>
      </c>
      <c r="C69" s="21" t="s">
        <v>1048</v>
      </c>
      <c r="D69" s="21"/>
      <c r="E69" s="21" t="s">
        <v>996</v>
      </c>
      <c r="F69" s="21"/>
      <c r="G69" s="21"/>
      <c r="H69" s="21"/>
      <c r="I69" s="21"/>
      <c r="J69" s="21"/>
      <c r="K69" s="21"/>
      <c r="L69" s="21"/>
    </row>
    <row r="70" spans="1:12" ht="29" x14ac:dyDescent="0.35">
      <c r="A70" s="21" t="s">
        <v>1046</v>
      </c>
      <c r="B70" s="21" t="s">
        <v>1049</v>
      </c>
      <c r="C70" s="21" t="s">
        <v>1050</v>
      </c>
      <c r="D70" s="21"/>
      <c r="E70" s="21" t="s">
        <v>996</v>
      </c>
      <c r="F70" s="21"/>
      <c r="G70" s="21"/>
      <c r="H70" s="21"/>
      <c r="I70" s="21"/>
      <c r="J70" s="21"/>
      <c r="K70" s="21"/>
      <c r="L70" s="21"/>
    </row>
    <row r="71" spans="1:12" ht="29" x14ac:dyDescent="0.35">
      <c r="A71" s="21" t="s">
        <v>1046</v>
      </c>
      <c r="B71" s="21" t="s">
        <v>1051</v>
      </c>
      <c r="C71" s="21" t="s">
        <v>1052</v>
      </c>
      <c r="D71" s="21"/>
      <c r="E71" s="21" t="s">
        <v>996</v>
      </c>
      <c r="F71" s="21"/>
      <c r="G71" s="21"/>
      <c r="H71" s="21"/>
      <c r="I71" s="21"/>
      <c r="J71" s="21"/>
      <c r="K71" s="21"/>
      <c r="L71" s="21"/>
    </row>
    <row r="72" spans="1:12" ht="29" x14ac:dyDescent="0.35">
      <c r="A72" s="21" t="s">
        <v>1046</v>
      </c>
      <c r="B72" s="21" t="s">
        <v>1053</v>
      </c>
      <c r="C72" s="21" t="s">
        <v>1054</v>
      </c>
      <c r="D72" s="21"/>
      <c r="E72" s="21" t="s">
        <v>996</v>
      </c>
      <c r="F72" s="21"/>
      <c r="G72" s="21"/>
      <c r="H72" s="21"/>
      <c r="I72" s="21"/>
      <c r="J72" s="21"/>
      <c r="K72" s="21"/>
      <c r="L72" s="21"/>
    </row>
    <row r="73" spans="1:12" ht="29" x14ac:dyDescent="0.35">
      <c r="A73" s="21" t="s">
        <v>1046</v>
      </c>
      <c r="B73" s="21" t="s">
        <v>1055</v>
      </c>
      <c r="C73" s="21" t="s">
        <v>1056</v>
      </c>
      <c r="D73" s="21"/>
      <c r="E73" s="21" t="s">
        <v>996</v>
      </c>
      <c r="F73" s="21"/>
      <c r="G73" s="21"/>
      <c r="H73" s="21"/>
      <c r="I73" s="21"/>
      <c r="J73" s="21"/>
      <c r="K73" s="21"/>
      <c r="L73" s="21"/>
    </row>
    <row r="74" spans="1:12" ht="29" x14ac:dyDescent="0.35">
      <c r="A74" s="21" t="s">
        <v>1046</v>
      </c>
      <c r="B74" s="21" t="s">
        <v>1057</v>
      </c>
      <c r="C74" s="21" t="s">
        <v>1058</v>
      </c>
      <c r="D74" s="21"/>
      <c r="E74" s="21" t="s">
        <v>996</v>
      </c>
      <c r="F74" s="21"/>
      <c r="G74" s="21"/>
      <c r="H74" s="21"/>
      <c r="I74" s="21"/>
      <c r="J74" s="21"/>
      <c r="K74" s="21"/>
      <c r="L74" s="21"/>
    </row>
    <row r="75" spans="1:12" ht="29" x14ac:dyDescent="0.35">
      <c r="A75" s="21" t="s">
        <v>1059</v>
      </c>
      <c r="B75" s="21" t="s">
        <v>1060</v>
      </c>
      <c r="C75" s="21" t="s">
        <v>1061</v>
      </c>
      <c r="D75" s="21"/>
      <c r="E75" s="21" t="s">
        <v>996</v>
      </c>
      <c r="F75" s="21"/>
      <c r="G75" s="21"/>
      <c r="H75" s="21"/>
      <c r="I75" s="21"/>
      <c r="J75" s="21"/>
      <c r="K75" s="21"/>
      <c r="L75" s="21"/>
    </row>
    <row r="76" spans="1:12" ht="43.5" x14ac:dyDescent="0.35">
      <c r="A76" s="21" t="s">
        <v>1059</v>
      </c>
      <c r="B76" s="21" t="s">
        <v>1062</v>
      </c>
      <c r="C76" s="21" t="s">
        <v>1063</v>
      </c>
      <c r="D76" s="21"/>
      <c r="E76" s="21" t="s">
        <v>996</v>
      </c>
      <c r="F76" s="21"/>
      <c r="G76" s="21"/>
      <c r="H76" s="21"/>
      <c r="I76" s="21"/>
      <c r="J76" s="21"/>
      <c r="K76" s="21"/>
      <c r="L76" s="21"/>
    </row>
    <row r="77" spans="1:12" ht="29" x14ac:dyDescent="0.35">
      <c r="A77" s="21" t="s">
        <v>1059</v>
      </c>
      <c r="B77" s="21" t="s">
        <v>1064</v>
      </c>
      <c r="C77" s="21" t="s">
        <v>1065</v>
      </c>
      <c r="D77" s="21"/>
      <c r="E77" s="21" t="s">
        <v>996</v>
      </c>
      <c r="F77" s="21"/>
      <c r="G77" s="21"/>
      <c r="H77" s="21"/>
      <c r="I77" s="21"/>
      <c r="J77" s="21"/>
      <c r="K77" s="21"/>
      <c r="L77" s="21"/>
    </row>
    <row r="78" spans="1:12" ht="29" x14ac:dyDescent="0.35">
      <c r="A78" s="21" t="s">
        <v>1059</v>
      </c>
      <c r="B78" s="21" t="s">
        <v>1066</v>
      </c>
      <c r="C78" s="21" t="s">
        <v>1067</v>
      </c>
      <c r="D78" s="21"/>
      <c r="E78" s="21" t="s">
        <v>996</v>
      </c>
      <c r="F78" s="21"/>
      <c r="G78" s="21"/>
      <c r="H78" s="21"/>
      <c r="I78" s="21"/>
      <c r="J78" s="21"/>
      <c r="K78" s="21"/>
      <c r="L78" s="21"/>
    </row>
    <row r="79" spans="1:12" ht="29" x14ac:dyDescent="0.35">
      <c r="A79" s="21" t="s">
        <v>1059</v>
      </c>
      <c r="B79" s="21" t="s">
        <v>1068</v>
      </c>
      <c r="C79" s="21" t="s">
        <v>1069</v>
      </c>
      <c r="D79" s="21"/>
      <c r="E79" s="21" t="s">
        <v>996</v>
      </c>
      <c r="F79" s="21"/>
      <c r="G79" s="21"/>
      <c r="H79" s="21"/>
      <c r="I79" s="21"/>
      <c r="J79" s="21"/>
      <c r="K79" s="21"/>
      <c r="L79" s="21"/>
    </row>
    <row r="80" spans="1:12" ht="29" x14ac:dyDescent="0.35">
      <c r="A80" s="21" t="s">
        <v>1059</v>
      </c>
      <c r="B80" s="21" t="s">
        <v>1070</v>
      </c>
      <c r="C80" s="21" t="s">
        <v>1071</v>
      </c>
      <c r="D80" s="21"/>
      <c r="E80" s="21" t="s">
        <v>996</v>
      </c>
      <c r="F80" s="21"/>
      <c r="G80" s="21"/>
      <c r="H80" s="21"/>
      <c r="I80" s="21"/>
      <c r="J80" s="21"/>
      <c r="K80" s="21"/>
      <c r="L80" s="21"/>
    </row>
    <row r="81" spans="1:12" ht="29" x14ac:dyDescent="0.35">
      <c r="A81" s="21" t="s">
        <v>1072</v>
      </c>
      <c r="B81" s="21" t="s">
        <v>1073</v>
      </c>
      <c r="C81" s="21" t="s">
        <v>1074</v>
      </c>
      <c r="D81" s="21"/>
      <c r="E81" s="21" t="s">
        <v>996</v>
      </c>
      <c r="F81" s="21"/>
      <c r="G81" s="21"/>
      <c r="H81" s="21"/>
      <c r="I81" s="21"/>
      <c r="J81" s="21"/>
      <c r="K81" s="21"/>
      <c r="L81" s="21"/>
    </row>
    <row r="82" spans="1:12" ht="29" x14ac:dyDescent="0.35">
      <c r="A82" s="21" t="s">
        <v>1072</v>
      </c>
      <c r="B82" s="21" t="s">
        <v>1075</v>
      </c>
      <c r="C82" s="21" t="s">
        <v>1076</v>
      </c>
      <c r="D82" s="21"/>
      <c r="E82" s="21" t="s">
        <v>996</v>
      </c>
      <c r="F82" s="21"/>
      <c r="G82" s="21"/>
      <c r="H82" s="21"/>
      <c r="I82" s="21"/>
      <c r="J82" s="21"/>
      <c r="K82" s="21"/>
      <c r="L82" s="21"/>
    </row>
    <row r="83" spans="1:12" ht="29" x14ac:dyDescent="0.35">
      <c r="A83" s="21" t="s">
        <v>1072</v>
      </c>
      <c r="B83" s="21" t="s">
        <v>1077</v>
      </c>
      <c r="C83" s="21" t="s">
        <v>1078</v>
      </c>
      <c r="D83" s="21"/>
      <c r="E83" s="21" t="s">
        <v>996</v>
      </c>
      <c r="F83" s="21"/>
      <c r="G83" s="21"/>
      <c r="H83" s="21"/>
      <c r="I83" s="21"/>
      <c r="J83" s="21"/>
      <c r="K83" s="21"/>
      <c r="L83" s="21"/>
    </row>
    <row r="84" spans="1:12" ht="29" x14ac:dyDescent="0.35">
      <c r="A84" s="21" t="s">
        <v>1072</v>
      </c>
      <c r="B84" s="21" t="s">
        <v>1079</v>
      </c>
      <c r="C84" s="21" t="s">
        <v>1080</v>
      </c>
      <c r="D84" s="21"/>
      <c r="E84" s="21" t="s">
        <v>996</v>
      </c>
      <c r="F84" s="21"/>
      <c r="G84" s="21"/>
      <c r="H84" s="21"/>
      <c r="I84" s="21"/>
      <c r="J84" s="21"/>
      <c r="K84" s="21"/>
      <c r="L84" s="21"/>
    </row>
    <row r="85" spans="1:12" ht="29" x14ac:dyDescent="0.35">
      <c r="A85" s="21" t="s">
        <v>1072</v>
      </c>
      <c r="B85" s="21" t="s">
        <v>1081</v>
      </c>
      <c r="C85" s="21" t="s">
        <v>1082</v>
      </c>
      <c r="D85" s="21"/>
      <c r="E85" s="21" t="s">
        <v>996</v>
      </c>
      <c r="F85" s="21"/>
      <c r="G85" s="21"/>
      <c r="H85" s="21"/>
      <c r="I85" s="21"/>
      <c r="J85" s="21"/>
      <c r="K85" s="21"/>
      <c r="L85" s="21"/>
    </row>
    <row r="86" spans="1:12" ht="29" x14ac:dyDescent="0.35">
      <c r="A86" s="21" t="s">
        <v>1072</v>
      </c>
      <c r="B86" s="21" t="s">
        <v>1083</v>
      </c>
      <c r="C86" s="21" t="s">
        <v>1084</v>
      </c>
      <c r="D86" s="21"/>
      <c r="E86" s="21" t="s">
        <v>996</v>
      </c>
      <c r="F86" s="21"/>
      <c r="G86" s="21"/>
      <c r="H86" s="21"/>
      <c r="I86" s="21"/>
      <c r="J86" s="21"/>
      <c r="K86" s="21"/>
      <c r="L86" s="21"/>
    </row>
    <row r="87" spans="1:12" ht="29" x14ac:dyDescent="0.35">
      <c r="A87" s="21" t="s">
        <v>1085</v>
      </c>
      <c r="B87" s="21" t="s">
        <v>1086</v>
      </c>
      <c r="C87" s="21" t="s">
        <v>1087</v>
      </c>
      <c r="D87" s="21"/>
      <c r="E87" s="21" t="s">
        <v>996</v>
      </c>
      <c r="F87" s="21"/>
      <c r="G87" s="21"/>
      <c r="H87" s="21"/>
      <c r="I87" s="21"/>
      <c r="J87" s="21"/>
      <c r="K87" s="21"/>
      <c r="L87" s="21"/>
    </row>
    <row r="88" spans="1:12" ht="29" x14ac:dyDescent="0.35">
      <c r="A88" s="21" t="s">
        <v>1085</v>
      </c>
      <c r="B88" s="21" t="s">
        <v>1088</v>
      </c>
      <c r="C88" s="21" t="s">
        <v>1089</v>
      </c>
      <c r="D88" s="21"/>
      <c r="E88" s="21" t="s">
        <v>996</v>
      </c>
      <c r="F88" s="21"/>
      <c r="G88" s="21"/>
      <c r="H88" s="21"/>
      <c r="I88" s="21"/>
      <c r="J88" s="21"/>
      <c r="K88" s="21"/>
      <c r="L88" s="21"/>
    </row>
    <row r="89" spans="1:12" ht="29" x14ac:dyDescent="0.35">
      <c r="A89" s="21" t="s">
        <v>1085</v>
      </c>
      <c r="B89" s="21" t="s">
        <v>1090</v>
      </c>
      <c r="C89" s="21" t="s">
        <v>1091</v>
      </c>
      <c r="D89" s="21"/>
      <c r="E89" s="21" t="s">
        <v>996</v>
      </c>
      <c r="F89" s="21"/>
      <c r="G89" s="21"/>
      <c r="H89" s="21"/>
      <c r="I89" s="21"/>
      <c r="J89" s="21"/>
      <c r="K89" s="21"/>
      <c r="L89" s="21"/>
    </row>
    <row r="90" spans="1:12" ht="29" x14ac:dyDescent="0.35">
      <c r="A90" s="21" t="s">
        <v>1085</v>
      </c>
      <c r="B90" s="21" t="s">
        <v>1092</v>
      </c>
      <c r="C90" s="21" t="s">
        <v>1093</v>
      </c>
      <c r="D90" s="21"/>
      <c r="E90" s="21" t="s">
        <v>996</v>
      </c>
      <c r="F90" s="21"/>
      <c r="G90" s="21"/>
      <c r="H90" s="21"/>
      <c r="I90" s="21"/>
      <c r="J90" s="21"/>
      <c r="K90" s="21"/>
      <c r="L90" s="21"/>
    </row>
    <row r="91" spans="1:12" ht="29" x14ac:dyDescent="0.35">
      <c r="A91" s="21" t="s">
        <v>1085</v>
      </c>
      <c r="B91" s="21" t="s">
        <v>1094</v>
      </c>
      <c r="C91" s="21" t="s">
        <v>1095</v>
      </c>
      <c r="D91" s="21"/>
      <c r="E91" s="21" t="s">
        <v>996</v>
      </c>
      <c r="F91" s="21"/>
      <c r="G91" s="21"/>
      <c r="H91" s="21"/>
      <c r="I91" s="21"/>
      <c r="J91" s="21"/>
      <c r="K91" s="21"/>
      <c r="L91" s="21"/>
    </row>
    <row r="92" spans="1:12" ht="29" x14ac:dyDescent="0.35">
      <c r="A92" s="21" t="s">
        <v>1085</v>
      </c>
      <c r="B92" s="21" t="s">
        <v>1096</v>
      </c>
      <c r="C92" s="21" t="s">
        <v>1097</v>
      </c>
      <c r="D92" s="21"/>
      <c r="E92" s="21" t="s">
        <v>996</v>
      </c>
      <c r="F92" s="21"/>
      <c r="G92" s="21"/>
      <c r="H92" s="21"/>
      <c r="I92" s="21"/>
      <c r="J92" s="21"/>
      <c r="K92" s="21"/>
      <c r="L92" s="21"/>
    </row>
    <row r="93" spans="1:12" ht="29" x14ac:dyDescent="0.35">
      <c r="A93" s="21" t="s">
        <v>1098</v>
      </c>
      <c r="B93" s="21" t="s">
        <v>1099</v>
      </c>
      <c r="C93" s="21" t="s">
        <v>1100</v>
      </c>
      <c r="D93" s="21"/>
      <c r="E93" s="21" t="s">
        <v>996</v>
      </c>
      <c r="F93" s="21"/>
      <c r="G93" s="21"/>
      <c r="H93" s="21"/>
      <c r="I93" s="21"/>
      <c r="J93" s="21"/>
      <c r="K93" s="21"/>
      <c r="L93" s="21"/>
    </row>
    <row r="94" spans="1:12" ht="29" x14ac:dyDescent="0.35">
      <c r="A94" s="21" t="s">
        <v>1098</v>
      </c>
      <c r="B94" s="21" t="s">
        <v>1101</v>
      </c>
      <c r="C94" s="21" t="s">
        <v>1102</v>
      </c>
      <c r="D94" s="21"/>
      <c r="E94" s="21" t="s">
        <v>996</v>
      </c>
      <c r="F94" s="21"/>
      <c r="G94" s="21"/>
      <c r="H94" s="21"/>
      <c r="I94" s="21"/>
      <c r="J94" s="21"/>
      <c r="K94" s="21"/>
      <c r="L94" s="21"/>
    </row>
    <row r="95" spans="1:12" ht="29" x14ac:dyDescent="0.35">
      <c r="A95" s="21" t="s">
        <v>1098</v>
      </c>
      <c r="B95" s="21" t="s">
        <v>1103</v>
      </c>
      <c r="C95" s="21" t="s">
        <v>1104</v>
      </c>
      <c r="D95" s="21"/>
      <c r="E95" s="21" t="s">
        <v>996</v>
      </c>
      <c r="F95" s="21"/>
      <c r="G95" s="21"/>
      <c r="H95" s="21"/>
      <c r="I95" s="21"/>
      <c r="J95" s="21"/>
      <c r="K95" s="21"/>
      <c r="L95" s="21"/>
    </row>
    <row r="96" spans="1:12" ht="29" x14ac:dyDescent="0.35">
      <c r="A96" s="21" t="s">
        <v>1098</v>
      </c>
      <c r="B96" s="21" t="s">
        <v>1105</v>
      </c>
      <c r="C96" s="21" t="s">
        <v>1106</v>
      </c>
      <c r="D96" s="21"/>
      <c r="E96" s="21" t="s">
        <v>996</v>
      </c>
      <c r="F96" s="21"/>
      <c r="G96" s="21"/>
      <c r="H96" s="21"/>
      <c r="I96" s="21"/>
      <c r="J96" s="21"/>
      <c r="K96" s="21"/>
      <c r="L96" s="21"/>
    </row>
    <row r="97" spans="1:12" ht="29" x14ac:dyDescent="0.35">
      <c r="A97" s="21" t="s">
        <v>1098</v>
      </c>
      <c r="B97" s="21" t="s">
        <v>1107</v>
      </c>
      <c r="C97" s="21" t="s">
        <v>1108</v>
      </c>
      <c r="D97" s="21"/>
      <c r="E97" s="21" t="s">
        <v>996</v>
      </c>
      <c r="F97" s="21"/>
      <c r="G97" s="21"/>
      <c r="H97" s="21"/>
      <c r="I97" s="21"/>
      <c r="J97" s="21"/>
      <c r="K97" s="21"/>
      <c r="L97" s="21"/>
    </row>
    <row r="98" spans="1:12" ht="29" x14ac:dyDescent="0.35">
      <c r="A98" s="21" t="s">
        <v>1098</v>
      </c>
      <c r="B98" s="21" t="s">
        <v>1109</v>
      </c>
      <c r="C98" s="21" t="s">
        <v>1110</v>
      </c>
      <c r="D98" s="21"/>
      <c r="E98" s="21" t="s">
        <v>996</v>
      </c>
      <c r="F98" s="21"/>
      <c r="G98" s="21"/>
      <c r="H98" s="21"/>
      <c r="I98" s="21"/>
      <c r="J98" s="21"/>
      <c r="K98" s="21"/>
      <c r="L98" s="21"/>
    </row>
    <row r="99" spans="1:12" ht="29" x14ac:dyDescent="0.35">
      <c r="A99" s="21" t="s">
        <v>1111</v>
      </c>
      <c r="B99" s="21" t="s">
        <v>1112</v>
      </c>
      <c r="C99" s="21" t="s">
        <v>1113</v>
      </c>
      <c r="D99" s="21"/>
      <c r="E99" s="21" t="s">
        <v>1114</v>
      </c>
      <c r="F99" s="21"/>
      <c r="G99" s="21"/>
      <c r="H99" s="21"/>
      <c r="I99" s="21"/>
      <c r="J99" s="21"/>
      <c r="K99" s="21"/>
      <c r="L99" s="21"/>
    </row>
    <row r="100" spans="1:12" ht="29" x14ac:dyDescent="0.35">
      <c r="A100" s="21" t="s">
        <v>1111</v>
      </c>
      <c r="B100" s="21" t="s">
        <v>1115</v>
      </c>
      <c r="C100" s="21" t="s">
        <v>1116</v>
      </c>
      <c r="D100" s="21"/>
      <c r="E100" s="21" t="s">
        <v>1114</v>
      </c>
      <c r="F100" s="21"/>
      <c r="G100" s="21"/>
      <c r="H100" s="21"/>
      <c r="I100" s="21"/>
      <c r="J100" s="21"/>
      <c r="K100" s="21"/>
      <c r="L100" s="21"/>
    </row>
    <row r="101" spans="1:12" ht="29" x14ac:dyDescent="0.35">
      <c r="A101" s="21" t="s">
        <v>1111</v>
      </c>
      <c r="B101" s="21" t="s">
        <v>1117</v>
      </c>
      <c r="C101" s="21" t="s">
        <v>1118</v>
      </c>
      <c r="D101" s="21"/>
      <c r="E101" s="21" t="s">
        <v>1114</v>
      </c>
      <c r="F101" s="21"/>
      <c r="G101" s="21"/>
      <c r="H101" s="21"/>
      <c r="I101" s="21"/>
      <c r="J101" s="21"/>
      <c r="K101" s="21"/>
      <c r="L101" s="21"/>
    </row>
    <row r="102" spans="1:12" ht="29" x14ac:dyDescent="0.35">
      <c r="A102" s="21" t="s">
        <v>1111</v>
      </c>
      <c r="B102" s="21" t="s">
        <v>1119</v>
      </c>
      <c r="C102" s="21" t="s">
        <v>1120</v>
      </c>
      <c r="D102" s="21"/>
      <c r="E102" s="21" t="s">
        <v>1114</v>
      </c>
      <c r="F102" s="21"/>
      <c r="G102" s="21"/>
      <c r="H102" s="21"/>
      <c r="I102" s="21"/>
      <c r="J102" s="21"/>
      <c r="K102" s="21"/>
      <c r="L102" s="21"/>
    </row>
    <row r="103" spans="1:12" ht="29" x14ac:dyDescent="0.35">
      <c r="A103" s="21" t="s">
        <v>1111</v>
      </c>
      <c r="B103" s="21" t="s">
        <v>1121</v>
      </c>
      <c r="C103" s="21" t="s">
        <v>1122</v>
      </c>
      <c r="D103" s="21"/>
      <c r="E103" s="21" t="s">
        <v>1114</v>
      </c>
      <c r="F103" s="21"/>
      <c r="G103" s="21"/>
      <c r="H103" s="21"/>
      <c r="I103" s="21"/>
      <c r="J103" s="21"/>
      <c r="K103" s="21"/>
      <c r="L103" s="21"/>
    </row>
    <row r="104" spans="1:12" ht="29" x14ac:dyDescent="0.35">
      <c r="A104" s="21" t="s">
        <v>1111</v>
      </c>
      <c r="B104" s="21" t="s">
        <v>1123</v>
      </c>
      <c r="C104" s="21" t="s">
        <v>1124</v>
      </c>
      <c r="D104" s="21"/>
      <c r="E104" s="21" t="s">
        <v>1114</v>
      </c>
      <c r="F104" s="21"/>
      <c r="G104" s="21"/>
      <c r="H104" s="21"/>
      <c r="I104" s="21"/>
      <c r="J104" s="21"/>
      <c r="K104" s="21"/>
      <c r="L104" s="21"/>
    </row>
    <row r="105" spans="1:12" ht="29" x14ac:dyDescent="0.35">
      <c r="A105" s="21" t="s">
        <v>1125</v>
      </c>
      <c r="B105" s="21" t="s">
        <v>1126</v>
      </c>
      <c r="C105" s="21" t="s">
        <v>1127</v>
      </c>
      <c r="D105" s="21"/>
      <c r="E105" s="21" t="s">
        <v>1114</v>
      </c>
      <c r="F105" s="21"/>
      <c r="G105" s="21"/>
      <c r="H105" s="21"/>
      <c r="I105" s="21"/>
      <c r="J105" s="21"/>
      <c r="K105" s="21"/>
      <c r="L105" s="21"/>
    </row>
    <row r="106" spans="1:12" ht="29" x14ac:dyDescent="0.35">
      <c r="A106" s="21" t="s">
        <v>1125</v>
      </c>
      <c r="B106" s="21" t="s">
        <v>1128</v>
      </c>
      <c r="C106" s="21" t="s">
        <v>1129</v>
      </c>
      <c r="D106" s="21"/>
      <c r="E106" s="21" t="s">
        <v>1114</v>
      </c>
      <c r="F106" s="21"/>
      <c r="G106" s="21"/>
      <c r="H106" s="21"/>
      <c r="I106" s="21"/>
      <c r="J106" s="21"/>
      <c r="K106" s="21"/>
      <c r="L106" s="21"/>
    </row>
    <row r="107" spans="1:12" ht="43.5" x14ac:dyDescent="0.35">
      <c r="A107" s="21" t="s">
        <v>1125</v>
      </c>
      <c r="B107" s="21" t="s">
        <v>1130</v>
      </c>
      <c r="C107" s="21" t="s">
        <v>1131</v>
      </c>
      <c r="D107" s="21"/>
      <c r="E107" s="21" t="s">
        <v>1114</v>
      </c>
      <c r="F107" s="21"/>
      <c r="G107" s="21"/>
      <c r="H107" s="21"/>
      <c r="I107" s="21"/>
      <c r="J107" s="21"/>
      <c r="K107" s="21"/>
      <c r="L107" s="21"/>
    </row>
    <row r="108" spans="1:12" ht="29" x14ac:dyDescent="0.35">
      <c r="A108" s="21" t="s">
        <v>1125</v>
      </c>
      <c r="B108" s="21" t="s">
        <v>1132</v>
      </c>
      <c r="C108" s="21" t="s">
        <v>1133</v>
      </c>
      <c r="D108" s="21"/>
      <c r="E108" s="21" t="s">
        <v>1114</v>
      </c>
      <c r="F108" s="21"/>
      <c r="G108" s="21"/>
      <c r="H108" s="21"/>
      <c r="I108" s="21"/>
      <c r="J108" s="21"/>
      <c r="K108" s="21"/>
      <c r="L108" s="21"/>
    </row>
    <row r="109" spans="1:12" ht="29" x14ac:dyDescent="0.35">
      <c r="A109" s="21" t="s">
        <v>1125</v>
      </c>
      <c r="B109" s="21" t="s">
        <v>1134</v>
      </c>
      <c r="C109" s="21" t="s">
        <v>1135</v>
      </c>
      <c r="D109" s="21"/>
      <c r="E109" s="21" t="s">
        <v>1114</v>
      </c>
      <c r="F109" s="21"/>
      <c r="G109" s="21"/>
      <c r="H109" s="21"/>
      <c r="I109" s="21"/>
      <c r="J109" s="21"/>
      <c r="K109" s="21"/>
      <c r="L109" s="21"/>
    </row>
    <row r="110" spans="1:12" ht="29" x14ac:dyDescent="0.35">
      <c r="A110" s="21" t="s">
        <v>1125</v>
      </c>
      <c r="B110" s="21" t="s">
        <v>1136</v>
      </c>
      <c r="C110" s="21" t="s">
        <v>1137</v>
      </c>
      <c r="D110" s="21"/>
      <c r="E110" s="21" t="s">
        <v>1114</v>
      </c>
      <c r="F110" s="21"/>
      <c r="G110" s="21"/>
      <c r="H110" s="21"/>
      <c r="I110" s="21"/>
      <c r="J110" s="21"/>
      <c r="K110" s="21"/>
      <c r="L110" s="21"/>
    </row>
    <row r="111" spans="1:12" ht="29" x14ac:dyDescent="0.35">
      <c r="A111" s="21" t="s">
        <v>1138</v>
      </c>
      <c r="B111" s="21" t="s">
        <v>1139</v>
      </c>
      <c r="C111" s="21" t="s">
        <v>1140</v>
      </c>
      <c r="D111" s="21"/>
      <c r="E111" s="21" t="s">
        <v>996</v>
      </c>
      <c r="F111" s="21"/>
      <c r="G111" s="21"/>
      <c r="H111" s="21"/>
      <c r="I111" s="21"/>
      <c r="J111" s="21"/>
      <c r="K111" s="21"/>
      <c r="L111" s="21"/>
    </row>
    <row r="112" spans="1:12" ht="29" x14ac:dyDescent="0.35">
      <c r="A112" s="21" t="s">
        <v>1138</v>
      </c>
      <c r="B112" s="21" t="s">
        <v>1141</v>
      </c>
      <c r="C112" s="21" t="s">
        <v>1142</v>
      </c>
      <c r="D112" s="21"/>
      <c r="E112" s="21" t="s">
        <v>996</v>
      </c>
      <c r="F112" s="21"/>
      <c r="G112" s="21"/>
      <c r="H112" s="21"/>
      <c r="I112" s="21"/>
      <c r="J112" s="21"/>
      <c r="K112" s="21"/>
      <c r="L112" s="21"/>
    </row>
    <row r="113" spans="1:12" ht="29" x14ac:dyDescent="0.35">
      <c r="A113" s="21" t="s">
        <v>1138</v>
      </c>
      <c r="B113" s="21" t="s">
        <v>1143</v>
      </c>
      <c r="C113" s="21" t="s">
        <v>1144</v>
      </c>
      <c r="D113" s="21"/>
      <c r="E113" s="21" t="s">
        <v>996</v>
      </c>
      <c r="F113" s="21"/>
      <c r="G113" s="21"/>
      <c r="H113" s="21"/>
      <c r="I113" s="21"/>
      <c r="J113" s="21"/>
      <c r="K113" s="21"/>
      <c r="L113" s="21"/>
    </row>
    <row r="114" spans="1:12" ht="29" x14ac:dyDescent="0.35">
      <c r="A114" s="21" t="s">
        <v>1138</v>
      </c>
      <c r="B114" s="21" t="s">
        <v>1145</v>
      </c>
      <c r="C114" s="21" t="s">
        <v>1146</v>
      </c>
      <c r="D114" s="21"/>
      <c r="E114" s="21" t="s">
        <v>996</v>
      </c>
      <c r="F114" s="21"/>
      <c r="G114" s="21"/>
      <c r="H114" s="21"/>
      <c r="I114" s="21"/>
      <c r="J114" s="21"/>
      <c r="K114" s="21"/>
      <c r="L114" s="21"/>
    </row>
    <row r="115" spans="1:12" ht="29" x14ac:dyDescent="0.35">
      <c r="A115" s="21" t="s">
        <v>1138</v>
      </c>
      <c r="B115" s="21" t="s">
        <v>1147</v>
      </c>
      <c r="C115" s="21" t="s">
        <v>1148</v>
      </c>
      <c r="D115" s="21"/>
      <c r="E115" s="21" t="s">
        <v>996</v>
      </c>
      <c r="F115" s="21"/>
      <c r="G115" s="21"/>
      <c r="H115" s="21"/>
      <c r="I115" s="21"/>
      <c r="J115" s="21"/>
      <c r="K115" s="21"/>
      <c r="L115" s="21"/>
    </row>
    <row r="116" spans="1:12" ht="29" x14ac:dyDescent="0.35">
      <c r="A116" s="21" t="s">
        <v>1138</v>
      </c>
      <c r="B116" s="21" t="s">
        <v>1149</v>
      </c>
      <c r="C116" s="21" t="s">
        <v>1150</v>
      </c>
      <c r="D116" s="21"/>
      <c r="E116" s="21" t="s">
        <v>996</v>
      </c>
      <c r="F116" s="21"/>
      <c r="G116" s="21"/>
      <c r="H116" s="21"/>
      <c r="I116" s="21"/>
      <c r="J116" s="21"/>
      <c r="K116" s="21"/>
      <c r="L116" s="21"/>
    </row>
    <row r="117" spans="1:12" ht="29" x14ac:dyDescent="0.35">
      <c r="A117" s="21" t="s">
        <v>1151</v>
      </c>
      <c r="B117" s="21" t="s">
        <v>1152</v>
      </c>
      <c r="C117" s="21" t="s">
        <v>1153</v>
      </c>
      <c r="D117" s="21"/>
      <c r="E117" s="21" t="s">
        <v>996</v>
      </c>
      <c r="F117" s="21"/>
      <c r="G117" s="21"/>
      <c r="H117" s="21"/>
      <c r="I117" s="21"/>
      <c r="J117" s="21"/>
      <c r="K117" s="21"/>
      <c r="L117" s="21"/>
    </row>
    <row r="118" spans="1:12" ht="29" x14ac:dyDescent="0.35">
      <c r="A118" s="21" t="s">
        <v>1151</v>
      </c>
      <c r="B118" s="21" t="s">
        <v>1154</v>
      </c>
      <c r="C118" s="21" t="s">
        <v>1155</v>
      </c>
      <c r="D118" s="21"/>
      <c r="E118" s="21" t="s">
        <v>996</v>
      </c>
      <c r="F118" s="21"/>
      <c r="G118" s="21"/>
      <c r="H118" s="21"/>
      <c r="I118" s="21"/>
      <c r="J118" s="21"/>
      <c r="K118" s="21"/>
      <c r="L118" s="21"/>
    </row>
    <row r="119" spans="1:12" ht="29" x14ac:dyDescent="0.35">
      <c r="A119" s="21" t="s">
        <v>1151</v>
      </c>
      <c r="B119" s="21" t="s">
        <v>1156</v>
      </c>
      <c r="C119" s="21" t="s">
        <v>1157</v>
      </c>
      <c r="D119" s="21"/>
      <c r="E119" s="21" t="s">
        <v>996</v>
      </c>
      <c r="F119" s="21"/>
      <c r="G119" s="21"/>
      <c r="H119" s="21"/>
      <c r="I119" s="21"/>
      <c r="J119" s="21"/>
      <c r="K119" s="21"/>
      <c r="L119" s="21"/>
    </row>
    <row r="120" spans="1:12" ht="29" x14ac:dyDescent="0.35">
      <c r="A120" s="21" t="s">
        <v>1151</v>
      </c>
      <c r="B120" s="21" t="s">
        <v>1158</v>
      </c>
      <c r="C120" s="21" t="s">
        <v>1159</v>
      </c>
      <c r="D120" s="21"/>
      <c r="E120" s="21" t="s">
        <v>996</v>
      </c>
      <c r="F120" s="21"/>
      <c r="G120" s="21"/>
      <c r="H120" s="21"/>
      <c r="I120" s="21"/>
      <c r="J120" s="21"/>
      <c r="K120" s="21"/>
      <c r="L120" s="21"/>
    </row>
    <row r="121" spans="1:12" ht="29" x14ac:dyDescent="0.35">
      <c r="A121" s="21" t="s">
        <v>1151</v>
      </c>
      <c r="B121" s="21" t="s">
        <v>1160</v>
      </c>
      <c r="C121" s="21" t="s">
        <v>1161</v>
      </c>
      <c r="D121" s="21"/>
      <c r="E121" s="21" t="s">
        <v>996</v>
      </c>
      <c r="F121" s="21"/>
      <c r="G121" s="21"/>
      <c r="H121" s="21"/>
      <c r="I121" s="21"/>
      <c r="J121" s="21"/>
      <c r="K121" s="21"/>
      <c r="L121" s="21"/>
    </row>
    <row r="122" spans="1:12" ht="29" x14ac:dyDescent="0.35">
      <c r="A122" s="21" t="s">
        <v>1151</v>
      </c>
      <c r="B122" s="21" t="s">
        <v>1162</v>
      </c>
      <c r="C122" s="21" t="s">
        <v>1163</v>
      </c>
      <c r="D122" s="21"/>
      <c r="E122" s="21" t="s">
        <v>996</v>
      </c>
      <c r="F122" s="21"/>
      <c r="G122" s="21"/>
      <c r="H122" s="21"/>
      <c r="I122" s="21"/>
      <c r="J122" s="21"/>
      <c r="K122" s="21"/>
      <c r="L122" s="21"/>
    </row>
    <row r="123" spans="1:12" ht="29" x14ac:dyDescent="0.35">
      <c r="A123" s="21" t="s">
        <v>432</v>
      </c>
      <c r="B123" s="21" t="s">
        <v>1164</v>
      </c>
      <c r="C123" s="21" t="s">
        <v>1165</v>
      </c>
      <c r="D123" s="21"/>
      <c r="E123" s="21" t="s">
        <v>1114</v>
      </c>
      <c r="F123" s="21"/>
      <c r="G123" s="21"/>
      <c r="H123" s="21"/>
      <c r="I123" s="21"/>
      <c r="J123" s="21"/>
      <c r="K123" s="21"/>
      <c r="L123" s="21"/>
    </row>
    <row r="124" spans="1:12" ht="29" x14ac:dyDescent="0.35">
      <c r="A124" s="21" t="s">
        <v>432</v>
      </c>
      <c r="B124" s="21" t="s">
        <v>1166</v>
      </c>
      <c r="C124" s="21" t="s">
        <v>1167</v>
      </c>
      <c r="D124" s="21"/>
      <c r="E124" s="21" t="s">
        <v>1114</v>
      </c>
      <c r="F124" s="21"/>
      <c r="G124" s="21"/>
      <c r="H124" s="21"/>
      <c r="I124" s="21"/>
      <c r="J124" s="21"/>
      <c r="K124" s="21"/>
      <c r="L124" s="21"/>
    </row>
    <row r="125" spans="1:12" ht="29" x14ac:dyDescent="0.35">
      <c r="A125" s="21" t="s">
        <v>432</v>
      </c>
      <c r="B125" s="21" t="s">
        <v>1168</v>
      </c>
      <c r="C125" s="21" t="s">
        <v>1169</v>
      </c>
      <c r="D125" s="21"/>
      <c r="E125" s="21" t="s">
        <v>1114</v>
      </c>
      <c r="F125" s="21"/>
      <c r="G125" s="21"/>
      <c r="H125" s="21"/>
      <c r="I125" s="21"/>
      <c r="J125" s="21"/>
      <c r="K125" s="21"/>
      <c r="L125" s="21"/>
    </row>
    <row r="126" spans="1:12" ht="29" x14ac:dyDescent="0.35">
      <c r="A126" s="21" t="s">
        <v>432</v>
      </c>
      <c r="B126" s="21" t="s">
        <v>1170</v>
      </c>
      <c r="C126" s="21" t="s">
        <v>1171</v>
      </c>
      <c r="D126" s="21"/>
      <c r="E126" s="21" t="s">
        <v>1114</v>
      </c>
      <c r="F126" s="21"/>
      <c r="G126" s="21"/>
      <c r="H126" s="21"/>
      <c r="I126" s="21"/>
      <c r="J126" s="21"/>
      <c r="K126" s="21"/>
      <c r="L126" s="21"/>
    </row>
    <row r="127" spans="1:12" ht="29" x14ac:dyDescent="0.35">
      <c r="A127" s="21" t="s">
        <v>432</v>
      </c>
      <c r="B127" s="21" t="s">
        <v>1172</v>
      </c>
      <c r="C127" s="21" t="s">
        <v>1173</v>
      </c>
      <c r="D127" s="21"/>
      <c r="E127" s="21" t="s">
        <v>1114</v>
      </c>
      <c r="F127" s="21"/>
      <c r="G127" s="21"/>
      <c r="H127" s="21"/>
      <c r="I127" s="21"/>
      <c r="J127" s="21"/>
      <c r="K127" s="21"/>
      <c r="L127" s="21"/>
    </row>
    <row r="128" spans="1:12" ht="29" x14ac:dyDescent="0.35">
      <c r="A128" s="21" t="s">
        <v>432</v>
      </c>
      <c r="B128" s="21" t="s">
        <v>1174</v>
      </c>
      <c r="C128" s="21" t="s">
        <v>1175</v>
      </c>
      <c r="D128" s="21"/>
      <c r="E128" s="21" t="s">
        <v>1114</v>
      </c>
      <c r="F128" s="21"/>
      <c r="G128" s="21"/>
      <c r="H128" s="21"/>
      <c r="I128" s="21"/>
      <c r="J128" s="21"/>
      <c r="K128" s="21"/>
      <c r="L128" s="21"/>
    </row>
    <row r="129" spans="1:12" ht="29" x14ac:dyDescent="0.35">
      <c r="A129" s="21" t="s">
        <v>1176</v>
      </c>
      <c r="B129" s="21" t="s">
        <v>1177</v>
      </c>
      <c r="C129" s="21" t="s">
        <v>1178</v>
      </c>
      <c r="D129" s="21"/>
      <c r="E129" s="21" t="s">
        <v>996</v>
      </c>
      <c r="F129" s="21"/>
      <c r="G129" s="21"/>
      <c r="H129" s="21"/>
      <c r="I129" s="21"/>
      <c r="J129" s="21"/>
      <c r="K129" s="21"/>
      <c r="L129" s="21"/>
    </row>
    <row r="130" spans="1:12" ht="29" x14ac:dyDescent="0.35">
      <c r="A130" s="21" t="s">
        <v>1176</v>
      </c>
      <c r="B130" s="21" t="s">
        <v>1179</v>
      </c>
      <c r="C130" s="21" t="s">
        <v>1180</v>
      </c>
      <c r="D130" s="21"/>
      <c r="E130" s="21" t="s">
        <v>996</v>
      </c>
      <c r="F130" s="21"/>
      <c r="G130" s="21"/>
      <c r="H130" s="21"/>
      <c r="I130" s="21"/>
      <c r="J130" s="21"/>
      <c r="K130" s="21"/>
      <c r="L130" s="21"/>
    </row>
    <row r="131" spans="1:12" ht="29" x14ac:dyDescent="0.35">
      <c r="A131" s="21" t="s">
        <v>1176</v>
      </c>
      <c r="B131" s="21" t="s">
        <v>1181</v>
      </c>
      <c r="C131" s="21" t="s">
        <v>1182</v>
      </c>
      <c r="D131" s="21"/>
      <c r="E131" s="21" t="s">
        <v>996</v>
      </c>
      <c r="F131" s="21"/>
      <c r="G131" s="21"/>
      <c r="H131" s="21"/>
      <c r="I131" s="21"/>
      <c r="J131" s="21"/>
      <c r="K131" s="21"/>
      <c r="L131" s="21"/>
    </row>
    <row r="132" spans="1:12" ht="29" x14ac:dyDescent="0.35">
      <c r="A132" s="21" t="s">
        <v>1176</v>
      </c>
      <c r="B132" s="21" t="s">
        <v>1183</v>
      </c>
      <c r="C132" s="21" t="s">
        <v>1184</v>
      </c>
      <c r="D132" s="21"/>
      <c r="E132" s="21" t="s">
        <v>996</v>
      </c>
      <c r="F132" s="21"/>
      <c r="G132" s="21"/>
      <c r="H132" s="21"/>
      <c r="I132" s="21"/>
      <c r="J132" s="21"/>
      <c r="K132" s="21"/>
      <c r="L132" s="21"/>
    </row>
    <row r="133" spans="1:12" ht="29" x14ac:dyDescent="0.35">
      <c r="A133" s="21" t="s">
        <v>1176</v>
      </c>
      <c r="B133" s="21" t="s">
        <v>1185</v>
      </c>
      <c r="C133" s="21" t="s">
        <v>1186</v>
      </c>
      <c r="D133" s="21"/>
      <c r="E133" s="21" t="s">
        <v>996</v>
      </c>
      <c r="F133" s="21"/>
      <c r="G133" s="21"/>
      <c r="H133" s="21"/>
      <c r="I133" s="21"/>
      <c r="J133" s="21"/>
      <c r="K133" s="21"/>
      <c r="L133" s="21"/>
    </row>
    <row r="134" spans="1:12" ht="29" x14ac:dyDescent="0.35">
      <c r="A134" s="21" t="s">
        <v>1176</v>
      </c>
      <c r="B134" s="21" t="s">
        <v>1187</v>
      </c>
      <c r="C134" s="21" t="s">
        <v>1188</v>
      </c>
      <c r="D134" s="21"/>
      <c r="E134" s="21" t="s">
        <v>996</v>
      </c>
      <c r="F134" s="21"/>
      <c r="G134" s="21"/>
      <c r="H134" s="21"/>
      <c r="I134" s="21"/>
      <c r="J134" s="21"/>
      <c r="K134" s="21"/>
      <c r="L134" s="21"/>
    </row>
    <row r="135" spans="1:12" ht="29" x14ac:dyDescent="0.35">
      <c r="A135" s="21" t="s">
        <v>1189</v>
      </c>
      <c r="B135" s="21" t="s">
        <v>1190</v>
      </c>
      <c r="C135" s="21" t="s">
        <v>1191</v>
      </c>
      <c r="D135" s="21"/>
      <c r="E135" s="21" t="s">
        <v>996</v>
      </c>
      <c r="F135" s="21"/>
      <c r="G135" s="21"/>
      <c r="H135" s="21"/>
      <c r="I135" s="21"/>
      <c r="J135" s="21"/>
      <c r="K135" s="21"/>
      <c r="L135" s="21"/>
    </row>
    <row r="136" spans="1:12" ht="29" x14ac:dyDescent="0.35">
      <c r="A136" s="21" t="s">
        <v>1189</v>
      </c>
      <c r="B136" s="21" t="s">
        <v>1192</v>
      </c>
      <c r="C136" s="21" t="s">
        <v>1193</v>
      </c>
      <c r="D136" s="21"/>
      <c r="E136" s="21" t="s">
        <v>996</v>
      </c>
      <c r="F136" s="21"/>
      <c r="G136" s="21"/>
      <c r="H136" s="21"/>
      <c r="I136" s="21"/>
      <c r="J136" s="21"/>
      <c r="K136" s="21"/>
      <c r="L136" s="21"/>
    </row>
    <row r="137" spans="1:12" ht="29" x14ac:dyDescent="0.35">
      <c r="A137" s="21" t="s">
        <v>1189</v>
      </c>
      <c r="B137" s="21" t="s">
        <v>1194</v>
      </c>
      <c r="C137" s="21" t="s">
        <v>1195</v>
      </c>
      <c r="D137" s="21"/>
      <c r="E137" s="21" t="s">
        <v>996</v>
      </c>
      <c r="F137" s="21"/>
      <c r="G137" s="21"/>
      <c r="H137" s="21"/>
      <c r="I137" s="21"/>
      <c r="J137" s="21"/>
      <c r="K137" s="21"/>
      <c r="L137" s="21"/>
    </row>
    <row r="138" spans="1:12" ht="29" x14ac:dyDescent="0.35">
      <c r="A138" s="21" t="s">
        <v>1189</v>
      </c>
      <c r="B138" s="21" t="s">
        <v>1196</v>
      </c>
      <c r="C138" s="21" t="s">
        <v>1197</v>
      </c>
      <c r="D138" s="21"/>
      <c r="E138" s="21" t="s">
        <v>996</v>
      </c>
      <c r="F138" s="21"/>
      <c r="G138" s="21"/>
      <c r="H138" s="21"/>
      <c r="I138" s="21"/>
      <c r="J138" s="21"/>
      <c r="K138" s="21"/>
      <c r="L138" s="21"/>
    </row>
    <row r="139" spans="1:12" ht="29" x14ac:dyDescent="0.35">
      <c r="A139" s="21" t="s">
        <v>1189</v>
      </c>
      <c r="B139" s="21" t="s">
        <v>1198</v>
      </c>
      <c r="C139" s="21" t="s">
        <v>1199</v>
      </c>
      <c r="D139" s="21"/>
      <c r="E139" s="21" t="s">
        <v>996</v>
      </c>
      <c r="F139" s="21"/>
      <c r="G139" s="21"/>
      <c r="H139" s="21"/>
      <c r="I139" s="21"/>
      <c r="J139" s="21"/>
      <c r="K139" s="21"/>
      <c r="L139" s="21"/>
    </row>
    <row r="140" spans="1:12" ht="29" x14ac:dyDescent="0.35">
      <c r="A140" s="21" t="s">
        <v>1189</v>
      </c>
      <c r="B140" s="21" t="s">
        <v>1200</v>
      </c>
      <c r="C140" s="21" t="s">
        <v>1201</v>
      </c>
      <c r="D140" s="21"/>
      <c r="E140" s="21" t="s">
        <v>996</v>
      </c>
      <c r="F140" s="21"/>
      <c r="G140" s="21"/>
      <c r="H140" s="21"/>
      <c r="I140" s="21"/>
      <c r="J140" s="21"/>
      <c r="K140" s="21"/>
      <c r="L140" s="21"/>
    </row>
    <row r="141" spans="1:12" ht="29" x14ac:dyDescent="0.35">
      <c r="A141" s="21" t="s">
        <v>1202</v>
      </c>
      <c r="B141" s="21" t="s">
        <v>1203</v>
      </c>
      <c r="C141" s="21" t="s">
        <v>1204</v>
      </c>
      <c r="D141" s="21"/>
      <c r="E141" s="21" t="s">
        <v>996</v>
      </c>
      <c r="F141" s="21"/>
      <c r="G141" s="21"/>
      <c r="H141" s="21"/>
      <c r="I141" s="21"/>
      <c r="J141" s="21"/>
      <c r="K141" s="21"/>
      <c r="L141" s="21"/>
    </row>
    <row r="142" spans="1:12" ht="29" x14ac:dyDescent="0.35">
      <c r="A142" s="21" t="s">
        <v>1202</v>
      </c>
      <c r="B142" s="21" t="s">
        <v>1205</v>
      </c>
      <c r="C142" s="21" t="s">
        <v>1206</v>
      </c>
      <c r="D142" s="21"/>
      <c r="E142" s="21" t="s">
        <v>996</v>
      </c>
      <c r="F142" s="21"/>
      <c r="G142" s="21"/>
      <c r="H142" s="21"/>
      <c r="I142" s="21"/>
      <c r="J142" s="21"/>
      <c r="K142" s="21"/>
      <c r="L142" s="21"/>
    </row>
    <row r="143" spans="1:12" ht="29" x14ac:dyDescent="0.35">
      <c r="A143" s="21" t="s">
        <v>1202</v>
      </c>
      <c r="B143" s="21" t="s">
        <v>1207</v>
      </c>
      <c r="C143" s="21" t="s">
        <v>1208</v>
      </c>
      <c r="D143" s="21"/>
      <c r="E143" s="21" t="s">
        <v>996</v>
      </c>
      <c r="F143" s="21"/>
      <c r="G143" s="21"/>
      <c r="H143" s="21"/>
      <c r="I143" s="21"/>
      <c r="J143" s="21"/>
      <c r="K143" s="21"/>
      <c r="L143" s="21"/>
    </row>
    <row r="144" spans="1:12" ht="29" x14ac:dyDescent="0.35">
      <c r="A144" s="21" t="s">
        <v>1202</v>
      </c>
      <c r="B144" s="21" t="s">
        <v>1209</v>
      </c>
      <c r="C144" s="21" t="s">
        <v>1210</v>
      </c>
      <c r="D144" s="21"/>
      <c r="E144" s="21" t="s">
        <v>996</v>
      </c>
      <c r="F144" s="21"/>
      <c r="G144" s="21"/>
      <c r="H144" s="21"/>
      <c r="I144" s="21"/>
      <c r="J144" s="21"/>
      <c r="K144" s="21"/>
      <c r="L144" s="21"/>
    </row>
    <row r="145" spans="1:12" ht="29" x14ac:dyDescent="0.35">
      <c r="A145" s="21" t="s">
        <v>1202</v>
      </c>
      <c r="B145" s="21" t="s">
        <v>1211</v>
      </c>
      <c r="C145" s="21" t="s">
        <v>1212</v>
      </c>
      <c r="D145" s="21"/>
      <c r="E145" s="21" t="s">
        <v>996</v>
      </c>
      <c r="F145" s="21"/>
      <c r="G145" s="21"/>
      <c r="H145" s="21"/>
      <c r="I145" s="21"/>
      <c r="J145" s="21"/>
      <c r="K145" s="21"/>
      <c r="L145" s="21"/>
    </row>
    <row r="146" spans="1:12" ht="29" x14ac:dyDescent="0.35">
      <c r="A146" s="21" t="s">
        <v>1202</v>
      </c>
      <c r="B146" s="21" t="s">
        <v>1213</v>
      </c>
      <c r="C146" s="21" t="s">
        <v>1214</v>
      </c>
      <c r="D146" s="21"/>
      <c r="E146" s="21" t="s">
        <v>996</v>
      </c>
      <c r="F146" s="21"/>
      <c r="G146" s="21"/>
      <c r="H146" s="21"/>
      <c r="I146" s="21"/>
      <c r="J146" s="21"/>
      <c r="K146" s="21"/>
      <c r="L146" s="21"/>
    </row>
    <row r="147" spans="1:12" ht="29" x14ac:dyDescent="0.35">
      <c r="A147" s="21" t="s">
        <v>1215</v>
      </c>
      <c r="B147" s="21" t="s">
        <v>1216</v>
      </c>
      <c r="C147" s="21" t="s">
        <v>1217</v>
      </c>
      <c r="D147" s="21"/>
      <c r="E147" s="21" t="s">
        <v>996</v>
      </c>
      <c r="F147" s="21"/>
      <c r="G147" s="21"/>
      <c r="H147" s="21"/>
      <c r="I147" s="21"/>
      <c r="J147" s="21"/>
      <c r="K147" s="21"/>
      <c r="L147" s="21"/>
    </row>
    <row r="148" spans="1:12" ht="29" x14ac:dyDescent="0.35">
      <c r="A148" s="21" t="s">
        <v>1215</v>
      </c>
      <c r="B148" s="21" t="s">
        <v>1218</v>
      </c>
      <c r="C148" s="21" t="s">
        <v>1219</v>
      </c>
      <c r="D148" s="21"/>
      <c r="E148" s="21" t="s">
        <v>996</v>
      </c>
      <c r="F148" s="21"/>
      <c r="G148" s="21"/>
      <c r="H148" s="21"/>
      <c r="I148" s="21"/>
      <c r="J148" s="21"/>
      <c r="K148" s="21"/>
      <c r="L148" s="21"/>
    </row>
    <row r="149" spans="1:12" ht="29" x14ac:dyDescent="0.35">
      <c r="A149" s="21" t="s">
        <v>1215</v>
      </c>
      <c r="B149" s="21" t="s">
        <v>1220</v>
      </c>
      <c r="C149" s="21" t="s">
        <v>1221</v>
      </c>
      <c r="D149" s="21"/>
      <c r="E149" s="21" t="s">
        <v>996</v>
      </c>
      <c r="F149" s="21"/>
      <c r="G149" s="21"/>
      <c r="H149" s="21"/>
      <c r="I149" s="21"/>
      <c r="J149" s="21"/>
      <c r="K149" s="21"/>
      <c r="L149" s="21"/>
    </row>
    <row r="150" spans="1:12" ht="29" x14ac:dyDescent="0.35">
      <c r="A150" s="21" t="s">
        <v>1215</v>
      </c>
      <c r="B150" s="21" t="s">
        <v>1222</v>
      </c>
      <c r="C150" s="21" t="s">
        <v>1223</v>
      </c>
      <c r="D150" s="21"/>
      <c r="E150" s="21" t="s">
        <v>996</v>
      </c>
      <c r="F150" s="21"/>
      <c r="G150" s="21"/>
      <c r="H150" s="21"/>
      <c r="I150" s="21"/>
      <c r="J150" s="21"/>
      <c r="K150" s="21"/>
      <c r="L150" s="21"/>
    </row>
    <row r="151" spans="1:12" ht="24" customHeight="1" x14ac:dyDescent="0.35">
      <c r="A151" s="133" t="s">
        <v>1215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</row>
    <row r="152" spans="1:12" x14ac:dyDescent="0.35">
      <c r="A152" s="21" t="s">
        <v>1215</v>
      </c>
      <c r="B152" s="21" t="s">
        <v>1224</v>
      </c>
      <c r="C152" s="21" t="s">
        <v>1225</v>
      </c>
      <c r="D152" s="21"/>
      <c r="E152" s="21" t="s">
        <v>996</v>
      </c>
      <c r="F152" s="21"/>
      <c r="G152" s="21"/>
      <c r="H152" s="21"/>
      <c r="I152" s="21"/>
      <c r="J152" s="21"/>
      <c r="K152" s="21"/>
      <c r="L152" s="21"/>
    </row>
    <row r="158" spans="1:12" x14ac:dyDescent="0.35">
      <c r="A158" s="98" t="s">
        <v>1226</v>
      </c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</row>
    <row r="160" spans="1:12" ht="29" x14ac:dyDescent="0.35">
      <c r="A160" s="100" t="s">
        <v>1227</v>
      </c>
      <c r="B160" s="100" t="s">
        <v>1228</v>
      </c>
      <c r="C160" s="100" t="s">
        <v>1229</v>
      </c>
      <c r="D160" s="100" t="s">
        <v>389</v>
      </c>
      <c r="E160" s="100" t="s">
        <v>870</v>
      </c>
      <c r="F160" s="100" t="s">
        <v>390</v>
      </c>
      <c r="G160" s="100" t="s">
        <v>990</v>
      </c>
      <c r="H160" s="100" t="s">
        <v>1230</v>
      </c>
      <c r="I160" s="100"/>
      <c r="J160" s="100"/>
      <c r="K160" s="100"/>
      <c r="L160" s="100"/>
    </row>
    <row r="161" spans="1:8" x14ac:dyDescent="0.35">
      <c r="A161" s="21" t="s">
        <v>1231</v>
      </c>
      <c r="B161" s="21"/>
      <c r="C161" s="21"/>
      <c r="D161" s="21"/>
      <c r="E161" s="21"/>
      <c r="F161" s="21"/>
      <c r="G161" s="21"/>
      <c r="H161" s="21"/>
    </row>
    <row r="162" spans="1:8" x14ac:dyDescent="0.35">
      <c r="A162" s="21" t="s">
        <v>1232</v>
      </c>
      <c r="B162" s="21"/>
      <c r="C162" s="21"/>
      <c r="D162" s="21"/>
      <c r="E162" s="21"/>
      <c r="F162" s="21"/>
      <c r="G162" s="21"/>
      <c r="H162" s="21"/>
    </row>
    <row r="163" spans="1:8" x14ac:dyDescent="0.35">
      <c r="A163" s="21" t="s">
        <v>509</v>
      </c>
      <c r="B163" s="21"/>
      <c r="C163" s="21"/>
      <c r="D163" s="21"/>
      <c r="E163" s="21"/>
      <c r="F163" s="21"/>
      <c r="G163" s="21"/>
      <c r="H163" s="21"/>
    </row>
    <row r="164" spans="1:8" x14ac:dyDescent="0.35">
      <c r="A164" s="21" t="s">
        <v>1233</v>
      </c>
      <c r="B164" s="21"/>
      <c r="C164" s="21"/>
      <c r="D164" s="21"/>
      <c r="E164" s="21"/>
      <c r="F164" s="21"/>
      <c r="G164" s="21"/>
      <c r="H164" s="21"/>
    </row>
    <row r="165" spans="1:8" x14ac:dyDescent="0.35">
      <c r="A165" s="21" t="s">
        <v>1234</v>
      </c>
      <c r="B165" s="21"/>
      <c r="C165" s="21"/>
      <c r="D165" s="21"/>
      <c r="E165" s="21"/>
      <c r="F165" s="21"/>
      <c r="G165" s="21"/>
      <c r="H165" s="21"/>
    </row>
    <row r="166" spans="1:8" x14ac:dyDescent="0.35">
      <c r="A166" s="21" t="s">
        <v>1235</v>
      </c>
      <c r="B166" s="21"/>
      <c r="C166" s="21"/>
      <c r="D166" s="21"/>
      <c r="E166" s="21"/>
      <c r="F166" s="21"/>
      <c r="G166" s="21"/>
      <c r="H166" s="21"/>
    </row>
    <row r="167" spans="1:8" x14ac:dyDescent="0.35">
      <c r="A167" s="21" t="s">
        <v>1236</v>
      </c>
      <c r="B167" s="21"/>
      <c r="C167" s="21"/>
      <c r="D167" s="21"/>
      <c r="E167" s="21"/>
      <c r="F167" s="21"/>
      <c r="G167" s="21"/>
      <c r="H167" s="21"/>
    </row>
    <row r="168" spans="1:8" x14ac:dyDescent="0.35">
      <c r="A168" s="21" t="s">
        <v>1237</v>
      </c>
      <c r="B168" s="21"/>
      <c r="C168" s="21"/>
      <c r="D168" s="21"/>
      <c r="E168" s="21"/>
      <c r="F168" s="21"/>
      <c r="G168" s="21"/>
      <c r="H168" s="21"/>
    </row>
    <row r="169" spans="1:8" x14ac:dyDescent="0.35">
      <c r="A169" s="21" t="s">
        <v>1238</v>
      </c>
      <c r="B169" s="21"/>
      <c r="C169" s="21"/>
      <c r="D169" s="21"/>
      <c r="E169" s="21"/>
      <c r="F169" s="21"/>
      <c r="G169" s="21"/>
      <c r="H169" s="21"/>
    </row>
    <row r="170" spans="1:8" x14ac:dyDescent="0.35">
      <c r="A170" s="21" t="s">
        <v>1239</v>
      </c>
      <c r="B170" s="21"/>
      <c r="C170" s="21"/>
      <c r="D170" s="21"/>
      <c r="E170" s="21"/>
      <c r="F170" s="21"/>
      <c r="G170" s="21"/>
      <c r="H170" s="21"/>
    </row>
    <row r="171" spans="1:8" x14ac:dyDescent="0.35">
      <c r="A171" s="21" t="s">
        <v>1240</v>
      </c>
      <c r="B171" s="21"/>
      <c r="C171" s="21"/>
      <c r="D171" s="21"/>
      <c r="E171" s="21"/>
      <c r="F171" s="21"/>
      <c r="G171" s="21"/>
      <c r="H171" s="21"/>
    </row>
    <row r="172" spans="1:8" x14ac:dyDescent="0.35">
      <c r="A172" s="21" t="s">
        <v>1241</v>
      </c>
      <c r="B172" s="21"/>
      <c r="C172" s="21"/>
      <c r="D172" s="21"/>
      <c r="E172" s="21"/>
      <c r="F172" s="21"/>
      <c r="G172" s="21"/>
      <c r="H172" s="21"/>
    </row>
    <row r="173" spans="1:8" x14ac:dyDescent="0.35">
      <c r="A173" s="21" t="s">
        <v>1242</v>
      </c>
      <c r="B173" s="21"/>
      <c r="C173" s="21"/>
      <c r="D173" s="21"/>
      <c r="E173" s="21"/>
      <c r="F173" s="21"/>
      <c r="G173" s="21"/>
      <c r="H173" s="21"/>
    </row>
    <row r="174" spans="1:8" x14ac:dyDescent="0.35">
      <c r="A174" s="21" t="s">
        <v>1243</v>
      </c>
      <c r="B174" s="21"/>
      <c r="C174" s="21"/>
      <c r="D174" s="21"/>
      <c r="E174" s="21"/>
      <c r="F174" s="21"/>
      <c r="G174" s="21"/>
      <c r="H174" s="21"/>
    </row>
    <row r="175" spans="1:8" x14ac:dyDescent="0.35">
      <c r="A175" s="21" t="s">
        <v>1244</v>
      </c>
      <c r="B175" s="21"/>
      <c r="C175" s="21"/>
      <c r="D175" s="21"/>
      <c r="E175" s="21"/>
      <c r="F175" s="21"/>
      <c r="G175" s="21"/>
      <c r="H175" s="21"/>
    </row>
    <row r="176" spans="1:8" x14ac:dyDescent="0.35">
      <c r="A176" s="21" t="s">
        <v>1245</v>
      </c>
      <c r="B176" s="21"/>
      <c r="C176" s="21"/>
      <c r="D176" s="21"/>
      <c r="E176" s="21"/>
      <c r="F176" s="21"/>
      <c r="G176" s="21"/>
      <c r="H176" s="21"/>
    </row>
    <row r="177" spans="1:12" x14ac:dyDescent="0.35">
      <c r="A177" s="21" t="s">
        <v>1246</v>
      </c>
      <c r="B177" s="21"/>
      <c r="C177" s="21"/>
      <c r="D177" s="21"/>
      <c r="E177" s="21"/>
      <c r="F177" s="21"/>
      <c r="G177" s="21"/>
      <c r="H177" s="21"/>
    </row>
    <row r="178" spans="1:12" x14ac:dyDescent="0.35">
      <c r="A178" s="21" t="s">
        <v>1247</v>
      </c>
      <c r="B178" s="21"/>
      <c r="C178" s="21"/>
      <c r="D178" s="21"/>
      <c r="E178" s="21"/>
      <c r="F178" s="21"/>
      <c r="G178" s="21"/>
      <c r="H178" s="21"/>
    </row>
    <row r="179" spans="1:12" ht="24" customHeight="1" x14ac:dyDescent="0.35">
      <c r="A179" s="133" t="s">
        <v>1248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</row>
    <row r="180" spans="1:12" x14ac:dyDescent="0.35">
      <c r="A180" s="21" t="s">
        <v>1249</v>
      </c>
      <c r="B180" s="21"/>
      <c r="C180" s="21"/>
      <c r="D180" s="21"/>
      <c r="E180" s="21"/>
      <c r="F180" s="21"/>
      <c r="G180" s="21"/>
      <c r="H180" s="21"/>
    </row>
    <row r="186" spans="1:12" x14ac:dyDescent="0.35">
      <c r="A186" s="98" t="s">
        <v>1250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</row>
    <row r="188" spans="1:12" ht="29" x14ac:dyDescent="0.35">
      <c r="A188" s="100" t="s">
        <v>1251</v>
      </c>
      <c r="B188" s="100" t="s">
        <v>1252</v>
      </c>
      <c r="C188" s="100" t="s">
        <v>1253</v>
      </c>
      <c r="D188" s="100" t="s">
        <v>1254</v>
      </c>
      <c r="E188" s="100" t="s">
        <v>870</v>
      </c>
      <c r="F188" s="100" t="s">
        <v>1255</v>
      </c>
      <c r="G188" s="100" t="s">
        <v>338</v>
      </c>
    </row>
    <row r="189" spans="1:12" x14ac:dyDescent="0.35">
      <c r="A189" s="21" t="s">
        <v>428</v>
      </c>
      <c r="B189" s="21"/>
      <c r="C189" s="21"/>
      <c r="D189" s="21"/>
      <c r="E189" s="21"/>
      <c r="F189" s="21"/>
      <c r="G189" s="21"/>
    </row>
    <row r="190" spans="1:12" x14ac:dyDescent="0.35">
      <c r="A190" s="21" t="s">
        <v>582</v>
      </c>
      <c r="B190" s="21"/>
      <c r="C190" s="21"/>
      <c r="D190" s="21"/>
      <c r="E190" s="21"/>
      <c r="F190" s="21"/>
      <c r="G190" s="21"/>
    </row>
    <row r="191" spans="1:12" x14ac:dyDescent="0.35">
      <c r="A191" s="21" t="s">
        <v>435</v>
      </c>
      <c r="B191" s="21"/>
      <c r="C191" s="21"/>
      <c r="D191" s="21"/>
      <c r="E191" s="21"/>
      <c r="F191" s="21"/>
      <c r="G191" s="21"/>
    </row>
    <row r="192" spans="1:12" x14ac:dyDescent="0.35">
      <c r="A192" s="21" t="s">
        <v>93</v>
      </c>
      <c r="B192" s="21"/>
      <c r="C192" s="21"/>
      <c r="D192" s="21"/>
      <c r="E192" s="21"/>
      <c r="F192" s="21"/>
      <c r="G192" s="21"/>
    </row>
    <row r="193" spans="1:12" x14ac:dyDescent="0.35">
      <c r="A193" s="21" t="s">
        <v>431</v>
      </c>
      <c r="B193" s="21"/>
      <c r="C193" s="21"/>
      <c r="D193" s="21"/>
      <c r="E193" s="21"/>
      <c r="F193" s="21"/>
      <c r="G193" s="21"/>
    </row>
    <row r="194" spans="1:12" x14ac:dyDescent="0.35">
      <c r="A194" s="21" t="s">
        <v>97</v>
      </c>
      <c r="B194" s="21"/>
      <c r="C194" s="21"/>
      <c r="D194" s="21"/>
      <c r="E194" s="21"/>
      <c r="F194" s="21"/>
      <c r="G194" s="21"/>
    </row>
    <row r="195" spans="1:12" x14ac:dyDescent="0.35">
      <c r="A195" s="21" t="s">
        <v>100</v>
      </c>
      <c r="B195" s="21"/>
      <c r="C195" s="21"/>
      <c r="D195" s="21"/>
      <c r="E195" s="21"/>
      <c r="F195" s="21"/>
      <c r="G195" s="21"/>
    </row>
    <row r="196" spans="1:12" x14ac:dyDescent="0.35">
      <c r="A196" s="21" t="s">
        <v>1176</v>
      </c>
      <c r="B196" s="21"/>
      <c r="C196" s="21"/>
      <c r="D196" s="21"/>
      <c r="E196" s="21"/>
      <c r="F196" s="21"/>
      <c r="G196" s="21"/>
    </row>
    <row r="197" spans="1:12" x14ac:dyDescent="0.35">
      <c r="A197" s="21" t="s">
        <v>160</v>
      </c>
      <c r="B197" s="21"/>
      <c r="C197" s="21"/>
      <c r="D197" s="21"/>
      <c r="E197" s="21"/>
      <c r="F197" s="21"/>
      <c r="G197" s="21"/>
    </row>
    <row r="198" spans="1:12" x14ac:dyDescent="0.35">
      <c r="A198" s="21" t="s">
        <v>1256</v>
      </c>
      <c r="B198" s="21"/>
      <c r="C198" s="21"/>
      <c r="D198" s="21"/>
      <c r="E198" s="21"/>
      <c r="F198" s="21"/>
      <c r="G198" s="21"/>
    </row>
    <row r="199" spans="1:12" x14ac:dyDescent="0.35">
      <c r="A199" s="21" t="s">
        <v>1257</v>
      </c>
      <c r="B199" s="21"/>
      <c r="C199" s="21"/>
      <c r="D199" s="21"/>
      <c r="E199" s="21"/>
      <c r="F199" s="21"/>
      <c r="G199" s="21"/>
    </row>
    <row r="200" spans="1:12" x14ac:dyDescent="0.35">
      <c r="A200" s="21" t="s">
        <v>1258</v>
      </c>
      <c r="B200" s="21"/>
      <c r="C200" s="21"/>
      <c r="D200" s="21"/>
      <c r="E200" s="21"/>
      <c r="F200" s="21"/>
      <c r="G200" s="21"/>
    </row>
    <row r="201" spans="1:12" x14ac:dyDescent="0.35">
      <c r="A201" s="21" t="s">
        <v>116</v>
      </c>
      <c r="B201" s="21"/>
      <c r="C201" s="21"/>
      <c r="D201" s="21"/>
      <c r="E201" s="21"/>
      <c r="F201" s="21"/>
      <c r="G201" s="21"/>
    </row>
    <row r="202" spans="1:12" x14ac:dyDescent="0.35">
      <c r="A202" s="21" t="s">
        <v>129</v>
      </c>
      <c r="B202" s="21"/>
      <c r="C202" s="21"/>
      <c r="D202" s="21"/>
      <c r="E202" s="21"/>
      <c r="F202" s="21"/>
      <c r="G202" s="21"/>
    </row>
    <row r="203" spans="1:12" x14ac:dyDescent="0.35">
      <c r="A203" s="21" t="s">
        <v>437</v>
      </c>
      <c r="B203" s="21"/>
      <c r="C203" s="21"/>
      <c r="D203" s="21"/>
      <c r="E203" s="21"/>
      <c r="F203" s="21"/>
      <c r="G203" s="21"/>
    </row>
    <row r="204" spans="1:12" x14ac:dyDescent="0.35">
      <c r="A204" s="21" t="s">
        <v>125</v>
      </c>
      <c r="B204" s="21"/>
      <c r="C204" s="21"/>
      <c r="D204" s="21"/>
      <c r="E204" s="21"/>
      <c r="F204" s="21"/>
      <c r="G204" s="21"/>
    </row>
    <row r="205" spans="1:12" x14ac:dyDescent="0.35">
      <c r="A205" s="21" t="s">
        <v>442</v>
      </c>
      <c r="B205" s="21"/>
      <c r="C205" s="21"/>
      <c r="D205" s="21"/>
      <c r="E205" s="21"/>
      <c r="F205" s="21"/>
      <c r="G205" s="21"/>
    </row>
    <row r="206" spans="1:12" x14ac:dyDescent="0.35">
      <c r="A206" s="21" t="s">
        <v>1259</v>
      </c>
      <c r="B206" s="21"/>
      <c r="C206" s="21"/>
      <c r="D206" s="21"/>
      <c r="E206" s="21"/>
      <c r="F206" s="21"/>
      <c r="G206" s="21"/>
    </row>
    <row r="207" spans="1:12" ht="24" customHeight="1" x14ac:dyDescent="0.35">
      <c r="A207" s="133" t="s">
        <v>1260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</row>
    <row r="208" spans="1:12" x14ac:dyDescent="0.35">
      <c r="A208" s="21" t="s">
        <v>439</v>
      </c>
      <c r="B208" s="21"/>
      <c r="C208" s="21"/>
      <c r="D208" s="21"/>
      <c r="E208" s="21"/>
      <c r="F208" s="21"/>
      <c r="G208" s="21"/>
    </row>
    <row r="214" spans="1:12" x14ac:dyDescent="0.35">
      <c r="A214" s="98" t="s">
        <v>1261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</row>
    <row r="216" spans="1:12" x14ac:dyDescent="0.35">
      <c r="A216" s="100" t="s">
        <v>1262</v>
      </c>
      <c r="B216" s="100" t="s">
        <v>1263</v>
      </c>
      <c r="C216" s="100" t="s">
        <v>292</v>
      </c>
      <c r="D216" s="100" t="s">
        <v>371</v>
      </c>
      <c r="E216" s="100" t="s">
        <v>360</v>
      </c>
      <c r="F216" s="100" t="s">
        <v>1264</v>
      </c>
      <c r="G216" s="100" t="s">
        <v>990</v>
      </c>
      <c r="H216" s="100" t="s">
        <v>338</v>
      </c>
    </row>
    <row r="217" spans="1:12" x14ac:dyDescent="0.35">
      <c r="A217" t="s">
        <v>1265</v>
      </c>
    </row>
    <row r="218" spans="1:12" x14ac:dyDescent="0.35">
      <c r="A218" t="s">
        <v>1266</v>
      </c>
    </row>
    <row r="219" spans="1:12" x14ac:dyDescent="0.35">
      <c r="A219" t="s">
        <v>1267</v>
      </c>
    </row>
    <row r="220" spans="1:12" x14ac:dyDescent="0.35">
      <c r="A220" t="s">
        <v>1268</v>
      </c>
    </row>
    <row r="221" spans="1:12" x14ac:dyDescent="0.35">
      <c r="A221" t="s">
        <v>1269</v>
      </c>
    </row>
    <row r="222" spans="1:12" x14ac:dyDescent="0.35">
      <c r="A222" t="s">
        <v>1270</v>
      </c>
    </row>
    <row r="223" spans="1:12" ht="24" customHeight="1" x14ac:dyDescent="0.35">
      <c r="A223" s="129" t="s">
        <v>1271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</row>
    <row r="224" spans="1:12" x14ac:dyDescent="0.35">
      <c r="A224" t="s">
        <v>1272</v>
      </c>
    </row>
    <row r="230" spans="1:12" x14ac:dyDescent="0.35">
      <c r="A230" s="98" t="s">
        <v>1273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2" spans="1:12" ht="29" x14ac:dyDescent="0.35">
      <c r="A232" s="100" t="s">
        <v>1229</v>
      </c>
      <c r="B232" s="100" t="s">
        <v>1274</v>
      </c>
      <c r="C232" s="100" t="s">
        <v>390</v>
      </c>
      <c r="D232" s="100" t="s">
        <v>351</v>
      </c>
      <c r="E232" s="100" t="s">
        <v>352</v>
      </c>
      <c r="F232" s="100" t="s">
        <v>292</v>
      </c>
      <c r="G232" s="100" t="s">
        <v>353</v>
      </c>
      <c r="H232" s="100" t="s">
        <v>338</v>
      </c>
    </row>
    <row r="240" spans="1:12" x14ac:dyDescent="0.3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</row>
    <row r="241" spans="1:12" x14ac:dyDescent="0.3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</row>
    <row r="247" spans="1:12" ht="29" x14ac:dyDescent="0.35">
      <c r="A247" s="106" t="s">
        <v>1275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3"/>
    </row>
    <row r="248" spans="1:12" ht="43.5" x14ac:dyDescent="0.35">
      <c r="A248" s="111" t="s">
        <v>1276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3"/>
    </row>
    <row r="249" spans="1:12" ht="29" x14ac:dyDescent="0.35">
      <c r="A249" s="110" t="s">
        <v>1277</v>
      </c>
      <c r="B249" s="110" t="s">
        <v>1278</v>
      </c>
      <c r="C249" s="110" t="s">
        <v>81</v>
      </c>
      <c r="D249" s="110" t="s">
        <v>615</v>
      </c>
      <c r="E249" s="110" t="s">
        <v>616</v>
      </c>
      <c r="F249" s="110" t="s">
        <v>990</v>
      </c>
      <c r="G249" s="110" t="s">
        <v>1279</v>
      </c>
      <c r="H249" s="110" t="s">
        <v>390</v>
      </c>
      <c r="I249" s="110" t="s">
        <v>351</v>
      </c>
      <c r="J249" s="110" t="s">
        <v>292</v>
      </c>
      <c r="K249" s="110" t="s">
        <v>353</v>
      </c>
      <c r="L249" s="110" t="s">
        <v>619</v>
      </c>
    </row>
    <row r="250" spans="1:12" x14ac:dyDescent="0.35">
      <c r="A250" s="105" t="s">
        <v>1280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x14ac:dyDescent="0.35">
      <c r="A251" s="105" t="s">
        <v>1281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x14ac:dyDescent="0.35">
      <c r="A252" s="105" t="s">
        <v>1282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29" x14ac:dyDescent="0.35">
      <c r="A253" s="105" t="s">
        <v>1283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29" x14ac:dyDescent="0.35">
      <c r="A254" s="105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29" x14ac:dyDescent="0.35">
      <c r="A255" s="105" t="s">
        <v>1285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29" x14ac:dyDescent="0.35">
      <c r="A256" s="105" t="s">
        <v>1286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29" x14ac:dyDescent="0.35">
      <c r="A257" s="105" t="s">
        <v>1287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29" x14ac:dyDescent="0.35">
      <c r="A258" s="105" t="s">
        <v>1288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29" x14ac:dyDescent="0.35">
      <c r="A259" s="105" t="s">
        <v>1289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29" x14ac:dyDescent="0.35">
      <c r="A260" s="105" t="s">
        <v>1290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29" x14ac:dyDescent="0.35">
      <c r="A261" s="105" t="s">
        <v>1291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29" x14ac:dyDescent="0.35">
      <c r="A262" s="105" t="s">
        <v>1292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43.5" x14ac:dyDescent="0.35">
      <c r="A263" s="105" t="s">
        <v>1293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29" x14ac:dyDescent="0.35">
      <c r="A264" s="105" t="s">
        <v>1294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x14ac:dyDescent="0.35">
      <c r="A265" s="105" t="s">
        <v>1295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</sheetData>
  <mergeCells count="9">
    <mergeCell ref="A1:L1"/>
    <mergeCell ref="A17:L17"/>
    <mergeCell ref="A241:L241"/>
    <mergeCell ref="A223:L223"/>
    <mergeCell ref="A35:L35"/>
    <mergeCell ref="A240:L240"/>
    <mergeCell ref="A179:L179"/>
    <mergeCell ref="A151:L151"/>
    <mergeCell ref="A207:L207"/>
  </mergeCells>
  <conditionalFormatting sqref="B12">
    <cfRule type="expression" dxfId="279" priority="12">
      <formula>B12="Green"</formula>
    </cfRule>
    <cfRule type="expression" dxfId="278" priority="13">
      <formula>B12="Amber"</formula>
    </cfRule>
    <cfRule type="expression" dxfId="277" priority="14">
      <formula>B12="Red"</formula>
    </cfRule>
  </conditionalFormatting>
  <conditionalFormatting sqref="B182:B201">
    <cfRule type="expression" dxfId="276" priority="3">
      <formula>B182="Pass"</formula>
    </cfRule>
  </conditionalFormatting>
  <conditionalFormatting sqref="C20:C43">
    <cfRule type="expression" dxfId="275" priority="8">
      <formula>C20="Green"</formula>
    </cfRule>
    <cfRule type="expression" dxfId="274" priority="9">
      <formula>C20="Amber"</formula>
    </cfRule>
    <cfRule type="expression" dxfId="273" priority="10">
      <formula>C20="Red"</formula>
    </cfRule>
    <cfRule type="expression" dxfId="272" priority="11">
      <formula>C20="N/A"</formula>
    </cfRule>
  </conditionalFormatting>
  <conditionalFormatting sqref="C20:C45">
    <cfRule type="expression" dxfId="271" priority="4">
      <formula>ISNUMBER(SEARCH("Green",C20))</formula>
    </cfRule>
    <cfRule type="expression" dxfId="270" priority="5">
      <formula>ISNUMBER(SEARCH("Amber",C20))</formula>
    </cfRule>
    <cfRule type="expression" dxfId="269" priority="6">
      <formula>ISNUMBER(SEARCH("Red",C20))</formula>
    </cfRule>
    <cfRule type="expression" dxfId="268" priority="7">
      <formula>C20="N/A"</formula>
    </cfRule>
  </conditionalFormatting>
  <conditionalFormatting sqref="E154:E173">
    <cfRule type="expression" dxfId="267" priority="2">
      <formula>E154="Pass"</formula>
    </cfRule>
  </conditionalFormatting>
  <conditionalFormatting sqref="H38:H145">
    <cfRule type="expression" dxfId="266" priority="1">
      <formula>H38="Pass"</formula>
    </cfRule>
  </conditionalFormatting>
  <dataValidations count="8">
    <dataValidation type="list" sqref="H38:H145 E154:E173" xr:uid="{00000000-0002-0000-2C00-000000000000}">
      <formula1>"Pass,Developing,Fail,N/A"</formula1>
    </dataValidation>
    <dataValidation type="list" sqref="F38:F145" xr:uid="{00000000-0002-0000-2C00-000001000000}">
      <formula1>"1,2,3,4,5"</formula1>
    </dataValidation>
    <dataValidation type="list" sqref="B182:B201" xr:uid="{00000000-0002-0000-2C00-000003000000}">
      <formula1>"Complete,In Progress,Not Started,N/A"</formula1>
    </dataValidation>
    <dataValidation type="list" allowBlank="1" sqref="C243:E258" xr:uid="{00000000-0002-0000-2C00-000004000000}">
      <formula1>"Yes,No,N/A"</formula1>
    </dataValidation>
    <dataValidation type="list" allowBlank="1" sqref="C20:C45" xr:uid="{00000000-0002-0000-2C00-000005000000}">
      <formula1>"Green - Received,Amber - Awaiting,Red - Missing,N/A"</formula1>
    </dataValidation>
    <dataValidation type="list" sqref="C20:C43" xr:uid="{00000000-0002-0000-2C00-000006000000}">
      <formula1>"Green,Amber,Red,N/A"</formula1>
    </dataValidation>
    <dataValidation type="list" sqref="F42:F230" xr:uid="{00000000-0002-0000-2C00-000007000000}">
      <formula1>"1,2,3,4,5,N/A"</formula1>
    </dataValidation>
    <dataValidation type="list" sqref="H42:H230 H235:H255" xr:uid="{00000000-0002-0000-2C00-000008000000}">
      <formula1>"Pass,Fail,Not Assessed,N/A"</formula1>
    </dataValidation>
  </dataValidation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L265"/>
  <sheetViews>
    <sheetView workbookViewId="0"/>
  </sheetViews>
  <sheetFormatPr defaultRowHeight="14.5" x14ac:dyDescent="0.35"/>
  <cols>
    <col min="1" max="1" width="42" customWidth="1"/>
    <col min="2" max="2" width="36" customWidth="1"/>
    <col min="3" max="3" width="52" customWidth="1"/>
    <col min="4" max="4" width="34" customWidth="1"/>
    <col min="5" max="5" width="30" customWidth="1"/>
    <col min="6" max="6" width="12" customWidth="1"/>
    <col min="7" max="7" width="16" customWidth="1"/>
    <col min="8" max="8" width="14" customWidth="1"/>
    <col min="9" max="9" width="28" customWidth="1"/>
    <col min="10" max="12" width="14" customWidth="1"/>
  </cols>
  <sheetData>
    <row r="1" spans="1:12" ht="30" customHeight="1" x14ac:dyDescent="0.35">
      <c r="A1" s="134" t="s">
        <v>1301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x14ac:dyDescent="0.35">
      <c r="A2" t="s">
        <v>928</v>
      </c>
      <c r="D2" t="s">
        <v>929</v>
      </c>
    </row>
    <row r="4" spans="1:12" x14ac:dyDescent="0.35">
      <c r="A4" s="101" t="s">
        <v>882</v>
      </c>
      <c r="B4" s="101" t="str">
        <f>IF('Induction Employee Register'!A10="","",'Induction Employee Register'!A10)</f>
        <v>SW007</v>
      </c>
      <c r="D4" t="s">
        <v>930</v>
      </c>
      <c r="E4" t="s">
        <v>931</v>
      </c>
      <c r="F4" t="s">
        <v>932</v>
      </c>
      <c r="G4" t="s">
        <v>933</v>
      </c>
      <c r="H4" t="s">
        <v>58</v>
      </c>
      <c r="I4" t="s">
        <v>934</v>
      </c>
      <c r="J4" t="s">
        <v>54</v>
      </c>
      <c r="K4" t="s">
        <v>935</v>
      </c>
      <c r="L4" t="s">
        <v>43</v>
      </c>
    </row>
    <row r="5" spans="1:12" x14ac:dyDescent="0.35">
      <c r="A5" s="101" t="s">
        <v>883</v>
      </c>
      <c r="B5" s="101" t="str">
        <f>IF('Induction Employee Register'!B10="","",'Induction Employee Register'!B10)</f>
        <v/>
      </c>
      <c r="D5" t="s">
        <v>936</v>
      </c>
    </row>
    <row r="6" spans="1:12" x14ac:dyDescent="0.35">
      <c r="A6" s="101" t="s">
        <v>322</v>
      </c>
      <c r="B6" s="101" t="str">
        <f>IF('Induction Employee Register'!C10="","",'Induction Employee Register'!C10)</f>
        <v/>
      </c>
      <c r="D6" t="s">
        <v>937</v>
      </c>
      <c r="E6" t="s">
        <v>938</v>
      </c>
    </row>
    <row r="7" spans="1:12" x14ac:dyDescent="0.35">
      <c r="A7" s="101" t="s">
        <v>323</v>
      </c>
      <c r="B7" s="126" t="str">
        <f>IF('Induction Employee Register'!D10="","",'Induction Employee Register'!D10)</f>
        <v/>
      </c>
      <c r="D7" t="s">
        <v>939</v>
      </c>
      <c r="E7" t="s">
        <v>940</v>
      </c>
    </row>
    <row r="8" spans="1:12" x14ac:dyDescent="0.35">
      <c r="A8" s="101" t="s">
        <v>886</v>
      </c>
      <c r="B8" s="125">
        <f>IFERROR(COUNTIF($H$42:$H$230,"Pass")/(COUNTIF($H$42:$H$230,"Pass")+COUNTIF($H$42:$H$230,"Fail")+COUNTIF($H$42:$H$230,"Not Assessed")),0)</f>
        <v>0</v>
      </c>
      <c r="D8" t="s">
        <v>6</v>
      </c>
      <c r="E8" t="s">
        <v>941</v>
      </c>
    </row>
    <row r="9" spans="1:12" x14ac:dyDescent="0.35">
      <c r="A9" s="101" t="s">
        <v>887</v>
      </c>
      <c r="B9" s="125">
        <f>IFERROR(COUNTIF($H$235:$H$255,"Pass")/(COUNTIF($H$235:$H$255,"Pass")+COUNTIF($H$235:$H$255,"Fail")+COUNTIF($H$235:$H$255,"Not Assessed")),0)</f>
        <v>0</v>
      </c>
      <c r="D9" t="s">
        <v>942</v>
      </c>
      <c r="E9" t="s">
        <v>943</v>
      </c>
    </row>
    <row r="10" spans="1:12" x14ac:dyDescent="0.35">
      <c r="A10" s="101" t="s">
        <v>888</v>
      </c>
      <c r="B10" s="125" t="str">
        <f>IFERROR(IF($B$5="","",IF(INDEX('Mandatory Training Dashboard'!$D$5:$D$53,MATCH($B$5,'Mandatory Training Dashboard'!$A$5:$A$53,0))&gt;1,INDEX('Mandatory Training Dashboard'!$D$5:$D$53,MATCH($B$5,'Mandatory Training Dashboard'!$A$5:$A$53,0))/100,INDEX('Mandatory Training Dashboard'!$D$5:$D$53,MATCH($B$5,'Mandatory Training Dashboard'!$A$5:$A$53,0)))),0)</f>
        <v/>
      </c>
      <c r="D10" t="s">
        <v>944</v>
      </c>
      <c r="E10" t="s">
        <v>945</v>
      </c>
    </row>
    <row r="11" spans="1:12" x14ac:dyDescent="0.35">
      <c r="A11" s="101" t="s">
        <v>893</v>
      </c>
      <c r="B11" s="125">
        <f>IFERROR(AVERAGE(B8:B10),0)</f>
        <v>0</v>
      </c>
      <c r="D11" t="s">
        <v>946</v>
      </c>
      <c r="E11" t="s">
        <v>947</v>
      </c>
    </row>
    <row r="12" spans="1:12" x14ac:dyDescent="0.35">
      <c r="A12" s="101" t="s">
        <v>948</v>
      </c>
      <c r="B12" s="101" t="str">
        <f>IF(B11&gt;=0.9,"Green",IF(B11&gt;=0.75,"Amber","Red"))</f>
        <v>Red</v>
      </c>
      <c r="D12" t="s">
        <v>949</v>
      </c>
      <c r="E12" t="s">
        <v>950</v>
      </c>
    </row>
    <row r="13" spans="1:12" x14ac:dyDescent="0.35">
      <c r="A13" s="101" t="s">
        <v>891</v>
      </c>
      <c r="B13" s="101">
        <f>IF('Induction Employee Register'!N10="","",'Induction Employee Register'!N10)</f>
        <v>0</v>
      </c>
      <c r="D13" t="s">
        <v>951</v>
      </c>
      <c r="E13" t="s">
        <v>952</v>
      </c>
    </row>
    <row r="14" spans="1:12" x14ac:dyDescent="0.35">
      <c r="A14" s="101" t="s">
        <v>892</v>
      </c>
      <c r="B14" s="101" t="str">
        <f>IF('Induction Employee Register'!O10="","",'Induction Employee Register'!O10)</f>
        <v/>
      </c>
    </row>
    <row r="17" spans="1:12" ht="24" customHeight="1" x14ac:dyDescent="0.35">
      <c r="A17" s="135" t="s">
        <v>953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9" spans="1:12" ht="29" x14ac:dyDescent="0.35">
      <c r="A19" s="116" t="s">
        <v>954</v>
      </c>
      <c r="B19" s="116" t="s">
        <v>955</v>
      </c>
      <c r="C19" s="116" t="s">
        <v>956</v>
      </c>
      <c r="D19" s="116" t="s">
        <v>957</v>
      </c>
      <c r="E19" s="116" t="s">
        <v>958</v>
      </c>
      <c r="F19" s="116" t="s">
        <v>353</v>
      </c>
      <c r="G19" s="116" t="s">
        <v>335</v>
      </c>
      <c r="H19" s="116" t="s">
        <v>338</v>
      </c>
      <c r="I19" s="117" t="s">
        <v>959</v>
      </c>
      <c r="J19" t="s">
        <v>960</v>
      </c>
      <c r="K19" t="s">
        <v>300</v>
      </c>
      <c r="L19" t="s">
        <v>961</v>
      </c>
    </row>
    <row r="20" spans="1:12" x14ac:dyDescent="0.35">
      <c r="A20" s="118" t="s">
        <v>962</v>
      </c>
      <c r="B20" s="118" t="s">
        <v>81</v>
      </c>
      <c r="C20" s="118"/>
      <c r="D20" s="127"/>
      <c r="E20" s="127"/>
      <c r="F20" s="118"/>
      <c r="G20" s="118"/>
      <c r="H20" s="118"/>
      <c r="J20" t="s">
        <v>310</v>
      </c>
      <c r="K20" t="str">
        <f>IF('Induction Employee Register'!W10="","",'Induction Employee Register'!W10)</f>
        <v/>
      </c>
      <c r="L20" t="s">
        <v>963</v>
      </c>
    </row>
    <row r="21" spans="1:12" x14ac:dyDescent="0.35">
      <c r="A21" s="118" t="s">
        <v>964</v>
      </c>
      <c r="B21" s="118" t="s">
        <v>81</v>
      </c>
      <c r="C21" s="118"/>
      <c r="D21" s="127"/>
      <c r="E21" s="127"/>
      <c r="F21" s="118"/>
      <c r="G21" s="118"/>
      <c r="H21" s="118"/>
      <c r="J21" t="s">
        <v>311</v>
      </c>
      <c r="K21" t="str">
        <f>IF('Induction Employee Register'!X10="","",'Induction Employee Register'!X10)</f>
        <v/>
      </c>
      <c r="L21" t="s">
        <v>965</v>
      </c>
    </row>
    <row r="22" spans="1:12" x14ac:dyDescent="0.35">
      <c r="A22" s="118" t="s">
        <v>966</v>
      </c>
      <c r="B22" s="118" t="s">
        <v>81</v>
      </c>
      <c r="C22" s="118"/>
      <c r="D22" s="127"/>
      <c r="E22" s="127"/>
      <c r="F22" s="118"/>
      <c r="G22" s="118"/>
      <c r="H22" s="118"/>
      <c r="J22" t="s">
        <v>312</v>
      </c>
      <c r="K22" t="str">
        <f>IF('Induction Employee Register'!Y10="","",'Induction Employee Register'!Y10)</f>
        <v/>
      </c>
      <c r="L22" t="s">
        <v>967</v>
      </c>
    </row>
    <row r="23" spans="1:12" x14ac:dyDescent="0.35">
      <c r="A23" s="118" t="s">
        <v>52</v>
      </c>
      <c r="B23" s="118" t="s">
        <v>81</v>
      </c>
      <c r="C23" s="118"/>
      <c r="D23" s="127"/>
      <c r="E23" s="127"/>
      <c r="F23" s="118"/>
      <c r="G23" s="118"/>
      <c r="H23" s="118"/>
      <c r="J23" t="s">
        <v>313</v>
      </c>
      <c r="K23" t="str">
        <f>IF('Induction Employee Register'!Z10="","",'Induction Employee Register'!Z10)</f>
        <v/>
      </c>
      <c r="L23" t="s">
        <v>968</v>
      </c>
    </row>
    <row r="24" spans="1:12" x14ac:dyDescent="0.35">
      <c r="A24" s="118" t="s">
        <v>50</v>
      </c>
      <c r="B24" s="118" t="s">
        <v>81</v>
      </c>
      <c r="C24" s="118"/>
      <c r="D24" s="127"/>
      <c r="E24" s="127"/>
      <c r="F24" s="118"/>
      <c r="G24" s="118"/>
      <c r="H24" s="118"/>
      <c r="J24" t="s">
        <v>314</v>
      </c>
      <c r="K24" t="str">
        <f>IF('Induction Employee Register'!AA10="","",'Induction Employee Register'!AA10)</f>
        <v/>
      </c>
      <c r="L24" t="s">
        <v>968</v>
      </c>
    </row>
    <row r="25" spans="1:12" x14ac:dyDescent="0.35">
      <c r="A25" s="118" t="s">
        <v>329</v>
      </c>
      <c r="B25" s="118" t="s">
        <v>81</v>
      </c>
      <c r="C25" s="118"/>
      <c r="D25" s="127"/>
      <c r="E25" s="127"/>
      <c r="F25" s="118"/>
      <c r="G25" s="118"/>
      <c r="H25" s="118"/>
      <c r="J25" t="s">
        <v>315</v>
      </c>
      <c r="K25" t="str">
        <f>IF('Induction Employee Register'!AB10="","",'Induction Employee Register'!AB10)</f>
        <v/>
      </c>
      <c r="L25" t="s">
        <v>967</v>
      </c>
    </row>
    <row r="26" spans="1:12" x14ac:dyDescent="0.35">
      <c r="A26" s="118" t="s">
        <v>969</v>
      </c>
      <c r="B26" s="118" t="s">
        <v>81</v>
      </c>
      <c r="C26" s="118"/>
      <c r="D26" s="127"/>
      <c r="E26" s="127"/>
      <c r="F26" s="118"/>
      <c r="G26" s="118"/>
      <c r="H26" s="118"/>
      <c r="J26" t="s">
        <v>316</v>
      </c>
      <c r="K26" t="str">
        <f>IF('Induction Employee Register'!AC10="","",'Induction Employee Register'!AC10)</f>
        <v/>
      </c>
      <c r="L26" t="s">
        <v>967</v>
      </c>
    </row>
    <row r="27" spans="1:12" x14ac:dyDescent="0.35">
      <c r="A27" s="118" t="s">
        <v>970</v>
      </c>
      <c r="B27" s="118" t="s">
        <v>81</v>
      </c>
      <c r="C27" s="118"/>
      <c r="D27" s="127"/>
      <c r="E27" s="127"/>
      <c r="F27" s="118"/>
      <c r="G27" s="118"/>
      <c r="H27" s="118"/>
    </row>
    <row r="28" spans="1:12" x14ac:dyDescent="0.35">
      <c r="A28" s="118" t="s">
        <v>971</v>
      </c>
      <c r="B28" s="118" t="s">
        <v>81</v>
      </c>
      <c r="C28" s="118"/>
      <c r="D28" s="127"/>
      <c r="E28" s="127"/>
      <c r="F28" s="118"/>
      <c r="G28" s="118"/>
      <c r="H28" s="118"/>
    </row>
    <row r="29" spans="1:12" x14ac:dyDescent="0.35">
      <c r="A29" s="118" t="s">
        <v>972</v>
      </c>
      <c r="B29" s="118" t="s">
        <v>81</v>
      </c>
      <c r="C29" s="118"/>
      <c r="D29" s="127"/>
      <c r="E29" s="127"/>
      <c r="F29" s="118"/>
      <c r="G29" s="118"/>
      <c r="H29" s="118"/>
    </row>
    <row r="30" spans="1:12" x14ac:dyDescent="0.35">
      <c r="A30" s="118" t="s">
        <v>973</v>
      </c>
      <c r="B30" s="118" t="s">
        <v>81</v>
      </c>
      <c r="C30" s="118"/>
      <c r="D30" s="127"/>
      <c r="E30" s="127"/>
      <c r="F30" s="118"/>
      <c r="G30" s="118"/>
      <c r="H30" s="118"/>
    </row>
    <row r="31" spans="1:12" x14ac:dyDescent="0.35">
      <c r="A31" s="118" t="s">
        <v>974</v>
      </c>
      <c r="B31" s="118" t="s">
        <v>81</v>
      </c>
      <c r="C31" s="118"/>
      <c r="D31" s="127"/>
      <c r="E31" s="127"/>
      <c r="F31" s="118"/>
      <c r="G31" s="118"/>
      <c r="H31" s="118"/>
    </row>
    <row r="32" spans="1:12" x14ac:dyDescent="0.35">
      <c r="A32" s="118" t="s">
        <v>975</v>
      </c>
      <c r="B32" s="118" t="s">
        <v>81</v>
      </c>
      <c r="C32" s="118"/>
      <c r="D32" s="127"/>
      <c r="E32" s="127"/>
      <c r="F32" s="118"/>
      <c r="G32" s="118"/>
      <c r="H32" s="118"/>
    </row>
    <row r="33" spans="1:12" x14ac:dyDescent="0.35">
      <c r="A33" s="118" t="s">
        <v>54</v>
      </c>
      <c r="B33" s="118" t="s">
        <v>81</v>
      </c>
      <c r="C33" s="118"/>
      <c r="D33" s="127"/>
      <c r="E33" s="127"/>
      <c r="F33" s="118"/>
      <c r="G33" s="118"/>
      <c r="H33" s="118"/>
    </row>
    <row r="34" spans="1:12" x14ac:dyDescent="0.35">
      <c r="A34" s="119" t="s">
        <v>976</v>
      </c>
      <c r="B34" s="119" t="s">
        <v>81</v>
      </c>
      <c r="C34" s="119"/>
      <c r="D34" s="127"/>
      <c r="E34" s="127"/>
      <c r="F34" s="119"/>
      <c r="G34" s="119"/>
      <c r="H34" s="119"/>
    </row>
    <row r="35" spans="1:12" ht="24" customHeight="1" x14ac:dyDescent="0.35">
      <c r="A35" s="130" t="s">
        <v>977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</row>
    <row r="36" spans="1:12" x14ac:dyDescent="0.35">
      <c r="A36" s="119" t="s">
        <v>978</v>
      </c>
      <c r="B36" s="119" t="s">
        <v>81</v>
      </c>
      <c r="C36" s="119"/>
      <c r="D36" s="127"/>
      <c r="E36" s="127"/>
      <c r="F36" s="119"/>
      <c r="G36" s="119"/>
      <c r="H36" s="119"/>
    </row>
    <row r="37" spans="1:12" x14ac:dyDescent="0.35">
      <c r="A37" s="119" t="s">
        <v>979</v>
      </c>
      <c r="B37" s="119" t="s">
        <v>81</v>
      </c>
      <c r="C37" s="119"/>
      <c r="D37" s="127"/>
      <c r="E37" s="127"/>
      <c r="F37" s="119"/>
      <c r="G37" s="119"/>
      <c r="H37" s="119"/>
    </row>
    <row r="38" spans="1:12" x14ac:dyDescent="0.35">
      <c r="A38" s="119" t="s">
        <v>980</v>
      </c>
      <c r="B38" s="119" t="s">
        <v>81</v>
      </c>
      <c r="C38" s="119"/>
      <c r="D38" s="127"/>
      <c r="E38" s="127"/>
      <c r="F38" s="119"/>
      <c r="G38" s="119"/>
      <c r="H38" s="119"/>
    </row>
    <row r="39" spans="1:12" x14ac:dyDescent="0.35">
      <c r="A39" s="119" t="s">
        <v>981</v>
      </c>
      <c r="B39" s="119" t="s">
        <v>81</v>
      </c>
      <c r="C39" s="119"/>
      <c r="D39" s="127"/>
      <c r="E39" s="127"/>
      <c r="F39" s="119"/>
      <c r="G39" s="119"/>
      <c r="H39" s="119"/>
    </row>
    <row r="40" spans="1:12" x14ac:dyDescent="0.35">
      <c r="A40" s="119" t="s">
        <v>982</v>
      </c>
      <c r="B40" s="119" t="s">
        <v>81</v>
      </c>
      <c r="C40" s="119"/>
      <c r="D40" s="127"/>
      <c r="E40" s="127"/>
      <c r="F40" s="119"/>
      <c r="G40" s="119"/>
      <c r="H40" s="119"/>
    </row>
    <row r="41" spans="1:12" x14ac:dyDescent="0.35">
      <c r="A41" s="118"/>
      <c r="B41" s="118"/>
      <c r="C41" s="118"/>
      <c r="D41" s="127"/>
      <c r="E41" s="127"/>
      <c r="F41" s="118"/>
      <c r="G41" s="118"/>
      <c r="H41" s="118"/>
    </row>
    <row r="42" spans="1:12" x14ac:dyDescent="0.35">
      <c r="A42" s="120" t="s">
        <v>983</v>
      </c>
      <c r="B42" s="118"/>
      <c r="C42" s="118"/>
      <c r="D42" s="127"/>
      <c r="E42" s="127"/>
      <c r="F42" s="118"/>
      <c r="G42" s="118"/>
      <c r="H42" s="118"/>
      <c r="I42" s="96"/>
      <c r="J42" s="96"/>
      <c r="K42" s="96"/>
      <c r="L42" s="96"/>
    </row>
    <row r="43" spans="1:12" x14ac:dyDescent="0.35">
      <c r="A43" s="118"/>
      <c r="B43" s="118"/>
      <c r="C43" s="118"/>
      <c r="D43" s="127"/>
      <c r="E43" s="127"/>
      <c r="F43" s="118"/>
      <c r="G43" s="118"/>
      <c r="H43" s="118"/>
    </row>
    <row r="44" spans="1:12" ht="29" x14ac:dyDescent="0.35">
      <c r="A44" s="116" t="s">
        <v>984</v>
      </c>
      <c r="B44" s="116" t="s">
        <v>985</v>
      </c>
      <c r="C44" s="116" t="s">
        <v>986</v>
      </c>
      <c r="D44" s="116" t="s">
        <v>987</v>
      </c>
      <c r="E44" s="116" t="s">
        <v>988</v>
      </c>
      <c r="F44" s="116" t="s">
        <v>989</v>
      </c>
      <c r="G44" s="116" t="s">
        <v>389</v>
      </c>
      <c r="H44" s="116" t="s">
        <v>870</v>
      </c>
      <c r="I44" s="100" t="s">
        <v>390</v>
      </c>
      <c r="J44" s="100" t="s">
        <v>990</v>
      </c>
      <c r="K44" s="100" t="s">
        <v>991</v>
      </c>
      <c r="L44" s="100" t="s">
        <v>992</v>
      </c>
    </row>
    <row r="45" spans="1:12" ht="29" x14ac:dyDescent="0.35">
      <c r="A45" s="121" t="s">
        <v>993</v>
      </c>
      <c r="B45" s="121" t="s">
        <v>994</v>
      </c>
      <c r="C45" s="121" t="s">
        <v>995</v>
      </c>
      <c r="D45" s="121"/>
      <c r="E45" s="121" t="s">
        <v>996</v>
      </c>
      <c r="F45" s="121"/>
      <c r="G45" s="121"/>
      <c r="H45" s="121"/>
      <c r="I45" s="21"/>
      <c r="J45" s="21"/>
      <c r="K45" s="21"/>
      <c r="L45" s="21"/>
    </row>
    <row r="46" spans="1:12" ht="29" x14ac:dyDescent="0.35">
      <c r="A46" s="21" t="s">
        <v>993</v>
      </c>
      <c r="B46" s="21" t="s">
        <v>997</v>
      </c>
      <c r="C46" s="21" t="s">
        <v>998</v>
      </c>
      <c r="D46" s="21"/>
      <c r="E46" s="21" t="s">
        <v>996</v>
      </c>
      <c r="F46" s="21"/>
      <c r="G46" s="21"/>
      <c r="H46" s="21"/>
      <c r="I46" s="21"/>
      <c r="J46" s="21"/>
      <c r="K46" s="21"/>
      <c r="L46" s="21"/>
    </row>
    <row r="47" spans="1:12" ht="29" x14ac:dyDescent="0.35">
      <c r="A47" s="21" t="s">
        <v>993</v>
      </c>
      <c r="B47" s="21" t="s">
        <v>999</v>
      </c>
      <c r="C47" s="21" t="s">
        <v>1000</v>
      </c>
      <c r="D47" s="21"/>
      <c r="E47" s="21" t="s">
        <v>996</v>
      </c>
      <c r="F47" s="21"/>
      <c r="G47" s="21"/>
      <c r="H47" s="21"/>
      <c r="I47" s="21"/>
      <c r="J47" s="21"/>
      <c r="K47" s="21"/>
      <c r="L47" s="21"/>
    </row>
    <row r="48" spans="1:12" ht="29" x14ac:dyDescent="0.35">
      <c r="A48" s="21" t="s">
        <v>993</v>
      </c>
      <c r="B48" s="21" t="s">
        <v>1001</v>
      </c>
      <c r="C48" s="21" t="s">
        <v>1002</v>
      </c>
      <c r="D48" s="21"/>
      <c r="E48" s="21" t="s">
        <v>996</v>
      </c>
      <c r="F48" s="21"/>
      <c r="G48" s="21"/>
      <c r="H48" s="21"/>
      <c r="I48" s="21"/>
      <c r="J48" s="21"/>
      <c r="K48" s="21"/>
      <c r="L48" s="21"/>
    </row>
    <row r="49" spans="1:12" ht="43.5" x14ac:dyDescent="0.35">
      <c r="A49" s="21" t="s">
        <v>993</v>
      </c>
      <c r="B49" s="21" t="s">
        <v>1003</v>
      </c>
      <c r="C49" s="21" t="s">
        <v>1004</v>
      </c>
      <c r="D49" s="21"/>
      <c r="E49" s="21" t="s">
        <v>996</v>
      </c>
      <c r="F49" s="21"/>
      <c r="G49" s="21"/>
      <c r="H49" s="21"/>
      <c r="I49" s="21"/>
      <c r="J49" s="21"/>
      <c r="K49" s="21"/>
      <c r="L49" s="21"/>
    </row>
    <row r="50" spans="1:12" ht="29" x14ac:dyDescent="0.35">
      <c r="A50" s="21" t="s">
        <v>993</v>
      </c>
      <c r="B50" s="21" t="s">
        <v>1005</v>
      </c>
      <c r="C50" s="21" t="s">
        <v>1006</v>
      </c>
      <c r="D50" s="21"/>
      <c r="E50" s="21" t="s">
        <v>996</v>
      </c>
      <c r="F50" s="21"/>
      <c r="G50" s="21"/>
      <c r="H50" s="21"/>
      <c r="I50" s="21"/>
      <c r="J50" s="21"/>
      <c r="K50" s="21"/>
      <c r="L50" s="21"/>
    </row>
    <row r="51" spans="1:12" ht="43.5" x14ac:dyDescent="0.35">
      <c r="A51" s="21" t="s">
        <v>1007</v>
      </c>
      <c r="B51" s="21" t="s">
        <v>1008</v>
      </c>
      <c r="C51" s="21" t="s">
        <v>1009</v>
      </c>
      <c r="D51" s="21"/>
      <c r="E51" s="21" t="s">
        <v>996</v>
      </c>
      <c r="F51" s="21"/>
      <c r="G51" s="21"/>
      <c r="H51" s="21"/>
      <c r="I51" s="21"/>
      <c r="J51" s="21"/>
      <c r="K51" s="21"/>
      <c r="L51" s="21"/>
    </row>
    <row r="52" spans="1:12" ht="29" x14ac:dyDescent="0.35">
      <c r="A52" s="21" t="s">
        <v>1007</v>
      </c>
      <c r="B52" s="21" t="s">
        <v>1010</v>
      </c>
      <c r="C52" s="21" t="s">
        <v>1011</v>
      </c>
      <c r="D52" s="21"/>
      <c r="E52" s="21" t="s">
        <v>996</v>
      </c>
      <c r="F52" s="21"/>
      <c r="G52" s="21"/>
      <c r="H52" s="21"/>
      <c r="I52" s="21"/>
      <c r="J52" s="21"/>
      <c r="K52" s="21"/>
      <c r="L52" s="21"/>
    </row>
    <row r="53" spans="1:12" ht="29" x14ac:dyDescent="0.35">
      <c r="A53" s="21" t="s">
        <v>1007</v>
      </c>
      <c r="B53" s="21" t="s">
        <v>1012</v>
      </c>
      <c r="C53" s="21" t="s">
        <v>1013</v>
      </c>
      <c r="D53" s="21"/>
      <c r="E53" s="21" t="s">
        <v>996</v>
      </c>
      <c r="F53" s="21"/>
      <c r="G53" s="21"/>
      <c r="H53" s="21"/>
      <c r="I53" s="21"/>
      <c r="J53" s="21"/>
      <c r="K53" s="21"/>
      <c r="L53" s="21"/>
    </row>
    <row r="54" spans="1:12" ht="29" x14ac:dyDescent="0.35">
      <c r="A54" s="21" t="s">
        <v>1007</v>
      </c>
      <c r="B54" s="21" t="s">
        <v>1014</v>
      </c>
      <c r="C54" s="21" t="s">
        <v>1015</v>
      </c>
      <c r="D54" s="21"/>
      <c r="E54" s="21" t="s">
        <v>996</v>
      </c>
      <c r="F54" s="21"/>
      <c r="G54" s="21"/>
      <c r="H54" s="21"/>
      <c r="I54" s="21"/>
      <c r="J54" s="21"/>
      <c r="K54" s="21"/>
      <c r="L54" s="21"/>
    </row>
    <row r="55" spans="1:12" ht="29" x14ac:dyDescent="0.35">
      <c r="A55" s="21" t="s">
        <v>1007</v>
      </c>
      <c r="B55" s="21" t="s">
        <v>1016</v>
      </c>
      <c r="C55" s="21" t="s">
        <v>1017</v>
      </c>
      <c r="D55" s="21"/>
      <c r="E55" s="21" t="s">
        <v>996</v>
      </c>
      <c r="F55" s="21"/>
      <c r="G55" s="21"/>
      <c r="H55" s="21"/>
      <c r="I55" s="21"/>
      <c r="J55" s="21"/>
      <c r="K55" s="21"/>
      <c r="L55" s="21"/>
    </row>
    <row r="56" spans="1:12" ht="29" x14ac:dyDescent="0.35">
      <c r="A56" s="21" t="s">
        <v>1007</v>
      </c>
      <c r="B56" s="21" t="s">
        <v>1018</v>
      </c>
      <c r="C56" s="21" t="s">
        <v>1019</v>
      </c>
      <c r="D56" s="21"/>
      <c r="E56" s="21" t="s">
        <v>996</v>
      </c>
      <c r="F56" s="21"/>
      <c r="G56" s="21"/>
      <c r="H56" s="21"/>
      <c r="I56" s="21"/>
      <c r="J56" s="21"/>
      <c r="K56" s="21"/>
      <c r="L56" s="21"/>
    </row>
    <row r="57" spans="1:12" ht="43.5" x14ac:dyDescent="0.35">
      <c r="A57" s="21" t="s">
        <v>1020</v>
      </c>
      <c r="B57" s="21" t="s">
        <v>1021</v>
      </c>
      <c r="C57" s="21" t="s">
        <v>1022</v>
      </c>
      <c r="D57" s="21"/>
      <c r="E57" s="21" t="s">
        <v>1023</v>
      </c>
      <c r="F57" s="21"/>
      <c r="G57" s="21"/>
      <c r="H57" s="21"/>
      <c r="I57" s="21"/>
      <c r="J57" s="21"/>
      <c r="K57" s="21"/>
      <c r="L57" s="21"/>
    </row>
    <row r="58" spans="1:12" ht="43.5" x14ac:dyDescent="0.35">
      <c r="A58" s="21" t="s">
        <v>1020</v>
      </c>
      <c r="B58" s="21" t="s">
        <v>1024</v>
      </c>
      <c r="C58" s="21" t="s">
        <v>1025</v>
      </c>
      <c r="D58" s="21"/>
      <c r="E58" s="21" t="s">
        <v>1023</v>
      </c>
      <c r="F58" s="21"/>
      <c r="G58" s="21"/>
      <c r="H58" s="21"/>
      <c r="I58" s="21"/>
      <c r="J58" s="21"/>
      <c r="K58" s="21"/>
      <c r="L58" s="21"/>
    </row>
    <row r="59" spans="1:12" ht="43.5" x14ac:dyDescent="0.35">
      <c r="A59" s="21" t="s">
        <v>1020</v>
      </c>
      <c r="B59" s="21" t="s">
        <v>1026</v>
      </c>
      <c r="C59" s="21" t="s">
        <v>1027</v>
      </c>
      <c r="D59" s="21"/>
      <c r="E59" s="21" t="s">
        <v>1023</v>
      </c>
      <c r="F59" s="21"/>
      <c r="G59" s="21"/>
      <c r="H59" s="21"/>
      <c r="I59" s="21"/>
      <c r="J59" s="21"/>
      <c r="K59" s="21"/>
      <c r="L59" s="21"/>
    </row>
    <row r="60" spans="1:12" ht="43.5" x14ac:dyDescent="0.35">
      <c r="A60" s="21" t="s">
        <v>1020</v>
      </c>
      <c r="B60" s="21" t="s">
        <v>1028</v>
      </c>
      <c r="C60" s="21" t="s">
        <v>1029</v>
      </c>
      <c r="D60" s="21"/>
      <c r="E60" s="21" t="s">
        <v>1023</v>
      </c>
      <c r="F60" s="21"/>
      <c r="G60" s="21"/>
      <c r="H60" s="21"/>
      <c r="I60" s="21"/>
      <c r="J60" s="21"/>
      <c r="K60" s="21"/>
      <c r="L60" s="21"/>
    </row>
    <row r="61" spans="1:12" ht="43.5" x14ac:dyDescent="0.35">
      <c r="A61" s="21" t="s">
        <v>1020</v>
      </c>
      <c r="B61" s="21" t="s">
        <v>1030</v>
      </c>
      <c r="C61" s="21" t="s">
        <v>1031</v>
      </c>
      <c r="D61" s="21"/>
      <c r="E61" s="21" t="s">
        <v>1023</v>
      </c>
      <c r="F61" s="21"/>
      <c r="G61" s="21"/>
      <c r="H61" s="21"/>
      <c r="I61" s="21"/>
      <c r="J61" s="21"/>
      <c r="K61" s="21"/>
      <c r="L61" s="21"/>
    </row>
    <row r="62" spans="1:12" ht="43.5" x14ac:dyDescent="0.35">
      <c r="A62" s="21" t="s">
        <v>1020</v>
      </c>
      <c r="B62" s="21" t="s">
        <v>1032</v>
      </c>
      <c r="C62" s="21" t="s">
        <v>1033</v>
      </c>
      <c r="D62" s="21"/>
      <c r="E62" s="21" t="s">
        <v>1023</v>
      </c>
      <c r="F62" s="21"/>
      <c r="G62" s="21"/>
      <c r="H62" s="21"/>
      <c r="I62" s="21"/>
      <c r="J62" s="21"/>
      <c r="K62" s="21"/>
      <c r="L62" s="21"/>
    </row>
    <row r="63" spans="1:12" ht="29" x14ac:dyDescent="0.35">
      <c r="A63" s="21" t="s">
        <v>428</v>
      </c>
      <c r="B63" s="21" t="s">
        <v>1034</v>
      </c>
      <c r="C63" s="21" t="s">
        <v>1035</v>
      </c>
      <c r="D63" s="21"/>
      <c r="E63" s="21" t="s">
        <v>996</v>
      </c>
      <c r="F63" s="21"/>
      <c r="G63" s="21"/>
      <c r="H63" s="21"/>
      <c r="I63" s="21"/>
      <c r="J63" s="21"/>
      <c r="K63" s="21"/>
      <c r="L63" s="21"/>
    </row>
    <row r="64" spans="1:12" ht="43.5" x14ac:dyDescent="0.35">
      <c r="A64" s="21" t="s">
        <v>428</v>
      </c>
      <c r="B64" s="21" t="s">
        <v>1036</v>
      </c>
      <c r="C64" s="21" t="s">
        <v>1037</v>
      </c>
      <c r="D64" s="21"/>
      <c r="E64" s="21" t="s">
        <v>996</v>
      </c>
      <c r="F64" s="21"/>
      <c r="G64" s="21"/>
      <c r="H64" s="21"/>
      <c r="I64" s="21"/>
      <c r="J64" s="21"/>
      <c r="K64" s="21"/>
      <c r="L64" s="21"/>
    </row>
    <row r="65" spans="1:12" ht="29" x14ac:dyDescent="0.35">
      <c r="A65" s="21" t="s">
        <v>428</v>
      </c>
      <c r="B65" s="21" t="s">
        <v>1038</v>
      </c>
      <c r="C65" s="21" t="s">
        <v>1039</v>
      </c>
      <c r="D65" s="21"/>
      <c r="E65" s="21" t="s">
        <v>996</v>
      </c>
      <c r="F65" s="21"/>
      <c r="G65" s="21"/>
      <c r="H65" s="21"/>
      <c r="I65" s="21"/>
      <c r="J65" s="21"/>
      <c r="K65" s="21"/>
      <c r="L65" s="21"/>
    </row>
    <row r="66" spans="1:12" ht="43.5" x14ac:dyDescent="0.35">
      <c r="A66" s="21" t="s">
        <v>428</v>
      </c>
      <c r="B66" s="21" t="s">
        <v>1040</v>
      </c>
      <c r="C66" s="21" t="s">
        <v>1041</v>
      </c>
      <c r="D66" s="21"/>
      <c r="E66" s="21" t="s">
        <v>996</v>
      </c>
      <c r="F66" s="21"/>
      <c r="G66" s="21"/>
      <c r="H66" s="21"/>
      <c r="I66" s="21"/>
      <c r="J66" s="21"/>
      <c r="K66" s="21"/>
      <c r="L66" s="21"/>
    </row>
    <row r="67" spans="1:12" ht="29" x14ac:dyDescent="0.35">
      <c r="A67" s="21" t="s">
        <v>428</v>
      </c>
      <c r="B67" s="21" t="s">
        <v>1042</v>
      </c>
      <c r="C67" s="21" t="s">
        <v>1043</v>
      </c>
      <c r="D67" s="21"/>
      <c r="E67" s="21" t="s">
        <v>996</v>
      </c>
      <c r="F67" s="21"/>
      <c r="G67" s="21"/>
      <c r="H67" s="21"/>
      <c r="I67" s="21"/>
      <c r="J67" s="21"/>
      <c r="K67" s="21"/>
      <c r="L67" s="21"/>
    </row>
    <row r="68" spans="1:12" ht="29" x14ac:dyDescent="0.35">
      <c r="A68" s="21" t="s">
        <v>428</v>
      </c>
      <c r="B68" s="21" t="s">
        <v>1044</v>
      </c>
      <c r="C68" s="21" t="s">
        <v>1045</v>
      </c>
      <c r="D68" s="21"/>
      <c r="E68" s="21" t="s">
        <v>996</v>
      </c>
      <c r="F68" s="21"/>
      <c r="G68" s="21"/>
      <c r="H68" s="21"/>
      <c r="I68" s="21"/>
      <c r="J68" s="21"/>
      <c r="K68" s="21"/>
      <c r="L68" s="21"/>
    </row>
    <row r="69" spans="1:12" ht="29" x14ac:dyDescent="0.35">
      <c r="A69" s="21" t="s">
        <v>1046</v>
      </c>
      <c r="B69" s="21" t="s">
        <v>1047</v>
      </c>
      <c r="C69" s="21" t="s">
        <v>1048</v>
      </c>
      <c r="D69" s="21"/>
      <c r="E69" s="21" t="s">
        <v>996</v>
      </c>
      <c r="F69" s="21"/>
      <c r="G69" s="21"/>
      <c r="H69" s="21"/>
      <c r="I69" s="21"/>
      <c r="J69" s="21"/>
      <c r="K69" s="21"/>
      <c r="L69" s="21"/>
    </row>
    <row r="70" spans="1:12" ht="29" x14ac:dyDescent="0.35">
      <c r="A70" s="21" t="s">
        <v>1046</v>
      </c>
      <c r="B70" s="21" t="s">
        <v>1049</v>
      </c>
      <c r="C70" s="21" t="s">
        <v>1050</v>
      </c>
      <c r="D70" s="21"/>
      <c r="E70" s="21" t="s">
        <v>996</v>
      </c>
      <c r="F70" s="21"/>
      <c r="G70" s="21"/>
      <c r="H70" s="21"/>
      <c r="I70" s="21"/>
      <c r="J70" s="21"/>
      <c r="K70" s="21"/>
      <c r="L70" s="21"/>
    </row>
    <row r="71" spans="1:12" ht="29" x14ac:dyDescent="0.35">
      <c r="A71" s="21" t="s">
        <v>1046</v>
      </c>
      <c r="B71" s="21" t="s">
        <v>1051</v>
      </c>
      <c r="C71" s="21" t="s">
        <v>1052</v>
      </c>
      <c r="D71" s="21"/>
      <c r="E71" s="21" t="s">
        <v>996</v>
      </c>
      <c r="F71" s="21"/>
      <c r="G71" s="21"/>
      <c r="H71" s="21"/>
      <c r="I71" s="21"/>
      <c r="J71" s="21"/>
      <c r="K71" s="21"/>
      <c r="L71" s="21"/>
    </row>
    <row r="72" spans="1:12" ht="29" x14ac:dyDescent="0.35">
      <c r="A72" s="21" t="s">
        <v>1046</v>
      </c>
      <c r="B72" s="21" t="s">
        <v>1053</v>
      </c>
      <c r="C72" s="21" t="s">
        <v>1054</v>
      </c>
      <c r="D72" s="21"/>
      <c r="E72" s="21" t="s">
        <v>996</v>
      </c>
      <c r="F72" s="21"/>
      <c r="G72" s="21"/>
      <c r="H72" s="21"/>
      <c r="I72" s="21"/>
      <c r="J72" s="21"/>
      <c r="K72" s="21"/>
      <c r="L72" s="21"/>
    </row>
    <row r="73" spans="1:12" ht="29" x14ac:dyDescent="0.35">
      <c r="A73" s="21" t="s">
        <v>1046</v>
      </c>
      <c r="B73" s="21" t="s">
        <v>1055</v>
      </c>
      <c r="C73" s="21" t="s">
        <v>1056</v>
      </c>
      <c r="D73" s="21"/>
      <c r="E73" s="21" t="s">
        <v>996</v>
      </c>
      <c r="F73" s="21"/>
      <c r="G73" s="21"/>
      <c r="H73" s="21"/>
      <c r="I73" s="21"/>
      <c r="J73" s="21"/>
      <c r="K73" s="21"/>
      <c r="L73" s="21"/>
    </row>
    <row r="74" spans="1:12" ht="29" x14ac:dyDescent="0.35">
      <c r="A74" s="21" t="s">
        <v>1046</v>
      </c>
      <c r="B74" s="21" t="s">
        <v>1057</v>
      </c>
      <c r="C74" s="21" t="s">
        <v>1058</v>
      </c>
      <c r="D74" s="21"/>
      <c r="E74" s="21" t="s">
        <v>996</v>
      </c>
      <c r="F74" s="21"/>
      <c r="G74" s="21"/>
      <c r="H74" s="21"/>
      <c r="I74" s="21"/>
      <c r="J74" s="21"/>
      <c r="K74" s="21"/>
      <c r="L74" s="21"/>
    </row>
    <row r="75" spans="1:12" ht="29" x14ac:dyDescent="0.35">
      <c r="A75" s="21" t="s">
        <v>1059</v>
      </c>
      <c r="B75" s="21" t="s">
        <v>1060</v>
      </c>
      <c r="C75" s="21" t="s">
        <v>1061</v>
      </c>
      <c r="D75" s="21"/>
      <c r="E75" s="21" t="s">
        <v>996</v>
      </c>
      <c r="F75" s="21"/>
      <c r="G75" s="21"/>
      <c r="H75" s="21"/>
      <c r="I75" s="21"/>
      <c r="J75" s="21"/>
      <c r="K75" s="21"/>
      <c r="L75" s="21"/>
    </row>
    <row r="76" spans="1:12" ht="43.5" x14ac:dyDescent="0.35">
      <c r="A76" s="21" t="s">
        <v>1059</v>
      </c>
      <c r="B76" s="21" t="s">
        <v>1062</v>
      </c>
      <c r="C76" s="21" t="s">
        <v>1063</v>
      </c>
      <c r="D76" s="21"/>
      <c r="E76" s="21" t="s">
        <v>996</v>
      </c>
      <c r="F76" s="21"/>
      <c r="G76" s="21"/>
      <c r="H76" s="21"/>
      <c r="I76" s="21"/>
      <c r="J76" s="21"/>
      <c r="K76" s="21"/>
      <c r="L76" s="21"/>
    </row>
    <row r="77" spans="1:12" ht="29" x14ac:dyDescent="0.35">
      <c r="A77" s="21" t="s">
        <v>1059</v>
      </c>
      <c r="B77" s="21" t="s">
        <v>1064</v>
      </c>
      <c r="C77" s="21" t="s">
        <v>1065</v>
      </c>
      <c r="D77" s="21"/>
      <c r="E77" s="21" t="s">
        <v>996</v>
      </c>
      <c r="F77" s="21"/>
      <c r="G77" s="21"/>
      <c r="H77" s="21"/>
      <c r="I77" s="21"/>
      <c r="J77" s="21"/>
      <c r="K77" s="21"/>
      <c r="L77" s="21"/>
    </row>
    <row r="78" spans="1:12" ht="29" x14ac:dyDescent="0.35">
      <c r="A78" s="21" t="s">
        <v>1059</v>
      </c>
      <c r="B78" s="21" t="s">
        <v>1066</v>
      </c>
      <c r="C78" s="21" t="s">
        <v>1067</v>
      </c>
      <c r="D78" s="21"/>
      <c r="E78" s="21" t="s">
        <v>996</v>
      </c>
      <c r="F78" s="21"/>
      <c r="G78" s="21"/>
      <c r="H78" s="21"/>
      <c r="I78" s="21"/>
      <c r="J78" s="21"/>
      <c r="K78" s="21"/>
      <c r="L78" s="21"/>
    </row>
    <row r="79" spans="1:12" ht="29" x14ac:dyDescent="0.35">
      <c r="A79" s="21" t="s">
        <v>1059</v>
      </c>
      <c r="B79" s="21" t="s">
        <v>1068</v>
      </c>
      <c r="C79" s="21" t="s">
        <v>1069</v>
      </c>
      <c r="D79" s="21"/>
      <c r="E79" s="21" t="s">
        <v>996</v>
      </c>
      <c r="F79" s="21"/>
      <c r="G79" s="21"/>
      <c r="H79" s="21"/>
      <c r="I79" s="21"/>
      <c r="J79" s="21"/>
      <c r="K79" s="21"/>
      <c r="L79" s="21"/>
    </row>
    <row r="80" spans="1:12" ht="29" x14ac:dyDescent="0.35">
      <c r="A80" s="21" t="s">
        <v>1059</v>
      </c>
      <c r="B80" s="21" t="s">
        <v>1070</v>
      </c>
      <c r="C80" s="21" t="s">
        <v>1071</v>
      </c>
      <c r="D80" s="21"/>
      <c r="E80" s="21" t="s">
        <v>996</v>
      </c>
      <c r="F80" s="21"/>
      <c r="G80" s="21"/>
      <c r="H80" s="21"/>
      <c r="I80" s="21"/>
      <c r="J80" s="21"/>
      <c r="K80" s="21"/>
      <c r="L80" s="21"/>
    </row>
    <row r="81" spans="1:12" ht="29" x14ac:dyDescent="0.35">
      <c r="A81" s="21" t="s">
        <v>1072</v>
      </c>
      <c r="B81" s="21" t="s">
        <v>1073</v>
      </c>
      <c r="C81" s="21" t="s">
        <v>1074</v>
      </c>
      <c r="D81" s="21"/>
      <c r="E81" s="21" t="s">
        <v>996</v>
      </c>
      <c r="F81" s="21"/>
      <c r="G81" s="21"/>
      <c r="H81" s="21"/>
      <c r="I81" s="21"/>
      <c r="J81" s="21"/>
      <c r="K81" s="21"/>
      <c r="L81" s="21"/>
    </row>
    <row r="82" spans="1:12" ht="29" x14ac:dyDescent="0.35">
      <c r="A82" s="21" t="s">
        <v>1072</v>
      </c>
      <c r="B82" s="21" t="s">
        <v>1075</v>
      </c>
      <c r="C82" s="21" t="s">
        <v>1076</v>
      </c>
      <c r="D82" s="21"/>
      <c r="E82" s="21" t="s">
        <v>996</v>
      </c>
      <c r="F82" s="21"/>
      <c r="G82" s="21"/>
      <c r="H82" s="21"/>
      <c r="I82" s="21"/>
      <c r="J82" s="21"/>
      <c r="K82" s="21"/>
      <c r="L82" s="21"/>
    </row>
    <row r="83" spans="1:12" ht="29" x14ac:dyDescent="0.35">
      <c r="A83" s="21" t="s">
        <v>1072</v>
      </c>
      <c r="B83" s="21" t="s">
        <v>1077</v>
      </c>
      <c r="C83" s="21" t="s">
        <v>1078</v>
      </c>
      <c r="D83" s="21"/>
      <c r="E83" s="21" t="s">
        <v>996</v>
      </c>
      <c r="F83" s="21"/>
      <c r="G83" s="21"/>
      <c r="H83" s="21"/>
      <c r="I83" s="21"/>
      <c r="J83" s="21"/>
      <c r="K83" s="21"/>
      <c r="L83" s="21"/>
    </row>
    <row r="84" spans="1:12" ht="29" x14ac:dyDescent="0.35">
      <c r="A84" s="21" t="s">
        <v>1072</v>
      </c>
      <c r="B84" s="21" t="s">
        <v>1079</v>
      </c>
      <c r="C84" s="21" t="s">
        <v>1080</v>
      </c>
      <c r="D84" s="21"/>
      <c r="E84" s="21" t="s">
        <v>996</v>
      </c>
      <c r="F84" s="21"/>
      <c r="G84" s="21"/>
      <c r="H84" s="21"/>
      <c r="I84" s="21"/>
      <c r="J84" s="21"/>
      <c r="K84" s="21"/>
      <c r="L84" s="21"/>
    </row>
    <row r="85" spans="1:12" ht="29" x14ac:dyDescent="0.35">
      <c r="A85" s="21" t="s">
        <v>1072</v>
      </c>
      <c r="B85" s="21" t="s">
        <v>1081</v>
      </c>
      <c r="C85" s="21" t="s">
        <v>1082</v>
      </c>
      <c r="D85" s="21"/>
      <c r="E85" s="21" t="s">
        <v>996</v>
      </c>
      <c r="F85" s="21"/>
      <c r="G85" s="21"/>
      <c r="H85" s="21"/>
      <c r="I85" s="21"/>
      <c r="J85" s="21"/>
      <c r="K85" s="21"/>
      <c r="L85" s="21"/>
    </row>
    <row r="86" spans="1:12" ht="29" x14ac:dyDescent="0.35">
      <c r="A86" s="21" t="s">
        <v>1072</v>
      </c>
      <c r="B86" s="21" t="s">
        <v>1083</v>
      </c>
      <c r="C86" s="21" t="s">
        <v>1084</v>
      </c>
      <c r="D86" s="21"/>
      <c r="E86" s="21" t="s">
        <v>996</v>
      </c>
      <c r="F86" s="21"/>
      <c r="G86" s="21"/>
      <c r="H86" s="21"/>
      <c r="I86" s="21"/>
      <c r="J86" s="21"/>
      <c r="K86" s="21"/>
      <c r="L86" s="21"/>
    </row>
    <row r="87" spans="1:12" ht="29" x14ac:dyDescent="0.35">
      <c r="A87" s="21" t="s">
        <v>1085</v>
      </c>
      <c r="B87" s="21" t="s">
        <v>1086</v>
      </c>
      <c r="C87" s="21" t="s">
        <v>1087</v>
      </c>
      <c r="D87" s="21"/>
      <c r="E87" s="21" t="s">
        <v>996</v>
      </c>
      <c r="F87" s="21"/>
      <c r="G87" s="21"/>
      <c r="H87" s="21"/>
      <c r="I87" s="21"/>
      <c r="J87" s="21"/>
      <c r="K87" s="21"/>
      <c r="L87" s="21"/>
    </row>
    <row r="88" spans="1:12" ht="29" x14ac:dyDescent="0.35">
      <c r="A88" s="21" t="s">
        <v>1085</v>
      </c>
      <c r="B88" s="21" t="s">
        <v>1088</v>
      </c>
      <c r="C88" s="21" t="s">
        <v>1089</v>
      </c>
      <c r="D88" s="21"/>
      <c r="E88" s="21" t="s">
        <v>996</v>
      </c>
      <c r="F88" s="21"/>
      <c r="G88" s="21"/>
      <c r="H88" s="21"/>
      <c r="I88" s="21"/>
      <c r="J88" s="21"/>
      <c r="K88" s="21"/>
      <c r="L88" s="21"/>
    </row>
    <row r="89" spans="1:12" ht="29" x14ac:dyDescent="0.35">
      <c r="A89" s="21" t="s">
        <v>1085</v>
      </c>
      <c r="B89" s="21" t="s">
        <v>1090</v>
      </c>
      <c r="C89" s="21" t="s">
        <v>1091</v>
      </c>
      <c r="D89" s="21"/>
      <c r="E89" s="21" t="s">
        <v>996</v>
      </c>
      <c r="F89" s="21"/>
      <c r="G89" s="21"/>
      <c r="H89" s="21"/>
      <c r="I89" s="21"/>
      <c r="J89" s="21"/>
      <c r="K89" s="21"/>
      <c r="L89" s="21"/>
    </row>
    <row r="90" spans="1:12" ht="29" x14ac:dyDescent="0.35">
      <c r="A90" s="21" t="s">
        <v>1085</v>
      </c>
      <c r="B90" s="21" t="s">
        <v>1092</v>
      </c>
      <c r="C90" s="21" t="s">
        <v>1093</v>
      </c>
      <c r="D90" s="21"/>
      <c r="E90" s="21" t="s">
        <v>996</v>
      </c>
      <c r="F90" s="21"/>
      <c r="G90" s="21"/>
      <c r="H90" s="21"/>
      <c r="I90" s="21"/>
      <c r="J90" s="21"/>
      <c r="K90" s="21"/>
      <c r="L90" s="21"/>
    </row>
    <row r="91" spans="1:12" ht="29" x14ac:dyDescent="0.35">
      <c r="A91" s="21" t="s">
        <v>1085</v>
      </c>
      <c r="B91" s="21" t="s">
        <v>1094</v>
      </c>
      <c r="C91" s="21" t="s">
        <v>1095</v>
      </c>
      <c r="D91" s="21"/>
      <c r="E91" s="21" t="s">
        <v>996</v>
      </c>
      <c r="F91" s="21"/>
      <c r="G91" s="21"/>
      <c r="H91" s="21"/>
      <c r="I91" s="21"/>
      <c r="J91" s="21"/>
      <c r="K91" s="21"/>
      <c r="L91" s="21"/>
    </row>
    <row r="92" spans="1:12" ht="29" x14ac:dyDescent="0.35">
      <c r="A92" s="21" t="s">
        <v>1085</v>
      </c>
      <c r="B92" s="21" t="s">
        <v>1096</v>
      </c>
      <c r="C92" s="21" t="s">
        <v>1097</v>
      </c>
      <c r="D92" s="21"/>
      <c r="E92" s="21" t="s">
        <v>996</v>
      </c>
      <c r="F92" s="21"/>
      <c r="G92" s="21"/>
      <c r="H92" s="21"/>
      <c r="I92" s="21"/>
      <c r="J92" s="21"/>
      <c r="K92" s="21"/>
      <c r="L92" s="21"/>
    </row>
    <row r="93" spans="1:12" ht="29" x14ac:dyDescent="0.35">
      <c r="A93" s="21" t="s">
        <v>1098</v>
      </c>
      <c r="B93" s="21" t="s">
        <v>1099</v>
      </c>
      <c r="C93" s="21" t="s">
        <v>1100</v>
      </c>
      <c r="D93" s="21"/>
      <c r="E93" s="21" t="s">
        <v>996</v>
      </c>
      <c r="F93" s="21"/>
      <c r="G93" s="21"/>
      <c r="H93" s="21"/>
      <c r="I93" s="21"/>
      <c r="J93" s="21"/>
      <c r="K93" s="21"/>
      <c r="L93" s="21"/>
    </row>
    <row r="94" spans="1:12" ht="29" x14ac:dyDescent="0.35">
      <c r="A94" s="21" t="s">
        <v>1098</v>
      </c>
      <c r="B94" s="21" t="s">
        <v>1101</v>
      </c>
      <c r="C94" s="21" t="s">
        <v>1102</v>
      </c>
      <c r="D94" s="21"/>
      <c r="E94" s="21" t="s">
        <v>996</v>
      </c>
      <c r="F94" s="21"/>
      <c r="G94" s="21"/>
      <c r="H94" s="21"/>
      <c r="I94" s="21"/>
      <c r="J94" s="21"/>
      <c r="K94" s="21"/>
      <c r="L94" s="21"/>
    </row>
    <row r="95" spans="1:12" ht="29" x14ac:dyDescent="0.35">
      <c r="A95" s="21" t="s">
        <v>1098</v>
      </c>
      <c r="B95" s="21" t="s">
        <v>1103</v>
      </c>
      <c r="C95" s="21" t="s">
        <v>1104</v>
      </c>
      <c r="D95" s="21"/>
      <c r="E95" s="21" t="s">
        <v>996</v>
      </c>
      <c r="F95" s="21"/>
      <c r="G95" s="21"/>
      <c r="H95" s="21"/>
      <c r="I95" s="21"/>
      <c r="J95" s="21"/>
      <c r="K95" s="21"/>
      <c r="L95" s="21"/>
    </row>
    <row r="96" spans="1:12" ht="29" x14ac:dyDescent="0.35">
      <c r="A96" s="21" t="s">
        <v>1098</v>
      </c>
      <c r="B96" s="21" t="s">
        <v>1105</v>
      </c>
      <c r="C96" s="21" t="s">
        <v>1106</v>
      </c>
      <c r="D96" s="21"/>
      <c r="E96" s="21" t="s">
        <v>996</v>
      </c>
      <c r="F96" s="21"/>
      <c r="G96" s="21"/>
      <c r="H96" s="21"/>
      <c r="I96" s="21"/>
      <c r="J96" s="21"/>
      <c r="K96" s="21"/>
      <c r="L96" s="21"/>
    </row>
    <row r="97" spans="1:12" ht="29" x14ac:dyDescent="0.35">
      <c r="A97" s="21" t="s">
        <v>1098</v>
      </c>
      <c r="B97" s="21" t="s">
        <v>1107</v>
      </c>
      <c r="C97" s="21" t="s">
        <v>1108</v>
      </c>
      <c r="D97" s="21"/>
      <c r="E97" s="21" t="s">
        <v>996</v>
      </c>
      <c r="F97" s="21"/>
      <c r="G97" s="21"/>
      <c r="H97" s="21"/>
      <c r="I97" s="21"/>
      <c r="J97" s="21"/>
      <c r="K97" s="21"/>
      <c r="L97" s="21"/>
    </row>
    <row r="98" spans="1:12" ht="29" x14ac:dyDescent="0.35">
      <c r="A98" s="21" t="s">
        <v>1098</v>
      </c>
      <c r="B98" s="21" t="s">
        <v>1109</v>
      </c>
      <c r="C98" s="21" t="s">
        <v>1110</v>
      </c>
      <c r="D98" s="21"/>
      <c r="E98" s="21" t="s">
        <v>996</v>
      </c>
      <c r="F98" s="21"/>
      <c r="G98" s="21"/>
      <c r="H98" s="21"/>
      <c r="I98" s="21"/>
      <c r="J98" s="21"/>
      <c r="K98" s="21"/>
      <c r="L98" s="21"/>
    </row>
    <row r="99" spans="1:12" ht="29" x14ac:dyDescent="0.35">
      <c r="A99" s="21" t="s">
        <v>1111</v>
      </c>
      <c r="B99" s="21" t="s">
        <v>1112</v>
      </c>
      <c r="C99" s="21" t="s">
        <v>1113</v>
      </c>
      <c r="D99" s="21"/>
      <c r="E99" s="21" t="s">
        <v>1114</v>
      </c>
      <c r="F99" s="21"/>
      <c r="G99" s="21"/>
      <c r="H99" s="21"/>
      <c r="I99" s="21"/>
      <c r="J99" s="21"/>
      <c r="K99" s="21"/>
      <c r="L99" s="21"/>
    </row>
    <row r="100" spans="1:12" ht="29" x14ac:dyDescent="0.35">
      <c r="A100" s="21" t="s">
        <v>1111</v>
      </c>
      <c r="B100" s="21" t="s">
        <v>1115</v>
      </c>
      <c r="C100" s="21" t="s">
        <v>1116</v>
      </c>
      <c r="D100" s="21"/>
      <c r="E100" s="21" t="s">
        <v>1114</v>
      </c>
      <c r="F100" s="21"/>
      <c r="G100" s="21"/>
      <c r="H100" s="21"/>
      <c r="I100" s="21"/>
      <c r="J100" s="21"/>
      <c r="K100" s="21"/>
      <c r="L100" s="21"/>
    </row>
    <row r="101" spans="1:12" ht="29" x14ac:dyDescent="0.35">
      <c r="A101" s="21" t="s">
        <v>1111</v>
      </c>
      <c r="B101" s="21" t="s">
        <v>1117</v>
      </c>
      <c r="C101" s="21" t="s">
        <v>1118</v>
      </c>
      <c r="D101" s="21"/>
      <c r="E101" s="21" t="s">
        <v>1114</v>
      </c>
      <c r="F101" s="21"/>
      <c r="G101" s="21"/>
      <c r="H101" s="21"/>
      <c r="I101" s="21"/>
      <c r="J101" s="21"/>
      <c r="K101" s="21"/>
      <c r="L101" s="21"/>
    </row>
    <row r="102" spans="1:12" ht="29" x14ac:dyDescent="0.35">
      <c r="A102" s="21" t="s">
        <v>1111</v>
      </c>
      <c r="B102" s="21" t="s">
        <v>1119</v>
      </c>
      <c r="C102" s="21" t="s">
        <v>1120</v>
      </c>
      <c r="D102" s="21"/>
      <c r="E102" s="21" t="s">
        <v>1114</v>
      </c>
      <c r="F102" s="21"/>
      <c r="G102" s="21"/>
      <c r="H102" s="21"/>
      <c r="I102" s="21"/>
      <c r="J102" s="21"/>
      <c r="K102" s="21"/>
      <c r="L102" s="21"/>
    </row>
    <row r="103" spans="1:12" ht="29" x14ac:dyDescent="0.35">
      <c r="A103" s="21" t="s">
        <v>1111</v>
      </c>
      <c r="B103" s="21" t="s">
        <v>1121</v>
      </c>
      <c r="C103" s="21" t="s">
        <v>1122</v>
      </c>
      <c r="D103" s="21"/>
      <c r="E103" s="21" t="s">
        <v>1114</v>
      </c>
      <c r="F103" s="21"/>
      <c r="G103" s="21"/>
      <c r="H103" s="21"/>
      <c r="I103" s="21"/>
      <c r="J103" s="21"/>
      <c r="K103" s="21"/>
      <c r="L103" s="21"/>
    </row>
    <row r="104" spans="1:12" ht="29" x14ac:dyDescent="0.35">
      <c r="A104" s="21" t="s">
        <v>1111</v>
      </c>
      <c r="B104" s="21" t="s">
        <v>1123</v>
      </c>
      <c r="C104" s="21" t="s">
        <v>1124</v>
      </c>
      <c r="D104" s="21"/>
      <c r="E104" s="21" t="s">
        <v>1114</v>
      </c>
      <c r="F104" s="21"/>
      <c r="G104" s="21"/>
      <c r="H104" s="21"/>
      <c r="I104" s="21"/>
      <c r="J104" s="21"/>
      <c r="K104" s="21"/>
      <c r="L104" s="21"/>
    </row>
    <row r="105" spans="1:12" ht="29" x14ac:dyDescent="0.35">
      <c r="A105" s="21" t="s">
        <v>1125</v>
      </c>
      <c r="B105" s="21" t="s">
        <v>1126</v>
      </c>
      <c r="C105" s="21" t="s">
        <v>1127</v>
      </c>
      <c r="D105" s="21"/>
      <c r="E105" s="21" t="s">
        <v>1114</v>
      </c>
      <c r="F105" s="21"/>
      <c r="G105" s="21"/>
      <c r="H105" s="21"/>
      <c r="I105" s="21"/>
      <c r="J105" s="21"/>
      <c r="K105" s="21"/>
      <c r="L105" s="21"/>
    </row>
    <row r="106" spans="1:12" ht="29" x14ac:dyDescent="0.35">
      <c r="A106" s="21" t="s">
        <v>1125</v>
      </c>
      <c r="B106" s="21" t="s">
        <v>1128</v>
      </c>
      <c r="C106" s="21" t="s">
        <v>1129</v>
      </c>
      <c r="D106" s="21"/>
      <c r="E106" s="21" t="s">
        <v>1114</v>
      </c>
      <c r="F106" s="21"/>
      <c r="G106" s="21"/>
      <c r="H106" s="21"/>
      <c r="I106" s="21"/>
      <c r="J106" s="21"/>
      <c r="K106" s="21"/>
      <c r="L106" s="21"/>
    </row>
    <row r="107" spans="1:12" ht="43.5" x14ac:dyDescent="0.35">
      <c r="A107" s="21" t="s">
        <v>1125</v>
      </c>
      <c r="B107" s="21" t="s">
        <v>1130</v>
      </c>
      <c r="C107" s="21" t="s">
        <v>1131</v>
      </c>
      <c r="D107" s="21"/>
      <c r="E107" s="21" t="s">
        <v>1114</v>
      </c>
      <c r="F107" s="21"/>
      <c r="G107" s="21"/>
      <c r="H107" s="21"/>
      <c r="I107" s="21"/>
      <c r="J107" s="21"/>
      <c r="K107" s="21"/>
      <c r="L107" s="21"/>
    </row>
    <row r="108" spans="1:12" ht="29" x14ac:dyDescent="0.35">
      <c r="A108" s="21" t="s">
        <v>1125</v>
      </c>
      <c r="B108" s="21" t="s">
        <v>1132</v>
      </c>
      <c r="C108" s="21" t="s">
        <v>1133</v>
      </c>
      <c r="D108" s="21"/>
      <c r="E108" s="21" t="s">
        <v>1114</v>
      </c>
      <c r="F108" s="21"/>
      <c r="G108" s="21"/>
      <c r="H108" s="21"/>
      <c r="I108" s="21"/>
      <c r="J108" s="21"/>
      <c r="K108" s="21"/>
      <c r="L108" s="21"/>
    </row>
    <row r="109" spans="1:12" ht="29" x14ac:dyDescent="0.35">
      <c r="A109" s="21" t="s">
        <v>1125</v>
      </c>
      <c r="B109" s="21" t="s">
        <v>1134</v>
      </c>
      <c r="C109" s="21" t="s">
        <v>1135</v>
      </c>
      <c r="D109" s="21"/>
      <c r="E109" s="21" t="s">
        <v>1114</v>
      </c>
      <c r="F109" s="21"/>
      <c r="G109" s="21"/>
      <c r="H109" s="21"/>
      <c r="I109" s="21"/>
      <c r="J109" s="21"/>
      <c r="K109" s="21"/>
      <c r="L109" s="21"/>
    </row>
    <row r="110" spans="1:12" ht="29" x14ac:dyDescent="0.35">
      <c r="A110" s="21" t="s">
        <v>1125</v>
      </c>
      <c r="B110" s="21" t="s">
        <v>1136</v>
      </c>
      <c r="C110" s="21" t="s">
        <v>1137</v>
      </c>
      <c r="D110" s="21"/>
      <c r="E110" s="21" t="s">
        <v>1114</v>
      </c>
      <c r="F110" s="21"/>
      <c r="G110" s="21"/>
      <c r="H110" s="21"/>
      <c r="I110" s="21"/>
      <c r="J110" s="21"/>
      <c r="K110" s="21"/>
      <c r="L110" s="21"/>
    </row>
    <row r="111" spans="1:12" ht="29" x14ac:dyDescent="0.35">
      <c r="A111" s="21" t="s">
        <v>1138</v>
      </c>
      <c r="B111" s="21" t="s">
        <v>1139</v>
      </c>
      <c r="C111" s="21" t="s">
        <v>1140</v>
      </c>
      <c r="D111" s="21"/>
      <c r="E111" s="21" t="s">
        <v>996</v>
      </c>
      <c r="F111" s="21"/>
      <c r="G111" s="21"/>
      <c r="H111" s="21"/>
      <c r="I111" s="21"/>
      <c r="J111" s="21"/>
      <c r="K111" s="21"/>
      <c r="L111" s="21"/>
    </row>
    <row r="112" spans="1:12" ht="29" x14ac:dyDescent="0.35">
      <c r="A112" s="21" t="s">
        <v>1138</v>
      </c>
      <c r="B112" s="21" t="s">
        <v>1141</v>
      </c>
      <c r="C112" s="21" t="s">
        <v>1142</v>
      </c>
      <c r="D112" s="21"/>
      <c r="E112" s="21" t="s">
        <v>996</v>
      </c>
      <c r="F112" s="21"/>
      <c r="G112" s="21"/>
      <c r="H112" s="21"/>
      <c r="I112" s="21"/>
      <c r="J112" s="21"/>
      <c r="K112" s="21"/>
      <c r="L112" s="21"/>
    </row>
    <row r="113" spans="1:12" ht="29" x14ac:dyDescent="0.35">
      <c r="A113" s="21" t="s">
        <v>1138</v>
      </c>
      <c r="B113" s="21" t="s">
        <v>1143</v>
      </c>
      <c r="C113" s="21" t="s">
        <v>1144</v>
      </c>
      <c r="D113" s="21"/>
      <c r="E113" s="21" t="s">
        <v>996</v>
      </c>
      <c r="F113" s="21"/>
      <c r="G113" s="21"/>
      <c r="H113" s="21"/>
      <c r="I113" s="21"/>
      <c r="J113" s="21"/>
      <c r="K113" s="21"/>
      <c r="L113" s="21"/>
    </row>
    <row r="114" spans="1:12" ht="29" x14ac:dyDescent="0.35">
      <c r="A114" s="21" t="s">
        <v>1138</v>
      </c>
      <c r="B114" s="21" t="s">
        <v>1145</v>
      </c>
      <c r="C114" s="21" t="s">
        <v>1146</v>
      </c>
      <c r="D114" s="21"/>
      <c r="E114" s="21" t="s">
        <v>996</v>
      </c>
      <c r="F114" s="21"/>
      <c r="G114" s="21"/>
      <c r="H114" s="21"/>
      <c r="I114" s="21"/>
      <c r="J114" s="21"/>
      <c r="K114" s="21"/>
      <c r="L114" s="21"/>
    </row>
    <row r="115" spans="1:12" ht="29" x14ac:dyDescent="0.35">
      <c r="A115" s="21" t="s">
        <v>1138</v>
      </c>
      <c r="B115" s="21" t="s">
        <v>1147</v>
      </c>
      <c r="C115" s="21" t="s">
        <v>1148</v>
      </c>
      <c r="D115" s="21"/>
      <c r="E115" s="21" t="s">
        <v>996</v>
      </c>
      <c r="F115" s="21"/>
      <c r="G115" s="21"/>
      <c r="H115" s="21"/>
      <c r="I115" s="21"/>
      <c r="J115" s="21"/>
      <c r="K115" s="21"/>
      <c r="L115" s="21"/>
    </row>
    <row r="116" spans="1:12" ht="29" x14ac:dyDescent="0.35">
      <c r="A116" s="21" t="s">
        <v>1138</v>
      </c>
      <c r="B116" s="21" t="s">
        <v>1149</v>
      </c>
      <c r="C116" s="21" t="s">
        <v>1150</v>
      </c>
      <c r="D116" s="21"/>
      <c r="E116" s="21" t="s">
        <v>996</v>
      </c>
      <c r="F116" s="21"/>
      <c r="G116" s="21"/>
      <c r="H116" s="21"/>
      <c r="I116" s="21"/>
      <c r="J116" s="21"/>
      <c r="K116" s="21"/>
      <c r="L116" s="21"/>
    </row>
    <row r="117" spans="1:12" ht="29" x14ac:dyDescent="0.35">
      <c r="A117" s="21" t="s">
        <v>1151</v>
      </c>
      <c r="B117" s="21" t="s">
        <v>1152</v>
      </c>
      <c r="C117" s="21" t="s">
        <v>1153</v>
      </c>
      <c r="D117" s="21"/>
      <c r="E117" s="21" t="s">
        <v>996</v>
      </c>
      <c r="F117" s="21"/>
      <c r="G117" s="21"/>
      <c r="H117" s="21"/>
      <c r="I117" s="21"/>
      <c r="J117" s="21"/>
      <c r="K117" s="21"/>
      <c r="L117" s="21"/>
    </row>
    <row r="118" spans="1:12" ht="29" x14ac:dyDescent="0.35">
      <c r="A118" s="21" t="s">
        <v>1151</v>
      </c>
      <c r="B118" s="21" t="s">
        <v>1154</v>
      </c>
      <c r="C118" s="21" t="s">
        <v>1155</v>
      </c>
      <c r="D118" s="21"/>
      <c r="E118" s="21" t="s">
        <v>996</v>
      </c>
      <c r="F118" s="21"/>
      <c r="G118" s="21"/>
      <c r="H118" s="21"/>
      <c r="I118" s="21"/>
      <c r="J118" s="21"/>
      <c r="K118" s="21"/>
      <c r="L118" s="21"/>
    </row>
    <row r="119" spans="1:12" ht="29" x14ac:dyDescent="0.35">
      <c r="A119" s="21" t="s">
        <v>1151</v>
      </c>
      <c r="B119" s="21" t="s">
        <v>1156</v>
      </c>
      <c r="C119" s="21" t="s">
        <v>1157</v>
      </c>
      <c r="D119" s="21"/>
      <c r="E119" s="21" t="s">
        <v>996</v>
      </c>
      <c r="F119" s="21"/>
      <c r="G119" s="21"/>
      <c r="H119" s="21"/>
      <c r="I119" s="21"/>
      <c r="J119" s="21"/>
      <c r="K119" s="21"/>
      <c r="L119" s="21"/>
    </row>
    <row r="120" spans="1:12" ht="29" x14ac:dyDescent="0.35">
      <c r="A120" s="21" t="s">
        <v>1151</v>
      </c>
      <c r="B120" s="21" t="s">
        <v>1158</v>
      </c>
      <c r="C120" s="21" t="s">
        <v>1159</v>
      </c>
      <c r="D120" s="21"/>
      <c r="E120" s="21" t="s">
        <v>996</v>
      </c>
      <c r="F120" s="21"/>
      <c r="G120" s="21"/>
      <c r="H120" s="21"/>
      <c r="I120" s="21"/>
      <c r="J120" s="21"/>
      <c r="K120" s="21"/>
      <c r="L120" s="21"/>
    </row>
    <row r="121" spans="1:12" ht="29" x14ac:dyDescent="0.35">
      <c r="A121" s="21" t="s">
        <v>1151</v>
      </c>
      <c r="B121" s="21" t="s">
        <v>1160</v>
      </c>
      <c r="C121" s="21" t="s">
        <v>1161</v>
      </c>
      <c r="D121" s="21"/>
      <c r="E121" s="21" t="s">
        <v>996</v>
      </c>
      <c r="F121" s="21"/>
      <c r="G121" s="21"/>
      <c r="H121" s="21"/>
      <c r="I121" s="21"/>
      <c r="J121" s="21"/>
      <c r="K121" s="21"/>
      <c r="L121" s="21"/>
    </row>
    <row r="122" spans="1:12" ht="29" x14ac:dyDescent="0.35">
      <c r="A122" s="21" t="s">
        <v>1151</v>
      </c>
      <c r="B122" s="21" t="s">
        <v>1162</v>
      </c>
      <c r="C122" s="21" t="s">
        <v>1163</v>
      </c>
      <c r="D122" s="21"/>
      <c r="E122" s="21" t="s">
        <v>996</v>
      </c>
      <c r="F122" s="21"/>
      <c r="G122" s="21"/>
      <c r="H122" s="21"/>
      <c r="I122" s="21"/>
      <c r="J122" s="21"/>
      <c r="K122" s="21"/>
      <c r="L122" s="21"/>
    </row>
    <row r="123" spans="1:12" ht="29" x14ac:dyDescent="0.35">
      <c r="A123" s="21" t="s">
        <v>432</v>
      </c>
      <c r="B123" s="21" t="s">
        <v>1164</v>
      </c>
      <c r="C123" s="21" t="s">
        <v>1165</v>
      </c>
      <c r="D123" s="21"/>
      <c r="E123" s="21" t="s">
        <v>1114</v>
      </c>
      <c r="F123" s="21"/>
      <c r="G123" s="21"/>
      <c r="H123" s="21"/>
      <c r="I123" s="21"/>
      <c r="J123" s="21"/>
      <c r="K123" s="21"/>
      <c r="L123" s="21"/>
    </row>
    <row r="124" spans="1:12" ht="29" x14ac:dyDescent="0.35">
      <c r="A124" s="21" t="s">
        <v>432</v>
      </c>
      <c r="B124" s="21" t="s">
        <v>1166</v>
      </c>
      <c r="C124" s="21" t="s">
        <v>1167</v>
      </c>
      <c r="D124" s="21"/>
      <c r="E124" s="21" t="s">
        <v>1114</v>
      </c>
      <c r="F124" s="21"/>
      <c r="G124" s="21"/>
      <c r="H124" s="21"/>
      <c r="I124" s="21"/>
      <c r="J124" s="21"/>
      <c r="K124" s="21"/>
      <c r="L124" s="21"/>
    </row>
    <row r="125" spans="1:12" ht="29" x14ac:dyDescent="0.35">
      <c r="A125" s="21" t="s">
        <v>432</v>
      </c>
      <c r="B125" s="21" t="s">
        <v>1168</v>
      </c>
      <c r="C125" s="21" t="s">
        <v>1169</v>
      </c>
      <c r="D125" s="21"/>
      <c r="E125" s="21" t="s">
        <v>1114</v>
      </c>
      <c r="F125" s="21"/>
      <c r="G125" s="21"/>
      <c r="H125" s="21"/>
      <c r="I125" s="21"/>
      <c r="J125" s="21"/>
      <c r="K125" s="21"/>
      <c r="L125" s="21"/>
    </row>
    <row r="126" spans="1:12" ht="29" x14ac:dyDescent="0.35">
      <c r="A126" s="21" t="s">
        <v>432</v>
      </c>
      <c r="B126" s="21" t="s">
        <v>1170</v>
      </c>
      <c r="C126" s="21" t="s">
        <v>1171</v>
      </c>
      <c r="D126" s="21"/>
      <c r="E126" s="21" t="s">
        <v>1114</v>
      </c>
      <c r="F126" s="21"/>
      <c r="G126" s="21"/>
      <c r="H126" s="21"/>
      <c r="I126" s="21"/>
      <c r="J126" s="21"/>
      <c r="K126" s="21"/>
      <c r="L126" s="21"/>
    </row>
    <row r="127" spans="1:12" ht="29" x14ac:dyDescent="0.35">
      <c r="A127" s="21" t="s">
        <v>432</v>
      </c>
      <c r="B127" s="21" t="s">
        <v>1172</v>
      </c>
      <c r="C127" s="21" t="s">
        <v>1173</v>
      </c>
      <c r="D127" s="21"/>
      <c r="E127" s="21" t="s">
        <v>1114</v>
      </c>
      <c r="F127" s="21"/>
      <c r="G127" s="21"/>
      <c r="H127" s="21"/>
      <c r="I127" s="21"/>
      <c r="J127" s="21"/>
      <c r="K127" s="21"/>
      <c r="L127" s="21"/>
    </row>
    <row r="128" spans="1:12" ht="29" x14ac:dyDescent="0.35">
      <c r="A128" s="21" t="s">
        <v>432</v>
      </c>
      <c r="B128" s="21" t="s">
        <v>1174</v>
      </c>
      <c r="C128" s="21" t="s">
        <v>1175</v>
      </c>
      <c r="D128" s="21"/>
      <c r="E128" s="21" t="s">
        <v>1114</v>
      </c>
      <c r="F128" s="21"/>
      <c r="G128" s="21"/>
      <c r="H128" s="21"/>
      <c r="I128" s="21"/>
      <c r="J128" s="21"/>
      <c r="K128" s="21"/>
      <c r="L128" s="21"/>
    </row>
    <row r="129" spans="1:12" ht="29" x14ac:dyDescent="0.35">
      <c r="A129" s="21" t="s">
        <v>1176</v>
      </c>
      <c r="B129" s="21" t="s">
        <v>1177</v>
      </c>
      <c r="C129" s="21" t="s">
        <v>1178</v>
      </c>
      <c r="D129" s="21"/>
      <c r="E129" s="21" t="s">
        <v>996</v>
      </c>
      <c r="F129" s="21"/>
      <c r="G129" s="21"/>
      <c r="H129" s="21"/>
      <c r="I129" s="21"/>
      <c r="J129" s="21"/>
      <c r="K129" s="21"/>
      <c r="L129" s="21"/>
    </row>
    <row r="130" spans="1:12" ht="29" x14ac:dyDescent="0.35">
      <c r="A130" s="21" t="s">
        <v>1176</v>
      </c>
      <c r="B130" s="21" t="s">
        <v>1179</v>
      </c>
      <c r="C130" s="21" t="s">
        <v>1180</v>
      </c>
      <c r="D130" s="21"/>
      <c r="E130" s="21" t="s">
        <v>996</v>
      </c>
      <c r="F130" s="21"/>
      <c r="G130" s="21"/>
      <c r="H130" s="21"/>
      <c r="I130" s="21"/>
      <c r="J130" s="21"/>
      <c r="K130" s="21"/>
      <c r="L130" s="21"/>
    </row>
    <row r="131" spans="1:12" ht="29" x14ac:dyDescent="0.35">
      <c r="A131" s="21" t="s">
        <v>1176</v>
      </c>
      <c r="B131" s="21" t="s">
        <v>1181</v>
      </c>
      <c r="C131" s="21" t="s">
        <v>1182</v>
      </c>
      <c r="D131" s="21"/>
      <c r="E131" s="21" t="s">
        <v>996</v>
      </c>
      <c r="F131" s="21"/>
      <c r="G131" s="21"/>
      <c r="H131" s="21"/>
      <c r="I131" s="21"/>
      <c r="J131" s="21"/>
      <c r="K131" s="21"/>
      <c r="L131" s="21"/>
    </row>
    <row r="132" spans="1:12" ht="29" x14ac:dyDescent="0.35">
      <c r="A132" s="21" t="s">
        <v>1176</v>
      </c>
      <c r="B132" s="21" t="s">
        <v>1183</v>
      </c>
      <c r="C132" s="21" t="s">
        <v>1184</v>
      </c>
      <c r="D132" s="21"/>
      <c r="E132" s="21" t="s">
        <v>996</v>
      </c>
      <c r="F132" s="21"/>
      <c r="G132" s="21"/>
      <c r="H132" s="21"/>
      <c r="I132" s="21"/>
      <c r="J132" s="21"/>
      <c r="K132" s="21"/>
      <c r="L132" s="21"/>
    </row>
    <row r="133" spans="1:12" ht="29" x14ac:dyDescent="0.35">
      <c r="A133" s="21" t="s">
        <v>1176</v>
      </c>
      <c r="B133" s="21" t="s">
        <v>1185</v>
      </c>
      <c r="C133" s="21" t="s">
        <v>1186</v>
      </c>
      <c r="D133" s="21"/>
      <c r="E133" s="21" t="s">
        <v>996</v>
      </c>
      <c r="F133" s="21"/>
      <c r="G133" s="21"/>
      <c r="H133" s="21"/>
      <c r="I133" s="21"/>
      <c r="J133" s="21"/>
      <c r="K133" s="21"/>
      <c r="L133" s="21"/>
    </row>
    <row r="134" spans="1:12" ht="29" x14ac:dyDescent="0.35">
      <c r="A134" s="21" t="s">
        <v>1176</v>
      </c>
      <c r="B134" s="21" t="s">
        <v>1187</v>
      </c>
      <c r="C134" s="21" t="s">
        <v>1188</v>
      </c>
      <c r="D134" s="21"/>
      <c r="E134" s="21" t="s">
        <v>996</v>
      </c>
      <c r="F134" s="21"/>
      <c r="G134" s="21"/>
      <c r="H134" s="21"/>
      <c r="I134" s="21"/>
      <c r="J134" s="21"/>
      <c r="K134" s="21"/>
      <c r="L134" s="21"/>
    </row>
    <row r="135" spans="1:12" ht="29" x14ac:dyDescent="0.35">
      <c r="A135" s="21" t="s">
        <v>1189</v>
      </c>
      <c r="B135" s="21" t="s">
        <v>1190</v>
      </c>
      <c r="C135" s="21" t="s">
        <v>1191</v>
      </c>
      <c r="D135" s="21"/>
      <c r="E135" s="21" t="s">
        <v>996</v>
      </c>
      <c r="F135" s="21"/>
      <c r="G135" s="21"/>
      <c r="H135" s="21"/>
      <c r="I135" s="21"/>
      <c r="J135" s="21"/>
      <c r="K135" s="21"/>
      <c r="L135" s="21"/>
    </row>
    <row r="136" spans="1:12" ht="29" x14ac:dyDescent="0.35">
      <c r="A136" s="21" t="s">
        <v>1189</v>
      </c>
      <c r="B136" s="21" t="s">
        <v>1192</v>
      </c>
      <c r="C136" s="21" t="s">
        <v>1193</v>
      </c>
      <c r="D136" s="21"/>
      <c r="E136" s="21" t="s">
        <v>996</v>
      </c>
      <c r="F136" s="21"/>
      <c r="G136" s="21"/>
      <c r="H136" s="21"/>
      <c r="I136" s="21"/>
      <c r="J136" s="21"/>
      <c r="K136" s="21"/>
      <c r="L136" s="21"/>
    </row>
    <row r="137" spans="1:12" ht="29" x14ac:dyDescent="0.35">
      <c r="A137" s="21" t="s">
        <v>1189</v>
      </c>
      <c r="B137" s="21" t="s">
        <v>1194</v>
      </c>
      <c r="C137" s="21" t="s">
        <v>1195</v>
      </c>
      <c r="D137" s="21"/>
      <c r="E137" s="21" t="s">
        <v>996</v>
      </c>
      <c r="F137" s="21"/>
      <c r="G137" s="21"/>
      <c r="H137" s="21"/>
      <c r="I137" s="21"/>
      <c r="J137" s="21"/>
      <c r="K137" s="21"/>
      <c r="L137" s="21"/>
    </row>
    <row r="138" spans="1:12" ht="29" x14ac:dyDescent="0.35">
      <c r="A138" s="21" t="s">
        <v>1189</v>
      </c>
      <c r="B138" s="21" t="s">
        <v>1196</v>
      </c>
      <c r="C138" s="21" t="s">
        <v>1197</v>
      </c>
      <c r="D138" s="21"/>
      <c r="E138" s="21" t="s">
        <v>996</v>
      </c>
      <c r="F138" s="21"/>
      <c r="G138" s="21"/>
      <c r="H138" s="21"/>
      <c r="I138" s="21"/>
      <c r="J138" s="21"/>
      <c r="K138" s="21"/>
      <c r="L138" s="21"/>
    </row>
    <row r="139" spans="1:12" ht="29" x14ac:dyDescent="0.35">
      <c r="A139" s="21" t="s">
        <v>1189</v>
      </c>
      <c r="B139" s="21" t="s">
        <v>1198</v>
      </c>
      <c r="C139" s="21" t="s">
        <v>1199</v>
      </c>
      <c r="D139" s="21"/>
      <c r="E139" s="21" t="s">
        <v>996</v>
      </c>
      <c r="F139" s="21"/>
      <c r="G139" s="21"/>
      <c r="H139" s="21"/>
      <c r="I139" s="21"/>
      <c r="J139" s="21"/>
      <c r="K139" s="21"/>
      <c r="L139" s="21"/>
    </row>
    <row r="140" spans="1:12" ht="29" x14ac:dyDescent="0.35">
      <c r="A140" s="21" t="s">
        <v>1189</v>
      </c>
      <c r="B140" s="21" t="s">
        <v>1200</v>
      </c>
      <c r="C140" s="21" t="s">
        <v>1201</v>
      </c>
      <c r="D140" s="21"/>
      <c r="E140" s="21" t="s">
        <v>996</v>
      </c>
      <c r="F140" s="21"/>
      <c r="G140" s="21"/>
      <c r="H140" s="21"/>
      <c r="I140" s="21"/>
      <c r="J140" s="21"/>
      <c r="K140" s="21"/>
      <c r="L140" s="21"/>
    </row>
    <row r="141" spans="1:12" ht="29" x14ac:dyDescent="0.35">
      <c r="A141" s="21" t="s">
        <v>1202</v>
      </c>
      <c r="B141" s="21" t="s">
        <v>1203</v>
      </c>
      <c r="C141" s="21" t="s">
        <v>1204</v>
      </c>
      <c r="D141" s="21"/>
      <c r="E141" s="21" t="s">
        <v>996</v>
      </c>
      <c r="F141" s="21"/>
      <c r="G141" s="21"/>
      <c r="H141" s="21"/>
      <c r="I141" s="21"/>
      <c r="J141" s="21"/>
      <c r="K141" s="21"/>
      <c r="L141" s="21"/>
    </row>
    <row r="142" spans="1:12" ht="29" x14ac:dyDescent="0.35">
      <c r="A142" s="21" t="s">
        <v>1202</v>
      </c>
      <c r="B142" s="21" t="s">
        <v>1205</v>
      </c>
      <c r="C142" s="21" t="s">
        <v>1206</v>
      </c>
      <c r="D142" s="21"/>
      <c r="E142" s="21" t="s">
        <v>996</v>
      </c>
      <c r="F142" s="21"/>
      <c r="G142" s="21"/>
      <c r="H142" s="21"/>
      <c r="I142" s="21"/>
      <c r="J142" s="21"/>
      <c r="K142" s="21"/>
      <c r="L142" s="21"/>
    </row>
    <row r="143" spans="1:12" ht="29" x14ac:dyDescent="0.35">
      <c r="A143" s="21" t="s">
        <v>1202</v>
      </c>
      <c r="B143" s="21" t="s">
        <v>1207</v>
      </c>
      <c r="C143" s="21" t="s">
        <v>1208</v>
      </c>
      <c r="D143" s="21"/>
      <c r="E143" s="21" t="s">
        <v>996</v>
      </c>
      <c r="F143" s="21"/>
      <c r="G143" s="21"/>
      <c r="H143" s="21"/>
      <c r="I143" s="21"/>
      <c r="J143" s="21"/>
      <c r="K143" s="21"/>
      <c r="L143" s="21"/>
    </row>
    <row r="144" spans="1:12" ht="29" x14ac:dyDescent="0.35">
      <c r="A144" s="21" t="s">
        <v>1202</v>
      </c>
      <c r="B144" s="21" t="s">
        <v>1209</v>
      </c>
      <c r="C144" s="21" t="s">
        <v>1210</v>
      </c>
      <c r="D144" s="21"/>
      <c r="E144" s="21" t="s">
        <v>996</v>
      </c>
      <c r="F144" s="21"/>
      <c r="G144" s="21"/>
      <c r="H144" s="21"/>
      <c r="I144" s="21"/>
      <c r="J144" s="21"/>
      <c r="K144" s="21"/>
      <c r="L144" s="21"/>
    </row>
    <row r="145" spans="1:12" ht="29" x14ac:dyDescent="0.35">
      <c r="A145" s="21" t="s">
        <v>1202</v>
      </c>
      <c r="B145" s="21" t="s">
        <v>1211</v>
      </c>
      <c r="C145" s="21" t="s">
        <v>1212</v>
      </c>
      <c r="D145" s="21"/>
      <c r="E145" s="21" t="s">
        <v>996</v>
      </c>
      <c r="F145" s="21"/>
      <c r="G145" s="21"/>
      <c r="H145" s="21"/>
      <c r="I145" s="21"/>
      <c r="J145" s="21"/>
      <c r="K145" s="21"/>
      <c r="L145" s="21"/>
    </row>
    <row r="146" spans="1:12" ht="29" x14ac:dyDescent="0.35">
      <c r="A146" s="21" t="s">
        <v>1202</v>
      </c>
      <c r="B146" s="21" t="s">
        <v>1213</v>
      </c>
      <c r="C146" s="21" t="s">
        <v>1214</v>
      </c>
      <c r="D146" s="21"/>
      <c r="E146" s="21" t="s">
        <v>996</v>
      </c>
      <c r="F146" s="21"/>
      <c r="G146" s="21"/>
      <c r="H146" s="21"/>
      <c r="I146" s="21"/>
      <c r="J146" s="21"/>
      <c r="K146" s="21"/>
      <c r="L146" s="21"/>
    </row>
    <row r="147" spans="1:12" ht="29" x14ac:dyDescent="0.35">
      <c r="A147" s="21" t="s">
        <v>1215</v>
      </c>
      <c r="B147" s="21" t="s">
        <v>1216</v>
      </c>
      <c r="C147" s="21" t="s">
        <v>1217</v>
      </c>
      <c r="D147" s="21"/>
      <c r="E147" s="21" t="s">
        <v>996</v>
      </c>
      <c r="F147" s="21"/>
      <c r="G147" s="21"/>
      <c r="H147" s="21"/>
      <c r="I147" s="21"/>
      <c r="J147" s="21"/>
      <c r="K147" s="21"/>
      <c r="L147" s="21"/>
    </row>
    <row r="148" spans="1:12" ht="29" x14ac:dyDescent="0.35">
      <c r="A148" s="21" t="s">
        <v>1215</v>
      </c>
      <c r="B148" s="21" t="s">
        <v>1218</v>
      </c>
      <c r="C148" s="21" t="s">
        <v>1219</v>
      </c>
      <c r="D148" s="21"/>
      <c r="E148" s="21" t="s">
        <v>996</v>
      </c>
      <c r="F148" s="21"/>
      <c r="G148" s="21"/>
      <c r="H148" s="21"/>
      <c r="I148" s="21"/>
      <c r="J148" s="21"/>
      <c r="K148" s="21"/>
      <c r="L148" s="21"/>
    </row>
    <row r="149" spans="1:12" ht="29" x14ac:dyDescent="0.35">
      <c r="A149" s="21" t="s">
        <v>1215</v>
      </c>
      <c r="B149" s="21" t="s">
        <v>1220</v>
      </c>
      <c r="C149" s="21" t="s">
        <v>1221</v>
      </c>
      <c r="D149" s="21"/>
      <c r="E149" s="21" t="s">
        <v>996</v>
      </c>
      <c r="F149" s="21"/>
      <c r="G149" s="21"/>
      <c r="H149" s="21"/>
      <c r="I149" s="21"/>
      <c r="J149" s="21"/>
      <c r="K149" s="21"/>
      <c r="L149" s="21"/>
    </row>
    <row r="150" spans="1:12" ht="29" x14ac:dyDescent="0.35">
      <c r="A150" s="21" t="s">
        <v>1215</v>
      </c>
      <c r="B150" s="21" t="s">
        <v>1222</v>
      </c>
      <c r="C150" s="21" t="s">
        <v>1223</v>
      </c>
      <c r="D150" s="21"/>
      <c r="E150" s="21" t="s">
        <v>996</v>
      </c>
      <c r="F150" s="21"/>
      <c r="G150" s="21"/>
      <c r="H150" s="21"/>
      <c r="I150" s="21"/>
      <c r="J150" s="21"/>
      <c r="K150" s="21"/>
      <c r="L150" s="21"/>
    </row>
    <row r="151" spans="1:12" ht="24" customHeight="1" x14ac:dyDescent="0.35">
      <c r="A151" s="133" t="s">
        <v>1215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</row>
    <row r="152" spans="1:12" x14ac:dyDescent="0.35">
      <c r="A152" s="21" t="s">
        <v>1215</v>
      </c>
      <c r="B152" s="21" t="s">
        <v>1224</v>
      </c>
      <c r="C152" s="21" t="s">
        <v>1225</v>
      </c>
      <c r="D152" s="21"/>
      <c r="E152" s="21" t="s">
        <v>996</v>
      </c>
      <c r="F152" s="21"/>
      <c r="G152" s="21"/>
      <c r="H152" s="21"/>
      <c r="I152" s="21"/>
      <c r="J152" s="21"/>
      <c r="K152" s="21"/>
      <c r="L152" s="21"/>
    </row>
    <row r="158" spans="1:12" x14ac:dyDescent="0.35">
      <c r="A158" s="98" t="s">
        <v>1226</v>
      </c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</row>
    <row r="160" spans="1:12" ht="29" x14ac:dyDescent="0.35">
      <c r="A160" s="100" t="s">
        <v>1227</v>
      </c>
      <c r="B160" s="100" t="s">
        <v>1228</v>
      </c>
      <c r="C160" s="100" t="s">
        <v>1229</v>
      </c>
      <c r="D160" s="100" t="s">
        <v>389</v>
      </c>
      <c r="E160" s="100" t="s">
        <v>870</v>
      </c>
      <c r="F160" s="100" t="s">
        <v>390</v>
      </c>
      <c r="G160" s="100" t="s">
        <v>990</v>
      </c>
      <c r="H160" s="100" t="s">
        <v>1230</v>
      </c>
      <c r="I160" s="100"/>
      <c r="J160" s="100"/>
      <c r="K160" s="100"/>
      <c r="L160" s="100"/>
    </row>
    <row r="161" spans="1:8" x14ac:dyDescent="0.35">
      <c r="A161" s="21" t="s">
        <v>1231</v>
      </c>
      <c r="B161" s="21"/>
      <c r="C161" s="21"/>
      <c r="D161" s="21"/>
      <c r="E161" s="21"/>
      <c r="F161" s="21"/>
      <c r="G161" s="21"/>
      <c r="H161" s="21"/>
    </row>
    <row r="162" spans="1:8" x14ac:dyDescent="0.35">
      <c r="A162" s="21" t="s">
        <v>1232</v>
      </c>
      <c r="B162" s="21"/>
      <c r="C162" s="21"/>
      <c r="D162" s="21"/>
      <c r="E162" s="21"/>
      <c r="F162" s="21"/>
      <c r="G162" s="21"/>
      <c r="H162" s="21"/>
    </row>
    <row r="163" spans="1:8" x14ac:dyDescent="0.35">
      <c r="A163" s="21" t="s">
        <v>509</v>
      </c>
      <c r="B163" s="21"/>
      <c r="C163" s="21"/>
      <c r="D163" s="21"/>
      <c r="E163" s="21"/>
      <c r="F163" s="21"/>
      <c r="G163" s="21"/>
      <c r="H163" s="21"/>
    </row>
    <row r="164" spans="1:8" x14ac:dyDescent="0.35">
      <c r="A164" s="21" t="s">
        <v>1233</v>
      </c>
      <c r="B164" s="21"/>
      <c r="C164" s="21"/>
      <c r="D164" s="21"/>
      <c r="E164" s="21"/>
      <c r="F164" s="21"/>
      <c r="G164" s="21"/>
      <c r="H164" s="21"/>
    </row>
    <row r="165" spans="1:8" x14ac:dyDescent="0.35">
      <c r="A165" s="21" t="s">
        <v>1234</v>
      </c>
      <c r="B165" s="21"/>
      <c r="C165" s="21"/>
      <c r="D165" s="21"/>
      <c r="E165" s="21"/>
      <c r="F165" s="21"/>
      <c r="G165" s="21"/>
      <c r="H165" s="21"/>
    </row>
    <row r="166" spans="1:8" x14ac:dyDescent="0.35">
      <c r="A166" s="21" t="s">
        <v>1235</v>
      </c>
      <c r="B166" s="21"/>
      <c r="C166" s="21"/>
      <c r="D166" s="21"/>
      <c r="E166" s="21"/>
      <c r="F166" s="21"/>
      <c r="G166" s="21"/>
      <c r="H166" s="21"/>
    </row>
    <row r="167" spans="1:8" x14ac:dyDescent="0.35">
      <c r="A167" s="21" t="s">
        <v>1236</v>
      </c>
      <c r="B167" s="21"/>
      <c r="C167" s="21"/>
      <c r="D167" s="21"/>
      <c r="E167" s="21"/>
      <c r="F167" s="21"/>
      <c r="G167" s="21"/>
      <c r="H167" s="21"/>
    </row>
    <row r="168" spans="1:8" x14ac:dyDescent="0.35">
      <c r="A168" s="21" t="s">
        <v>1237</v>
      </c>
      <c r="B168" s="21"/>
      <c r="C168" s="21"/>
      <c r="D168" s="21"/>
      <c r="E168" s="21"/>
      <c r="F168" s="21"/>
      <c r="G168" s="21"/>
      <c r="H168" s="21"/>
    </row>
    <row r="169" spans="1:8" x14ac:dyDescent="0.35">
      <c r="A169" s="21" t="s">
        <v>1238</v>
      </c>
      <c r="B169" s="21"/>
      <c r="C169" s="21"/>
      <c r="D169" s="21"/>
      <c r="E169" s="21"/>
      <c r="F169" s="21"/>
      <c r="G169" s="21"/>
      <c r="H169" s="21"/>
    </row>
    <row r="170" spans="1:8" x14ac:dyDescent="0.35">
      <c r="A170" s="21" t="s">
        <v>1239</v>
      </c>
      <c r="B170" s="21"/>
      <c r="C170" s="21"/>
      <c r="D170" s="21"/>
      <c r="E170" s="21"/>
      <c r="F170" s="21"/>
      <c r="G170" s="21"/>
      <c r="H170" s="21"/>
    </row>
    <row r="171" spans="1:8" x14ac:dyDescent="0.35">
      <c r="A171" s="21" t="s">
        <v>1240</v>
      </c>
      <c r="B171" s="21"/>
      <c r="C171" s="21"/>
      <c r="D171" s="21"/>
      <c r="E171" s="21"/>
      <c r="F171" s="21"/>
      <c r="G171" s="21"/>
      <c r="H171" s="21"/>
    </row>
    <row r="172" spans="1:8" x14ac:dyDescent="0.35">
      <c r="A172" s="21" t="s">
        <v>1241</v>
      </c>
      <c r="B172" s="21"/>
      <c r="C172" s="21"/>
      <c r="D172" s="21"/>
      <c r="E172" s="21"/>
      <c r="F172" s="21"/>
      <c r="G172" s="21"/>
      <c r="H172" s="21"/>
    </row>
    <row r="173" spans="1:8" x14ac:dyDescent="0.35">
      <c r="A173" s="21" t="s">
        <v>1242</v>
      </c>
      <c r="B173" s="21"/>
      <c r="C173" s="21"/>
      <c r="D173" s="21"/>
      <c r="E173" s="21"/>
      <c r="F173" s="21"/>
      <c r="G173" s="21"/>
      <c r="H173" s="21"/>
    </row>
    <row r="174" spans="1:8" x14ac:dyDescent="0.35">
      <c r="A174" s="21" t="s">
        <v>1243</v>
      </c>
      <c r="B174" s="21"/>
      <c r="C174" s="21"/>
      <c r="D174" s="21"/>
      <c r="E174" s="21"/>
      <c r="F174" s="21"/>
      <c r="G174" s="21"/>
      <c r="H174" s="21"/>
    </row>
    <row r="175" spans="1:8" x14ac:dyDescent="0.35">
      <c r="A175" s="21" t="s">
        <v>1244</v>
      </c>
      <c r="B175" s="21"/>
      <c r="C175" s="21"/>
      <c r="D175" s="21"/>
      <c r="E175" s="21"/>
      <c r="F175" s="21"/>
      <c r="G175" s="21"/>
      <c r="H175" s="21"/>
    </row>
    <row r="176" spans="1:8" x14ac:dyDescent="0.35">
      <c r="A176" s="21" t="s">
        <v>1245</v>
      </c>
      <c r="B176" s="21"/>
      <c r="C176" s="21"/>
      <c r="D176" s="21"/>
      <c r="E176" s="21"/>
      <c r="F176" s="21"/>
      <c r="G176" s="21"/>
      <c r="H176" s="21"/>
    </row>
    <row r="177" spans="1:12" x14ac:dyDescent="0.35">
      <c r="A177" s="21" t="s">
        <v>1246</v>
      </c>
      <c r="B177" s="21"/>
      <c r="C177" s="21"/>
      <c r="D177" s="21"/>
      <c r="E177" s="21"/>
      <c r="F177" s="21"/>
      <c r="G177" s="21"/>
      <c r="H177" s="21"/>
    </row>
    <row r="178" spans="1:12" x14ac:dyDescent="0.35">
      <c r="A178" s="21" t="s">
        <v>1247</v>
      </c>
      <c r="B178" s="21"/>
      <c r="C178" s="21"/>
      <c r="D178" s="21"/>
      <c r="E178" s="21"/>
      <c r="F178" s="21"/>
      <c r="G178" s="21"/>
      <c r="H178" s="21"/>
    </row>
    <row r="179" spans="1:12" ht="24" customHeight="1" x14ac:dyDescent="0.35">
      <c r="A179" s="133" t="s">
        <v>1248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</row>
    <row r="180" spans="1:12" x14ac:dyDescent="0.35">
      <c r="A180" s="21" t="s">
        <v>1249</v>
      </c>
      <c r="B180" s="21"/>
      <c r="C180" s="21"/>
      <c r="D180" s="21"/>
      <c r="E180" s="21"/>
      <c r="F180" s="21"/>
      <c r="G180" s="21"/>
      <c r="H180" s="21"/>
    </row>
    <row r="186" spans="1:12" x14ac:dyDescent="0.35">
      <c r="A186" s="98" t="s">
        <v>1250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</row>
    <row r="188" spans="1:12" ht="29" x14ac:dyDescent="0.35">
      <c r="A188" s="100" t="s">
        <v>1251</v>
      </c>
      <c r="B188" s="100" t="s">
        <v>1252</v>
      </c>
      <c r="C188" s="100" t="s">
        <v>1253</v>
      </c>
      <c r="D188" s="100" t="s">
        <v>1254</v>
      </c>
      <c r="E188" s="100" t="s">
        <v>870</v>
      </c>
      <c r="F188" s="100" t="s">
        <v>1255</v>
      </c>
      <c r="G188" s="100" t="s">
        <v>338</v>
      </c>
    </row>
    <row r="189" spans="1:12" x14ac:dyDescent="0.35">
      <c r="A189" s="21" t="s">
        <v>428</v>
      </c>
      <c r="B189" s="21"/>
      <c r="C189" s="21"/>
      <c r="D189" s="21"/>
      <c r="E189" s="21"/>
      <c r="F189" s="21"/>
      <c r="G189" s="21"/>
    </row>
    <row r="190" spans="1:12" x14ac:dyDescent="0.35">
      <c r="A190" s="21" t="s">
        <v>582</v>
      </c>
      <c r="B190" s="21"/>
      <c r="C190" s="21"/>
      <c r="D190" s="21"/>
      <c r="E190" s="21"/>
      <c r="F190" s="21"/>
      <c r="G190" s="21"/>
    </row>
    <row r="191" spans="1:12" x14ac:dyDescent="0.35">
      <c r="A191" s="21" t="s">
        <v>435</v>
      </c>
      <c r="B191" s="21"/>
      <c r="C191" s="21"/>
      <c r="D191" s="21"/>
      <c r="E191" s="21"/>
      <c r="F191" s="21"/>
      <c r="G191" s="21"/>
    </row>
    <row r="192" spans="1:12" x14ac:dyDescent="0.35">
      <c r="A192" s="21" t="s">
        <v>93</v>
      </c>
      <c r="B192" s="21"/>
      <c r="C192" s="21"/>
      <c r="D192" s="21"/>
      <c r="E192" s="21"/>
      <c r="F192" s="21"/>
      <c r="G192" s="21"/>
    </row>
    <row r="193" spans="1:12" x14ac:dyDescent="0.35">
      <c r="A193" s="21" t="s">
        <v>431</v>
      </c>
      <c r="B193" s="21"/>
      <c r="C193" s="21"/>
      <c r="D193" s="21"/>
      <c r="E193" s="21"/>
      <c r="F193" s="21"/>
      <c r="G193" s="21"/>
    </row>
    <row r="194" spans="1:12" x14ac:dyDescent="0.35">
      <c r="A194" s="21" t="s">
        <v>97</v>
      </c>
      <c r="B194" s="21"/>
      <c r="C194" s="21"/>
      <c r="D194" s="21"/>
      <c r="E194" s="21"/>
      <c r="F194" s="21"/>
      <c r="G194" s="21"/>
    </row>
    <row r="195" spans="1:12" x14ac:dyDescent="0.35">
      <c r="A195" s="21" t="s">
        <v>100</v>
      </c>
      <c r="B195" s="21"/>
      <c r="C195" s="21"/>
      <c r="D195" s="21"/>
      <c r="E195" s="21"/>
      <c r="F195" s="21"/>
      <c r="G195" s="21"/>
    </row>
    <row r="196" spans="1:12" x14ac:dyDescent="0.35">
      <c r="A196" s="21" t="s">
        <v>1176</v>
      </c>
      <c r="B196" s="21"/>
      <c r="C196" s="21"/>
      <c r="D196" s="21"/>
      <c r="E196" s="21"/>
      <c r="F196" s="21"/>
      <c r="G196" s="21"/>
    </row>
    <row r="197" spans="1:12" x14ac:dyDescent="0.35">
      <c r="A197" s="21" t="s">
        <v>160</v>
      </c>
      <c r="B197" s="21"/>
      <c r="C197" s="21"/>
      <c r="D197" s="21"/>
      <c r="E197" s="21"/>
      <c r="F197" s="21"/>
      <c r="G197" s="21"/>
    </row>
    <row r="198" spans="1:12" x14ac:dyDescent="0.35">
      <c r="A198" s="21" t="s">
        <v>1256</v>
      </c>
      <c r="B198" s="21"/>
      <c r="C198" s="21"/>
      <c r="D198" s="21"/>
      <c r="E198" s="21"/>
      <c r="F198" s="21"/>
      <c r="G198" s="21"/>
    </row>
    <row r="199" spans="1:12" x14ac:dyDescent="0.35">
      <c r="A199" s="21" t="s">
        <v>1257</v>
      </c>
      <c r="B199" s="21"/>
      <c r="C199" s="21"/>
      <c r="D199" s="21"/>
      <c r="E199" s="21"/>
      <c r="F199" s="21"/>
      <c r="G199" s="21"/>
    </row>
    <row r="200" spans="1:12" x14ac:dyDescent="0.35">
      <c r="A200" s="21" t="s">
        <v>1258</v>
      </c>
      <c r="B200" s="21"/>
      <c r="C200" s="21"/>
      <c r="D200" s="21"/>
      <c r="E200" s="21"/>
      <c r="F200" s="21"/>
      <c r="G200" s="21"/>
    </row>
    <row r="201" spans="1:12" x14ac:dyDescent="0.35">
      <c r="A201" s="21" t="s">
        <v>116</v>
      </c>
      <c r="B201" s="21"/>
      <c r="C201" s="21"/>
      <c r="D201" s="21"/>
      <c r="E201" s="21"/>
      <c r="F201" s="21"/>
      <c r="G201" s="21"/>
    </row>
    <row r="202" spans="1:12" x14ac:dyDescent="0.35">
      <c r="A202" s="21" t="s">
        <v>129</v>
      </c>
      <c r="B202" s="21"/>
      <c r="C202" s="21"/>
      <c r="D202" s="21"/>
      <c r="E202" s="21"/>
      <c r="F202" s="21"/>
      <c r="G202" s="21"/>
    </row>
    <row r="203" spans="1:12" x14ac:dyDescent="0.35">
      <c r="A203" s="21" t="s">
        <v>437</v>
      </c>
      <c r="B203" s="21"/>
      <c r="C203" s="21"/>
      <c r="D203" s="21"/>
      <c r="E203" s="21"/>
      <c r="F203" s="21"/>
      <c r="G203" s="21"/>
    </row>
    <row r="204" spans="1:12" x14ac:dyDescent="0.35">
      <c r="A204" s="21" t="s">
        <v>125</v>
      </c>
      <c r="B204" s="21"/>
      <c r="C204" s="21"/>
      <c r="D204" s="21"/>
      <c r="E204" s="21"/>
      <c r="F204" s="21"/>
      <c r="G204" s="21"/>
    </row>
    <row r="205" spans="1:12" x14ac:dyDescent="0.35">
      <c r="A205" s="21" t="s">
        <v>442</v>
      </c>
      <c r="B205" s="21"/>
      <c r="C205" s="21"/>
      <c r="D205" s="21"/>
      <c r="E205" s="21"/>
      <c r="F205" s="21"/>
      <c r="G205" s="21"/>
    </row>
    <row r="206" spans="1:12" x14ac:dyDescent="0.35">
      <c r="A206" s="21" t="s">
        <v>1259</v>
      </c>
      <c r="B206" s="21"/>
      <c r="C206" s="21"/>
      <c r="D206" s="21"/>
      <c r="E206" s="21"/>
      <c r="F206" s="21"/>
      <c r="G206" s="21"/>
    </row>
    <row r="207" spans="1:12" ht="24" customHeight="1" x14ac:dyDescent="0.35">
      <c r="A207" s="133" t="s">
        <v>1260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</row>
    <row r="208" spans="1:12" x14ac:dyDescent="0.35">
      <c r="A208" s="21" t="s">
        <v>439</v>
      </c>
      <c r="B208" s="21"/>
      <c r="C208" s="21"/>
      <c r="D208" s="21"/>
      <c r="E208" s="21"/>
      <c r="F208" s="21"/>
      <c r="G208" s="21"/>
    </row>
    <row r="214" spans="1:12" x14ac:dyDescent="0.35">
      <c r="A214" s="98" t="s">
        <v>1261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</row>
    <row r="216" spans="1:12" x14ac:dyDescent="0.35">
      <c r="A216" s="100" t="s">
        <v>1262</v>
      </c>
      <c r="B216" s="100" t="s">
        <v>1263</v>
      </c>
      <c r="C216" s="100" t="s">
        <v>292</v>
      </c>
      <c r="D216" s="100" t="s">
        <v>371</v>
      </c>
      <c r="E216" s="100" t="s">
        <v>360</v>
      </c>
      <c r="F216" s="100" t="s">
        <v>1264</v>
      </c>
      <c r="G216" s="100" t="s">
        <v>990</v>
      </c>
      <c r="H216" s="100" t="s">
        <v>338</v>
      </c>
    </row>
    <row r="217" spans="1:12" x14ac:dyDescent="0.35">
      <c r="A217" t="s">
        <v>1265</v>
      </c>
    </row>
    <row r="218" spans="1:12" x14ac:dyDescent="0.35">
      <c r="A218" t="s">
        <v>1266</v>
      </c>
    </row>
    <row r="219" spans="1:12" x14ac:dyDescent="0.35">
      <c r="A219" t="s">
        <v>1267</v>
      </c>
    </row>
    <row r="220" spans="1:12" x14ac:dyDescent="0.35">
      <c r="A220" t="s">
        <v>1268</v>
      </c>
    </row>
    <row r="221" spans="1:12" x14ac:dyDescent="0.35">
      <c r="A221" t="s">
        <v>1269</v>
      </c>
    </row>
    <row r="222" spans="1:12" x14ac:dyDescent="0.35">
      <c r="A222" t="s">
        <v>1270</v>
      </c>
    </row>
    <row r="223" spans="1:12" ht="24" customHeight="1" x14ac:dyDescent="0.35">
      <c r="A223" s="129" t="s">
        <v>1271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</row>
    <row r="224" spans="1:12" x14ac:dyDescent="0.35">
      <c r="A224" t="s">
        <v>1272</v>
      </c>
    </row>
    <row r="230" spans="1:12" x14ac:dyDescent="0.35">
      <c r="A230" s="98" t="s">
        <v>1273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2" spans="1:12" ht="29" x14ac:dyDescent="0.35">
      <c r="A232" s="100" t="s">
        <v>1229</v>
      </c>
      <c r="B232" s="100" t="s">
        <v>1274</v>
      </c>
      <c r="C232" s="100" t="s">
        <v>390</v>
      </c>
      <c r="D232" s="100" t="s">
        <v>351</v>
      </c>
      <c r="E232" s="100" t="s">
        <v>352</v>
      </c>
      <c r="F232" s="100" t="s">
        <v>292</v>
      </c>
      <c r="G232" s="100" t="s">
        <v>353</v>
      </c>
      <c r="H232" s="100" t="s">
        <v>338</v>
      </c>
    </row>
    <row r="240" spans="1:12" x14ac:dyDescent="0.3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</row>
    <row r="241" spans="1:12" x14ac:dyDescent="0.3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</row>
    <row r="247" spans="1:12" ht="29" x14ac:dyDescent="0.35">
      <c r="A247" s="106" t="s">
        <v>1275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3"/>
    </row>
    <row r="248" spans="1:12" ht="43.5" x14ac:dyDescent="0.35">
      <c r="A248" s="111" t="s">
        <v>1276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3"/>
    </row>
    <row r="249" spans="1:12" ht="29" x14ac:dyDescent="0.35">
      <c r="A249" s="110" t="s">
        <v>1277</v>
      </c>
      <c r="B249" s="110" t="s">
        <v>1278</v>
      </c>
      <c r="C249" s="110" t="s">
        <v>81</v>
      </c>
      <c r="D249" s="110" t="s">
        <v>615</v>
      </c>
      <c r="E249" s="110" t="s">
        <v>616</v>
      </c>
      <c r="F249" s="110" t="s">
        <v>990</v>
      </c>
      <c r="G249" s="110" t="s">
        <v>1279</v>
      </c>
      <c r="H249" s="110" t="s">
        <v>390</v>
      </c>
      <c r="I249" s="110" t="s">
        <v>351</v>
      </c>
      <c r="J249" s="110" t="s">
        <v>292</v>
      </c>
      <c r="K249" s="110" t="s">
        <v>353</v>
      </c>
      <c r="L249" s="110" t="s">
        <v>619</v>
      </c>
    </row>
    <row r="250" spans="1:12" x14ac:dyDescent="0.35">
      <c r="A250" s="105" t="s">
        <v>1280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x14ac:dyDescent="0.35">
      <c r="A251" s="105" t="s">
        <v>1281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x14ac:dyDescent="0.35">
      <c r="A252" s="105" t="s">
        <v>1282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29" x14ac:dyDescent="0.35">
      <c r="A253" s="105" t="s">
        <v>1283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29" x14ac:dyDescent="0.35">
      <c r="A254" s="105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29" x14ac:dyDescent="0.35">
      <c r="A255" s="105" t="s">
        <v>1285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29" x14ac:dyDescent="0.35">
      <c r="A256" s="105" t="s">
        <v>1286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29" x14ac:dyDescent="0.35">
      <c r="A257" s="105" t="s">
        <v>1287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29" x14ac:dyDescent="0.35">
      <c r="A258" s="105" t="s">
        <v>1288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29" x14ac:dyDescent="0.35">
      <c r="A259" s="105" t="s">
        <v>1289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29" x14ac:dyDescent="0.35">
      <c r="A260" s="105" t="s">
        <v>1290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29" x14ac:dyDescent="0.35">
      <c r="A261" s="105" t="s">
        <v>1291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29" x14ac:dyDescent="0.35">
      <c r="A262" s="105" t="s">
        <v>1292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43.5" x14ac:dyDescent="0.35">
      <c r="A263" s="105" t="s">
        <v>1293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29" x14ac:dyDescent="0.35">
      <c r="A264" s="105" t="s">
        <v>1294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x14ac:dyDescent="0.35">
      <c r="A265" s="105" t="s">
        <v>1295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</sheetData>
  <mergeCells count="9">
    <mergeCell ref="A1:L1"/>
    <mergeCell ref="A17:L17"/>
    <mergeCell ref="A241:L241"/>
    <mergeCell ref="A223:L223"/>
    <mergeCell ref="A35:L35"/>
    <mergeCell ref="A240:L240"/>
    <mergeCell ref="A179:L179"/>
    <mergeCell ref="A151:L151"/>
    <mergeCell ref="A207:L207"/>
  </mergeCells>
  <conditionalFormatting sqref="B12">
    <cfRule type="expression" dxfId="265" priority="12">
      <formula>B12="Green"</formula>
    </cfRule>
    <cfRule type="expression" dxfId="264" priority="13">
      <formula>B12="Amber"</formula>
    </cfRule>
    <cfRule type="expression" dxfId="263" priority="14">
      <formula>B12="Red"</formula>
    </cfRule>
  </conditionalFormatting>
  <conditionalFormatting sqref="B182:B201">
    <cfRule type="expression" dxfId="262" priority="3">
      <formula>B182="Pass"</formula>
    </cfRule>
  </conditionalFormatting>
  <conditionalFormatting sqref="C20:C43">
    <cfRule type="expression" dxfId="261" priority="8">
      <formula>C20="Green"</formula>
    </cfRule>
    <cfRule type="expression" dxfId="260" priority="9">
      <formula>C20="Amber"</formula>
    </cfRule>
    <cfRule type="expression" dxfId="259" priority="10">
      <formula>C20="Red"</formula>
    </cfRule>
    <cfRule type="expression" dxfId="258" priority="11">
      <formula>C20="N/A"</formula>
    </cfRule>
  </conditionalFormatting>
  <conditionalFormatting sqref="C20:C45">
    <cfRule type="expression" dxfId="257" priority="4">
      <formula>ISNUMBER(SEARCH("Green",C20))</formula>
    </cfRule>
    <cfRule type="expression" dxfId="256" priority="5">
      <formula>ISNUMBER(SEARCH("Amber",C20))</formula>
    </cfRule>
    <cfRule type="expression" dxfId="255" priority="6">
      <formula>ISNUMBER(SEARCH("Red",C20))</formula>
    </cfRule>
    <cfRule type="expression" dxfId="254" priority="7">
      <formula>C20="N/A"</formula>
    </cfRule>
  </conditionalFormatting>
  <conditionalFormatting sqref="E154:E173">
    <cfRule type="expression" dxfId="253" priority="2">
      <formula>E154="Pass"</formula>
    </cfRule>
  </conditionalFormatting>
  <conditionalFormatting sqref="H38:H145">
    <cfRule type="expression" dxfId="252" priority="1">
      <formula>H38="Pass"</formula>
    </cfRule>
  </conditionalFormatting>
  <dataValidations count="8">
    <dataValidation type="list" sqref="H38:H145 E154:E173" xr:uid="{00000000-0002-0000-2D00-000000000000}">
      <formula1>"Pass,Developing,Fail,N/A"</formula1>
    </dataValidation>
    <dataValidation type="list" sqref="F38:F145" xr:uid="{00000000-0002-0000-2D00-000001000000}">
      <formula1>"1,2,3,4,5"</formula1>
    </dataValidation>
    <dataValidation type="list" sqref="B182:B201" xr:uid="{00000000-0002-0000-2D00-000003000000}">
      <formula1>"Complete,In Progress,Not Started,N/A"</formula1>
    </dataValidation>
    <dataValidation type="list" allowBlank="1" sqref="C243:E258" xr:uid="{00000000-0002-0000-2D00-000004000000}">
      <formula1>"Yes,No,N/A"</formula1>
    </dataValidation>
    <dataValidation type="list" allowBlank="1" sqref="C20:C45" xr:uid="{00000000-0002-0000-2D00-000005000000}">
      <formula1>"Green - Received,Amber - Awaiting,Red - Missing,N/A"</formula1>
    </dataValidation>
    <dataValidation type="list" sqref="C20:C43" xr:uid="{00000000-0002-0000-2D00-000006000000}">
      <formula1>"Green,Amber,Red,N/A"</formula1>
    </dataValidation>
    <dataValidation type="list" sqref="F42:F230" xr:uid="{00000000-0002-0000-2D00-000007000000}">
      <formula1>"1,2,3,4,5,N/A"</formula1>
    </dataValidation>
    <dataValidation type="list" sqref="H42:H230 H235:H255" xr:uid="{00000000-0002-0000-2D00-000008000000}">
      <formula1>"Pass,Fail,Not Assessed,N/A"</formula1>
    </dataValidation>
  </dataValidation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L265"/>
  <sheetViews>
    <sheetView workbookViewId="0"/>
  </sheetViews>
  <sheetFormatPr defaultRowHeight="14.5" x14ac:dyDescent="0.35"/>
  <cols>
    <col min="1" max="1" width="42" customWidth="1"/>
    <col min="2" max="2" width="36" customWidth="1"/>
    <col min="3" max="3" width="52" customWidth="1"/>
    <col min="4" max="4" width="34" customWidth="1"/>
    <col min="5" max="5" width="30" customWidth="1"/>
    <col min="6" max="6" width="12" customWidth="1"/>
    <col min="7" max="7" width="16" customWidth="1"/>
    <col min="8" max="8" width="14" customWidth="1"/>
    <col min="9" max="9" width="28" customWidth="1"/>
    <col min="10" max="12" width="14" customWidth="1"/>
  </cols>
  <sheetData>
    <row r="1" spans="1:12" ht="30" customHeight="1" x14ac:dyDescent="0.35">
      <c r="A1" s="134" t="s">
        <v>1302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x14ac:dyDescent="0.35">
      <c r="A2" t="s">
        <v>928</v>
      </c>
      <c r="D2" t="s">
        <v>929</v>
      </c>
    </row>
    <row r="4" spans="1:12" x14ac:dyDescent="0.35">
      <c r="A4" s="101" t="s">
        <v>882</v>
      </c>
      <c r="B4" s="101" t="str">
        <f>IF('Induction Employee Register'!A11="","",'Induction Employee Register'!A11)</f>
        <v>SW008</v>
      </c>
      <c r="D4" t="s">
        <v>930</v>
      </c>
      <c r="E4" t="s">
        <v>931</v>
      </c>
      <c r="F4" t="s">
        <v>932</v>
      </c>
      <c r="G4" t="s">
        <v>933</v>
      </c>
      <c r="H4" t="s">
        <v>58</v>
      </c>
      <c r="I4" t="s">
        <v>934</v>
      </c>
      <c r="J4" t="s">
        <v>54</v>
      </c>
      <c r="K4" t="s">
        <v>935</v>
      </c>
      <c r="L4" t="s">
        <v>43</v>
      </c>
    </row>
    <row r="5" spans="1:12" x14ac:dyDescent="0.35">
      <c r="A5" s="101" t="s">
        <v>883</v>
      </c>
      <c r="B5" s="101" t="str">
        <f>IF('Induction Employee Register'!B11="","",'Induction Employee Register'!B11)</f>
        <v/>
      </c>
      <c r="D5" t="s">
        <v>936</v>
      </c>
    </row>
    <row r="6" spans="1:12" x14ac:dyDescent="0.35">
      <c r="A6" s="101" t="s">
        <v>322</v>
      </c>
      <c r="B6" s="101" t="str">
        <f>IF('Induction Employee Register'!C11="","",'Induction Employee Register'!C11)</f>
        <v/>
      </c>
      <c r="D6" t="s">
        <v>937</v>
      </c>
      <c r="E6" t="s">
        <v>938</v>
      </c>
    </row>
    <row r="7" spans="1:12" x14ac:dyDescent="0.35">
      <c r="A7" s="101" t="s">
        <v>323</v>
      </c>
      <c r="B7" s="126" t="str">
        <f>IF('Induction Employee Register'!D11="","",'Induction Employee Register'!D11)</f>
        <v/>
      </c>
      <c r="D7" t="s">
        <v>939</v>
      </c>
      <c r="E7" t="s">
        <v>940</v>
      </c>
    </row>
    <row r="8" spans="1:12" x14ac:dyDescent="0.35">
      <c r="A8" s="101" t="s">
        <v>886</v>
      </c>
      <c r="B8" s="125">
        <f>IFERROR(COUNTIF($H$42:$H$230,"Pass")/(COUNTIF($H$42:$H$230,"Pass")+COUNTIF($H$42:$H$230,"Fail")+COUNTIF($H$42:$H$230,"Not Assessed")),0)</f>
        <v>0</v>
      </c>
      <c r="D8" t="s">
        <v>6</v>
      </c>
      <c r="E8" t="s">
        <v>941</v>
      </c>
    </row>
    <row r="9" spans="1:12" x14ac:dyDescent="0.35">
      <c r="A9" s="101" t="s">
        <v>887</v>
      </c>
      <c r="B9" s="125">
        <f>IFERROR(COUNTIF($H$235:$H$255,"Pass")/(COUNTIF($H$235:$H$255,"Pass")+COUNTIF($H$235:$H$255,"Fail")+COUNTIF($H$235:$H$255,"Not Assessed")),0)</f>
        <v>0</v>
      </c>
      <c r="D9" t="s">
        <v>942</v>
      </c>
      <c r="E9" t="s">
        <v>943</v>
      </c>
    </row>
    <row r="10" spans="1:12" x14ac:dyDescent="0.35">
      <c r="A10" s="101" t="s">
        <v>888</v>
      </c>
      <c r="B10" s="125" t="str">
        <f>IFERROR(IF($B$5="","",IF(INDEX('Mandatory Training Dashboard'!$D$5:$D$53,MATCH($B$5,'Mandatory Training Dashboard'!$A$5:$A$53,0))&gt;1,INDEX('Mandatory Training Dashboard'!$D$5:$D$53,MATCH($B$5,'Mandatory Training Dashboard'!$A$5:$A$53,0))/100,INDEX('Mandatory Training Dashboard'!$D$5:$D$53,MATCH($B$5,'Mandatory Training Dashboard'!$A$5:$A$53,0)))),0)</f>
        <v/>
      </c>
      <c r="D10" t="s">
        <v>944</v>
      </c>
      <c r="E10" t="s">
        <v>945</v>
      </c>
    </row>
    <row r="11" spans="1:12" x14ac:dyDescent="0.35">
      <c r="A11" s="101" t="s">
        <v>893</v>
      </c>
      <c r="B11" s="125">
        <f>IFERROR(AVERAGE(B8:B10),0)</f>
        <v>0</v>
      </c>
      <c r="D11" t="s">
        <v>946</v>
      </c>
      <c r="E11" t="s">
        <v>947</v>
      </c>
    </row>
    <row r="12" spans="1:12" x14ac:dyDescent="0.35">
      <c r="A12" s="101" t="s">
        <v>948</v>
      </c>
      <c r="B12" s="101" t="str">
        <f>IF(B11&gt;=0.9,"Green",IF(B11&gt;=0.75,"Amber","Red"))</f>
        <v>Red</v>
      </c>
      <c r="D12" t="s">
        <v>949</v>
      </c>
      <c r="E12" t="s">
        <v>950</v>
      </c>
    </row>
    <row r="13" spans="1:12" x14ac:dyDescent="0.35">
      <c r="A13" s="101" t="s">
        <v>891</v>
      </c>
      <c r="B13" s="101">
        <f>IF('Induction Employee Register'!N11="","",'Induction Employee Register'!N11)</f>
        <v>0</v>
      </c>
      <c r="D13" t="s">
        <v>951</v>
      </c>
      <c r="E13" t="s">
        <v>952</v>
      </c>
    </row>
    <row r="14" spans="1:12" x14ac:dyDescent="0.35">
      <c r="A14" s="101" t="s">
        <v>892</v>
      </c>
      <c r="B14" s="101" t="str">
        <f>IF('Induction Employee Register'!O11="","",'Induction Employee Register'!O11)</f>
        <v/>
      </c>
    </row>
    <row r="17" spans="1:12" ht="24" customHeight="1" x14ac:dyDescent="0.35">
      <c r="A17" s="135" t="s">
        <v>953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9" spans="1:12" ht="29" x14ac:dyDescent="0.35">
      <c r="A19" s="116" t="s">
        <v>954</v>
      </c>
      <c r="B19" s="116" t="s">
        <v>955</v>
      </c>
      <c r="C19" s="116" t="s">
        <v>956</v>
      </c>
      <c r="D19" s="116" t="s">
        <v>957</v>
      </c>
      <c r="E19" s="116" t="s">
        <v>958</v>
      </c>
      <c r="F19" s="116" t="s">
        <v>353</v>
      </c>
      <c r="G19" s="116" t="s">
        <v>335</v>
      </c>
      <c r="H19" s="116" t="s">
        <v>338</v>
      </c>
      <c r="I19" s="117" t="s">
        <v>959</v>
      </c>
      <c r="J19" t="s">
        <v>960</v>
      </c>
      <c r="K19" t="s">
        <v>300</v>
      </c>
      <c r="L19" t="s">
        <v>961</v>
      </c>
    </row>
    <row r="20" spans="1:12" x14ac:dyDescent="0.35">
      <c r="A20" s="118" t="s">
        <v>962</v>
      </c>
      <c r="B20" s="118" t="s">
        <v>81</v>
      </c>
      <c r="C20" s="118"/>
      <c r="D20" s="127"/>
      <c r="E20" s="127"/>
      <c r="F20" s="118"/>
      <c r="G20" s="118"/>
      <c r="H20" s="118"/>
      <c r="J20" t="s">
        <v>310</v>
      </c>
      <c r="K20" t="str">
        <f>IF('Induction Employee Register'!W11="","",'Induction Employee Register'!W11)</f>
        <v/>
      </c>
      <c r="L20" t="s">
        <v>963</v>
      </c>
    </row>
    <row r="21" spans="1:12" x14ac:dyDescent="0.35">
      <c r="A21" s="118" t="s">
        <v>964</v>
      </c>
      <c r="B21" s="118" t="s">
        <v>81</v>
      </c>
      <c r="C21" s="118"/>
      <c r="D21" s="127"/>
      <c r="E21" s="127"/>
      <c r="F21" s="118"/>
      <c r="G21" s="118"/>
      <c r="H21" s="118"/>
      <c r="J21" t="s">
        <v>311</v>
      </c>
      <c r="K21" t="str">
        <f>IF('Induction Employee Register'!X11="","",'Induction Employee Register'!X11)</f>
        <v/>
      </c>
      <c r="L21" t="s">
        <v>965</v>
      </c>
    </row>
    <row r="22" spans="1:12" x14ac:dyDescent="0.35">
      <c r="A22" s="118" t="s">
        <v>966</v>
      </c>
      <c r="B22" s="118" t="s">
        <v>81</v>
      </c>
      <c r="C22" s="118"/>
      <c r="D22" s="127"/>
      <c r="E22" s="127"/>
      <c r="F22" s="118"/>
      <c r="G22" s="118"/>
      <c r="H22" s="118"/>
      <c r="J22" t="s">
        <v>312</v>
      </c>
      <c r="K22" t="str">
        <f>IF('Induction Employee Register'!Y11="","",'Induction Employee Register'!Y11)</f>
        <v/>
      </c>
      <c r="L22" t="s">
        <v>967</v>
      </c>
    </row>
    <row r="23" spans="1:12" x14ac:dyDescent="0.35">
      <c r="A23" s="118" t="s">
        <v>52</v>
      </c>
      <c r="B23" s="118" t="s">
        <v>81</v>
      </c>
      <c r="C23" s="118"/>
      <c r="D23" s="127"/>
      <c r="E23" s="127"/>
      <c r="F23" s="118"/>
      <c r="G23" s="118"/>
      <c r="H23" s="118"/>
      <c r="J23" t="s">
        <v>313</v>
      </c>
      <c r="K23" t="str">
        <f>IF('Induction Employee Register'!Z11="","",'Induction Employee Register'!Z11)</f>
        <v/>
      </c>
      <c r="L23" t="s">
        <v>968</v>
      </c>
    </row>
    <row r="24" spans="1:12" x14ac:dyDescent="0.35">
      <c r="A24" s="118" t="s">
        <v>50</v>
      </c>
      <c r="B24" s="118" t="s">
        <v>81</v>
      </c>
      <c r="C24" s="118"/>
      <c r="D24" s="127"/>
      <c r="E24" s="127"/>
      <c r="F24" s="118"/>
      <c r="G24" s="118"/>
      <c r="H24" s="118"/>
      <c r="J24" t="s">
        <v>314</v>
      </c>
      <c r="K24" t="str">
        <f>IF('Induction Employee Register'!AA11="","",'Induction Employee Register'!AA11)</f>
        <v/>
      </c>
      <c r="L24" t="s">
        <v>968</v>
      </c>
    </row>
    <row r="25" spans="1:12" x14ac:dyDescent="0.35">
      <c r="A25" s="118" t="s">
        <v>329</v>
      </c>
      <c r="B25" s="118" t="s">
        <v>81</v>
      </c>
      <c r="C25" s="118"/>
      <c r="D25" s="127"/>
      <c r="E25" s="127"/>
      <c r="F25" s="118"/>
      <c r="G25" s="118"/>
      <c r="H25" s="118"/>
      <c r="J25" t="s">
        <v>315</v>
      </c>
      <c r="K25" t="str">
        <f>IF('Induction Employee Register'!AB11="","",'Induction Employee Register'!AB11)</f>
        <v/>
      </c>
      <c r="L25" t="s">
        <v>967</v>
      </c>
    </row>
    <row r="26" spans="1:12" x14ac:dyDescent="0.35">
      <c r="A26" s="118" t="s">
        <v>969</v>
      </c>
      <c r="B26" s="118" t="s">
        <v>81</v>
      </c>
      <c r="C26" s="118"/>
      <c r="D26" s="127"/>
      <c r="E26" s="127"/>
      <c r="F26" s="118"/>
      <c r="G26" s="118"/>
      <c r="H26" s="118"/>
      <c r="J26" t="s">
        <v>316</v>
      </c>
      <c r="K26" t="str">
        <f>IF('Induction Employee Register'!AC11="","",'Induction Employee Register'!AC11)</f>
        <v/>
      </c>
      <c r="L26" t="s">
        <v>967</v>
      </c>
    </row>
    <row r="27" spans="1:12" x14ac:dyDescent="0.35">
      <c r="A27" s="118" t="s">
        <v>970</v>
      </c>
      <c r="B27" s="118" t="s">
        <v>81</v>
      </c>
      <c r="C27" s="118"/>
      <c r="D27" s="127"/>
      <c r="E27" s="127"/>
      <c r="F27" s="118"/>
      <c r="G27" s="118"/>
      <c r="H27" s="118"/>
    </row>
    <row r="28" spans="1:12" x14ac:dyDescent="0.35">
      <c r="A28" s="118" t="s">
        <v>971</v>
      </c>
      <c r="B28" s="118" t="s">
        <v>81</v>
      </c>
      <c r="C28" s="118"/>
      <c r="D28" s="127"/>
      <c r="E28" s="127"/>
      <c r="F28" s="118"/>
      <c r="G28" s="118"/>
      <c r="H28" s="118"/>
    </row>
    <row r="29" spans="1:12" x14ac:dyDescent="0.35">
      <c r="A29" s="118" t="s">
        <v>972</v>
      </c>
      <c r="B29" s="118" t="s">
        <v>81</v>
      </c>
      <c r="C29" s="118"/>
      <c r="D29" s="127"/>
      <c r="E29" s="127"/>
      <c r="F29" s="118"/>
      <c r="G29" s="118"/>
      <c r="H29" s="118"/>
    </row>
    <row r="30" spans="1:12" x14ac:dyDescent="0.35">
      <c r="A30" s="118" t="s">
        <v>973</v>
      </c>
      <c r="B30" s="118" t="s">
        <v>81</v>
      </c>
      <c r="C30" s="118"/>
      <c r="D30" s="127"/>
      <c r="E30" s="127"/>
      <c r="F30" s="118"/>
      <c r="G30" s="118"/>
      <c r="H30" s="118"/>
    </row>
    <row r="31" spans="1:12" x14ac:dyDescent="0.35">
      <c r="A31" s="118" t="s">
        <v>974</v>
      </c>
      <c r="B31" s="118" t="s">
        <v>81</v>
      </c>
      <c r="C31" s="118"/>
      <c r="D31" s="127"/>
      <c r="E31" s="127"/>
      <c r="F31" s="118"/>
      <c r="G31" s="118"/>
      <c r="H31" s="118"/>
    </row>
    <row r="32" spans="1:12" x14ac:dyDescent="0.35">
      <c r="A32" s="118" t="s">
        <v>975</v>
      </c>
      <c r="B32" s="118" t="s">
        <v>81</v>
      </c>
      <c r="C32" s="118"/>
      <c r="D32" s="127"/>
      <c r="E32" s="127"/>
      <c r="F32" s="118"/>
      <c r="G32" s="118"/>
      <c r="H32" s="118"/>
    </row>
    <row r="33" spans="1:12" x14ac:dyDescent="0.35">
      <c r="A33" s="118" t="s">
        <v>54</v>
      </c>
      <c r="B33" s="118" t="s">
        <v>81</v>
      </c>
      <c r="C33" s="118"/>
      <c r="D33" s="127"/>
      <c r="E33" s="127"/>
      <c r="F33" s="118"/>
      <c r="G33" s="118"/>
      <c r="H33" s="118"/>
    </row>
    <row r="34" spans="1:12" x14ac:dyDescent="0.35">
      <c r="A34" s="119" t="s">
        <v>976</v>
      </c>
      <c r="B34" s="119" t="s">
        <v>81</v>
      </c>
      <c r="C34" s="119"/>
      <c r="D34" s="127"/>
      <c r="E34" s="127"/>
      <c r="F34" s="119"/>
      <c r="G34" s="119"/>
      <c r="H34" s="119"/>
    </row>
    <row r="35" spans="1:12" ht="24" customHeight="1" x14ac:dyDescent="0.35">
      <c r="A35" s="130" t="s">
        <v>977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</row>
    <row r="36" spans="1:12" x14ac:dyDescent="0.35">
      <c r="A36" s="119" t="s">
        <v>978</v>
      </c>
      <c r="B36" s="119" t="s">
        <v>81</v>
      </c>
      <c r="C36" s="119"/>
      <c r="D36" s="127"/>
      <c r="E36" s="127"/>
      <c r="F36" s="119"/>
      <c r="G36" s="119"/>
      <c r="H36" s="119"/>
    </row>
    <row r="37" spans="1:12" x14ac:dyDescent="0.35">
      <c r="A37" s="119" t="s">
        <v>979</v>
      </c>
      <c r="B37" s="119" t="s">
        <v>81</v>
      </c>
      <c r="C37" s="119"/>
      <c r="D37" s="127"/>
      <c r="E37" s="127"/>
      <c r="F37" s="119"/>
      <c r="G37" s="119"/>
      <c r="H37" s="119"/>
    </row>
    <row r="38" spans="1:12" x14ac:dyDescent="0.35">
      <c r="A38" s="119" t="s">
        <v>980</v>
      </c>
      <c r="B38" s="119" t="s">
        <v>81</v>
      </c>
      <c r="C38" s="119"/>
      <c r="D38" s="127"/>
      <c r="E38" s="127"/>
      <c r="F38" s="119"/>
      <c r="G38" s="119"/>
      <c r="H38" s="119"/>
    </row>
    <row r="39" spans="1:12" x14ac:dyDescent="0.35">
      <c r="A39" s="119" t="s">
        <v>981</v>
      </c>
      <c r="B39" s="119" t="s">
        <v>81</v>
      </c>
      <c r="C39" s="119"/>
      <c r="D39" s="127"/>
      <c r="E39" s="127"/>
      <c r="F39" s="119"/>
      <c r="G39" s="119"/>
      <c r="H39" s="119"/>
    </row>
    <row r="40" spans="1:12" x14ac:dyDescent="0.35">
      <c r="A40" s="119" t="s">
        <v>982</v>
      </c>
      <c r="B40" s="119" t="s">
        <v>81</v>
      </c>
      <c r="C40" s="119"/>
      <c r="D40" s="127"/>
      <c r="E40" s="127"/>
      <c r="F40" s="119"/>
      <c r="G40" s="119"/>
      <c r="H40" s="119"/>
    </row>
    <row r="41" spans="1:12" x14ac:dyDescent="0.35">
      <c r="A41" s="118"/>
      <c r="B41" s="118"/>
      <c r="C41" s="118"/>
      <c r="D41" s="127"/>
      <c r="E41" s="127"/>
      <c r="F41" s="118"/>
      <c r="G41" s="118"/>
      <c r="H41" s="118"/>
    </row>
    <row r="42" spans="1:12" x14ac:dyDescent="0.35">
      <c r="A42" s="120" t="s">
        <v>983</v>
      </c>
      <c r="B42" s="118"/>
      <c r="C42" s="118"/>
      <c r="D42" s="127"/>
      <c r="E42" s="127"/>
      <c r="F42" s="118"/>
      <c r="G42" s="118"/>
      <c r="H42" s="118"/>
      <c r="I42" s="96"/>
      <c r="J42" s="96"/>
      <c r="K42" s="96"/>
      <c r="L42" s="96"/>
    </row>
    <row r="43" spans="1:12" x14ac:dyDescent="0.35">
      <c r="A43" s="118"/>
      <c r="B43" s="118"/>
      <c r="C43" s="118"/>
      <c r="D43" s="127"/>
      <c r="E43" s="127"/>
      <c r="F43" s="118"/>
      <c r="G43" s="118"/>
      <c r="H43" s="118"/>
    </row>
    <row r="44" spans="1:12" ht="29" x14ac:dyDescent="0.35">
      <c r="A44" s="116" t="s">
        <v>984</v>
      </c>
      <c r="B44" s="116" t="s">
        <v>985</v>
      </c>
      <c r="C44" s="116" t="s">
        <v>986</v>
      </c>
      <c r="D44" s="116" t="s">
        <v>987</v>
      </c>
      <c r="E44" s="116" t="s">
        <v>988</v>
      </c>
      <c r="F44" s="116" t="s">
        <v>989</v>
      </c>
      <c r="G44" s="116" t="s">
        <v>389</v>
      </c>
      <c r="H44" s="116" t="s">
        <v>870</v>
      </c>
      <c r="I44" s="100" t="s">
        <v>390</v>
      </c>
      <c r="J44" s="100" t="s">
        <v>990</v>
      </c>
      <c r="K44" s="100" t="s">
        <v>991</v>
      </c>
      <c r="L44" s="100" t="s">
        <v>992</v>
      </c>
    </row>
    <row r="45" spans="1:12" ht="29" x14ac:dyDescent="0.35">
      <c r="A45" s="121" t="s">
        <v>993</v>
      </c>
      <c r="B45" s="121" t="s">
        <v>994</v>
      </c>
      <c r="C45" s="121" t="s">
        <v>995</v>
      </c>
      <c r="D45" s="121"/>
      <c r="E45" s="121" t="s">
        <v>996</v>
      </c>
      <c r="F45" s="121"/>
      <c r="G45" s="121"/>
      <c r="H45" s="121"/>
      <c r="I45" s="21"/>
      <c r="J45" s="21"/>
      <c r="K45" s="21"/>
      <c r="L45" s="21"/>
    </row>
    <row r="46" spans="1:12" ht="29" x14ac:dyDescent="0.35">
      <c r="A46" s="21" t="s">
        <v>993</v>
      </c>
      <c r="B46" s="21" t="s">
        <v>997</v>
      </c>
      <c r="C46" s="21" t="s">
        <v>998</v>
      </c>
      <c r="D46" s="21"/>
      <c r="E46" s="21" t="s">
        <v>996</v>
      </c>
      <c r="F46" s="21"/>
      <c r="G46" s="21"/>
      <c r="H46" s="21"/>
      <c r="I46" s="21"/>
      <c r="J46" s="21"/>
      <c r="K46" s="21"/>
      <c r="L46" s="21"/>
    </row>
    <row r="47" spans="1:12" ht="29" x14ac:dyDescent="0.35">
      <c r="A47" s="21" t="s">
        <v>993</v>
      </c>
      <c r="B47" s="21" t="s">
        <v>999</v>
      </c>
      <c r="C47" s="21" t="s">
        <v>1000</v>
      </c>
      <c r="D47" s="21"/>
      <c r="E47" s="21" t="s">
        <v>996</v>
      </c>
      <c r="F47" s="21"/>
      <c r="G47" s="21"/>
      <c r="H47" s="21"/>
      <c r="I47" s="21"/>
      <c r="J47" s="21"/>
      <c r="K47" s="21"/>
      <c r="L47" s="21"/>
    </row>
    <row r="48" spans="1:12" ht="29" x14ac:dyDescent="0.35">
      <c r="A48" s="21" t="s">
        <v>993</v>
      </c>
      <c r="B48" s="21" t="s">
        <v>1001</v>
      </c>
      <c r="C48" s="21" t="s">
        <v>1002</v>
      </c>
      <c r="D48" s="21"/>
      <c r="E48" s="21" t="s">
        <v>996</v>
      </c>
      <c r="F48" s="21"/>
      <c r="G48" s="21"/>
      <c r="H48" s="21"/>
      <c r="I48" s="21"/>
      <c r="J48" s="21"/>
      <c r="K48" s="21"/>
      <c r="L48" s="21"/>
    </row>
    <row r="49" spans="1:12" ht="43.5" x14ac:dyDescent="0.35">
      <c r="A49" s="21" t="s">
        <v>993</v>
      </c>
      <c r="B49" s="21" t="s">
        <v>1003</v>
      </c>
      <c r="C49" s="21" t="s">
        <v>1004</v>
      </c>
      <c r="D49" s="21"/>
      <c r="E49" s="21" t="s">
        <v>996</v>
      </c>
      <c r="F49" s="21"/>
      <c r="G49" s="21"/>
      <c r="H49" s="21"/>
      <c r="I49" s="21"/>
      <c r="J49" s="21"/>
      <c r="K49" s="21"/>
      <c r="L49" s="21"/>
    </row>
    <row r="50" spans="1:12" ht="29" x14ac:dyDescent="0.35">
      <c r="A50" s="21" t="s">
        <v>993</v>
      </c>
      <c r="B50" s="21" t="s">
        <v>1005</v>
      </c>
      <c r="C50" s="21" t="s">
        <v>1006</v>
      </c>
      <c r="D50" s="21"/>
      <c r="E50" s="21" t="s">
        <v>996</v>
      </c>
      <c r="F50" s="21"/>
      <c r="G50" s="21"/>
      <c r="H50" s="21"/>
      <c r="I50" s="21"/>
      <c r="J50" s="21"/>
      <c r="K50" s="21"/>
      <c r="L50" s="21"/>
    </row>
    <row r="51" spans="1:12" ht="43.5" x14ac:dyDescent="0.35">
      <c r="A51" s="21" t="s">
        <v>1007</v>
      </c>
      <c r="B51" s="21" t="s">
        <v>1008</v>
      </c>
      <c r="C51" s="21" t="s">
        <v>1009</v>
      </c>
      <c r="D51" s="21"/>
      <c r="E51" s="21" t="s">
        <v>996</v>
      </c>
      <c r="F51" s="21"/>
      <c r="G51" s="21"/>
      <c r="H51" s="21"/>
      <c r="I51" s="21"/>
      <c r="J51" s="21"/>
      <c r="K51" s="21"/>
      <c r="L51" s="21"/>
    </row>
    <row r="52" spans="1:12" ht="29" x14ac:dyDescent="0.35">
      <c r="A52" s="21" t="s">
        <v>1007</v>
      </c>
      <c r="B52" s="21" t="s">
        <v>1010</v>
      </c>
      <c r="C52" s="21" t="s">
        <v>1011</v>
      </c>
      <c r="D52" s="21"/>
      <c r="E52" s="21" t="s">
        <v>996</v>
      </c>
      <c r="F52" s="21"/>
      <c r="G52" s="21"/>
      <c r="H52" s="21"/>
      <c r="I52" s="21"/>
      <c r="J52" s="21"/>
      <c r="K52" s="21"/>
      <c r="L52" s="21"/>
    </row>
    <row r="53" spans="1:12" ht="29" x14ac:dyDescent="0.35">
      <c r="A53" s="21" t="s">
        <v>1007</v>
      </c>
      <c r="B53" s="21" t="s">
        <v>1012</v>
      </c>
      <c r="C53" s="21" t="s">
        <v>1013</v>
      </c>
      <c r="D53" s="21"/>
      <c r="E53" s="21" t="s">
        <v>996</v>
      </c>
      <c r="F53" s="21"/>
      <c r="G53" s="21"/>
      <c r="H53" s="21"/>
      <c r="I53" s="21"/>
      <c r="J53" s="21"/>
      <c r="K53" s="21"/>
      <c r="L53" s="21"/>
    </row>
    <row r="54" spans="1:12" ht="29" x14ac:dyDescent="0.35">
      <c r="A54" s="21" t="s">
        <v>1007</v>
      </c>
      <c r="B54" s="21" t="s">
        <v>1014</v>
      </c>
      <c r="C54" s="21" t="s">
        <v>1015</v>
      </c>
      <c r="D54" s="21"/>
      <c r="E54" s="21" t="s">
        <v>996</v>
      </c>
      <c r="F54" s="21"/>
      <c r="G54" s="21"/>
      <c r="H54" s="21"/>
      <c r="I54" s="21"/>
      <c r="J54" s="21"/>
      <c r="K54" s="21"/>
      <c r="L54" s="21"/>
    </row>
    <row r="55" spans="1:12" ht="29" x14ac:dyDescent="0.35">
      <c r="A55" s="21" t="s">
        <v>1007</v>
      </c>
      <c r="B55" s="21" t="s">
        <v>1016</v>
      </c>
      <c r="C55" s="21" t="s">
        <v>1017</v>
      </c>
      <c r="D55" s="21"/>
      <c r="E55" s="21" t="s">
        <v>996</v>
      </c>
      <c r="F55" s="21"/>
      <c r="G55" s="21"/>
      <c r="H55" s="21"/>
      <c r="I55" s="21"/>
      <c r="J55" s="21"/>
      <c r="K55" s="21"/>
      <c r="L55" s="21"/>
    </row>
    <row r="56" spans="1:12" ht="29" x14ac:dyDescent="0.35">
      <c r="A56" s="21" t="s">
        <v>1007</v>
      </c>
      <c r="B56" s="21" t="s">
        <v>1018</v>
      </c>
      <c r="C56" s="21" t="s">
        <v>1019</v>
      </c>
      <c r="D56" s="21"/>
      <c r="E56" s="21" t="s">
        <v>996</v>
      </c>
      <c r="F56" s="21"/>
      <c r="G56" s="21"/>
      <c r="H56" s="21"/>
      <c r="I56" s="21"/>
      <c r="J56" s="21"/>
      <c r="K56" s="21"/>
      <c r="L56" s="21"/>
    </row>
    <row r="57" spans="1:12" ht="43.5" x14ac:dyDescent="0.35">
      <c r="A57" s="21" t="s">
        <v>1020</v>
      </c>
      <c r="B57" s="21" t="s">
        <v>1021</v>
      </c>
      <c r="C57" s="21" t="s">
        <v>1022</v>
      </c>
      <c r="D57" s="21"/>
      <c r="E57" s="21" t="s">
        <v>1023</v>
      </c>
      <c r="F57" s="21"/>
      <c r="G57" s="21"/>
      <c r="H57" s="21"/>
      <c r="I57" s="21"/>
      <c r="J57" s="21"/>
      <c r="K57" s="21"/>
      <c r="L57" s="21"/>
    </row>
    <row r="58" spans="1:12" ht="43.5" x14ac:dyDescent="0.35">
      <c r="A58" s="21" t="s">
        <v>1020</v>
      </c>
      <c r="B58" s="21" t="s">
        <v>1024</v>
      </c>
      <c r="C58" s="21" t="s">
        <v>1025</v>
      </c>
      <c r="D58" s="21"/>
      <c r="E58" s="21" t="s">
        <v>1023</v>
      </c>
      <c r="F58" s="21"/>
      <c r="G58" s="21"/>
      <c r="H58" s="21"/>
      <c r="I58" s="21"/>
      <c r="J58" s="21"/>
      <c r="K58" s="21"/>
      <c r="L58" s="21"/>
    </row>
    <row r="59" spans="1:12" ht="43.5" x14ac:dyDescent="0.35">
      <c r="A59" s="21" t="s">
        <v>1020</v>
      </c>
      <c r="B59" s="21" t="s">
        <v>1026</v>
      </c>
      <c r="C59" s="21" t="s">
        <v>1027</v>
      </c>
      <c r="D59" s="21"/>
      <c r="E59" s="21" t="s">
        <v>1023</v>
      </c>
      <c r="F59" s="21"/>
      <c r="G59" s="21"/>
      <c r="H59" s="21"/>
      <c r="I59" s="21"/>
      <c r="J59" s="21"/>
      <c r="K59" s="21"/>
      <c r="L59" s="21"/>
    </row>
    <row r="60" spans="1:12" ht="43.5" x14ac:dyDescent="0.35">
      <c r="A60" s="21" t="s">
        <v>1020</v>
      </c>
      <c r="B60" s="21" t="s">
        <v>1028</v>
      </c>
      <c r="C60" s="21" t="s">
        <v>1029</v>
      </c>
      <c r="D60" s="21"/>
      <c r="E60" s="21" t="s">
        <v>1023</v>
      </c>
      <c r="F60" s="21"/>
      <c r="G60" s="21"/>
      <c r="H60" s="21"/>
      <c r="I60" s="21"/>
      <c r="J60" s="21"/>
      <c r="K60" s="21"/>
      <c r="L60" s="21"/>
    </row>
    <row r="61" spans="1:12" ht="43.5" x14ac:dyDescent="0.35">
      <c r="A61" s="21" t="s">
        <v>1020</v>
      </c>
      <c r="B61" s="21" t="s">
        <v>1030</v>
      </c>
      <c r="C61" s="21" t="s">
        <v>1031</v>
      </c>
      <c r="D61" s="21"/>
      <c r="E61" s="21" t="s">
        <v>1023</v>
      </c>
      <c r="F61" s="21"/>
      <c r="G61" s="21"/>
      <c r="H61" s="21"/>
      <c r="I61" s="21"/>
      <c r="J61" s="21"/>
      <c r="K61" s="21"/>
      <c r="L61" s="21"/>
    </row>
    <row r="62" spans="1:12" ht="43.5" x14ac:dyDescent="0.35">
      <c r="A62" s="21" t="s">
        <v>1020</v>
      </c>
      <c r="B62" s="21" t="s">
        <v>1032</v>
      </c>
      <c r="C62" s="21" t="s">
        <v>1033</v>
      </c>
      <c r="D62" s="21"/>
      <c r="E62" s="21" t="s">
        <v>1023</v>
      </c>
      <c r="F62" s="21"/>
      <c r="G62" s="21"/>
      <c r="H62" s="21"/>
      <c r="I62" s="21"/>
      <c r="J62" s="21"/>
      <c r="K62" s="21"/>
      <c r="L62" s="21"/>
    </row>
    <row r="63" spans="1:12" ht="29" x14ac:dyDescent="0.35">
      <c r="A63" s="21" t="s">
        <v>428</v>
      </c>
      <c r="B63" s="21" t="s">
        <v>1034</v>
      </c>
      <c r="C63" s="21" t="s">
        <v>1035</v>
      </c>
      <c r="D63" s="21"/>
      <c r="E63" s="21" t="s">
        <v>996</v>
      </c>
      <c r="F63" s="21"/>
      <c r="G63" s="21"/>
      <c r="H63" s="21"/>
      <c r="I63" s="21"/>
      <c r="J63" s="21"/>
      <c r="K63" s="21"/>
      <c r="L63" s="21"/>
    </row>
    <row r="64" spans="1:12" ht="43.5" x14ac:dyDescent="0.35">
      <c r="A64" s="21" t="s">
        <v>428</v>
      </c>
      <c r="B64" s="21" t="s">
        <v>1036</v>
      </c>
      <c r="C64" s="21" t="s">
        <v>1037</v>
      </c>
      <c r="D64" s="21"/>
      <c r="E64" s="21" t="s">
        <v>996</v>
      </c>
      <c r="F64" s="21"/>
      <c r="G64" s="21"/>
      <c r="H64" s="21"/>
      <c r="I64" s="21"/>
      <c r="J64" s="21"/>
      <c r="K64" s="21"/>
      <c r="L64" s="21"/>
    </row>
    <row r="65" spans="1:12" ht="29" x14ac:dyDescent="0.35">
      <c r="A65" s="21" t="s">
        <v>428</v>
      </c>
      <c r="B65" s="21" t="s">
        <v>1038</v>
      </c>
      <c r="C65" s="21" t="s">
        <v>1039</v>
      </c>
      <c r="D65" s="21"/>
      <c r="E65" s="21" t="s">
        <v>996</v>
      </c>
      <c r="F65" s="21"/>
      <c r="G65" s="21"/>
      <c r="H65" s="21"/>
      <c r="I65" s="21"/>
      <c r="J65" s="21"/>
      <c r="K65" s="21"/>
      <c r="L65" s="21"/>
    </row>
    <row r="66" spans="1:12" ht="43.5" x14ac:dyDescent="0.35">
      <c r="A66" s="21" t="s">
        <v>428</v>
      </c>
      <c r="B66" s="21" t="s">
        <v>1040</v>
      </c>
      <c r="C66" s="21" t="s">
        <v>1041</v>
      </c>
      <c r="D66" s="21"/>
      <c r="E66" s="21" t="s">
        <v>996</v>
      </c>
      <c r="F66" s="21"/>
      <c r="G66" s="21"/>
      <c r="H66" s="21"/>
      <c r="I66" s="21"/>
      <c r="J66" s="21"/>
      <c r="K66" s="21"/>
      <c r="L66" s="21"/>
    </row>
    <row r="67" spans="1:12" ht="29" x14ac:dyDescent="0.35">
      <c r="A67" s="21" t="s">
        <v>428</v>
      </c>
      <c r="B67" s="21" t="s">
        <v>1042</v>
      </c>
      <c r="C67" s="21" t="s">
        <v>1043</v>
      </c>
      <c r="D67" s="21"/>
      <c r="E67" s="21" t="s">
        <v>996</v>
      </c>
      <c r="F67" s="21"/>
      <c r="G67" s="21"/>
      <c r="H67" s="21"/>
      <c r="I67" s="21"/>
      <c r="J67" s="21"/>
      <c r="K67" s="21"/>
      <c r="L67" s="21"/>
    </row>
    <row r="68" spans="1:12" ht="29" x14ac:dyDescent="0.35">
      <c r="A68" s="21" t="s">
        <v>428</v>
      </c>
      <c r="B68" s="21" t="s">
        <v>1044</v>
      </c>
      <c r="C68" s="21" t="s">
        <v>1045</v>
      </c>
      <c r="D68" s="21"/>
      <c r="E68" s="21" t="s">
        <v>996</v>
      </c>
      <c r="F68" s="21"/>
      <c r="G68" s="21"/>
      <c r="H68" s="21"/>
      <c r="I68" s="21"/>
      <c r="J68" s="21"/>
      <c r="K68" s="21"/>
      <c r="L68" s="21"/>
    </row>
    <row r="69" spans="1:12" ht="29" x14ac:dyDescent="0.35">
      <c r="A69" s="21" t="s">
        <v>1046</v>
      </c>
      <c r="B69" s="21" t="s">
        <v>1047</v>
      </c>
      <c r="C69" s="21" t="s">
        <v>1048</v>
      </c>
      <c r="D69" s="21"/>
      <c r="E69" s="21" t="s">
        <v>996</v>
      </c>
      <c r="F69" s="21"/>
      <c r="G69" s="21"/>
      <c r="H69" s="21"/>
      <c r="I69" s="21"/>
      <c r="J69" s="21"/>
      <c r="K69" s="21"/>
      <c r="L69" s="21"/>
    </row>
    <row r="70" spans="1:12" ht="29" x14ac:dyDescent="0.35">
      <c r="A70" s="21" t="s">
        <v>1046</v>
      </c>
      <c r="B70" s="21" t="s">
        <v>1049</v>
      </c>
      <c r="C70" s="21" t="s">
        <v>1050</v>
      </c>
      <c r="D70" s="21"/>
      <c r="E70" s="21" t="s">
        <v>996</v>
      </c>
      <c r="F70" s="21"/>
      <c r="G70" s="21"/>
      <c r="H70" s="21"/>
      <c r="I70" s="21"/>
      <c r="J70" s="21"/>
      <c r="K70" s="21"/>
      <c r="L70" s="21"/>
    </row>
    <row r="71" spans="1:12" ht="29" x14ac:dyDescent="0.35">
      <c r="A71" s="21" t="s">
        <v>1046</v>
      </c>
      <c r="B71" s="21" t="s">
        <v>1051</v>
      </c>
      <c r="C71" s="21" t="s">
        <v>1052</v>
      </c>
      <c r="D71" s="21"/>
      <c r="E71" s="21" t="s">
        <v>996</v>
      </c>
      <c r="F71" s="21"/>
      <c r="G71" s="21"/>
      <c r="H71" s="21"/>
      <c r="I71" s="21"/>
      <c r="J71" s="21"/>
      <c r="K71" s="21"/>
      <c r="L71" s="21"/>
    </row>
    <row r="72" spans="1:12" ht="29" x14ac:dyDescent="0.35">
      <c r="A72" s="21" t="s">
        <v>1046</v>
      </c>
      <c r="B72" s="21" t="s">
        <v>1053</v>
      </c>
      <c r="C72" s="21" t="s">
        <v>1054</v>
      </c>
      <c r="D72" s="21"/>
      <c r="E72" s="21" t="s">
        <v>996</v>
      </c>
      <c r="F72" s="21"/>
      <c r="G72" s="21"/>
      <c r="H72" s="21"/>
      <c r="I72" s="21"/>
      <c r="J72" s="21"/>
      <c r="K72" s="21"/>
      <c r="L72" s="21"/>
    </row>
    <row r="73" spans="1:12" ht="29" x14ac:dyDescent="0.35">
      <c r="A73" s="21" t="s">
        <v>1046</v>
      </c>
      <c r="B73" s="21" t="s">
        <v>1055</v>
      </c>
      <c r="C73" s="21" t="s">
        <v>1056</v>
      </c>
      <c r="D73" s="21"/>
      <c r="E73" s="21" t="s">
        <v>996</v>
      </c>
      <c r="F73" s="21"/>
      <c r="G73" s="21"/>
      <c r="H73" s="21"/>
      <c r="I73" s="21"/>
      <c r="J73" s="21"/>
      <c r="K73" s="21"/>
      <c r="L73" s="21"/>
    </row>
    <row r="74" spans="1:12" ht="29" x14ac:dyDescent="0.35">
      <c r="A74" s="21" t="s">
        <v>1046</v>
      </c>
      <c r="B74" s="21" t="s">
        <v>1057</v>
      </c>
      <c r="C74" s="21" t="s">
        <v>1058</v>
      </c>
      <c r="D74" s="21"/>
      <c r="E74" s="21" t="s">
        <v>996</v>
      </c>
      <c r="F74" s="21"/>
      <c r="G74" s="21"/>
      <c r="H74" s="21"/>
      <c r="I74" s="21"/>
      <c r="J74" s="21"/>
      <c r="K74" s="21"/>
      <c r="L74" s="21"/>
    </row>
    <row r="75" spans="1:12" ht="29" x14ac:dyDescent="0.35">
      <c r="A75" s="21" t="s">
        <v>1059</v>
      </c>
      <c r="B75" s="21" t="s">
        <v>1060</v>
      </c>
      <c r="C75" s="21" t="s">
        <v>1061</v>
      </c>
      <c r="D75" s="21"/>
      <c r="E75" s="21" t="s">
        <v>996</v>
      </c>
      <c r="F75" s="21"/>
      <c r="G75" s="21"/>
      <c r="H75" s="21"/>
      <c r="I75" s="21"/>
      <c r="J75" s="21"/>
      <c r="K75" s="21"/>
      <c r="L75" s="21"/>
    </row>
    <row r="76" spans="1:12" ht="43.5" x14ac:dyDescent="0.35">
      <c r="A76" s="21" t="s">
        <v>1059</v>
      </c>
      <c r="B76" s="21" t="s">
        <v>1062</v>
      </c>
      <c r="C76" s="21" t="s">
        <v>1063</v>
      </c>
      <c r="D76" s="21"/>
      <c r="E76" s="21" t="s">
        <v>996</v>
      </c>
      <c r="F76" s="21"/>
      <c r="G76" s="21"/>
      <c r="H76" s="21"/>
      <c r="I76" s="21"/>
      <c r="J76" s="21"/>
      <c r="K76" s="21"/>
      <c r="L76" s="21"/>
    </row>
    <row r="77" spans="1:12" ht="29" x14ac:dyDescent="0.35">
      <c r="A77" s="21" t="s">
        <v>1059</v>
      </c>
      <c r="B77" s="21" t="s">
        <v>1064</v>
      </c>
      <c r="C77" s="21" t="s">
        <v>1065</v>
      </c>
      <c r="D77" s="21"/>
      <c r="E77" s="21" t="s">
        <v>996</v>
      </c>
      <c r="F77" s="21"/>
      <c r="G77" s="21"/>
      <c r="H77" s="21"/>
      <c r="I77" s="21"/>
      <c r="J77" s="21"/>
      <c r="K77" s="21"/>
      <c r="L77" s="21"/>
    </row>
    <row r="78" spans="1:12" ht="29" x14ac:dyDescent="0.35">
      <c r="A78" s="21" t="s">
        <v>1059</v>
      </c>
      <c r="B78" s="21" t="s">
        <v>1066</v>
      </c>
      <c r="C78" s="21" t="s">
        <v>1067</v>
      </c>
      <c r="D78" s="21"/>
      <c r="E78" s="21" t="s">
        <v>996</v>
      </c>
      <c r="F78" s="21"/>
      <c r="G78" s="21"/>
      <c r="H78" s="21"/>
      <c r="I78" s="21"/>
      <c r="J78" s="21"/>
      <c r="K78" s="21"/>
      <c r="L78" s="21"/>
    </row>
    <row r="79" spans="1:12" ht="29" x14ac:dyDescent="0.35">
      <c r="A79" s="21" t="s">
        <v>1059</v>
      </c>
      <c r="B79" s="21" t="s">
        <v>1068</v>
      </c>
      <c r="C79" s="21" t="s">
        <v>1069</v>
      </c>
      <c r="D79" s="21"/>
      <c r="E79" s="21" t="s">
        <v>996</v>
      </c>
      <c r="F79" s="21"/>
      <c r="G79" s="21"/>
      <c r="H79" s="21"/>
      <c r="I79" s="21"/>
      <c r="J79" s="21"/>
      <c r="K79" s="21"/>
      <c r="L79" s="21"/>
    </row>
    <row r="80" spans="1:12" ht="29" x14ac:dyDescent="0.35">
      <c r="A80" s="21" t="s">
        <v>1059</v>
      </c>
      <c r="B80" s="21" t="s">
        <v>1070</v>
      </c>
      <c r="C80" s="21" t="s">
        <v>1071</v>
      </c>
      <c r="D80" s="21"/>
      <c r="E80" s="21" t="s">
        <v>996</v>
      </c>
      <c r="F80" s="21"/>
      <c r="G80" s="21"/>
      <c r="H80" s="21"/>
      <c r="I80" s="21"/>
      <c r="J80" s="21"/>
      <c r="K80" s="21"/>
      <c r="L80" s="21"/>
    </row>
    <row r="81" spans="1:12" ht="29" x14ac:dyDescent="0.35">
      <c r="A81" s="21" t="s">
        <v>1072</v>
      </c>
      <c r="B81" s="21" t="s">
        <v>1073</v>
      </c>
      <c r="C81" s="21" t="s">
        <v>1074</v>
      </c>
      <c r="D81" s="21"/>
      <c r="E81" s="21" t="s">
        <v>996</v>
      </c>
      <c r="F81" s="21"/>
      <c r="G81" s="21"/>
      <c r="H81" s="21"/>
      <c r="I81" s="21"/>
      <c r="J81" s="21"/>
      <c r="K81" s="21"/>
      <c r="L81" s="21"/>
    </row>
    <row r="82" spans="1:12" ht="29" x14ac:dyDescent="0.35">
      <c r="A82" s="21" t="s">
        <v>1072</v>
      </c>
      <c r="B82" s="21" t="s">
        <v>1075</v>
      </c>
      <c r="C82" s="21" t="s">
        <v>1076</v>
      </c>
      <c r="D82" s="21"/>
      <c r="E82" s="21" t="s">
        <v>996</v>
      </c>
      <c r="F82" s="21"/>
      <c r="G82" s="21"/>
      <c r="H82" s="21"/>
      <c r="I82" s="21"/>
      <c r="J82" s="21"/>
      <c r="K82" s="21"/>
      <c r="L82" s="21"/>
    </row>
    <row r="83" spans="1:12" ht="29" x14ac:dyDescent="0.35">
      <c r="A83" s="21" t="s">
        <v>1072</v>
      </c>
      <c r="B83" s="21" t="s">
        <v>1077</v>
      </c>
      <c r="C83" s="21" t="s">
        <v>1078</v>
      </c>
      <c r="D83" s="21"/>
      <c r="E83" s="21" t="s">
        <v>996</v>
      </c>
      <c r="F83" s="21"/>
      <c r="G83" s="21"/>
      <c r="H83" s="21"/>
      <c r="I83" s="21"/>
      <c r="J83" s="21"/>
      <c r="K83" s="21"/>
      <c r="L83" s="21"/>
    </row>
    <row r="84" spans="1:12" ht="29" x14ac:dyDescent="0.35">
      <c r="A84" s="21" t="s">
        <v>1072</v>
      </c>
      <c r="B84" s="21" t="s">
        <v>1079</v>
      </c>
      <c r="C84" s="21" t="s">
        <v>1080</v>
      </c>
      <c r="D84" s="21"/>
      <c r="E84" s="21" t="s">
        <v>996</v>
      </c>
      <c r="F84" s="21"/>
      <c r="G84" s="21"/>
      <c r="H84" s="21"/>
      <c r="I84" s="21"/>
      <c r="J84" s="21"/>
      <c r="K84" s="21"/>
      <c r="L84" s="21"/>
    </row>
    <row r="85" spans="1:12" ht="29" x14ac:dyDescent="0.35">
      <c r="A85" s="21" t="s">
        <v>1072</v>
      </c>
      <c r="B85" s="21" t="s">
        <v>1081</v>
      </c>
      <c r="C85" s="21" t="s">
        <v>1082</v>
      </c>
      <c r="D85" s="21"/>
      <c r="E85" s="21" t="s">
        <v>996</v>
      </c>
      <c r="F85" s="21"/>
      <c r="G85" s="21"/>
      <c r="H85" s="21"/>
      <c r="I85" s="21"/>
      <c r="J85" s="21"/>
      <c r="K85" s="21"/>
      <c r="L85" s="21"/>
    </row>
    <row r="86" spans="1:12" ht="29" x14ac:dyDescent="0.35">
      <c r="A86" s="21" t="s">
        <v>1072</v>
      </c>
      <c r="B86" s="21" t="s">
        <v>1083</v>
      </c>
      <c r="C86" s="21" t="s">
        <v>1084</v>
      </c>
      <c r="D86" s="21"/>
      <c r="E86" s="21" t="s">
        <v>996</v>
      </c>
      <c r="F86" s="21"/>
      <c r="G86" s="21"/>
      <c r="H86" s="21"/>
      <c r="I86" s="21"/>
      <c r="J86" s="21"/>
      <c r="K86" s="21"/>
      <c r="L86" s="21"/>
    </row>
    <row r="87" spans="1:12" ht="29" x14ac:dyDescent="0.35">
      <c r="A87" s="21" t="s">
        <v>1085</v>
      </c>
      <c r="B87" s="21" t="s">
        <v>1086</v>
      </c>
      <c r="C87" s="21" t="s">
        <v>1087</v>
      </c>
      <c r="D87" s="21"/>
      <c r="E87" s="21" t="s">
        <v>996</v>
      </c>
      <c r="F87" s="21"/>
      <c r="G87" s="21"/>
      <c r="H87" s="21"/>
      <c r="I87" s="21"/>
      <c r="J87" s="21"/>
      <c r="K87" s="21"/>
      <c r="L87" s="21"/>
    </row>
    <row r="88" spans="1:12" ht="29" x14ac:dyDescent="0.35">
      <c r="A88" s="21" t="s">
        <v>1085</v>
      </c>
      <c r="B88" s="21" t="s">
        <v>1088</v>
      </c>
      <c r="C88" s="21" t="s">
        <v>1089</v>
      </c>
      <c r="D88" s="21"/>
      <c r="E88" s="21" t="s">
        <v>996</v>
      </c>
      <c r="F88" s="21"/>
      <c r="G88" s="21"/>
      <c r="H88" s="21"/>
      <c r="I88" s="21"/>
      <c r="J88" s="21"/>
      <c r="K88" s="21"/>
      <c r="L88" s="21"/>
    </row>
    <row r="89" spans="1:12" ht="29" x14ac:dyDescent="0.35">
      <c r="A89" s="21" t="s">
        <v>1085</v>
      </c>
      <c r="B89" s="21" t="s">
        <v>1090</v>
      </c>
      <c r="C89" s="21" t="s">
        <v>1091</v>
      </c>
      <c r="D89" s="21"/>
      <c r="E89" s="21" t="s">
        <v>996</v>
      </c>
      <c r="F89" s="21"/>
      <c r="G89" s="21"/>
      <c r="H89" s="21"/>
      <c r="I89" s="21"/>
      <c r="J89" s="21"/>
      <c r="K89" s="21"/>
      <c r="L89" s="21"/>
    </row>
    <row r="90" spans="1:12" ht="29" x14ac:dyDescent="0.35">
      <c r="A90" s="21" t="s">
        <v>1085</v>
      </c>
      <c r="B90" s="21" t="s">
        <v>1092</v>
      </c>
      <c r="C90" s="21" t="s">
        <v>1093</v>
      </c>
      <c r="D90" s="21"/>
      <c r="E90" s="21" t="s">
        <v>996</v>
      </c>
      <c r="F90" s="21"/>
      <c r="G90" s="21"/>
      <c r="H90" s="21"/>
      <c r="I90" s="21"/>
      <c r="J90" s="21"/>
      <c r="K90" s="21"/>
      <c r="L90" s="21"/>
    </row>
    <row r="91" spans="1:12" ht="29" x14ac:dyDescent="0.35">
      <c r="A91" s="21" t="s">
        <v>1085</v>
      </c>
      <c r="B91" s="21" t="s">
        <v>1094</v>
      </c>
      <c r="C91" s="21" t="s">
        <v>1095</v>
      </c>
      <c r="D91" s="21"/>
      <c r="E91" s="21" t="s">
        <v>996</v>
      </c>
      <c r="F91" s="21"/>
      <c r="G91" s="21"/>
      <c r="H91" s="21"/>
      <c r="I91" s="21"/>
      <c r="J91" s="21"/>
      <c r="K91" s="21"/>
      <c r="L91" s="21"/>
    </row>
    <row r="92" spans="1:12" ht="29" x14ac:dyDescent="0.35">
      <c r="A92" s="21" t="s">
        <v>1085</v>
      </c>
      <c r="B92" s="21" t="s">
        <v>1096</v>
      </c>
      <c r="C92" s="21" t="s">
        <v>1097</v>
      </c>
      <c r="D92" s="21"/>
      <c r="E92" s="21" t="s">
        <v>996</v>
      </c>
      <c r="F92" s="21"/>
      <c r="G92" s="21"/>
      <c r="H92" s="21"/>
      <c r="I92" s="21"/>
      <c r="J92" s="21"/>
      <c r="K92" s="21"/>
      <c r="L92" s="21"/>
    </row>
    <row r="93" spans="1:12" ht="29" x14ac:dyDescent="0.35">
      <c r="A93" s="21" t="s">
        <v>1098</v>
      </c>
      <c r="B93" s="21" t="s">
        <v>1099</v>
      </c>
      <c r="C93" s="21" t="s">
        <v>1100</v>
      </c>
      <c r="D93" s="21"/>
      <c r="E93" s="21" t="s">
        <v>996</v>
      </c>
      <c r="F93" s="21"/>
      <c r="G93" s="21"/>
      <c r="H93" s="21"/>
      <c r="I93" s="21"/>
      <c r="J93" s="21"/>
      <c r="K93" s="21"/>
      <c r="L93" s="21"/>
    </row>
    <row r="94" spans="1:12" ht="29" x14ac:dyDescent="0.35">
      <c r="A94" s="21" t="s">
        <v>1098</v>
      </c>
      <c r="B94" s="21" t="s">
        <v>1101</v>
      </c>
      <c r="C94" s="21" t="s">
        <v>1102</v>
      </c>
      <c r="D94" s="21"/>
      <c r="E94" s="21" t="s">
        <v>996</v>
      </c>
      <c r="F94" s="21"/>
      <c r="G94" s="21"/>
      <c r="H94" s="21"/>
      <c r="I94" s="21"/>
      <c r="J94" s="21"/>
      <c r="K94" s="21"/>
      <c r="L94" s="21"/>
    </row>
    <row r="95" spans="1:12" ht="29" x14ac:dyDescent="0.35">
      <c r="A95" s="21" t="s">
        <v>1098</v>
      </c>
      <c r="B95" s="21" t="s">
        <v>1103</v>
      </c>
      <c r="C95" s="21" t="s">
        <v>1104</v>
      </c>
      <c r="D95" s="21"/>
      <c r="E95" s="21" t="s">
        <v>996</v>
      </c>
      <c r="F95" s="21"/>
      <c r="G95" s="21"/>
      <c r="H95" s="21"/>
      <c r="I95" s="21"/>
      <c r="J95" s="21"/>
      <c r="K95" s="21"/>
      <c r="L95" s="21"/>
    </row>
    <row r="96" spans="1:12" ht="29" x14ac:dyDescent="0.35">
      <c r="A96" s="21" t="s">
        <v>1098</v>
      </c>
      <c r="B96" s="21" t="s">
        <v>1105</v>
      </c>
      <c r="C96" s="21" t="s">
        <v>1106</v>
      </c>
      <c r="D96" s="21"/>
      <c r="E96" s="21" t="s">
        <v>996</v>
      </c>
      <c r="F96" s="21"/>
      <c r="G96" s="21"/>
      <c r="H96" s="21"/>
      <c r="I96" s="21"/>
      <c r="J96" s="21"/>
      <c r="K96" s="21"/>
      <c r="L96" s="21"/>
    </row>
    <row r="97" spans="1:12" ht="29" x14ac:dyDescent="0.35">
      <c r="A97" s="21" t="s">
        <v>1098</v>
      </c>
      <c r="B97" s="21" t="s">
        <v>1107</v>
      </c>
      <c r="C97" s="21" t="s">
        <v>1108</v>
      </c>
      <c r="D97" s="21"/>
      <c r="E97" s="21" t="s">
        <v>996</v>
      </c>
      <c r="F97" s="21"/>
      <c r="G97" s="21"/>
      <c r="H97" s="21"/>
      <c r="I97" s="21"/>
      <c r="J97" s="21"/>
      <c r="K97" s="21"/>
      <c r="L97" s="21"/>
    </row>
    <row r="98" spans="1:12" ht="29" x14ac:dyDescent="0.35">
      <c r="A98" s="21" t="s">
        <v>1098</v>
      </c>
      <c r="B98" s="21" t="s">
        <v>1109</v>
      </c>
      <c r="C98" s="21" t="s">
        <v>1110</v>
      </c>
      <c r="D98" s="21"/>
      <c r="E98" s="21" t="s">
        <v>996</v>
      </c>
      <c r="F98" s="21"/>
      <c r="G98" s="21"/>
      <c r="H98" s="21"/>
      <c r="I98" s="21"/>
      <c r="J98" s="21"/>
      <c r="K98" s="21"/>
      <c r="L98" s="21"/>
    </row>
    <row r="99" spans="1:12" ht="29" x14ac:dyDescent="0.35">
      <c r="A99" s="21" t="s">
        <v>1111</v>
      </c>
      <c r="B99" s="21" t="s">
        <v>1112</v>
      </c>
      <c r="C99" s="21" t="s">
        <v>1113</v>
      </c>
      <c r="D99" s="21"/>
      <c r="E99" s="21" t="s">
        <v>1114</v>
      </c>
      <c r="F99" s="21"/>
      <c r="G99" s="21"/>
      <c r="H99" s="21"/>
      <c r="I99" s="21"/>
      <c r="J99" s="21"/>
      <c r="K99" s="21"/>
      <c r="L99" s="21"/>
    </row>
    <row r="100" spans="1:12" ht="29" x14ac:dyDescent="0.35">
      <c r="A100" s="21" t="s">
        <v>1111</v>
      </c>
      <c r="B100" s="21" t="s">
        <v>1115</v>
      </c>
      <c r="C100" s="21" t="s">
        <v>1116</v>
      </c>
      <c r="D100" s="21"/>
      <c r="E100" s="21" t="s">
        <v>1114</v>
      </c>
      <c r="F100" s="21"/>
      <c r="G100" s="21"/>
      <c r="H100" s="21"/>
      <c r="I100" s="21"/>
      <c r="J100" s="21"/>
      <c r="K100" s="21"/>
      <c r="L100" s="21"/>
    </row>
    <row r="101" spans="1:12" ht="29" x14ac:dyDescent="0.35">
      <c r="A101" s="21" t="s">
        <v>1111</v>
      </c>
      <c r="B101" s="21" t="s">
        <v>1117</v>
      </c>
      <c r="C101" s="21" t="s">
        <v>1118</v>
      </c>
      <c r="D101" s="21"/>
      <c r="E101" s="21" t="s">
        <v>1114</v>
      </c>
      <c r="F101" s="21"/>
      <c r="G101" s="21"/>
      <c r="H101" s="21"/>
      <c r="I101" s="21"/>
      <c r="J101" s="21"/>
      <c r="K101" s="21"/>
      <c r="L101" s="21"/>
    </row>
    <row r="102" spans="1:12" ht="29" x14ac:dyDescent="0.35">
      <c r="A102" s="21" t="s">
        <v>1111</v>
      </c>
      <c r="B102" s="21" t="s">
        <v>1119</v>
      </c>
      <c r="C102" s="21" t="s">
        <v>1120</v>
      </c>
      <c r="D102" s="21"/>
      <c r="E102" s="21" t="s">
        <v>1114</v>
      </c>
      <c r="F102" s="21"/>
      <c r="G102" s="21"/>
      <c r="H102" s="21"/>
      <c r="I102" s="21"/>
      <c r="J102" s="21"/>
      <c r="K102" s="21"/>
      <c r="L102" s="21"/>
    </row>
    <row r="103" spans="1:12" ht="29" x14ac:dyDescent="0.35">
      <c r="A103" s="21" t="s">
        <v>1111</v>
      </c>
      <c r="B103" s="21" t="s">
        <v>1121</v>
      </c>
      <c r="C103" s="21" t="s">
        <v>1122</v>
      </c>
      <c r="D103" s="21"/>
      <c r="E103" s="21" t="s">
        <v>1114</v>
      </c>
      <c r="F103" s="21"/>
      <c r="G103" s="21"/>
      <c r="H103" s="21"/>
      <c r="I103" s="21"/>
      <c r="J103" s="21"/>
      <c r="K103" s="21"/>
      <c r="L103" s="21"/>
    </row>
    <row r="104" spans="1:12" ht="29" x14ac:dyDescent="0.35">
      <c r="A104" s="21" t="s">
        <v>1111</v>
      </c>
      <c r="B104" s="21" t="s">
        <v>1123</v>
      </c>
      <c r="C104" s="21" t="s">
        <v>1124</v>
      </c>
      <c r="D104" s="21"/>
      <c r="E104" s="21" t="s">
        <v>1114</v>
      </c>
      <c r="F104" s="21"/>
      <c r="G104" s="21"/>
      <c r="H104" s="21"/>
      <c r="I104" s="21"/>
      <c r="J104" s="21"/>
      <c r="K104" s="21"/>
      <c r="L104" s="21"/>
    </row>
    <row r="105" spans="1:12" ht="29" x14ac:dyDescent="0.35">
      <c r="A105" s="21" t="s">
        <v>1125</v>
      </c>
      <c r="B105" s="21" t="s">
        <v>1126</v>
      </c>
      <c r="C105" s="21" t="s">
        <v>1127</v>
      </c>
      <c r="D105" s="21"/>
      <c r="E105" s="21" t="s">
        <v>1114</v>
      </c>
      <c r="F105" s="21"/>
      <c r="G105" s="21"/>
      <c r="H105" s="21"/>
      <c r="I105" s="21"/>
      <c r="J105" s="21"/>
      <c r="K105" s="21"/>
      <c r="L105" s="21"/>
    </row>
    <row r="106" spans="1:12" ht="29" x14ac:dyDescent="0.35">
      <c r="A106" s="21" t="s">
        <v>1125</v>
      </c>
      <c r="B106" s="21" t="s">
        <v>1128</v>
      </c>
      <c r="C106" s="21" t="s">
        <v>1129</v>
      </c>
      <c r="D106" s="21"/>
      <c r="E106" s="21" t="s">
        <v>1114</v>
      </c>
      <c r="F106" s="21"/>
      <c r="G106" s="21"/>
      <c r="H106" s="21"/>
      <c r="I106" s="21"/>
      <c r="J106" s="21"/>
      <c r="K106" s="21"/>
      <c r="L106" s="21"/>
    </row>
    <row r="107" spans="1:12" ht="43.5" x14ac:dyDescent="0.35">
      <c r="A107" s="21" t="s">
        <v>1125</v>
      </c>
      <c r="B107" s="21" t="s">
        <v>1130</v>
      </c>
      <c r="C107" s="21" t="s">
        <v>1131</v>
      </c>
      <c r="D107" s="21"/>
      <c r="E107" s="21" t="s">
        <v>1114</v>
      </c>
      <c r="F107" s="21"/>
      <c r="G107" s="21"/>
      <c r="H107" s="21"/>
      <c r="I107" s="21"/>
      <c r="J107" s="21"/>
      <c r="K107" s="21"/>
      <c r="L107" s="21"/>
    </row>
    <row r="108" spans="1:12" ht="29" x14ac:dyDescent="0.35">
      <c r="A108" s="21" t="s">
        <v>1125</v>
      </c>
      <c r="B108" s="21" t="s">
        <v>1132</v>
      </c>
      <c r="C108" s="21" t="s">
        <v>1133</v>
      </c>
      <c r="D108" s="21"/>
      <c r="E108" s="21" t="s">
        <v>1114</v>
      </c>
      <c r="F108" s="21"/>
      <c r="G108" s="21"/>
      <c r="H108" s="21"/>
      <c r="I108" s="21"/>
      <c r="J108" s="21"/>
      <c r="K108" s="21"/>
      <c r="L108" s="21"/>
    </row>
    <row r="109" spans="1:12" ht="29" x14ac:dyDescent="0.35">
      <c r="A109" s="21" t="s">
        <v>1125</v>
      </c>
      <c r="B109" s="21" t="s">
        <v>1134</v>
      </c>
      <c r="C109" s="21" t="s">
        <v>1135</v>
      </c>
      <c r="D109" s="21"/>
      <c r="E109" s="21" t="s">
        <v>1114</v>
      </c>
      <c r="F109" s="21"/>
      <c r="G109" s="21"/>
      <c r="H109" s="21"/>
      <c r="I109" s="21"/>
      <c r="J109" s="21"/>
      <c r="K109" s="21"/>
      <c r="L109" s="21"/>
    </row>
    <row r="110" spans="1:12" ht="29" x14ac:dyDescent="0.35">
      <c r="A110" s="21" t="s">
        <v>1125</v>
      </c>
      <c r="B110" s="21" t="s">
        <v>1136</v>
      </c>
      <c r="C110" s="21" t="s">
        <v>1137</v>
      </c>
      <c r="D110" s="21"/>
      <c r="E110" s="21" t="s">
        <v>1114</v>
      </c>
      <c r="F110" s="21"/>
      <c r="G110" s="21"/>
      <c r="H110" s="21"/>
      <c r="I110" s="21"/>
      <c r="J110" s="21"/>
      <c r="K110" s="21"/>
      <c r="L110" s="21"/>
    </row>
    <row r="111" spans="1:12" ht="29" x14ac:dyDescent="0.35">
      <c r="A111" s="21" t="s">
        <v>1138</v>
      </c>
      <c r="B111" s="21" t="s">
        <v>1139</v>
      </c>
      <c r="C111" s="21" t="s">
        <v>1140</v>
      </c>
      <c r="D111" s="21"/>
      <c r="E111" s="21" t="s">
        <v>996</v>
      </c>
      <c r="F111" s="21"/>
      <c r="G111" s="21"/>
      <c r="H111" s="21"/>
      <c r="I111" s="21"/>
      <c r="J111" s="21"/>
      <c r="K111" s="21"/>
      <c r="L111" s="21"/>
    </row>
    <row r="112" spans="1:12" ht="29" x14ac:dyDescent="0.35">
      <c r="A112" s="21" t="s">
        <v>1138</v>
      </c>
      <c r="B112" s="21" t="s">
        <v>1141</v>
      </c>
      <c r="C112" s="21" t="s">
        <v>1142</v>
      </c>
      <c r="D112" s="21"/>
      <c r="E112" s="21" t="s">
        <v>996</v>
      </c>
      <c r="F112" s="21"/>
      <c r="G112" s="21"/>
      <c r="H112" s="21"/>
      <c r="I112" s="21"/>
      <c r="J112" s="21"/>
      <c r="K112" s="21"/>
      <c r="L112" s="21"/>
    </row>
    <row r="113" spans="1:12" ht="29" x14ac:dyDescent="0.35">
      <c r="A113" s="21" t="s">
        <v>1138</v>
      </c>
      <c r="B113" s="21" t="s">
        <v>1143</v>
      </c>
      <c r="C113" s="21" t="s">
        <v>1144</v>
      </c>
      <c r="D113" s="21"/>
      <c r="E113" s="21" t="s">
        <v>996</v>
      </c>
      <c r="F113" s="21"/>
      <c r="G113" s="21"/>
      <c r="H113" s="21"/>
      <c r="I113" s="21"/>
      <c r="J113" s="21"/>
      <c r="K113" s="21"/>
      <c r="L113" s="21"/>
    </row>
    <row r="114" spans="1:12" ht="29" x14ac:dyDescent="0.35">
      <c r="A114" s="21" t="s">
        <v>1138</v>
      </c>
      <c r="B114" s="21" t="s">
        <v>1145</v>
      </c>
      <c r="C114" s="21" t="s">
        <v>1146</v>
      </c>
      <c r="D114" s="21"/>
      <c r="E114" s="21" t="s">
        <v>996</v>
      </c>
      <c r="F114" s="21"/>
      <c r="G114" s="21"/>
      <c r="H114" s="21"/>
      <c r="I114" s="21"/>
      <c r="J114" s="21"/>
      <c r="K114" s="21"/>
      <c r="L114" s="21"/>
    </row>
    <row r="115" spans="1:12" ht="29" x14ac:dyDescent="0.35">
      <c r="A115" s="21" t="s">
        <v>1138</v>
      </c>
      <c r="B115" s="21" t="s">
        <v>1147</v>
      </c>
      <c r="C115" s="21" t="s">
        <v>1148</v>
      </c>
      <c r="D115" s="21"/>
      <c r="E115" s="21" t="s">
        <v>996</v>
      </c>
      <c r="F115" s="21"/>
      <c r="G115" s="21"/>
      <c r="H115" s="21"/>
      <c r="I115" s="21"/>
      <c r="J115" s="21"/>
      <c r="K115" s="21"/>
      <c r="L115" s="21"/>
    </row>
    <row r="116" spans="1:12" ht="29" x14ac:dyDescent="0.35">
      <c r="A116" s="21" t="s">
        <v>1138</v>
      </c>
      <c r="B116" s="21" t="s">
        <v>1149</v>
      </c>
      <c r="C116" s="21" t="s">
        <v>1150</v>
      </c>
      <c r="D116" s="21"/>
      <c r="E116" s="21" t="s">
        <v>996</v>
      </c>
      <c r="F116" s="21"/>
      <c r="G116" s="21"/>
      <c r="H116" s="21"/>
      <c r="I116" s="21"/>
      <c r="J116" s="21"/>
      <c r="K116" s="21"/>
      <c r="L116" s="21"/>
    </row>
    <row r="117" spans="1:12" ht="29" x14ac:dyDescent="0.35">
      <c r="A117" s="21" t="s">
        <v>1151</v>
      </c>
      <c r="B117" s="21" t="s">
        <v>1152</v>
      </c>
      <c r="C117" s="21" t="s">
        <v>1153</v>
      </c>
      <c r="D117" s="21"/>
      <c r="E117" s="21" t="s">
        <v>996</v>
      </c>
      <c r="F117" s="21"/>
      <c r="G117" s="21"/>
      <c r="H117" s="21"/>
      <c r="I117" s="21"/>
      <c r="J117" s="21"/>
      <c r="K117" s="21"/>
      <c r="L117" s="21"/>
    </row>
    <row r="118" spans="1:12" ht="29" x14ac:dyDescent="0.35">
      <c r="A118" s="21" t="s">
        <v>1151</v>
      </c>
      <c r="B118" s="21" t="s">
        <v>1154</v>
      </c>
      <c r="C118" s="21" t="s">
        <v>1155</v>
      </c>
      <c r="D118" s="21"/>
      <c r="E118" s="21" t="s">
        <v>996</v>
      </c>
      <c r="F118" s="21"/>
      <c r="G118" s="21"/>
      <c r="H118" s="21"/>
      <c r="I118" s="21"/>
      <c r="J118" s="21"/>
      <c r="K118" s="21"/>
      <c r="L118" s="21"/>
    </row>
    <row r="119" spans="1:12" ht="29" x14ac:dyDescent="0.35">
      <c r="A119" s="21" t="s">
        <v>1151</v>
      </c>
      <c r="B119" s="21" t="s">
        <v>1156</v>
      </c>
      <c r="C119" s="21" t="s">
        <v>1157</v>
      </c>
      <c r="D119" s="21"/>
      <c r="E119" s="21" t="s">
        <v>996</v>
      </c>
      <c r="F119" s="21"/>
      <c r="G119" s="21"/>
      <c r="H119" s="21"/>
      <c r="I119" s="21"/>
      <c r="J119" s="21"/>
      <c r="K119" s="21"/>
      <c r="L119" s="21"/>
    </row>
    <row r="120" spans="1:12" ht="29" x14ac:dyDescent="0.35">
      <c r="A120" s="21" t="s">
        <v>1151</v>
      </c>
      <c r="B120" s="21" t="s">
        <v>1158</v>
      </c>
      <c r="C120" s="21" t="s">
        <v>1159</v>
      </c>
      <c r="D120" s="21"/>
      <c r="E120" s="21" t="s">
        <v>996</v>
      </c>
      <c r="F120" s="21"/>
      <c r="G120" s="21"/>
      <c r="H120" s="21"/>
      <c r="I120" s="21"/>
      <c r="J120" s="21"/>
      <c r="K120" s="21"/>
      <c r="L120" s="21"/>
    </row>
    <row r="121" spans="1:12" ht="29" x14ac:dyDescent="0.35">
      <c r="A121" s="21" t="s">
        <v>1151</v>
      </c>
      <c r="B121" s="21" t="s">
        <v>1160</v>
      </c>
      <c r="C121" s="21" t="s">
        <v>1161</v>
      </c>
      <c r="D121" s="21"/>
      <c r="E121" s="21" t="s">
        <v>996</v>
      </c>
      <c r="F121" s="21"/>
      <c r="G121" s="21"/>
      <c r="H121" s="21"/>
      <c r="I121" s="21"/>
      <c r="J121" s="21"/>
      <c r="K121" s="21"/>
      <c r="L121" s="21"/>
    </row>
    <row r="122" spans="1:12" ht="29" x14ac:dyDescent="0.35">
      <c r="A122" s="21" t="s">
        <v>1151</v>
      </c>
      <c r="B122" s="21" t="s">
        <v>1162</v>
      </c>
      <c r="C122" s="21" t="s">
        <v>1163</v>
      </c>
      <c r="D122" s="21"/>
      <c r="E122" s="21" t="s">
        <v>996</v>
      </c>
      <c r="F122" s="21"/>
      <c r="G122" s="21"/>
      <c r="H122" s="21"/>
      <c r="I122" s="21"/>
      <c r="J122" s="21"/>
      <c r="K122" s="21"/>
      <c r="L122" s="21"/>
    </row>
    <row r="123" spans="1:12" ht="29" x14ac:dyDescent="0.35">
      <c r="A123" s="21" t="s">
        <v>432</v>
      </c>
      <c r="B123" s="21" t="s">
        <v>1164</v>
      </c>
      <c r="C123" s="21" t="s">
        <v>1165</v>
      </c>
      <c r="D123" s="21"/>
      <c r="E123" s="21" t="s">
        <v>1114</v>
      </c>
      <c r="F123" s="21"/>
      <c r="G123" s="21"/>
      <c r="H123" s="21"/>
      <c r="I123" s="21"/>
      <c r="J123" s="21"/>
      <c r="K123" s="21"/>
      <c r="L123" s="21"/>
    </row>
    <row r="124" spans="1:12" ht="29" x14ac:dyDescent="0.35">
      <c r="A124" s="21" t="s">
        <v>432</v>
      </c>
      <c r="B124" s="21" t="s">
        <v>1166</v>
      </c>
      <c r="C124" s="21" t="s">
        <v>1167</v>
      </c>
      <c r="D124" s="21"/>
      <c r="E124" s="21" t="s">
        <v>1114</v>
      </c>
      <c r="F124" s="21"/>
      <c r="G124" s="21"/>
      <c r="H124" s="21"/>
      <c r="I124" s="21"/>
      <c r="J124" s="21"/>
      <c r="K124" s="21"/>
      <c r="L124" s="21"/>
    </row>
    <row r="125" spans="1:12" ht="29" x14ac:dyDescent="0.35">
      <c r="A125" s="21" t="s">
        <v>432</v>
      </c>
      <c r="B125" s="21" t="s">
        <v>1168</v>
      </c>
      <c r="C125" s="21" t="s">
        <v>1169</v>
      </c>
      <c r="D125" s="21"/>
      <c r="E125" s="21" t="s">
        <v>1114</v>
      </c>
      <c r="F125" s="21"/>
      <c r="G125" s="21"/>
      <c r="H125" s="21"/>
      <c r="I125" s="21"/>
      <c r="J125" s="21"/>
      <c r="K125" s="21"/>
      <c r="L125" s="21"/>
    </row>
    <row r="126" spans="1:12" ht="29" x14ac:dyDescent="0.35">
      <c r="A126" s="21" t="s">
        <v>432</v>
      </c>
      <c r="B126" s="21" t="s">
        <v>1170</v>
      </c>
      <c r="C126" s="21" t="s">
        <v>1171</v>
      </c>
      <c r="D126" s="21"/>
      <c r="E126" s="21" t="s">
        <v>1114</v>
      </c>
      <c r="F126" s="21"/>
      <c r="G126" s="21"/>
      <c r="H126" s="21"/>
      <c r="I126" s="21"/>
      <c r="J126" s="21"/>
      <c r="K126" s="21"/>
      <c r="L126" s="21"/>
    </row>
    <row r="127" spans="1:12" ht="29" x14ac:dyDescent="0.35">
      <c r="A127" s="21" t="s">
        <v>432</v>
      </c>
      <c r="B127" s="21" t="s">
        <v>1172</v>
      </c>
      <c r="C127" s="21" t="s">
        <v>1173</v>
      </c>
      <c r="D127" s="21"/>
      <c r="E127" s="21" t="s">
        <v>1114</v>
      </c>
      <c r="F127" s="21"/>
      <c r="G127" s="21"/>
      <c r="H127" s="21"/>
      <c r="I127" s="21"/>
      <c r="J127" s="21"/>
      <c r="K127" s="21"/>
      <c r="L127" s="21"/>
    </row>
    <row r="128" spans="1:12" ht="29" x14ac:dyDescent="0.35">
      <c r="A128" s="21" t="s">
        <v>432</v>
      </c>
      <c r="B128" s="21" t="s">
        <v>1174</v>
      </c>
      <c r="C128" s="21" t="s">
        <v>1175</v>
      </c>
      <c r="D128" s="21"/>
      <c r="E128" s="21" t="s">
        <v>1114</v>
      </c>
      <c r="F128" s="21"/>
      <c r="G128" s="21"/>
      <c r="H128" s="21"/>
      <c r="I128" s="21"/>
      <c r="J128" s="21"/>
      <c r="K128" s="21"/>
      <c r="L128" s="21"/>
    </row>
    <row r="129" spans="1:12" ht="29" x14ac:dyDescent="0.35">
      <c r="A129" s="21" t="s">
        <v>1176</v>
      </c>
      <c r="B129" s="21" t="s">
        <v>1177</v>
      </c>
      <c r="C129" s="21" t="s">
        <v>1178</v>
      </c>
      <c r="D129" s="21"/>
      <c r="E129" s="21" t="s">
        <v>996</v>
      </c>
      <c r="F129" s="21"/>
      <c r="G129" s="21"/>
      <c r="H129" s="21"/>
      <c r="I129" s="21"/>
      <c r="J129" s="21"/>
      <c r="K129" s="21"/>
      <c r="L129" s="21"/>
    </row>
    <row r="130" spans="1:12" ht="29" x14ac:dyDescent="0.35">
      <c r="A130" s="21" t="s">
        <v>1176</v>
      </c>
      <c r="B130" s="21" t="s">
        <v>1179</v>
      </c>
      <c r="C130" s="21" t="s">
        <v>1180</v>
      </c>
      <c r="D130" s="21"/>
      <c r="E130" s="21" t="s">
        <v>996</v>
      </c>
      <c r="F130" s="21"/>
      <c r="G130" s="21"/>
      <c r="H130" s="21"/>
      <c r="I130" s="21"/>
      <c r="J130" s="21"/>
      <c r="K130" s="21"/>
      <c r="L130" s="21"/>
    </row>
    <row r="131" spans="1:12" ht="29" x14ac:dyDescent="0.35">
      <c r="A131" s="21" t="s">
        <v>1176</v>
      </c>
      <c r="B131" s="21" t="s">
        <v>1181</v>
      </c>
      <c r="C131" s="21" t="s">
        <v>1182</v>
      </c>
      <c r="D131" s="21"/>
      <c r="E131" s="21" t="s">
        <v>996</v>
      </c>
      <c r="F131" s="21"/>
      <c r="G131" s="21"/>
      <c r="H131" s="21"/>
      <c r="I131" s="21"/>
      <c r="J131" s="21"/>
      <c r="K131" s="21"/>
      <c r="L131" s="21"/>
    </row>
    <row r="132" spans="1:12" ht="29" x14ac:dyDescent="0.35">
      <c r="A132" s="21" t="s">
        <v>1176</v>
      </c>
      <c r="B132" s="21" t="s">
        <v>1183</v>
      </c>
      <c r="C132" s="21" t="s">
        <v>1184</v>
      </c>
      <c r="D132" s="21"/>
      <c r="E132" s="21" t="s">
        <v>996</v>
      </c>
      <c r="F132" s="21"/>
      <c r="G132" s="21"/>
      <c r="H132" s="21"/>
      <c r="I132" s="21"/>
      <c r="J132" s="21"/>
      <c r="K132" s="21"/>
      <c r="L132" s="21"/>
    </row>
    <row r="133" spans="1:12" ht="29" x14ac:dyDescent="0.35">
      <c r="A133" s="21" t="s">
        <v>1176</v>
      </c>
      <c r="B133" s="21" t="s">
        <v>1185</v>
      </c>
      <c r="C133" s="21" t="s">
        <v>1186</v>
      </c>
      <c r="D133" s="21"/>
      <c r="E133" s="21" t="s">
        <v>996</v>
      </c>
      <c r="F133" s="21"/>
      <c r="G133" s="21"/>
      <c r="H133" s="21"/>
      <c r="I133" s="21"/>
      <c r="J133" s="21"/>
      <c r="K133" s="21"/>
      <c r="L133" s="21"/>
    </row>
    <row r="134" spans="1:12" ht="29" x14ac:dyDescent="0.35">
      <c r="A134" s="21" t="s">
        <v>1176</v>
      </c>
      <c r="B134" s="21" t="s">
        <v>1187</v>
      </c>
      <c r="C134" s="21" t="s">
        <v>1188</v>
      </c>
      <c r="D134" s="21"/>
      <c r="E134" s="21" t="s">
        <v>996</v>
      </c>
      <c r="F134" s="21"/>
      <c r="G134" s="21"/>
      <c r="H134" s="21"/>
      <c r="I134" s="21"/>
      <c r="J134" s="21"/>
      <c r="K134" s="21"/>
      <c r="L134" s="21"/>
    </row>
    <row r="135" spans="1:12" ht="29" x14ac:dyDescent="0.35">
      <c r="A135" s="21" t="s">
        <v>1189</v>
      </c>
      <c r="B135" s="21" t="s">
        <v>1190</v>
      </c>
      <c r="C135" s="21" t="s">
        <v>1191</v>
      </c>
      <c r="D135" s="21"/>
      <c r="E135" s="21" t="s">
        <v>996</v>
      </c>
      <c r="F135" s="21"/>
      <c r="G135" s="21"/>
      <c r="H135" s="21"/>
      <c r="I135" s="21"/>
      <c r="J135" s="21"/>
      <c r="K135" s="21"/>
      <c r="L135" s="21"/>
    </row>
    <row r="136" spans="1:12" ht="29" x14ac:dyDescent="0.35">
      <c r="A136" s="21" t="s">
        <v>1189</v>
      </c>
      <c r="B136" s="21" t="s">
        <v>1192</v>
      </c>
      <c r="C136" s="21" t="s">
        <v>1193</v>
      </c>
      <c r="D136" s="21"/>
      <c r="E136" s="21" t="s">
        <v>996</v>
      </c>
      <c r="F136" s="21"/>
      <c r="G136" s="21"/>
      <c r="H136" s="21"/>
      <c r="I136" s="21"/>
      <c r="J136" s="21"/>
      <c r="K136" s="21"/>
      <c r="L136" s="21"/>
    </row>
    <row r="137" spans="1:12" ht="29" x14ac:dyDescent="0.35">
      <c r="A137" s="21" t="s">
        <v>1189</v>
      </c>
      <c r="B137" s="21" t="s">
        <v>1194</v>
      </c>
      <c r="C137" s="21" t="s">
        <v>1195</v>
      </c>
      <c r="D137" s="21"/>
      <c r="E137" s="21" t="s">
        <v>996</v>
      </c>
      <c r="F137" s="21"/>
      <c r="G137" s="21"/>
      <c r="H137" s="21"/>
      <c r="I137" s="21"/>
      <c r="J137" s="21"/>
      <c r="K137" s="21"/>
      <c r="L137" s="21"/>
    </row>
    <row r="138" spans="1:12" ht="29" x14ac:dyDescent="0.35">
      <c r="A138" s="21" t="s">
        <v>1189</v>
      </c>
      <c r="B138" s="21" t="s">
        <v>1196</v>
      </c>
      <c r="C138" s="21" t="s">
        <v>1197</v>
      </c>
      <c r="D138" s="21"/>
      <c r="E138" s="21" t="s">
        <v>996</v>
      </c>
      <c r="F138" s="21"/>
      <c r="G138" s="21"/>
      <c r="H138" s="21"/>
      <c r="I138" s="21"/>
      <c r="J138" s="21"/>
      <c r="K138" s="21"/>
      <c r="L138" s="21"/>
    </row>
    <row r="139" spans="1:12" ht="29" x14ac:dyDescent="0.35">
      <c r="A139" s="21" t="s">
        <v>1189</v>
      </c>
      <c r="B139" s="21" t="s">
        <v>1198</v>
      </c>
      <c r="C139" s="21" t="s">
        <v>1199</v>
      </c>
      <c r="D139" s="21"/>
      <c r="E139" s="21" t="s">
        <v>996</v>
      </c>
      <c r="F139" s="21"/>
      <c r="G139" s="21"/>
      <c r="H139" s="21"/>
      <c r="I139" s="21"/>
      <c r="J139" s="21"/>
      <c r="K139" s="21"/>
      <c r="L139" s="21"/>
    </row>
    <row r="140" spans="1:12" ht="29" x14ac:dyDescent="0.35">
      <c r="A140" s="21" t="s">
        <v>1189</v>
      </c>
      <c r="B140" s="21" t="s">
        <v>1200</v>
      </c>
      <c r="C140" s="21" t="s">
        <v>1201</v>
      </c>
      <c r="D140" s="21"/>
      <c r="E140" s="21" t="s">
        <v>996</v>
      </c>
      <c r="F140" s="21"/>
      <c r="G140" s="21"/>
      <c r="H140" s="21"/>
      <c r="I140" s="21"/>
      <c r="J140" s="21"/>
      <c r="K140" s="21"/>
      <c r="L140" s="21"/>
    </row>
    <row r="141" spans="1:12" ht="29" x14ac:dyDescent="0.35">
      <c r="A141" s="21" t="s">
        <v>1202</v>
      </c>
      <c r="B141" s="21" t="s">
        <v>1203</v>
      </c>
      <c r="C141" s="21" t="s">
        <v>1204</v>
      </c>
      <c r="D141" s="21"/>
      <c r="E141" s="21" t="s">
        <v>996</v>
      </c>
      <c r="F141" s="21"/>
      <c r="G141" s="21"/>
      <c r="H141" s="21"/>
      <c r="I141" s="21"/>
      <c r="J141" s="21"/>
      <c r="K141" s="21"/>
      <c r="L141" s="21"/>
    </row>
    <row r="142" spans="1:12" ht="29" x14ac:dyDescent="0.35">
      <c r="A142" s="21" t="s">
        <v>1202</v>
      </c>
      <c r="B142" s="21" t="s">
        <v>1205</v>
      </c>
      <c r="C142" s="21" t="s">
        <v>1206</v>
      </c>
      <c r="D142" s="21"/>
      <c r="E142" s="21" t="s">
        <v>996</v>
      </c>
      <c r="F142" s="21"/>
      <c r="G142" s="21"/>
      <c r="H142" s="21"/>
      <c r="I142" s="21"/>
      <c r="J142" s="21"/>
      <c r="K142" s="21"/>
      <c r="L142" s="21"/>
    </row>
    <row r="143" spans="1:12" ht="29" x14ac:dyDescent="0.35">
      <c r="A143" s="21" t="s">
        <v>1202</v>
      </c>
      <c r="B143" s="21" t="s">
        <v>1207</v>
      </c>
      <c r="C143" s="21" t="s">
        <v>1208</v>
      </c>
      <c r="D143" s="21"/>
      <c r="E143" s="21" t="s">
        <v>996</v>
      </c>
      <c r="F143" s="21"/>
      <c r="G143" s="21"/>
      <c r="H143" s="21"/>
      <c r="I143" s="21"/>
      <c r="J143" s="21"/>
      <c r="K143" s="21"/>
      <c r="L143" s="21"/>
    </row>
    <row r="144" spans="1:12" ht="29" x14ac:dyDescent="0.35">
      <c r="A144" s="21" t="s">
        <v>1202</v>
      </c>
      <c r="B144" s="21" t="s">
        <v>1209</v>
      </c>
      <c r="C144" s="21" t="s">
        <v>1210</v>
      </c>
      <c r="D144" s="21"/>
      <c r="E144" s="21" t="s">
        <v>996</v>
      </c>
      <c r="F144" s="21"/>
      <c r="G144" s="21"/>
      <c r="H144" s="21"/>
      <c r="I144" s="21"/>
      <c r="J144" s="21"/>
      <c r="K144" s="21"/>
      <c r="L144" s="21"/>
    </row>
    <row r="145" spans="1:12" ht="29" x14ac:dyDescent="0.35">
      <c r="A145" s="21" t="s">
        <v>1202</v>
      </c>
      <c r="B145" s="21" t="s">
        <v>1211</v>
      </c>
      <c r="C145" s="21" t="s">
        <v>1212</v>
      </c>
      <c r="D145" s="21"/>
      <c r="E145" s="21" t="s">
        <v>996</v>
      </c>
      <c r="F145" s="21"/>
      <c r="G145" s="21"/>
      <c r="H145" s="21"/>
      <c r="I145" s="21"/>
      <c r="J145" s="21"/>
      <c r="K145" s="21"/>
      <c r="L145" s="21"/>
    </row>
    <row r="146" spans="1:12" ht="29" x14ac:dyDescent="0.35">
      <c r="A146" s="21" t="s">
        <v>1202</v>
      </c>
      <c r="B146" s="21" t="s">
        <v>1213</v>
      </c>
      <c r="C146" s="21" t="s">
        <v>1214</v>
      </c>
      <c r="D146" s="21"/>
      <c r="E146" s="21" t="s">
        <v>996</v>
      </c>
      <c r="F146" s="21"/>
      <c r="G146" s="21"/>
      <c r="H146" s="21"/>
      <c r="I146" s="21"/>
      <c r="J146" s="21"/>
      <c r="K146" s="21"/>
      <c r="L146" s="21"/>
    </row>
    <row r="147" spans="1:12" ht="29" x14ac:dyDescent="0.35">
      <c r="A147" s="21" t="s">
        <v>1215</v>
      </c>
      <c r="B147" s="21" t="s">
        <v>1216</v>
      </c>
      <c r="C147" s="21" t="s">
        <v>1217</v>
      </c>
      <c r="D147" s="21"/>
      <c r="E147" s="21" t="s">
        <v>996</v>
      </c>
      <c r="F147" s="21"/>
      <c r="G147" s="21"/>
      <c r="H147" s="21"/>
      <c r="I147" s="21"/>
      <c r="J147" s="21"/>
      <c r="K147" s="21"/>
      <c r="L147" s="21"/>
    </row>
    <row r="148" spans="1:12" ht="29" x14ac:dyDescent="0.35">
      <c r="A148" s="21" t="s">
        <v>1215</v>
      </c>
      <c r="B148" s="21" t="s">
        <v>1218</v>
      </c>
      <c r="C148" s="21" t="s">
        <v>1219</v>
      </c>
      <c r="D148" s="21"/>
      <c r="E148" s="21" t="s">
        <v>996</v>
      </c>
      <c r="F148" s="21"/>
      <c r="G148" s="21"/>
      <c r="H148" s="21"/>
      <c r="I148" s="21"/>
      <c r="J148" s="21"/>
      <c r="K148" s="21"/>
      <c r="L148" s="21"/>
    </row>
    <row r="149" spans="1:12" ht="29" x14ac:dyDescent="0.35">
      <c r="A149" s="21" t="s">
        <v>1215</v>
      </c>
      <c r="B149" s="21" t="s">
        <v>1220</v>
      </c>
      <c r="C149" s="21" t="s">
        <v>1221</v>
      </c>
      <c r="D149" s="21"/>
      <c r="E149" s="21" t="s">
        <v>996</v>
      </c>
      <c r="F149" s="21"/>
      <c r="G149" s="21"/>
      <c r="H149" s="21"/>
      <c r="I149" s="21"/>
      <c r="J149" s="21"/>
      <c r="K149" s="21"/>
      <c r="L149" s="21"/>
    </row>
    <row r="150" spans="1:12" ht="29" x14ac:dyDescent="0.35">
      <c r="A150" s="21" t="s">
        <v>1215</v>
      </c>
      <c r="B150" s="21" t="s">
        <v>1222</v>
      </c>
      <c r="C150" s="21" t="s">
        <v>1223</v>
      </c>
      <c r="D150" s="21"/>
      <c r="E150" s="21" t="s">
        <v>996</v>
      </c>
      <c r="F150" s="21"/>
      <c r="G150" s="21"/>
      <c r="H150" s="21"/>
      <c r="I150" s="21"/>
      <c r="J150" s="21"/>
      <c r="K150" s="21"/>
      <c r="L150" s="21"/>
    </row>
    <row r="151" spans="1:12" ht="24" customHeight="1" x14ac:dyDescent="0.35">
      <c r="A151" s="133" t="s">
        <v>1215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</row>
    <row r="152" spans="1:12" x14ac:dyDescent="0.35">
      <c r="A152" s="21" t="s">
        <v>1215</v>
      </c>
      <c r="B152" s="21" t="s">
        <v>1224</v>
      </c>
      <c r="C152" s="21" t="s">
        <v>1225</v>
      </c>
      <c r="D152" s="21"/>
      <c r="E152" s="21" t="s">
        <v>996</v>
      </c>
      <c r="F152" s="21"/>
      <c r="G152" s="21"/>
      <c r="H152" s="21"/>
      <c r="I152" s="21"/>
      <c r="J152" s="21"/>
      <c r="K152" s="21"/>
      <c r="L152" s="21"/>
    </row>
    <row r="158" spans="1:12" x14ac:dyDescent="0.35">
      <c r="A158" s="98" t="s">
        <v>1226</v>
      </c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</row>
    <row r="160" spans="1:12" ht="29" x14ac:dyDescent="0.35">
      <c r="A160" s="100" t="s">
        <v>1227</v>
      </c>
      <c r="B160" s="100" t="s">
        <v>1228</v>
      </c>
      <c r="C160" s="100" t="s">
        <v>1229</v>
      </c>
      <c r="D160" s="100" t="s">
        <v>389</v>
      </c>
      <c r="E160" s="100" t="s">
        <v>870</v>
      </c>
      <c r="F160" s="100" t="s">
        <v>390</v>
      </c>
      <c r="G160" s="100" t="s">
        <v>990</v>
      </c>
      <c r="H160" s="100" t="s">
        <v>1230</v>
      </c>
      <c r="I160" s="100"/>
      <c r="J160" s="100"/>
      <c r="K160" s="100"/>
      <c r="L160" s="100"/>
    </row>
    <row r="161" spans="1:8" x14ac:dyDescent="0.35">
      <c r="A161" s="21" t="s">
        <v>1231</v>
      </c>
      <c r="B161" s="21"/>
      <c r="C161" s="21"/>
      <c r="D161" s="21"/>
      <c r="E161" s="21"/>
      <c r="F161" s="21"/>
      <c r="G161" s="21"/>
      <c r="H161" s="21"/>
    </row>
    <row r="162" spans="1:8" x14ac:dyDescent="0.35">
      <c r="A162" s="21" t="s">
        <v>1232</v>
      </c>
      <c r="B162" s="21"/>
      <c r="C162" s="21"/>
      <c r="D162" s="21"/>
      <c r="E162" s="21"/>
      <c r="F162" s="21"/>
      <c r="G162" s="21"/>
      <c r="H162" s="21"/>
    </row>
    <row r="163" spans="1:8" x14ac:dyDescent="0.35">
      <c r="A163" s="21" t="s">
        <v>509</v>
      </c>
      <c r="B163" s="21"/>
      <c r="C163" s="21"/>
      <c r="D163" s="21"/>
      <c r="E163" s="21"/>
      <c r="F163" s="21"/>
      <c r="G163" s="21"/>
      <c r="H163" s="21"/>
    </row>
    <row r="164" spans="1:8" x14ac:dyDescent="0.35">
      <c r="A164" s="21" t="s">
        <v>1233</v>
      </c>
      <c r="B164" s="21"/>
      <c r="C164" s="21"/>
      <c r="D164" s="21"/>
      <c r="E164" s="21"/>
      <c r="F164" s="21"/>
      <c r="G164" s="21"/>
      <c r="H164" s="21"/>
    </row>
    <row r="165" spans="1:8" x14ac:dyDescent="0.35">
      <c r="A165" s="21" t="s">
        <v>1234</v>
      </c>
      <c r="B165" s="21"/>
      <c r="C165" s="21"/>
      <c r="D165" s="21"/>
      <c r="E165" s="21"/>
      <c r="F165" s="21"/>
      <c r="G165" s="21"/>
      <c r="H165" s="21"/>
    </row>
    <row r="166" spans="1:8" x14ac:dyDescent="0.35">
      <c r="A166" s="21" t="s">
        <v>1235</v>
      </c>
      <c r="B166" s="21"/>
      <c r="C166" s="21"/>
      <c r="D166" s="21"/>
      <c r="E166" s="21"/>
      <c r="F166" s="21"/>
      <c r="G166" s="21"/>
      <c r="H166" s="21"/>
    </row>
    <row r="167" spans="1:8" x14ac:dyDescent="0.35">
      <c r="A167" s="21" t="s">
        <v>1236</v>
      </c>
      <c r="B167" s="21"/>
      <c r="C167" s="21"/>
      <c r="D167" s="21"/>
      <c r="E167" s="21"/>
      <c r="F167" s="21"/>
      <c r="G167" s="21"/>
      <c r="H167" s="21"/>
    </row>
    <row r="168" spans="1:8" x14ac:dyDescent="0.35">
      <c r="A168" s="21" t="s">
        <v>1237</v>
      </c>
      <c r="B168" s="21"/>
      <c r="C168" s="21"/>
      <c r="D168" s="21"/>
      <c r="E168" s="21"/>
      <c r="F168" s="21"/>
      <c r="G168" s="21"/>
      <c r="H168" s="21"/>
    </row>
    <row r="169" spans="1:8" x14ac:dyDescent="0.35">
      <c r="A169" s="21" t="s">
        <v>1238</v>
      </c>
      <c r="B169" s="21"/>
      <c r="C169" s="21"/>
      <c r="D169" s="21"/>
      <c r="E169" s="21"/>
      <c r="F169" s="21"/>
      <c r="G169" s="21"/>
      <c r="H169" s="21"/>
    </row>
    <row r="170" spans="1:8" x14ac:dyDescent="0.35">
      <c r="A170" s="21" t="s">
        <v>1239</v>
      </c>
      <c r="B170" s="21"/>
      <c r="C170" s="21"/>
      <c r="D170" s="21"/>
      <c r="E170" s="21"/>
      <c r="F170" s="21"/>
      <c r="G170" s="21"/>
      <c r="H170" s="21"/>
    </row>
    <row r="171" spans="1:8" x14ac:dyDescent="0.35">
      <c r="A171" s="21" t="s">
        <v>1240</v>
      </c>
      <c r="B171" s="21"/>
      <c r="C171" s="21"/>
      <c r="D171" s="21"/>
      <c r="E171" s="21"/>
      <c r="F171" s="21"/>
      <c r="G171" s="21"/>
      <c r="H171" s="21"/>
    </row>
    <row r="172" spans="1:8" x14ac:dyDescent="0.35">
      <c r="A172" s="21" t="s">
        <v>1241</v>
      </c>
      <c r="B172" s="21"/>
      <c r="C172" s="21"/>
      <c r="D172" s="21"/>
      <c r="E172" s="21"/>
      <c r="F172" s="21"/>
      <c r="G172" s="21"/>
      <c r="H172" s="21"/>
    </row>
    <row r="173" spans="1:8" x14ac:dyDescent="0.35">
      <c r="A173" s="21" t="s">
        <v>1242</v>
      </c>
      <c r="B173" s="21"/>
      <c r="C173" s="21"/>
      <c r="D173" s="21"/>
      <c r="E173" s="21"/>
      <c r="F173" s="21"/>
      <c r="G173" s="21"/>
      <c r="H173" s="21"/>
    </row>
    <row r="174" spans="1:8" x14ac:dyDescent="0.35">
      <c r="A174" s="21" t="s">
        <v>1243</v>
      </c>
      <c r="B174" s="21"/>
      <c r="C174" s="21"/>
      <c r="D174" s="21"/>
      <c r="E174" s="21"/>
      <c r="F174" s="21"/>
      <c r="G174" s="21"/>
      <c r="H174" s="21"/>
    </row>
    <row r="175" spans="1:8" x14ac:dyDescent="0.35">
      <c r="A175" s="21" t="s">
        <v>1244</v>
      </c>
      <c r="B175" s="21"/>
      <c r="C175" s="21"/>
      <c r="D175" s="21"/>
      <c r="E175" s="21"/>
      <c r="F175" s="21"/>
      <c r="G175" s="21"/>
      <c r="H175" s="21"/>
    </row>
    <row r="176" spans="1:8" x14ac:dyDescent="0.35">
      <c r="A176" s="21" t="s">
        <v>1245</v>
      </c>
      <c r="B176" s="21"/>
      <c r="C176" s="21"/>
      <c r="D176" s="21"/>
      <c r="E176" s="21"/>
      <c r="F176" s="21"/>
      <c r="G176" s="21"/>
      <c r="H176" s="21"/>
    </row>
    <row r="177" spans="1:12" x14ac:dyDescent="0.35">
      <c r="A177" s="21" t="s">
        <v>1246</v>
      </c>
      <c r="B177" s="21"/>
      <c r="C177" s="21"/>
      <c r="D177" s="21"/>
      <c r="E177" s="21"/>
      <c r="F177" s="21"/>
      <c r="G177" s="21"/>
      <c r="H177" s="21"/>
    </row>
    <row r="178" spans="1:12" x14ac:dyDescent="0.35">
      <c r="A178" s="21" t="s">
        <v>1247</v>
      </c>
      <c r="B178" s="21"/>
      <c r="C178" s="21"/>
      <c r="D178" s="21"/>
      <c r="E178" s="21"/>
      <c r="F178" s="21"/>
      <c r="G178" s="21"/>
      <c r="H178" s="21"/>
    </row>
    <row r="179" spans="1:12" ht="24" customHeight="1" x14ac:dyDescent="0.35">
      <c r="A179" s="133" t="s">
        <v>1248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</row>
    <row r="180" spans="1:12" x14ac:dyDescent="0.35">
      <c r="A180" s="21" t="s">
        <v>1249</v>
      </c>
      <c r="B180" s="21"/>
      <c r="C180" s="21"/>
      <c r="D180" s="21"/>
      <c r="E180" s="21"/>
      <c r="F180" s="21"/>
      <c r="G180" s="21"/>
      <c r="H180" s="21"/>
    </row>
    <row r="186" spans="1:12" x14ac:dyDescent="0.35">
      <c r="A186" s="98" t="s">
        <v>1250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</row>
    <row r="188" spans="1:12" ht="29" x14ac:dyDescent="0.35">
      <c r="A188" s="100" t="s">
        <v>1251</v>
      </c>
      <c r="B188" s="100" t="s">
        <v>1252</v>
      </c>
      <c r="C188" s="100" t="s">
        <v>1253</v>
      </c>
      <c r="D188" s="100" t="s">
        <v>1254</v>
      </c>
      <c r="E188" s="100" t="s">
        <v>870</v>
      </c>
      <c r="F188" s="100" t="s">
        <v>1255</v>
      </c>
      <c r="G188" s="100" t="s">
        <v>338</v>
      </c>
    </row>
    <row r="189" spans="1:12" x14ac:dyDescent="0.35">
      <c r="A189" s="21" t="s">
        <v>428</v>
      </c>
      <c r="B189" s="21"/>
      <c r="C189" s="21"/>
      <c r="D189" s="21"/>
      <c r="E189" s="21"/>
      <c r="F189" s="21"/>
      <c r="G189" s="21"/>
    </row>
    <row r="190" spans="1:12" x14ac:dyDescent="0.35">
      <c r="A190" s="21" t="s">
        <v>582</v>
      </c>
      <c r="B190" s="21"/>
      <c r="C190" s="21"/>
      <c r="D190" s="21"/>
      <c r="E190" s="21"/>
      <c r="F190" s="21"/>
      <c r="G190" s="21"/>
    </row>
    <row r="191" spans="1:12" x14ac:dyDescent="0.35">
      <c r="A191" s="21" t="s">
        <v>435</v>
      </c>
      <c r="B191" s="21"/>
      <c r="C191" s="21"/>
      <c r="D191" s="21"/>
      <c r="E191" s="21"/>
      <c r="F191" s="21"/>
      <c r="G191" s="21"/>
    </row>
    <row r="192" spans="1:12" x14ac:dyDescent="0.35">
      <c r="A192" s="21" t="s">
        <v>93</v>
      </c>
      <c r="B192" s="21"/>
      <c r="C192" s="21"/>
      <c r="D192" s="21"/>
      <c r="E192" s="21"/>
      <c r="F192" s="21"/>
      <c r="G192" s="21"/>
    </row>
    <row r="193" spans="1:12" x14ac:dyDescent="0.35">
      <c r="A193" s="21" t="s">
        <v>431</v>
      </c>
      <c r="B193" s="21"/>
      <c r="C193" s="21"/>
      <c r="D193" s="21"/>
      <c r="E193" s="21"/>
      <c r="F193" s="21"/>
      <c r="G193" s="21"/>
    </row>
    <row r="194" spans="1:12" x14ac:dyDescent="0.35">
      <c r="A194" s="21" t="s">
        <v>97</v>
      </c>
      <c r="B194" s="21"/>
      <c r="C194" s="21"/>
      <c r="D194" s="21"/>
      <c r="E194" s="21"/>
      <c r="F194" s="21"/>
      <c r="G194" s="21"/>
    </row>
    <row r="195" spans="1:12" x14ac:dyDescent="0.35">
      <c r="A195" s="21" t="s">
        <v>100</v>
      </c>
      <c r="B195" s="21"/>
      <c r="C195" s="21"/>
      <c r="D195" s="21"/>
      <c r="E195" s="21"/>
      <c r="F195" s="21"/>
      <c r="G195" s="21"/>
    </row>
    <row r="196" spans="1:12" x14ac:dyDescent="0.35">
      <c r="A196" s="21" t="s">
        <v>1176</v>
      </c>
      <c r="B196" s="21"/>
      <c r="C196" s="21"/>
      <c r="D196" s="21"/>
      <c r="E196" s="21"/>
      <c r="F196" s="21"/>
      <c r="G196" s="21"/>
    </row>
    <row r="197" spans="1:12" x14ac:dyDescent="0.35">
      <c r="A197" s="21" t="s">
        <v>160</v>
      </c>
      <c r="B197" s="21"/>
      <c r="C197" s="21"/>
      <c r="D197" s="21"/>
      <c r="E197" s="21"/>
      <c r="F197" s="21"/>
      <c r="G197" s="21"/>
    </row>
    <row r="198" spans="1:12" x14ac:dyDescent="0.35">
      <c r="A198" s="21" t="s">
        <v>1256</v>
      </c>
      <c r="B198" s="21"/>
      <c r="C198" s="21"/>
      <c r="D198" s="21"/>
      <c r="E198" s="21"/>
      <c r="F198" s="21"/>
      <c r="G198" s="21"/>
    </row>
    <row r="199" spans="1:12" x14ac:dyDescent="0.35">
      <c r="A199" s="21" t="s">
        <v>1257</v>
      </c>
      <c r="B199" s="21"/>
      <c r="C199" s="21"/>
      <c r="D199" s="21"/>
      <c r="E199" s="21"/>
      <c r="F199" s="21"/>
      <c r="G199" s="21"/>
    </row>
    <row r="200" spans="1:12" x14ac:dyDescent="0.35">
      <c r="A200" s="21" t="s">
        <v>1258</v>
      </c>
      <c r="B200" s="21"/>
      <c r="C200" s="21"/>
      <c r="D200" s="21"/>
      <c r="E200" s="21"/>
      <c r="F200" s="21"/>
      <c r="G200" s="21"/>
    </row>
    <row r="201" spans="1:12" x14ac:dyDescent="0.35">
      <c r="A201" s="21" t="s">
        <v>116</v>
      </c>
      <c r="B201" s="21"/>
      <c r="C201" s="21"/>
      <c r="D201" s="21"/>
      <c r="E201" s="21"/>
      <c r="F201" s="21"/>
      <c r="G201" s="21"/>
    </row>
    <row r="202" spans="1:12" x14ac:dyDescent="0.35">
      <c r="A202" s="21" t="s">
        <v>129</v>
      </c>
      <c r="B202" s="21"/>
      <c r="C202" s="21"/>
      <c r="D202" s="21"/>
      <c r="E202" s="21"/>
      <c r="F202" s="21"/>
      <c r="G202" s="21"/>
    </row>
    <row r="203" spans="1:12" x14ac:dyDescent="0.35">
      <c r="A203" s="21" t="s">
        <v>437</v>
      </c>
      <c r="B203" s="21"/>
      <c r="C203" s="21"/>
      <c r="D203" s="21"/>
      <c r="E203" s="21"/>
      <c r="F203" s="21"/>
      <c r="G203" s="21"/>
    </row>
    <row r="204" spans="1:12" x14ac:dyDescent="0.35">
      <c r="A204" s="21" t="s">
        <v>125</v>
      </c>
      <c r="B204" s="21"/>
      <c r="C204" s="21"/>
      <c r="D204" s="21"/>
      <c r="E204" s="21"/>
      <c r="F204" s="21"/>
      <c r="G204" s="21"/>
    </row>
    <row r="205" spans="1:12" x14ac:dyDescent="0.35">
      <c r="A205" s="21" t="s">
        <v>442</v>
      </c>
      <c r="B205" s="21"/>
      <c r="C205" s="21"/>
      <c r="D205" s="21"/>
      <c r="E205" s="21"/>
      <c r="F205" s="21"/>
      <c r="G205" s="21"/>
    </row>
    <row r="206" spans="1:12" x14ac:dyDescent="0.35">
      <c r="A206" s="21" t="s">
        <v>1259</v>
      </c>
      <c r="B206" s="21"/>
      <c r="C206" s="21"/>
      <c r="D206" s="21"/>
      <c r="E206" s="21"/>
      <c r="F206" s="21"/>
      <c r="G206" s="21"/>
    </row>
    <row r="207" spans="1:12" ht="24" customHeight="1" x14ac:dyDescent="0.35">
      <c r="A207" s="133" t="s">
        <v>1260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</row>
    <row r="208" spans="1:12" x14ac:dyDescent="0.35">
      <c r="A208" s="21" t="s">
        <v>439</v>
      </c>
      <c r="B208" s="21"/>
      <c r="C208" s="21"/>
      <c r="D208" s="21"/>
      <c r="E208" s="21"/>
      <c r="F208" s="21"/>
      <c r="G208" s="21"/>
    </row>
    <row r="214" spans="1:12" x14ac:dyDescent="0.35">
      <c r="A214" s="98" t="s">
        <v>1261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</row>
    <row r="216" spans="1:12" x14ac:dyDescent="0.35">
      <c r="A216" s="100" t="s">
        <v>1262</v>
      </c>
      <c r="B216" s="100" t="s">
        <v>1263</v>
      </c>
      <c r="C216" s="100" t="s">
        <v>292</v>
      </c>
      <c r="D216" s="100" t="s">
        <v>371</v>
      </c>
      <c r="E216" s="100" t="s">
        <v>360</v>
      </c>
      <c r="F216" s="100" t="s">
        <v>1264</v>
      </c>
      <c r="G216" s="100" t="s">
        <v>990</v>
      </c>
      <c r="H216" s="100" t="s">
        <v>338</v>
      </c>
    </row>
    <row r="217" spans="1:12" x14ac:dyDescent="0.35">
      <c r="A217" t="s">
        <v>1265</v>
      </c>
    </row>
    <row r="218" spans="1:12" x14ac:dyDescent="0.35">
      <c r="A218" t="s">
        <v>1266</v>
      </c>
    </row>
    <row r="219" spans="1:12" x14ac:dyDescent="0.35">
      <c r="A219" t="s">
        <v>1267</v>
      </c>
    </row>
    <row r="220" spans="1:12" x14ac:dyDescent="0.35">
      <c r="A220" t="s">
        <v>1268</v>
      </c>
    </row>
    <row r="221" spans="1:12" x14ac:dyDescent="0.35">
      <c r="A221" t="s">
        <v>1269</v>
      </c>
    </row>
    <row r="222" spans="1:12" x14ac:dyDescent="0.35">
      <c r="A222" t="s">
        <v>1270</v>
      </c>
    </row>
    <row r="223" spans="1:12" ht="24" customHeight="1" x14ac:dyDescent="0.35">
      <c r="A223" s="129" t="s">
        <v>1271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</row>
    <row r="224" spans="1:12" x14ac:dyDescent="0.35">
      <c r="A224" t="s">
        <v>1272</v>
      </c>
    </row>
    <row r="230" spans="1:12" x14ac:dyDescent="0.35">
      <c r="A230" s="98" t="s">
        <v>1273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2" spans="1:12" ht="29" x14ac:dyDescent="0.35">
      <c r="A232" s="100" t="s">
        <v>1229</v>
      </c>
      <c r="B232" s="100" t="s">
        <v>1274</v>
      </c>
      <c r="C232" s="100" t="s">
        <v>390</v>
      </c>
      <c r="D232" s="100" t="s">
        <v>351</v>
      </c>
      <c r="E232" s="100" t="s">
        <v>352</v>
      </c>
      <c r="F232" s="100" t="s">
        <v>292</v>
      </c>
      <c r="G232" s="100" t="s">
        <v>353</v>
      </c>
      <c r="H232" s="100" t="s">
        <v>338</v>
      </c>
    </row>
    <row r="240" spans="1:12" x14ac:dyDescent="0.3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</row>
    <row r="241" spans="1:12" x14ac:dyDescent="0.3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</row>
    <row r="247" spans="1:12" ht="29" x14ac:dyDescent="0.35">
      <c r="A247" s="106" t="s">
        <v>1275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3"/>
    </row>
    <row r="248" spans="1:12" ht="43.5" x14ac:dyDescent="0.35">
      <c r="A248" s="111" t="s">
        <v>1276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3"/>
    </row>
    <row r="249" spans="1:12" ht="29" x14ac:dyDescent="0.35">
      <c r="A249" s="110" t="s">
        <v>1277</v>
      </c>
      <c r="B249" s="110" t="s">
        <v>1278</v>
      </c>
      <c r="C249" s="110" t="s">
        <v>81</v>
      </c>
      <c r="D249" s="110" t="s">
        <v>615</v>
      </c>
      <c r="E249" s="110" t="s">
        <v>616</v>
      </c>
      <c r="F249" s="110" t="s">
        <v>990</v>
      </c>
      <c r="G249" s="110" t="s">
        <v>1279</v>
      </c>
      <c r="H249" s="110" t="s">
        <v>390</v>
      </c>
      <c r="I249" s="110" t="s">
        <v>351</v>
      </c>
      <c r="J249" s="110" t="s">
        <v>292</v>
      </c>
      <c r="K249" s="110" t="s">
        <v>353</v>
      </c>
      <c r="L249" s="110" t="s">
        <v>619</v>
      </c>
    </row>
    <row r="250" spans="1:12" x14ac:dyDescent="0.35">
      <c r="A250" s="105" t="s">
        <v>1280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x14ac:dyDescent="0.35">
      <c r="A251" s="105" t="s">
        <v>1281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x14ac:dyDescent="0.35">
      <c r="A252" s="105" t="s">
        <v>1282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29" x14ac:dyDescent="0.35">
      <c r="A253" s="105" t="s">
        <v>1283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29" x14ac:dyDescent="0.35">
      <c r="A254" s="105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29" x14ac:dyDescent="0.35">
      <c r="A255" s="105" t="s">
        <v>1285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29" x14ac:dyDescent="0.35">
      <c r="A256" s="105" t="s">
        <v>1286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29" x14ac:dyDescent="0.35">
      <c r="A257" s="105" t="s">
        <v>1287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29" x14ac:dyDescent="0.35">
      <c r="A258" s="105" t="s">
        <v>1288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29" x14ac:dyDescent="0.35">
      <c r="A259" s="105" t="s">
        <v>1289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29" x14ac:dyDescent="0.35">
      <c r="A260" s="105" t="s">
        <v>1290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29" x14ac:dyDescent="0.35">
      <c r="A261" s="105" t="s">
        <v>1291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29" x14ac:dyDescent="0.35">
      <c r="A262" s="105" t="s">
        <v>1292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43.5" x14ac:dyDescent="0.35">
      <c r="A263" s="105" t="s">
        <v>1293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29" x14ac:dyDescent="0.35">
      <c r="A264" s="105" t="s">
        <v>1294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x14ac:dyDescent="0.35">
      <c r="A265" s="105" t="s">
        <v>1295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</sheetData>
  <mergeCells count="9">
    <mergeCell ref="A1:L1"/>
    <mergeCell ref="A17:L17"/>
    <mergeCell ref="A241:L241"/>
    <mergeCell ref="A223:L223"/>
    <mergeCell ref="A35:L35"/>
    <mergeCell ref="A240:L240"/>
    <mergeCell ref="A179:L179"/>
    <mergeCell ref="A151:L151"/>
    <mergeCell ref="A207:L207"/>
  </mergeCells>
  <conditionalFormatting sqref="B12">
    <cfRule type="expression" dxfId="251" priority="12">
      <formula>B12="Green"</formula>
    </cfRule>
    <cfRule type="expression" dxfId="250" priority="13">
      <formula>B12="Amber"</formula>
    </cfRule>
    <cfRule type="expression" dxfId="249" priority="14">
      <formula>B12="Red"</formula>
    </cfRule>
  </conditionalFormatting>
  <conditionalFormatting sqref="B182:B201">
    <cfRule type="expression" dxfId="248" priority="3">
      <formula>B182="Pass"</formula>
    </cfRule>
  </conditionalFormatting>
  <conditionalFormatting sqref="C20:C43">
    <cfRule type="expression" dxfId="247" priority="8">
      <formula>C20="Green"</formula>
    </cfRule>
    <cfRule type="expression" dxfId="246" priority="9">
      <formula>C20="Amber"</formula>
    </cfRule>
    <cfRule type="expression" dxfId="245" priority="10">
      <formula>C20="Red"</formula>
    </cfRule>
    <cfRule type="expression" dxfId="244" priority="11">
      <formula>C20="N/A"</formula>
    </cfRule>
  </conditionalFormatting>
  <conditionalFormatting sqref="C20:C45">
    <cfRule type="expression" dxfId="243" priority="4">
      <formula>ISNUMBER(SEARCH("Green",C20))</formula>
    </cfRule>
    <cfRule type="expression" dxfId="242" priority="5">
      <formula>ISNUMBER(SEARCH("Amber",C20))</formula>
    </cfRule>
    <cfRule type="expression" dxfId="241" priority="6">
      <formula>ISNUMBER(SEARCH("Red",C20))</formula>
    </cfRule>
    <cfRule type="expression" dxfId="240" priority="7">
      <formula>C20="N/A"</formula>
    </cfRule>
  </conditionalFormatting>
  <conditionalFormatting sqref="E154:E173">
    <cfRule type="expression" dxfId="239" priority="2">
      <formula>E154="Pass"</formula>
    </cfRule>
  </conditionalFormatting>
  <conditionalFormatting sqref="H38:H145">
    <cfRule type="expression" dxfId="238" priority="1">
      <formula>H38="Pass"</formula>
    </cfRule>
  </conditionalFormatting>
  <dataValidations count="8">
    <dataValidation type="list" sqref="H38:H145 E154:E173" xr:uid="{00000000-0002-0000-2E00-000000000000}">
      <formula1>"Pass,Developing,Fail,N/A"</formula1>
    </dataValidation>
    <dataValidation type="list" sqref="F38:F145" xr:uid="{00000000-0002-0000-2E00-000001000000}">
      <formula1>"1,2,3,4,5"</formula1>
    </dataValidation>
    <dataValidation type="list" sqref="B182:B201" xr:uid="{00000000-0002-0000-2E00-000003000000}">
      <formula1>"Complete,In Progress,Not Started,N/A"</formula1>
    </dataValidation>
    <dataValidation type="list" allowBlank="1" sqref="C243:E258" xr:uid="{00000000-0002-0000-2E00-000004000000}">
      <formula1>"Yes,No,N/A"</formula1>
    </dataValidation>
    <dataValidation type="list" allowBlank="1" sqref="C20:C45" xr:uid="{00000000-0002-0000-2E00-000005000000}">
      <formula1>"Green - Received,Amber - Awaiting,Red - Missing,N/A"</formula1>
    </dataValidation>
    <dataValidation type="list" sqref="C20:C43" xr:uid="{00000000-0002-0000-2E00-000006000000}">
      <formula1>"Green,Amber,Red,N/A"</formula1>
    </dataValidation>
    <dataValidation type="list" sqref="F42:F230" xr:uid="{00000000-0002-0000-2E00-000007000000}">
      <formula1>"1,2,3,4,5,N/A"</formula1>
    </dataValidation>
    <dataValidation type="list" sqref="H42:H230 H235:H255" xr:uid="{00000000-0002-0000-2E00-000008000000}">
      <formula1>"Pass,Fail,Not Assessed,N/A"</formula1>
    </dataValidation>
  </dataValidation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265"/>
  <sheetViews>
    <sheetView workbookViewId="0"/>
  </sheetViews>
  <sheetFormatPr defaultRowHeight="14.5" x14ac:dyDescent="0.35"/>
  <cols>
    <col min="1" max="1" width="42" customWidth="1"/>
    <col min="2" max="2" width="36" customWidth="1"/>
    <col min="3" max="3" width="52" customWidth="1"/>
    <col min="4" max="4" width="34" customWidth="1"/>
    <col min="5" max="5" width="30" customWidth="1"/>
    <col min="6" max="6" width="12" customWidth="1"/>
    <col min="7" max="7" width="16" customWidth="1"/>
    <col min="8" max="8" width="14" customWidth="1"/>
    <col min="9" max="9" width="28" customWidth="1"/>
    <col min="10" max="12" width="14" customWidth="1"/>
  </cols>
  <sheetData>
    <row r="1" spans="1:12" ht="30" customHeight="1" x14ac:dyDescent="0.35">
      <c r="A1" s="134" t="s">
        <v>1303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x14ac:dyDescent="0.35">
      <c r="A2" t="s">
        <v>928</v>
      </c>
      <c r="D2" t="s">
        <v>929</v>
      </c>
    </row>
    <row r="4" spans="1:12" x14ac:dyDescent="0.35">
      <c r="A4" s="101" t="s">
        <v>882</v>
      </c>
      <c r="B4" s="101" t="str">
        <f>IF('Induction Employee Register'!A12="","",'Induction Employee Register'!A12)</f>
        <v>SW009</v>
      </c>
      <c r="D4" t="s">
        <v>930</v>
      </c>
      <c r="E4" t="s">
        <v>931</v>
      </c>
      <c r="F4" t="s">
        <v>932</v>
      </c>
      <c r="G4" t="s">
        <v>933</v>
      </c>
      <c r="H4" t="s">
        <v>58</v>
      </c>
      <c r="I4" t="s">
        <v>934</v>
      </c>
      <c r="J4" t="s">
        <v>54</v>
      </c>
      <c r="K4" t="s">
        <v>935</v>
      </c>
      <c r="L4" t="s">
        <v>43</v>
      </c>
    </row>
    <row r="5" spans="1:12" x14ac:dyDescent="0.35">
      <c r="A5" s="101" t="s">
        <v>883</v>
      </c>
      <c r="B5" s="101" t="str">
        <f>IF('Induction Employee Register'!B12="","",'Induction Employee Register'!B12)</f>
        <v/>
      </c>
      <c r="D5" t="s">
        <v>936</v>
      </c>
    </row>
    <row r="6" spans="1:12" x14ac:dyDescent="0.35">
      <c r="A6" s="101" t="s">
        <v>322</v>
      </c>
      <c r="B6" s="101" t="str">
        <f>IF('Induction Employee Register'!C12="","",'Induction Employee Register'!C12)</f>
        <v/>
      </c>
      <c r="D6" t="s">
        <v>937</v>
      </c>
      <c r="E6" t="s">
        <v>938</v>
      </c>
    </row>
    <row r="7" spans="1:12" x14ac:dyDescent="0.35">
      <c r="A7" s="101" t="s">
        <v>323</v>
      </c>
      <c r="B7" s="126" t="str">
        <f>IF('Induction Employee Register'!D12="","",'Induction Employee Register'!D12)</f>
        <v/>
      </c>
      <c r="D7" t="s">
        <v>939</v>
      </c>
      <c r="E7" t="s">
        <v>940</v>
      </c>
    </row>
    <row r="8" spans="1:12" x14ac:dyDescent="0.35">
      <c r="A8" s="101" t="s">
        <v>886</v>
      </c>
      <c r="B8" s="125">
        <f>IFERROR(COUNTIF($H$42:$H$230,"Pass")/(COUNTIF($H$42:$H$230,"Pass")+COUNTIF($H$42:$H$230,"Fail")+COUNTIF($H$42:$H$230,"Not Assessed")),0)</f>
        <v>0</v>
      </c>
      <c r="D8" t="s">
        <v>6</v>
      </c>
      <c r="E8" t="s">
        <v>941</v>
      </c>
    </row>
    <row r="9" spans="1:12" x14ac:dyDescent="0.35">
      <c r="A9" s="101" t="s">
        <v>887</v>
      </c>
      <c r="B9" s="125">
        <f>IFERROR(COUNTIF($H$235:$H$255,"Pass")/(COUNTIF($H$235:$H$255,"Pass")+COUNTIF($H$235:$H$255,"Fail")+COUNTIF($H$235:$H$255,"Not Assessed")),0)</f>
        <v>0</v>
      </c>
      <c r="D9" t="s">
        <v>942</v>
      </c>
      <c r="E9" t="s">
        <v>943</v>
      </c>
    </row>
    <row r="10" spans="1:12" x14ac:dyDescent="0.35">
      <c r="A10" s="101" t="s">
        <v>888</v>
      </c>
      <c r="B10" s="125" t="str">
        <f>IFERROR(IF($B$5="","",IF(INDEX('Mandatory Training Dashboard'!$D$5:$D$53,MATCH($B$5,'Mandatory Training Dashboard'!$A$5:$A$53,0))&gt;1,INDEX('Mandatory Training Dashboard'!$D$5:$D$53,MATCH($B$5,'Mandatory Training Dashboard'!$A$5:$A$53,0))/100,INDEX('Mandatory Training Dashboard'!$D$5:$D$53,MATCH($B$5,'Mandatory Training Dashboard'!$A$5:$A$53,0)))),0)</f>
        <v/>
      </c>
      <c r="D10" t="s">
        <v>944</v>
      </c>
      <c r="E10" t="s">
        <v>945</v>
      </c>
    </row>
    <row r="11" spans="1:12" x14ac:dyDescent="0.35">
      <c r="A11" s="101" t="s">
        <v>893</v>
      </c>
      <c r="B11" s="125">
        <f>IFERROR(AVERAGE(B8:B10),0)</f>
        <v>0</v>
      </c>
      <c r="D11" t="s">
        <v>946</v>
      </c>
      <c r="E11" t="s">
        <v>947</v>
      </c>
    </row>
    <row r="12" spans="1:12" x14ac:dyDescent="0.35">
      <c r="A12" s="101" t="s">
        <v>948</v>
      </c>
      <c r="B12" s="101" t="str">
        <f>IF(B11&gt;=0.9,"Green",IF(B11&gt;=0.75,"Amber","Red"))</f>
        <v>Red</v>
      </c>
      <c r="D12" t="s">
        <v>949</v>
      </c>
      <c r="E12" t="s">
        <v>950</v>
      </c>
    </row>
    <row r="13" spans="1:12" x14ac:dyDescent="0.35">
      <c r="A13" s="101" t="s">
        <v>891</v>
      </c>
      <c r="B13" s="101">
        <f>IF('Induction Employee Register'!N12="","",'Induction Employee Register'!N12)</f>
        <v>0</v>
      </c>
      <c r="D13" t="s">
        <v>951</v>
      </c>
      <c r="E13" t="s">
        <v>952</v>
      </c>
    </row>
    <row r="14" spans="1:12" x14ac:dyDescent="0.35">
      <c r="A14" s="101" t="s">
        <v>892</v>
      </c>
      <c r="B14" s="101" t="str">
        <f>IF('Induction Employee Register'!O12="","",'Induction Employee Register'!O12)</f>
        <v/>
      </c>
    </row>
    <row r="17" spans="1:12" ht="24" customHeight="1" x14ac:dyDescent="0.35">
      <c r="A17" s="135" t="s">
        <v>953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9" spans="1:12" ht="29" x14ac:dyDescent="0.35">
      <c r="A19" s="116" t="s">
        <v>954</v>
      </c>
      <c r="B19" s="116" t="s">
        <v>955</v>
      </c>
      <c r="C19" s="116" t="s">
        <v>956</v>
      </c>
      <c r="D19" s="116" t="s">
        <v>957</v>
      </c>
      <c r="E19" s="116" t="s">
        <v>958</v>
      </c>
      <c r="F19" s="116" t="s">
        <v>353</v>
      </c>
      <c r="G19" s="116" t="s">
        <v>335</v>
      </c>
      <c r="H19" s="116" t="s">
        <v>338</v>
      </c>
      <c r="I19" s="117" t="s">
        <v>959</v>
      </c>
      <c r="J19" t="s">
        <v>960</v>
      </c>
      <c r="K19" t="s">
        <v>300</v>
      </c>
      <c r="L19" t="s">
        <v>961</v>
      </c>
    </row>
    <row r="20" spans="1:12" x14ac:dyDescent="0.35">
      <c r="A20" s="118" t="s">
        <v>962</v>
      </c>
      <c r="B20" s="118" t="s">
        <v>81</v>
      </c>
      <c r="C20" s="118"/>
      <c r="D20" s="127"/>
      <c r="E20" s="127"/>
      <c r="F20" s="118"/>
      <c r="G20" s="118"/>
      <c r="H20" s="118"/>
      <c r="J20" t="s">
        <v>310</v>
      </c>
      <c r="K20" t="str">
        <f>IF('Induction Employee Register'!W12="","",'Induction Employee Register'!W12)</f>
        <v/>
      </c>
      <c r="L20" t="s">
        <v>963</v>
      </c>
    </row>
    <row r="21" spans="1:12" x14ac:dyDescent="0.35">
      <c r="A21" s="118" t="s">
        <v>964</v>
      </c>
      <c r="B21" s="118" t="s">
        <v>81</v>
      </c>
      <c r="C21" s="118"/>
      <c r="D21" s="127"/>
      <c r="E21" s="127"/>
      <c r="F21" s="118"/>
      <c r="G21" s="118"/>
      <c r="H21" s="118"/>
      <c r="J21" t="s">
        <v>311</v>
      </c>
      <c r="K21" t="str">
        <f>IF('Induction Employee Register'!X12="","",'Induction Employee Register'!X12)</f>
        <v/>
      </c>
      <c r="L21" t="s">
        <v>965</v>
      </c>
    </row>
    <row r="22" spans="1:12" x14ac:dyDescent="0.35">
      <c r="A22" s="118" t="s">
        <v>966</v>
      </c>
      <c r="B22" s="118" t="s">
        <v>81</v>
      </c>
      <c r="C22" s="118"/>
      <c r="D22" s="127"/>
      <c r="E22" s="127"/>
      <c r="F22" s="118"/>
      <c r="G22" s="118"/>
      <c r="H22" s="118"/>
      <c r="J22" t="s">
        <v>312</v>
      </c>
      <c r="K22" t="str">
        <f>IF('Induction Employee Register'!Y12="","",'Induction Employee Register'!Y12)</f>
        <v/>
      </c>
      <c r="L22" t="s">
        <v>967</v>
      </c>
    </row>
    <row r="23" spans="1:12" x14ac:dyDescent="0.35">
      <c r="A23" s="118" t="s">
        <v>52</v>
      </c>
      <c r="B23" s="118" t="s">
        <v>81</v>
      </c>
      <c r="C23" s="118"/>
      <c r="D23" s="127"/>
      <c r="E23" s="127"/>
      <c r="F23" s="118"/>
      <c r="G23" s="118"/>
      <c r="H23" s="118"/>
      <c r="J23" t="s">
        <v>313</v>
      </c>
      <c r="K23" t="str">
        <f>IF('Induction Employee Register'!Z12="","",'Induction Employee Register'!Z12)</f>
        <v/>
      </c>
      <c r="L23" t="s">
        <v>968</v>
      </c>
    </row>
    <row r="24" spans="1:12" x14ac:dyDescent="0.35">
      <c r="A24" s="118" t="s">
        <v>50</v>
      </c>
      <c r="B24" s="118" t="s">
        <v>81</v>
      </c>
      <c r="C24" s="118"/>
      <c r="D24" s="127"/>
      <c r="E24" s="127"/>
      <c r="F24" s="118"/>
      <c r="G24" s="118"/>
      <c r="H24" s="118"/>
      <c r="J24" t="s">
        <v>314</v>
      </c>
      <c r="K24" t="str">
        <f>IF('Induction Employee Register'!AA12="","",'Induction Employee Register'!AA12)</f>
        <v/>
      </c>
      <c r="L24" t="s">
        <v>968</v>
      </c>
    </row>
    <row r="25" spans="1:12" x14ac:dyDescent="0.35">
      <c r="A25" s="118" t="s">
        <v>329</v>
      </c>
      <c r="B25" s="118" t="s">
        <v>81</v>
      </c>
      <c r="C25" s="118"/>
      <c r="D25" s="127"/>
      <c r="E25" s="127"/>
      <c r="F25" s="118"/>
      <c r="G25" s="118"/>
      <c r="H25" s="118"/>
      <c r="J25" t="s">
        <v>315</v>
      </c>
      <c r="K25" t="str">
        <f>IF('Induction Employee Register'!AB12="","",'Induction Employee Register'!AB12)</f>
        <v/>
      </c>
      <c r="L25" t="s">
        <v>967</v>
      </c>
    </row>
    <row r="26" spans="1:12" x14ac:dyDescent="0.35">
      <c r="A26" s="118" t="s">
        <v>969</v>
      </c>
      <c r="B26" s="118" t="s">
        <v>81</v>
      </c>
      <c r="C26" s="118"/>
      <c r="D26" s="127"/>
      <c r="E26" s="127"/>
      <c r="F26" s="118"/>
      <c r="G26" s="118"/>
      <c r="H26" s="118"/>
      <c r="J26" t="s">
        <v>316</v>
      </c>
      <c r="K26" t="str">
        <f>IF('Induction Employee Register'!AC12="","",'Induction Employee Register'!AC12)</f>
        <v/>
      </c>
      <c r="L26" t="s">
        <v>967</v>
      </c>
    </row>
    <row r="27" spans="1:12" x14ac:dyDescent="0.35">
      <c r="A27" s="118" t="s">
        <v>970</v>
      </c>
      <c r="B27" s="118" t="s">
        <v>81</v>
      </c>
      <c r="C27" s="118"/>
      <c r="D27" s="127"/>
      <c r="E27" s="127"/>
      <c r="F27" s="118"/>
      <c r="G27" s="118"/>
      <c r="H27" s="118"/>
    </row>
    <row r="28" spans="1:12" x14ac:dyDescent="0.35">
      <c r="A28" s="118" t="s">
        <v>971</v>
      </c>
      <c r="B28" s="118" t="s">
        <v>81</v>
      </c>
      <c r="C28" s="118"/>
      <c r="D28" s="127"/>
      <c r="E28" s="127"/>
      <c r="F28" s="118"/>
      <c r="G28" s="118"/>
      <c r="H28" s="118"/>
    </row>
    <row r="29" spans="1:12" x14ac:dyDescent="0.35">
      <c r="A29" s="118" t="s">
        <v>972</v>
      </c>
      <c r="B29" s="118" t="s">
        <v>81</v>
      </c>
      <c r="C29" s="118"/>
      <c r="D29" s="127"/>
      <c r="E29" s="127"/>
      <c r="F29" s="118"/>
      <c r="G29" s="118"/>
      <c r="H29" s="118"/>
    </row>
    <row r="30" spans="1:12" x14ac:dyDescent="0.35">
      <c r="A30" s="118" t="s">
        <v>973</v>
      </c>
      <c r="B30" s="118" t="s">
        <v>81</v>
      </c>
      <c r="C30" s="118"/>
      <c r="D30" s="127"/>
      <c r="E30" s="127"/>
      <c r="F30" s="118"/>
      <c r="G30" s="118"/>
      <c r="H30" s="118"/>
    </row>
    <row r="31" spans="1:12" x14ac:dyDescent="0.35">
      <c r="A31" s="118" t="s">
        <v>974</v>
      </c>
      <c r="B31" s="118" t="s">
        <v>81</v>
      </c>
      <c r="C31" s="118"/>
      <c r="D31" s="127"/>
      <c r="E31" s="127"/>
      <c r="F31" s="118"/>
      <c r="G31" s="118"/>
      <c r="H31" s="118"/>
    </row>
    <row r="32" spans="1:12" x14ac:dyDescent="0.35">
      <c r="A32" s="118" t="s">
        <v>975</v>
      </c>
      <c r="B32" s="118" t="s">
        <v>81</v>
      </c>
      <c r="C32" s="118"/>
      <c r="D32" s="127"/>
      <c r="E32" s="127"/>
      <c r="F32" s="118"/>
      <c r="G32" s="118"/>
      <c r="H32" s="118"/>
    </row>
    <row r="33" spans="1:12" x14ac:dyDescent="0.35">
      <c r="A33" s="118" t="s">
        <v>54</v>
      </c>
      <c r="B33" s="118" t="s">
        <v>81</v>
      </c>
      <c r="C33" s="118"/>
      <c r="D33" s="127"/>
      <c r="E33" s="127"/>
      <c r="F33" s="118"/>
      <c r="G33" s="118"/>
      <c r="H33" s="118"/>
    </row>
    <row r="34" spans="1:12" x14ac:dyDescent="0.35">
      <c r="A34" s="119" t="s">
        <v>976</v>
      </c>
      <c r="B34" s="119" t="s">
        <v>81</v>
      </c>
      <c r="C34" s="119"/>
      <c r="D34" s="127"/>
      <c r="E34" s="127"/>
      <c r="F34" s="119"/>
      <c r="G34" s="119"/>
      <c r="H34" s="119"/>
    </row>
    <row r="35" spans="1:12" ht="24" customHeight="1" x14ac:dyDescent="0.35">
      <c r="A35" s="130" t="s">
        <v>977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</row>
    <row r="36" spans="1:12" x14ac:dyDescent="0.35">
      <c r="A36" s="119" t="s">
        <v>978</v>
      </c>
      <c r="B36" s="119" t="s">
        <v>81</v>
      </c>
      <c r="C36" s="119"/>
      <c r="D36" s="127"/>
      <c r="E36" s="127"/>
      <c r="F36" s="119"/>
      <c r="G36" s="119"/>
      <c r="H36" s="119"/>
    </row>
    <row r="37" spans="1:12" x14ac:dyDescent="0.35">
      <c r="A37" s="119" t="s">
        <v>979</v>
      </c>
      <c r="B37" s="119" t="s">
        <v>81</v>
      </c>
      <c r="C37" s="119"/>
      <c r="D37" s="127"/>
      <c r="E37" s="127"/>
      <c r="F37" s="119"/>
      <c r="G37" s="119"/>
      <c r="H37" s="119"/>
    </row>
    <row r="38" spans="1:12" x14ac:dyDescent="0.35">
      <c r="A38" s="119" t="s">
        <v>980</v>
      </c>
      <c r="B38" s="119" t="s">
        <v>81</v>
      </c>
      <c r="C38" s="119"/>
      <c r="D38" s="127"/>
      <c r="E38" s="127"/>
      <c r="F38" s="119"/>
      <c r="G38" s="119"/>
      <c r="H38" s="119"/>
    </row>
    <row r="39" spans="1:12" x14ac:dyDescent="0.35">
      <c r="A39" s="119" t="s">
        <v>981</v>
      </c>
      <c r="B39" s="119" t="s">
        <v>81</v>
      </c>
      <c r="C39" s="119"/>
      <c r="D39" s="127"/>
      <c r="E39" s="127"/>
      <c r="F39" s="119"/>
      <c r="G39" s="119"/>
      <c r="H39" s="119"/>
    </row>
    <row r="40" spans="1:12" x14ac:dyDescent="0.35">
      <c r="A40" s="119" t="s">
        <v>982</v>
      </c>
      <c r="B40" s="119" t="s">
        <v>81</v>
      </c>
      <c r="C40" s="119"/>
      <c r="D40" s="127"/>
      <c r="E40" s="127"/>
      <c r="F40" s="119"/>
      <c r="G40" s="119"/>
      <c r="H40" s="119"/>
    </row>
    <row r="41" spans="1:12" x14ac:dyDescent="0.35">
      <c r="A41" s="118"/>
      <c r="B41" s="118"/>
      <c r="C41" s="118"/>
      <c r="D41" s="127"/>
      <c r="E41" s="127"/>
      <c r="F41" s="118"/>
      <c r="G41" s="118"/>
      <c r="H41" s="118"/>
    </row>
    <row r="42" spans="1:12" x14ac:dyDescent="0.35">
      <c r="A42" s="120" t="s">
        <v>983</v>
      </c>
      <c r="B42" s="118"/>
      <c r="C42" s="118"/>
      <c r="D42" s="127"/>
      <c r="E42" s="127"/>
      <c r="F42" s="118"/>
      <c r="G42" s="118"/>
      <c r="H42" s="118"/>
      <c r="I42" s="96"/>
      <c r="J42" s="96"/>
      <c r="K42" s="96"/>
      <c r="L42" s="96"/>
    </row>
    <row r="43" spans="1:12" x14ac:dyDescent="0.35">
      <c r="A43" s="118"/>
      <c r="B43" s="118"/>
      <c r="C43" s="118"/>
      <c r="D43" s="127"/>
      <c r="E43" s="127"/>
      <c r="F43" s="118"/>
      <c r="G43" s="118"/>
      <c r="H43" s="118"/>
    </row>
    <row r="44" spans="1:12" ht="29" x14ac:dyDescent="0.35">
      <c r="A44" s="116" t="s">
        <v>984</v>
      </c>
      <c r="B44" s="116" t="s">
        <v>985</v>
      </c>
      <c r="C44" s="116" t="s">
        <v>986</v>
      </c>
      <c r="D44" s="116" t="s">
        <v>987</v>
      </c>
      <c r="E44" s="116" t="s">
        <v>988</v>
      </c>
      <c r="F44" s="116" t="s">
        <v>989</v>
      </c>
      <c r="G44" s="116" t="s">
        <v>389</v>
      </c>
      <c r="H44" s="116" t="s">
        <v>870</v>
      </c>
      <c r="I44" s="100" t="s">
        <v>390</v>
      </c>
      <c r="J44" s="100" t="s">
        <v>990</v>
      </c>
      <c r="K44" s="100" t="s">
        <v>991</v>
      </c>
      <c r="L44" s="100" t="s">
        <v>992</v>
      </c>
    </row>
    <row r="45" spans="1:12" ht="29" x14ac:dyDescent="0.35">
      <c r="A45" s="121" t="s">
        <v>993</v>
      </c>
      <c r="B45" s="121" t="s">
        <v>994</v>
      </c>
      <c r="C45" s="121" t="s">
        <v>995</v>
      </c>
      <c r="D45" s="121"/>
      <c r="E45" s="121" t="s">
        <v>996</v>
      </c>
      <c r="F45" s="121"/>
      <c r="G45" s="121"/>
      <c r="H45" s="121"/>
      <c r="I45" s="21"/>
      <c r="J45" s="21"/>
      <c r="K45" s="21"/>
      <c r="L45" s="21"/>
    </row>
    <row r="46" spans="1:12" ht="29" x14ac:dyDescent="0.35">
      <c r="A46" s="21" t="s">
        <v>993</v>
      </c>
      <c r="B46" s="21" t="s">
        <v>997</v>
      </c>
      <c r="C46" s="21" t="s">
        <v>998</v>
      </c>
      <c r="D46" s="21"/>
      <c r="E46" s="21" t="s">
        <v>996</v>
      </c>
      <c r="F46" s="21"/>
      <c r="G46" s="21"/>
      <c r="H46" s="21"/>
      <c r="I46" s="21"/>
      <c r="J46" s="21"/>
      <c r="K46" s="21"/>
      <c r="L46" s="21"/>
    </row>
    <row r="47" spans="1:12" ht="29" x14ac:dyDescent="0.35">
      <c r="A47" s="21" t="s">
        <v>993</v>
      </c>
      <c r="B47" s="21" t="s">
        <v>999</v>
      </c>
      <c r="C47" s="21" t="s">
        <v>1000</v>
      </c>
      <c r="D47" s="21"/>
      <c r="E47" s="21" t="s">
        <v>996</v>
      </c>
      <c r="F47" s="21"/>
      <c r="G47" s="21"/>
      <c r="H47" s="21"/>
      <c r="I47" s="21"/>
      <c r="J47" s="21"/>
      <c r="K47" s="21"/>
      <c r="L47" s="21"/>
    </row>
    <row r="48" spans="1:12" ht="29" x14ac:dyDescent="0.35">
      <c r="A48" s="21" t="s">
        <v>993</v>
      </c>
      <c r="B48" s="21" t="s">
        <v>1001</v>
      </c>
      <c r="C48" s="21" t="s">
        <v>1002</v>
      </c>
      <c r="D48" s="21"/>
      <c r="E48" s="21" t="s">
        <v>996</v>
      </c>
      <c r="F48" s="21"/>
      <c r="G48" s="21"/>
      <c r="H48" s="21"/>
      <c r="I48" s="21"/>
      <c r="J48" s="21"/>
      <c r="K48" s="21"/>
      <c r="L48" s="21"/>
    </row>
    <row r="49" spans="1:12" ht="43.5" x14ac:dyDescent="0.35">
      <c r="A49" s="21" t="s">
        <v>993</v>
      </c>
      <c r="B49" s="21" t="s">
        <v>1003</v>
      </c>
      <c r="C49" s="21" t="s">
        <v>1004</v>
      </c>
      <c r="D49" s="21"/>
      <c r="E49" s="21" t="s">
        <v>996</v>
      </c>
      <c r="F49" s="21"/>
      <c r="G49" s="21"/>
      <c r="H49" s="21"/>
      <c r="I49" s="21"/>
      <c r="J49" s="21"/>
      <c r="K49" s="21"/>
      <c r="L49" s="21"/>
    </row>
    <row r="50" spans="1:12" ht="29" x14ac:dyDescent="0.35">
      <c r="A50" s="21" t="s">
        <v>993</v>
      </c>
      <c r="B50" s="21" t="s">
        <v>1005</v>
      </c>
      <c r="C50" s="21" t="s">
        <v>1006</v>
      </c>
      <c r="D50" s="21"/>
      <c r="E50" s="21" t="s">
        <v>996</v>
      </c>
      <c r="F50" s="21"/>
      <c r="G50" s="21"/>
      <c r="H50" s="21"/>
      <c r="I50" s="21"/>
      <c r="J50" s="21"/>
      <c r="K50" s="21"/>
      <c r="L50" s="21"/>
    </row>
    <row r="51" spans="1:12" ht="43.5" x14ac:dyDescent="0.35">
      <c r="A51" s="21" t="s">
        <v>1007</v>
      </c>
      <c r="B51" s="21" t="s">
        <v>1008</v>
      </c>
      <c r="C51" s="21" t="s">
        <v>1009</v>
      </c>
      <c r="D51" s="21"/>
      <c r="E51" s="21" t="s">
        <v>996</v>
      </c>
      <c r="F51" s="21"/>
      <c r="G51" s="21"/>
      <c r="H51" s="21"/>
      <c r="I51" s="21"/>
      <c r="J51" s="21"/>
      <c r="K51" s="21"/>
      <c r="L51" s="21"/>
    </row>
    <row r="52" spans="1:12" ht="29" x14ac:dyDescent="0.35">
      <c r="A52" s="21" t="s">
        <v>1007</v>
      </c>
      <c r="B52" s="21" t="s">
        <v>1010</v>
      </c>
      <c r="C52" s="21" t="s">
        <v>1011</v>
      </c>
      <c r="D52" s="21"/>
      <c r="E52" s="21" t="s">
        <v>996</v>
      </c>
      <c r="F52" s="21"/>
      <c r="G52" s="21"/>
      <c r="H52" s="21"/>
      <c r="I52" s="21"/>
      <c r="J52" s="21"/>
      <c r="K52" s="21"/>
      <c r="L52" s="21"/>
    </row>
    <row r="53" spans="1:12" ht="29" x14ac:dyDescent="0.35">
      <c r="A53" s="21" t="s">
        <v>1007</v>
      </c>
      <c r="B53" s="21" t="s">
        <v>1012</v>
      </c>
      <c r="C53" s="21" t="s">
        <v>1013</v>
      </c>
      <c r="D53" s="21"/>
      <c r="E53" s="21" t="s">
        <v>996</v>
      </c>
      <c r="F53" s="21"/>
      <c r="G53" s="21"/>
      <c r="H53" s="21"/>
      <c r="I53" s="21"/>
      <c r="J53" s="21"/>
      <c r="K53" s="21"/>
      <c r="L53" s="21"/>
    </row>
    <row r="54" spans="1:12" ht="29" x14ac:dyDescent="0.35">
      <c r="A54" s="21" t="s">
        <v>1007</v>
      </c>
      <c r="B54" s="21" t="s">
        <v>1014</v>
      </c>
      <c r="C54" s="21" t="s">
        <v>1015</v>
      </c>
      <c r="D54" s="21"/>
      <c r="E54" s="21" t="s">
        <v>996</v>
      </c>
      <c r="F54" s="21"/>
      <c r="G54" s="21"/>
      <c r="H54" s="21"/>
      <c r="I54" s="21"/>
      <c r="J54" s="21"/>
      <c r="K54" s="21"/>
      <c r="L54" s="21"/>
    </row>
    <row r="55" spans="1:12" ht="29" x14ac:dyDescent="0.35">
      <c r="A55" s="21" t="s">
        <v>1007</v>
      </c>
      <c r="B55" s="21" t="s">
        <v>1016</v>
      </c>
      <c r="C55" s="21" t="s">
        <v>1017</v>
      </c>
      <c r="D55" s="21"/>
      <c r="E55" s="21" t="s">
        <v>996</v>
      </c>
      <c r="F55" s="21"/>
      <c r="G55" s="21"/>
      <c r="H55" s="21"/>
      <c r="I55" s="21"/>
      <c r="J55" s="21"/>
      <c r="K55" s="21"/>
      <c r="L55" s="21"/>
    </row>
    <row r="56" spans="1:12" ht="29" x14ac:dyDescent="0.35">
      <c r="A56" s="21" t="s">
        <v>1007</v>
      </c>
      <c r="B56" s="21" t="s">
        <v>1018</v>
      </c>
      <c r="C56" s="21" t="s">
        <v>1019</v>
      </c>
      <c r="D56" s="21"/>
      <c r="E56" s="21" t="s">
        <v>996</v>
      </c>
      <c r="F56" s="21"/>
      <c r="G56" s="21"/>
      <c r="H56" s="21"/>
      <c r="I56" s="21"/>
      <c r="J56" s="21"/>
      <c r="K56" s="21"/>
      <c r="L56" s="21"/>
    </row>
    <row r="57" spans="1:12" ht="43.5" x14ac:dyDescent="0.35">
      <c r="A57" s="21" t="s">
        <v>1020</v>
      </c>
      <c r="B57" s="21" t="s">
        <v>1021</v>
      </c>
      <c r="C57" s="21" t="s">
        <v>1022</v>
      </c>
      <c r="D57" s="21"/>
      <c r="E57" s="21" t="s">
        <v>1023</v>
      </c>
      <c r="F57" s="21"/>
      <c r="G57" s="21"/>
      <c r="H57" s="21"/>
      <c r="I57" s="21"/>
      <c r="J57" s="21"/>
      <c r="K57" s="21"/>
      <c r="L57" s="21"/>
    </row>
    <row r="58" spans="1:12" ht="43.5" x14ac:dyDescent="0.35">
      <c r="A58" s="21" t="s">
        <v>1020</v>
      </c>
      <c r="B58" s="21" t="s">
        <v>1024</v>
      </c>
      <c r="C58" s="21" t="s">
        <v>1025</v>
      </c>
      <c r="D58" s="21"/>
      <c r="E58" s="21" t="s">
        <v>1023</v>
      </c>
      <c r="F58" s="21"/>
      <c r="G58" s="21"/>
      <c r="H58" s="21"/>
      <c r="I58" s="21"/>
      <c r="J58" s="21"/>
      <c r="K58" s="21"/>
      <c r="L58" s="21"/>
    </row>
    <row r="59" spans="1:12" ht="43.5" x14ac:dyDescent="0.35">
      <c r="A59" s="21" t="s">
        <v>1020</v>
      </c>
      <c r="B59" s="21" t="s">
        <v>1026</v>
      </c>
      <c r="C59" s="21" t="s">
        <v>1027</v>
      </c>
      <c r="D59" s="21"/>
      <c r="E59" s="21" t="s">
        <v>1023</v>
      </c>
      <c r="F59" s="21"/>
      <c r="G59" s="21"/>
      <c r="H59" s="21"/>
      <c r="I59" s="21"/>
      <c r="J59" s="21"/>
      <c r="K59" s="21"/>
      <c r="L59" s="21"/>
    </row>
    <row r="60" spans="1:12" ht="43.5" x14ac:dyDescent="0.35">
      <c r="A60" s="21" t="s">
        <v>1020</v>
      </c>
      <c r="B60" s="21" t="s">
        <v>1028</v>
      </c>
      <c r="C60" s="21" t="s">
        <v>1029</v>
      </c>
      <c r="D60" s="21"/>
      <c r="E60" s="21" t="s">
        <v>1023</v>
      </c>
      <c r="F60" s="21"/>
      <c r="G60" s="21"/>
      <c r="H60" s="21"/>
      <c r="I60" s="21"/>
      <c r="J60" s="21"/>
      <c r="K60" s="21"/>
      <c r="L60" s="21"/>
    </row>
    <row r="61" spans="1:12" ht="43.5" x14ac:dyDescent="0.35">
      <c r="A61" s="21" t="s">
        <v>1020</v>
      </c>
      <c r="B61" s="21" t="s">
        <v>1030</v>
      </c>
      <c r="C61" s="21" t="s">
        <v>1031</v>
      </c>
      <c r="D61" s="21"/>
      <c r="E61" s="21" t="s">
        <v>1023</v>
      </c>
      <c r="F61" s="21"/>
      <c r="G61" s="21"/>
      <c r="H61" s="21"/>
      <c r="I61" s="21"/>
      <c r="J61" s="21"/>
      <c r="K61" s="21"/>
      <c r="L61" s="21"/>
    </row>
    <row r="62" spans="1:12" ht="43.5" x14ac:dyDescent="0.35">
      <c r="A62" s="21" t="s">
        <v>1020</v>
      </c>
      <c r="B62" s="21" t="s">
        <v>1032</v>
      </c>
      <c r="C62" s="21" t="s">
        <v>1033</v>
      </c>
      <c r="D62" s="21"/>
      <c r="E62" s="21" t="s">
        <v>1023</v>
      </c>
      <c r="F62" s="21"/>
      <c r="G62" s="21"/>
      <c r="H62" s="21"/>
      <c r="I62" s="21"/>
      <c r="J62" s="21"/>
      <c r="K62" s="21"/>
      <c r="L62" s="21"/>
    </row>
    <row r="63" spans="1:12" ht="29" x14ac:dyDescent="0.35">
      <c r="A63" s="21" t="s">
        <v>428</v>
      </c>
      <c r="B63" s="21" t="s">
        <v>1034</v>
      </c>
      <c r="C63" s="21" t="s">
        <v>1035</v>
      </c>
      <c r="D63" s="21"/>
      <c r="E63" s="21" t="s">
        <v>996</v>
      </c>
      <c r="F63" s="21"/>
      <c r="G63" s="21"/>
      <c r="H63" s="21"/>
      <c r="I63" s="21"/>
      <c r="J63" s="21"/>
      <c r="K63" s="21"/>
      <c r="L63" s="21"/>
    </row>
    <row r="64" spans="1:12" ht="43.5" x14ac:dyDescent="0.35">
      <c r="A64" s="21" t="s">
        <v>428</v>
      </c>
      <c r="B64" s="21" t="s">
        <v>1036</v>
      </c>
      <c r="C64" s="21" t="s">
        <v>1037</v>
      </c>
      <c r="D64" s="21"/>
      <c r="E64" s="21" t="s">
        <v>996</v>
      </c>
      <c r="F64" s="21"/>
      <c r="G64" s="21"/>
      <c r="H64" s="21"/>
      <c r="I64" s="21"/>
      <c r="J64" s="21"/>
      <c r="K64" s="21"/>
      <c r="L64" s="21"/>
    </row>
    <row r="65" spans="1:12" ht="29" x14ac:dyDescent="0.35">
      <c r="A65" s="21" t="s">
        <v>428</v>
      </c>
      <c r="B65" s="21" t="s">
        <v>1038</v>
      </c>
      <c r="C65" s="21" t="s">
        <v>1039</v>
      </c>
      <c r="D65" s="21"/>
      <c r="E65" s="21" t="s">
        <v>996</v>
      </c>
      <c r="F65" s="21"/>
      <c r="G65" s="21"/>
      <c r="H65" s="21"/>
      <c r="I65" s="21"/>
      <c r="J65" s="21"/>
      <c r="K65" s="21"/>
      <c r="L65" s="21"/>
    </row>
    <row r="66" spans="1:12" ht="43.5" x14ac:dyDescent="0.35">
      <c r="A66" s="21" t="s">
        <v>428</v>
      </c>
      <c r="B66" s="21" t="s">
        <v>1040</v>
      </c>
      <c r="C66" s="21" t="s">
        <v>1041</v>
      </c>
      <c r="D66" s="21"/>
      <c r="E66" s="21" t="s">
        <v>996</v>
      </c>
      <c r="F66" s="21"/>
      <c r="G66" s="21"/>
      <c r="H66" s="21"/>
      <c r="I66" s="21"/>
      <c r="J66" s="21"/>
      <c r="K66" s="21"/>
      <c r="L66" s="21"/>
    </row>
    <row r="67" spans="1:12" ht="29" x14ac:dyDescent="0.35">
      <c r="A67" s="21" t="s">
        <v>428</v>
      </c>
      <c r="B67" s="21" t="s">
        <v>1042</v>
      </c>
      <c r="C67" s="21" t="s">
        <v>1043</v>
      </c>
      <c r="D67" s="21"/>
      <c r="E67" s="21" t="s">
        <v>996</v>
      </c>
      <c r="F67" s="21"/>
      <c r="G67" s="21"/>
      <c r="H67" s="21"/>
      <c r="I67" s="21"/>
      <c r="J67" s="21"/>
      <c r="K67" s="21"/>
      <c r="L67" s="21"/>
    </row>
    <row r="68" spans="1:12" ht="29" x14ac:dyDescent="0.35">
      <c r="A68" s="21" t="s">
        <v>428</v>
      </c>
      <c r="B68" s="21" t="s">
        <v>1044</v>
      </c>
      <c r="C68" s="21" t="s">
        <v>1045</v>
      </c>
      <c r="D68" s="21"/>
      <c r="E68" s="21" t="s">
        <v>996</v>
      </c>
      <c r="F68" s="21"/>
      <c r="G68" s="21"/>
      <c r="H68" s="21"/>
      <c r="I68" s="21"/>
      <c r="J68" s="21"/>
      <c r="K68" s="21"/>
      <c r="L68" s="21"/>
    </row>
    <row r="69" spans="1:12" ht="29" x14ac:dyDescent="0.35">
      <c r="A69" s="21" t="s">
        <v>1046</v>
      </c>
      <c r="B69" s="21" t="s">
        <v>1047</v>
      </c>
      <c r="C69" s="21" t="s">
        <v>1048</v>
      </c>
      <c r="D69" s="21"/>
      <c r="E69" s="21" t="s">
        <v>996</v>
      </c>
      <c r="F69" s="21"/>
      <c r="G69" s="21"/>
      <c r="H69" s="21"/>
      <c r="I69" s="21"/>
      <c r="J69" s="21"/>
      <c r="K69" s="21"/>
      <c r="L69" s="21"/>
    </row>
    <row r="70" spans="1:12" ht="29" x14ac:dyDescent="0.35">
      <c r="A70" s="21" t="s">
        <v>1046</v>
      </c>
      <c r="B70" s="21" t="s">
        <v>1049</v>
      </c>
      <c r="C70" s="21" t="s">
        <v>1050</v>
      </c>
      <c r="D70" s="21"/>
      <c r="E70" s="21" t="s">
        <v>996</v>
      </c>
      <c r="F70" s="21"/>
      <c r="G70" s="21"/>
      <c r="H70" s="21"/>
      <c r="I70" s="21"/>
      <c r="J70" s="21"/>
      <c r="K70" s="21"/>
      <c r="L70" s="21"/>
    </row>
    <row r="71" spans="1:12" ht="29" x14ac:dyDescent="0.35">
      <c r="A71" s="21" t="s">
        <v>1046</v>
      </c>
      <c r="B71" s="21" t="s">
        <v>1051</v>
      </c>
      <c r="C71" s="21" t="s">
        <v>1052</v>
      </c>
      <c r="D71" s="21"/>
      <c r="E71" s="21" t="s">
        <v>996</v>
      </c>
      <c r="F71" s="21"/>
      <c r="G71" s="21"/>
      <c r="H71" s="21"/>
      <c r="I71" s="21"/>
      <c r="J71" s="21"/>
      <c r="K71" s="21"/>
      <c r="L71" s="21"/>
    </row>
    <row r="72" spans="1:12" ht="29" x14ac:dyDescent="0.35">
      <c r="A72" s="21" t="s">
        <v>1046</v>
      </c>
      <c r="B72" s="21" t="s">
        <v>1053</v>
      </c>
      <c r="C72" s="21" t="s">
        <v>1054</v>
      </c>
      <c r="D72" s="21"/>
      <c r="E72" s="21" t="s">
        <v>996</v>
      </c>
      <c r="F72" s="21"/>
      <c r="G72" s="21"/>
      <c r="H72" s="21"/>
      <c r="I72" s="21"/>
      <c r="J72" s="21"/>
      <c r="K72" s="21"/>
      <c r="L72" s="21"/>
    </row>
    <row r="73" spans="1:12" ht="29" x14ac:dyDescent="0.35">
      <c r="A73" s="21" t="s">
        <v>1046</v>
      </c>
      <c r="B73" s="21" t="s">
        <v>1055</v>
      </c>
      <c r="C73" s="21" t="s">
        <v>1056</v>
      </c>
      <c r="D73" s="21"/>
      <c r="E73" s="21" t="s">
        <v>996</v>
      </c>
      <c r="F73" s="21"/>
      <c r="G73" s="21"/>
      <c r="H73" s="21"/>
      <c r="I73" s="21"/>
      <c r="J73" s="21"/>
      <c r="K73" s="21"/>
      <c r="L73" s="21"/>
    </row>
    <row r="74" spans="1:12" ht="29" x14ac:dyDescent="0.35">
      <c r="A74" s="21" t="s">
        <v>1046</v>
      </c>
      <c r="B74" s="21" t="s">
        <v>1057</v>
      </c>
      <c r="C74" s="21" t="s">
        <v>1058</v>
      </c>
      <c r="D74" s="21"/>
      <c r="E74" s="21" t="s">
        <v>996</v>
      </c>
      <c r="F74" s="21"/>
      <c r="G74" s="21"/>
      <c r="H74" s="21"/>
      <c r="I74" s="21"/>
      <c r="J74" s="21"/>
      <c r="K74" s="21"/>
      <c r="L74" s="21"/>
    </row>
    <row r="75" spans="1:12" ht="29" x14ac:dyDescent="0.35">
      <c r="A75" s="21" t="s">
        <v>1059</v>
      </c>
      <c r="B75" s="21" t="s">
        <v>1060</v>
      </c>
      <c r="C75" s="21" t="s">
        <v>1061</v>
      </c>
      <c r="D75" s="21"/>
      <c r="E75" s="21" t="s">
        <v>996</v>
      </c>
      <c r="F75" s="21"/>
      <c r="G75" s="21"/>
      <c r="H75" s="21"/>
      <c r="I75" s="21"/>
      <c r="J75" s="21"/>
      <c r="K75" s="21"/>
      <c r="L75" s="21"/>
    </row>
    <row r="76" spans="1:12" ht="43.5" x14ac:dyDescent="0.35">
      <c r="A76" s="21" t="s">
        <v>1059</v>
      </c>
      <c r="B76" s="21" t="s">
        <v>1062</v>
      </c>
      <c r="C76" s="21" t="s">
        <v>1063</v>
      </c>
      <c r="D76" s="21"/>
      <c r="E76" s="21" t="s">
        <v>996</v>
      </c>
      <c r="F76" s="21"/>
      <c r="G76" s="21"/>
      <c r="H76" s="21"/>
      <c r="I76" s="21"/>
      <c r="J76" s="21"/>
      <c r="K76" s="21"/>
      <c r="L76" s="21"/>
    </row>
    <row r="77" spans="1:12" ht="29" x14ac:dyDescent="0.35">
      <c r="A77" s="21" t="s">
        <v>1059</v>
      </c>
      <c r="B77" s="21" t="s">
        <v>1064</v>
      </c>
      <c r="C77" s="21" t="s">
        <v>1065</v>
      </c>
      <c r="D77" s="21"/>
      <c r="E77" s="21" t="s">
        <v>996</v>
      </c>
      <c r="F77" s="21"/>
      <c r="G77" s="21"/>
      <c r="H77" s="21"/>
      <c r="I77" s="21"/>
      <c r="J77" s="21"/>
      <c r="K77" s="21"/>
      <c r="L77" s="21"/>
    </row>
    <row r="78" spans="1:12" ht="29" x14ac:dyDescent="0.35">
      <c r="A78" s="21" t="s">
        <v>1059</v>
      </c>
      <c r="B78" s="21" t="s">
        <v>1066</v>
      </c>
      <c r="C78" s="21" t="s">
        <v>1067</v>
      </c>
      <c r="D78" s="21"/>
      <c r="E78" s="21" t="s">
        <v>996</v>
      </c>
      <c r="F78" s="21"/>
      <c r="G78" s="21"/>
      <c r="H78" s="21"/>
      <c r="I78" s="21"/>
      <c r="J78" s="21"/>
      <c r="K78" s="21"/>
      <c r="L78" s="21"/>
    </row>
    <row r="79" spans="1:12" ht="29" x14ac:dyDescent="0.35">
      <c r="A79" s="21" t="s">
        <v>1059</v>
      </c>
      <c r="B79" s="21" t="s">
        <v>1068</v>
      </c>
      <c r="C79" s="21" t="s">
        <v>1069</v>
      </c>
      <c r="D79" s="21"/>
      <c r="E79" s="21" t="s">
        <v>996</v>
      </c>
      <c r="F79" s="21"/>
      <c r="G79" s="21"/>
      <c r="H79" s="21"/>
      <c r="I79" s="21"/>
      <c r="J79" s="21"/>
      <c r="K79" s="21"/>
      <c r="L79" s="21"/>
    </row>
    <row r="80" spans="1:12" ht="29" x14ac:dyDescent="0.35">
      <c r="A80" s="21" t="s">
        <v>1059</v>
      </c>
      <c r="B80" s="21" t="s">
        <v>1070</v>
      </c>
      <c r="C80" s="21" t="s">
        <v>1071</v>
      </c>
      <c r="D80" s="21"/>
      <c r="E80" s="21" t="s">
        <v>996</v>
      </c>
      <c r="F80" s="21"/>
      <c r="G80" s="21"/>
      <c r="H80" s="21"/>
      <c r="I80" s="21"/>
      <c r="J80" s="21"/>
      <c r="K80" s="21"/>
      <c r="L80" s="21"/>
    </row>
    <row r="81" spans="1:12" ht="29" x14ac:dyDescent="0.35">
      <c r="A81" s="21" t="s">
        <v>1072</v>
      </c>
      <c r="B81" s="21" t="s">
        <v>1073</v>
      </c>
      <c r="C81" s="21" t="s">
        <v>1074</v>
      </c>
      <c r="D81" s="21"/>
      <c r="E81" s="21" t="s">
        <v>996</v>
      </c>
      <c r="F81" s="21"/>
      <c r="G81" s="21"/>
      <c r="H81" s="21"/>
      <c r="I81" s="21"/>
      <c r="J81" s="21"/>
      <c r="K81" s="21"/>
      <c r="L81" s="21"/>
    </row>
    <row r="82" spans="1:12" ht="29" x14ac:dyDescent="0.35">
      <c r="A82" s="21" t="s">
        <v>1072</v>
      </c>
      <c r="B82" s="21" t="s">
        <v>1075</v>
      </c>
      <c r="C82" s="21" t="s">
        <v>1076</v>
      </c>
      <c r="D82" s="21"/>
      <c r="E82" s="21" t="s">
        <v>996</v>
      </c>
      <c r="F82" s="21"/>
      <c r="G82" s="21"/>
      <c r="H82" s="21"/>
      <c r="I82" s="21"/>
      <c r="J82" s="21"/>
      <c r="K82" s="21"/>
      <c r="L82" s="21"/>
    </row>
    <row r="83" spans="1:12" ht="29" x14ac:dyDescent="0.35">
      <c r="A83" s="21" t="s">
        <v>1072</v>
      </c>
      <c r="B83" s="21" t="s">
        <v>1077</v>
      </c>
      <c r="C83" s="21" t="s">
        <v>1078</v>
      </c>
      <c r="D83" s="21"/>
      <c r="E83" s="21" t="s">
        <v>996</v>
      </c>
      <c r="F83" s="21"/>
      <c r="G83" s="21"/>
      <c r="H83" s="21"/>
      <c r="I83" s="21"/>
      <c r="J83" s="21"/>
      <c r="K83" s="21"/>
      <c r="L83" s="21"/>
    </row>
    <row r="84" spans="1:12" ht="29" x14ac:dyDescent="0.35">
      <c r="A84" s="21" t="s">
        <v>1072</v>
      </c>
      <c r="B84" s="21" t="s">
        <v>1079</v>
      </c>
      <c r="C84" s="21" t="s">
        <v>1080</v>
      </c>
      <c r="D84" s="21"/>
      <c r="E84" s="21" t="s">
        <v>996</v>
      </c>
      <c r="F84" s="21"/>
      <c r="G84" s="21"/>
      <c r="H84" s="21"/>
      <c r="I84" s="21"/>
      <c r="J84" s="21"/>
      <c r="K84" s="21"/>
      <c r="L84" s="21"/>
    </row>
    <row r="85" spans="1:12" ht="29" x14ac:dyDescent="0.35">
      <c r="A85" s="21" t="s">
        <v>1072</v>
      </c>
      <c r="B85" s="21" t="s">
        <v>1081</v>
      </c>
      <c r="C85" s="21" t="s">
        <v>1082</v>
      </c>
      <c r="D85" s="21"/>
      <c r="E85" s="21" t="s">
        <v>996</v>
      </c>
      <c r="F85" s="21"/>
      <c r="G85" s="21"/>
      <c r="H85" s="21"/>
      <c r="I85" s="21"/>
      <c r="J85" s="21"/>
      <c r="K85" s="21"/>
      <c r="L85" s="21"/>
    </row>
    <row r="86" spans="1:12" ht="29" x14ac:dyDescent="0.35">
      <c r="A86" s="21" t="s">
        <v>1072</v>
      </c>
      <c r="B86" s="21" t="s">
        <v>1083</v>
      </c>
      <c r="C86" s="21" t="s">
        <v>1084</v>
      </c>
      <c r="D86" s="21"/>
      <c r="E86" s="21" t="s">
        <v>996</v>
      </c>
      <c r="F86" s="21"/>
      <c r="G86" s="21"/>
      <c r="H86" s="21"/>
      <c r="I86" s="21"/>
      <c r="J86" s="21"/>
      <c r="K86" s="21"/>
      <c r="L86" s="21"/>
    </row>
    <row r="87" spans="1:12" ht="29" x14ac:dyDescent="0.35">
      <c r="A87" s="21" t="s">
        <v>1085</v>
      </c>
      <c r="B87" s="21" t="s">
        <v>1086</v>
      </c>
      <c r="C87" s="21" t="s">
        <v>1087</v>
      </c>
      <c r="D87" s="21"/>
      <c r="E87" s="21" t="s">
        <v>996</v>
      </c>
      <c r="F87" s="21"/>
      <c r="G87" s="21"/>
      <c r="H87" s="21"/>
      <c r="I87" s="21"/>
      <c r="J87" s="21"/>
      <c r="K87" s="21"/>
      <c r="L87" s="21"/>
    </row>
    <row r="88" spans="1:12" ht="29" x14ac:dyDescent="0.35">
      <c r="A88" s="21" t="s">
        <v>1085</v>
      </c>
      <c r="B88" s="21" t="s">
        <v>1088</v>
      </c>
      <c r="C88" s="21" t="s">
        <v>1089</v>
      </c>
      <c r="D88" s="21"/>
      <c r="E88" s="21" t="s">
        <v>996</v>
      </c>
      <c r="F88" s="21"/>
      <c r="G88" s="21"/>
      <c r="H88" s="21"/>
      <c r="I88" s="21"/>
      <c r="J88" s="21"/>
      <c r="K88" s="21"/>
      <c r="L88" s="21"/>
    </row>
    <row r="89" spans="1:12" ht="29" x14ac:dyDescent="0.35">
      <c r="A89" s="21" t="s">
        <v>1085</v>
      </c>
      <c r="B89" s="21" t="s">
        <v>1090</v>
      </c>
      <c r="C89" s="21" t="s">
        <v>1091</v>
      </c>
      <c r="D89" s="21"/>
      <c r="E89" s="21" t="s">
        <v>996</v>
      </c>
      <c r="F89" s="21"/>
      <c r="G89" s="21"/>
      <c r="H89" s="21"/>
      <c r="I89" s="21"/>
      <c r="J89" s="21"/>
      <c r="K89" s="21"/>
      <c r="L89" s="21"/>
    </row>
    <row r="90" spans="1:12" ht="29" x14ac:dyDescent="0.35">
      <c r="A90" s="21" t="s">
        <v>1085</v>
      </c>
      <c r="B90" s="21" t="s">
        <v>1092</v>
      </c>
      <c r="C90" s="21" t="s">
        <v>1093</v>
      </c>
      <c r="D90" s="21"/>
      <c r="E90" s="21" t="s">
        <v>996</v>
      </c>
      <c r="F90" s="21"/>
      <c r="G90" s="21"/>
      <c r="H90" s="21"/>
      <c r="I90" s="21"/>
      <c r="J90" s="21"/>
      <c r="K90" s="21"/>
      <c r="L90" s="21"/>
    </row>
    <row r="91" spans="1:12" ht="29" x14ac:dyDescent="0.35">
      <c r="A91" s="21" t="s">
        <v>1085</v>
      </c>
      <c r="B91" s="21" t="s">
        <v>1094</v>
      </c>
      <c r="C91" s="21" t="s">
        <v>1095</v>
      </c>
      <c r="D91" s="21"/>
      <c r="E91" s="21" t="s">
        <v>996</v>
      </c>
      <c r="F91" s="21"/>
      <c r="G91" s="21"/>
      <c r="H91" s="21"/>
      <c r="I91" s="21"/>
      <c r="J91" s="21"/>
      <c r="K91" s="21"/>
      <c r="L91" s="21"/>
    </row>
    <row r="92" spans="1:12" ht="29" x14ac:dyDescent="0.35">
      <c r="A92" s="21" t="s">
        <v>1085</v>
      </c>
      <c r="B92" s="21" t="s">
        <v>1096</v>
      </c>
      <c r="C92" s="21" t="s">
        <v>1097</v>
      </c>
      <c r="D92" s="21"/>
      <c r="E92" s="21" t="s">
        <v>996</v>
      </c>
      <c r="F92" s="21"/>
      <c r="G92" s="21"/>
      <c r="H92" s="21"/>
      <c r="I92" s="21"/>
      <c r="J92" s="21"/>
      <c r="K92" s="21"/>
      <c r="L92" s="21"/>
    </row>
    <row r="93" spans="1:12" ht="29" x14ac:dyDescent="0.35">
      <c r="A93" s="21" t="s">
        <v>1098</v>
      </c>
      <c r="B93" s="21" t="s">
        <v>1099</v>
      </c>
      <c r="C93" s="21" t="s">
        <v>1100</v>
      </c>
      <c r="D93" s="21"/>
      <c r="E93" s="21" t="s">
        <v>996</v>
      </c>
      <c r="F93" s="21"/>
      <c r="G93" s="21"/>
      <c r="H93" s="21"/>
      <c r="I93" s="21"/>
      <c r="J93" s="21"/>
      <c r="K93" s="21"/>
      <c r="L93" s="21"/>
    </row>
    <row r="94" spans="1:12" ht="29" x14ac:dyDescent="0.35">
      <c r="A94" s="21" t="s">
        <v>1098</v>
      </c>
      <c r="B94" s="21" t="s">
        <v>1101</v>
      </c>
      <c r="C94" s="21" t="s">
        <v>1102</v>
      </c>
      <c r="D94" s="21"/>
      <c r="E94" s="21" t="s">
        <v>996</v>
      </c>
      <c r="F94" s="21"/>
      <c r="G94" s="21"/>
      <c r="H94" s="21"/>
      <c r="I94" s="21"/>
      <c r="J94" s="21"/>
      <c r="K94" s="21"/>
      <c r="L94" s="21"/>
    </row>
    <row r="95" spans="1:12" ht="29" x14ac:dyDescent="0.35">
      <c r="A95" s="21" t="s">
        <v>1098</v>
      </c>
      <c r="B95" s="21" t="s">
        <v>1103</v>
      </c>
      <c r="C95" s="21" t="s">
        <v>1104</v>
      </c>
      <c r="D95" s="21"/>
      <c r="E95" s="21" t="s">
        <v>996</v>
      </c>
      <c r="F95" s="21"/>
      <c r="G95" s="21"/>
      <c r="H95" s="21"/>
      <c r="I95" s="21"/>
      <c r="J95" s="21"/>
      <c r="K95" s="21"/>
      <c r="L95" s="21"/>
    </row>
    <row r="96" spans="1:12" ht="29" x14ac:dyDescent="0.35">
      <c r="A96" s="21" t="s">
        <v>1098</v>
      </c>
      <c r="B96" s="21" t="s">
        <v>1105</v>
      </c>
      <c r="C96" s="21" t="s">
        <v>1106</v>
      </c>
      <c r="D96" s="21"/>
      <c r="E96" s="21" t="s">
        <v>996</v>
      </c>
      <c r="F96" s="21"/>
      <c r="G96" s="21"/>
      <c r="H96" s="21"/>
      <c r="I96" s="21"/>
      <c r="J96" s="21"/>
      <c r="K96" s="21"/>
      <c r="L96" s="21"/>
    </row>
    <row r="97" spans="1:12" ht="29" x14ac:dyDescent="0.35">
      <c r="A97" s="21" t="s">
        <v>1098</v>
      </c>
      <c r="B97" s="21" t="s">
        <v>1107</v>
      </c>
      <c r="C97" s="21" t="s">
        <v>1108</v>
      </c>
      <c r="D97" s="21"/>
      <c r="E97" s="21" t="s">
        <v>996</v>
      </c>
      <c r="F97" s="21"/>
      <c r="G97" s="21"/>
      <c r="H97" s="21"/>
      <c r="I97" s="21"/>
      <c r="J97" s="21"/>
      <c r="K97" s="21"/>
      <c r="L97" s="21"/>
    </row>
    <row r="98" spans="1:12" ht="29" x14ac:dyDescent="0.35">
      <c r="A98" s="21" t="s">
        <v>1098</v>
      </c>
      <c r="B98" s="21" t="s">
        <v>1109</v>
      </c>
      <c r="C98" s="21" t="s">
        <v>1110</v>
      </c>
      <c r="D98" s="21"/>
      <c r="E98" s="21" t="s">
        <v>996</v>
      </c>
      <c r="F98" s="21"/>
      <c r="G98" s="21"/>
      <c r="H98" s="21"/>
      <c r="I98" s="21"/>
      <c r="J98" s="21"/>
      <c r="K98" s="21"/>
      <c r="L98" s="21"/>
    </row>
    <row r="99" spans="1:12" ht="29" x14ac:dyDescent="0.35">
      <c r="A99" s="21" t="s">
        <v>1111</v>
      </c>
      <c r="B99" s="21" t="s">
        <v>1112</v>
      </c>
      <c r="C99" s="21" t="s">
        <v>1113</v>
      </c>
      <c r="D99" s="21"/>
      <c r="E99" s="21" t="s">
        <v>1114</v>
      </c>
      <c r="F99" s="21"/>
      <c r="G99" s="21"/>
      <c r="H99" s="21"/>
      <c r="I99" s="21"/>
      <c r="J99" s="21"/>
      <c r="K99" s="21"/>
      <c r="L99" s="21"/>
    </row>
    <row r="100" spans="1:12" ht="29" x14ac:dyDescent="0.35">
      <c r="A100" s="21" t="s">
        <v>1111</v>
      </c>
      <c r="B100" s="21" t="s">
        <v>1115</v>
      </c>
      <c r="C100" s="21" t="s">
        <v>1116</v>
      </c>
      <c r="D100" s="21"/>
      <c r="E100" s="21" t="s">
        <v>1114</v>
      </c>
      <c r="F100" s="21"/>
      <c r="G100" s="21"/>
      <c r="H100" s="21"/>
      <c r="I100" s="21"/>
      <c r="J100" s="21"/>
      <c r="K100" s="21"/>
      <c r="L100" s="21"/>
    </row>
    <row r="101" spans="1:12" ht="29" x14ac:dyDescent="0.35">
      <c r="A101" s="21" t="s">
        <v>1111</v>
      </c>
      <c r="B101" s="21" t="s">
        <v>1117</v>
      </c>
      <c r="C101" s="21" t="s">
        <v>1118</v>
      </c>
      <c r="D101" s="21"/>
      <c r="E101" s="21" t="s">
        <v>1114</v>
      </c>
      <c r="F101" s="21"/>
      <c r="G101" s="21"/>
      <c r="H101" s="21"/>
      <c r="I101" s="21"/>
      <c r="J101" s="21"/>
      <c r="K101" s="21"/>
      <c r="L101" s="21"/>
    </row>
    <row r="102" spans="1:12" ht="29" x14ac:dyDescent="0.35">
      <c r="A102" s="21" t="s">
        <v>1111</v>
      </c>
      <c r="B102" s="21" t="s">
        <v>1119</v>
      </c>
      <c r="C102" s="21" t="s">
        <v>1120</v>
      </c>
      <c r="D102" s="21"/>
      <c r="E102" s="21" t="s">
        <v>1114</v>
      </c>
      <c r="F102" s="21"/>
      <c r="G102" s="21"/>
      <c r="H102" s="21"/>
      <c r="I102" s="21"/>
      <c r="J102" s="21"/>
      <c r="K102" s="21"/>
      <c r="L102" s="21"/>
    </row>
    <row r="103" spans="1:12" ht="29" x14ac:dyDescent="0.35">
      <c r="A103" s="21" t="s">
        <v>1111</v>
      </c>
      <c r="B103" s="21" t="s">
        <v>1121</v>
      </c>
      <c r="C103" s="21" t="s">
        <v>1122</v>
      </c>
      <c r="D103" s="21"/>
      <c r="E103" s="21" t="s">
        <v>1114</v>
      </c>
      <c r="F103" s="21"/>
      <c r="G103" s="21"/>
      <c r="H103" s="21"/>
      <c r="I103" s="21"/>
      <c r="J103" s="21"/>
      <c r="K103" s="21"/>
      <c r="L103" s="21"/>
    </row>
    <row r="104" spans="1:12" ht="29" x14ac:dyDescent="0.35">
      <c r="A104" s="21" t="s">
        <v>1111</v>
      </c>
      <c r="B104" s="21" t="s">
        <v>1123</v>
      </c>
      <c r="C104" s="21" t="s">
        <v>1124</v>
      </c>
      <c r="D104" s="21"/>
      <c r="E104" s="21" t="s">
        <v>1114</v>
      </c>
      <c r="F104" s="21"/>
      <c r="G104" s="21"/>
      <c r="H104" s="21"/>
      <c r="I104" s="21"/>
      <c r="J104" s="21"/>
      <c r="K104" s="21"/>
      <c r="L104" s="21"/>
    </row>
    <row r="105" spans="1:12" ht="29" x14ac:dyDescent="0.35">
      <c r="A105" s="21" t="s">
        <v>1125</v>
      </c>
      <c r="B105" s="21" t="s">
        <v>1126</v>
      </c>
      <c r="C105" s="21" t="s">
        <v>1127</v>
      </c>
      <c r="D105" s="21"/>
      <c r="E105" s="21" t="s">
        <v>1114</v>
      </c>
      <c r="F105" s="21"/>
      <c r="G105" s="21"/>
      <c r="H105" s="21"/>
      <c r="I105" s="21"/>
      <c r="J105" s="21"/>
      <c r="K105" s="21"/>
      <c r="L105" s="21"/>
    </row>
    <row r="106" spans="1:12" ht="29" x14ac:dyDescent="0.35">
      <c r="A106" s="21" t="s">
        <v>1125</v>
      </c>
      <c r="B106" s="21" t="s">
        <v>1128</v>
      </c>
      <c r="C106" s="21" t="s">
        <v>1129</v>
      </c>
      <c r="D106" s="21"/>
      <c r="E106" s="21" t="s">
        <v>1114</v>
      </c>
      <c r="F106" s="21"/>
      <c r="G106" s="21"/>
      <c r="H106" s="21"/>
      <c r="I106" s="21"/>
      <c r="J106" s="21"/>
      <c r="K106" s="21"/>
      <c r="L106" s="21"/>
    </row>
    <row r="107" spans="1:12" ht="43.5" x14ac:dyDescent="0.35">
      <c r="A107" s="21" t="s">
        <v>1125</v>
      </c>
      <c r="B107" s="21" t="s">
        <v>1130</v>
      </c>
      <c r="C107" s="21" t="s">
        <v>1131</v>
      </c>
      <c r="D107" s="21"/>
      <c r="E107" s="21" t="s">
        <v>1114</v>
      </c>
      <c r="F107" s="21"/>
      <c r="G107" s="21"/>
      <c r="H107" s="21"/>
      <c r="I107" s="21"/>
      <c r="J107" s="21"/>
      <c r="K107" s="21"/>
      <c r="L107" s="21"/>
    </row>
    <row r="108" spans="1:12" ht="29" x14ac:dyDescent="0.35">
      <c r="A108" s="21" t="s">
        <v>1125</v>
      </c>
      <c r="B108" s="21" t="s">
        <v>1132</v>
      </c>
      <c r="C108" s="21" t="s">
        <v>1133</v>
      </c>
      <c r="D108" s="21"/>
      <c r="E108" s="21" t="s">
        <v>1114</v>
      </c>
      <c r="F108" s="21"/>
      <c r="G108" s="21"/>
      <c r="H108" s="21"/>
      <c r="I108" s="21"/>
      <c r="J108" s="21"/>
      <c r="K108" s="21"/>
      <c r="L108" s="21"/>
    </row>
    <row r="109" spans="1:12" ht="29" x14ac:dyDescent="0.35">
      <c r="A109" s="21" t="s">
        <v>1125</v>
      </c>
      <c r="B109" s="21" t="s">
        <v>1134</v>
      </c>
      <c r="C109" s="21" t="s">
        <v>1135</v>
      </c>
      <c r="D109" s="21"/>
      <c r="E109" s="21" t="s">
        <v>1114</v>
      </c>
      <c r="F109" s="21"/>
      <c r="G109" s="21"/>
      <c r="H109" s="21"/>
      <c r="I109" s="21"/>
      <c r="J109" s="21"/>
      <c r="K109" s="21"/>
      <c r="L109" s="21"/>
    </row>
    <row r="110" spans="1:12" ht="29" x14ac:dyDescent="0.35">
      <c r="A110" s="21" t="s">
        <v>1125</v>
      </c>
      <c r="B110" s="21" t="s">
        <v>1136</v>
      </c>
      <c r="C110" s="21" t="s">
        <v>1137</v>
      </c>
      <c r="D110" s="21"/>
      <c r="E110" s="21" t="s">
        <v>1114</v>
      </c>
      <c r="F110" s="21"/>
      <c r="G110" s="21"/>
      <c r="H110" s="21"/>
      <c r="I110" s="21"/>
      <c r="J110" s="21"/>
      <c r="K110" s="21"/>
      <c r="L110" s="21"/>
    </row>
    <row r="111" spans="1:12" ht="29" x14ac:dyDescent="0.35">
      <c r="A111" s="21" t="s">
        <v>1138</v>
      </c>
      <c r="B111" s="21" t="s">
        <v>1139</v>
      </c>
      <c r="C111" s="21" t="s">
        <v>1140</v>
      </c>
      <c r="D111" s="21"/>
      <c r="E111" s="21" t="s">
        <v>996</v>
      </c>
      <c r="F111" s="21"/>
      <c r="G111" s="21"/>
      <c r="H111" s="21"/>
      <c r="I111" s="21"/>
      <c r="J111" s="21"/>
      <c r="K111" s="21"/>
      <c r="L111" s="21"/>
    </row>
    <row r="112" spans="1:12" ht="29" x14ac:dyDescent="0.35">
      <c r="A112" s="21" t="s">
        <v>1138</v>
      </c>
      <c r="B112" s="21" t="s">
        <v>1141</v>
      </c>
      <c r="C112" s="21" t="s">
        <v>1142</v>
      </c>
      <c r="D112" s="21"/>
      <c r="E112" s="21" t="s">
        <v>996</v>
      </c>
      <c r="F112" s="21"/>
      <c r="G112" s="21"/>
      <c r="H112" s="21"/>
      <c r="I112" s="21"/>
      <c r="J112" s="21"/>
      <c r="K112" s="21"/>
      <c r="L112" s="21"/>
    </row>
    <row r="113" spans="1:12" ht="29" x14ac:dyDescent="0.35">
      <c r="A113" s="21" t="s">
        <v>1138</v>
      </c>
      <c r="B113" s="21" t="s">
        <v>1143</v>
      </c>
      <c r="C113" s="21" t="s">
        <v>1144</v>
      </c>
      <c r="D113" s="21"/>
      <c r="E113" s="21" t="s">
        <v>996</v>
      </c>
      <c r="F113" s="21"/>
      <c r="G113" s="21"/>
      <c r="H113" s="21"/>
      <c r="I113" s="21"/>
      <c r="J113" s="21"/>
      <c r="K113" s="21"/>
      <c r="L113" s="21"/>
    </row>
    <row r="114" spans="1:12" ht="29" x14ac:dyDescent="0.35">
      <c r="A114" s="21" t="s">
        <v>1138</v>
      </c>
      <c r="B114" s="21" t="s">
        <v>1145</v>
      </c>
      <c r="C114" s="21" t="s">
        <v>1146</v>
      </c>
      <c r="D114" s="21"/>
      <c r="E114" s="21" t="s">
        <v>996</v>
      </c>
      <c r="F114" s="21"/>
      <c r="G114" s="21"/>
      <c r="H114" s="21"/>
      <c r="I114" s="21"/>
      <c r="J114" s="21"/>
      <c r="K114" s="21"/>
      <c r="L114" s="21"/>
    </row>
    <row r="115" spans="1:12" ht="29" x14ac:dyDescent="0.35">
      <c r="A115" s="21" t="s">
        <v>1138</v>
      </c>
      <c r="B115" s="21" t="s">
        <v>1147</v>
      </c>
      <c r="C115" s="21" t="s">
        <v>1148</v>
      </c>
      <c r="D115" s="21"/>
      <c r="E115" s="21" t="s">
        <v>996</v>
      </c>
      <c r="F115" s="21"/>
      <c r="G115" s="21"/>
      <c r="H115" s="21"/>
      <c r="I115" s="21"/>
      <c r="J115" s="21"/>
      <c r="K115" s="21"/>
      <c r="L115" s="21"/>
    </row>
    <row r="116" spans="1:12" ht="29" x14ac:dyDescent="0.35">
      <c r="A116" s="21" t="s">
        <v>1138</v>
      </c>
      <c r="B116" s="21" t="s">
        <v>1149</v>
      </c>
      <c r="C116" s="21" t="s">
        <v>1150</v>
      </c>
      <c r="D116" s="21"/>
      <c r="E116" s="21" t="s">
        <v>996</v>
      </c>
      <c r="F116" s="21"/>
      <c r="G116" s="21"/>
      <c r="H116" s="21"/>
      <c r="I116" s="21"/>
      <c r="J116" s="21"/>
      <c r="K116" s="21"/>
      <c r="L116" s="21"/>
    </row>
    <row r="117" spans="1:12" ht="29" x14ac:dyDescent="0.35">
      <c r="A117" s="21" t="s">
        <v>1151</v>
      </c>
      <c r="B117" s="21" t="s">
        <v>1152</v>
      </c>
      <c r="C117" s="21" t="s">
        <v>1153</v>
      </c>
      <c r="D117" s="21"/>
      <c r="E117" s="21" t="s">
        <v>996</v>
      </c>
      <c r="F117" s="21"/>
      <c r="G117" s="21"/>
      <c r="H117" s="21"/>
      <c r="I117" s="21"/>
      <c r="J117" s="21"/>
      <c r="K117" s="21"/>
      <c r="L117" s="21"/>
    </row>
    <row r="118" spans="1:12" ht="29" x14ac:dyDescent="0.35">
      <c r="A118" s="21" t="s">
        <v>1151</v>
      </c>
      <c r="B118" s="21" t="s">
        <v>1154</v>
      </c>
      <c r="C118" s="21" t="s">
        <v>1155</v>
      </c>
      <c r="D118" s="21"/>
      <c r="E118" s="21" t="s">
        <v>996</v>
      </c>
      <c r="F118" s="21"/>
      <c r="G118" s="21"/>
      <c r="H118" s="21"/>
      <c r="I118" s="21"/>
      <c r="J118" s="21"/>
      <c r="K118" s="21"/>
      <c r="L118" s="21"/>
    </row>
    <row r="119" spans="1:12" ht="29" x14ac:dyDescent="0.35">
      <c r="A119" s="21" t="s">
        <v>1151</v>
      </c>
      <c r="B119" s="21" t="s">
        <v>1156</v>
      </c>
      <c r="C119" s="21" t="s">
        <v>1157</v>
      </c>
      <c r="D119" s="21"/>
      <c r="E119" s="21" t="s">
        <v>996</v>
      </c>
      <c r="F119" s="21"/>
      <c r="G119" s="21"/>
      <c r="H119" s="21"/>
      <c r="I119" s="21"/>
      <c r="J119" s="21"/>
      <c r="K119" s="21"/>
      <c r="L119" s="21"/>
    </row>
    <row r="120" spans="1:12" ht="29" x14ac:dyDescent="0.35">
      <c r="A120" s="21" t="s">
        <v>1151</v>
      </c>
      <c r="B120" s="21" t="s">
        <v>1158</v>
      </c>
      <c r="C120" s="21" t="s">
        <v>1159</v>
      </c>
      <c r="D120" s="21"/>
      <c r="E120" s="21" t="s">
        <v>996</v>
      </c>
      <c r="F120" s="21"/>
      <c r="G120" s="21"/>
      <c r="H120" s="21"/>
      <c r="I120" s="21"/>
      <c r="J120" s="21"/>
      <c r="K120" s="21"/>
      <c r="L120" s="21"/>
    </row>
    <row r="121" spans="1:12" ht="29" x14ac:dyDescent="0.35">
      <c r="A121" s="21" t="s">
        <v>1151</v>
      </c>
      <c r="B121" s="21" t="s">
        <v>1160</v>
      </c>
      <c r="C121" s="21" t="s">
        <v>1161</v>
      </c>
      <c r="D121" s="21"/>
      <c r="E121" s="21" t="s">
        <v>996</v>
      </c>
      <c r="F121" s="21"/>
      <c r="G121" s="21"/>
      <c r="H121" s="21"/>
      <c r="I121" s="21"/>
      <c r="J121" s="21"/>
      <c r="K121" s="21"/>
      <c r="L121" s="21"/>
    </row>
    <row r="122" spans="1:12" ht="29" x14ac:dyDescent="0.35">
      <c r="A122" s="21" t="s">
        <v>1151</v>
      </c>
      <c r="B122" s="21" t="s">
        <v>1162</v>
      </c>
      <c r="C122" s="21" t="s">
        <v>1163</v>
      </c>
      <c r="D122" s="21"/>
      <c r="E122" s="21" t="s">
        <v>996</v>
      </c>
      <c r="F122" s="21"/>
      <c r="G122" s="21"/>
      <c r="H122" s="21"/>
      <c r="I122" s="21"/>
      <c r="J122" s="21"/>
      <c r="K122" s="21"/>
      <c r="L122" s="21"/>
    </row>
    <row r="123" spans="1:12" ht="29" x14ac:dyDescent="0.35">
      <c r="A123" s="21" t="s">
        <v>432</v>
      </c>
      <c r="B123" s="21" t="s">
        <v>1164</v>
      </c>
      <c r="C123" s="21" t="s">
        <v>1165</v>
      </c>
      <c r="D123" s="21"/>
      <c r="E123" s="21" t="s">
        <v>1114</v>
      </c>
      <c r="F123" s="21"/>
      <c r="G123" s="21"/>
      <c r="H123" s="21"/>
      <c r="I123" s="21"/>
      <c r="J123" s="21"/>
      <c r="K123" s="21"/>
      <c r="L123" s="21"/>
    </row>
    <row r="124" spans="1:12" ht="29" x14ac:dyDescent="0.35">
      <c r="A124" s="21" t="s">
        <v>432</v>
      </c>
      <c r="B124" s="21" t="s">
        <v>1166</v>
      </c>
      <c r="C124" s="21" t="s">
        <v>1167</v>
      </c>
      <c r="D124" s="21"/>
      <c r="E124" s="21" t="s">
        <v>1114</v>
      </c>
      <c r="F124" s="21"/>
      <c r="G124" s="21"/>
      <c r="H124" s="21"/>
      <c r="I124" s="21"/>
      <c r="J124" s="21"/>
      <c r="K124" s="21"/>
      <c r="L124" s="21"/>
    </row>
    <row r="125" spans="1:12" ht="29" x14ac:dyDescent="0.35">
      <c r="A125" s="21" t="s">
        <v>432</v>
      </c>
      <c r="B125" s="21" t="s">
        <v>1168</v>
      </c>
      <c r="C125" s="21" t="s">
        <v>1169</v>
      </c>
      <c r="D125" s="21"/>
      <c r="E125" s="21" t="s">
        <v>1114</v>
      </c>
      <c r="F125" s="21"/>
      <c r="G125" s="21"/>
      <c r="H125" s="21"/>
      <c r="I125" s="21"/>
      <c r="J125" s="21"/>
      <c r="K125" s="21"/>
      <c r="L125" s="21"/>
    </row>
    <row r="126" spans="1:12" ht="29" x14ac:dyDescent="0.35">
      <c r="A126" s="21" t="s">
        <v>432</v>
      </c>
      <c r="B126" s="21" t="s">
        <v>1170</v>
      </c>
      <c r="C126" s="21" t="s">
        <v>1171</v>
      </c>
      <c r="D126" s="21"/>
      <c r="E126" s="21" t="s">
        <v>1114</v>
      </c>
      <c r="F126" s="21"/>
      <c r="G126" s="21"/>
      <c r="H126" s="21"/>
      <c r="I126" s="21"/>
      <c r="J126" s="21"/>
      <c r="K126" s="21"/>
      <c r="L126" s="21"/>
    </row>
    <row r="127" spans="1:12" ht="29" x14ac:dyDescent="0.35">
      <c r="A127" s="21" t="s">
        <v>432</v>
      </c>
      <c r="B127" s="21" t="s">
        <v>1172</v>
      </c>
      <c r="C127" s="21" t="s">
        <v>1173</v>
      </c>
      <c r="D127" s="21"/>
      <c r="E127" s="21" t="s">
        <v>1114</v>
      </c>
      <c r="F127" s="21"/>
      <c r="G127" s="21"/>
      <c r="H127" s="21"/>
      <c r="I127" s="21"/>
      <c r="J127" s="21"/>
      <c r="K127" s="21"/>
      <c r="L127" s="21"/>
    </row>
    <row r="128" spans="1:12" ht="29" x14ac:dyDescent="0.35">
      <c r="A128" s="21" t="s">
        <v>432</v>
      </c>
      <c r="B128" s="21" t="s">
        <v>1174</v>
      </c>
      <c r="C128" s="21" t="s">
        <v>1175</v>
      </c>
      <c r="D128" s="21"/>
      <c r="E128" s="21" t="s">
        <v>1114</v>
      </c>
      <c r="F128" s="21"/>
      <c r="G128" s="21"/>
      <c r="H128" s="21"/>
      <c r="I128" s="21"/>
      <c r="J128" s="21"/>
      <c r="K128" s="21"/>
      <c r="L128" s="21"/>
    </row>
    <row r="129" spans="1:12" ht="29" x14ac:dyDescent="0.35">
      <c r="A129" s="21" t="s">
        <v>1176</v>
      </c>
      <c r="B129" s="21" t="s">
        <v>1177</v>
      </c>
      <c r="C129" s="21" t="s">
        <v>1178</v>
      </c>
      <c r="D129" s="21"/>
      <c r="E129" s="21" t="s">
        <v>996</v>
      </c>
      <c r="F129" s="21"/>
      <c r="G129" s="21"/>
      <c r="H129" s="21"/>
      <c r="I129" s="21"/>
      <c r="J129" s="21"/>
      <c r="K129" s="21"/>
      <c r="L129" s="21"/>
    </row>
    <row r="130" spans="1:12" ht="29" x14ac:dyDescent="0.35">
      <c r="A130" s="21" t="s">
        <v>1176</v>
      </c>
      <c r="B130" s="21" t="s">
        <v>1179</v>
      </c>
      <c r="C130" s="21" t="s">
        <v>1180</v>
      </c>
      <c r="D130" s="21"/>
      <c r="E130" s="21" t="s">
        <v>996</v>
      </c>
      <c r="F130" s="21"/>
      <c r="G130" s="21"/>
      <c r="H130" s="21"/>
      <c r="I130" s="21"/>
      <c r="J130" s="21"/>
      <c r="K130" s="21"/>
      <c r="L130" s="21"/>
    </row>
    <row r="131" spans="1:12" ht="29" x14ac:dyDescent="0.35">
      <c r="A131" s="21" t="s">
        <v>1176</v>
      </c>
      <c r="B131" s="21" t="s">
        <v>1181</v>
      </c>
      <c r="C131" s="21" t="s">
        <v>1182</v>
      </c>
      <c r="D131" s="21"/>
      <c r="E131" s="21" t="s">
        <v>996</v>
      </c>
      <c r="F131" s="21"/>
      <c r="G131" s="21"/>
      <c r="H131" s="21"/>
      <c r="I131" s="21"/>
      <c r="J131" s="21"/>
      <c r="K131" s="21"/>
      <c r="L131" s="21"/>
    </row>
    <row r="132" spans="1:12" ht="29" x14ac:dyDescent="0.35">
      <c r="A132" s="21" t="s">
        <v>1176</v>
      </c>
      <c r="B132" s="21" t="s">
        <v>1183</v>
      </c>
      <c r="C132" s="21" t="s">
        <v>1184</v>
      </c>
      <c r="D132" s="21"/>
      <c r="E132" s="21" t="s">
        <v>996</v>
      </c>
      <c r="F132" s="21"/>
      <c r="G132" s="21"/>
      <c r="H132" s="21"/>
      <c r="I132" s="21"/>
      <c r="J132" s="21"/>
      <c r="K132" s="21"/>
      <c r="L132" s="21"/>
    </row>
    <row r="133" spans="1:12" ht="29" x14ac:dyDescent="0.35">
      <c r="A133" s="21" t="s">
        <v>1176</v>
      </c>
      <c r="B133" s="21" t="s">
        <v>1185</v>
      </c>
      <c r="C133" s="21" t="s">
        <v>1186</v>
      </c>
      <c r="D133" s="21"/>
      <c r="E133" s="21" t="s">
        <v>996</v>
      </c>
      <c r="F133" s="21"/>
      <c r="G133" s="21"/>
      <c r="H133" s="21"/>
      <c r="I133" s="21"/>
      <c r="J133" s="21"/>
      <c r="K133" s="21"/>
      <c r="L133" s="21"/>
    </row>
    <row r="134" spans="1:12" ht="29" x14ac:dyDescent="0.35">
      <c r="A134" s="21" t="s">
        <v>1176</v>
      </c>
      <c r="B134" s="21" t="s">
        <v>1187</v>
      </c>
      <c r="C134" s="21" t="s">
        <v>1188</v>
      </c>
      <c r="D134" s="21"/>
      <c r="E134" s="21" t="s">
        <v>996</v>
      </c>
      <c r="F134" s="21"/>
      <c r="G134" s="21"/>
      <c r="H134" s="21"/>
      <c r="I134" s="21"/>
      <c r="J134" s="21"/>
      <c r="K134" s="21"/>
      <c r="L134" s="21"/>
    </row>
    <row r="135" spans="1:12" ht="29" x14ac:dyDescent="0.35">
      <c r="A135" s="21" t="s">
        <v>1189</v>
      </c>
      <c r="B135" s="21" t="s">
        <v>1190</v>
      </c>
      <c r="C135" s="21" t="s">
        <v>1191</v>
      </c>
      <c r="D135" s="21"/>
      <c r="E135" s="21" t="s">
        <v>996</v>
      </c>
      <c r="F135" s="21"/>
      <c r="G135" s="21"/>
      <c r="H135" s="21"/>
      <c r="I135" s="21"/>
      <c r="J135" s="21"/>
      <c r="K135" s="21"/>
      <c r="L135" s="21"/>
    </row>
    <row r="136" spans="1:12" ht="29" x14ac:dyDescent="0.35">
      <c r="A136" s="21" t="s">
        <v>1189</v>
      </c>
      <c r="B136" s="21" t="s">
        <v>1192</v>
      </c>
      <c r="C136" s="21" t="s">
        <v>1193</v>
      </c>
      <c r="D136" s="21"/>
      <c r="E136" s="21" t="s">
        <v>996</v>
      </c>
      <c r="F136" s="21"/>
      <c r="G136" s="21"/>
      <c r="H136" s="21"/>
      <c r="I136" s="21"/>
      <c r="J136" s="21"/>
      <c r="K136" s="21"/>
      <c r="L136" s="21"/>
    </row>
    <row r="137" spans="1:12" ht="29" x14ac:dyDescent="0.35">
      <c r="A137" s="21" t="s">
        <v>1189</v>
      </c>
      <c r="B137" s="21" t="s">
        <v>1194</v>
      </c>
      <c r="C137" s="21" t="s">
        <v>1195</v>
      </c>
      <c r="D137" s="21"/>
      <c r="E137" s="21" t="s">
        <v>996</v>
      </c>
      <c r="F137" s="21"/>
      <c r="G137" s="21"/>
      <c r="H137" s="21"/>
      <c r="I137" s="21"/>
      <c r="J137" s="21"/>
      <c r="K137" s="21"/>
      <c r="L137" s="21"/>
    </row>
    <row r="138" spans="1:12" ht="29" x14ac:dyDescent="0.35">
      <c r="A138" s="21" t="s">
        <v>1189</v>
      </c>
      <c r="B138" s="21" t="s">
        <v>1196</v>
      </c>
      <c r="C138" s="21" t="s">
        <v>1197</v>
      </c>
      <c r="D138" s="21"/>
      <c r="E138" s="21" t="s">
        <v>996</v>
      </c>
      <c r="F138" s="21"/>
      <c r="G138" s="21"/>
      <c r="H138" s="21"/>
      <c r="I138" s="21"/>
      <c r="J138" s="21"/>
      <c r="K138" s="21"/>
      <c r="L138" s="21"/>
    </row>
    <row r="139" spans="1:12" ht="29" x14ac:dyDescent="0.35">
      <c r="A139" s="21" t="s">
        <v>1189</v>
      </c>
      <c r="B139" s="21" t="s">
        <v>1198</v>
      </c>
      <c r="C139" s="21" t="s">
        <v>1199</v>
      </c>
      <c r="D139" s="21"/>
      <c r="E139" s="21" t="s">
        <v>996</v>
      </c>
      <c r="F139" s="21"/>
      <c r="G139" s="21"/>
      <c r="H139" s="21"/>
      <c r="I139" s="21"/>
      <c r="J139" s="21"/>
      <c r="K139" s="21"/>
      <c r="L139" s="21"/>
    </row>
    <row r="140" spans="1:12" ht="29" x14ac:dyDescent="0.35">
      <c r="A140" s="21" t="s">
        <v>1189</v>
      </c>
      <c r="B140" s="21" t="s">
        <v>1200</v>
      </c>
      <c r="C140" s="21" t="s">
        <v>1201</v>
      </c>
      <c r="D140" s="21"/>
      <c r="E140" s="21" t="s">
        <v>996</v>
      </c>
      <c r="F140" s="21"/>
      <c r="G140" s="21"/>
      <c r="H140" s="21"/>
      <c r="I140" s="21"/>
      <c r="J140" s="21"/>
      <c r="K140" s="21"/>
      <c r="L140" s="21"/>
    </row>
    <row r="141" spans="1:12" ht="29" x14ac:dyDescent="0.35">
      <c r="A141" s="21" t="s">
        <v>1202</v>
      </c>
      <c r="B141" s="21" t="s">
        <v>1203</v>
      </c>
      <c r="C141" s="21" t="s">
        <v>1204</v>
      </c>
      <c r="D141" s="21"/>
      <c r="E141" s="21" t="s">
        <v>996</v>
      </c>
      <c r="F141" s="21"/>
      <c r="G141" s="21"/>
      <c r="H141" s="21"/>
      <c r="I141" s="21"/>
      <c r="J141" s="21"/>
      <c r="K141" s="21"/>
      <c r="L141" s="21"/>
    </row>
    <row r="142" spans="1:12" ht="29" x14ac:dyDescent="0.35">
      <c r="A142" s="21" t="s">
        <v>1202</v>
      </c>
      <c r="B142" s="21" t="s">
        <v>1205</v>
      </c>
      <c r="C142" s="21" t="s">
        <v>1206</v>
      </c>
      <c r="D142" s="21"/>
      <c r="E142" s="21" t="s">
        <v>996</v>
      </c>
      <c r="F142" s="21"/>
      <c r="G142" s="21"/>
      <c r="H142" s="21"/>
      <c r="I142" s="21"/>
      <c r="J142" s="21"/>
      <c r="K142" s="21"/>
      <c r="L142" s="21"/>
    </row>
    <row r="143" spans="1:12" ht="29" x14ac:dyDescent="0.35">
      <c r="A143" s="21" t="s">
        <v>1202</v>
      </c>
      <c r="B143" s="21" t="s">
        <v>1207</v>
      </c>
      <c r="C143" s="21" t="s">
        <v>1208</v>
      </c>
      <c r="D143" s="21"/>
      <c r="E143" s="21" t="s">
        <v>996</v>
      </c>
      <c r="F143" s="21"/>
      <c r="G143" s="21"/>
      <c r="H143" s="21"/>
      <c r="I143" s="21"/>
      <c r="J143" s="21"/>
      <c r="K143" s="21"/>
      <c r="L143" s="21"/>
    </row>
    <row r="144" spans="1:12" ht="29" x14ac:dyDescent="0.35">
      <c r="A144" s="21" t="s">
        <v>1202</v>
      </c>
      <c r="B144" s="21" t="s">
        <v>1209</v>
      </c>
      <c r="C144" s="21" t="s">
        <v>1210</v>
      </c>
      <c r="D144" s="21"/>
      <c r="E144" s="21" t="s">
        <v>996</v>
      </c>
      <c r="F144" s="21"/>
      <c r="G144" s="21"/>
      <c r="H144" s="21"/>
      <c r="I144" s="21"/>
      <c r="J144" s="21"/>
      <c r="K144" s="21"/>
      <c r="L144" s="21"/>
    </row>
    <row r="145" spans="1:12" ht="29" x14ac:dyDescent="0.35">
      <c r="A145" s="21" t="s">
        <v>1202</v>
      </c>
      <c r="B145" s="21" t="s">
        <v>1211</v>
      </c>
      <c r="C145" s="21" t="s">
        <v>1212</v>
      </c>
      <c r="D145" s="21"/>
      <c r="E145" s="21" t="s">
        <v>996</v>
      </c>
      <c r="F145" s="21"/>
      <c r="G145" s="21"/>
      <c r="H145" s="21"/>
      <c r="I145" s="21"/>
      <c r="J145" s="21"/>
      <c r="K145" s="21"/>
      <c r="L145" s="21"/>
    </row>
    <row r="146" spans="1:12" ht="29" x14ac:dyDescent="0.35">
      <c r="A146" s="21" t="s">
        <v>1202</v>
      </c>
      <c r="B146" s="21" t="s">
        <v>1213</v>
      </c>
      <c r="C146" s="21" t="s">
        <v>1214</v>
      </c>
      <c r="D146" s="21"/>
      <c r="E146" s="21" t="s">
        <v>996</v>
      </c>
      <c r="F146" s="21"/>
      <c r="G146" s="21"/>
      <c r="H146" s="21"/>
      <c r="I146" s="21"/>
      <c r="J146" s="21"/>
      <c r="K146" s="21"/>
      <c r="L146" s="21"/>
    </row>
    <row r="147" spans="1:12" ht="29" x14ac:dyDescent="0.35">
      <c r="A147" s="21" t="s">
        <v>1215</v>
      </c>
      <c r="B147" s="21" t="s">
        <v>1216</v>
      </c>
      <c r="C147" s="21" t="s">
        <v>1217</v>
      </c>
      <c r="D147" s="21"/>
      <c r="E147" s="21" t="s">
        <v>996</v>
      </c>
      <c r="F147" s="21"/>
      <c r="G147" s="21"/>
      <c r="H147" s="21"/>
      <c r="I147" s="21"/>
      <c r="J147" s="21"/>
      <c r="K147" s="21"/>
      <c r="L147" s="21"/>
    </row>
    <row r="148" spans="1:12" ht="29" x14ac:dyDescent="0.35">
      <c r="A148" s="21" t="s">
        <v>1215</v>
      </c>
      <c r="B148" s="21" t="s">
        <v>1218</v>
      </c>
      <c r="C148" s="21" t="s">
        <v>1219</v>
      </c>
      <c r="D148" s="21"/>
      <c r="E148" s="21" t="s">
        <v>996</v>
      </c>
      <c r="F148" s="21"/>
      <c r="G148" s="21"/>
      <c r="H148" s="21"/>
      <c r="I148" s="21"/>
      <c r="J148" s="21"/>
      <c r="K148" s="21"/>
      <c r="L148" s="21"/>
    </row>
    <row r="149" spans="1:12" ht="29" x14ac:dyDescent="0.35">
      <c r="A149" s="21" t="s">
        <v>1215</v>
      </c>
      <c r="B149" s="21" t="s">
        <v>1220</v>
      </c>
      <c r="C149" s="21" t="s">
        <v>1221</v>
      </c>
      <c r="D149" s="21"/>
      <c r="E149" s="21" t="s">
        <v>996</v>
      </c>
      <c r="F149" s="21"/>
      <c r="G149" s="21"/>
      <c r="H149" s="21"/>
      <c r="I149" s="21"/>
      <c r="J149" s="21"/>
      <c r="K149" s="21"/>
      <c r="L149" s="21"/>
    </row>
    <row r="150" spans="1:12" ht="29" x14ac:dyDescent="0.35">
      <c r="A150" s="21" t="s">
        <v>1215</v>
      </c>
      <c r="B150" s="21" t="s">
        <v>1222</v>
      </c>
      <c r="C150" s="21" t="s">
        <v>1223</v>
      </c>
      <c r="D150" s="21"/>
      <c r="E150" s="21" t="s">
        <v>996</v>
      </c>
      <c r="F150" s="21"/>
      <c r="G150" s="21"/>
      <c r="H150" s="21"/>
      <c r="I150" s="21"/>
      <c r="J150" s="21"/>
      <c r="K150" s="21"/>
      <c r="L150" s="21"/>
    </row>
    <row r="151" spans="1:12" ht="24" customHeight="1" x14ac:dyDescent="0.35">
      <c r="A151" s="133" t="s">
        <v>1215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</row>
    <row r="152" spans="1:12" x14ac:dyDescent="0.35">
      <c r="A152" s="21" t="s">
        <v>1215</v>
      </c>
      <c r="B152" s="21" t="s">
        <v>1224</v>
      </c>
      <c r="C152" s="21" t="s">
        <v>1225</v>
      </c>
      <c r="D152" s="21"/>
      <c r="E152" s="21" t="s">
        <v>996</v>
      </c>
      <c r="F152" s="21"/>
      <c r="G152" s="21"/>
      <c r="H152" s="21"/>
      <c r="I152" s="21"/>
      <c r="J152" s="21"/>
      <c r="K152" s="21"/>
      <c r="L152" s="21"/>
    </row>
    <row r="158" spans="1:12" x14ac:dyDescent="0.35">
      <c r="A158" s="98" t="s">
        <v>1226</v>
      </c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</row>
    <row r="160" spans="1:12" ht="29" x14ac:dyDescent="0.35">
      <c r="A160" s="100" t="s">
        <v>1227</v>
      </c>
      <c r="B160" s="100" t="s">
        <v>1228</v>
      </c>
      <c r="C160" s="100" t="s">
        <v>1229</v>
      </c>
      <c r="D160" s="100" t="s">
        <v>389</v>
      </c>
      <c r="E160" s="100" t="s">
        <v>870</v>
      </c>
      <c r="F160" s="100" t="s">
        <v>390</v>
      </c>
      <c r="G160" s="100" t="s">
        <v>990</v>
      </c>
      <c r="H160" s="100" t="s">
        <v>1230</v>
      </c>
      <c r="I160" s="100"/>
      <c r="J160" s="100"/>
      <c r="K160" s="100"/>
      <c r="L160" s="100"/>
    </row>
    <row r="161" spans="1:8" x14ac:dyDescent="0.35">
      <c r="A161" s="21" t="s">
        <v>1231</v>
      </c>
      <c r="B161" s="21"/>
      <c r="C161" s="21"/>
      <c r="D161" s="21"/>
      <c r="E161" s="21"/>
      <c r="F161" s="21"/>
      <c r="G161" s="21"/>
      <c r="H161" s="21"/>
    </row>
    <row r="162" spans="1:8" x14ac:dyDescent="0.35">
      <c r="A162" s="21" t="s">
        <v>1232</v>
      </c>
      <c r="B162" s="21"/>
      <c r="C162" s="21"/>
      <c r="D162" s="21"/>
      <c r="E162" s="21"/>
      <c r="F162" s="21"/>
      <c r="G162" s="21"/>
      <c r="H162" s="21"/>
    </row>
    <row r="163" spans="1:8" x14ac:dyDescent="0.35">
      <c r="A163" s="21" t="s">
        <v>509</v>
      </c>
      <c r="B163" s="21"/>
      <c r="C163" s="21"/>
      <c r="D163" s="21"/>
      <c r="E163" s="21"/>
      <c r="F163" s="21"/>
      <c r="G163" s="21"/>
      <c r="H163" s="21"/>
    </row>
    <row r="164" spans="1:8" x14ac:dyDescent="0.35">
      <c r="A164" s="21" t="s">
        <v>1233</v>
      </c>
      <c r="B164" s="21"/>
      <c r="C164" s="21"/>
      <c r="D164" s="21"/>
      <c r="E164" s="21"/>
      <c r="F164" s="21"/>
      <c r="G164" s="21"/>
      <c r="H164" s="21"/>
    </row>
    <row r="165" spans="1:8" x14ac:dyDescent="0.35">
      <c r="A165" s="21" t="s">
        <v>1234</v>
      </c>
      <c r="B165" s="21"/>
      <c r="C165" s="21"/>
      <c r="D165" s="21"/>
      <c r="E165" s="21"/>
      <c r="F165" s="21"/>
      <c r="G165" s="21"/>
      <c r="H165" s="21"/>
    </row>
    <row r="166" spans="1:8" x14ac:dyDescent="0.35">
      <c r="A166" s="21" t="s">
        <v>1235</v>
      </c>
      <c r="B166" s="21"/>
      <c r="C166" s="21"/>
      <c r="D166" s="21"/>
      <c r="E166" s="21"/>
      <c r="F166" s="21"/>
      <c r="G166" s="21"/>
      <c r="H166" s="21"/>
    </row>
    <row r="167" spans="1:8" x14ac:dyDescent="0.35">
      <c r="A167" s="21" t="s">
        <v>1236</v>
      </c>
      <c r="B167" s="21"/>
      <c r="C167" s="21"/>
      <c r="D167" s="21"/>
      <c r="E167" s="21"/>
      <c r="F167" s="21"/>
      <c r="G167" s="21"/>
      <c r="H167" s="21"/>
    </row>
    <row r="168" spans="1:8" x14ac:dyDescent="0.35">
      <c r="A168" s="21" t="s">
        <v>1237</v>
      </c>
      <c r="B168" s="21"/>
      <c r="C168" s="21"/>
      <c r="D168" s="21"/>
      <c r="E168" s="21"/>
      <c r="F168" s="21"/>
      <c r="G168" s="21"/>
      <c r="H168" s="21"/>
    </row>
    <row r="169" spans="1:8" x14ac:dyDescent="0.35">
      <c r="A169" s="21" t="s">
        <v>1238</v>
      </c>
      <c r="B169" s="21"/>
      <c r="C169" s="21"/>
      <c r="D169" s="21"/>
      <c r="E169" s="21"/>
      <c r="F169" s="21"/>
      <c r="G169" s="21"/>
      <c r="H169" s="21"/>
    </row>
    <row r="170" spans="1:8" x14ac:dyDescent="0.35">
      <c r="A170" s="21" t="s">
        <v>1239</v>
      </c>
      <c r="B170" s="21"/>
      <c r="C170" s="21"/>
      <c r="D170" s="21"/>
      <c r="E170" s="21"/>
      <c r="F170" s="21"/>
      <c r="G170" s="21"/>
      <c r="H170" s="21"/>
    </row>
    <row r="171" spans="1:8" x14ac:dyDescent="0.35">
      <c r="A171" s="21" t="s">
        <v>1240</v>
      </c>
      <c r="B171" s="21"/>
      <c r="C171" s="21"/>
      <c r="D171" s="21"/>
      <c r="E171" s="21"/>
      <c r="F171" s="21"/>
      <c r="G171" s="21"/>
      <c r="H171" s="21"/>
    </row>
    <row r="172" spans="1:8" x14ac:dyDescent="0.35">
      <c r="A172" s="21" t="s">
        <v>1241</v>
      </c>
      <c r="B172" s="21"/>
      <c r="C172" s="21"/>
      <c r="D172" s="21"/>
      <c r="E172" s="21"/>
      <c r="F172" s="21"/>
      <c r="G172" s="21"/>
      <c r="H172" s="21"/>
    </row>
    <row r="173" spans="1:8" x14ac:dyDescent="0.35">
      <c r="A173" s="21" t="s">
        <v>1242</v>
      </c>
      <c r="B173" s="21"/>
      <c r="C173" s="21"/>
      <c r="D173" s="21"/>
      <c r="E173" s="21"/>
      <c r="F173" s="21"/>
      <c r="G173" s="21"/>
      <c r="H173" s="21"/>
    </row>
    <row r="174" spans="1:8" x14ac:dyDescent="0.35">
      <c r="A174" s="21" t="s">
        <v>1243</v>
      </c>
      <c r="B174" s="21"/>
      <c r="C174" s="21"/>
      <c r="D174" s="21"/>
      <c r="E174" s="21"/>
      <c r="F174" s="21"/>
      <c r="G174" s="21"/>
      <c r="H174" s="21"/>
    </row>
    <row r="175" spans="1:8" x14ac:dyDescent="0.35">
      <c r="A175" s="21" t="s">
        <v>1244</v>
      </c>
      <c r="B175" s="21"/>
      <c r="C175" s="21"/>
      <c r="D175" s="21"/>
      <c r="E175" s="21"/>
      <c r="F175" s="21"/>
      <c r="G175" s="21"/>
      <c r="H175" s="21"/>
    </row>
    <row r="176" spans="1:8" x14ac:dyDescent="0.35">
      <c r="A176" s="21" t="s">
        <v>1245</v>
      </c>
      <c r="B176" s="21"/>
      <c r="C176" s="21"/>
      <c r="D176" s="21"/>
      <c r="E176" s="21"/>
      <c r="F176" s="21"/>
      <c r="G176" s="21"/>
      <c r="H176" s="21"/>
    </row>
    <row r="177" spans="1:12" x14ac:dyDescent="0.35">
      <c r="A177" s="21" t="s">
        <v>1246</v>
      </c>
      <c r="B177" s="21"/>
      <c r="C177" s="21"/>
      <c r="D177" s="21"/>
      <c r="E177" s="21"/>
      <c r="F177" s="21"/>
      <c r="G177" s="21"/>
      <c r="H177" s="21"/>
    </row>
    <row r="178" spans="1:12" x14ac:dyDescent="0.35">
      <c r="A178" s="21" t="s">
        <v>1247</v>
      </c>
      <c r="B178" s="21"/>
      <c r="C178" s="21"/>
      <c r="D178" s="21"/>
      <c r="E178" s="21"/>
      <c r="F178" s="21"/>
      <c r="G178" s="21"/>
      <c r="H178" s="21"/>
    </row>
    <row r="179" spans="1:12" ht="24" customHeight="1" x14ac:dyDescent="0.35">
      <c r="A179" s="133" t="s">
        <v>1248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</row>
    <row r="180" spans="1:12" x14ac:dyDescent="0.35">
      <c r="A180" s="21" t="s">
        <v>1249</v>
      </c>
      <c r="B180" s="21"/>
      <c r="C180" s="21"/>
      <c r="D180" s="21"/>
      <c r="E180" s="21"/>
      <c r="F180" s="21"/>
      <c r="G180" s="21"/>
      <c r="H180" s="21"/>
    </row>
    <row r="186" spans="1:12" x14ac:dyDescent="0.35">
      <c r="A186" s="98" t="s">
        <v>1250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</row>
    <row r="188" spans="1:12" ht="29" x14ac:dyDescent="0.35">
      <c r="A188" s="100" t="s">
        <v>1251</v>
      </c>
      <c r="B188" s="100" t="s">
        <v>1252</v>
      </c>
      <c r="C188" s="100" t="s">
        <v>1253</v>
      </c>
      <c r="D188" s="100" t="s">
        <v>1254</v>
      </c>
      <c r="E188" s="100" t="s">
        <v>870</v>
      </c>
      <c r="F188" s="100" t="s">
        <v>1255</v>
      </c>
      <c r="G188" s="100" t="s">
        <v>338</v>
      </c>
    </row>
    <row r="189" spans="1:12" x14ac:dyDescent="0.35">
      <c r="A189" s="21" t="s">
        <v>428</v>
      </c>
      <c r="B189" s="21"/>
      <c r="C189" s="21"/>
      <c r="D189" s="21"/>
      <c r="E189" s="21"/>
      <c r="F189" s="21"/>
      <c r="G189" s="21"/>
    </row>
    <row r="190" spans="1:12" x14ac:dyDescent="0.35">
      <c r="A190" s="21" t="s">
        <v>582</v>
      </c>
      <c r="B190" s="21"/>
      <c r="C190" s="21"/>
      <c r="D190" s="21"/>
      <c r="E190" s="21"/>
      <c r="F190" s="21"/>
      <c r="G190" s="21"/>
    </row>
    <row r="191" spans="1:12" x14ac:dyDescent="0.35">
      <c r="A191" s="21" t="s">
        <v>435</v>
      </c>
      <c r="B191" s="21"/>
      <c r="C191" s="21"/>
      <c r="D191" s="21"/>
      <c r="E191" s="21"/>
      <c r="F191" s="21"/>
      <c r="G191" s="21"/>
    </row>
    <row r="192" spans="1:12" x14ac:dyDescent="0.35">
      <c r="A192" s="21" t="s">
        <v>93</v>
      </c>
      <c r="B192" s="21"/>
      <c r="C192" s="21"/>
      <c r="D192" s="21"/>
      <c r="E192" s="21"/>
      <c r="F192" s="21"/>
      <c r="G192" s="21"/>
    </row>
    <row r="193" spans="1:12" x14ac:dyDescent="0.35">
      <c r="A193" s="21" t="s">
        <v>431</v>
      </c>
      <c r="B193" s="21"/>
      <c r="C193" s="21"/>
      <c r="D193" s="21"/>
      <c r="E193" s="21"/>
      <c r="F193" s="21"/>
      <c r="G193" s="21"/>
    </row>
    <row r="194" spans="1:12" x14ac:dyDescent="0.35">
      <c r="A194" s="21" t="s">
        <v>97</v>
      </c>
      <c r="B194" s="21"/>
      <c r="C194" s="21"/>
      <c r="D194" s="21"/>
      <c r="E194" s="21"/>
      <c r="F194" s="21"/>
      <c r="G194" s="21"/>
    </row>
    <row r="195" spans="1:12" x14ac:dyDescent="0.35">
      <c r="A195" s="21" t="s">
        <v>100</v>
      </c>
      <c r="B195" s="21"/>
      <c r="C195" s="21"/>
      <c r="D195" s="21"/>
      <c r="E195" s="21"/>
      <c r="F195" s="21"/>
      <c r="G195" s="21"/>
    </row>
    <row r="196" spans="1:12" x14ac:dyDescent="0.35">
      <c r="A196" s="21" t="s">
        <v>1176</v>
      </c>
      <c r="B196" s="21"/>
      <c r="C196" s="21"/>
      <c r="D196" s="21"/>
      <c r="E196" s="21"/>
      <c r="F196" s="21"/>
      <c r="G196" s="21"/>
    </row>
    <row r="197" spans="1:12" x14ac:dyDescent="0.35">
      <c r="A197" s="21" t="s">
        <v>160</v>
      </c>
      <c r="B197" s="21"/>
      <c r="C197" s="21"/>
      <c r="D197" s="21"/>
      <c r="E197" s="21"/>
      <c r="F197" s="21"/>
      <c r="G197" s="21"/>
    </row>
    <row r="198" spans="1:12" x14ac:dyDescent="0.35">
      <c r="A198" s="21" t="s">
        <v>1256</v>
      </c>
      <c r="B198" s="21"/>
      <c r="C198" s="21"/>
      <c r="D198" s="21"/>
      <c r="E198" s="21"/>
      <c r="F198" s="21"/>
      <c r="G198" s="21"/>
    </row>
    <row r="199" spans="1:12" x14ac:dyDescent="0.35">
      <c r="A199" s="21" t="s">
        <v>1257</v>
      </c>
      <c r="B199" s="21"/>
      <c r="C199" s="21"/>
      <c r="D199" s="21"/>
      <c r="E199" s="21"/>
      <c r="F199" s="21"/>
      <c r="G199" s="21"/>
    </row>
    <row r="200" spans="1:12" x14ac:dyDescent="0.35">
      <c r="A200" s="21" t="s">
        <v>1258</v>
      </c>
      <c r="B200" s="21"/>
      <c r="C200" s="21"/>
      <c r="D200" s="21"/>
      <c r="E200" s="21"/>
      <c r="F200" s="21"/>
      <c r="G200" s="21"/>
    </row>
    <row r="201" spans="1:12" x14ac:dyDescent="0.35">
      <c r="A201" s="21" t="s">
        <v>116</v>
      </c>
      <c r="B201" s="21"/>
      <c r="C201" s="21"/>
      <c r="D201" s="21"/>
      <c r="E201" s="21"/>
      <c r="F201" s="21"/>
      <c r="G201" s="21"/>
    </row>
    <row r="202" spans="1:12" x14ac:dyDescent="0.35">
      <c r="A202" s="21" t="s">
        <v>129</v>
      </c>
      <c r="B202" s="21"/>
      <c r="C202" s="21"/>
      <c r="D202" s="21"/>
      <c r="E202" s="21"/>
      <c r="F202" s="21"/>
      <c r="G202" s="21"/>
    </row>
    <row r="203" spans="1:12" x14ac:dyDescent="0.35">
      <c r="A203" s="21" t="s">
        <v>437</v>
      </c>
      <c r="B203" s="21"/>
      <c r="C203" s="21"/>
      <c r="D203" s="21"/>
      <c r="E203" s="21"/>
      <c r="F203" s="21"/>
      <c r="G203" s="21"/>
    </row>
    <row r="204" spans="1:12" x14ac:dyDescent="0.35">
      <c r="A204" s="21" t="s">
        <v>125</v>
      </c>
      <c r="B204" s="21"/>
      <c r="C204" s="21"/>
      <c r="D204" s="21"/>
      <c r="E204" s="21"/>
      <c r="F204" s="21"/>
      <c r="G204" s="21"/>
    </row>
    <row r="205" spans="1:12" x14ac:dyDescent="0.35">
      <c r="A205" s="21" t="s">
        <v>442</v>
      </c>
      <c r="B205" s="21"/>
      <c r="C205" s="21"/>
      <c r="D205" s="21"/>
      <c r="E205" s="21"/>
      <c r="F205" s="21"/>
      <c r="G205" s="21"/>
    </row>
    <row r="206" spans="1:12" x14ac:dyDescent="0.35">
      <c r="A206" s="21" t="s">
        <v>1259</v>
      </c>
      <c r="B206" s="21"/>
      <c r="C206" s="21"/>
      <c r="D206" s="21"/>
      <c r="E206" s="21"/>
      <c r="F206" s="21"/>
      <c r="G206" s="21"/>
    </row>
    <row r="207" spans="1:12" ht="24" customHeight="1" x14ac:dyDescent="0.35">
      <c r="A207" s="133" t="s">
        <v>1260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</row>
    <row r="208" spans="1:12" x14ac:dyDescent="0.35">
      <c r="A208" s="21" t="s">
        <v>439</v>
      </c>
      <c r="B208" s="21"/>
      <c r="C208" s="21"/>
      <c r="D208" s="21"/>
      <c r="E208" s="21"/>
      <c r="F208" s="21"/>
      <c r="G208" s="21"/>
    </row>
    <row r="214" spans="1:12" x14ac:dyDescent="0.35">
      <c r="A214" s="98" t="s">
        <v>1261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</row>
    <row r="216" spans="1:12" x14ac:dyDescent="0.35">
      <c r="A216" s="100" t="s">
        <v>1262</v>
      </c>
      <c r="B216" s="100" t="s">
        <v>1263</v>
      </c>
      <c r="C216" s="100" t="s">
        <v>292</v>
      </c>
      <c r="D216" s="100" t="s">
        <v>371</v>
      </c>
      <c r="E216" s="100" t="s">
        <v>360</v>
      </c>
      <c r="F216" s="100" t="s">
        <v>1264</v>
      </c>
      <c r="G216" s="100" t="s">
        <v>990</v>
      </c>
      <c r="H216" s="100" t="s">
        <v>338</v>
      </c>
    </row>
    <row r="217" spans="1:12" x14ac:dyDescent="0.35">
      <c r="A217" t="s">
        <v>1265</v>
      </c>
    </row>
    <row r="218" spans="1:12" x14ac:dyDescent="0.35">
      <c r="A218" t="s">
        <v>1266</v>
      </c>
    </row>
    <row r="219" spans="1:12" x14ac:dyDescent="0.35">
      <c r="A219" t="s">
        <v>1267</v>
      </c>
    </row>
    <row r="220" spans="1:12" x14ac:dyDescent="0.35">
      <c r="A220" t="s">
        <v>1268</v>
      </c>
    </row>
    <row r="221" spans="1:12" x14ac:dyDescent="0.35">
      <c r="A221" t="s">
        <v>1269</v>
      </c>
    </row>
    <row r="222" spans="1:12" x14ac:dyDescent="0.35">
      <c r="A222" t="s">
        <v>1270</v>
      </c>
    </row>
    <row r="223" spans="1:12" ht="24" customHeight="1" x14ac:dyDescent="0.35">
      <c r="A223" s="129" t="s">
        <v>1271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</row>
    <row r="224" spans="1:12" x14ac:dyDescent="0.35">
      <c r="A224" t="s">
        <v>1272</v>
      </c>
    </row>
    <row r="230" spans="1:12" x14ac:dyDescent="0.35">
      <c r="A230" s="98" t="s">
        <v>1273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2" spans="1:12" ht="29" x14ac:dyDescent="0.35">
      <c r="A232" s="100" t="s">
        <v>1229</v>
      </c>
      <c r="B232" s="100" t="s">
        <v>1274</v>
      </c>
      <c r="C232" s="100" t="s">
        <v>390</v>
      </c>
      <c r="D232" s="100" t="s">
        <v>351</v>
      </c>
      <c r="E232" s="100" t="s">
        <v>352</v>
      </c>
      <c r="F232" s="100" t="s">
        <v>292</v>
      </c>
      <c r="G232" s="100" t="s">
        <v>353</v>
      </c>
      <c r="H232" s="100" t="s">
        <v>338</v>
      </c>
    </row>
    <row r="240" spans="1:12" x14ac:dyDescent="0.3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</row>
    <row r="241" spans="1:12" x14ac:dyDescent="0.3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</row>
    <row r="247" spans="1:12" ht="29" x14ac:dyDescent="0.35">
      <c r="A247" s="106" t="s">
        <v>1275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3"/>
    </row>
    <row r="248" spans="1:12" ht="43.5" x14ac:dyDescent="0.35">
      <c r="A248" s="111" t="s">
        <v>1276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3"/>
    </row>
    <row r="249" spans="1:12" ht="29" x14ac:dyDescent="0.35">
      <c r="A249" s="110" t="s">
        <v>1277</v>
      </c>
      <c r="B249" s="110" t="s">
        <v>1278</v>
      </c>
      <c r="C249" s="110" t="s">
        <v>81</v>
      </c>
      <c r="D249" s="110" t="s">
        <v>615</v>
      </c>
      <c r="E249" s="110" t="s">
        <v>616</v>
      </c>
      <c r="F249" s="110" t="s">
        <v>990</v>
      </c>
      <c r="G249" s="110" t="s">
        <v>1279</v>
      </c>
      <c r="H249" s="110" t="s">
        <v>390</v>
      </c>
      <c r="I249" s="110" t="s">
        <v>351</v>
      </c>
      <c r="J249" s="110" t="s">
        <v>292</v>
      </c>
      <c r="K249" s="110" t="s">
        <v>353</v>
      </c>
      <c r="L249" s="110" t="s">
        <v>619</v>
      </c>
    </row>
    <row r="250" spans="1:12" x14ac:dyDescent="0.35">
      <c r="A250" s="105" t="s">
        <v>1280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x14ac:dyDescent="0.35">
      <c r="A251" s="105" t="s">
        <v>1281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x14ac:dyDescent="0.35">
      <c r="A252" s="105" t="s">
        <v>1282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29" x14ac:dyDescent="0.35">
      <c r="A253" s="105" t="s">
        <v>1283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29" x14ac:dyDescent="0.35">
      <c r="A254" s="105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29" x14ac:dyDescent="0.35">
      <c r="A255" s="105" t="s">
        <v>1285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29" x14ac:dyDescent="0.35">
      <c r="A256" s="105" t="s">
        <v>1286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29" x14ac:dyDescent="0.35">
      <c r="A257" s="105" t="s">
        <v>1287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29" x14ac:dyDescent="0.35">
      <c r="A258" s="105" t="s">
        <v>1288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29" x14ac:dyDescent="0.35">
      <c r="A259" s="105" t="s">
        <v>1289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29" x14ac:dyDescent="0.35">
      <c r="A260" s="105" t="s">
        <v>1290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29" x14ac:dyDescent="0.35">
      <c r="A261" s="105" t="s">
        <v>1291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29" x14ac:dyDescent="0.35">
      <c r="A262" s="105" t="s">
        <v>1292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43.5" x14ac:dyDescent="0.35">
      <c r="A263" s="105" t="s">
        <v>1293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29" x14ac:dyDescent="0.35">
      <c r="A264" s="105" t="s">
        <v>1294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x14ac:dyDescent="0.35">
      <c r="A265" s="105" t="s">
        <v>1295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</sheetData>
  <mergeCells count="9">
    <mergeCell ref="A1:L1"/>
    <mergeCell ref="A17:L17"/>
    <mergeCell ref="A241:L241"/>
    <mergeCell ref="A223:L223"/>
    <mergeCell ref="A35:L35"/>
    <mergeCell ref="A240:L240"/>
    <mergeCell ref="A179:L179"/>
    <mergeCell ref="A151:L151"/>
    <mergeCell ref="A207:L207"/>
  </mergeCells>
  <conditionalFormatting sqref="B12">
    <cfRule type="expression" dxfId="237" priority="12">
      <formula>B12="Green"</formula>
    </cfRule>
    <cfRule type="expression" dxfId="236" priority="13">
      <formula>B12="Amber"</formula>
    </cfRule>
    <cfRule type="expression" dxfId="235" priority="14">
      <formula>B12="Red"</formula>
    </cfRule>
  </conditionalFormatting>
  <conditionalFormatting sqref="B182:B201">
    <cfRule type="expression" dxfId="234" priority="3">
      <formula>B182="Pass"</formula>
    </cfRule>
  </conditionalFormatting>
  <conditionalFormatting sqref="C20:C43">
    <cfRule type="expression" dxfId="233" priority="8">
      <formula>C20="Green"</formula>
    </cfRule>
    <cfRule type="expression" dxfId="232" priority="9">
      <formula>C20="Amber"</formula>
    </cfRule>
    <cfRule type="expression" dxfId="231" priority="10">
      <formula>C20="Red"</formula>
    </cfRule>
    <cfRule type="expression" dxfId="230" priority="11">
      <formula>C20="N/A"</formula>
    </cfRule>
  </conditionalFormatting>
  <conditionalFormatting sqref="C20:C45">
    <cfRule type="expression" dxfId="229" priority="4">
      <formula>ISNUMBER(SEARCH("Green",C20))</formula>
    </cfRule>
    <cfRule type="expression" dxfId="228" priority="5">
      <formula>ISNUMBER(SEARCH("Amber",C20))</formula>
    </cfRule>
    <cfRule type="expression" dxfId="227" priority="6">
      <formula>ISNUMBER(SEARCH("Red",C20))</formula>
    </cfRule>
    <cfRule type="expression" dxfId="226" priority="7">
      <formula>C20="N/A"</formula>
    </cfRule>
  </conditionalFormatting>
  <conditionalFormatting sqref="E154:E173">
    <cfRule type="expression" dxfId="225" priority="2">
      <formula>E154="Pass"</formula>
    </cfRule>
  </conditionalFormatting>
  <conditionalFormatting sqref="H38:H145">
    <cfRule type="expression" dxfId="224" priority="1">
      <formula>H38="Pass"</formula>
    </cfRule>
  </conditionalFormatting>
  <dataValidations count="8">
    <dataValidation type="list" sqref="H38:H145 E154:E173" xr:uid="{00000000-0002-0000-2F00-000000000000}">
      <formula1>"Pass,Developing,Fail,N/A"</formula1>
    </dataValidation>
    <dataValidation type="list" sqref="F38:F145" xr:uid="{00000000-0002-0000-2F00-000001000000}">
      <formula1>"1,2,3,4,5"</formula1>
    </dataValidation>
    <dataValidation type="list" sqref="B182:B201" xr:uid="{00000000-0002-0000-2F00-000003000000}">
      <formula1>"Complete,In Progress,Not Started,N/A"</formula1>
    </dataValidation>
    <dataValidation type="list" allowBlank="1" sqref="C243:E258" xr:uid="{00000000-0002-0000-2F00-000004000000}">
      <formula1>"Yes,No,N/A"</formula1>
    </dataValidation>
    <dataValidation type="list" allowBlank="1" sqref="C20:C45" xr:uid="{00000000-0002-0000-2F00-000005000000}">
      <formula1>"Green - Received,Amber - Awaiting,Red - Missing,N/A"</formula1>
    </dataValidation>
    <dataValidation type="list" sqref="C20:C43" xr:uid="{00000000-0002-0000-2F00-000006000000}">
      <formula1>"Green,Amber,Red,N/A"</formula1>
    </dataValidation>
    <dataValidation type="list" sqref="F42:F230" xr:uid="{00000000-0002-0000-2F00-000007000000}">
      <formula1>"1,2,3,4,5,N/A"</formula1>
    </dataValidation>
    <dataValidation type="list" sqref="H42:H230 H235:H255" xr:uid="{00000000-0002-0000-2F00-000008000000}">
      <formula1>"Pass,Fail,Not Assessed,N/A"</formula1>
    </dataValidation>
  </dataValidation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L265"/>
  <sheetViews>
    <sheetView workbookViewId="0"/>
  </sheetViews>
  <sheetFormatPr defaultRowHeight="14.5" x14ac:dyDescent="0.35"/>
  <cols>
    <col min="1" max="1" width="42" customWidth="1"/>
    <col min="2" max="2" width="36" customWidth="1"/>
    <col min="3" max="3" width="52" customWidth="1"/>
    <col min="4" max="4" width="34" customWidth="1"/>
    <col min="5" max="5" width="30" customWidth="1"/>
    <col min="6" max="6" width="12" customWidth="1"/>
    <col min="7" max="7" width="16" customWidth="1"/>
    <col min="8" max="8" width="14" customWidth="1"/>
    <col min="9" max="9" width="28" customWidth="1"/>
    <col min="10" max="12" width="14" customWidth="1"/>
  </cols>
  <sheetData>
    <row r="1" spans="1:12" ht="30" customHeight="1" x14ac:dyDescent="0.35">
      <c r="A1" s="134" t="s">
        <v>1304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x14ac:dyDescent="0.35">
      <c r="A2" t="s">
        <v>928</v>
      </c>
      <c r="D2" t="s">
        <v>929</v>
      </c>
    </row>
    <row r="4" spans="1:12" x14ac:dyDescent="0.35">
      <c r="A4" s="101" t="s">
        <v>882</v>
      </c>
      <c r="B4" s="101" t="str">
        <f>IF('Induction Employee Register'!A13="","",'Induction Employee Register'!A13)</f>
        <v>SW010</v>
      </c>
      <c r="D4" t="s">
        <v>930</v>
      </c>
      <c r="E4" t="s">
        <v>931</v>
      </c>
      <c r="F4" t="s">
        <v>932</v>
      </c>
      <c r="G4" t="s">
        <v>933</v>
      </c>
      <c r="H4" t="s">
        <v>58</v>
      </c>
      <c r="I4" t="s">
        <v>934</v>
      </c>
      <c r="J4" t="s">
        <v>54</v>
      </c>
      <c r="K4" t="s">
        <v>935</v>
      </c>
      <c r="L4" t="s">
        <v>43</v>
      </c>
    </row>
    <row r="5" spans="1:12" x14ac:dyDescent="0.35">
      <c r="A5" s="101" t="s">
        <v>883</v>
      </c>
      <c r="B5" s="101" t="str">
        <f>IF('Induction Employee Register'!B13="","",'Induction Employee Register'!B13)</f>
        <v/>
      </c>
      <c r="D5" t="s">
        <v>936</v>
      </c>
    </row>
    <row r="6" spans="1:12" x14ac:dyDescent="0.35">
      <c r="A6" s="101" t="s">
        <v>322</v>
      </c>
      <c r="B6" s="101" t="str">
        <f>IF('Induction Employee Register'!C13="","",'Induction Employee Register'!C13)</f>
        <v/>
      </c>
      <c r="D6" t="s">
        <v>937</v>
      </c>
      <c r="E6" t="s">
        <v>938</v>
      </c>
    </row>
    <row r="7" spans="1:12" x14ac:dyDescent="0.35">
      <c r="A7" s="101" t="s">
        <v>323</v>
      </c>
      <c r="B7" s="126" t="str">
        <f>IF('Induction Employee Register'!D13="","",'Induction Employee Register'!D13)</f>
        <v/>
      </c>
      <c r="D7" t="s">
        <v>939</v>
      </c>
      <c r="E7" t="s">
        <v>940</v>
      </c>
    </row>
    <row r="8" spans="1:12" x14ac:dyDescent="0.35">
      <c r="A8" s="101" t="s">
        <v>886</v>
      </c>
      <c r="B8" s="125">
        <f>IFERROR(COUNTIF($H$42:$H$230,"Pass")/(COUNTIF($H$42:$H$230,"Pass")+COUNTIF($H$42:$H$230,"Fail")+COUNTIF($H$42:$H$230,"Not Assessed")),0)</f>
        <v>0</v>
      </c>
      <c r="D8" t="s">
        <v>6</v>
      </c>
      <c r="E8" t="s">
        <v>941</v>
      </c>
    </row>
    <row r="9" spans="1:12" x14ac:dyDescent="0.35">
      <c r="A9" s="101" t="s">
        <v>887</v>
      </c>
      <c r="B9" s="125">
        <f>IFERROR(COUNTIF($H$235:$H$255,"Pass")/(COUNTIF($H$235:$H$255,"Pass")+COUNTIF($H$235:$H$255,"Fail")+COUNTIF($H$235:$H$255,"Not Assessed")),0)</f>
        <v>0</v>
      </c>
      <c r="D9" t="s">
        <v>942</v>
      </c>
      <c r="E9" t="s">
        <v>943</v>
      </c>
    </row>
    <row r="10" spans="1:12" x14ac:dyDescent="0.35">
      <c r="A10" s="101" t="s">
        <v>888</v>
      </c>
      <c r="B10" s="125" t="str">
        <f>IFERROR(IF($B$5="","",IF(INDEX('Mandatory Training Dashboard'!$D$5:$D$53,MATCH($B$5,'Mandatory Training Dashboard'!$A$5:$A$53,0))&gt;1,INDEX('Mandatory Training Dashboard'!$D$5:$D$53,MATCH($B$5,'Mandatory Training Dashboard'!$A$5:$A$53,0))/100,INDEX('Mandatory Training Dashboard'!$D$5:$D$53,MATCH($B$5,'Mandatory Training Dashboard'!$A$5:$A$53,0)))),0)</f>
        <v/>
      </c>
      <c r="D10" t="s">
        <v>944</v>
      </c>
      <c r="E10" t="s">
        <v>945</v>
      </c>
    </row>
    <row r="11" spans="1:12" x14ac:dyDescent="0.35">
      <c r="A11" s="101" t="s">
        <v>893</v>
      </c>
      <c r="B11" s="125">
        <f>IFERROR(AVERAGE(B8:B10),0)</f>
        <v>0</v>
      </c>
      <c r="D11" t="s">
        <v>946</v>
      </c>
      <c r="E11" t="s">
        <v>947</v>
      </c>
    </row>
    <row r="12" spans="1:12" x14ac:dyDescent="0.35">
      <c r="A12" s="101" t="s">
        <v>948</v>
      </c>
      <c r="B12" s="101" t="str">
        <f>IF(B11&gt;=0.9,"Green",IF(B11&gt;=0.75,"Amber","Red"))</f>
        <v>Red</v>
      </c>
      <c r="D12" t="s">
        <v>949</v>
      </c>
      <c r="E12" t="s">
        <v>950</v>
      </c>
    </row>
    <row r="13" spans="1:12" x14ac:dyDescent="0.35">
      <c r="A13" s="101" t="s">
        <v>891</v>
      </c>
      <c r="B13" s="101">
        <f>IF('Induction Employee Register'!N13="","",'Induction Employee Register'!N13)</f>
        <v>0</v>
      </c>
      <c r="D13" t="s">
        <v>951</v>
      </c>
      <c r="E13" t="s">
        <v>952</v>
      </c>
    </row>
    <row r="14" spans="1:12" x14ac:dyDescent="0.35">
      <c r="A14" s="101" t="s">
        <v>892</v>
      </c>
      <c r="B14" s="101" t="str">
        <f>IF('Induction Employee Register'!O13="","",'Induction Employee Register'!O13)</f>
        <v/>
      </c>
    </row>
    <row r="17" spans="1:12" ht="24" customHeight="1" x14ac:dyDescent="0.35">
      <c r="A17" s="135" t="s">
        <v>953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9" spans="1:12" ht="29" x14ac:dyDescent="0.35">
      <c r="A19" s="116" t="s">
        <v>954</v>
      </c>
      <c r="B19" s="116" t="s">
        <v>955</v>
      </c>
      <c r="C19" s="116" t="s">
        <v>956</v>
      </c>
      <c r="D19" s="116" t="s">
        <v>957</v>
      </c>
      <c r="E19" s="116" t="s">
        <v>958</v>
      </c>
      <c r="F19" s="116" t="s">
        <v>353</v>
      </c>
      <c r="G19" s="116" t="s">
        <v>335</v>
      </c>
      <c r="H19" s="116" t="s">
        <v>338</v>
      </c>
      <c r="I19" s="117" t="s">
        <v>959</v>
      </c>
      <c r="J19" t="s">
        <v>960</v>
      </c>
      <c r="K19" t="s">
        <v>300</v>
      </c>
      <c r="L19" t="s">
        <v>961</v>
      </c>
    </row>
    <row r="20" spans="1:12" x14ac:dyDescent="0.35">
      <c r="A20" s="118" t="s">
        <v>962</v>
      </c>
      <c r="B20" s="118" t="s">
        <v>81</v>
      </c>
      <c r="C20" s="118"/>
      <c r="D20" s="127"/>
      <c r="E20" s="127"/>
      <c r="F20" s="118"/>
      <c r="G20" s="118"/>
      <c r="H20" s="118"/>
      <c r="J20" t="s">
        <v>310</v>
      </c>
      <c r="K20" t="str">
        <f>IF('Induction Employee Register'!W13="","",'Induction Employee Register'!W13)</f>
        <v/>
      </c>
      <c r="L20" t="s">
        <v>963</v>
      </c>
    </row>
    <row r="21" spans="1:12" x14ac:dyDescent="0.35">
      <c r="A21" s="118" t="s">
        <v>964</v>
      </c>
      <c r="B21" s="118" t="s">
        <v>81</v>
      </c>
      <c r="C21" s="118"/>
      <c r="D21" s="127"/>
      <c r="E21" s="127"/>
      <c r="F21" s="118"/>
      <c r="G21" s="118"/>
      <c r="H21" s="118"/>
      <c r="J21" t="s">
        <v>311</v>
      </c>
      <c r="K21" t="str">
        <f>IF('Induction Employee Register'!X13="","",'Induction Employee Register'!X13)</f>
        <v/>
      </c>
      <c r="L21" t="s">
        <v>965</v>
      </c>
    </row>
    <row r="22" spans="1:12" x14ac:dyDescent="0.35">
      <c r="A22" s="118" t="s">
        <v>966</v>
      </c>
      <c r="B22" s="118" t="s">
        <v>81</v>
      </c>
      <c r="C22" s="118"/>
      <c r="D22" s="127"/>
      <c r="E22" s="127"/>
      <c r="F22" s="118"/>
      <c r="G22" s="118"/>
      <c r="H22" s="118"/>
      <c r="J22" t="s">
        <v>312</v>
      </c>
      <c r="K22" t="str">
        <f>IF('Induction Employee Register'!Y13="","",'Induction Employee Register'!Y13)</f>
        <v/>
      </c>
      <c r="L22" t="s">
        <v>967</v>
      </c>
    </row>
    <row r="23" spans="1:12" x14ac:dyDescent="0.35">
      <c r="A23" s="118" t="s">
        <v>52</v>
      </c>
      <c r="B23" s="118" t="s">
        <v>81</v>
      </c>
      <c r="C23" s="118"/>
      <c r="D23" s="127"/>
      <c r="E23" s="127"/>
      <c r="F23" s="118"/>
      <c r="G23" s="118"/>
      <c r="H23" s="118"/>
      <c r="J23" t="s">
        <v>313</v>
      </c>
      <c r="K23" t="str">
        <f>IF('Induction Employee Register'!Z13="","",'Induction Employee Register'!Z13)</f>
        <v/>
      </c>
      <c r="L23" t="s">
        <v>968</v>
      </c>
    </row>
    <row r="24" spans="1:12" x14ac:dyDescent="0.35">
      <c r="A24" s="118" t="s">
        <v>50</v>
      </c>
      <c r="B24" s="118" t="s">
        <v>81</v>
      </c>
      <c r="C24" s="118"/>
      <c r="D24" s="127"/>
      <c r="E24" s="127"/>
      <c r="F24" s="118"/>
      <c r="G24" s="118"/>
      <c r="H24" s="118"/>
      <c r="J24" t="s">
        <v>314</v>
      </c>
      <c r="K24" t="str">
        <f>IF('Induction Employee Register'!AA13="","",'Induction Employee Register'!AA13)</f>
        <v/>
      </c>
      <c r="L24" t="s">
        <v>968</v>
      </c>
    </row>
    <row r="25" spans="1:12" x14ac:dyDescent="0.35">
      <c r="A25" s="118" t="s">
        <v>329</v>
      </c>
      <c r="B25" s="118" t="s">
        <v>81</v>
      </c>
      <c r="C25" s="118"/>
      <c r="D25" s="127"/>
      <c r="E25" s="127"/>
      <c r="F25" s="118"/>
      <c r="G25" s="118"/>
      <c r="H25" s="118"/>
      <c r="J25" t="s">
        <v>315</v>
      </c>
      <c r="K25" t="str">
        <f>IF('Induction Employee Register'!AB13="","",'Induction Employee Register'!AB13)</f>
        <v/>
      </c>
      <c r="L25" t="s">
        <v>967</v>
      </c>
    </row>
    <row r="26" spans="1:12" x14ac:dyDescent="0.35">
      <c r="A26" s="118" t="s">
        <v>969</v>
      </c>
      <c r="B26" s="118" t="s">
        <v>81</v>
      </c>
      <c r="C26" s="118"/>
      <c r="D26" s="127"/>
      <c r="E26" s="127"/>
      <c r="F26" s="118"/>
      <c r="G26" s="118"/>
      <c r="H26" s="118"/>
      <c r="J26" t="s">
        <v>316</v>
      </c>
      <c r="K26" t="str">
        <f>IF('Induction Employee Register'!AC13="","",'Induction Employee Register'!AC13)</f>
        <v/>
      </c>
      <c r="L26" t="s">
        <v>967</v>
      </c>
    </row>
    <row r="27" spans="1:12" x14ac:dyDescent="0.35">
      <c r="A27" s="118" t="s">
        <v>970</v>
      </c>
      <c r="B27" s="118" t="s">
        <v>81</v>
      </c>
      <c r="C27" s="118"/>
      <c r="D27" s="127"/>
      <c r="E27" s="127"/>
      <c r="F27" s="118"/>
      <c r="G27" s="118"/>
      <c r="H27" s="118"/>
    </row>
    <row r="28" spans="1:12" x14ac:dyDescent="0.35">
      <c r="A28" s="118" t="s">
        <v>971</v>
      </c>
      <c r="B28" s="118" t="s">
        <v>81</v>
      </c>
      <c r="C28" s="118"/>
      <c r="D28" s="127"/>
      <c r="E28" s="127"/>
      <c r="F28" s="118"/>
      <c r="G28" s="118"/>
      <c r="H28" s="118"/>
    </row>
    <row r="29" spans="1:12" x14ac:dyDescent="0.35">
      <c r="A29" s="118" t="s">
        <v>972</v>
      </c>
      <c r="B29" s="118" t="s">
        <v>81</v>
      </c>
      <c r="C29" s="118"/>
      <c r="D29" s="127"/>
      <c r="E29" s="127"/>
      <c r="F29" s="118"/>
      <c r="G29" s="118"/>
      <c r="H29" s="118"/>
    </row>
    <row r="30" spans="1:12" x14ac:dyDescent="0.35">
      <c r="A30" s="118" t="s">
        <v>973</v>
      </c>
      <c r="B30" s="118" t="s">
        <v>81</v>
      </c>
      <c r="C30" s="118"/>
      <c r="D30" s="127"/>
      <c r="E30" s="127"/>
      <c r="F30" s="118"/>
      <c r="G30" s="118"/>
      <c r="H30" s="118"/>
    </row>
    <row r="31" spans="1:12" x14ac:dyDescent="0.35">
      <c r="A31" s="118" t="s">
        <v>974</v>
      </c>
      <c r="B31" s="118" t="s">
        <v>81</v>
      </c>
      <c r="C31" s="118"/>
      <c r="D31" s="127"/>
      <c r="E31" s="127"/>
      <c r="F31" s="118"/>
      <c r="G31" s="118"/>
      <c r="H31" s="118"/>
    </row>
    <row r="32" spans="1:12" x14ac:dyDescent="0.35">
      <c r="A32" s="118" t="s">
        <v>975</v>
      </c>
      <c r="B32" s="118" t="s">
        <v>81</v>
      </c>
      <c r="C32" s="118"/>
      <c r="D32" s="127"/>
      <c r="E32" s="127"/>
      <c r="F32" s="118"/>
      <c r="G32" s="118"/>
      <c r="H32" s="118"/>
    </row>
    <row r="33" spans="1:12" x14ac:dyDescent="0.35">
      <c r="A33" s="118" t="s">
        <v>54</v>
      </c>
      <c r="B33" s="118" t="s">
        <v>81</v>
      </c>
      <c r="C33" s="118"/>
      <c r="D33" s="127"/>
      <c r="E33" s="127"/>
      <c r="F33" s="118"/>
      <c r="G33" s="118"/>
      <c r="H33" s="118"/>
    </row>
    <row r="34" spans="1:12" x14ac:dyDescent="0.35">
      <c r="A34" s="119" t="s">
        <v>976</v>
      </c>
      <c r="B34" s="119" t="s">
        <v>81</v>
      </c>
      <c r="C34" s="119"/>
      <c r="D34" s="127"/>
      <c r="E34" s="127"/>
      <c r="F34" s="119"/>
      <c r="G34" s="119"/>
      <c r="H34" s="119"/>
    </row>
    <row r="35" spans="1:12" ht="24" customHeight="1" x14ac:dyDescent="0.35">
      <c r="A35" s="130" t="s">
        <v>977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</row>
    <row r="36" spans="1:12" x14ac:dyDescent="0.35">
      <c r="A36" s="119" t="s">
        <v>978</v>
      </c>
      <c r="B36" s="119" t="s">
        <v>81</v>
      </c>
      <c r="C36" s="119"/>
      <c r="D36" s="127"/>
      <c r="E36" s="127"/>
      <c r="F36" s="119"/>
      <c r="G36" s="119"/>
      <c r="H36" s="119"/>
    </row>
    <row r="37" spans="1:12" x14ac:dyDescent="0.35">
      <c r="A37" s="119" t="s">
        <v>979</v>
      </c>
      <c r="B37" s="119" t="s">
        <v>81</v>
      </c>
      <c r="C37" s="119"/>
      <c r="D37" s="127"/>
      <c r="E37" s="127"/>
      <c r="F37" s="119"/>
      <c r="G37" s="119"/>
      <c r="H37" s="119"/>
    </row>
    <row r="38" spans="1:12" x14ac:dyDescent="0.35">
      <c r="A38" s="119" t="s">
        <v>980</v>
      </c>
      <c r="B38" s="119" t="s">
        <v>81</v>
      </c>
      <c r="C38" s="119"/>
      <c r="D38" s="127"/>
      <c r="E38" s="127"/>
      <c r="F38" s="119"/>
      <c r="G38" s="119"/>
      <c r="H38" s="119"/>
    </row>
    <row r="39" spans="1:12" x14ac:dyDescent="0.35">
      <c r="A39" s="119" t="s">
        <v>981</v>
      </c>
      <c r="B39" s="119" t="s">
        <v>81</v>
      </c>
      <c r="C39" s="119"/>
      <c r="D39" s="127"/>
      <c r="E39" s="127"/>
      <c r="F39" s="119"/>
      <c r="G39" s="119"/>
      <c r="H39" s="119"/>
    </row>
    <row r="40" spans="1:12" x14ac:dyDescent="0.35">
      <c r="A40" s="119" t="s">
        <v>982</v>
      </c>
      <c r="B40" s="119" t="s">
        <v>81</v>
      </c>
      <c r="C40" s="119"/>
      <c r="D40" s="127"/>
      <c r="E40" s="127"/>
      <c r="F40" s="119"/>
      <c r="G40" s="119"/>
      <c r="H40" s="119"/>
    </row>
    <row r="41" spans="1:12" x14ac:dyDescent="0.35">
      <c r="A41" s="118"/>
      <c r="B41" s="118"/>
      <c r="C41" s="118"/>
      <c r="D41" s="127"/>
      <c r="E41" s="127"/>
      <c r="F41" s="118"/>
      <c r="G41" s="118"/>
      <c r="H41" s="118"/>
    </row>
    <row r="42" spans="1:12" x14ac:dyDescent="0.35">
      <c r="A42" s="120" t="s">
        <v>983</v>
      </c>
      <c r="B42" s="118"/>
      <c r="C42" s="118"/>
      <c r="D42" s="127"/>
      <c r="E42" s="127"/>
      <c r="F42" s="118"/>
      <c r="G42" s="118"/>
      <c r="H42" s="118"/>
      <c r="I42" s="96"/>
      <c r="J42" s="96"/>
      <c r="K42" s="96"/>
      <c r="L42" s="96"/>
    </row>
    <row r="43" spans="1:12" x14ac:dyDescent="0.35">
      <c r="A43" s="118"/>
      <c r="B43" s="118"/>
      <c r="C43" s="118"/>
      <c r="D43" s="127"/>
      <c r="E43" s="127"/>
      <c r="F43" s="118"/>
      <c r="G43" s="118"/>
      <c r="H43" s="118"/>
    </row>
    <row r="44" spans="1:12" ht="29" x14ac:dyDescent="0.35">
      <c r="A44" s="116" t="s">
        <v>984</v>
      </c>
      <c r="B44" s="116" t="s">
        <v>985</v>
      </c>
      <c r="C44" s="116" t="s">
        <v>986</v>
      </c>
      <c r="D44" s="116" t="s">
        <v>987</v>
      </c>
      <c r="E44" s="116" t="s">
        <v>988</v>
      </c>
      <c r="F44" s="116" t="s">
        <v>989</v>
      </c>
      <c r="G44" s="116" t="s">
        <v>389</v>
      </c>
      <c r="H44" s="116" t="s">
        <v>870</v>
      </c>
      <c r="I44" s="100" t="s">
        <v>390</v>
      </c>
      <c r="J44" s="100" t="s">
        <v>990</v>
      </c>
      <c r="K44" s="100" t="s">
        <v>991</v>
      </c>
      <c r="L44" s="100" t="s">
        <v>992</v>
      </c>
    </row>
    <row r="45" spans="1:12" ht="29" x14ac:dyDescent="0.35">
      <c r="A45" s="121" t="s">
        <v>993</v>
      </c>
      <c r="B45" s="121" t="s">
        <v>994</v>
      </c>
      <c r="C45" s="121" t="s">
        <v>995</v>
      </c>
      <c r="D45" s="121"/>
      <c r="E45" s="121" t="s">
        <v>996</v>
      </c>
      <c r="F45" s="121"/>
      <c r="G45" s="121"/>
      <c r="H45" s="121"/>
      <c r="I45" s="21"/>
      <c r="J45" s="21"/>
      <c r="K45" s="21"/>
      <c r="L45" s="21"/>
    </row>
    <row r="46" spans="1:12" ht="29" x14ac:dyDescent="0.35">
      <c r="A46" s="21" t="s">
        <v>993</v>
      </c>
      <c r="B46" s="21" t="s">
        <v>997</v>
      </c>
      <c r="C46" s="21" t="s">
        <v>998</v>
      </c>
      <c r="D46" s="21"/>
      <c r="E46" s="21" t="s">
        <v>996</v>
      </c>
      <c r="F46" s="21"/>
      <c r="G46" s="21"/>
      <c r="H46" s="21"/>
      <c r="I46" s="21"/>
      <c r="J46" s="21"/>
      <c r="K46" s="21"/>
      <c r="L46" s="21"/>
    </row>
    <row r="47" spans="1:12" ht="29" x14ac:dyDescent="0.35">
      <c r="A47" s="21" t="s">
        <v>993</v>
      </c>
      <c r="B47" s="21" t="s">
        <v>999</v>
      </c>
      <c r="C47" s="21" t="s">
        <v>1000</v>
      </c>
      <c r="D47" s="21"/>
      <c r="E47" s="21" t="s">
        <v>996</v>
      </c>
      <c r="F47" s="21"/>
      <c r="G47" s="21"/>
      <c r="H47" s="21"/>
      <c r="I47" s="21"/>
      <c r="J47" s="21"/>
      <c r="K47" s="21"/>
      <c r="L47" s="21"/>
    </row>
    <row r="48" spans="1:12" ht="29" x14ac:dyDescent="0.35">
      <c r="A48" s="21" t="s">
        <v>993</v>
      </c>
      <c r="B48" s="21" t="s">
        <v>1001</v>
      </c>
      <c r="C48" s="21" t="s">
        <v>1002</v>
      </c>
      <c r="D48" s="21"/>
      <c r="E48" s="21" t="s">
        <v>996</v>
      </c>
      <c r="F48" s="21"/>
      <c r="G48" s="21"/>
      <c r="H48" s="21"/>
      <c r="I48" s="21"/>
      <c r="J48" s="21"/>
      <c r="K48" s="21"/>
      <c r="L48" s="21"/>
    </row>
    <row r="49" spans="1:12" ht="43.5" x14ac:dyDescent="0.35">
      <c r="A49" s="21" t="s">
        <v>993</v>
      </c>
      <c r="B49" s="21" t="s">
        <v>1003</v>
      </c>
      <c r="C49" s="21" t="s">
        <v>1004</v>
      </c>
      <c r="D49" s="21"/>
      <c r="E49" s="21" t="s">
        <v>996</v>
      </c>
      <c r="F49" s="21"/>
      <c r="G49" s="21"/>
      <c r="H49" s="21"/>
      <c r="I49" s="21"/>
      <c r="J49" s="21"/>
      <c r="K49" s="21"/>
      <c r="L49" s="21"/>
    </row>
    <row r="50" spans="1:12" ht="29" x14ac:dyDescent="0.35">
      <c r="A50" s="21" t="s">
        <v>993</v>
      </c>
      <c r="B50" s="21" t="s">
        <v>1005</v>
      </c>
      <c r="C50" s="21" t="s">
        <v>1006</v>
      </c>
      <c r="D50" s="21"/>
      <c r="E50" s="21" t="s">
        <v>996</v>
      </c>
      <c r="F50" s="21"/>
      <c r="G50" s="21"/>
      <c r="H50" s="21"/>
      <c r="I50" s="21"/>
      <c r="J50" s="21"/>
      <c r="K50" s="21"/>
      <c r="L50" s="21"/>
    </row>
    <row r="51" spans="1:12" ht="43.5" x14ac:dyDescent="0.35">
      <c r="A51" s="21" t="s">
        <v>1007</v>
      </c>
      <c r="B51" s="21" t="s">
        <v>1008</v>
      </c>
      <c r="C51" s="21" t="s">
        <v>1009</v>
      </c>
      <c r="D51" s="21"/>
      <c r="E51" s="21" t="s">
        <v>996</v>
      </c>
      <c r="F51" s="21"/>
      <c r="G51" s="21"/>
      <c r="H51" s="21"/>
      <c r="I51" s="21"/>
      <c r="J51" s="21"/>
      <c r="K51" s="21"/>
      <c r="L51" s="21"/>
    </row>
    <row r="52" spans="1:12" ht="29" x14ac:dyDescent="0.35">
      <c r="A52" s="21" t="s">
        <v>1007</v>
      </c>
      <c r="B52" s="21" t="s">
        <v>1010</v>
      </c>
      <c r="C52" s="21" t="s">
        <v>1011</v>
      </c>
      <c r="D52" s="21"/>
      <c r="E52" s="21" t="s">
        <v>996</v>
      </c>
      <c r="F52" s="21"/>
      <c r="G52" s="21"/>
      <c r="H52" s="21"/>
      <c r="I52" s="21"/>
      <c r="J52" s="21"/>
      <c r="K52" s="21"/>
      <c r="L52" s="21"/>
    </row>
    <row r="53" spans="1:12" ht="29" x14ac:dyDescent="0.35">
      <c r="A53" s="21" t="s">
        <v>1007</v>
      </c>
      <c r="B53" s="21" t="s">
        <v>1012</v>
      </c>
      <c r="C53" s="21" t="s">
        <v>1013</v>
      </c>
      <c r="D53" s="21"/>
      <c r="E53" s="21" t="s">
        <v>996</v>
      </c>
      <c r="F53" s="21"/>
      <c r="G53" s="21"/>
      <c r="H53" s="21"/>
      <c r="I53" s="21"/>
      <c r="J53" s="21"/>
      <c r="K53" s="21"/>
      <c r="L53" s="21"/>
    </row>
    <row r="54" spans="1:12" ht="29" x14ac:dyDescent="0.35">
      <c r="A54" s="21" t="s">
        <v>1007</v>
      </c>
      <c r="B54" s="21" t="s">
        <v>1014</v>
      </c>
      <c r="C54" s="21" t="s">
        <v>1015</v>
      </c>
      <c r="D54" s="21"/>
      <c r="E54" s="21" t="s">
        <v>996</v>
      </c>
      <c r="F54" s="21"/>
      <c r="G54" s="21"/>
      <c r="H54" s="21"/>
      <c r="I54" s="21"/>
      <c r="J54" s="21"/>
      <c r="K54" s="21"/>
      <c r="L54" s="21"/>
    </row>
    <row r="55" spans="1:12" ht="29" x14ac:dyDescent="0.35">
      <c r="A55" s="21" t="s">
        <v>1007</v>
      </c>
      <c r="B55" s="21" t="s">
        <v>1016</v>
      </c>
      <c r="C55" s="21" t="s">
        <v>1017</v>
      </c>
      <c r="D55" s="21"/>
      <c r="E55" s="21" t="s">
        <v>996</v>
      </c>
      <c r="F55" s="21"/>
      <c r="G55" s="21"/>
      <c r="H55" s="21"/>
      <c r="I55" s="21"/>
      <c r="J55" s="21"/>
      <c r="K55" s="21"/>
      <c r="L55" s="21"/>
    </row>
    <row r="56" spans="1:12" ht="29" x14ac:dyDescent="0.35">
      <c r="A56" s="21" t="s">
        <v>1007</v>
      </c>
      <c r="B56" s="21" t="s">
        <v>1018</v>
      </c>
      <c r="C56" s="21" t="s">
        <v>1019</v>
      </c>
      <c r="D56" s="21"/>
      <c r="E56" s="21" t="s">
        <v>996</v>
      </c>
      <c r="F56" s="21"/>
      <c r="G56" s="21"/>
      <c r="H56" s="21"/>
      <c r="I56" s="21"/>
      <c r="J56" s="21"/>
      <c r="K56" s="21"/>
      <c r="L56" s="21"/>
    </row>
    <row r="57" spans="1:12" ht="43.5" x14ac:dyDescent="0.35">
      <c r="A57" s="21" t="s">
        <v>1020</v>
      </c>
      <c r="B57" s="21" t="s">
        <v>1021</v>
      </c>
      <c r="C57" s="21" t="s">
        <v>1022</v>
      </c>
      <c r="D57" s="21"/>
      <c r="E57" s="21" t="s">
        <v>1023</v>
      </c>
      <c r="F57" s="21"/>
      <c r="G57" s="21"/>
      <c r="H57" s="21"/>
      <c r="I57" s="21"/>
      <c r="J57" s="21"/>
      <c r="K57" s="21"/>
      <c r="L57" s="21"/>
    </row>
    <row r="58" spans="1:12" ht="43.5" x14ac:dyDescent="0.35">
      <c r="A58" s="21" t="s">
        <v>1020</v>
      </c>
      <c r="B58" s="21" t="s">
        <v>1024</v>
      </c>
      <c r="C58" s="21" t="s">
        <v>1025</v>
      </c>
      <c r="D58" s="21"/>
      <c r="E58" s="21" t="s">
        <v>1023</v>
      </c>
      <c r="F58" s="21"/>
      <c r="G58" s="21"/>
      <c r="H58" s="21"/>
      <c r="I58" s="21"/>
      <c r="J58" s="21"/>
      <c r="K58" s="21"/>
      <c r="L58" s="21"/>
    </row>
    <row r="59" spans="1:12" ht="43.5" x14ac:dyDescent="0.35">
      <c r="A59" s="21" t="s">
        <v>1020</v>
      </c>
      <c r="B59" s="21" t="s">
        <v>1026</v>
      </c>
      <c r="C59" s="21" t="s">
        <v>1027</v>
      </c>
      <c r="D59" s="21"/>
      <c r="E59" s="21" t="s">
        <v>1023</v>
      </c>
      <c r="F59" s="21"/>
      <c r="G59" s="21"/>
      <c r="H59" s="21"/>
      <c r="I59" s="21"/>
      <c r="J59" s="21"/>
      <c r="K59" s="21"/>
      <c r="L59" s="21"/>
    </row>
    <row r="60" spans="1:12" ht="43.5" x14ac:dyDescent="0.35">
      <c r="A60" s="21" t="s">
        <v>1020</v>
      </c>
      <c r="B60" s="21" t="s">
        <v>1028</v>
      </c>
      <c r="C60" s="21" t="s">
        <v>1029</v>
      </c>
      <c r="D60" s="21"/>
      <c r="E60" s="21" t="s">
        <v>1023</v>
      </c>
      <c r="F60" s="21"/>
      <c r="G60" s="21"/>
      <c r="H60" s="21"/>
      <c r="I60" s="21"/>
      <c r="J60" s="21"/>
      <c r="K60" s="21"/>
      <c r="L60" s="21"/>
    </row>
    <row r="61" spans="1:12" ht="43.5" x14ac:dyDescent="0.35">
      <c r="A61" s="21" t="s">
        <v>1020</v>
      </c>
      <c r="B61" s="21" t="s">
        <v>1030</v>
      </c>
      <c r="C61" s="21" t="s">
        <v>1031</v>
      </c>
      <c r="D61" s="21"/>
      <c r="E61" s="21" t="s">
        <v>1023</v>
      </c>
      <c r="F61" s="21"/>
      <c r="G61" s="21"/>
      <c r="H61" s="21"/>
      <c r="I61" s="21"/>
      <c r="J61" s="21"/>
      <c r="K61" s="21"/>
      <c r="L61" s="21"/>
    </row>
    <row r="62" spans="1:12" ht="43.5" x14ac:dyDescent="0.35">
      <c r="A62" s="21" t="s">
        <v>1020</v>
      </c>
      <c r="B62" s="21" t="s">
        <v>1032</v>
      </c>
      <c r="C62" s="21" t="s">
        <v>1033</v>
      </c>
      <c r="D62" s="21"/>
      <c r="E62" s="21" t="s">
        <v>1023</v>
      </c>
      <c r="F62" s="21"/>
      <c r="G62" s="21"/>
      <c r="H62" s="21"/>
      <c r="I62" s="21"/>
      <c r="J62" s="21"/>
      <c r="K62" s="21"/>
      <c r="L62" s="21"/>
    </row>
    <row r="63" spans="1:12" ht="29" x14ac:dyDescent="0.35">
      <c r="A63" s="21" t="s">
        <v>428</v>
      </c>
      <c r="B63" s="21" t="s">
        <v>1034</v>
      </c>
      <c r="C63" s="21" t="s">
        <v>1035</v>
      </c>
      <c r="D63" s="21"/>
      <c r="E63" s="21" t="s">
        <v>996</v>
      </c>
      <c r="F63" s="21"/>
      <c r="G63" s="21"/>
      <c r="H63" s="21"/>
      <c r="I63" s="21"/>
      <c r="J63" s="21"/>
      <c r="K63" s="21"/>
      <c r="L63" s="21"/>
    </row>
    <row r="64" spans="1:12" ht="43.5" x14ac:dyDescent="0.35">
      <c r="A64" s="21" t="s">
        <v>428</v>
      </c>
      <c r="B64" s="21" t="s">
        <v>1036</v>
      </c>
      <c r="C64" s="21" t="s">
        <v>1037</v>
      </c>
      <c r="D64" s="21"/>
      <c r="E64" s="21" t="s">
        <v>996</v>
      </c>
      <c r="F64" s="21"/>
      <c r="G64" s="21"/>
      <c r="H64" s="21"/>
      <c r="I64" s="21"/>
      <c r="J64" s="21"/>
      <c r="K64" s="21"/>
      <c r="L64" s="21"/>
    </row>
    <row r="65" spans="1:12" ht="29" x14ac:dyDescent="0.35">
      <c r="A65" s="21" t="s">
        <v>428</v>
      </c>
      <c r="B65" s="21" t="s">
        <v>1038</v>
      </c>
      <c r="C65" s="21" t="s">
        <v>1039</v>
      </c>
      <c r="D65" s="21"/>
      <c r="E65" s="21" t="s">
        <v>996</v>
      </c>
      <c r="F65" s="21"/>
      <c r="G65" s="21"/>
      <c r="H65" s="21"/>
      <c r="I65" s="21"/>
      <c r="J65" s="21"/>
      <c r="K65" s="21"/>
      <c r="L65" s="21"/>
    </row>
    <row r="66" spans="1:12" ht="43.5" x14ac:dyDescent="0.35">
      <c r="A66" s="21" t="s">
        <v>428</v>
      </c>
      <c r="B66" s="21" t="s">
        <v>1040</v>
      </c>
      <c r="C66" s="21" t="s">
        <v>1041</v>
      </c>
      <c r="D66" s="21"/>
      <c r="E66" s="21" t="s">
        <v>996</v>
      </c>
      <c r="F66" s="21"/>
      <c r="G66" s="21"/>
      <c r="H66" s="21"/>
      <c r="I66" s="21"/>
      <c r="J66" s="21"/>
      <c r="K66" s="21"/>
      <c r="L66" s="21"/>
    </row>
    <row r="67" spans="1:12" ht="29" x14ac:dyDescent="0.35">
      <c r="A67" s="21" t="s">
        <v>428</v>
      </c>
      <c r="B67" s="21" t="s">
        <v>1042</v>
      </c>
      <c r="C67" s="21" t="s">
        <v>1043</v>
      </c>
      <c r="D67" s="21"/>
      <c r="E67" s="21" t="s">
        <v>996</v>
      </c>
      <c r="F67" s="21"/>
      <c r="G67" s="21"/>
      <c r="H67" s="21"/>
      <c r="I67" s="21"/>
      <c r="J67" s="21"/>
      <c r="K67" s="21"/>
      <c r="L67" s="21"/>
    </row>
    <row r="68" spans="1:12" ht="29" x14ac:dyDescent="0.35">
      <c r="A68" s="21" t="s">
        <v>428</v>
      </c>
      <c r="B68" s="21" t="s">
        <v>1044</v>
      </c>
      <c r="C68" s="21" t="s">
        <v>1045</v>
      </c>
      <c r="D68" s="21"/>
      <c r="E68" s="21" t="s">
        <v>996</v>
      </c>
      <c r="F68" s="21"/>
      <c r="G68" s="21"/>
      <c r="H68" s="21"/>
      <c r="I68" s="21"/>
      <c r="J68" s="21"/>
      <c r="K68" s="21"/>
      <c r="L68" s="21"/>
    </row>
    <row r="69" spans="1:12" ht="29" x14ac:dyDescent="0.35">
      <c r="A69" s="21" t="s">
        <v>1046</v>
      </c>
      <c r="B69" s="21" t="s">
        <v>1047</v>
      </c>
      <c r="C69" s="21" t="s">
        <v>1048</v>
      </c>
      <c r="D69" s="21"/>
      <c r="E69" s="21" t="s">
        <v>996</v>
      </c>
      <c r="F69" s="21"/>
      <c r="G69" s="21"/>
      <c r="H69" s="21"/>
      <c r="I69" s="21"/>
      <c r="J69" s="21"/>
      <c r="K69" s="21"/>
      <c r="L69" s="21"/>
    </row>
    <row r="70" spans="1:12" ht="29" x14ac:dyDescent="0.35">
      <c r="A70" s="21" t="s">
        <v>1046</v>
      </c>
      <c r="B70" s="21" t="s">
        <v>1049</v>
      </c>
      <c r="C70" s="21" t="s">
        <v>1050</v>
      </c>
      <c r="D70" s="21"/>
      <c r="E70" s="21" t="s">
        <v>996</v>
      </c>
      <c r="F70" s="21"/>
      <c r="G70" s="21"/>
      <c r="H70" s="21"/>
      <c r="I70" s="21"/>
      <c r="J70" s="21"/>
      <c r="K70" s="21"/>
      <c r="L70" s="21"/>
    </row>
    <row r="71" spans="1:12" ht="29" x14ac:dyDescent="0.35">
      <c r="A71" s="21" t="s">
        <v>1046</v>
      </c>
      <c r="B71" s="21" t="s">
        <v>1051</v>
      </c>
      <c r="C71" s="21" t="s">
        <v>1052</v>
      </c>
      <c r="D71" s="21"/>
      <c r="E71" s="21" t="s">
        <v>996</v>
      </c>
      <c r="F71" s="21"/>
      <c r="G71" s="21"/>
      <c r="H71" s="21"/>
      <c r="I71" s="21"/>
      <c r="J71" s="21"/>
      <c r="K71" s="21"/>
      <c r="L71" s="21"/>
    </row>
    <row r="72" spans="1:12" ht="29" x14ac:dyDescent="0.35">
      <c r="A72" s="21" t="s">
        <v>1046</v>
      </c>
      <c r="B72" s="21" t="s">
        <v>1053</v>
      </c>
      <c r="C72" s="21" t="s">
        <v>1054</v>
      </c>
      <c r="D72" s="21"/>
      <c r="E72" s="21" t="s">
        <v>996</v>
      </c>
      <c r="F72" s="21"/>
      <c r="G72" s="21"/>
      <c r="H72" s="21"/>
      <c r="I72" s="21"/>
      <c r="J72" s="21"/>
      <c r="K72" s="21"/>
      <c r="L72" s="21"/>
    </row>
    <row r="73" spans="1:12" ht="29" x14ac:dyDescent="0.35">
      <c r="A73" s="21" t="s">
        <v>1046</v>
      </c>
      <c r="B73" s="21" t="s">
        <v>1055</v>
      </c>
      <c r="C73" s="21" t="s">
        <v>1056</v>
      </c>
      <c r="D73" s="21"/>
      <c r="E73" s="21" t="s">
        <v>996</v>
      </c>
      <c r="F73" s="21"/>
      <c r="G73" s="21"/>
      <c r="H73" s="21"/>
      <c r="I73" s="21"/>
      <c r="J73" s="21"/>
      <c r="K73" s="21"/>
      <c r="L73" s="21"/>
    </row>
    <row r="74" spans="1:12" ht="29" x14ac:dyDescent="0.35">
      <c r="A74" s="21" t="s">
        <v>1046</v>
      </c>
      <c r="B74" s="21" t="s">
        <v>1057</v>
      </c>
      <c r="C74" s="21" t="s">
        <v>1058</v>
      </c>
      <c r="D74" s="21"/>
      <c r="E74" s="21" t="s">
        <v>996</v>
      </c>
      <c r="F74" s="21"/>
      <c r="G74" s="21"/>
      <c r="H74" s="21"/>
      <c r="I74" s="21"/>
      <c r="J74" s="21"/>
      <c r="K74" s="21"/>
      <c r="L74" s="21"/>
    </row>
    <row r="75" spans="1:12" ht="29" x14ac:dyDescent="0.35">
      <c r="A75" s="21" t="s">
        <v>1059</v>
      </c>
      <c r="B75" s="21" t="s">
        <v>1060</v>
      </c>
      <c r="C75" s="21" t="s">
        <v>1061</v>
      </c>
      <c r="D75" s="21"/>
      <c r="E75" s="21" t="s">
        <v>996</v>
      </c>
      <c r="F75" s="21"/>
      <c r="G75" s="21"/>
      <c r="H75" s="21"/>
      <c r="I75" s="21"/>
      <c r="J75" s="21"/>
      <c r="K75" s="21"/>
      <c r="L75" s="21"/>
    </row>
    <row r="76" spans="1:12" ht="43.5" x14ac:dyDescent="0.35">
      <c r="A76" s="21" t="s">
        <v>1059</v>
      </c>
      <c r="B76" s="21" t="s">
        <v>1062</v>
      </c>
      <c r="C76" s="21" t="s">
        <v>1063</v>
      </c>
      <c r="D76" s="21"/>
      <c r="E76" s="21" t="s">
        <v>996</v>
      </c>
      <c r="F76" s="21"/>
      <c r="G76" s="21"/>
      <c r="H76" s="21"/>
      <c r="I76" s="21"/>
      <c r="J76" s="21"/>
      <c r="K76" s="21"/>
      <c r="L76" s="21"/>
    </row>
    <row r="77" spans="1:12" ht="29" x14ac:dyDescent="0.35">
      <c r="A77" s="21" t="s">
        <v>1059</v>
      </c>
      <c r="B77" s="21" t="s">
        <v>1064</v>
      </c>
      <c r="C77" s="21" t="s">
        <v>1065</v>
      </c>
      <c r="D77" s="21"/>
      <c r="E77" s="21" t="s">
        <v>996</v>
      </c>
      <c r="F77" s="21"/>
      <c r="G77" s="21"/>
      <c r="H77" s="21"/>
      <c r="I77" s="21"/>
      <c r="J77" s="21"/>
      <c r="K77" s="21"/>
      <c r="L77" s="21"/>
    </row>
    <row r="78" spans="1:12" ht="29" x14ac:dyDescent="0.35">
      <c r="A78" s="21" t="s">
        <v>1059</v>
      </c>
      <c r="B78" s="21" t="s">
        <v>1066</v>
      </c>
      <c r="C78" s="21" t="s">
        <v>1067</v>
      </c>
      <c r="D78" s="21"/>
      <c r="E78" s="21" t="s">
        <v>996</v>
      </c>
      <c r="F78" s="21"/>
      <c r="G78" s="21"/>
      <c r="H78" s="21"/>
      <c r="I78" s="21"/>
      <c r="J78" s="21"/>
      <c r="K78" s="21"/>
      <c r="L78" s="21"/>
    </row>
    <row r="79" spans="1:12" ht="29" x14ac:dyDescent="0.35">
      <c r="A79" s="21" t="s">
        <v>1059</v>
      </c>
      <c r="B79" s="21" t="s">
        <v>1068</v>
      </c>
      <c r="C79" s="21" t="s">
        <v>1069</v>
      </c>
      <c r="D79" s="21"/>
      <c r="E79" s="21" t="s">
        <v>996</v>
      </c>
      <c r="F79" s="21"/>
      <c r="G79" s="21"/>
      <c r="H79" s="21"/>
      <c r="I79" s="21"/>
      <c r="J79" s="21"/>
      <c r="K79" s="21"/>
      <c r="L79" s="21"/>
    </row>
    <row r="80" spans="1:12" ht="29" x14ac:dyDescent="0.35">
      <c r="A80" s="21" t="s">
        <v>1059</v>
      </c>
      <c r="B80" s="21" t="s">
        <v>1070</v>
      </c>
      <c r="C80" s="21" t="s">
        <v>1071</v>
      </c>
      <c r="D80" s="21"/>
      <c r="E80" s="21" t="s">
        <v>996</v>
      </c>
      <c r="F80" s="21"/>
      <c r="G80" s="21"/>
      <c r="H80" s="21"/>
      <c r="I80" s="21"/>
      <c r="J80" s="21"/>
      <c r="K80" s="21"/>
      <c r="L80" s="21"/>
    </row>
    <row r="81" spans="1:12" ht="29" x14ac:dyDescent="0.35">
      <c r="A81" s="21" t="s">
        <v>1072</v>
      </c>
      <c r="B81" s="21" t="s">
        <v>1073</v>
      </c>
      <c r="C81" s="21" t="s">
        <v>1074</v>
      </c>
      <c r="D81" s="21"/>
      <c r="E81" s="21" t="s">
        <v>996</v>
      </c>
      <c r="F81" s="21"/>
      <c r="G81" s="21"/>
      <c r="H81" s="21"/>
      <c r="I81" s="21"/>
      <c r="J81" s="21"/>
      <c r="K81" s="21"/>
      <c r="L81" s="21"/>
    </row>
    <row r="82" spans="1:12" ht="29" x14ac:dyDescent="0.35">
      <c r="A82" s="21" t="s">
        <v>1072</v>
      </c>
      <c r="B82" s="21" t="s">
        <v>1075</v>
      </c>
      <c r="C82" s="21" t="s">
        <v>1076</v>
      </c>
      <c r="D82" s="21"/>
      <c r="E82" s="21" t="s">
        <v>996</v>
      </c>
      <c r="F82" s="21"/>
      <c r="G82" s="21"/>
      <c r="H82" s="21"/>
      <c r="I82" s="21"/>
      <c r="J82" s="21"/>
      <c r="K82" s="21"/>
      <c r="L82" s="21"/>
    </row>
    <row r="83" spans="1:12" ht="29" x14ac:dyDescent="0.35">
      <c r="A83" s="21" t="s">
        <v>1072</v>
      </c>
      <c r="B83" s="21" t="s">
        <v>1077</v>
      </c>
      <c r="C83" s="21" t="s">
        <v>1078</v>
      </c>
      <c r="D83" s="21"/>
      <c r="E83" s="21" t="s">
        <v>996</v>
      </c>
      <c r="F83" s="21"/>
      <c r="G83" s="21"/>
      <c r="H83" s="21"/>
      <c r="I83" s="21"/>
      <c r="J83" s="21"/>
      <c r="K83" s="21"/>
      <c r="L83" s="21"/>
    </row>
    <row r="84" spans="1:12" ht="29" x14ac:dyDescent="0.35">
      <c r="A84" s="21" t="s">
        <v>1072</v>
      </c>
      <c r="B84" s="21" t="s">
        <v>1079</v>
      </c>
      <c r="C84" s="21" t="s">
        <v>1080</v>
      </c>
      <c r="D84" s="21"/>
      <c r="E84" s="21" t="s">
        <v>996</v>
      </c>
      <c r="F84" s="21"/>
      <c r="G84" s="21"/>
      <c r="H84" s="21"/>
      <c r="I84" s="21"/>
      <c r="J84" s="21"/>
      <c r="K84" s="21"/>
      <c r="L84" s="21"/>
    </row>
    <row r="85" spans="1:12" ht="29" x14ac:dyDescent="0.35">
      <c r="A85" s="21" t="s">
        <v>1072</v>
      </c>
      <c r="B85" s="21" t="s">
        <v>1081</v>
      </c>
      <c r="C85" s="21" t="s">
        <v>1082</v>
      </c>
      <c r="D85" s="21"/>
      <c r="E85" s="21" t="s">
        <v>996</v>
      </c>
      <c r="F85" s="21"/>
      <c r="G85" s="21"/>
      <c r="H85" s="21"/>
      <c r="I85" s="21"/>
      <c r="J85" s="21"/>
      <c r="K85" s="21"/>
      <c r="L85" s="21"/>
    </row>
    <row r="86" spans="1:12" ht="29" x14ac:dyDescent="0.35">
      <c r="A86" s="21" t="s">
        <v>1072</v>
      </c>
      <c r="B86" s="21" t="s">
        <v>1083</v>
      </c>
      <c r="C86" s="21" t="s">
        <v>1084</v>
      </c>
      <c r="D86" s="21"/>
      <c r="E86" s="21" t="s">
        <v>996</v>
      </c>
      <c r="F86" s="21"/>
      <c r="G86" s="21"/>
      <c r="H86" s="21"/>
      <c r="I86" s="21"/>
      <c r="J86" s="21"/>
      <c r="K86" s="21"/>
      <c r="L86" s="21"/>
    </row>
    <row r="87" spans="1:12" ht="29" x14ac:dyDescent="0.35">
      <c r="A87" s="21" t="s">
        <v>1085</v>
      </c>
      <c r="B87" s="21" t="s">
        <v>1086</v>
      </c>
      <c r="C87" s="21" t="s">
        <v>1087</v>
      </c>
      <c r="D87" s="21"/>
      <c r="E87" s="21" t="s">
        <v>996</v>
      </c>
      <c r="F87" s="21"/>
      <c r="G87" s="21"/>
      <c r="H87" s="21"/>
      <c r="I87" s="21"/>
      <c r="J87" s="21"/>
      <c r="K87" s="21"/>
      <c r="L87" s="21"/>
    </row>
    <row r="88" spans="1:12" ht="29" x14ac:dyDescent="0.35">
      <c r="A88" s="21" t="s">
        <v>1085</v>
      </c>
      <c r="B88" s="21" t="s">
        <v>1088</v>
      </c>
      <c r="C88" s="21" t="s">
        <v>1089</v>
      </c>
      <c r="D88" s="21"/>
      <c r="E88" s="21" t="s">
        <v>996</v>
      </c>
      <c r="F88" s="21"/>
      <c r="G88" s="21"/>
      <c r="H88" s="21"/>
      <c r="I88" s="21"/>
      <c r="J88" s="21"/>
      <c r="K88" s="21"/>
      <c r="L88" s="21"/>
    </row>
    <row r="89" spans="1:12" ht="29" x14ac:dyDescent="0.35">
      <c r="A89" s="21" t="s">
        <v>1085</v>
      </c>
      <c r="B89" s="21" t="s">
        <v>1090</v>
      </c>
      <c r="C89" s="21" t="s">
        <v>1091</v>
      </c>
      <c r="D89" s="21"/>
      <c r="E89" s="21" t="s">
        <v>996</v>
      </c>
      <c r="F89" s="21"/>
      <c r="G89" s="21"/>
      <c r="H89" s="21"/>
      <c r="I89" s="21"/>
      <c r="J89" s="21"/>
      <c r="K89" s="21"/>
      <c r="L89" s="21"/>
    </row>
    <row r="90" spans="1:12" ht="29" x14ac:dyDescent="0.35">
      <c r="A90" s="21" t="s">
        <v>1085</v>
      </c>
      <c r="B90" s="21" t="s">
        <v>1092</v>
      </c>
      <c r="C90" s="21" t="s">
        <v>1093</v>
      </c>
      <c r="D90" s="21"/>
      <c r="E90" s="21" t="s">
        <v>996</v>
      </c>
      <c r="F90" s="21"/>
      <c r="G90" s="21"/>
      <c r="H90" s="21"/>
      <c r="I90" s="21"/>
      <c r="J90" s="21"/>
      <c r="K90" s="21"/>
      <c r="L90" s="21"/>
    </row>
    <row r="91" spans="1:12" ht="29" x14ac:dyDescent="0.35">
      <c r="A91" s="21" t="s">
        <v>1085</v>
      </c>
      <c r="B91" s="21" t="s">
        <v>1094</v>
      </c>
      <c r="C91" s="21" t="s">
        <v>1095</v>
      </c>
      <c r="D91" s="21"/>
      <c r="E91" s="21" t="s">
        <v>996</v>
      </c>
      <c r="F91" s="21"/>
      <c r="G91" s="21"/>
      <c r="H91" s="21"/>
      <c r="I91" s="21"/>
      <c r="J91" s="21"/>
      <c r="K91" s="21"/>
      <c r="L91" s="21"/>
    </row>
    <row r="92" spans="1:12" ht="29" x14ac:dyDescent="0.35">
      <c r="A92" s="21" t="s">
        <v>1085</v>
      </c>
      <c r="B92" s="21" t="s">
        <v>1096</v>
      </c>
      <c r="C92" s="21" t="s">
        <v>1097</v>
      </c>
      <c r="D92" s="21"/>
      <c r="E92" s="21" t="s">
        <v>996</v>
      </c>
      <c r="F92" s="21"/>
      <c r="G92" s="21"/>
      <c r="H92" s="21"/>
      <c r="I92" s="21"/>
      <c r="J92" s="21"/>
      <c r="K92" s="21"/>
      <c r="L92" s="21"/>
    </row>
    <row r="93" spans="1:12" ht="29" x14ac:dyDescent="0.35">
      <c r="A93" s="21" t="s">
        <v>1098</v>
      </c>
      <c r="B93" s="21" t="s">
        <v>1099</v>
      </c>
      <c r="C93" s="21" t="s">
        <v>1100</v>
      </c>
      <c r="D93" s="21"/>
      <c r="E93" s="21" t="s">
        <v>996</v>
      </c>
      <c r="F93" s="21"/>
      <c r="G93" s="21"/>
      <c r="H93" s="21"/>
      <c r="I93" s="21"/>
      <c r="J93" s="21"/>
      <c r="K93" s="21"/>
      <c r="L93" s="21"/>
    </row>
    <row r="94" spans="1:12" ht="29" x14ac:dyDescent="0.35">
      <c r="A94" s="21" t="s">
        <v>1098</v>
      </c>
      <c r="B94" s="21" t="s">
        <v>1101</v>
      </c>
      <c r="C94" s="21" t="s">
        <v>1102</v>
      </c>
      <c r="D94" s="21"/>
      <c r="E94" s="21" t="s">
        <v>996</v>
      </c>
      <c r="F94" s="21"/>
      <c r="G94" s="21"/>
      <c r="H94" s="21"/>
      <c r="I94" s="21"/>
      <c r="J94" s="21"/>
      <c r="K94" s="21"/>
      <c r="L94" s="21"/>
    </row>
    <row r="95" spans="1:12" ht="29" x14ac:dyDescent="0.35">
      <c r="A95" s="21" t="s">
        <v>1098</v>
      </c>
      <c r="B95" s="21" t="s">
        <v>1103</v>
      </c>
      <c r="C95" s="21" t="s">
        <v>1104</v>
      </c>
      <c r="D95" s="21"/>
      <c r="E95" s="21" t="s">
        <v>996</v>
      </c>
      <c r="F95" s="21"/>
      <c r="G95" s="21"/>
      <c r="H95" s="21"/>
      <c r="I95" s="21"/>
      <c r="J95" s="21"/>
      <c r="K95" s="21"/>
      <c r="L95" s="21"/>
    </row>
    <row r="96" spans="1:12" ht="29" x14ac:dyDescent="0.35">
      <c r="A96" s="21" t="s">
        <v>1098</v>
      </c>
      <c r="B96" s="21" t="s">
        <v>1105</v>
      </c>
      <c r="C96" s="21" t="s">
        <v>1106</v>
      </c>
      <c r="D96" s="21"/>
      <c r="E96" s="21" t="s">
        <v>996</v>
      </c>
      <c r="F96" s="21"/>
      <c r="G96" s="21"/>
      <c r="H96" s="21"/>
      <c r="I96" s="21"/>
      <c r="J96" s="21"/>
      <c r="K96" s="21"/>
      <c r="L96" s="21"/>
    </row>
    <row r="97" spans="1:12" ht="29" x14ac:dyDescent="0.35">
      <c r="A97" s="21" t="s">
        <v>1098</v>
      </c>
      <c r="B97" s="21" t="s">
        <v>1107</v>
      </c>
      <c r="C97" s="21" t="s">
        <v>1108</v>
      </c>
      <c r="D97" s="21"/>
      <c r="E97" s="21" t="s">
        <v>996</v>
      </c>
      <c r="F97" s="21"/>
      <c r="G97" s="21"/>
      <c r="H97" s="21"/>
      <c r="I97" s="21"/>
      <c r="J97" s="21"/>
      <c r="K97" s="21"/>
      <c r="L97" s="21"/>
    </row>
    <row r="98" spans="1:12" ht="29" x14ac:dyDescent="0.35">
      <c r="A98" s="21" t="s">
        <v>1098</v>
      </c>
      <c r="B98" s="21" t="s">
        <v>1109</v>
      </c>
      <c r="C98" s="21" t="s">
        <v>1110</v>
      </c>
      <c r="D98" s="21"/>
      <c r="E98" s="21" t="s">
        <v>996</v>
      </c>
      <c r="F98" s="21"/>
      <c r="G98" s="21"/>
      <c r="H98" s="21"/>
      <c r="I98" s="21"/>
      <c r="J98" s="21"/>
      <c r="K98" s="21"/>
      <c r="L98" s="21"/>
    </row>
    <row r="99" spans="1:12" ht="29" x14ac:dyDescent="0.35">
      <c r="A99" s="21" t="s">
        <v>1111</v>
      </c>
      <c r="B99" s="21" t="s">
        <v>1112</v>
      </c>
      <c r="C99" s="21" t="s">
        <v>1113</v>
      </c>
      <c r="D99" s="21"/>
      <c r="E99" s="21" t="s">
        <v>1114</v>
      </c>
      <c r="F99" s="21"/>
      <c r="G99" s="21"/>
      <c r="H99" s="21"/>
      <c r="I99" s="21"/>
      <c r="J99" s="21"/>
      <c r="K99" s="21"/>
      <c r="L99" s="21"/>
    </row>
    <row r="100" spans="1:12" ht="29" x14ac:dyDescent="0.35">
      <c r="A100" s="21" t="s">
        <v>1111</v>
      </c>
      <c r="B100" s="21" t="s">
        <v>1115</v>
      </c>
      <c r="C100" s="21" t="s">
        <v>1116</v>
      </c>
      <c r="D100" s="21"/>
      <c r="E100" s="21" t="s">
        <v>1114</v>
      </c>
      <c r="F100" s="21"/>
      <c r="G100" s="21"/>
      <c r="H100" s="21"/>
      <c r="I100" s="21"/>
      <c r="J100" s="21"/>
      <c r="K100" s="21"/>
      <c r="L100" s="21"/>
    </row>
    <row r="101" spans="1:12" ht="29" x14ac:dyDescent="0.35">
      <c r="A101" s="21" t="s">
        <v>1111</v>
      </c>
      <c r="B101" s="21" t="s">
        <v>1117</v>
      </c>
      <c r="C101" s="21" t="s">
        <v>1118</v>
      </c>
      <c r="D101" s="21"/>
      <c r="E101" s="21" t="s">
        <v>1114</v>
      </c>
      <c r="F101" s="21"/>
      <c r="G101" s="21"/>
      <c r="H101" s="21"/>
      <c r="I101" s="21"/>
      <c r="J101" s="21"/>
      <c r="K101" s="21"/>
      <c r="L101" s="21"/>
    </row>
    <row r="102" spans="1:12" ht="29" x14ac:dyDescent="0.35">
      <c r="A102" s="21" t="s">
        <v>1111</v>
      </c>
      <c r="B102" s="21" t="s">
        <v>1119</v>
      </c>
      <c r="C102" s="21" t="s">
        <v>1120</v>
      </c>
      <c r="D102" s="21"/>
      <c r="E102" s="21" t="s">
        <v>1114</v>
      </c>
      <c r="F102" s="21"/>
      <c r="G102" s="21"/>
      <c r="H102" s="21"/>
      <c r="I102" s="21"/>
      <c r="J102" s="21"/>
      <c r="K102" s="21"/>
      <c r="L102" s="21"/>
    </row>
    <row r="103" spans="1:12" ht="29" x14ac:dyDescent="0.35">
      <c r="A103" s="21" t="s">
        <v>1111</v>
      </c>
      <c r="B103" s="21" t="s">
        <v>1121</v>
      </c>
      <c r="C103" s="21" t="s">
        <v>1122</v>
      </c>
      <c r="D103" s="21"/>
      <c r="E103" s="21" t="s">
        <v>1114</v>
      </c>
      <c r="F103" s="21"/>
      <c r="G103" s="21"/>
      <c r="H103" s="21"/>
      <c r="I103" s="21"/>
      <c r="J103" s="21"/>
      <c r="K103" s="21"/>
      <c r="L103" s="21"/>
    </row>
    <row r="104" spans="1:12" ht="29" x14ac:dyDescent="0.35">
      <c r="A104" s="21" t="s">
        <v>1111</v>
      </c>
      <c r="B104" s="21" t="s">
        <v>1123</v>
      </c>
      <c r="C104" s="21" t="s">
        <v>1124</v>
      </c>
      <c r="D104" s="21"/>
      <c r="E104" s="21" t="s">
        <v>1114</v>
      </c>
      <c r="F104" s="21"/>
      <c r="G104" s="21"/>
      <c r="H104" s="21"/>
      <c r="I104" s="21"/>
      <c r="J104" s="21"/>
      <c r="K104" s="21"/>
      <c r="L104" s="21"/>
    </row>
    <row r="105" spans="1:12" ht="29" x14ac:dyDescent="0.35">
      <c r="A105" s="21" t="s">
        <v>1125</v>
      </c>
      <c r="B105" s="21" t="s">
        <v>1126</v>
      </c>
      <c r="C105" s="21" t="s">
        <v>1127</v>
      </c>
      <c r="D105" s="21"/>
      <c r="E105" s="21" t="s">
        <v>1114</v>
      </c>
      <c r="F105" s="21"/>
      <c r="G105" s="21"/>
      <c r="H105" s="21"/>
      <c r="I105" s="21"/>
      <c r="J105" s="21"/>
      <c r="K105" s="21"/>
      <c r="L105" s="21"/>
    </row>
    <row r="106" spans="1:12" ht="29" x14ac:dyDescent="0.35">
      <c r="A106" s="21" t="s">
        <v>1125</v>
      </c>
      <c r="B106" s="21" t="s">
        <v>1128</v>
      </c>
      <c r="C106" s="21" t="s">
        <v>1129</v>
      </c>
      <c r="D106" s="21"/>
      <c r="E106" s="21" t="s">
        <v>1114</v>
      </c>
      <c r="F106" s="21"/>
      <c r="G106" s="21"/>
      <c r="H106" s="21"/>
      <c r="I106" s="21"/>
      <c r="J106" s="21"/>
      <c r="K106" s="21"/>
      <c r="L106" s="21"/>
    </row>
    <row r="107" spans="1:12" ht="43.5" x14ac:dyDescent="0.35">
      <c r="A107" s="21" t="s">
        <v>1125</v>
      </c>
      <c r="B107" s="21" t="s">
        <v>1130</v>
      </c>
      <c r="C107" s="21" t="s">
        <v>1131</v>
      </c>
      <c r="D107" s="21"/>
      <c r="E107" s="21" t="s">
        <v>1114</v>
      </c>
      <c r="F107" s="21"/>
      <c r="G107" s="21"/>
      <c r="H107" s="21"/>
      <c r="I107" s="21"/>
      <c r="J107" s="21"/>
      <c r="K107" s="21"/>
      <c r="L107" s="21"/>
    </row>
    <row r="108" spans="1:12" ht="29" x14ac:dyDescent="0.35">
      <c r="A108" s="21" t="s">
        <v>1125</v>
      </c>
      <c r="B108" s="21" t="s">
        <v>1132</v>
      </c>
      <c r="C108" s="21" t="s">
        <v>1133</v>
      </c>
      <c r="D108" s="21"/>
      <c r="E108" s="21" t="s">
        <v>1114</v>
      </c>
      <c r="F108" s="21"/>
      <c r="G108" s="21"/>
      <c r="H108" s="21"/>
      <c r="I108" s="21"/>
      <c r="J108" s="21"/>
      <c r="K108" s="21"/>
      <c r="L108" s="21"/>
    </row>
    <row r="109" spans="1:12" ht="29" x14ac:dyDescent="0.35">
      <c r="A109" s="21" t="s">
        <v>1125</v>
      </c>
      <c r="B109" s="21" t="s">
        <v>1134</v>
      </c>
      <c r="C109" s="21" t="s">
        <v>1135</v>
      </c>
      <c r="D109" s="21"/>
      <c r="E109" s="21" t="s">
        <v>1114</v>
      </c>
      <c r="F109" s="21"/>
      <c r="G109" s="21"/>
      <c r="H109" s="21"/>
      <c r="I109" s="21"/>
      <c r="J109" s="21"/>
      <c r="K109" s="21"/>
      <c r="L109" s="21"/>
    </row>
    <row r="110" spans="1:12" ht="29" x14ac:dyDescent="0.35">
      <c r="A110" s="21" t="s">
        <v>1125</v>
      </c>
      <c r="B110" s="21" t="s">
        <v>1136</v>
      </c>
      <c r="C110" s="21" t="s">
        <v>1137</v>
      </c>
      <c r="D110" s="21"/>
      <c r="E110" s="21" t="s">
        <v>1114</v>
      </c>
      <c r="F110" s="21"/>
      <c r="G110" s="21"/>
      <c r="H110" s="21"/>
      <c r="I110" s="21"/>
      <c r="J110" s="21"/>
      <c r="K110" s="21"/>
      <c r="L110" s="21"/>
    </row>
    <row r="111" spans="1:12" ht="29" x14ac:dyDescent="0.35">
      <c r="A111" s="21" t="s">
        <v>1138</v>
      </c>
      <c r="B111" s="21" t="s">
        <v>1139</v>
      </c>
      <c r="C111" s="21" t="s">
        <v>1140</v>
      </c>
      <c r="D111" s="21"/>
      <c r="E111" s="21" t="s">
        <v>996</v>
      </c>
      <c r="F111" s="21"/>
      <c r="G111" s="21"/>
      <c r="H111" s="21"/>
      <c r="I111" s="21"/>
      <c r="J111" s="21"/>
      <c r="K111" s="21"/>
      <c r="L111" s="21"/>
    </row>
    <row r="112" spans="1:12" ht="29" x14ac:dyDescent="0.35">
      <c r="A112" s="21" t="s">
        <v>1138</v>
      </c>
      <c r="B112" s="21" t="s">
        <v>1141</v>
      </c>
      <c r="C112" s="21" t="s">
        <v>1142</v>
      </c>
      <c r="D112" s="21"/>
      <c r="E112" s="21" t="s">
        <v>996</v>
      </c>
      <c r="F112" s="21"/>
      <c r="G112" s="21"/>
      <c r="H112" s="21"/>
      <c r="I112" s="21"/>
      <c r="J112" s="21"/>
      <c r="K112" s="21"/>
      <c r="L112" s="21"/>
    </row>
    <row r="113" spans="1:12" ht="29" x14ac:dyDescent="0.35">
      <c r="A113" s="21" t="s">
        <v>1138</v>
      </c>
      <c r="B113" s="21" t="s">
        <v>1143</v>
      </c>
      <c r="C113" s="21" t="s">
        <v>1144</v>
      </c>
      <c r="D113" s="21"/>
      <c r="E113" s="21" t="s">
        <v>996</v>
      </c>
      <c r="F113" s="21"/>
      <c r="G113" s="21"/>
      <c r="H113" s="21"/>
      <c r="I113" s="21"/>
      <c r="J113" s="21"/>
      <c r="K113" s="21"/>
      <c r="L113" s="21"/>
    </row>
    <row r="114" spans="1:12" ht="29" x14ac:dyDescent="0.35">
      <c r="A114" s="21" t="s">
        <v>1138</v>
      </c>
      <c r="B114" s="21" t="s">
        <v>1145</v>
      </c>
      <c r="C114" s="21" t="s">
        <v>1146</v>
      </c>
      <c r="D114" s="21"/>
      <c r="E114" s="21" t="s">
        <v>996</v>
      </c>
      <c r="F114" s="21"/>
      <c r="G114" s="21"/>
      <c r="H114" s="21"/>
      <c r="I114" s="21"/>
      <c r="J114" s="21"/>
      <c r="K114" s="21"/>
      <c r="L114" s="21"/>
    </row>
    <row r="115" spans="1:12" ht="29" x14ac:dyDescent="0.35">
      <c r="A115" s="21" t="s">
        <v>1138</v>
      </c>
      <c r="B115" s="21" t="s">
        <v>1147</v>
      </c>
      <c r="C115" s="21" t="s">
        <v>1148</v>
      </c>
      <c r="D115" s="21"/>
      <c r="E115" s="21" t="s">
        <v>996</v>
      </c>
      <c r="F115" s="21"/>
      <c r="G115" s="21"/>
      <c r="H115" s="21"/>
      <c r="I115" s="21"/>
      <c r="J115" s="21"/>
      <c r="K115" s="21"/>
      <c r="L115" s="21"/>
    </row>
    <row r="116" spans="1:12" ht="29" x14ac:dyDescent="0.35">
      <c r="A116" s="21" t="s">
        <v>1138</v>
      </c>
      <c r="B116" s="21" t="s">
        <v>1149</v>
      </c>
      <c r="C116" s="21" t="s">
        <v>1150</v>
      </c>
      <c r="D116" s="21"/>
      <c r="E116" s="21" t="s">
        <v>996</v>
      </c>
      <c r="F116" s="21"/>
      <c r="G116" s="21"/>
      <c r="H116" s="21"/>
      <c r="I116" s="21"/>
      <c r="J116" s="21"/>
      <c r="K116" s="21"/>
      <c r="L116" s="21"/>
    </row>
    <row r="117" spans="1:12" ht="29" x14ac:dyDescent="0.35">
      <c r="A117" s="21" t="s">
        <v>1151</v>
      </c>
      <c r="B117" s="21" t="s">
        <v>1152</v>
      </c>
      <c r="C117" s="21" t="s">
        <v>1153</v>
      </c>
      <c r="D117" s="21"/>
      <c r="E117" s="21" t="s">
        <v>996</v>
      </c>
      <c r="F117" s="21"/>
      <c r="G117" s="21"/>
      <c r="H117" s="21"/>
      <c r="I117" s="21"/>
      <c r="J117" s="21"/>
      <c r="K117" s="21"/>
      <c r="L117" s="21"/>
    </row>
    <row r="118" spans="1:12" ht="29" x14ac:dyDescent="0.35">
      <c r="A118" s="21" t="s">
        <v>1151</v>
      </c>
      <c r="B118" s="21" t="s">
        <v>1154</v>
      </c>
      <c r="C118" s="21" t="s">
        <v>1155</v>
      </c>
      <c r="D118" s="21"/>
      <c r="E118" s="21" t="s">
        <v>996</v>
      </c>
      <c r="F118" s="21"/>
      <c r="G118" s="21"/>
      <c r="H118" s="21"/>
      <c r="I118" s="21"/>
      <c r="J118" s="21"/>
      <c r="K118" s="21"/>
      <c r="L118" s="21"/>
    </row>
    <row r="119" spans="1:12" ht="29" x14ac:dyDescent="0.35">
      <c r="A119" s="21" t="s">
        <v>1151</v>
      </c>
      <c r="B119" s="21" t="s">
        <v>1156</v>
      </c>
      <c r="C119" s="21" t="s">
        <v>1157</v>
      </c>
      <c r="D119" s="21"/>
      <c r="E119" s="21" t="s">
        <v>996</v>
      </c>
      <c r="F119" s="21"/>
      <c r="G119" s="21"/>
      <c r="H119" s="21"/>
      <c r="I119" s="21"/>
      <c r="J119" s="21"/>
      <c r="K119" s="21"/>
      <c r="L119" s="21"/>
    </row>
    <row r="120" spans="1:12" ht="29" x14ac:dyDescent="0.35">
      <c r="A120" s="21" t="s">
        <v>1151</v>
      </c>
      <c r="B120" s="21" t="s">
        <v>1158</v>
      </c>
      <c r="C120" s="21" t="s">
        <v>1159</v>
      </c>
      <c r="D120" s="21"/>
      <c r="E120" s="21" t="s">
        <v>996</v>
      </c>
      <c r="F120" s="21"/>
      <c r="G120" s="21"/>
      <c r="H120" s="21"/>
      <c r="I120" s="21"/>
      <c r="J120" s="21"/>
      <c r="K120" s="21"/>
      <c r="L120" s="21"/>
    </row>
    <row r="121" spans="1:12" ht="29" x14ac:dyDescent="0.35">
      <c r="A121" s="21" t="s">
        <v>1151</v>
      </c>
      <c r="B121" s="21" t="s">
        <v>1160</v>
      </c>
      <c r="C121" s="21" t="s">
        <v>1161</v>
      </c>
      <c r="D121" s="21"/>
      <c r="E121" s="21" t="s">
        <v>996</v>
      </c>
      <c r="F121" s="21"/>
      <c r="G121" s="21"/>
      <c r="H121" s="21"/>
      <c r="I121" s="21"/>
      <c r="J121" s="21"/>
      <c r="K121" s="21"/>
      <c r="L121" s="21"/>
    </row>
    <row r="122" spans="1:12" ht="29" x14ac:dyDescent="0.35">
      <c r="A122" s="21" t="s">
        <v>1151</v>
      </c>
      <c r="B122" s="21" t="s">
        <v>1162</v>
      </c>
      <c r="C122" s="21" t="s">
        <v>1163</v>
      </c>
      <c r="D122" s="21"/>
      <c r="E122" s="21" t="s">
        <v>996</v>
      </c>
      <c r="F122" s="21"/>
      <c r="G122" s="21"/>
      <c r="H122" s="21"/>
      <c r="I122" s="21"/>
      <c r="J122" s="21"/>
      <c r="K122" s="21"/>
      <c r="L122" s="21"/>
    </row>
    <row r="123" spans="1:12" ht="29" x14ac:dyDescent="0.35">
      <c r="A123" s="21" t="s">
        <v>432</v>
      </c>
      <c r="B123" s="21" t="s">
        <v>1164</v>
      </c>
      <c r="C123" s="21" t="s">
        <v>1165</v>
      </c>
      <c r="D123" s="21"/>
      <c r="E123" s="21" t="s">
        <v>1114</v>
      </c>
      <c r="F123" s="21"/>
      <c r="G123" s="21"/>
      <c r="H123" s="21"/>
      <c r="I123" s="21"/>
      <c r="J123" s="21"/>
      <c r="K123" s="21"/>
      <c r="L123" s="21"/>
    </row>
    <row r="124" spans="1:12" ht="29" x14ac:dyDescent="0.35">
      <c r="A124" s="21" t="s">
        <v>432</v>
      </c>
      <c r="B124" s="21" t="s">
        <v>1166</v>
      </c>
      <c r="C124" s="21" t="s">
        <v>1167</v>
      </c>
      <c r="D124" s="21"/>
      <c r="E124" s="21" t="s">
        <v>1114</v>
      </c>
      <c r="F124" s="21"/>
      <c r="G124" s="21"/>
      <c r="H124" s="21"/>
      <c r="I124" s="21"/>
      <c r="J124" s="21"/>
      <c r="K124" s="21"/>
      <c r="L124" s="21"/>
    </row>
    <row r="125" spans="1:12" ht="29" x14ac:dyDescent="0.35">
      <c r="A125" s="21" t="s">
        <v>432</v>
      </c>
      <c r="B125" s="21" t="s">
        <v>1168</v>
      </c>
      <c r="C125" s="21" t="s">
        <v>1169</v>
      </c>
      <c r="D125" s="21"/>
      <c r="E125" s="21" t="s">
        <v>1114</v>
      </c>
      <c r="F125" s="21"/>
      <c r="G125" s="21"/>
      <c r="H125" s="21"/>
      <c r="I125" s="21"/>
      <c r="J125" s="21"/>
      <c r="K125" s="21"/>
      <c r="L125" s="21"/>
    </row>
    <row r="126" spans="1:12" ht="29" x14ac:dyDescent="0.35">
      <c r="A126" s="21" t="s">
        <v>432</v>
      </c>
      <c r="B126" s="21" t="s">
        <v>1170</v>
      </c>
      <c r="C126" s="21" t="s">
        <v>1171</v>
      </c>
      <c r="D126" s="21"/>
      <c r="E126" s="21" t="s">
        <v>1114</v>
      </c>
      <c r="F126" s="21"/>
      <c r="G126" s="21"/>
      <c r="H126" s="21"/>
      <c r="I126" s="21"/>
      <c r="J126" s="21"/>
      <c r="K126" s="21"/>
      <c r="L126" s="21"/>
    </row>
    <row r="127" spans="1:12" ht="29" x14ac:dyDescent="0.35">
      <c r="A127" s="21" t="s">
        <v>432</v>
      </c>
      <c r="B127" s="21" t="s">
        <v>1172</v>
      </c>
      <c r="C127" s="21" t="s">
        <v>1173</v>
      </c>
      <c r="D127" s="21"/>
      <c r="E127" s="21" t="s">
        <v>1114</v>
      </c>
      <c r="F127" s="21"/>
      <c r="G127" s="21"/>
      <c r="H127" s="21"/>
      <c r="I127" s="21"/>
      <c r="J127" s="21"/>
      <c r="K127" s="21"/>
      <c r="L127" s="21"/>
    </row>
    <row r="128" spans="1:12" ht="29" x14ac:dyDescent="0.35">
      <c r="A128" s="21" t="s">
        <v>432</v>
      </c>
      <c r="B128" s="21" t="s">
        <v>1174</v>
      </c>
      <c r="C128" s="21" t="s">
        <v>1175</v>
      </c>
      <c r="D128" s="21"/>
      <c r="E128" s="21" t="s">
        <v>1114</v>
      </c>
      <c r="F128" s="21"/>
      <c r="G128" s="21"/>
      <c r="H128" s="21"/>
      <c r="I128" s="21"/>
      <c r="J128" s="21"/>
      <c r="K128" s="21"/>
      <c r="L128" s="21"/>
    </row>
    <row r="129" spans="1:12" ht="29" x14ac:dyDescent="0.35">
      <c r="A129" s="21" t="s">
        <v>1176</v>
      </c>
      <c r="B129" s="21" t="s">
        <v>1177</v>
      </c>
      <c r="C129" s="21" t="s">
        <v>1178</v>
      </c>
      <c r="D129" s="21"/>
      <c r="E129" s="21" t="s">
        <v>996</v>
      </c>
      <c r="F129" s="21"/>
      <c r="G129" s="21"/>
      <c r="H129" s="21"/>
      <c r="I129" s="21"/>
      <c r="J129" s="21"/>
      <c r="K129" s="21"/>
      <c r="L129" s="21"/>
    </row>
    <row r="130" spans="1:12" ht="29" x14ac:dyDescent="0.35">
      <c r="A130" s="21" t="s">
        <v>1176</v>
      </c>
      <c r="B130" s="21" t="s">
        <v>1179</v>
      </c>
      <c r="C130" s="21" t="s">
        <v>1180</v>
      </c>
      <c r="D130" s="21"/>
      <c r="E130" s="21" t="s">
        <v>996</v>
      </c>
      <c r="F130" s="21"/>
      <c r="G130" s="21"/>
      <c r="H130" s="21"/>
      <c r="I130" s="21"/>
      <c r="J130" s="21"/>
      <c r="K130" s="21"/>
      <c r="L130" s="21"/>
    </row>
    <row r="131" spans="1:12" ht="29" x14ac:dyDescent="0.35">
      <c r="A131" s="21" t="s">
        <v>1176</v>
      </c>
      <c r="B131" s="21" t="s">
        <v>1181</v>
      </c>
      <c r="C131" s="21" t="s">
        <v>1182</v>
      </c>
      <c r="D131" s="21"/>
      <c r="E131" s="21" t="s">
        <v>996</v>
      </c>
      <c r="F131" s="21"/>
      <c r="G131" s="21"/>
      <c r="H131" s="21"/>
      <c r="I131" s="21"/>
      <c r="J131" s="21"/>
      <c r="K131" s="21"/>
      <c r="L131" s="21"/>
    </row>
    <row r="132" spans="1:12" ht="29" x14ac:dyDescent="0.35">
      <c r="A132" s="21" t="s">
        <v>1176</v>
      </c>
      <c r="B132" s="21" t="s">
        <v>1183</v>
      </c>
      <c r="C132" s="21" t="s">
        <v>1184</v>
      </c>
      <c r="D132" s="21"/>
      <c r="E132" s="21" t="s">
        <v>996</v>
      </c>
      <c r="F132" s="21"/>
      <c r="G132" s="21"/>
      <c r="H132" s="21"/>
      <c r="I132" s="21"/>
      <c r="J132" s="21"/>
      <c r="K132" s="21"/>
      <c r="L132" s="21"/>
    </row>
    <row r="133" spans="1:12" ht="29" x14ac:dyDescent="0.35">
      <c r="A133" s="21" t="s">
        <v>1176</v>
      </c>
      <c r="B133" s="21" t="s">
        <v>1185</v>
      </c>
      <c r="C133" s="21" t="s">
        <v>1186</v>
      </c>
      <c r="D133" s="21"/>
      <c r="E133" s="21" t="s">
        <v>996</v>
      </c>
      <c r="F133" s="21"/>
      <c r="G133" s="21"/>
      <c r="H133" s="21"/>
      <c r="I133" s="21"/>
      <c r="J133" s="21"/>
      <c r="K133" s="21"/>
      <c r="L133" s="21"/>
    </row>
    <row r="134" spans="1:12" ht="29" x14ac:dyDescent="0.35">
      <c r="A134" s="21" t="s">
        <v>1176</v>
      </c>
      <c r="B134" s="21" t="s">
        <v>1187</v>
      </c>
      <c r="C134" s="21" t="s">
        <v>1188</v>
      </c>
      <c r="D134" s="21"/>
      <c r="E134" s="21" t="s">
        <v>996</v>
      </c>
      <c r="F134" s="21"/>
      <c r="G134" s="21"/>
      <c r="H134" s="21"/>
      <c r="I134" s="21"/>
      <c r="J134" s="21"/>
      <c r="K134" s="21"/>
      <c r="L134" s="21"/>
    </row>
    <row r="135" spans="1:12" ht="29" x14ac:dyDescent="0.35">
      <c r="A135" s="21" t="s">
        <v>1189</v>
      </c>
      <c r="B135" s="21" t="s">
        <v>1190</v>
      </c>
      <c r="C135" s="21" t="s">
        <v>1191</v>
      </c>
      <c r="D135" s="21"/>
      <c r="E135" s="21" t="s">
        <v>996</v>
      </c>
      <c r="F135" s="21"/>
      <c r="G135" s="21"/>
      <c r="H135" s="21"/>
      <c r="I135" s="21"/>
      <c r="J135" s="21"/>
      <c r="K135" s="21"/>
      <c r="L135" s="21"/>
    </row>
    <row r="136" spans="1:12" ht="29" x14ac:dyDescent="0.35">
      <c r="A136" s="21" t="s">
        <v>1189</v>
      </c>
      <c r="B136" s="21" t="s">
        <v>1192</v>
      </c>
      <c r="C136" s="21" t="s">
        <v>1193</v>
      </c>
      <c r="D136" s="21"/>
      <c r="E136" s="21" t="s">
        <v>996</v>
      </c>
      <c r="F136" s="21"/>
      <c r="G136" s="21"/>
      <c r="H136" s="21"/>
      <c r="I136" s="21"/>
      <c r="J136" s="21"/>
      <c r="K136" s="21"/>
      <c r="L136" s="21"/>
    </row>
    <row r="137" spans="1:12" ht="29" x14ac:dyDescent="0.35">
      <c r="A137" s="21" t="s">
        <v>1189</v>
      </c>
      <c r="B137" s="21" t="s">
        <v>1194</v>
      </c>
      <c r="C137" s="21" t="s">
        <v>1195</v>
      </c>
      <c r="D137" s="21"/>
      <c r="E137" s="21" t="s">
        <v>996</v>
      </c>
      <c r="F137" s="21"/>
      <c r="G137" s="21"/>
      <c r="H137" s="21"/>
      <c r="I137" s="21"/>
      <c r="J137" s="21"/>
      <c r="K137" s="21"/>
      <c r="L137" s="21"/>
    </row>
    <row r="138" spans="1:12" ht="29" x14ac:dyDescent="0.35">
      <c r="A138" s="21" t="s">
        <v>1189</v>
      </c>
      <c r="B138" s="21" t="s">
        <v>1196</v>
      </c>
      <c r="C138" s="21" t="s">
        <v>1197</v>
      </c>
      <c r="D138" s="21"/>
      <c r="E138" s="21" t="s">
        <v>996</v>
      </c>
      <c r="F138" s="21"/>
      <c r="G138" s="21"/>
      <c r="H138" s="21"/>
      <c r="I138" s="21"/>
      <c r="J138" s="21"/>
      <c r="K138" s="21"/>
      <c r="L138" s="21"/>
    </row>
    <row r="139" spans="1:12" ht="29" x14ac:dyDescent="0.35">
      <c r="A139" s="21" t="s">
        <v>1189</v>
      </c>
      <c r="B139" s="21" t="s">
        <v>1198</v>
      </c>
      <c r="C139" s="21" t="s">
        <v>1199</v>
      </c>
      <c r="D139" s="21"/>
      <c r="E139" s="21" t="s">
        <v>996</v>
      </c>
      <c r="F139" s="21"/>
      <c r="G139" s="21"/>
      <c r="H139" s="21"/>
      <c r="I139" s="21"/>
      <c r="J139" s="21"/>
      <c r="K139" s="21"/>
      <c r="L139" s="21"/>
    </row>
    <row r="140" spans="1:12" ht="29" x14ac:dyDescent="0.35">
      <c r="A140" s="21" t="s">
        <v>1189</v>
      </c>
      <c r="B140" s="21" t="s">
        <v>1200</v>
      </c>
      <c r="C140" s="21" t="s">
        <v>1201</v>
      </c>
      <c r="D140" s="21"/>
      <c r="E140" s="21" t="s">
        <v>996</v>
      </c>
      <c r="F140" s="21"/>
      <c r="G140" s="21"/>
      <c r="H140" s="21"/>
      <c r="I140" s="21"/>
      <c r="J140" s="21"/>
      <c r="K140" s="21"/>
      <c r="L140" s="21"/>
    </row>
    <row r="141" spans="1:12" ht="29" x14ac:dyDescent="0.35">
      <c r="A141" s="21" t="s">
        <v>1202</v>
      </c>
      <c r="B141" s="21" t="s">
        <v>1203</v>
      </c>
      <c r="C141" s="21" t="s">
        <v>1204</v>
      </c>
      <c r="D141" s="21"/>
      <c r="E141" s="21" t="s">
        <v>996</v>
      </c>
      <c r="F141" s="21"/>
      <c r="G141" s="21"/>
      <c r="H141" s="21"/>
      <c r="I141" s="21"/>
      <c r="J141" s="21"/>
      <c r="K141" s="21"/>
      <c r="L141" s="21"/>
    </row>
    <row r="142" spans="1:12" ht="29" x14ac:dyDescent="0.35">
      <c r="A142" s="21" t="s">
        <v>1202</v>
      </c>
      <c r="B142" s="21" t="s">
        <v>1205</v>
      </c>
      <c r="C142" s="21" t="s">
        <v>1206</v>
      </c>
      <c r="D142" s="21"/>
      <c r="E142" s="21" t="s">
        <v>996</v>
      </c>
      <c r="F142" s="21"/>
      <c r="G142" s="21"/>
      <c r="H142" s="21"/>
      <c r="I142" s="21"/>
      <c r="J142" s="21"/>
      <c r="K142" s="21"/>
      <c r="L142" s="21"/>
    </row>
    <row r="143" spans="1:12" ht="29" x14ac:dyDescent="0.35">
      <c r="A143" s="21" t="s">
        <v>1202</v>
      </c>
      <c r="B143" s="21" t="s">
        <v>1207</v>
      </c>
      <c r="C143" s="21" t="s">
        <v>1208</v>
      </c>
      <c r="D143" s="21"/>
      <c r="E143" s="21" t="s">
        <v>996</v>
      </c>
      <c r="F143" s="21"/>
      <c r="G143" s="21"/>
      <c r="H143" s="21"/>
      <c r="I143" s="21"/>
      <c r="J143" s="21"/>
      <c r="K143" s="21"/>
      <c r="L143" s="21"/>
    </row>
    <row r="144" spans="1:12" ht="29" x14ac:dyDescent="0.35">
      <c r="A144" s="21" t="s">
        <v>1202</v>
      </c>
      <c r="B144" s="21" t="s">
        <v>1209</v>
      </c>
      <c r="C144" s="21" t="s">
        <v>1210</v>
      </c>
      <c r="D144" s="21"/>
      <c r="E144" s="21" t="s">
        <v>996</v>
      </c>
      <c r="F144" s="21"/>
      <c r="G144" s="21"/>
      <c r="H144" s="21"/>
      <c r="I144" s="21"/>
      <c r="J144" s="21"/>
      <c r="K144" s="21"/>
      <c r="L144" s="21"/>
    </row>
    <row r="145" spans="1:12" ht="29" x14ac:dyDescent="0.35">
      <c r="A145" s="21" t="s">
        <v>1202</v>
      </c>
      <c r="B145" s="21" t="s">
        <v>1211</v>
      </c>
      <c r="C145" s="21" t="s">
        <v>1212</v>
      </c>
      <c r="D145" s="21"/>
      <c r="E145" s="21" t="s">
        <v>996</v>
      </c>
      <c r="F145" s="21"/>
      <c r="G145" s="21"/>
      <c r="H145" s="21"/>
      <c r="I145" s="21"/>
      <c r="J145" s="21"/>
      <c r="K145" s="21"/>
      <c r="L145" s="21"/>
    </row>
    <row r="146" spans="1:12" ht="29" x14ac:dyDescent="0.35">
      <c r="A146" s="21" t="s">
        <v>1202</v>
      </c>
      <c r="B146" s="21" t="s">
        <v>1213</v>
      </c>
      <c r="C146" s="21" t="s">
        <v>1214</v>
      </c>
      <c r="D146" s="21"/>
      <c r="E146" s="21" t="s">
        <v>996</v>
      </c>
      <c r="F146" s="21"/>
      <c r="G146" s="21"/>
      <c r="H146" s="21"/>
      <c r="I146" s="21"/>
      <c r="J146" s="21"/>
      <c r="K146" s="21"/>
      <c r="L146" s="21"/>
    </row>
    <row r="147" spans="1:12" ht="29" x14ac:dyDescent="0.35">
      <c r="A147" s="21" t="s">
        <v>1215</v>
      </c>
      <c r="B147" s="21" t="s">
        <v>1216</v>
      </c>
      <c r="C147" s="21" t="s">
        <v>1217</v>
      </c>
      <c r="D147" s="21"/>
      <c r="E147" s="21" t="s">
        <v>996</v>
      </c>
      <c r="F147" s="21"/>
      <c r="G147" s="21"/>
      <c r="H147" s="21"/>
      <c r="I147" s="21"/>
      <c r="J147" s="21"/>
      <c r="K147" s="21"/>
      <c r="L147" s="21"/>
    </row>
    <row r="148" spans="1:12" ht="29" x14ac:dyDescent="0.35">
      <c r="A148" s="21" t="s">
        <v>1215</v>
      </c>
      <c r="B148" s="21" t="s">
        <v>1218</v>
      </c>
      <c r="C148" s="21" t="s">
        <v>1219</v>
      </c>
      <c r="D148" s="21"/>
      <c r="E148" s="21" t="s">
        <v>996</v>
      </c>
      <c r="F148" s="21"/>
      <c r="G148" s="21"/>
      <c r="H148" s="21"/>
      <c r="I148" s="21"/>
      <c r="J148" s="21"/>
      <c r="K148" s="21"/>
      <c r="L148" s="21"/>
    </row>
    <row r="149" spans="1:12" ht="29" x14ac:dyDescent="0.35">
      <c r="A149" s="21" t="s">
        <v>1215</v>
      </c>
      <c r="B149" s="21" t="s">
        <v>1220</v>
      </c>
      <c r="C149" s="21" t="s">
        <v>1221</v>
      </c>
      <c r="D149" s="21"/>
      <c r="E149" s="21" t="s">
        <v>996</v>
      </c>
      <c r="F149" s="21"/>
      <c r="G149" s="21"/>
      <c r="H149" s="21"/>
      <c r="I149" s="21"/>
      <c r="J149" s="21"/>
      <c r="K149" s="21"/>
      <c r="L149" s="21"/>
    </row>
    <row r="150" spans="1:12" ht="29" x14ac:dyDescent="0.35">
      <c r="A150" s="21" t="s">
        <v>1215</v>
      </c>
      <c r="B150" s="21" t="s">
        <v>1222</v>
      </c>
      <c r="C150" s="21" t="s">
        <v>1223</v>
      </c>
      <c r="D150" s="21"/>
      <c r="E150" s="21" t="s">
        <v>996</v>
      </c>
      <c r="F150" s="21"/>
      <c r="G150" s="21"/>
      <c r="H150" s="21"/>
      <c r="I150" s="21"/>
      <c r="J150" s="21"/>
      <c r="K150" s="21"/>
      <c r="L150" s="21"/>
    </row>
    <row r="151" spans="1:12" ht="24" customHeight="1" x14ac:dyDescent="0.35">
      <c r="A151" s="133" t="s">
        <v>1215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</row>
    <row r="152" spans="1:12" x14ac:dyDescent="0.35">
      <c r="A152" s="21" t="s">
        <v>1215</v>
      </c>
      <c r="B152" s="21" t="s">
        <v>1224</v>
      </c>
      <c r="C152" s="21" t="s">
        <v>1225</v>
      </c>
      <c r="D152" s="21"/>
      <c r="E152" s="21" t="s">
        <v>996</v>
      </c>
      <c r="F152" s="21"/>
      <c r="G152" s="21"/>
      <c r="H152" s="21"/>
      <c r="I152" s="21"/>
      <c r="J152" s="21"/>
      <c r="K152" s="21"/>
      <c r="L152" s="21"/>
    </row>
    <row r="158" spans="1:12" x14ac:dyDescent="0.35">
      <c r="A158" s="98" t="s">
        <v>1226</v>
      </c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</row>
    <row r="160" spans="1:12" ht="29" x14ac:dyDescent="0.35">
      <c r="A160" s="100" t="s">
        <v>1227</v>
      </c>
      <c r="B160" s="100" t="s">
        <v>1228</v>
      </c>
      <c r="C160" s="100" t="s">
        <v>1229</v>
      </c>
      <c r="D160" s="100" t="s">
        <v>389</v>
      </c>
      <c r="E160" s="100" t="s">
        <v>870</v>
      </c>
      <c r="F160" s="100" t="s">
        <v>390</v>
      </c>
      <c r="G160" s="100" t="s">
        <v>990</v>
      </c>
      <c r="H160" s="100" t="s">
        <v>1230</v>
      </c>
      <c r="I160" s="100"/>
      <c r="J160" s="100"/>
      <c r="K160" s="100"/>
      <c r="L160" s="100"/>
    </row>
    <row r="161" spans="1:8" x14ac:dyDescent="0.35">
      <c r="A161" s="21" t="s">
        <v>1231</v>
      </c>
      <c r="B161" s="21"/>
      <c r="C161" s="21"/>
      <c r="D161" s="21"/>
      <c r="E161" s="21"/>
      <c r="F161" s="21"/>
      <c r="G161" s="21"/>
      <c r="H161" s="21"/>
    </row>
    <row r="162" spans="1:8" x14ac:dyDescent="0.35">
      <c r="A162" s="21" t="s">
        <v>1232</v>
      </c>
      <c r="B162" s="21"/>
      <c r="C162" s="21"/>
      <c r="D162" s="21"/>
      <c r="E162" s="21"/>
      <c r="F162" s="21"/>
      <c r="G162" s="21"/>
      <c r="H162" s="21"/>
    </row>
    <row r="163" spans="1:8" x14ac:dyDescent="0.35">
      <c r="A163" s="21" t="s">
        <v>509</v>
      </c>
      <c r="B163" s="21"/>
      <c r="C163" s="21"/>
      <c r="D163" s="21"/>
      <c r="E163" s="21"/>
      <c r="F163" s="21"/>
      <c r="G163" s="21"/>
      <c r="H163" s="21"/>
    </row>
    <row r="164" spans="1:8" x14ac:dyDescent="0.35">
      <c r="A164" s="21" t="s">
        <v>1233</v>
      </c>
      <c r="B164" s="21"/>
      <c r="C164" s="21"/>
      <c r="D164" s="21"/>
      <c r="E164" s="21"/>
      <c r="F164" s="21"/>
      <c r="G164" s="21"/>
      <c r="H164" s="21"/>
    </row>
    <row r="165" spans="1:8" x14ac:dyDescent="0.35">
      <c r="A165" s="21" t="s">
        <v>1234</v>
      </c>
      <c r="B165" s="21"/>
      <c r="C165" s="21"/>
      <c r="D165" s="21"/>
      <c r="E165" s="21"/>
      <c r="F165" s="21"/>
      <c r="G165" s="21"/>
      <c r="H165" s="21"/>
    </row>
    <row r="166" spans="1:8" x14ac:dyDescent="0.35">
      <c r="A166" s="21" t="s">
        <v>1235</v>
      </c>
      <c r="B166" s="21"/>
      <c r="C166" s="21"/>
      <c r="D166" s="21"/>
      <c r="E166" s="21"/>
      <c r="F166" s="21"/>
      <c r="G166" s="21"/>
      <c r="H166" s="21"/>
    </row>
    <row r="167" spans="1:8" x14ac:dyDescent="0.35">
      <c r="A167" s="21" t="s">
        <v>1236</v>
      </c>
      <c r="B167" s="21"/>
      <c r="C167" s="21"/>
      <c r="D167" s="21"/>
      <c r="E167" s="21"/>
      <c r="F167" s="21"/>
      <c r="G167" s="21"/>
      <c r="H167" s="21"/>
    </row>
    <row r="168" spans="1:8" x14ac:dyDescent="0.35">
      <c r="A168" s="21" t="s">
        <v>1237</v>
      </c>
      <c r="B168" s="21"/>
      <c r="C168" s="21"/>
      <c r="D168" s="21"/>
      <c r="E168" s="21"/>
      <c r="F168" s="21"/>
      <c r="G168" s="21"/>
      <c r="H168" s="21"/>
    </row>
    <row r="169" spans="1:8" x14ac:dyDescent="0.35">
      <c r="A169" s="21" t="s">
        <v>1238</v>
      </c>
      <c r="B169" s="21"/>
      <c r="C169" s="21"/>
      <c r="D169" s="21"/>
      <c r="E169" s="21"/>
      <c r="F169" s="21"/>
      <c r="G169" s="21"/>
      <c r="H169" s="21"/>
    </row>
    <row r="170" spans="1:8" x14ac:dyDescent="0.35">
      <c r="A170" s="21" t="s">
        <v>1239</v>
      </c>
      <c r="B170" s="21"/>
      <c r="C170" s="21"/>
      <c r="D170" s="21"/>
      <c r="E170" s="21"/>
      <c r="F170" s="21"/>
      <c r="G170" s="21"/>
      <c r="H170" s="21"/>
    </row>
    <row r="171" spans="1:8" x14ac:dyDescent="0.35">
      <c r="A171" s="21" t="s">
        <v>1240</v>
      </c>
      <c r="B171" s="21"/>
      <c r="C171" s="21"/>
      <c r="D171" s="21"/>
      <c r="E171" s="21"/>
      <c r="F171" s="21"/>
      <c r="G171" s="21"/>
      <c r="H171" s="21"/>
    </row>
    <row r="172" spans="1:8" x14ac:dyDescent="0.35">
      <c r="A172" s="21" t="s">
        <v>1241</v>
      </c>
      <c r="B172" s="21"/>
      <c r="C172" s="21"/>
      <c r="D172" s="21"/>
      <c r="E172" s="21"/>
      <c r="F172" s="21"/>
      <c r="G172" s="21"/>
      <c r="H172" s="21"/>
    </row>
    <row r="173" spans="1:8" x14ac:dyDescent="0.35">
      <c r="A173" s="21" t="s">
        <v>1242</v>
      </c>
      <c r="B173" s="21"/>
      <c r="C173" s="21"/>
      <c r="D173" s="21"/>
      <c r="E173" s="21"/>
      <c r="F173" s="21"/>
      <c r="G173" s="21"/>
      <c r="H173" s="21"/>
    </row>
    <row r="174" spans="1:8" x14ac:dyDescent="0.35">
      <c r="A174" s="21" t="s">
        <v>1243</v>
      </c>
      <c r="B174" s="21"/>
      <c r="C174" s="21"/>
      <c r="D174" s="21"/>
      <c r="E174" s="21"/>
      <c r="F174" s="21"/>
      <c r="G174" s="21"/>
      <c r="H174" s="21"/>
    </row>
    <row r="175" spans="1:8" x14ac:dyDescent="0.35">
      <c r="A175" s="21" t="s">
        <v>1244</v>
      </c>
      <c r="B175" s="21"/>
      <c r="C175" s="21"/>
      <c r="D175" s="21"/>
      <c r="E175" s="21"/>
      <c r="F175" s="21"/>
      <c r="G175" s="21"/>
      <c r="H175" s="21"/>
    </row>
    <row r="176" spans="1:8" x14ac:dyDescent="0.35">
      <c r="A176" s="21" t="s">
        <v>1245</v>
      </c>
      <c r="B176" s="21"/>
      <c r="C176" s="21"/>
      <c r="D176" s="21"/>
      <c r="E176" s="21"/>
      <c r="F176" s="21"/>
      <c r="G176" s="21"/>
      <c r="H176" s="21"/>
    </row>
    <row r="177" spans="1:12" x14ac:dyDescent="0.35">
      <c r="A177" s="21" t="s">
        <v>1246</v>
      </c>
      <c r="B177" s="21"/>
      <c r="C177" s="21"/>
      <c r="D177" s="21"/>
      <c r="E177" s="21"/>
      <c r="F177" s="21"/>
      <c r="G177" s="21"/>
      <c r="H177" s="21"/>
    </row>
    <row r="178" spans="1:12" x14ac:dyDescent="0.35">
      <c r="A178" s="21" t="s">
        <v>1247</v>
      </c>
      <c r="B178" s="21"/>
      <c r="C178" s="21"/>
      <c r="D178" s="21"/>
      <c r="E178" s="21"/>
      <c r="F178" s="21"/>
      <c r="G178" s="21"/>
      <c r="H178" s="21"/>
    </row>
    <row r="179" spans="1:12" ht="24" customHeight="1" x14ac:dyDescent="0.35">
      <c r="A179" s="133" t="s">
        <v>1248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</row>
    <row r="180" spans="1:12" x14ac:dyDescent="0.35">
      <c r="A180" s="21" t="s">
        <v>1249</v>
      </c>
      <c r="B180" s="21"/>
      <c r="C180" s="21"/>
      <c r="D180" s="21"/>
      <c r="E180" s="21"/>
      <c r="F180" s="21"/>
      <c r="G180" s="21"/>
      <c r="H180" s="21"/>
    </row>
    <row r="186" spans="1:12" x14ac:dyDescent="0.35">
      <c r="A186" s="98" t="s">
        <v>1250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</row>
    <row r="188" spans="1:12" ht="29" x14ac:dyDescent="0.35">
      <c r="A188" s="100" t="s">
        <v>1251</v>
      </c>
      <c r="B188" s="100" t="s">
        <v>1252</v>
      </c>
      <c r="C188" s="100" t="s">
        <v>1253</v>
      </c>
      <c r="D188" s="100" t="s">
        <v>1254</v>
      </c>
      <c r="E188" s="100" t="s">
        <v>870</v>
      </c>
      <c r="F188" s="100" t="s">
        <v>1255</v>
      </c>
      <c r="G188" s="100" t="s">
        <v>338</v>
      </c>
    </row>
    <row r="189" spans="1:12" x14ac:dyDescent="0.35">
      <c r="A189" s="21" t="s">
        <v>428</v>
      </c>
      <c r="B189" s="21"/>
      <c r="C189" s="21"/>
      <c r="D189" s="21"/>
      <c r="E189" s="21"/>
      <c r="F189" s="21"/>
      <c r="G189" s="21"/>
    </row>
    <row r="190" spans="1:12" x14ac:dyDescent="0.35">
      <c r="A190" s="21" t="s">
        <v>582</v>
      </c>
      <c r="B190" s="21"/>
      <c r="C190" s="21"/>
      <c r="D190" s="21"/>
      <c r="E190" s="21"/>
      <c r="F190" s="21"/>
      <c r="G190" s="21"/>
    </row>
    <row r="191" spans="1:12" x14ac:dyDescent="0.35">
      <c r="A191" s="21" t="s">
        <v>435</v>
      </c>
      <c r="B191" s="21"/>
      <c r="C191" s="21"/>
      <c r="D191" s="21"/>
      <c r="E191" s="21"/>
      <c r="F191" s="21"/>
      <c r="G191" s="21"/>
    </row>
    <row r="192" spans="1:12" x14ac:dyDescent="0.35">
      <c r="A192" s="21" t="s">
        <v>93</v>
      </c>
      <c r="B192" s="21"/>
      <c r="C192" s="21"/>
      <c r="D192" s="21"/>
      <c r="E192" s="21"/>
      <c r="F192" s="21"/>
      <c r="G192" s="21"/>
    </row>
    <row r="193" spans="1:12" x14ac:dyDescent="0.35">
      <c r="A193" s="21" t="s">
        <v>431</v>
      </c>
      <c r="B193" s="21"/>
      <c r="C193" s="21"/>
      <c r="D193" s="21"/>
      <c r="E193" s="21"/>
      <c r="F193" s="21"/>
      <c r="G193" s="21"/>
    </row>
    <row r="194" spans="1:12" x14ac:dyDescent="0.35">
      <c r="A194" s="21" t="s">
        <v>97</v>
      </c>
      <c r="B194" s="21"/>
      <c r="C194" s="21"/>
      <c r="D194" s="21"/>
      <c r="E194" s="21"/>
      <c r="F194" s="21"/>
      <c r="G194" s="21"/>
    </row>
    <row r="195" spans="1:12" x14ac:dyDescent="0.35">
      <c r="A195" s="21" t="s">
        <v>100</v>
      </c>
      <c r="B195" s="21"/>
      <c r="C195" s="21"/>
      <c r="D195" s="21"/>
      <c r="E195" s="21"/>
      <c r="F195" s="21"/>
      <c r="G195" s="21"/>
    </row>
    <row r="196" spans="1:12" x14ac:dyDescent="0.35">
      <c r="A196" s="21" t="s">
        <v>1176</v>
      </c>
      <c r="B196" s="21"/>
      <c r="C196" s="21"/>
      <c r="D196" s="21"/>
      <c r="E196" s="21"/>
      <c r="F196" s="21"/>
      <c r="G196" s="21"/>
    </row>
    <row r="197" spans="1:12" x14ac:dyDescent="0.35">
      <c r="A197" s="21" t="s">
        <v>160</v>
      </c>
      <c r="B197" s="21"/>
      <c r="C197" s="21"/>
      <c r="D197" s="21"/>
      <c r="E197" s="21"/>
      <c r="F197" s="21"/>
      <c r="G197" s="21"/>
    </row>
    <row r="198" spans="1:12" x14ac:dyDescent="0.35">
      <c r="A198" s="21" t="s">
        <v>1256</v>
      </c>
      <c r="B198" s="21"/>
      <c r="C198" s="21"/>
      <c r="D198" s="21"/>
      <c r="E198" s="21"/>
      <c r="F198" s="21"/>
      <c r="G198" s="21"/>
    </row>
    <row r="199" spans="1:12" x14ac:dyDescent="0.35">
      <c r="A199" s="21" t="s">
        <v>1257</v>
      </c>
      <c r="B199" s="21"/>
      <c r="C199" s="21"/>
      <c r="D199" s="21"/>
      <c r="E199" s="21"/>
      <c r="F199" s="21"/>
      <c r="G199" s="21"/>
    </row>
    <row r="200" spans="1:12" x14ac:dyDescent="0.35">
      <c r="A200" s="21" t="s">
        <v>1258</v>
      </c>
      <c r="B200" s="21"/>
      <c r="C200" s="21"/>
      <c r="D200" s="21"/>
      <c r="E200" s="21"/>
      <c r="F200" s="21"/>
      <c r="G200" s="21"/>
    </row>
    <row r="201" spans="1:12" x14ac:dyDescent="0.35">
      <c r="A201" s="21" t="s">
        <v>116</v>
      </c>
      <c r="B201" s="21"/>
      <c r="C201" s="21"/>
      <c r="D201" s="21"/>
      <c r="E201" s="21"/>
      <c r="F201" s="21"/>
      <c r="G201" s="21"/>
    </row>
    <row r="202" spans="1:12" x14ac:dyDescent="0.35">
      <c r="A202" s="21" t="s">
        <v>129</v>
      </c>
      <c r="B202" s="21"/>
      <c r="C202" s="21"/>
      <c r="D202" s="21"/>
      <c r="E202" s="21"/>
      <c r="F202" s="21"/>
      <c r="G202" s="21"/>
    </row>
    <row r="203" spans="1:12" x14ac:dyDescent="0.35">
      <c r="A203" s="21" t="s">
        <v>437</v>
      </c>
      <c r="B203" s="21"/>
      <c r="C203" s="21"/>
      <c r="D203" s="21"/>
      <c r="E203" s="21"/>
      <c r="F203" s="21"/>
      <c r="G203" s="21"/>
    </row>
    <row r="204" spans="1:12" x14ac:dyDescent="0.35">
      <c r="A204" s="21" t="s">
        <v>125</v>
      </c>
      <c r="B204" s="21"/>
      <c r="C204" s="21"/>
      <c r="D204" s="21"/>
      <c r="E204" s="21"/>
      <c r="F204" s="21"/>
      <c r="G204" s="21"/>
    </row>
    <row r="205" spans="1:12" x14ac:dyDescent="0.35">
      <c r="A205" s="21" t="s">
        <v>442</v>
      </c>
      <c r="B205" s="21"/>
      <c r="C205" s="21"/>
      <c r="D205" s="21"/>
      <c r="E205" s="21"/>
      <c r="F205" s="21"/>
      <c r="G205" s="21"/>
    </row>
    <row r="206" spans="1:12" x14ac:dyDescent="0.35">
      <c r="A206" s="21" t="s">
        <v>1259</v>
      </c>
      <c r="B206" s="21"/>
      <c r="C206" s="21"/>
      <c r="D206" s="21"/>
      <c r="E206" s="21"/>
      <c r="F206" s="21"/>
      <c r="G206" s="21"/>
    </row>
    <row r="207" spans="1:12" ht="24" customHeight="1" x14ac:dyDescent="0.35">
      <c r="A207" s="133" t="s">
        <v>1260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</row>
    <row r="208" spans="1:12" x14ac:dyDescent="0.35">
      <c r="A208" s="21" t="s">
        <v>439</v>
      </c>
      <c r="B208" s="21"/>
      <c r="C208" s="21"/>
      <c r="D208" s="21"/>
      <c r="E208" s="21"/>
      <c r="F208" s="21"/>
      <c r="G208" s="21"/>
    </row>
    <row r="214" spans="1:12" x14ac:dyDescent="0.35">
      <c r="A214" s="98" t="s">
        <v>1261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</row>
    <row r="216" spans="1:12" x14ac:dyDescent="0.35">
      <c r="A216" s="100" t="s">
        <v>1262</v>
      </c>
      <c r="B216" s="100" t="s">
        <v>1263</v>
      </c>
      <c r="C216" s="100" t="s">
        <v>292</v>
      </c>
      <c r="D216" s="100" t="s">
        <v>371</v>
      </c>
      <c r="E216" s="100" t="s">
        <v>360</v>
      </c>
      <c r="F216" s="100" t="s">
        <v>1264</v>
      </c>
      <c r="G216" s="100" t="s">
        <v>990</v>
      </c>
      <c r="H216" s="100" t="s">
        <v>338</v>
      </c>
    </row>
    <row r="217" spans="1:12" x14ac:dyDescent="0.35">
      <c r="A217" t="s">
        <v>1265</v>
      </c>
    </row>
    <row r="218" spans="1:12" x14ac:dyDescent="0.35">
      <c r="A218" t="s">
        <v>1266</v>
      </c>
    </row>
    <row r="219" spans="1:12" x14ac:dyDescent="0.35">
      <c r="A219" t="s">
        <v>1267</v>
      </c>
    </row>
    <row r="220" spans="1:12" x14ac:dyDescent="0.35">
      <c r="A220" t="s">
        <v>1268</v>
      </c>
    </row>
    <row r="221" spans="1:12" x14ac:dyDescent="0.35">
      <c r="A221" t="s">
        <v>1269</v>
      </c>
    </row>
    <row r="222" spans="1:12" x14ac:dyDescent="0.35">
      <c r="A222" t="s">
        <v>1270</v>
      </c>
    </row>
    <row r="223" spans="1:12" ht="24" customHeight="1" x14ac:dyDescent="0.35">
      <c r="A223" s="129" t="s">
        <v>1271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</row>
    <row r="224" spans="1:12" x14ac:dyDescent="0.35">
      <c r="A224" t="s">
        <v>1272</v>
      </c>
    </row>
    <row r="230" spans="1:12" x14ac:dyDescent="0.35">
      <c r="A230" s="98" t="s">
        <v>1273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2" spans="1:12" ht="29" x14ac:dyDescent="0.35">
      <c r="A232" s="100" t="s">
        <v>1229</v>
      </c>
      <c r="B232" s="100" t="s">
        <v>1274</v>
      </c>
      <c r="C232" s="100" t="s">
        <v>390</v>
      </c>
      <c r="D232" s="100" t="s">
        <v>351</v>
      </c>
      <c r="E232" s="100" t="s">
        <v>352</v>
      </c>
      <c r="F232" s="100" t="s">
        <v>292</v>
      </c>
      <c r="G232" s="100" t="s">
        <v>353</v>
      </c>
      <c r="H232" s="100" t="s">
        <v>338</v>
      </c>
    </row>
    <row r="240" spans="1:12" x14ac:dyDescent="0.3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</row>
    <row r="241" spans="1:12" x14ac:dyDescent="0.3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</row>
    <row r="247" spans="1:12" ht="29" x14ac:dyDescent="0.35">
      <c r="A247" s="106" t="s">
        <v>1275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3"/>
    </row>
    <row r="248" spans="1:12" ht="43.5" x14ac:dyDescent="0.35">
      <c r="A248" s="111" t="s">
        <v>1276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3"/>
    </row>
    <row r="249" spans="1:12" ht="29" x14ac:dyDescent="0.35">
      <c r="A249" s="110" t="s">
        <v>1277</v>
      </c>
      <c r="B249" s="110" t="s">
        <v>1278</v>
      </c>
      <c r="C249" s="110" t="s">
        <v>81</v>
      </c>
      <c r="D249" s="110" t="s">
        <v>615</v>
      </c>
      <c r="E249" s="110" t="s">
        <v>616</v>
      </c>
      <c r="F249" s="110" t="s">
        <v>990</v>
      </c>
      <c r="G249" s="110" t="s">
        <v>1279</v>
      </c>
      <c r="H249" s="110" t="s">
        <v>390</v>
      </c>
      <c r="I249" s="110" t="s">
        <v>351</v>
      </c>
      <c r="J249" s="110" t="s">
        <v>292</v>
      </c>
      <c r="K249" s="110" t="s">
        <v>353</v>
      </c>
      <c r="L249" s="110" t="s">
        <v>619</v>
      </c>
    </row>
    <row r="250" spans="1:12" x14ac:dyDescent="0.35">
      <c r="A250" s="105" t="s">
        <v>1280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x14ac:dyDescent="0.35">
      <c r="A251" s="105" t="s">
        <v>1281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x14ac:dyDescent="0.35">
      <c r="A252" s="105" t="s">
        <v>1282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29" x14ac:dyDescent="0.35">
      <c r="A253" s="105" t="s">
        <v>1283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29" x14ac:dyDescent="0.35">
      <c r="A254" s="105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29" x14ac:dyDescent="0.35">
      <c r="A255" s="105" t="s">
        <v>1285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29" x14ac:dyDescent="0.35">
      <c r="A256" s="105" t="s">
        <v>1286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29" x14ac:dyDescent="0.35">
      <c r="A257" s="105" t="s">
        <v>1287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29" x14ac:dyDescent="0.35">
      <c r="A258" s="105" t="s">
        <v>1288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29" x14ac:dyDescent="0.35">
      <c r="A259" s="105" t="s">
        <v>1289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29" x14ac:dyDescent="0.35">
      <c r="A260" s="105" t="s">
        <v>1290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29" x14ac:dyDescent="0.35">
      <c r="A261" s="105" t="s">
        <v>1291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29" x14ac:dyDescent="0.35">
      <c r="A262" s="105" t="s">
        <v>1292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43.5" x14ac:dyDescent="0.35">
      <c r="A263" s="105" t="s">
        <v>1293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29" x14ac:dyDescent="0.35">
      <c r="A264" s="105" t="s">
        <v>1294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x14ac:dyDescent="0.35">
      <c r="A265" s="105" t="s">
        <v>1295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</sheetData>
  <mergeCells count="9">
    <mergeCell ref="A1:L1"/>
    <mergeCell ref="A17:L17"/>
    <mergeCell ref="A241:L241"/>
    <mergeCell ref="A223:L223"/>
    <mergeCell ref="A35:L35"/>
    <mergeCell ref="A240:L240"/>
    <mergeCell ref="A179:L179"/>
    <mergeCell ref="A151:L151"/>
    <mergeCell ref="A207:L207"/>
  </mergeCells>
  <conditionalFormatting sqref="B12">
    <cfRule type="expression" dxfId="223" priority="12">
      <formula>B12="Green"</formula>
    </cfRule>
    <cfRule type="expression" dxfId="222" priority="13">
      <formula>B12="Amber"</formula>
    </cfRule>
    <cfRule type="expression" dxfId="221" priority="14">
      <formula>B12="Red"</formula>
    </cfRule>
  </conditionalFormatting>
  <conditionalFormatting sqref="B182:B201">
    <cfRule type="expression" dxfId="220" priority="3">
      <formula>B182="Pass"</formula>
    </cfRule>
  </conditionalFormatting>
  <conditionalFormatting sqref="C20:C43">
    <cfRule type="expression" dxfId="219" priority="8">
      <formula>C20="Green"</formula>
    </cfRule>
    <cfRule type="expression" dxfId="218" priority="9">
      <formula>C20="Amber"</formula>
    </cfRule>
    <cfRule type="expression" dxfId="217" priority="10">
      <formula>C20="Red"</formula>
    </cfRule>
    <cfRule type="expression" dxfId="216" priority="11">
      <formula>C20="N/A"</formula>
    </cfRule>
  </conditionalFormatting>
  <conditionalFormatting sqref="C20:C45">
    <cfRule type="expression" dxfId="215" priority="4">
      <formula>ISNUMBER(SEARCH("Green",C20))</formula>
    </cfRule>
    <cfRule type="expression" dxfId="214" priority="5">
      <formula>ISNUMBER(SEARCH("Amber",C20))</formula>
    </cfRule>
    <cfRule type="expression" dxfId="213" priority="6">
      <formula>ISNUMBER(SEARCH("Red",C20))</formula>
    </cfRule>
    <cfRule type="expression" dxfId="212" priority="7">
      <formula>C20="N/A"</formula>
    </cfRule>
  </conditionalFormatting>
  <conditionalFormatting sqref="E154:E173">
    <cfRule type="expression" dxfId="211" priority="2">
      <formula>E154="Pass"</formula>
    </cfRule>
  </conditionalFormatting>
  <conditionalFormatting sqref="H38:H145">
    <cfRule type="expression" dxfId="210" priority="1">
      <formula>H38="Pass"</formula>
    </cfRule>
  </conditionalFormatting>
  <dataValidations count="8">
    <dataValidation type="list" sqref="H38:H145 E154:E173" xr:uid="{00000000-0002-0000-3000-000000000000}">
      <formula1>"Pass,Developing,Fail,N/A"</formula1>
    </dataValidation>
    <dataValidation type="list" sqref="F38:F145" xr:uid="{00000000-0002-0000-3000-000001000000}">
      <formula1>"1,2,3,4,5"</formula1>
    </dataValidation>
    <dataValidation type="list" sqref="B182:B201" xr:uid="{00000000-0002-0000-3000-000003000000}">
      <formula1>"Complete,In Progress,Not Started,N/A"</formula1>
    </dataValidation>
    <dataValidation type="list" allowBlank="1" sqref="C243:E258" xr:uid="{00000000-0002-0000-3000-000004000000}">
      <formula1>"Yes,No,N/A"</formula1>
    </dataValidation>
    <dataValidation type="list" allowBlank="1" sqref="C20:C45" xr:uid="{00000000-0002-0000-3000-000005000000}">
      <formula1>"Green - Received,Amber - Awaiting,Red - Missing,N/A"</formula1>
    </dataValidation>
    <dataValidation type="list" sqref="C20:C43" xr:uid="{00000000-0002-0000-3000-000006000000}">
      <formula1>"Green,Amber,Red,N/A"</formula1>
    </dataValidation>
    <dataValidation type="list" sqref="F42:F230" xr:uid="{00000000-0002-0000-3000-000007000000}">
      <formula1>"1,2,3,4,5,N/A"</formula1>
    </dataValidation>
    <dataValidation type="list" sqref="H42:H230 H235:H255" xr:uid="{00000000-0002-0000-3000-000008000000}">
      <formula1>"Pass,Fail,Not Assessed,N/A"</formula1>
    </dataValidation>
  </dataValidation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L265"/>
  <sheetViews>
    <sheetView workbookViewId="0"/>
  </sheetViews>
  <sheetFormatPr defaultRowHeight="14.5" x14ac:dyDescent="0.35"/>
  <cols>
    <col min="1" max="1" width="42" customWidth="1"/>
    <col min="2" max="2" width="36" customWidth="1"/>
    <col min="3" max="3" width="52" customWidth="1"/>
    <col min="4" max="4" width="34" customWidth="1"/>
    <col min="5" max="5" width="30" customWidth="1"/>
    <col min="6" max="6" width="12" customWidth="1"/>
    <col min="7" max="7" width="16" customWidth="1"/>
    <col min="8" max="8" width="14" customWidth="1"/>
    <col min="9" max="9" width="28" customWidth="1"/>
    <col min="10" max="12" width="14" customWidth="1"/>
  </cols>
  <sheetData>
    <row r="1" spans="1:12" ht="30" customHeight="1" x14ac:dyDescent="0.35">
      <c r="A1" s="134" t="s">
        <v>1305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x14ac:dyDescent="0.35">
      <c r="A2" t="s">
        <v>928</v>
      </c>
      <c r="D2" t="s">
        <v>929</v>
      </c>
    </row>
    <row r="4" spans="1:12" x14ac:dyDescent="0.35">
      <c r="A4" s="101" t="s">
        <v>882</v>
      </c>
      <c r="B4" s="101" t="str">
        <f>IF('Induction Employee Register'!A14="","",'Induction Employee Register'!A14)</f>
        <v>SW011</v>
      </c>
      <c r="D4" t="s">
        <v>930</v>
      </c>
      <c r="E4" t="s">
        <v>931</v>
      </c>
      <c r="F4" t="s">
        <v>932</v>
      </c>
      <c r="G4" t="s">
        <v>933</v>
      </c>
      <c r="H4" t="s">
        <v>58</v>
      </c>
      <c r="I4" t="s">
        <v>934</v>
      </c>
      <c r="J4" t="s">
        <v>54</v>
      </c>
      <c r="K4" t="s">
        <v>935</v>
      </c>
      <c r="L4" t="s">
        <v>43</v>
      </c>
    </row>
    <row r="5" spans="1:12" x14ac:dyDescent="0.35">
      <c r="A5" s="101" t="s">
        <v>883</v>
      </c>
      <c r="B5" s="101" t="str">
        <f>IF('Induction Employee Register'!B14="","",'Induction Employee Register'!B14)</f>
        <v/>
      </c>
      <c r="D5" t="s">
        <v>936</v>
      </c>
    </row>
    <row r="6" spans="1:12" x14ac:dyDescent="0.35">
      <c r="A6" s="101" t="s">
        <v>322</v>
      </c>
      <c r="B6" s="101" t="str">
        <f>IF('Induction Employee Register'!C14="","",'Induction Employee Register'!C14)</f>
        <v/>
      </c>
      <c r="D6" t="s">
        <v>937</v>
      </c>
      <c r="E6" t="s">
        <v>938</v>
      </c>
    </row>
    <row r="7" spans="1:12" x14ac:dyDescent="0.35">
      <c r="A7" s="101" t="s">
        <v>323</v>
      </c>
      <c r="B7" s="126" t="str">
        <f>IF('Induction Employee Register'!D14="","",'Induction Employee Register'!D14)</f>
        <v/>
      </c>
      <c r="D7" t="s">
        <v>939</v>
      </c>
      <c r="E7" t="s">
        <v>940</v>
      </c>
    </row>
    <row r="8" spans="1:12" x14ac:dyDescent="0.35">
      <c r="A8" s="101" t="s">
        <v>886</v>
      </c>
      <c r="B8" s="125">
        <f>IFERROR(COUNTIF($H$42:$H$230,"Pass")/(COUNTIF($H$42:$H$230,"Pass")+COUNTIF($H$42:$H$230,"Fail")+COUNTIF($H$42:$H$230,"Not Assessed")),0)</f>
        <v>0</v>
      </c>
      <c r="D8" t="s">
        <v>6</v>
      </c>
      <c r="E8" t="s">
        <v>941</v>
      </c>
    </row>
    <row r="9" spans="1:12" x14ac:dyDescent="0.35">
      <c r="A9" s="101" t="s">
        <v>887</v>
      </c>
      <c r="B9" s="125">
        <f>IFERROR(COUNTIF($H$235:$H$255,"Pass")/(COUNTIF($H$235:$H$255,"Pass")+COUNTIF($H$235:$H$255,"Fail")+COUNTIF($H$235:$H$255,"Not Assessed")),0)</f>
        <v>0</v>
      </c>
      <c r="D9" t="s">
        <v>942</v>
      </c>
      <c r="E9" t="s">
        <v>943</v>
      </c>
    </row>
    <row r="10" spans="1:12" x14ac:dyDescent="0.35">
      <c r="A10" s="101" t="s">
        <v>888</v>
      </c>
      <c r="B10" s="125" t="str">
        <f>IFERROR(IF($B$5="","",IF(INDEX('Mandatory Training Dashboard'!$D$5:$D$53,MATCH($B$5,'Mandatory Training Dashboard'!$A$5:$A$53,0))&gt;1,INDEX('Mandatory Training Dashboard'!$D$5:$D$53,MATCH($B$5,'Mandatory Training Dashboard'!$A$5:$A$53,0))/100,INDEX('Mandatory Training Dashboard'!$D$5:$D$53,MATCH($B$5,'Mandatory Training Dashboard'!$A$5:$A$53,0)))),0)</f>
        <v/>
      </c>
      <c r="D10" t="s">
        <v>944</v>
      </c>
      <c r="E10" t="s">
        <v>945</v>
      </c>
    </row>
    <row r="11" spans="1:12" x14ac:dyDescent="0.35">
      <c r="A11" s="101" t="s">
        <v>893</v>
      </c>
      <c r="B11" s="125">
        <f>IFERROR(AVERAGE(B8:B10),0)</f>
        <v>0</v>
      </c>
      <c r="D11" t="s">
        <v>946</v>
      </c>
      <c r="E11" t="s">
        <v>947</v>
      </c>
    </row>
    <row r="12" spans="1:12" x14ac:dyDescent="0.35">
      <c r="A12" s="101" t="s">
        <v>948</v>
      </c>
      <c r="B12" s="101" t="str">
        <f>IF(B11&gt;=0.9,"Green",IF(B11&gt;=0.75,"Amber","Red"))</f>
        <v>Red</v>
      </c>
      <c r="D12" t="s">
        <v>949</v>
      </c>
      <c r="E12" t="s">
        <v>950</v>
      </c>
    </row>
    <row r="13" spans="1:12" x14ac:dyDescent="0.35">
      <c r="A13" s="101" t="s">
        <v>891</v>
      </c>
      <c r="B13" s="101">
        <f>IF('Induction Employee Register'!N14="","",'Induction Employee Register'!N14)</f>
        <v>0</v>
      </c>
      <c r="D13" t="s">
        <v>951</v>
      </c>
      <c r="E13" t="s">
        <v>952</v>
      </c>
    </row>
    <row r="14" spans="1:12" x14ac:dyDescent="0.35">
      <c r="A14" s="101" t="s">
        <v>892</v>
      </c>
      <c r="B14" s="101" t="str">
        <f>IF('Induction Employee Register'!O14="","",'Induction Employee Register'!O14)</f>
        <v/>
      </c>
    </row>
    <row r="17" spans="1:12" ht="24" customHeight="1" x14ac:dyDescent="0.35">
      <c r="A17" s="135" t="s">
        <v>953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9" spans="1:12" ht="29" x14ac:dyDescent="0.35">
      <c r="A19" s="116" t="s">
        <v>954</v>
      </c>
      <c r="B19" s="116" t="s">
        <v>955</v>
      </c>
      <c r="C19" s="116" t="s">
        <v>956</v>
      </c>
      <c r="D19" s="116" t="s">
        <v>957</v>
      </c>
      <c r="E19" s="116" t="s">
        <v>958</v>
      </c>
      <c r="F19" s="116" t="s">
        <v>353</v>
      </c>
      <c r="G19" s="116" t="s">
        <v>335</v>
      </c>
      <c r="H19" s="116" t="s">
        <v>338</v>
      </c>
      <c r="I19" s="117" t="s">
        <v>959</v>
      </c>
      <c r="J19" t="s">
        <v>960</v>
      </c>
      <c r="K19" t="s">
        <v>300</v>
      </c>
      <c r="L19" t="s">
        <v>961</v>
      </c>
    </row>
    <row r="20" spans="1:12" x14ac:dyDescent="0.35">
      <c r="A20" s="118" t="s">
        <v>962</v>
      </c>
      <c r="B20" s="118" t="s">
        <v>81</v>
      </c>
      <c r="C20" s="118"/>
      <c r="D20" s="127"/>
      <c r="E20" s="127"/>
      <c r="F20" s="118"/>
      <c r="G20" s="118"/>
      <c r="H20" s="118"/>
      <c r="J20" t="s">
        <v>310</v>
      </c>
      <c r="K20" t="str">
        <f>IF('Induction Employee Register'!W14="","",'Induction Employee Register'!W14)</f>
        <v/>
      </c>
      <c r="L20" t="s">
        <v>963</v>
      </c>
    </row>
    <row r="21" spans="1:12" x14ac:dyDescent="0.35">
      <c r="A21" s="118" t="s">
        <v>964</v>
      </c>
      <c r="B21" s="118" t="s">
        <v>81</v>
      </c>
      <c r="C21" s="118"/>
      <c r="D21" s="127"/>
      <c r="E21" s="127"/>
      <c r="F21" s="118"/>
      <c r="G21" s="118"/>
      <c r="H21" s="118"/>
      <c r="J21" t="s">
        <v>311</v>
      </c>
      <c r="K21" t="str">
        <f>IF('Induction Employee Register'!X14="","",'Induction Employee Register'!X14)</f>
        <v/>
      </c>
      <c r="L21" t="s">
        <v>965</v>
      </c>
    </row>
    <row r="22" spans="1:12" x14ac:dyDescent="0.35">
      <c r="A22" s="118" t="s">
        <v>966</v>
      </c>
      <c r="B22" s="118" t="s">
        <v>81</v>
      </c>
      <c r="C22" s="118"/>
      <c r="D22" s="127"/>
      <c r="E22" s="127"/>
      <c r="F22" s="118"/>
      <c r="G22" s="118"/>
      <c r="H22" s="118"/>
      <c r="J22" t="s">
        <v>312</v>
      </c>
      <c r="K22" t="str">
        <f>IF('Induction Employee Register'!Y14="","",'Induction Employee Register'!Y14)</f>
        <v/>
      </c>
      <c r="L22" t="s">
        <v>967</v>
      </c>
    </row>
    <row r="23" spans="1:12" x14ac:dyDescent="0.35">
      <c r="A23" s="118" t="s">
        <v>52</v>
      </c>
      <c r="B23" s="118" t="s">
        <v>81</v>
      </c>
      <c r="C23" s="118"/>
      <c r="D23" s="127"/>
      <c r="E23" s="127"/>
      <c r="F23" s="118"/>
      <c r="G23" s="118"/>
      <c r="H23" s="118"/>
      <c r="J23" t="s">
        <v>313</v>
      </c>
      <c r="K23" t="str">
        <f>IF('Induction Employee Register'!Z14="","",'Induction Employee Register'!Z14)</f>
        <v/>
      </c>
      <c r="L23" t="s">
        <v>968</v>
      </c>
    </row>
    <row r="24" spans="1:12" x14ac:dyDescent="0.35">
      <c r="A24" s="118" t="s">
        <v>50</v>
      </c>
      <c r="B24" s="118" t="s">
        <v>81</v>
      </c>
      <c r="C24" s="118"/>
      <c r="D24" s="127"/>
      <c r="E24" s="127"/>
      <c r="F24" s="118"/>
      <c r="G24" s="118"/>
      <c r="H24" s="118"/>
      <c r="J24" t="s">
        <v>314</v>
      </c>
      <c r="K24" t="str">
        <f>IF('Induction Employee Register'!AA14="","",'Induction Employee Register'!AA14)</f>
        <v/>
      </c>
      <c r="L24" t="s">
        <v>968</v>
      </c>
    </row>
    <row r="25" spans="1:12" x14ac:dyDescent="0.35">
      <c r="A25" s="118" t="s">
        <v>329</v>
      </c>
      <c r="B25" s="118" t="s">
        <v>81</v>
      </c>
      <c r="C25" s="118"/>
      <c r="D25" s="127"/>
      <c r="E25" s="127"/>
      <c r="F25" s="118"/>
      <c r="G25" s="118"/>
      <c r="H25" s="118"/>
      <c r="J25" t="s">
        <v>315</v>
      </c>
      <c r="K25" t="str">
        <f>IF('Induction Employee Register'!AB14="","",'Induction Employee Register'!AB14)</f>
        <v/>
      </c>
      <c r="L25" t="s">
        <v>967</v>
      </c>
    </row>
    <row r="26" spans="1:12" x14ac:dyDescent="0.35">
      <c r="A26" s="118" t="s">
        <v>969</v>
      </c>
      <c r="B26" s="118" t="s">
        <v>81</v>
      </c>
      <c r="C26" s="118"/>
      <c r="D26" s="127"/>
      <c r="E26" s="127"/>
      <c r="F26" s="118"/>
      <c r="G26" s="118"/>
      <c r="H26" s="118"/>
      <c r="J26" t="s">
        <v>316</v>
      </c>
      <c r="K26" t="str">
        <f>IF('Induction Employee Register'!AC14="","",'Induction Employee Register'!AC14)</f>
        <v/>
      </c>
      <c r="L26" t="s">
        <v>967</v>
      </c>
    </row>
    <row r="27" spans="1:12" x14ac:dyDescent="0.35">
      <c r="A27" s="118" t="s">
        <v>970</v>
      </c>
      <c r="B27" s="118" t="s">
        <v>81</v>
      </c>
      <c r="C27" s="118"/>
      <c r="D27" s="127"/>
      <c r="E27" s="127"/>
      <c r="F27" s="118"/>
      <c r="G27" s="118"/>
      <c r="H27" s="118"/>
    </row>
    <row r="28" spans="1:12" x14ac:dyDescent="0.35">
      <c r="A28" s="118" t="s">
        <v>971</v>
      </c>
      <c r="B28" s="118" t="s">
        <v>81</v>
      </c>
      <c r="C28" s="118"/>
      <c r="D28" s="127"/>
      <c r="E28" s="127"/>
      <c r="F28" s="118"/>
      <c r="G28" s="118"/>
      <c r="H28" s="118"/>
    </row>
    <row r="29" spans="1:12" x14ac:dyDescent="0.35">
      <c r="A29" s="118" t="s">
        <v>972</v>
      </c>
      <c r="B29" s="118" t="s">
        <v>81</v>
      </c>
      <c r="C29" s="118"/>
      <c r="D29" s="127"/>
      <c r="E29" s="127"/>
      <c r="F29" s="118"/>
      <c r="G29" s="118"/>
      <c r="H29" s="118"/>
    </row>
    <row r="30" spans="1:12" x14ac:dyDescent="0.35">
      <c r="A30" s="118" t="s">
        <v>973</v>
      </c>
      <c r="B30" s="118" t="s">
        <v>81</v>
      </c>
      <c r="C30" s="118"/>
      <c r="D30" s="127"/>
      <c r="E30" s="127"/>
      <c r="F30" s="118"/>
      <c r="G30" s="118"/>
      <c r="H30" s="118"/>
    </row>
    <row r="31" spans="1:12" x14ac:dyDescent="0.35">
      <c r="A31" s="118" t="s">
        <v>974</v>
      </c>
      <c r="B31" s="118" t="s">
        <v>81</v>
      </c>
      <c r="C31" s="118"/>
      <c r="D31" s="127"/>
      <c r="E31" s="127"/>
      <c r="F31" s="118"/>
      <c r="G31" s="118"/>
      <c r="H31" s="118"/>
    </row>
    <row r="32" spans="1:12" x14ac:dyDescent="0.35">
      <c r="A32" s="118" t="s">
        <v>975</v>
      </c>
      <c r="B32" s="118" t="s">
        <v>81</v>
      </c>
      <c r="C32" s="118"/>
      <c r="D32" s="127"/>
      <c r="E32" s="127"/>
      <c r="F32" s="118"/>
      <c r="G32" s="118"/>
      <c r="H32" s="118"/>
    </row>
    <row r="33" spans="1:12" x14ac:dyDescent="0.35">
      <c r="A33" s="118" t="s">
        <v>54</v>
      </c>
      <c r="B33" s="118" t="s">
        <v>81</v>
      </c>
      <c r="C33" s="118"/>
      <c r="D33" s="127"/>
      <c r="E33" s="127"/>
      <c r="F33" s="118"/>
      <c r="G33" s="118"/>
      <c r="H33" s="118"/>
    </row>
    <row r="34" spans="1:12" x14ac:dyDescent="0.35">
      <c r="A34" s="119" t="s">
        <v>976</v>
      </c>
      <c r="B34" s="119" t="s">
        <v>81</v>
      </c>
      <c r="C34" s="119"/>
      <c r="D34" s="127"/>
      <c r="E34" s="127"/>
      <c r="F34" s="119"/>
      <c r="G34" s="119"/>
      <c r="H34" s="119"/>
    </row>
    <row r="35" spans="1:12" ht="24" customHeight="1" x14ac:dyDescent="0.35">
      <c r="A35" s="130" t="s">
        <v>977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</row>
    <row r="36" spans="1:12" x14ac:dyDescent="0.35">
      <c r="A36" s="119" t="s">
        <v>978</v>
      </c>
      <c r="B36" s="119" t="s">
        <v>81</v>
      </c>
      <c r="C36" s="119"/>
      <c r="D36" s="127"/>
      <c r="E36" s="127"/>
      <c r="F36" s="119"/>
      <c r="G36" s="119"/>
      <c r="H36" s="119"/>
    </row>
    <row r="37" spans="1:12" x14ac:dyDescent="0.35">
      <c r="A37" s="119" t="s">
        <v>979</v>
      </c>
      <c r="B37" s="119" t="s">
        <v>81</v>
      </c>
      <c r="C37" s="119"/>
      <c r="D37" s="127"/>
      <c r="E37" s="127"/>
      <c r="F37" s="119"/>
      <c r="G37" s="119"/>
      <c r="H37" s="119"/>
    </row>
    <row r="38" spans="1:12" x14ac:dyDescent="0.35">
      <c r="A38" s="119" t="s">
        <v>980</v>
      </c>
      <c r="B38" s="119" t="s">
        <v>81</v>
      </c>
      <c r="C38" s="119"/>
      <c r="D38" s="127"/>
      <c r="E38" s="127"/>
      <c r="F38" s="119"/>
      <c r="G38" s="119"/>
      <c r="H38" s="119"/>
    </row>
    <row r="39" spans="1:12" x14ac:dyDescent="0.35">
      <c r="A39" s="119" t="s">
        <v>981</v>
      </c>
      <c r="B39" s="119" t="s">
        <v>81</v>
      </c>
      <c r="C39" s="119"/>
      <c r="D39" s="127"/>
      <c r="E39" s="127"/>
      <c r="F39" s="119"/>
      <c r="G39" s="119"/>
      <c r="H39" s="119"/>
    </row>
    <row r="40" spans="1:12" x14ac:dyDescent="0.35">
      <c r="A40" s="119" t="s">
        <v>982</v>
      </c>
      <c r="B40" s="119" t="s">
        <v>81</v>
      </c>
      <c r="C40" s="119"/>
      <c r="D40" s="127"/>
      <c r="E40" s="127"/>
      <c r="F40" s="119"/>
      <c r="G40" s="119"/>
      <c r="H40" s="119"/>
    </row>
    <row r="41" spans="1:12" x14ac:dyDescent="0.35">
      <c r="A41" s="118"/>
      <c r="B41" s="118"/>
      <c r="C41" s="118"/>
      <c r="D41" s="127"/>
      <c r="E41" s="127"/>
      <c r="F41" s="118"/>
      <c r="G41" s="118"/>
      <c r="H41" s="118"/>
    </row>
    <row r="42" spans="1:12" x14ac:dyDescent="0.35">
      <c r="A42" s="120" t="s">
        <v>983</v>
      </c>
      <c r="B42" s="118"/>
      <c r="C42" s="118"/>
      <c r="D42" s="127"/>
      <c r="E42" s="127"/>
      <c r="F42" s="118"/>
      <c r="G42" s="118"/>
      <c r="H42" s="118"/>
      <c r="I42" s="96"/>
      <c r="J42" s="96"/>
      <c r="K42" s="96"/>
      <c r="L42" s="96"/>
    </row>
    <row r="43" spans="1:12" x14ac:dyDescent="0.35">
      <c r="A43" s="118"/>
      <c r="B43" s="118"/>
      <c r="C43" s="118"/>
      <c r="D43" s="127"/>
      <c r="E43" s="127"/>
      <c r="F43" s="118"/>
      <c r="G43" s="118"/>
      <c r="H43" s="118"/>
    </row>
    <row r="44" spans="1:12" ht="29" x14ac:dyDescent="0.35">
      <c r="A44" s="116" t="s">
        <v>984</v>
      </c>
      <c r="B44" s="116" t="s">
        <v>985</v>
      </c>
      <c r="C44" s="116" t="s">
        <v>986</v>
      </c>
      <c r="D44" s="116" t="s">
        <v>987</v>
      </c>
      <c r="E44" s="116" t="s">
        <v>988</v>
      </c>
      <c r="F44" s="116" t="s">
        <v>989</v>
      </c>
      <c r="G44" s="116" t="s">
        <v>389</v>
      </c>
      <c r="H44" s="116" t="s">
        <v>870</v>
      </c>
      <c r="I44" s="100" t="s">
        <v>390</v>
      </c>
      <c r="J44" s="100" t="s">
        <v>990</v>
      </c>
      <c r="K44" s="100" t="s">
        <v>991</v>
      </c>
      <c r="L44" s="100" t="s">
        <v>992</v>
      </c>
    </row>
    <row r="45" spans="1:12" ht="29" x14ac:dyDescent="0.35">
      <c r="A45" s="121" t="s">
        <v>993</v>
      </c>
      <c r="B45" s="121" t="s">
        <v>994</v>
      </c>
      <c r="C45" s="121" t="s">
        <v>995</v>
      </c>
      <c r="D45" s="121"/>
      <c r="E45" s="121" t="s">
        <v>996</v>
      </c>
      <c r="F45" s="121"/>
      <c r="G45" s="121"/>
      <c r="H45" s="121"/>
      <c r="I45" s="21"/>
      <c r="J45" s="21"/>
      <c r="K45" s="21"/>
      <c r="L45" s="21"/>
    </row>
    <row r="46" spans="1:12" ht="29" x14ac:dyDescent="0.35">
      <c r="A46" s="21" t="s">
        <v>993</v>
      </c>
      <c r="B46" s="21" t="s">
        <v>997</v>
      </c>
      <c r="C46" s="21" t="s">
        <v>998</v>
      </c>
      <c r="D46" s="21"/>
      <c r="E46" s="21" t="s">
        <v>996</v>
      </c>
      <c r="F46" s="21"/>
      <c r="G46" s="21"/>
      <c r="H46" s="21"/>
      <c r="I46" s="21"/>
      <c r="J46" s="21"/>
      <c r="K46" s="21"/>
      <c r="L46" s="21"/>
    </row>
    <row r="47" spans="1:12" ht="29" x14ac:dyDescent="0.35">
      <c r="A47" s="21" t="s">
        <v>993</v>
      </c>
      <c r="B47" s="21" t="s">
        <v>999</v>
      </c>
      <c r="C47" s="21" t="s">
        <v>1000</v>
      </c>
      <c r="D47" s="21"/>
      <c r="E47" s="21" t="s">
        <v>996</v>
      </c>
      <c r="F47" s="21"/>
      <c r="G47" s="21"/>
      <c r="H47" s="21"/>
      <c r="I47" s="21"/>
      <c r="J47" s="21"/>
      <c r="K47" s="21"/>
      <c r="L47" s="21"/>
    </row>
    <row r="48" spans="1:12" ht="29" x14ac:dyDescent="0.35">
      <c r="A48" s="21" t="s">
        <v>993</v>
      </c>
      <c r="B48" s="21" t="s">
        <v>1001</v>
      </c>
      <c r="C48" s="21" t="s">
        <v>1002</v>
      </c>
      <c r="D48" s="21"/>
      <c r="E48" s="21" t="s">
        <v>996</v>
      </c>
      <c r="F48" s="21"/>
      <c r="G48" s="21"/>
      <c r="H48" s="21"/>
      <c r="I48" s="21"/>
      <c r="J48" s="21"/>
      <c r="K48" s="21"/>
      <c r="L48" s="21"/>
    </row>
    <row r="49" spans="1:12" ht="43.5" x14ac:dyDescent="0.35">
      <c r="A49" s="21" t="s">
        <v>993</v>
      </c>
      <c r="B49" s="21" t="s">
        <v>1003</v>
      </c>
      <c r="C49" s="21" t="s">
        <v>1004</v>
      </c>
      <c r="D49" s="21"/>
      <c r="E49" s="21" t="s">
        <v>996</v>
      </c>
      <c r="F49" s="21"/>
      <c r="G49" s="21"/>
      <c r="H49" s="21"/>
      <c r="I49" s="21"/>
      <c r="J49" s="21"/>
      <c r="K49" s="21"/>
      <c r="L49" s="21"/>
    </row>
    <row r="50" spans="1:12" ht="29" x14ac:dyDescent="0.35">
      <c r="A50" s="21" t="s">
        <v>993</v>
      </c>
      <c r="B50" s="21" t="s">
        <v>1005</v>
      </c>
      <c r="C50" s="21" t="s">
        <v>1006</v>
      </c>
      <c r="D50" s="21"/>
      <c r="E50" s="21" t="s">
        <v>996</v>
      </c>
      <c r="F50" s="21"/>
      <c r="G50" s="21"/>
      <c r="H50" s="21"/>
      <c r="I50" s="21"/>
      <c r="J50" s="21"/>
      <c r="K50" s="21"/>
      <c r="L50" s="21"/>
    </row>
    <row r="51" spans="1:12" ht="43.5" x14ac:dyDescent="0.35">
      <c r="A51" s="21" t="s">
        <v>1007</v>
      </c>
      <c r="B51" s="21" t="s">
        <v>1008</v>
      </c>
      <c r="C51" s="21" t="s">
        <v>1009</v>
      </c>
      <c r="D51" s="21"/>
      <c r="E51" s="21" t="s">
        <v>996</v>
      </c>
      <c r="F51" s="21"/>
      <c r="G51" s="21"/>
      <c r="H51" s="21"/>
      <c r="I51" s="21"/>
      <c r="J51" s="21"/>
      <c r="K51" s="21"/>
      <c r="L51" s="21"/>
    </row>
    <row r="52" spans="1:12" ht="29" x14ac:dyDescent="0.35">
      <c r="A52" s="21" t="s">
        <v>1007</v>
      </c>
      <c r="B52" s="21" t="s">
        <v>1010</v>
      </c>
      <c r="C52" s="21" t="s">
        <v>1011</v>
      </c>
      <c r="D52" s="21"/>
      <c r="E52" s="21" t="s">
        <v>996</v>
      </c>
      <c r="F52" s="21"/>
      <c r="G52" s="21"/>
      <c r="H52" s="21"/>
      <c r="I52" s="21"/>
      <c r="J52" s="21"/>
      <c r="K52" s="21"/>
      <c r="L52" s="21"/>
    </row>
    <row r="53" spans="1:12" ht="29" x14ac:dyDescent="0.35">
      <c r="A53" s="21" t="s">
        <v>1007</v>
      </c>
      <c r="B53" s="21" t="s">
        <v>1012</v>
      </c>
      <c r="C53" s="21" t="s">
        <v>1013</v>
      </c>
      <c r="D53" s="21"/>
      <c r="E53" s="21" t="s">
        <v>996</v>
      </c>
      <c r="F53" s="21"/>
      <c r="G53" s="21"/>
      <c r="H53" s="21"/>
      <c r="I53" s="21"/>
      <c r="J53" s="21"/>
      <c r="K53" s="21"/>
      <c r="L53" s="21"/>
    </row>
    <row r="54" spans="1:12" ht="29" x14ac:dyDescent="0.35">
      <c r="A54" s="21" t="s">
        <v>1007</v>
      </c>
      <c r="B54" s="21" t="s">
        <v>1014</v>
      </c>
      <c r="C54" s="21" t="s">
        <v>1015</v>
      </c>
      <c r="D54" s="21"/>
      <c r="E54" s="21" t="s">
        <v>996</v>
      </c>
      <c r="F54" s="21"/>
      <c r="G54" s="21"/>
      <c r="H54" s="21"/>
      <c r="I54" s="21"/>
      <c r="J54" s="21"/>
      <c r="K54" s="21"/>
      <c r="L54" s="21"/>
    </row>
    <row r="55" spans="1:12" ht="29" x14ac:dyDescent="0.35">
      <c r="A55" s="21" t="s">
        <v>1007</v>
      </c>
      <c r="B55" s="21" t="s">
        <v>1016</v>
      </c>
      <c r="C55" s="21" t="s">
        <v>1017</v>
      </c>
      <c r="D55" s="21"/>
      <c r="E55" s="21" t="s">
        <v>996</v>
      </c>
      <c r="F55" s="21"/>
      <c r="G55" s="21"/>
      <c r="H55" s="21"/>
      <c r="I55" s="21"/>
      <c r="J55" s="21"/>
      <c r="K55" s="21"/>
      <c r="L55" s="21"/>
    </row>
    <row r="56" spans="1:12" ht="29" x14ac:dyDescent="0.35">
      <c r="A56" s="21" t="s">
        <v>1007</v>
      </c>
      <c r="B56" s="21" t="s">
        <v>1018</v>
      </c>
      <c r="C56" s="21" t="s">
        <v>1019</v>
      </c>
      <c r="D56" s="21"/>
      <c r="E56" s="21" t="s">
        <v>996</v>
      </c>
      <c r="F56" s="21"/>
      <c r="G56" s="21"/>
      <c r="H56" s="21"/>
      <c r="I56" s="21"/>
      <c r="J56" s="21"/>
      <c r="K56" s="21"/>
      <c r="L56" s="21"/>
    </row>
    <row r="57" spans="1:12" ht="43.5" x14ac:dyDescent="0.35">
      <c r="A57" s="21" t="s">
        <v>1020</v>
      </c>
      <c r="B57" s="21" t="s">
        <v>1021</v>
      </c>
      <c r="C57" s="21" t="s">
        <v>1022</v>
      </c>
      <c r="D57" s="21"/>
      <c r="E57" s="21" t="s">
        <v>1023</v>
      </c>
      <c r="F57" s="21"/>
      <c r="G57" s="21"/>
      <c r="H57" s="21"/>
      <c r="I57" s="21"/>
      <c r="J57" s="21"/>
      <c r="K57" s="21"/>
      <c r="L57" s="21"/>
    </row>
    <row r="58" spans="1:12" ht="43.5" x14ac:dyDescent="0.35">
      <c r="A58" s="21" t="s">
        <v>1020</v>
      </c>
      <c r="B58" s="21" t="s">
        <v>1024</v>
      </c>
      <c r="C58" s="21" t="s">
        <v>1025</v>
      </c>
      <c r="D58" s="21"/>
      <c r="E58" s="21" t="s">
        <v>1023</v>
      </c>
      <c r="F58" s="21"/>
      <c r="G58" s="21"/>
      <c r="H58" s="21"/>
      <c r="I58" s="21"/>
      <c r="J58" s="21"/>
      <c r="K58" s="21"/>
      <c r="L58" s="21"/>
    </row>
    <row r="59" spans="1:12" ht="43.5" x14ac:dyDescent="0.35">
      <c r="A59" s="21" t="s">
        <v>1020</v>
      </c>
      <c r="B59" s="21" t="s">
        <v>1026</v>
      </c>
      <c r="C59" s="21" t="s">
        <v>1027</v>
      </c>
      <c r="D59" s="21"/>
      <c r="E59" s="21" t="s">
        <v>1023</v>
      </c>
      <c r="F59" s="21"/>
      <c r="G59" s="21"/>
      <c r="H59" s="21"/>
      <c r="I59" s="21"/>
      <c r="J59" s="21"/>
      <c r="K59" s="21"/>
      <c r="L59" s="21"/>
    </row>
    <row r="60" spans="1:12" ht="43.5" x14ac:dyDescent="0.35">
      <c r="A60" s="21" t="s">
        <v>1020</v>
      </c>
      <c r="B60" s="21" t="s">
        <v>1028</v>
      </c>
      <c r="C60" s="21" t="s">
        <v>1029</v>
      </c>
      <c r="D60" s="21"/>
      <c r="E60" s="21" t="s">
        <v>1023</v>
      </c>
      <c r="F60" s="21"/>
      <c r="G60" s="21"/>
      <c r="H60" s="21"/>
      <c r="I60" s="21"/>
      <c r="J60" s="21"/>
      <c r="K60" s="21"/>
      <c r="L60" s="21"/>
    </row>
    <row r="61" spans="1:12" ht="43.5" x14ac:dyDescent="0.35">
      <c r="A61" s="21" t="s">
        <v>1020</v>
      </c>
      <c r="B61" s="21" t="s">
        <v>1030</v>
      </c>
      <c r="C61" s="21" t="s">
        <v>1031</v>
      </c>
      <c r="D61" s="21"/>
      <c r="E61" s="21" t="s">
        <v>1023</v>
      </c>
      <c r="F61" s="21"/>
      <c r="G61" s="21"/>
      <c r="H61" s="21"/>
      <c r="I61" s="21"/>
      <c r="J61" s="21"/>
      <c r="K61" s="21"/>
      <c r="L61" s="21"/>
    </row>
    <row r="62" spans="1:12" ht="43.5" x14ac:dyDescent="0.35">
      <c r="A62" s="21" t="s">
        <v>1020</v>
      </c>
      <c r="B62" s="21" t="s">
        <v>1032</v>
      </c>
      <c r="C62" s="21" t="s">
        <v>1033</v>
      </c>
      <c r="D62" s="21"/>
      <c r="E62" s="21" t="s">
        <v>1023</v>
      </c>
      <c r="F62" s="21"/>
      <c r="G62" s="21"/>
      <c r="H62" s="21"/>
      <c r="I62" s="21"/>
      <c r="J62" s="21"/>
      <c r="K62" s="21"/>
      <c r="L62" s="21"/>
    </row>
    <row r="63" spans="1:12" ht="29" x14ac:dyDescent="0.35">
      <c r="A63" s="21" t="s">
        <v>428</v>
      </c>
      <c r="B63" s="21" t="s">
        <v>1034</v>
      </c>
      <c r="C63" s="21" t="s">
        <v>1035</v>
      </c>
      <c r="D63" s="21"/>
      <c r="E63" s="21" t="s">
        <v>996</v>
      </c>
      <c r="F63" s="21"/>
      <c r="G63" s="21"/>
      <c r="H63" s="21"/>
      <c r="I63" s="21"/>
      <c r="J63" s="21"/>
      <c r="K63" s="21"/>
      <c r="L63" s="21"/>
    </row>
    <row r="64" spans="1:12" ht="43.5" x14ac:dyDescent="0.35">
      <c r="A64" s="21" t="s">
        <v>428</v>
      </c>
      <c r="B64" s="21" t="s">
        <v>1036</v>
      </c>
      <c r="C64" s="21" t="s">
        <v>1037</v>
      </c>
      <c r="D64" s="21"/>
      <c r="E64" s="21" t="s">
        <v>996</v>
      </c>
      <c r="F64" s="21"/>
      <c r="G64" s="21"/>
      <c r="H64" s="21"/>
      <c r="I64" s="21"/>
      <c r="J64" s="21"/>
      <c r="K64" s="21"/>
      <c r="L64" s="21"/>
    </row>
    <row r="65" spans="1:12" ht="29" x14ac:dyDescent="0.35">
      <c r="A65" s="21" t="s">
        <v>428</v>
      </c>
      <c r="B65" s="21" t="s">
        <v>1038</v>
      </c>
      <c r="C65" s="21" t="s">
        <v>1039</v>
      </c>
      <c r="D65" s="21"/>
      <c r="E65" s="21" t="s">
        <v>996</v>
      </c>
      <c r="F65" s="21"/>
      <c r="G65" s="21"/>
      <c r="H65" s="21"/>
      <c r="I65" s="21"/>
      <c r="J65" s="21"/>
      <c r="K65" s="21"/>
      <c r="L65" s="21"/>
    </row>
    <row r="66" spans="1:12" ht="43.5" x14ac:dyDescent="0.35">
      <c r="A66" s="21" t="s">
        <v>428</v>
      </c>
      <c r="B66" s="21" t="s">
        <v>1040</v>
      </c>
      <c r="C66" s="21" t="s">
        <v>1041</v>
      </c>
      <c r="D66" s="21"/>
      <c r="E66" s="21" t="s">
        <v>996</v>
      </c>
      <c r="F66" s="21"/>
      <c r="G66" s="21"/>
      <c r="H66" s="21"/>
      <c r="I66" s="21"/>
      <c r="J66" s="21"/>
      <c r="K66" s="21"/>
      <c r="L66" s="21"/>
    </row>
    <row r="67" spans="1:12" ht="29" x14ac:dyDescent="0.35">
      <c r="A67" s="21" t="s">
        <v>428</v>
      </c>
      <c r="B67" s="21" t="s">
        <v>1042</v>
      </c>
      <c r="C67" s="21" t="s">
        <v>1043</v>
      </c>
      <c r="D67" s="21"/>
      <c r="E67" s="21" t="s">
        <v>996</v>
      </c>
      <c r="F67" s="21"/>
      <c r="G67" s="21"/>
      <c r="H67" s="21"/>
      <c r="I67" s="21"/>
      <c r="J67" s="21"/>
      <c r="K67" s="21"/>
      <c r="L67" s="21"/>
    </row>
    <row r="68" spans="1:12" ht="29" x14ac:dyDescent="0.35">
      <c r="A68" s="21" t="s">
        <v>428</v>
      </c>
      <c r="B68" s="21" t="s">
        <v>1044</v>
      </c>
      <c r="C68" s="21" t="s">
        <v>1045</v>
      </c>
      <c r="D68" s="21"/>
      <c r="E68" s="21" t="s">
        <v>996</v>
      </c>
      <c r="F68" s="21"/>
      <c r="G68" s="21"/>
      <c r="H68" s="21"/>
      <c r="I68" s="21"/>
      <c r="J68" s="21"/>
      <c r="K68" s="21"/>
      <c r="L68" s="21"/>
    </row>
    <row r="69" spans="1:12" ht="29" x14ac:dyDescent="0.35">
      <c r="A69" s="21" t="s">
        <v>1046</v>
      </c>
      <c r="B69" s="21" t="s">
        <v>1047</v>
      </c>
      <c r="C69" s="21" t="s">
        <v>1048</v>
      </c>
      <c r="D69" s="21"/>
      <c r="E69" s="21" t="s">
        <v>996</v>
      </c>
      <c r="F69" s="21"/>
      <c r="G69" s="21"/>
      <c r="H69" s="21"/>
      <c r="I69" s="21"/>
      <c r="J69" s="21"/>
      <c r="K69" s="21"/>
      <c r="L69" s="21"/>
    </row>
    <row r="70" spans="1:12" ht="29" x14ac:dyDescent="0.35">
      <c r="A70" s="21" t="s">
        <v>1046</v>
      </c>
      <c r="B70" s="21" t="s">
        <v>1049</v>
      </c>
      <c r="C70" s="21" t="s">
        <v>1050</v>
      </c>
      <c r="D70" s="21"/>
      <c r="E70" s="21" t="s">
        <v>996</v>
      </c>
      <c r="F70" s="21"/>
      <c r="G70" s="21"/>
      <c r="H70" s="21"/>
      <c r="I70" s="21"/>
      <c r="J70" s="21"/>
      <c r="K70" s="21"/>
      <c r="L70" s="21"/>
    </row>
    <row r="71" spans="1:12" ht="29" x14ac:dyDescent="0.35">
      <c r="A71" s="21" t="s">
        <v>1046</v>
      </c>
      <c r="B71" s="21" t="s">
        <v>1051</v>
      </c>
      <c r="C71" s="21" t="s">
        <v>1052</v>
      </c>
      <c r="D71" s="21"/>
      <c r="E71" s="21" t="s">
        <v>996</v>
      </c>
      <c r="F71" s="21"/>
      <c r="G71" s="21"/>
      <c r="H71" s="21"/>
      <c r="I71" s="21"/>
      <c r="J71" s="21"/>
      <c r="K71" s="21"/>
      <c r="L71" s="21"/>
    </row>
    <row r="72" spans="1:12" ht="29" x14ac:dyDescent="0.35">
      <c r="A72" s="21" t="s">
        <v>1046</v>
      </c>
      <c r="B72" s="21" t="s">
        <v>1053</v>
      </c>
      <c r="C72" s="21" t="s">
        <v>1054</v>
      </c>
      <c r="D72" s="21"/>
      <c r="E72" s="21" t="s">
        <v>996</v>
      </c>
      <c r="F72" s="21"/>
      <c r="G72" s="21"/>
      <c r="H72" s="21"/>
      <c r="I72" s="21"/>
      <c r="J72" s="21"/>
      <c r="K72" s="21"/>
      <c r="L72" s="21"/>
    </row>
    <row r="73" spans="1:12" ht="29" x14ac:dyDescent="0.35">
      <c r="A73" s="21" t="s">
        <v>1046</v>
      </c>
      <c r="B73" s="21" t="s">
        <v>1055</v>
      </c>
      <c r="C73" s="21" t="s">
        <v>1056</v>
      </c>
      <c r="D73" s="21"/>
      <c r="E73" s="21" t="s">
        <v>996</v>
      </c>
      <c r="F73" s="21"/>
      <c r="G73" s="21"/>
      <c r="H73" s="21"/>
      <c r="I73" s="21"/>
      <c r="J73" s="21"/>
      <c r="K73" s="21"/>
      <c r="L73" s="21"/>
    </row>
    <row r="74" spans="1:12" ht="29" x14ac:dyDescent="0.35">
      <c r="A74" s="21" t="s">
        <v>1046</v>
      </c>
      <c r="B74" s="21" t="s">
        <v>1057</v>
      </c>
      <c r="C74" s="21" t="s">
        <v>1058</v>
      </c>
      <c r="D74" s="21"/>
      <c r="E74" s="21" t="s">
        <v>996</v>
      </c>
      <c r="F74" s="21"/>
      <c r="G74" s="21"/>
      <c r="H74" s="21"/>
      <c r="I74" s="21"/>
      <c r="J74" s="21"/>
      <c r="K74" s="21"/>
      <c r="L74" s="21"/>
    </row>
    <row r="75" spans="1:12" ht="29" x14ac:dyDescent="0.35">
      <c r="A75" s="21" t="s">
        <v>1059</v>
      </c>
      <c r="B75" s="21" t="s">
        <v>1060</v>
      </c>
      <c r="C75" s="21" t="s">
        <v>1061</v>
      </c>
      <c r="D75" s="21"/>
      <c r="E75" s="21" t="s">
        <v>996</v>
      </c>
      <c r="F75" s="21"/>
      <c r="G75" s="21"/>
      <c r="H75" s="21"/>
      <c r="I75" s="21"/>
      <c r="J75" s="21"/>
      <c r="K75" s="21"/>
      <c r="L75" s="21"/>
    </row>
    <row r="76" spans="1:12" ht="43.5" x14ac:dyDescent="0.35">
      <c r="A76" s="21" t="s">
        <v>1059</v>
      </c>
      <c r="B76" s="21" t="s">
        <v>1062</v>
      </c>
      <c r="C76" s="21" t="s">
        <v>1063</v>
      </c>
      <c r="D76" s="21"/>
      <c r="E76" s="21" t="s">
        <v>996</v>
      </c>
      <c r="F76" s="21"/>
      <c r="G76" s="21"/>
      <c r="H76" s="21"/>
      <c r="I76" s="21"/>
      <c r="J76" s="21"/>
      <c r="K76" s="21"/>
      <c r="L76" s="21"/>
    </row>
    <row r="77" spans="1:12" ht="29" x14ac:dyDescent="0.35">
      <c r="A77" s="21" t="s">
        <v>1059</v>
      </c>
      <c r="B77" s="21" t="s">
        <v>1064</v>
      </c>
      <c r="C77" s="21" t="s">
        <v>1065</v>
      </c>
      <c r="D77" s="21"/>
      <c r="E77" s="21" t="s">
        <v>996</v>
      </c>
      <c r="F77" s="21"/>
      <c r="G77" s="21"/>
      <c r="H77" s="21"/>
      <c r="I77" s="21"/>
      <c r="J77" s="21"/>
      <c r="K77" s="21"/>
      <c r="L77" s="21"/>
    </row>
    <row r="78" spans="1:12" ht="29" x14ac:dyDescent="0.35">
      <c r="A78" s="21" t="s">
        <v>1059</v>
      </c>
      <c r="B78" s="21" t="s">
        <v>1066</v>
      </c>
      <c r="C78" s="21" t="s">
        <v>1067</v>
      </c>
      <c r="D78" s="21"/>
      <c r="E78" s="21" t="s">
        <v>996</v>
      </c>
      <c r="F78" s="21"/>
      <c r="G78" s="21"/>
      <c r="H78" s="21"/>
      <c r="I78" s="21"/>
      <c r="J78" s="21"/>
      <c r="K78" s="21"/>
      <c r="L78" s="21"/>
    </row>
    <row r="79" spans="1:12" ht="29" x14ac:dyDescent="0.35">
      <c r="A79" s="21" t="s">
        <v>1059</v>
      </c>
      <c r="B79" s="21" t="s">
        <v>1068</v>
      </c>
      <c r="C79" s="21" t="s">
        <v>1069</v>
      </c>
      <c r="D79" s="21"/>
      <c r="E79" s="21" t="s">
        <v>996</v>
      </c>
      <c r="F79" s="21"/>
      <c r="G79" s="21"/>
      <c r="H79" s="21"/>
      <c r="I79" s="21"/>
      <c r="J79" s="21"/>
      <c r="K79" s="21"/>
      <c r="L79" s="21"/>
    </row>
    <row r="80" spans="1:12" ht="29" x14ac:dyDescent="0.35">
      <c r="A80" s="21" t="s">
        <v>1059</v>
      </c>
      <c r="B80" s="21" t="s">
        <v>1070</v>
      </c>
      <c r="C80" s="21" t="s">
        <v>1071</v>
      </c>
      <c r="D80" s="21"/>
      <c r="E80" s="21" t="s">
        <v>996</v>
      </c>
      <c r="F80" s="21"/>
      <c r="G80" s="21"/>
      <c r="H80" s="21"/>
      <c r="I80" s="21"/>
      <c r="J80" s="21"/>
      <c r="K80" s="21"/>
      <c r="L80" s="21"/>
    </row>
    <row r="81" spans="1:12" ht="29" x14ac:dyDescent="0.35">
      <c r="A81" s="21" t="s">
        <v>1072</v>
      </c>
      <c r="B81" s="21" t="s">
        <v>1073</v>
      </c>
      <c r="C81" s="21" t="s">
        <v>1074</v>
      </c>
      <c r="D81" s="21"/>
      <c r="E81" s="21" t="s">
        <v>996</v>
      </c>
      <c r="F81" s="21"/>
      <c r="G81" s="21"/>
      <c r="H81" s="21"/>
      <c r="I81" s="21"/>
      <c r="J81" s="21"/>
      <c r="K81" s="21"/>
      <c r="L81" s="21"/>
    </row>
    <row r="82" spans="1:12" ht="29" x14ac:dyDescent="0.35">
      <c r="A82" s="21" t="s">
        <v>1072</v>
      </c>
      <c r="B82" s="21" t="s">
        <v>1075</v>
      </c>
      <c r="C82" s="21" t="s">
        <v>1076</v>
      </c>
      <c r="D82" s="21"/>
      <c r="E82" s="21" t="s">
        <v>996</v>
      </c>
      <c r="F82" s="21"/>
      <c r="G82" s="21"/>
      <c r="H82" s="21"/>
      <c r="I82" s="21"/>
      <c r="J82" s="21"/>
      <c r="K82" s="21"/>
      <c r="L82" s="21"/>
    </row>
    <row r="83" spans="1:12" ht="29" x14ac:dyDescent="0.35">
      <c r="A83" s="21" t="s">
        <v>1072</v>
      </c>
      <c r="B83" s="21" t="s">
        <v>1077</v>
      </c>
      <c r="C83" s="21" t="s">
        <v>1078</v>
      </c>
      <c r="D83" s="21"/>
      <c r="E83" s="21" t="s">
        <v>996</v>
      </c>
      <c r="F83" s="21"/>
      <c r="G83" s="21"/>
      <c r="H83" s="21"/>
      <c r="I83" s="21"/>
      <c r="J83" s="21"/>
      <c r="K83" s="21"/>
      <c r="L83" s="21"/>
    </row>
    <row r="84" spans="1:12" ht="29" x14ac:dyDescent="0.35">
      <c r="A84" s="21" t="s">
        <v>1072</v>
      </c>
      <c r="B84" s="21" t="s">
        <v>1079</v>
      </c>
      <c r="C84" s="21" t="s">
        <v>1080</v>
      </c>
      <c r="D84" s="21"/>
      <c r="E84" s="21" t="s">
        <v>996</v>
      </c>
      <c r="F84" s="21"/>
      <c r="G84" s="21"/>
      <c r="H84" s="21"/>
      <c r="I84" s="21"/>
      <c r="J84" s="21"/>
      <c r="K84" s="21"/>
      <c r="L84" s="21"/>
    </row>
    <row r="85" spans="1:12" ht="29" x14ac:dyDescent="0.35">
      <c r="A85" s="21" t="s">
        <v>1072</v>
      </c>
      <c r="B85" s="21" t="s">
        <v>1081</v>
      </c>
      <c r="C85" s="21" t="s">
        <v>1082</v>
      </c>
      <c r="D85" s="21"/>
      <c r="E85" s="21" t="s">
        <v>996</v>
      </c>
      <c r="F85" s="21"/>
      <c r="G85" s="21"/>
      <c r="H85" s="21"/>
      <c r="I85" s="21"/>
      <c r="J85" s="21"/>
      <c r="K85" s="21"/>
      <c r="L85" s="21"/>
    </row>
    <row r="86" spans="1:12" ht="29" x14ac:dyDescent="0.35">
      <c r="A86" s="21" t="s">
        <v>1072</v>
      </c>
      <c r="B86" s="21" t="s">
        <v>1083</v>
      </c>
      <c r="C86" s="21" t="s">
        <v>1084</v>
      </c>
      <c r="D86" s="21"/>
      <c r="E86" s="21" t="s">
        <v>996</v>
      </c>
      <c r="F86" s="21"/>
      <c r="G86" s="21"/>
      <c r="H86" s="21"/>
      <c r="I86" s="21"/>
      <c r="J86" s="21"/>
      <c r="K86" s="21"/>
      <c r="L86" s="21"/>
    </row>
    <row r="87" spans="1:12" ht="29" x14ac:dyDescent="0.35">
      <c r="A87" s="21" t="s">
        <v>1085</v>
      </c>
      <c r="B87" s="21" t="s">
        <v>1086</v>
      </c>
      <c r="C87" s="21" t="s">
        <v>1087</v>
      </c>
      <c r="D87" s="21"/>
      <c r="E87" s="21" t="s">
        <v>996</v>
      </c>
      <c r="F87" s="21"/>
      <c r="G87" s="21"/>
      <c r="H87" s="21"/>
      <c r="I87" s="21"/>
      <c r="J87" s="21"/>
      <c r="K87" s="21"/>
      <c r="L87" s="21"/>
    </row>
    <row r="88" spans="1:12" ht="29" x14ac:dyDescent="0.35">
      <c r="A88" s="21" t="s">
        <v>1085</v>
      </c>
      <c r="B88" s="21" t="s">
        <v>1088</v>
      </c>
      <c r="C88" s="21" t="s">
        <v>1089</v>
      </c>
      <c r="D88" s="21"/>
      <c r="E88" s="21" t="s">
        <v>996</v>
      </c>
      <c r="F88" s="21"/>
      <c r="G88" s="21"/>
      <c r="H88" s="21"/>
      <c r="I88" s="21"/>
      <c r="J88" s="21"/>
      <c r="K88" s="21"/>
      <c r="L88" s="21"/>
    </row>
    <row r="89" spans="1:12" ht="29" x14ac:dyDescent="0.35">
      <c r="A89" s="21" t="s">
        <v>1085</v>
      </c>
      <c r="B89" s="21" t="s">
        <v>1090</v>
      </c>
      <c r="C89" s="21" t="s">
        <v>1091</v>
      </c>
      <c r="D89" s="21"/>
      <c r="E89" s="21" t="s">
        <v>996</v>
      </c>
      <c r="F89" s="21"/>
      <c r="G89" s="21"/>
      <c r="H89" s="21"/>
      <c r="I89" s="21"/>
      <c r="J89" s="21"/>
      <c r="K89" s="21"/>
      <c r="L89" s="21"/>
    </row>
    <row r="90" spans="1:12" ht="29" x14ac:dyDescent="0.35">
      <c r="A90" s="21" t="s">
        <v>1085</v>
      </c>
      <c r="B90" s="21" t="s">
        <v>1092</v>
      </c>
      <c r="C90" s="21" t="s">
        <v>1093</v>
      </c>
      <c r="D90" s="21"/>
      <c r="E90" s="21" t="s">
        <v>996</v>
      </c>
      <c r="F90" s="21"/>
      <c r="G90" s="21"/>
      <c r="H90" s="21"/>
      <c r="I90" s="21"/>
      <c r="J90" s="21"/>
      <c r="K90" s="21"/>
      <c r="L90" s="21"/>
    </row>
    <row r="91" spans="1:12" ht="29" x14ac:dyDescent="0.35">
      <c r="A91" s="21" t="s">
        <v>1085</v>
      </c>
      <c r="B91" s="21" t="s">
        <v>1094</v>
      </c>
      <c r="C91" s="21" t="s">
        <v>1095</v>
      </c>
      <c r="D91" s="21"/>
      <c r="E91" s="21" t="s">
        <v>996</v>
      </c>
      <c r="F91" s="21"/>
      <c r="G91" s="21"/>
      <c r="H91" s="21"/>
      <c r="I91" s="21"/>
      <c r="J91" s="21"/>
      <c r="K91" s="21"/>
      <c r="L91" s="21"/>
    </row>
    <row r="92" spans="1:12" ht="29" x14ac:dyDescent="0.35">
      <c r="A92" s="21" t="s">
        <v>1085</v>
      </c>
      <c r="B92" s="21" t="s">
        <v>1096</v>
      </c>
      <c r="C92" s="21" t="s">
        <v>1097</v>
      </c>
      <c r="D92" s="21"/>
      <c r="E92" s="21" t="s">
        <v>996</v>
      </c>
      <c r="F92" s="21"/>
      <c r="G92" s="21"/>
      <c r="H92" s="21"/>
      <c r="I92" s="21"/>
      <c r="J92" s="21"/>
      <c r="K92" s="21"/>
      <c r="L92" s="21"/>
    </row>
    <row r="93" spans="1:12" ht="29" x14ac:dyDescent="0.35">
      <c r="A93" s="21" t="s">
        <v>1098</v>
      </c>
      <c r="B93" s="21" t="s">
        <v>1099</v>
      </c>
      <c r="C93" s="21" t="s">
        <v>1100</v>
      </c>
      <c r="D93" s="21"/>
      <c r="E93" s="21" t="s">
        <v>996</v>
      </c>
      <c r="F93" s="21"/>
      <c r="G93" s="21"/>
      <c r="H93" s="21"/>
      <c r="I93" s="21"/>
      <c r="J93" s="21"/>
      <c r="K93" s="21"/>
      <c r="L93" s="21"/>
    </row>
    <row r="94" spans="1:12" ht="29" x14ac:dyDescent="0.35">
      <c r="A94" s="21" t="s">
        <v>1098</v>
      </c>
      <c r="B94" s="21" t="s">
        <v>1101</v>
      </c>
      <c r="C94" s="21" t="s">
        <v>1102</v>
      </c>
      <c r="D94" s="21"/>
      <c r="E94" s="21" t="s">
        <v>996</v>
      </c>
      <c r="F94" s="21"/>
      <c r="G94" s="21"/>
      <c r="H94" s="21"/>
      <c r="I94" s="21"/>
      <c r="J94" s="21"/>
      <c r="K94" s="21"/>
      <c r="L94" s="21"/>
    </row>
    <row r="95" spans="1:12" ht="29" x14ac:dyDescent="0.35">
      <c r="A95" s="21" t="s">
        <v>1098</v>
      </c>
      <c r="B95" s="21" t="s">
        <v>1103</v>
      </c>
      <c r="C95" s="21" t="s">
        <v>1104</v>
      </c>
      <c r="D95" s="21"/>
      <c r="E95" s="21" t="s">
        <v>996</v>
      </c>
      <c r="F95" s="21"/>
      <c r="G95" s="21"/>
      <c r="H95" s="21"/>
      <c r="I95" s="21"/>
      <c r="J95" s="21"/>
      <c r="K95" s="21"/>
      <c r="L95" s="21"/>
    </row>
    <row r="96" spans="1:12" ht="29" x14ac:dyDescent="0.35">
      <c r="A96" s="21" t="s">
        <v>1098</v>
      </c>
      <c r="B96" s="21" t="s">
        <v>1105</v>
      </c>
      <c r="C96" s="21" t="s">
        <v>1106</v>
      </c>
      <c r="D96" s="21"/>
      <c r="E96" s="21" t="s">
        <v>996</v>
      </c>
      <c r="F96" s="21"/>
      <c r="G96" s="21"/>
      <c r="H96" s="21"/>
      <c r="I96" s="21"/>
      <c r="J96" s="21"/>
      <c r="K96" s="21"/>
      <c r="L96" s="21"/>
    </row>
    <row r="97" spans="1:12" ht="29" x14ac:dyDescent="0.35">
      <c r="A97" s="21" t="s">
        <v>1098</v>
      </c>
      <c r="B97" s="21" t="s">
        <v>1107</v>
      </c>
      <c r="C97" s="21" t="s">
        <v>1108</v>
      </c>
      <c r="D97" s="21"/>
      <c r="E97" s="21" t="s">
        <v>996</v>
      </c>
      <c r="F97" s="21"/>
      <c r="G97" s="21"/>
      <c r="H97" s="21"/>
      <c r="I97" s="21"/>
      <c r="J97" s="21"/>
      <c r="K97" s="21"/>
      <c r="L97" s="21"/>
    </row>
    <row r="98" spans="1:12" ht="29" x14ac:dyDescent="0.35">
      <c r="A98" s="21" t="s">
        <v>1098</v>
      </c>
      <c r="B98" s="21" t="s">
        <v>1109</v>
      </c>
      <c r="C98" s="21" t="s">
        <v>1110</v>
      </c>
      <c r="D98" s="21"/>
      <c r="E98" s="21" t="s">
        <v>996</v>
      </c>
      <c r="F98" s="21"/>
      <c r="G98" s="21"/>
      <c r="H98" s="21"/>
      <c r="I98" s="21"/>
      <c r="J98" s="21"/>
      <c r="K98" s="21"/>
      <c r="L98" s="21"/>
    </row>
    <row r="99" spans="1:12" ht="29" x14ac:dyDescent="0.35">
      <c r="A99" s="21" t="s">
        <v>1111</v>
      </c>
      <c r="B99" s="21" t="s">
        <v>1112</v>
      </c>
      <c r="C99" s="21" t="s">
        <v>1113</v>
      </c>
      <c r="D99" s="21"/>
      <c r="E99" s="21" t="s">
        <v>1114</v>
      </c>
      <c r="F99" s="21"/>
      <c r="G99" s="21"/>
      <c r="H99" s="21"/>
      <c r="I99" s="21"/>
      <c r="J99" s="21"/>
      <c r="K99" s="21"/>
      <c r="L99" s="21"/>
    </row>
    <row r="100" spans="1:12" ht="29" x14ac:dyDescent="0.35">
      <c r="A100" s="21" t="s">
        <v>1111</v>
      </c>
      <c r="B100" s="21" t="s">
        <v>1115</v>
      </c>
      <c r="C100" s="21" t="s">
        <v>1116</v>
      </c>
      <c r="D100" s="21"/>
      <c r="E100" s="21" t="s">
        <v>1114</v>
      </c>
      <c r="F100" s="21"/>
      <c r="G100" s="21"/>
      <c r="H100" s="21"/>
      <c r="I100" s="21"/>
      <c r="J100" s="21"/>
      <c r="K100" s="21"/>
      <c r="L100" s="21"/>
    </row>
    <row r="101" spans="1:12" ht="29" x14ac:dyDescent="0.35">
      <c r="A101" s="21" t="s">
        <v>1111</v>
      </c>
      <c r="B101" s="21" t="s">
        <v>1117</v>
      </c>
      <c r="C101" s="21" t="s">
        <v>1118</v>
      </c>
      <c r="D101" s="21"/>
      <c r="E101" s="21" t="s">
        <v>1114</v>
      </c>
      <c r="F101" s="21"/>
      <c r="G101" s="21"/>
      <c r="H101" s="21"/>
      <c r="I101" s="21"/>
      <c r="J101" s="21"/>
      <c r="K101" s="21"/>
      <c r="L101" s="21"/>
    </row>
    <row r="102" spans="1:12" ht="29" x14ac:dyDescent="0.35">
      <c r="A102" s="21" t="s">
        <v>1111</v>
      </c>
      <c r="B102" s="21" t="s">
        <v>1119</v>
      </c>
      <c r="C102" s="21" t="s">
        <v>1120</v>
      </c>
      <c r="D102" s="21"/>
      <c r="E102" s="21" t="s">
        <v>1114</v>
      </c>
      <c r="F102" s="21"/>
      <c r="G102" s="21"/>
      <c r="H102" s="21"/>
      <c r="I102" s="21"/>
      <c r="J102" s="21"/>
      <c r="K102" s="21"/>
      <c r="L102" s="21"/>
    </row>
    <row r="103" spans="1:12" ht="29" x14ac:dyDescent="0.35">
      <c r="A103" s="21" t="s">
        <v>1111</v>
      </c>
      <c r="B103" s="21" t="s">
        <v>1121</v>
      </c>
      <c r="C103" s="21" t="s">
        <v>1122</v>
      </c>
      <c r="D103" s="21"/>
      <c r="E103" s="21" t="s">
        <v>1114</v>
      </c>
      <c r="F103" s="21"/>
      <c r="G103" s="21"/>
      <c r="H103" s="21"/>
      <c r="I103" s="21"/>
      <c r="J103" s="21"/>
      <c r="K103" s="21"/>
      <c r="L103" s="21"/>
    </row>
    <row r="104" spans="1:12" ht="29" x14ac:dyDescent="0.35">
      <c r="A104" s="21" t="s">
        <v>1111</v>
      </c>
      <c r="B104" s="21" t="s">
        <v>1123</v>
      </c>
      <c r="C104" s="21" t="s">
        <v>1124</v>
      </c>
      <c r="D104" s="21"/>
      <c r="E104" s="21" t="s">
        <v>1114</v>
      </c>
      <c r="F104" s="21"/>
      <c r="G104" s="21"/>
      <c r="H104" s="21"/>
      <c r="I104" s="21"/>
      <c r="J104" s="21"/>
      <c r="K104" s="21"/>
      <c r="L104" s="21"/>
    </row>
    <row r="105" spans="1:12" ht="29" x14ac:dyDescent="0.35">
      <c r="A105" s="21" t="s">
        <v>1125</v>
      </c>
      <c r="B105" s="21" t="s">
        <v>1126</v>
      </c>
      <c r="C105" s="21" t="s">
        <v>1127</v>
      </c>
      <c r="D105" s="21"/>
      <c r="E105" s="21" t="s">
        <v>1114</v>
      </c>
      <c r="F105" s="21"/>
      <c r="G105" s="21"/>
      <c r="H105" s="21"/>
      <c r="I105" s="21"/>
      <c r="J105" s="21"/>
      <c r="K105" s="21"/>
      <c r="L105" s="21"/>
    </row>
    <row r="106" spans="1:12" ht="29" x14ac:dyDescent="0.35">
      <c r="A106" s="21" t="s">
        <v>1125</v>
      </c>
      <c r="B106" s="21" t="s">
        <v>1128</v>
      </c>
      <c r="C106" s="21" t="s">
        <v>1129</v>
      </c>
      <c r="D106" s="21"/>
      <c r="E106" s="21" t="s">
        <v>1114</v>
      </c>
      <c r="F106" s="21"/>
      <c r="G106" s="21"/>
      <c r="H106" s="21"/>
      <c r="I106" s="21"/>
      <c r="J106" s="21"/>
      <c r="K106" s="21"/>
      <c r="L106" s="21"/>
    </row>
    <row r="107" spans="1:12" ht="43.5" x14ac:dyDescent="0.35">
      <c r="A107" s="21" t="s">
        <v>1125</v>
      </c>
      <c r="B107" s="21" t="s">
        <v>1130</v>
      </c>
      <c r="C107" s="21" t="s">
        <v>1131</v>
      </c>
      <c r="D107" s="21"/>
      <c r="E107" s="21" t="s">
        <v>1114</v>
      </c>
      <c r="F107" s="21"/>
      <c r="G107" s="21"/>
      <c r="H107" s="21"/>
      <c r="I107" s="21"/>
      <c r="J107" s="21"/>
      <c r="K107" s="21"/>
      <c r="L107" s="21"/>
    </row>
    <row r="108" spans="1:12" ht="29" x14ac:dyDescent="0.35">
      <c r="A108" s="21" t="s">
        <v>1125</v>
      </c>
      <c r="B108" s="21" t="s">
        <v>1132</v>
      </c>
      <c r="C108" s="21" t="s">
        <v>1133</v>
      </c>
      <c r="D108" s="21"/>
      <c r="E108" s="21" t="s">
        <v>1114</v>
      </c>
      <c r="F108" s="21"/>
      <c r="G108" s="21"/>
      <c r="H108" s="21"/>
      <c r="I108" s="21"/>
      <c r="J108" s="21"/>
      <c r="K108" s="21"/>
      <c r="L108" s="21"/>
    </row>
    <row r="109" spans="1:12" ht="29" x14ac:dyDescent="0.35">
      <c r="A109" s="21" t="s">
        <v>1125</v>
      </c>
      <c r="B109" s="21" t="s">
        <v>1134</v>
      </c>
      <c r="C109" s="21" t="s">
        <v>1135</v>
      </c>
      <c r="D109" s="21"/>
      <c r="E109" s="21" t="s">
        <v>1114</v>
      </c>
      <c r="F109" s="21"/>
      <c r="G109" s="21"/>
      <c r="H109" s="21"/>
      <c r="I109" s="21"/>
      <c r="J109" s="21"/>
      <c r="K109" s="21"/>
      <c r="L109" s="21"/>
    </row>
    <row r="110" spans="1:12" ht="29" x14ac:dyDescent="0.35">
      <c r="A110" s="21" t="s">
        <v>1125</v>
      </c>
      <c r="B110" s="21" t="s">
        <v>1136</v>
      </c>
      <c r="C110" s="21" t="s">
        <v>1137</v>
      </c>
      <c r="D110" s="21"/>
      <c r="E110" s="21" t="s">
        <v>1114</v>
      </c>
      <c r="F110" s="21"/>
      <c r="G110" s="21"/>
      <c r="H110" s="21"/>
      <c r="I110" s="21"/>
      <c r="J110" s="21"/>
      <c r="K110" s="21"/>
      <c r="L110" s="21"/>
    </row>
    <row r="111" spans="1:12" ht="29" x14ac:dyDescent="0.35">
      <c r="A111" s="21" t="s">
        <v>1138</v>
      </c>
      <c r="B111" s="21" t="s">
        <v>1139</v>
      </c>
      <c r="C111" s="21" t="s">
        <v>1140</v>
      </c>
      <c r="D111" s="21"/>
      <c r="E111" s="21" t="s">
        <v>996</v>
      </c>
      <c r="F111" s="21"/>
      <c r="G111" s="21"/>
      <c r="H111" s="21"/>
      <c r="I111" s="21"/>
      <c r="J111" s="21"/>
      <c r="K111" s="21"/>
      <c r="L111" s="21"/>
    </row>
    <row r="112" spans="1:12" ht="29" x14ac:dyDescent="0.35">
      <c r="A112" s="21" t="s">
        <v>1138</v>
      </c>
      <c r="B112" s="21" t="s">
        <v>1141</v>
      </c>
      <c r="C112" s="21" t="s">
        <v>1142</v>
      </c>
      <c r="D112" s="21"/>
      <c r="E112" s="21" t="s">
        <v>996</v>
      </c>
      <c r="F112" s="21"/>
      <c r="G112" s="21"/>
      <c r="H112" s="21"/>
      <c r="I112" s="21"/>
      <c r="J112" s="21"/>
      <c r="K112" s="21"/>
      <c r="L112" s="21"/>
    </row>
    <row r="113" spans="1:12" ht="29" x14ac:dyDescent="0.35">
      <c r="A113" s="21" t="s">
        <v>1138</v>
      </c>
      <c r="B113" s="21" t="s">
        <v>1143</v>
      </c>
      <c r="C113" s="21" t="s">
        <v>1144</v>
      </c>
      <c r="D113" s="21"/>
      <c r="E113" s="21" t="s">
        <v>996</v>
      </c>
      <c r="F113" s="21"/>
      <c r="G113" s="21"/>
      <c r="H113" s="21"/>
      <c r="I113" s="21"/>
      <c r="J113" s="21"/>
      <c r="K113" s="21"/>
      <c r="L113" s="21"/>
    </row>
    <row r="114" spans="1:12" ht="29" x14ac:dyDescent="0.35">
      <c r="A114" s="21" t="s">
        <v>1138</v>
      </c>
      <c r="B114" s="21" t="s">
        <v>1145</v>
      </c>
      <c r="C114" s="21" t="s">
        <v>1146</v>
      </c>
      <c r="D114" s="21"/>
      <c r="E114" s="21" t="s">
        <v>996</v>
      </c>
      <c r="F114" s="21"/>
      <c r="G114" s="21"/>
      <c r="H114" s="21"/>
      <c r="I114" s="21"/>
      <c r="J114" s="21"/>
      <c r="K114" s="21"/>
      <c r="L114" s="21"/>
    </row>
    <row r="115" spans="1:12" ht="29" x14ac:dyDescent="0.35">
      <c r="A115" s="21" t="s">
        <v>1138</v>
      </c>
      <c r="B115" s="21" t="s">
        <v>1147</v>
      </c>
      <c r="C115" s="21" t="s">
        <v>1148</v>
      </c>
      <c r="D115" s="21"/>
      <c r="E115" s="21" t="s">
        <v>996</v>
      </c>
      <c r="F115" s="21"/>
      <c r="G115" s="21"/>
      <c r="H115" s="21"/>
      <c r="I115" s="21"/>
      <c r="J115" s="21"/>
      <c r="K115" s="21"/>
      <c r="L115" s="21"/>
    </row>
    <row r="116" spans="1:12" ht="29" x14ac:dyDescent="0.35">
      <c r="A116" s="21" t="s">
        <v>1138</v>
      </c>
      <c r="B116" s="21" t="s">
        <v>1149</v>
      </c>
      <c r="C116" s="21" t="s">
        <v>1150</v>
      </c>
      <c r="D116" s="21"/>
      <c r="E116" s="21" t="s">
        <v>996</v>
      </c>
      <c r="F116" s="21"/>
      <c r="G116" s="21"/>
      <c r="H116" s="21"/>
      <c r="I116" s="21"/>
      <c r="J116" s="21"/>
      <c r="K116" s="21"/>
      <c r="L116" s="21"/>
    </row>
    <row r="117" spans="1:12" ht="29" x14ac:dyDescent="0.35">
      <c r="A117" s="21" t="s">
        <v>1151</v>
      </c>
      <c r="B117" s="21" t="s">
        <v>1152</v>
      </c>
      <c r="C117" s="21" t="s">
        <v>1153</v>
      </c>
      <c r="D117" s="21"/>
      <c r="E117" s="21" t="s">
        <v>996</v>
      </c>
      <c r="F117" s="21"/>
      <c r="G117" s="21"/>
      <c r="H117" s="21"/>
      <c r="I117" s="21"/>
      <c r="J117" s="21"/>
      <c r="K117" s="21"/>
      <c r="L117" s="21"/>
    </row>
    <row r="118" spans="1:12" ht="29" x14ac:dyDescent="0.35">
      <c r="A118" s="21" t="s">
        <v>1151</v>
      </c>
      <c r="B118" s="21" t="s">
        <v>1154</v>
      </c>
      <c r="C118" s="21" t="s">
        <v>1155</v>
      </c>
      <c r="D118" s="21"/>
      <c r="E118" s="21" t="s">
        <v>996</v>
      </c>
      <c r="F118" s="21"/>
      <c r="G118" s="21"/>
      <c r="H118" s="21"/>
      <c r="I118" s="21"/>
      <c r="J118" s="21"/>
      <c r="K118" s="21"/>
      <c r="L118" s="21"/>
    </row>
    <row r="119" spans="1:12" ht="29" x14ac:dyDescent="0.35">
      <c r="A119" s="21" t="s">
        <v>1151</v>
      </c>
      <c r="B119" s="21" t="s">
        <v>1156</v>
      </c>
      <c r="C119" s="21" t="s">
        <v>1157</v>
      </c>
      <c r="D119" s="21"/>
      <c r="E119" s="21" t="s">
        <v>996</v>
      </c>
      <c r="F119" s="21"/>
      <c r="G119" s="21"/>
      <c r="H119" s="21"/>
      <c r="I119" s="21"/>
      <c r="J119" s="21"/>
      <c r="K119" s="21"/>
      <c r="L119" s="21"/>
    </row>
    <row r="120" spans="1:12" ht="29" x14ac:dyDescent="0.35">
      <c r="A120" s="21" t="s">
        <v>1151</v>
      </c>
      <c r="B120" s="21" t="s">
        <v>1158</v>
      </c>
      <c r="C120" s="21" t="s">
        <v>1159</v>
      </c>
      <c r="D120" s="21"/>
      <c r="E120" s="21" t="s">
        <v>996</v>
      </c>
      <c r="F120" s="21"/>
      <c r="G120" s="21"/>
      <c r="H120" s="21"/>
      <c r="I120" s="21"/>
      <c r="J120" s="21"/>
      <c r="K120" s="21"/>
      <c r="L120" s="21"/>
    </row>
    <row r="121" spans="1:12" ht="29" x14ac:dyDescent="0.35">
      <c r="A121" s="21" t="s">
        <v>1151</v>
      </c>
      <c r="B121" s="21" t="s">
        <v>1160</v>
      </c>
      <c r="C121" s="21" t="s">
        <v>1161</v>
      </c>
      <c r="D121" s="21"/>
      <c r="E121" s="21" t="s">
        <v>996</v>
      </c>
      <c r="F121" s="21"/>
      <c r="G121" s="21"/>
      <c r="H121" s="21"/>
      <c r="I121" s="21"/>
      <c r="J121" s="21"/>
      <c r="K121" s="21"/>
      <c r="L121" s="21"/>
    </row>
    <row r="122" spans="1:12" ht="29" x14ac:dyDescent="0.35">
      <c r="A122" s="21" t="s">
        <v>1151</v>
      </c>
      <c r="B122" s="21" t="s">
        <v>1162</v>
      </c>
      <c r="C122" s="21" t="s">
        <v>1163</v>
      </c>
      <c r="D122" s="21"/>
      <c r="E122" s="21" t="s">
        <v>996</v>
      </c>
      <c r="F122" s="21"/>
      <c r="G122" s="21"/>
      <c r="H122" s="21"/>
      <c r="I122" s="21"/>
      <c r="J122" s="21"/>
      <c r="K122" s="21"/>
      <c r="L122" s="21"/>
    </row>
    <row r="123" spans="1:12" ht="29" x14ac:dyDescent="0.35">
      <c r="A123" s="21" t="s">
        <v>432</v>
      </c>
      <c r="B123" s="21" t="s">
        <v>1164</v>
      </c>
      <c r="C123" s="21" t="s">
        <v>1165</v>
      </c>
      <c r="D123" s="21"/>
      <c r="E123" s="21" t="s">
        <v>1114</v>
      </c>
      <c r="F123" s="21"/>
      <c r="G123" s="21"/>
      <c r="H123" s="21"/>
      <c r="I123" s="21"/>
      <c r="J123" s="21"/>
      <c r="K123" s="21"/>
      <c r="L123" s="21"/>
    </row>
    <row r="124" spans="1:12" ht="29" x14ac:dyDescent="0.35">
      <c r="A124" s="21" t="s">
        <v>432</v>
      </c>
      <c r="B124" s="21" t="s">
        <v>1166</v>
      </c>
      <c r="C124" s="21" t="s">
        <v>1167</v>
      </c>
      <c r="D124" s="21"/>
      <c r="E124" s="21" t="s">
        <v>1114</v>
      </c>
      <c r="F124" s="21"/>
      <c r="G124" s="21"/>
      <c r="H124" s="21"/>
      <c r="I124" s="21"/>
      <c r="J124" s="21"/>
      <c r="K124" s="21"/>
      <c r="L124" s="21"/>
    </row>
    <row r="125" spans="1:12" ht="29" x14ac:dyDescent="0.35">
      <c r="A125" s="21" t="s">
        <v>432</v>
      </c>
      <c r="B125" s="21" t="s">
        <v>1168</v>
      </c>
      <c r="C125" s="21" t="s">
        <v>1169</v>
      </c>
      <c r="D125" s="21"/>
      <c r="E125" s="21" t="s">
        <v>1114</v>
      </c>
      <c r="F125" s="21"/>
      <c r="G125" s="21"/>
      <c r="H125" s="21"/>
      <c r="I125" s="21"/>
      <c r="J125" s="21"/>
      <c r="K125" s="21"/>
      <c r="L125" s="21"/>
    </row>
    <row r="126" spans="1:12" ht="29" x14ac:dyDescent="0.35">
      <c r="A126" s="21" t="s">
        <v>432</v>
      </c>
      <c r="B126" s="21" t="s">
        <v>1170</v>
      </c>
      <c r="C126" s="21" t="s">
        <v>1171</v>
      </c>
      <c r="D126" s="21"/>
      <c r="E126" s="21" t="s">
        <v>1114</v>
      </c>
      <c r="F126" s="21"/>
      <c r="G126" s="21"/>
      <c r="H126" s="21"/>
      <c r="I126" s="21"/>
      <c r="J126" s="21"/>
      <c r="K126" s="21"/>
      <c r="L126" s="21"/>
    </row>
    <row r="127" spans="1:12" ht="29" x14ac:dyDescent="0.35">
      <c r="A127" s="21" t="s">
        <v>432</v>
      </c>
      <c r="B127" s="21" t="s">
        <v>1172</v>
      </c>
      <c r="C127" s="21" t="s">
        <v>1173</v>
      </c>
      <c r="D127" s="21"/>
      <c r="E127" s="21" t="s">
        <v>1114</v>
      </c>
      <c r="F127" s="21"/>
      <c r="G127" s="21"/>
      <c r="H127" s="21"/>
      <c r="I127" s="21"/>
      <c r="J127" s="21"/>
      <c r="K127" s="21"/>
      <c r="L127" s="21"/>
    </row>
    <row r="128" spans="1:12" ht="29" x14ac:dyDescent="0.35">
      <c r="A128" s="21" t="s">
        <v>432</v>
      </c>
      <c r="B128" s="21" t="s">
        <v>1174</v>
      </c>
      <c r="C128" s="21" t="s">
        <v>1175</v>
      </c>
      <c r="D128" s="21"/>
      <c r="E128" s="21" t="s">
        <v>1114</v>
      </c>
      <c r="F128" s="21"/>
      <c r="G128" s="21"/>
      <c r="H128" s="21"/>
      <c r="I128" s="21"/>
      <c r="J128" s="21"/>
      <c r="K128" s="21"/>
      <c r="L128" s="21"/>
    </row>
    <row r="129" spans="1:12" ht="29" x14ac:dyDescent="0.35">
      <c r="A129" s="21" t="s">
        <v>1176</v>
      </c>
      <c r="B129" s="21" t="s">
        <v>1177</v>
      </c>
      <c r="C129" s="21" t="s">
        <v>1178</v>
      </c>
      <c r="D129" s="21"/>
      <c r="E129" s="21" t="s">
        <v>996</v>
      </c>
      <c r="F129" s="21"/>
      <c r="G129" s="21"/>
      <c r="H129" s="21"/>
      <c r="I129" s="21"/>
      <c r="J129" s="21"/>
      <c r="K129" s="21"/>
      <c r="L129" s="21"/>
    </row>
    <row r="130" spans="1:12" ht="29" x14ac:dyDescent="0.35">
      <c r="A130" s="21" t="s">
        <v>1176</v>
      </c>
      <c r="B130" s="21" t="s">
        <v>1179</v>
      </c>
      <c r="C130" s="21" t="s">
        <v>1180</v>
      </c>
      <c r="D130" s="21"/>
      <c r="E130" s="21" t="s">
        <v>996</v>
      </c>
      <c r="F130" s="21"/>
      <c r="G130" s="21"/>
      <c r="H130" s="21"/>
      <c r="I130" s="21"/>
      <c r="J130" s="21"/>
      <c r="K130" s="21"/>
      <c r="L130" s="21"/>
    </row>
    <row r="131" spans="1:12" ht="29" x14ac:dyDescent="0.35">
      <c r="A131" s="21" t="s">
        <v>1176</v>
      </c>
      <c r="B131" s="21" t="s">
        <v>1181</v>
      </c>
      <c r="C131" s="21" t="s">
        <v>1182</v>
      </c>
      <c r="D131" s="21"/>
      <c r="E131" s="21" t="s">
        <v>996</v>
      </c>
      <c r="F131" s="21"/>
      <c r="G131" s="21"/>
      <c r="H131" s="21"/>
      <c r="I131" s="21"/>
      <c r="J131" s="21"/>
      <c r="K131" s="21"/>
      <c r="L131" s="21"/>
    </row>
    <row r="132" spans="1:12" ht="29" x14ac:dyDescent="0.35">
      <c r="A132" s="21" t="s">
        <v>1176</v>
      </c>
      <c r="B132" s="21" t="s">
        <v>1183</v>
      </c>
      <c r="C132" s="21" t="s">
        <v>1184</v>
      </c>
      <c r="D132" s="21"/>
      <c r="E132" s="21" t="s">
        <v>996</v>
      </c>
      <c r="F132" s="21"/>
      <c r="G132" s="21"/>
      <c r="H132" s="21"/>
      <c r="I132" s="21"/>
      <c r="J132" s="21"/>
      <c r="K132" s="21"/>
      <c r="L132" s="21"/>
    </row>
    <row r="133" spans="1:12" ht="29" x14ac:dyDescent="0.35">
      <c r="A133" s="21" t="s">
        <v>1176</v>
      </c>
      <c r="B133" s="21" t="s">
        <v>1185</v>
      </c>
      <c r="C133" s="21" t="s">
        <v>1186</v>
      </c>
      <c r="D133" s="21"/>
      <c r="E133" s="21" t="s">
        <v>996</v>
      </c>
      <c r="F133" s="21"/>
      <c r="G133" s="21"/>
      <c r="H133" s="21"/>
      <c r="I133" s="21"/>
      <c r="J133" s="21"/>
      <c r="K133" s="21"/>
      <c r="L133" s="21"/>
    </row>
    <row r="134" spans="1:12" ht="29" x14ac:dyDescent="0.35">
      <c r="A134" s="21" t="s">
        <v>1176</v>
      </c>
      <c r="B134" s="21" t="s">
        <v>1187</v>
      </c>
      <c r="C134" s="21" t="s">
        <v>1188</v>
      </c>
      <c r="D134" s="21"/>
      <c r="E134" s="21" t="s">
        <v>996</v>
      </c>
      <c r="F134" s="21"/>
      <c r="G134" s="21"/>
      <c r="H134" s="21"/>
      <c r="I134" s="21"/>
      <c r="J134" s="21"/>
      <c r="K134" s="21"/>
      <c r="L134" s="21"/>
    </row>
    <row r="135" spans="1:12" ht="29" x14ac:dyDescent="0.35">
      <c r="A135" s="21" t="s">
        <v>1189</v>
      </c>
      <c r="B135" s="21" t="s">
        <v>1190</v>
      </c>
      <c r="C135" s="21" t="s">
        <v>1191</v>
      </c>
      <c r="D135" s="21"/>
      <c r="E135" s="21" t="s">
        <v>996</v>
      </c>
      <c r="F135" s="21"/>
      <c r="G135" s="21"/>
      <c r="H135" s="21"/>
      <c r="I135" s="21"/>
      <c r="J135" s="21"/>
      <c r="K135" s="21"/>
      <c r="L135" s="21"/>
    </row>
    <row r="136" spans="1:12" ht="29" x14ac:dyDescent="0.35">
      <c r="A136" s="21" t="s">
        <v>1189</v>
      </c>
      <c r="B136" s="21" t="s">
        <v>1192</v>
      </c>
      <c r="C136" s="21" t="s">
        <v>1193</v>
      </c>
      <c r="D136" s="21"/>
      <c r="E136" s="21" t="s">
        <v>996</v>
      </c>
      <c r="F136" s="21"/>
      <c r="G136" s="21"/>
      <c r="H136" s="21"/>
      <c r="I136" s="21"/>
      <c r="J136" s="21"/>
      <c r="K136" s="21"/>
      <c r="L136" s="21"/>
    </row>
    <row r="137" spans="1:12" ht="29" x14ac:dyDescent="0.35">
      <c r="A137" s="21" t="s">
        <v>1189</v>
      </c>
      <c r="B137" s="21" t="s">
        <v>1194</v>
      </c>
      <c r="C137" s="21" t="s">
        <v>1195</v>
      </c>
      <c r="D137" s="21"/>
      <c r="E137" s="21" t="s">
        <v>996</v>
      </c>
      <c r="F137" s="21"/>
      <c r="G137" s="21"/>
      <c r="H137" s="21"/>
      <c r="I137" s="21"/>
      <c r="J137" s="21"/>
      <c r="K137" s="21"/>
      <c r="L137" s="21"/>
    </row>
    <row r="138" spans="1:12" ht="29" x14ac:dyDescent="0.35">
      <c r="A138" s="21" t="s">
        <v>1189</v>
      </c>
      <c r="B138" s="21" t="s">
        <v>1196</v>
      </c>
      <c r="C138" s="21" t="s">
        <v>1197</v>
      </c>
      <c r="D138" s="21"/>
      <c r="E138" s="21" t="s">
        <v>996</v>
      </c>
      <c r="F138" s="21"/>
      <c r="G138" s="21"/>
      <c r="H138" s="21"/>
      <c r="I138" s="21"/>
      <c r="J138" s="21"/>
      <c r="K138" s="21"/>
      <c r="L138" s="21"/>
    </row>
    <row r="139" spans="1:12" ht="29" x14ac:dyDescent="0.35">
      <c r="A139" s="21" t="s">
        <v>1189</v>
      </c>
      <c r="B139" s="21" t="s">
        <v>1198</v>
      </c>
      <c r="C139" s="21" t="s">
        <v>1199</v>
      </c>
      <c r="D139" s="21"/>
      <c r="E139" s="21" t="s">
        <v>996</v>
      </c>
      <c r="F139" s="21"/>
      <c r="G139" s="21"/>
      <c r="H139" s="21"/>
      <c r="I139" s="21"/>
      <c r="J139" s="21"/>
      <c r="K139" s="21"/>
      <c r="L139" s="21"/>
    </row>
    <row r="140" spans="1:12" ht="29" x14ac:dyDescent="0.35">
      <c r="A140" s="21" t="s">
        <v>1189</v>
      </c>
      <c r="B140" s="21" t="s">
        <v>1200</v>
      </c>
      <c r="C140" s="21" t="s">
        <v>1201</v>
      </c>
      <c r="D140" s="21"/>
      <c r="E140" s="21" t="s">
        <v>996</v>
      </c>
      <c r="F140" s="21"/>
      <c r="G140" s="21"/>
      <c r="H140" s="21"/>
      <c r="I140" s="21"/>
      <c r="J140" s="21"/>
      <c r="K140" s="21"/>
      <c r="L140" s="21"/>
    </row>
    <row r="141" spans="1:12" ht="29" x14ac:dyDescent="0.35">
      <c r="A141" s="21" t="s">
        <v>1202</v>
      </c>
      <c r="B141" s="21" t="s">
        <v>1203</v>
      </c>
      <c r="C141" s="21" t="s">
        <v>1204</v>
      </c>
      <c r="D141" s="21"/>
      <c r="E141" s="21" t="s">
        <v>996</v>
      </c>
      <c r="F141" s="21"/>
      <c r="G141" s="21"/>
      <c r="H141" s="21"/>
      <c r="I141" s="21"/>
      <c r="J141" s="21"/>
      <c r="K141" s="21"/>
      <c r="L141" s="21"/>
    </row>
    <row r="142" spans="1:12" ht="29" x14ac:dyDescent="0.35">
      <c r="A142" s="21" t="s">
        <v>1202</v>
      </c>
      <c r="B142" s="21" t="s">
        <v>1205</v>
      </c>
      <c r="C142" s="21" t="s">
        <v>1206</v>
      </c>
      <c r="D142" s="21"/>
      <c r="E142" s="21" t="s">
        <v>996</v>
      </c>
      <c r="F142" s="21"/>
      <c r="G142" s="21"/>
      <c r="H142" s="21"/>
      <c r="I142" s="21"/>
      <c r="J142" s="21"/>
      <c r="K142" s="21"/>
      <c r="L142" s="21"/>
    </row>
    <row r="143" spans="1:12" ht="29" x14ac:dyDescent="0.35">
      <c r="A143" s="21" t="s">
        <v>1202</v>
      </c>
      <c r="B143" s="21" t="s">
        <v>1207</v>
      </c>
      <c r="C143" s="21" t="s">
        <v>1208</v>
      </c>
      <c r="D143" s="21"/>
      <c r="E143" s="21" t="s">
        <v>996</v>
      </c>
      <c r="F143" s="21"/>
      <c r="G143" s="21"/>
      <c r="H143" s="21"/>
      <c r="I143" s="21"/>
      <c r="J143" s="21"/>
      <c r="K143" s="21"/>
      <c r="L143" s="21"/>
    </row>
    <row r="144" spans="1:12" ht="29" x14ac:dyDescent="0.35">
      <c r="A144" s="21" t="s">
        <v>1202</v>
      </c>
      <c r="B144" s="21" t="s">
        <v>1209</v>
      </c>
      <c r="C144" s="21" t="s">
        <v>1210</v>
      </c>
      <c r="D144" s="21"/>
      <c r="E144" s="21" t="s">
        <v>996</v>
      </c>
      <c r="F144" s="21"/>
      <c r="G144" s="21"/>
      <c r="H144" s="21"/>
      <c r="I144" s="21"/>
      <c r="J144" s="21"/>
      <c r="K144" s="21"/>
      <c r="L144" s="21"/>
    </row>
    <row r="145" spans="1:12" ht="29" x14ac:dyDescent="0.35">
      <c r="A145" s="21" t="s">
        <v>1202</v>
      </c>
      <c r="B145" s="21" t="s">
        <v>1211</v>
      </c>
      <c r="C145" s="21" t="s">
        <v>1212</v>
      </c>
      <c r="D145" s="21"/>
      <c r="E145" s="21" t="s">
        <v>996</v>
      </c>
      <c r="F145" s="21"/>
      <c r="G145" s="21"/>
      <c r="H145" s="21"/>
      <c r="I145" s="21"/>
      <c r="J145" s="21"/>
      <c r="K145" s="21"/>
      <c r="L145" s="21"/>
    </row>
    <row r="146" spans="1:12" ht="29" x14ac:dyDescent="0.35">
      <c r="A146" s="21" t="s">
        <v>1202</v>
      </c>
      <c r="B146" s="21" t="s">
        <v>1213</v>
      </c>
      <c r="C146" s="21" t="s">
        <v>1214</v>
      </c>
      <c r="D146" s="21"/>
      <c r="E146" s="21" t="s">
        <v>996</v>
      </c>
      <c r="F146" s="21"/>
      <c r="G146" s="21"/>
      <c r="H146" s="21"/>
      <c r="I146" s="21"/>
      <c r="J146" s="21"/>
      <c r="K146" s="21"/>
      <c r="L146" s="21"/>
    </row>
    <row r="147" spans="1:12" ht="29" x14ac:dyDescent="0.35">
      <c r="A147" s="21" t="s">
        <v>1215</v>
      </c>
      <c r="B147" s="21" t="s">
        <v>1216</v>
      </c>
      <c r="C147" s="21" t="s">
        <v>1217</v>
      </c>
      <c r="D147" s="21"/>
      <c r="E147" s="21" t="s">
        <v>996</v>
      </c>
      <c r="F147" s="21"/>
      <c r="G147" s="21"/>
      <c r="H147" s="21"/>
      <c r="I147" s="21"/>
      <c r="J147" s="21"/>
      <c r="K147" s="21"/>
      <c r="L147" s="21"/>
    </row>
    <row r="148" spans="1:12" ht="29" x14ac:dyDescent="0.35">
      <c r="A148" s="21" t="s">
        <v>1215</v>
      </c>
      <c r="B148" s="21" t="s">
        <v>1218</v>
      </c>
      <c r="C148" s="21" t="s">
        <v>1219</v>
      </c>
      <c r="D148" s="21"/>
      <c r="E148" s="21" t="s">
        <v>996</v>
      </c>
      <c r="F148" s="21"/>
      <c r="G148" s="21"/>
      <c r="H148" s="21"/>
      <c r="I148" s="21"/>
      <c r="J148" s="21"/>
      <c r="K148" s="21"/>
      <c r="L148" s="21"/>
    </row>
    <row r="149" spans="1:12" ht="29" x14ac:dyDescent="0.35">
      <c r="A149" s="21" t="s">
        <v>1215</v>
      </c>
      <c r="B149" s="21" t="s">
        <v>1220</v>
      </c>
      <c r="C149" s="21" t="s">
        <v>1221</v>
      </c>
      <c r="D149" s="21"/>
      <c r="E149" s="21" t="s">
        <v>996</v>
      </c>
      <c r="F149" s="21"/>
      <c r="G149" s="21"/>
      <c r="H149" s="21"/>
      <c r="I149" s="21"/>
      <c r="J149" s="21"/>
      <c r="K149" s="21"/>
      <c r="L149" s="21"/>
    </row>
    <row r="150" spans="1:12" ht="29" x14ac:dyDescent="0.35">
      <c r="A150" s="21" t="s">
        <v>1215</v>
      </c>
      <c r="B150" s="21" t="s">
        <v>1222</v>
      </c>
      <c r="C150" s="21" t="s">
        <v>1223</v>
      </c>
      <c r="D150" s="21"/>
      <c r="E150" s="21" t="s">
        <v>996</v>
      </c>
      <c r="F150" s="21"/>
      <c r="G150" s="21"/>
      <c r="H150" s="21"/>
      <c r="I150" s="21"/>
      <c r="J150" s="21"/>
      <c r="K150" s="21"/>
      <c r="L150" s="21"/>
    </row>
    <row r="151" spans="1:12" ht="24" customHeight="1" x14ac:dyDescent="0.35">
      <c r="A151" s="133" t="s">
        <v>1215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</row>
    <row r="152" spans="1:12" x14ac:dyDescent="0.35">
      <c r="A152" s="21" t="s">
        <v>1215</v>
      </c>
      <c r="B152" s="21" t="s">
        <v>1224</v>
      </c>
      <c r="C152" s="21" t="s">
        <v>1225</v>
      </c>
      <c r="D152" s="21"/>
      <c r="E152" s="21" t="s">
        <v>996</v>
      </c>
      <c r="F152" s="21"/>
      <c r="G152" s="21"/>
      <c r="H152" s="21"/>
      <c r="I152" s="21"/>
      <c r="J152" s="21"/>
      <c r="K152" s="21"/>
      <c r="L152" s="21"/>
    </row>
    <row r="158" spans="1:12" x14ac:dyDescent="0.35">
      <c r="A158" s="98" t="s">
        <v>1226</v>
      </c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</row>
    <row r="160" spans="1:12" ht="29" x14ac:dyDescent="0.35">
      <c r="A160" s="100" t="s">
        <v>1227</v>
      </c>
      <c r="B160" s="100" t="s">
        <v>1228</v>
      </c>
      <c r="C160" s="100" t="s">
        <v>1229</v>
      </c>
      <c r="D160" s="100" t="s">
        <v>389</v>
      </c>
      <c r="E160" s="100" t="s">
        <v>870</v>
      </c>
      <c r="F160" s="100" t="s">
        <v>390</v>
      </c>
      <c r="G160" s="100" t="s">
        <v>990</v>
      </c>
      <c r="H160" s="100" t="s">
        <v>1230</v>
      </c>
      <c r="I160" s="100"/>
      <c r="J160" s="100"/>
      <c r="K160" s="100"/>
      <c r="L160" s="100"/>
    </row>
    <row r="161" spans="1:8" x14ac:dyDescent="0.35">
      <c r="A161" s="21" t="s">
        <v>1231</v>
      </c>
      <c r="B161" s="21"/>
      <c r="C161" s="21"/>
      <c r="D161" s="21"/>
      <c r="E161" s="21"/>
      <c r="F161" s="21"/>
      <c r="G161" s="21"/>
      <c r="H161" s="21"/>
    </row>
    <row r="162" spans="1:8" x14ac:dyDescent="0.35">
      <c r="A162" s="21" t="s">
        <v>1232</v>
      </c>
      <c r="B162" s="21"/>
      <c r="C162" s="21"/>
      <c r="D162" s="21"/>
      <c r="E162" s="21"/>
      <c r="F162" s="21"/>
      <c r="G162" s="21"/>
      <c r="H162" s="21"/>
    </row>
    <row r="163" spans="1:8" x14ac:dyDescent="0.35">
      <c r="A163" s="21" t="s">
        <v>509</v>
      </c>
      <c r="B163" s="21"/>
      <c r="C163" s="21"/>
      <c r="D163" s="21"/>
      <c r="E163" s="21"/>
      <c r="F163" s="21"/>
      <c r="G163" s="21"/>
      <c r="H163" s="21"/>
    </row>
    <row r="164" spans="1:8" x14ac:dyDescent="0.35">
      <c r="A164" s="21" t="s">
        <v>1233</v>
      </c>
      <c r="B164" s="21"/>
      <c r="C164" s="21"/>
      <c r="D164" s="21"/>
      <c r="E164" s="21"/>
      <c r="F164" s="21"/>
      <c r="G164" s="21"/>
      <c r="H164" s="21"/>
    </row>
    <row r="165" spans="1:8" x14ac:dyDescent="0.35">
      <c r="A165" s="21" t="s">
        <v>1234</v>
      </c>
      <c r="B165" s="21"/>
      <c r="C165" s="21"/>
      <c r="D165" s="21"/>
      <c r="E165" s="21"/>
      <c r="F165" s="21"/>
      <c r="G165" s="21"/>
      <c r="H165" s="21"/>
    </row>
    <row r="166" spans="1:8" x14ac:dyDescent="0.35">
      <c r="A166" s="21" t="s">
        <v>1235</v>
      </c>
      <c r="B166" s="21"/>
      <c r="C166" s="21"/>
      <c r="D166" s="21"/>
      <c r="E166" s="21"/>
      <c r="F166" s="21"/>
      <c r="G166" s="21"/>
      <c r="H166" s="21"/>
    </row>
    <row r="167" spans="1:8" x14ac:dyDescent="0.35">
      <c r="A167" s="21" t="s">
        <v>1236</v>
      </c>
      <c r="B167" s="21"/>
      <c r="C167" s="21"/>
      <c r="D167" s="21"/>
      <c r="E167" s="21"/>
      <c r="F167" s="21"/>
      <c r="G167" s="21"/>
      <c r="H167" s="21"/>
    </row>
    <row r="168" spans="1:8" x14ac:dyDescent="0.35">
      <c r="A168" s="21" t="s">
        <v>1237</v>
      </c>
      <c r="B168" s="21"/>
      <c r="C168" s="21"/>
      <c r="D168" s="21"/>
      <c r="E168" s="21"/>
      <c r="F168" s="21"/>
      <c r="G168" s="21"/>
      <c r="H168" s="21"/>
    </row>
    <row r="169" spans="1:8" x14ac:dyDescent="0.35">
      <c r="A169" s="21" t="s">
        <v>1238</v>
      </c>
      <c r="B169" s="21"/>
      <c r="C169" s="21"/>
      <c r="D169" s="21"/>
      <c r="E169" s="21"/>
      <c r="F169" s="21"/>
      <c r="G169" s="21"/>
      <c r="H169" s="21"/>
    </row>
    <row r="170" spans="1:8" x14ac:dyDescent="0.35">
      <c r="A170" s="21" t="s">
        <v>1239</v>
      </c>
      <c r="B170" s="21"/>
      <c r="C170" s="21"/>
      <c r="D170" s="21"/>
      <c r="E170" s="21"/>
      <c r="F170" s="21"/>
      <c r="G170" s="21"/>
      <c r="H170" s="21"/>
    </row>
    <row r="171" spans="1:8" x14ac:dyDescent="0.35">
      <c r="A171" s="21" t="s">
        <v>1240</v>
      </c>
      <c r="B171" s="21"/>
      <c r="C171" s="21"/>
      <c r="D171" s="21"/>
      <c r="E171" s="21"/>
      <c r="F171" s="21"/>
      <c r="G171" s="21"/>
      <c r="H171" s="21"/>
    </row>
    <row r="172" spans="1:8" x14ac:dyDescent="0.35">
      <c r="A172" s="21" t="s">
        <v>1241</v>
      </c>
      <c r="B172" s="21"/>
      <c r="C172" s="21"/>
      <c r="D172" s="21"/>
      <c r="E172" s="21"/>
      <c r="F172" s="21"/>
      <c r="G172" s="21"/>
      <c r="H172" s="21"/>
    </row>
    <row r="173" spans="1:8" x14ac:dyDescent="0.35">
      <c r="A173" s="21" t="s">
        <v>1242</v>
      </c>
      <c r="B173" s="21"/>
      <c r="C173" s="21"/>
      <c r="D173" s="21"/>
      <c r="E173" s="21"/>
      <c r="F173" s="21"/>
      <c r="G173" s="21"/>
      <c r="H173" s="21"/>
    </row>
    <row r="174" spans="1:8" x14ac:dyDescent="0.35">
      <c r="A174" s="21" t="s">
        <v>1243</v>
      </c>
      <c r="B174" s="21"/>
      <c r="C174" s="21"/>
      <c r="D174" s="21"/>
      <c r="E174" s="21"/>
      <c r="F174" s="21"/>
      <c r="G174" s="21"/>
      <c r="H174" s="21"/>
    </row>
    <row r="175" spans="1:8" x14ac:dyDescent="0.35">
      <c r="A175" s="21" t="s">
        <v>1244</v>
      </c>
      <c r="B175" s="21"/>
      <c r="C175" s="21"/>
      <c r="D175" s="21"/>
      <c r="E175" s="21"/>
      <c r="F175" s="21"/>
      <c r="G175" s="21"/>
      <c r="H175" s="21"/>
    </row>
    <row r="176" spans="1:8" x14ac:dyDescent="0.35">
      <c r="A176" s="21" t="s">
        <v>1245</v>
      </c>
      <c r="B176" s="21"/>
      <c r="C176" s="21"/>
      <c r="D176" s="21"/>
      <c r="E176" s="21"/>
      <c r="F176" s="21"/>
      <c r="G176" s="21"/>
      <c r="H176" s="21"/>
    </row>
    <row r="177" spans="1:12" x14ac:dyDescent="0.35">
      <c r="A177" s="21" t="s">
        <v>1246</v>
      </c>
      <c r="B177" s="21"/>
      <c r="C177" s="21"/>
      <c r="D177" s="21"/>
      <c r="E177" s="21"/>
      <c r="F177" s="21"/>
      <c r="G177" s="21"/>
      <c r="H177" s="21"/>
    </row>
    <row r="178" spans="1:12" x14ac:dyDescent="0.35">
      <c r="A178" s="21" t="s">
        <v>1247</v>
      </c>
      <c r="B178" s="21"/>
      <c r="C178" s="21"/>
      <c r="D178" s="21"/>
      <c r="E178" s="21"/>
      <c r="F178" s="21"/>
      <c r="G178" s="21"/>
      <c r="H178" s="21"/>
    </row>
    <row r="179" spans="1:12" ht="24" customHeight="1" x14ac:dyDescent="0.35">
      <c r="A179" s="133" t="s">
        <v>1248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</row>
    <row r="180" spans="1:12" x14ac:dyDescent="0.35">
      <c r="A180" s="21" t="s">
        <v>1249</v>
      </c>
      <c r="B180" s="21"/>
      <c r="C180" s="21"/>
      <c r="D180" s="21"/>
      <c r="E180" s="21"/>
      <c r="F180" s="21"/>
      <c r="G180" s="21"/>
      <c r="H180" s="21"/>
    </row>
    <row r="186" spans="1:12" x14ac:dyDescent="0.35">
      <c r="A186" s="98" t="s">
        <v>1250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</row>
    <row r="188" spans="1:12" ht="29" x14ac:dyDescent="0.35">
      <c r="A188" s="100" t="s">
        <v>1251</v>
      </c>
      <c r="B188" s="100" t="s">
        <v>1252</v>
      </c>
      <c r="C188" s="100" t="s">
        <v>1253</v>
      </c>
      <c r="D188" s="100" t="s">
        <v>1254</v>
      </c>
      <c r="E188" s="100" t="s">
        <v>870</v>
      </c>
      <c r="F188" s="100" t="s">
        <v>1255</v>
      </c>
      <c r="G188" s="100" t="s">
        <v>338</v>
      </c>
    </row>
    <row r="189" spans="1:12" x14ac:dyDescent="0.35">
      <c r="A189" s="21" t="s">
        <v>428</v>
      </c>
      <c r="B189" s="21"/>
      <c r="C189" s="21"/>
      <c r="D189" s="21"/>
      <c r="E189" s="21"/>
      <c r="F189" s="21"/>
      <c r="G189" s="21"/>
    </row>
    <row r="190" spans="1:12" x14ac:dyDescent="0.35">
      <c r="A190" s="21" t="s">
        <v>582</v>
      </c>
      <c r="B190" s="21"/>
      <c r="C190" s="21"/>
      <c r="D190" s="21"/>
      <c r="E190" s="21"/>
      <c r="F190" s="21"/>
      <c r="G190" s="21"/>
    </row>
    <row r="191" spans="1:12" x14ac:dyDescent="0.35">
      <c r="A191" s="21" t="s">
        <v>435</v>
      </c>
      <c r="B191" s="21"/>
      <c r="C191" s="21"/>
      <c r="D191" s="21"/>
      <c r="E191" s="21"/>
      <c r="F191" s="21"/>
      <c r="G191" s="21"/>
    </row>
    <row r="192" spans="1:12" x14ac:dyDescent="0.35">
      <c r="A192" s="21" t="s">
        <v>93</v>
      </c>
      <c r="B192" s="21"/>
      <c r="C192" s="21"/>
      <c r="D192" s="21"/>
      <c r="E192" s="21"/>
      <c r="F192" s="21"/>
      <c r="G192" s="21"/>
    </row>
    <row r="193" spans="1:12" x14ac:dyDescent="0.35">
      <c r="A193" s="21" t="s">
        <v>431</v>
      </c>
      <c r="B193" s="21"/>
      <c r="C193" s="21"/>
      <c r="D193" s="21"/>
      <c r="E193" s="21"/>
      <c r="F193" s="21"/>
      <c r="G193" s="21"/>
    </row>
    <row r="194" spans="1:12" x14ac:dyDescent="0.35">
      <c r="A194" s="21" t="s">
        <v>97</v>
      </c>
      <c r="B194" s="21"/>
      <c r="C194" s="21"/>
      <c r="D194" s="21"/>
      <c r="E194" s="21"/>
      <c r="F194" s="21"/>
      <c r="G194" s="21"/>
    </row>
    <row r="195" spans="1:12" x14ac:dyDescent="0.35">
      <c r="A195" s="21" t="s">
        <v>100</v>
      </c>
      <c r="B195" s="21"/>
      <c r="C195" s="21"/>
      <c r="D195" s="21"/>
      <c r="E195" s="21"/>
      <c r="F195" s="21"/>
      <c r="G195" s="21"/>
    </row>
    <row r="196" spans="1:12" x14ac:dyDescent="0.35">
      <c r="A196" s="21" t="s">
        <v>1176</v>
      </c>
      <c r="B196" s="21"/>
      <c r="C196" s="21"/>
      <c r="D196" s="21"/>
      <c r="E196" s="21"/>
      <c r="F196" s="21"/>
      <c r="G196" s="21"/>
    </row>
    <row r="197" spans="1:12" x14ac:dyDescent="0.35">
      <c r="A197" s="21" t="s">
        <v>160</v>
      </c>
      <c r="B197" s="21"/>
      <c r="C197" s="21"/>
      <c r="D197" s="21"/>
      <c r="E197" s="21"/>
      <c r="F197" s="21"/>
      <c r="G197" s="21"/>
    </row>
    <row r="198" spans="1:12" x14ac:dyDescent="0.35">
      <c r="A198" s="21" t="s">
        <v>1256</v>
      </c>
      <c r="B198" s="21"/>
      <c r="C198" s="21"/>
      <c r="D198" s="21"/>
      <c r="E198" s="21"/>
      <c r="F198" s="21"/>
      <c r="G198" s="21"/>
    </row>
    <row r="199" spans="1:12" x14ac:dyDescent="0.35">
      <c r="A199" s="21" t="s">
        <v>1257</v>
      </c>
      <c r="B199" s="21"/>
      <c r="C199" s="21"/>
      <c r="D199" s="21"/>
      <c r="E199" s="21"/>
      <c r="F199" s="21"/>
      <c r="G199" s="21"/>
    </row>
    <row r="200" spans="1:12" x14ac:dyDescent="0.35">
      <c r="A200" s="21" t="s">
        <v>1258</v>
      </c>
      <c r="B200" s="21"/>
      <c r="C200" s="21"/>
      <c r="D200" s="21"/>
      <c r="E200" s="21"/>
      <c r="F200" s="21"/>
      <c r="G200" s="21"/>
    </row>
    <row r="201" spans="1:12" x14ac:dyDescent="0.35">
      <c r="A201" s="21" t="s">
        <v>116</v>
      </c>
      <c r="B201" s="21"/>
      <c r="C201" s="21"/>
      <c r="D201" s="21"/>
      <c r="E201" s="21"/>
      <c r="F201" s="21"/>
      <c r="G201" s="21"/>
    </row>
    <row r="202" spans="1:12" x14ac:dyDescent="0.35">
      <c r="A202" s="21" t="s">
        <v>129</v>
      </c>
      <c r="B202" s="21"/>
      <c r="C202" s="21"/>
      <c r="D202" s="21"/>
      <c r="E202" s="21"/>
      <c r="F202" s="21"/>
      <c r="G202" s="21"/>
    </row>
    <row r="203" spans="1:12" x14ac:dyDescent="0.35">
      <c r="A203" s="21" t="s">
        <v>437</v>
      </c>
      <c r="B203" s="21"/>
      <c r="C203" s="21"/>
      <c r="D203" s="21"/>
      <c r="E203" s="21"/>
      <c r="F203" s="21"/>
      <c r="G203" s="21"/>
    </row>
    <row r="204" spans="1:12" x14ac:dyDescent="0.35">
      <c r="A204" s="21" t="s">
        <v>125</v>
      </c>
      <c r="B204" s="21"/>
      <c r="C204" s="21"/>
      <c r="D204" s="21"/>
      <c r="E204" s="21"/>
      <c r="F204" s="21"/>
      <c r="G204" s="21"/>
    </row>
    <row r="205" spans="1:12" x14ac:dyDescent="0.35">
      <c r="A205" s="21" t="s">
        <v>442</v>
      </c>
      <c r="B205" s="21"/>
      <c r="C205" s="21"/>
      <c r="D205" s="21"/>
      <c r="E205" s="21"/>
      <c r="F205" s="21"/>
      <c r="G205" s="21"/>
    </row>
    <row r="206" spans="1:12" x14ac:dyDescent="0.35">
      <c r="A206" s="21" t="s">
        <v>1259</v>
      </c>
      <c r="B206" s="21"/>
      <c r="C206" s="21"/>
      <c r="D206" s="21"/>
      <c r="E206" s="21"/>
      <c r="F206" s="21"/>
      <c r="G206" s="21"/>
    </row>
    <row r="207" spans="1:12" ht="24" customHeight="1" x14ac:dyDescent="0.35">
      <c r="A207" s="133" t="s">
        <v>1260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</row>
    <row r="208" spans="1:12" x14ac:dyDescent="0.35">
      <c r="A208" s="21" t="s">
        <v>439</v>
      </c>
      <c r="B208" s="21"/>
      <c r="C208" s="21"/>
      <c r="D208" s="21"/>
      <c r="E208" s="21"/>
      <c r="F208" s="21"/>
      <c r="G208" s="21"/>
    </row>
    <row r="214" spans="1:12" x14ac:dyDescent="0.35">
      <c r="A214" s="98" t="s">
        <v>1261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</row>
    <row r="216" spans="1:12" x14ac:dyDescent="0.35">
      <c r="A216" s="100" t="s">
        <v>1262</v>
      </c>
      <c r="B216" s="100" t="s">
        <v>1263</v>
      </c>
      <c r="C216" s="100" t="s">
        <v>292</v>
      </c>
      <c r="D216" s="100" t="s">
        <v>371</v>
      </c>
      <c r="E216" s="100" t="s">
        <v>360</v>
      </c>
      <c r="F216" s="100" t="s">
        <v>1264</v>
      </c>
      <c r="G216" s="100" t="s">
        <v>990</v>
      </c>
      <c r="H216" s="100" t="s">
        <v>338</v>
      </c>
    </row>
    <row r="217" spans="1:12" x14ac:dyDescent="0.35">
      <c r="A217" t="s">
        <v>1265</v>
      </c>
    </row>
    <row r="218" spans="1:12" x14ac:dyDescent="0.35">
      <c r="A218" t="s">
        <v>1266</v>
      </c>
    </row>
    <row r="219" spans="1:12" x14ac:dyDescent="0.35">
      <c r="A219" t="s">
        <v>1267</v>
      </c>
    </row>
    <row r="220" spans="1:12" x14ac:dyDescent="0.35">
      <c r="A220" t="s">
        <v>1268</v>
      </c>
    </row>
    <row r="221" spans="1:12" x14ac:dyDescent="0.35">
      <c r="A221" t="s">
        <v>1269</v>
      </c>
    </row>
    <row r="222" spans="1:12" x14ac:dyDescent="0.35">
      <c r="A222" t="s">
        <v>1270</v>
      </c>
    </row>
    <row r="223" spans="1:12" ht="24" customHeight="1" x14ac:dyDescent="0.35">
      <c r="A223" s="129" t="s">
        <v>1271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</row>
    <row r="224" spans="1:12" x14ac:dyDescent="0.35">
      <c r="A224" t="s">
        <v>1272</v>
      </c>
    </row>
    <row r="230" spans="1:12" x14ac:dyDescent="0.35">
      <c r="A230" s="98" t="s">
        <v>1273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2" spans="1:12" ht="29" x14ac:dyDescent="0.35">
      <c r="A232" s="100" t="s">
        <v>1229</v>
      </c>
      <c r="B232" s="100" t="s">
        <v>1274</v>
      </c>
      <c r="C232" s="100" t="s">
        <v>390</v>
      </c>
      <c r="D232" s="100" t="s">
        <v>351</v>
      </c>
      <c r="E232" s="100" t="s">
        <v>352</v>
      </c>
      <c r="F232" s="100" t="s">
        <v>292</v>
      </c>
      <c r="G232" s="100" t="s">
        <v>353</v>
      </c>
      <c r="H232" s="100" t="s">
        <v>338</v>
      </c>
    </row>
    <row r="240" spans="1:12" x14ac:dyDescent="0.3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</row>
    <row r="241" spans="1:12" x14ac:dyDescent="0.3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</row>
    <row r="247" spans="1:12" ht="29" x14ac:dyDescent="0.35">
      <c r="A247" s="106" t="s">
        <v>1275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3"/>
    </row>
    <row r="248" spans="1:12" ht="43.5" x14ac:dyDescent="0.35">
      <c r="A248" s="111" t="s">
        <v>1276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3"/>
    </row>
    <row r="249" spans="1:12" ht="29" x14ac:dyDescent="0.35">
      <c r="A249" s="110" t="s">
        <v>1277</v>
      </c>
      <c r="B249" s="110" t="s">
        <v>1278</v>
      </c>
      <c r="C249" s="110" t="s">
        <v>81</v>
      </c>
      <c r="D249" s="110" t="s">
        <v>615</v>
      </c>
      <c r="E249" s="110" t="s">
        <v>616</v>
      </c>
      <c r="F249" s="110" t="s">
        <v>990</v>
      </c>
      <c r="G249" s="110" t="s">
        <v>1279</v>
      </c>
      <c r="H249" s="110" t="s">
        <v>390</v>
      </c>
      <c r="I249" s="110" t="s">
        <v>351</v>
      </c>
      <c r="J249" s="110" t="s">
        <v>292</v>
      </c>
      <c r="K249" s="110" t="s">
        <v>353</v>
      </c>
      <c r="L249" s="110" t="s">
        <v>619</v>
      </c>
    </row>
    <row r="250" spans="1:12" x14ac:dyDescent="0.35">
      <c r="A250" s="105" t="s">
        <v>1280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x14ac:dyDescent="0.35">
      <c r="A251" s="105" t="s">
        <v>1281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x14ac:dyDescent="0.35">
      <c r="A252" s="105" t="s">
        <v>1282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29" x14ac:dyDescent="0.35">
      <c r="A253" s="105" t="s">
        <v>1283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29" x14ac:dyDescent="0.35">
      <c r="A254" s="105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29" x14ac:dyDescent="0.35">
      <c r="A255" s="105" t="s">
        <v>1285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29" x14ac:dyDescent="0.35">
      <c r="A256" s="105" t="s">
        <v>1286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29" x14ac:dyDescent="0.35">
      <c r="A257" s="105" t="s">
        <v>1287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29" x14ac:dyDescent="0.35">
      <c r="A258" s="105" t="s">
        <v>1288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29" x14ac:dyDescent="0.35">
      <c r="A259" s="105" t="s">
        <v>1289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29" x14ac:dyDescent="0.35">
      <c r="A260" s="105" t="s">
        <v>1290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29" x14ac:dyDescent="0.35">
      <c r="A261" s="105" t="s">
        <v>1291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29" x14ac:dyDescent="0.35">
      <c r="A262" s="105" t="s">
        <v>1292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43.5" x14ac:dyDescent="0.35">
      <c r="A263" s="105" t="s">
        <v>1293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29" x14ac:dyDescent="0.35">
      <c r="A264" s="105" t="s">
        <v>1294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x14ac:dyDescent="0.35">
      <c r="A265" s="105" t="s">
        <v>1295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</sheetData>
  <mergeCells count="9">
    <mergeCell ref="A1:L1"/>
    <mergeCell ref="A17:L17"/>
    <mergeCell ref="A241:L241"/>
    <mergeCell ref="A223:L223"/>
    <mergeCell ref="A35:L35"/>
    <mergeCell ref="A240:L240"/>
    <mergeCell ref="A179:L179"/>
    <mergeCell ref="A151:L151"/>
    <mergeCell ref="A207:L207"/>
  </mergeCells>
  <conditionalFormatting sqref="B12">
    <cfRule type="expression" dxfId="209" priority="12">
      <formula>B12="Green"</formula>
    </cfRule>
    <cfRule type="expression" dxfId="208" priority="13">
      <formula>B12="Amber"</formula>
    </cfRule>
    <cfRule type="expression" dxfId="207" priority="14">
      <formula>B12="Red"</formula>
    </cfRule>
  </conditionalFormatting>
  <conditionalFormatting sqref="B182:B201">
    <cfRule type="expression" dxfId="206" priority="3">
      <formula>B182="Pass"</formula>
    </cfRule>
  </conditionalFormatting>
  <conditionalFormatting sqref="C20:C43">
    <cfRule type="expression" dxfId="205" priority="8">
      <formula>C20="Green"</formula>
    </cfRule>
    <cfRule type="expression" dxfId="204" priority="9">
      <formula>C20="Amber"</formula>
    </cfRule>
    <cfRule type="expression" dxfId="203" priority="10">
      <formula>C20="Red"</formula>
    </cfRule>
    <cfRule type="expression" dxfId="202" priority="11">
      <formula>C20="N/A"</formula>
    </cfRule>
  </conditionalFormatting>
  <conditionalFormatting sqref="C20:C45">
    <cfRule type="expression" dxfId="201" priority="4">
      <formula>ISNUMBER(SEARCH("Green",C20))</formula>
    </cfRule>
    <cfRule type="expression" dxfId="200" priority="5">
      <formula>ISNUMBER(SEARCH("Amber",C20))</formula>
    </cfRule>
    <cfRule type="expression" dxfId="199" priority="6">
      <formula>ISNUMBER(SEARCH("Red",C20))</formula>
    </cfRule>
    <cfRule type="expression" dxfId="198" priority="7">
      <formula>C20="N/A"</formula>
    </cfRule>
  </conditionalFormatting>
  <conditionalFormatting sqref="E154:E173">
    <cfRule type="expression" dxfId="197" priority="2">
      <formula>E154="Pass"</formula>
    </cfRule>
  </conditionalFormatting>
  <conditionalFormatting sqref="H38:H145">
    <cfRule type="expression" dxfId="196" priority="1">
      <formula>H38="Pass"</formula>
    </cfRule>
  </conditionalFormatting>
  <dataValidations count="8">
    <dataValidation type="list" sqref="H38:H145 E154:E173" xr:uid="{00000000-0002-0000-3100-000000000000}">
      <formula1>"Pass,Developing,Fail,N/A"</formula1>
    </dataValidation>
    <dataValidation type="list" sqref="F38:F145" xr:uid="{00000000-0002-0000-3100-000001000000}">
      <formula1>"1,2,3,4,5"</formula1>
    </dataValidation>
    <dataValidation type="list" sqref="B182:B201" xr:uid="{00000000-0002-0000-3100-000003000000}">
      <formula1>"Complete,In Progress,Not Started,N/A"</formula1>
    </dataValidation>
    <dataValidation type="list" allowBlank="1" sqref="C243:E258" xr:uid="{00000000-0002-0000-3100-000004000000}">
      <formula1>"Yes,No,N/A"</formula1>
    </dataValidation>
    <dataValidation type="list" allowBlank="1" sqref="C20:C45" xr:uid="{00000000-0002-0000-3100-000005000000}">
      <formula1>"Green - Received,Amber - Awaiting,Red - Missing,N/A"</formula1>
    </dataValidation>
    <dataValidation type="list" sqref="C20:C43" xr:uid="{00000000-0002-0000-3100-000006000000}">
      <formula1>"Green,Amber,Red,N/A"</formula1>
    </dataValidation>
    <dataValidation type="list" sqref="F42:F230" xr:uid="{00000000-0002-0000-3100-000007000000}">
      <formula1>"1,2,3,4,5,N/A"</formula1>
    </dataValidation>
    <dataValidation type="list" sqref="H42:H230 H235:H255" xr:uid="{00000000-0002-0000-3100-000008000000}">
      <formula1>"Pass,Fail,Not Assessed,N/A"</formula1>
    </dataValidation>
  </dataValidation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L265"/>
  <sheetViews>
    <sheetView workbookViewId="0"/>
  </sheetViews>
  <sheetFormatPr defaultRowHeight="14.5" x14ac:dyDescent="0.35"/>
  <cols>
    <col min="1" max="1" width="42" customWidth="1"/>
    <col min="2" max="2" width="36" customWidth="1"/>
    <col min="3" max="3" width="52" customWidth="1"/>
    <col min="4" max="4" width="34" customWidth="1"/>
    <col min="5" max="5" width="30" customWidth="1"/>
    <col min="6" max="6" width="12" customWidth="1"/>
    <col min="7" max="7" width="16" customWidth="1"/>
    <col min="8" max="8" width="14" customWidth="1"/>
    <col min="9" max="9" width="28" customWidth="1"/>
    <col min="10" max="12" width="14" customWidth="1"/>
  </cols>
  <sheetData>
    <row r="1" spans="1:12" ht="30" customHeight="1" x14ac:dyDescent="0.35">
      <c r="A1" s="134" t="s">
        <v>1306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x14ac:dyDescent="0.35">
      <c r="A2" t="s">
        <v>928</v>
      </c>
      <c r="D2" t="s">
        <v>929</v>
      </c>
    </row>
    <row r="4" spans="1:12" x14ac:dyDescent="0.35">
      <c r="A4" s="101" t="s">
        <v>882</v>
      </c>
      <c r="B4" s="101" t="str">
        <f>IF('Induction Employee Register'!A15="","",'Induction Employee Register'!A15)</f>
        <v>SW012</v>
      </c>
      <c r="D4" t="s">
        <v>930</v>
      </c>
      <c r="E4" t="s">
        <v>931</v>
      </c>
      <c r="F4" t="s">
        <v>932</v>
      </c>
      <c r="G4" t="s">
        <v>933</v>
      </c>
      <c r="H4" t="s">
        <v>58</v>
      </c>
      <c r="I4" t="s">
        <v>934</v>
      </c>
      <c r="J4" t="s">
        <v>54</v>
      </c>
      <c r="K4" t="s">
        <v>935</v>
      </c>
      <c r="L4" t="s">
        <v>43</v>
      </c>
    </row>
    <row r="5" spans="1:12" x14ac:dyDescent="0.35">
      <c r="A5" s="101" t="s">
        <v>883</v>
      </c>
      <c r="B5" s="101" t="str">
        <f>IF('Induction Employee Register'!B15="","",'Induction Employee Register'!B15)</f>
        <v/>
      </c>
      <c r="D5" t="s">
        <v>936</v>
      </c>
    </row>
    <row r="6" spans="1:12" x14ac:dyDescent="0.35">
      <c r="A6" s="101" t="s">
        <v>322</v>
      </c>
      <c r="B6" s="101" t="str">
        <f>IF('Induction Employee Register'!C15="","",'Induction Employee Register'!C15)</f>
        <v/>
      </c>
      <c r="D6" t="s">
        <v>937</v>
      </c>
      <c r="E6" t="s">
        <v>938</v>
      </c>
    </row>
    <row r="7" spans="1:12" x14ac:dyDescent="0.35">
      <c r="A7" s="101" t="s">
        <v>323</v>
      </c>
      <c r="B7" s="126" t="str">
        <f>IF('Induction Employee Register'!D15="","",'Induction Employee Register'!D15)</f>
        <v/>
      </c>
      <c r="D7" t="s">
        <v>939</v>
      </c>
      <c r="E7" t="s">
        <v>940</v>
      </c>
    </row>
    <row r="8" spans="1:12" x14ac:dyDescent="0.35">
      <c r="A8" s="101" t="s">
        <v>886</v>
      </c>
      <c r="B8" s="125">
        <f>IFERROR(COUNTIF($H$42:$H$230,"Pass")/(COUNTIF($H$42:$H$230,"Pass")+COUNTIF($H$42:$H$230,"Fail")+COUNTIF($H$42:$H$230,"Not Assessed")),0)</f>
        <v>0</v>
      </c>
      <c r="D8" t="s">
        <v>6</v>
      </c>
      <c r="E8" t="s">
        <v>941</v>
      </c>
    </row>
    <row r="9" spans="1:12" x14ac:dyDescent="0.35">
      <c r="A9" s="101" t="s">
        <v>887</v>
      </c>
      <c r="B9" s="125">
        <f>IFERROR(COUNTIF($H$235:$H$255,"Pass")/(COUNTIF($H$235:$H$255,"Pass")+COUNTIF($H$235:$H$255,"Fail")+COUNTIF($H$235:$H$255,"Not Assessed")),0)</f>
        <v>0</v>
      </c>
      <c r="D9" t="s">
        <v>942</v>
      </c>
      <c r="E9" t="s">
        <v>943</v>
      </c>
    </row>
    <row r="10" spans="1:12" x14ac:dyDescent="0.35">
      <c r="A10" s="101" t="s">
        <v>888</v>
      </c>
      <c r="B10" s="125" t="str">
        <f>IFERROR(IF($B$5="","",IF(INDEX('Mandatory Training Dashboard'!$D$5:$D$53,MATCH($B$5,'Mandatory Training Dashboard'!$A$5:$A$53,0))&gt;1,INDEX('Mandatory Training Dashboard'!$D$5:$D$53,MATCH($B$5,'Mandatory Training Dashboard'!$A$5:$A$53,0))/100,INDEX('Mandatory Training Dashboard'!$D$5:$D$53,MATCH($B$5,'Mandatory Training Dashboard'!$A$5:$A$53,0)))),0)</f>
        <v/>
      </c>
      <c r="D10" t="s">
        <v>944</v>
      </c>
      <c r="E10" t="s">
        <v>945</v>
      </c>
    </row>
    <row r="11" spans="1:12" x14ac:dyDescent="0.35">
      <c r="A11" s="101" t="s">
        <v>893</v>
      </c>
      <c r="B11" s="125">
        <f>IFERROR(AVERAGE(B8:B10),0)</f>
        <v>0</v>
      </c>
      <c r="D11" t="s">
        <v>946</v>
      </c>
      <c r="E11" t="s">
        <v>947</v>
      </c>
    </row>
    <row r="12" spans="1:12" x14ac:dyDescent="0.35">
      <c r="A12" s="101" t="s">
        <v>948</v>
      </c>
      <c r="B12" s="101" t="str">
        <f>IF(B11&gt;=0.9,"Green",IF(B11&gt;=0.75,"Amber","Red"))</f>
        <v>Red</v>
      </c>
      <c r="D12" t="s">
        <v>949</v>
      </c>
      <c r="E12" t="s">
        <v>950</v>
      </c>
    </row>
    <row r="13" spans="1:12" x14ac:dyDescent="0.35">
      <c r="A13" s="101" t="s">
        <v>891</v>
      </c>
      <c r="B13" s="101">
        <f>IF('Induction Employee Register'!N15="","",'Induction Employee Register'!N15)</f>
        <v>0</v>
      </c>
      <c r="D13" t="s">
        <v>951</v>
      </c>
      <c r="E13" t="s">
        <v>952</v>
      </c>
    </row>
    <row r="14" spans="1:12" x14ac:dyDescent="0.35">
      <c r="A14" s="101" t="s">
        <v>892</v>
      </c>
      <c r="B14" s="101" t="str">
        <f>IF('Induction Employee Register'!O15="","",'Induction Employee Register'!O15)</f>
        <v/>
      </c>
    </row>
    <row r="17" spans="1:12" ht="24" customHeight="1" x14ac:dyDescent="0.35">
      <c r="A17" s="135" t="s">
        <v>953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9" spans="1:12" ht="29" x14ac:dyDescent="0.35">
      <c r="A19" s="116" t="s">
        <v>954</v>
      </c>
      <c r="B19" s="116" t="s">
        <v>955</v>
      </c>
      <c r="C19" s="116" t="s">
        <v>956</v>
      </c>
      <c r="D19" s="116" t="s">
        <v>957</v>
      </c>
      <c r="E19" s="116" t="s">
        <v>958</v>
      </c>
      <c r="F19" s="116" t="s">
        <v>353</v>
      </c>
      <c r="G19" s="116" t="s">
        <v>335</v>
      </c>
      <c r="H19" s="116" t="s">
        <v>338</v>
      </c>
      <c r="I19" s="117" t="s">
        <v>959</v>
      </c>
      <c r="J19" t="s">
        <v>960</v>
      </c>
      <c r="K19" t="s">
        <v>300</v>
      </c>
      <c r="L19" t="s">
        <v>961</v>
      </c>
    </row>
    <row r="20" spans="1:12" x14ac:dyDescent="0.35">
      <c r="A20" s="118" t="s">
        <v>962</v>
      </c>
      <c r="B20" s="118" t="s">
        <v>81</v>
      </c>
      <c r="C20" s="118"/>
      <c r="D20" s="127"/>
      <c r="E20" s="127"/>
      <c r="F20" s="118"/>
      <c r="G20" s="118"/>
      <c r="H20" s="118"/>
      <c r="J20" t="s">
        <v>310</v>
      </c>
      <c r="K20" t="str">
        <f>IF('Induction Employee Register'!W15="","",'Induction Employee Register'!W15)</f>
        <v/>
      </c>
      <c r="L20" t="s">
        <v>963</v>
      </c>
    </row>
    <row r="21" spans="1:12" x14ac:dyDescent="0.35">
      <c r="A21" s="118" t="s">
        <v>964</v>
      </c>
      <c r="B21" s="118" t="s">
        <v>81</v>
      </c>
      <c r="C21" s="118"/>
      <c r="D21" s="127"/>
      <c r="E21" s="127"/>
      <c r="F21" s="118"/>
      <c r="G21" s="118"/>
      <c r="H21" s="118"/>
      <c r="J21" t="s">
        <v>311</v>
      </c>
      <c r="K21" t="str">
        <f>IF('Induction Employee Register'!X15="","",'Induction Employee Register'!X15)</f>
        <v/>
      </c>
      <c r="L21" t="s">
        <v>965</v>
      </c>
    </row>
    <row r="22" spans="1:12" x14ac:dyDescent="0.35">
      <c r="A22" s="118" t="s">
        <v>966</v>
      </c>
      <c r="B22" s="118" t="s">
        <v>81</v>
      </c>
      <c r="C22" s="118"/>
      <c r="D22" s="127"/>
      <c r="E22" s="127"/>
      <c r="F22" s="118"/>
      <c r="G22" s="118"/>
      <c r="H22" s="118"/>
      <c r="J22" t="s">
        <v>312</v>
      </c>
      <c r="K22" t="str">
        <f>IF('Induction Employee Register'!Y15="","",'Induction Employee Register'!Y15)</f>
        <v/>
      </c>
      <c r="L22" t="s">
        <v>967</v>
      </c>
    </row>
    <row r="23" spans="1:12" x14ac:dyDescent="0.35">
      <c r="A23" s="118" t="s">
        <v>52</v>
      </c>
      <c r="B23" s="118" t="s">
        <v>81</v>
      </c>
      <c r="C23" s="118"/>
      <c r="D23" s="127"/>
      <c r="E23" s="127"/>
      <c r="F23" s="118"/>
      <c r="G23" s="118"/>
      <c r="H23" s="118"/>
      <c r="J23" t="s">
        <v>313</v>
      </c>
      <c r="K23" t="str">
        <f>IF('Induction Employee Register'!Z15="","",'Induction Employee Register'!Z15)</f>
        <v/>
      </c>
      <c r="L23" t="s">
        <v>968</v>
      </c>
    </row>
    <row r="24" spans="1:12" x14ac:dyDescent="0.35">
      <c r="A24" s="118" t="s">
        <v>50</v>
      </c>
      <c r="B24" s="118" t="s">
        <v>81</v>
      </c>
      <c r="C24" s="118"/>
      <c r="D24" s="127"/>
      <c r="E24" s="127"/>
      <c r="F24" s="118"/>
      <c r="G24" s="118"/>
      <c r="H24" s="118"/>
      <c r="J24" t="s">
        <v>314</v>
      </c>
      <c r="K24" t="str">
        <f>IF('Induction Employee Register'!AA15="","",'Induction Employee Register'!AA15)</f>
        <v/>
      </c>
      <c r="L24" t="s">
        <v>968</v>
      </c>
    </row>
    <row r="25" spans="1:12" x14ac:dyDescent="0.35">
      <c r="A25" s="118" t="s">
        <v>329</v>
      </c>
      <c r="B25" s="118" t="s">
        <v>81</v>
      </c>
      <c r="C25" s="118"/>
      <c r="D25" s="127"/>
      <c r="E25" s="127"/>
      <c r="F25" s="118"/>
      <c r="G25" s="118"/>
      <c r="H25" s="118"/>
      <c r="J25" t="s">
        <v>315</v>
      </c>
      <c r="K25" t="str">
        <f>IF('Induction Employee Register'!AB15="","",'Induction Employee Register'!AB15)</f>
        <v/>
      </c>
      <c r="L25" t="s">
        <v>967</v>
      </c>
    </row>
    <row r="26" spans="1:12" x14ac:dyDescent="0.35">
      <c r="A26" s="118" t="s">
        <v>969</v>
      </c>
      <c r="B26" s="118" t="s">
        <v>81</v>
      </c>
      <c r="C26" s="118"/>
      <c r="D26" s="127"/>
      <c r="E26" s="127"/>
      <c r="F26" s="118"/>
      <c r="G26" s="118"/>
      <c r="H26" s="118"/>
      <c r="J26" t="s">
        <v>316</v>
      </c>
      <c r="K26" t="str">
        <f>IF('Induction Employee Register'!AC15="","",'Induction Employee Register'!AC15)</f>
        <v/>
      </c>
      <c r="L26" t="s">
        <v>967</v>
      </c>
    </row>
    <row r="27" spans="1:12" x14ac:dyDescent="0.35">
      <c r="A27" s="118" t="s">
        <v>970</v>
      </c>
      <c r="B27" s="118" t="s">
        <v>81</v>
      </c>
      <c r="C27" s="118"/>
      <c r="D27" s="127"/>
      <c r="E27" s="127"/>
      <c r="F27" s="118"/>
      <c r="G27" s="118"/>
      <c r="H27" s="118"/>
    </row>
    <row r="28" spans="1:12" x14ac:dyDescent="0.35">
      <c r="A28" s="118" t="s">
        <v>971</v>
      </c>
      <c r="B28" s="118" t="s">
        <v>81</v>
      </c>
      <c r="C28" s="118"/>
      <c r="D28" s="127"/>
      <c r="E28" s="127"/>
      <c r="F28" s="118"/>
      <c r="G28" s="118"/>
      <c r="H28" s="118"/>
    </row>
    <row r="29" spans="1:12" x14ac:dyDescent="0.35">
      <c r="A29" s="118" t="s">
        <v>972</v>
      </c>
      <c r="B29" s="118" t="s">
        <v>81</v>
      </c>
      <c r="C29" s="118"/>
      <c r="D29" s="127"/>
      <c r="E29" s="127"/>
      <c r="F29" s="118"/>
      <c r="G29" s="118"/>
      <c r="H29" s="118"/>
    </row>
    <row r="30" spans="1:12" x14ac:dyDescent="0.35">
      <c r="A30" s="118" t="s">
        <v>973</v>
      </c>
      <c r="B30" s="118" t="s">
        <v>81</v>
      </c>
      <c r="C30" s="118"/>
      <c r="D30" s="127"/>
      <c r="E30" s="127"/>
      <c r="F30" s="118"/>
      <c r="G30" s="118"/>
      <c r="H30" s="118"/>
    </row>
    <row r="31" spans="1:12" x14ac:dyDescent="0.35">
      <c r="A31" s="118" t="s">
        <v>974</v>
      </c>
      <c r="B31" s="118" t="s">
        <v>81</v>
      </c>
      <c r="C31" s="118"/>
      <c r="D31" s="127"/>
      <c r="E31" s="127"/>
      <c r="F31" s="118"/>
      <c r="G31" s="118"/>
      <c r="H31" s="118"/>
    </row>
    <row r="32" spans="1:12" x14ac:dyDescent="0.35">
      <c r="A32" s="118" t="s">
        <v>975</v>
      </c>
      <c r="B32" s="118" t="s">
        <v>81</v>
      </c>
      <c r="C32" s="118"/>
      <c r="D32" s="127"/>
      <c r="E32" s="127"/>
      <c r="F32" s="118"/>
      <c r="G32" s="118"/>
      <c r="H32" s="118"/>
    </row>
    <row r="33" spans="1:12" x14ac:dyDescent="0.35">
      <c r="A33" s="118" t="s">
        <v>54</v>
      </c>
      <c r="B33" s="118" t="s">
        <v>81</v>
      </c>
      <c r="C33" s="118"/>
      <c r="D33" s="127"/>
      <c r="E33" s="127"/>
      <c r="F33" s="118"/>
      <c r="G33" s="118"/>
      <c r="H33" s="118"/>
    </row>
    <row r="34" spans="1:12" x14ac:dyDescent="0.35">
      <c r="A34" s="119" t="s">
        <v>976</v>
      </c>
      <c r="B34" s="119" t="s">
        <v>81</v>
      </c>
      <c r="C34" s="119"/>
      <c r="D34" s="127"/>
      <c r="E34" s="127"/>
      <c r="F34" s="119"/>
      <c r="G34" s="119"/>
      <c r="H34" s="119"/>
    </row>
    <row r="35" spans="1:12" ht="24" customHeight="1" x14ac:dyDescent="0.35">
      <c r="A35" s="130" t="s">
        <v>977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</row>
    <row r="36" spans="1:12" x14ac:dyDescent="0.35">
      <c r="A36" s="119" t="s">
        <v>978</v>
      </c>
      <c r="B36" s="119" t="s">
        <v>81</v>
      </c>
      <c r="C36" s="119"/>
      <c r="D36" s="127"/>
      <c r="E36" s="127"/>
      <c r="F36" s="119"/>
      <c r="G36" s="119"/>
      <c r="H36" s="119"/>
    </row>
    <row r="37" spans="1:12" x14ac:dyDescent="0.35">
      <c r="A37" s="119" t="s">
        <v>979</v>
      </c>
      <c r="B37" s="119" t="s">
        <v>81</v>
      </c>
      <c r="C37" s="119"/>
      <c r="D37" s="127"/>
      <c r="E37" s="127"/>
      <c r="F37" s="119"/>
      <c r="G37" s="119"/>
      <c r="H37" s="119"/>
    </row>
    <row r="38" spans="1:12" x14ac:dyDescent="0.35">
      <c r="A38" s="119" t="s">
        <v>980</v>
      </c>
      <c r="B38" s="119" t="s">
        <v>81</v>
      </c>
      <c r="C38" s="119"/>
      <c r="D38" s="127"/>
      <c r="E38" s="127"/>
      <c r="F38" s="119"/>
      <c r="G38" s="119"/>
      <c r="H38" s="119"/>
    </row>
    <row r="39" spans="1:12" x14ac:dyDescent="0.35">
      <c r="A39" s="119" t="s">
        <v>981</v>
      </c>
      <c r="B39" s="119" t="s">
        <v>81</v>
      </c>
      <c r="C39" s="119"/>
      <c r="D39" s="127"/>
      <c r="E39" s="127"/>
      <c r="F39" s="119"/>
      <c r="G39" s="119"/>
      <c r="H39" s="119"/>
    </row>
    <row r="40" spans="1:12" x14ac:dyDescent="0.35">
      <c r="A40" s="119" t="s">
        <v>982</v>
      </c>
      <c r="B40" s="119" t="s">
        <v>81</v>
      </c>
      <c r="C40" s="119"/>
      <c r="D40" s="127"/>
      <c r="E40" s="127"/>
      <c r="F40" s="119"/>
      <c r="G40" s="119"/>
      <c r="H40" s="119"/>
    </row>
    <row r="41" spans="1:12" x14ac:dyDescent="0.35">
      <c r="A41" s="118"/>
      <c r="B41" s="118"/>
      <c r="C41" s="118"/>
      <c r="D41" s="127"/>
      <c r="E41" s="127"/>
      <c r="F41" s="118"/>
      <c r="G41" s="118"/>
      <c r="H41" s="118"/>
    </row>
    <row r="42" spans="1:12" x14ac:dyDescent="0.35">
      <c r="A42" s="120" t="s">
        <v>983</v>
      </c>
      <c r="B42" s="118"/>
      <c r="C42" s="118"/>
      <c r="D42" s="127"/>
      <c r="E42" s="127"/>
      <c r="F42" s="118"/>
      <c r="G42" s="118"/>
      <c r="H42" s="118"/>
      <c r="I42" s="96"/>
      <c r="J42" s="96"/>
      <c r="K42" s="96"/>
      <c r="L42" s="96"/>
    </row>
    <row r="43" spans="1:12" x14ac:dyDescent="0.35">
      <c r="A43" s="118"/>
      <c r="B43" s="118"/>
      <c r="C43" s="118"/>
      <c r="D43" s="127"/>
      <c r="E43" s="127"/>
      <c r="F43" s="118"/>
      <c r="G43" s="118"/>
      <c r="H43" s="118"/>
    </row>
    <row r="44" spans="1:12" ht="29" x14ac:dyDescent="0.35">
      <c r="A44" s="116" t="s">
        <v>984</v>
      </c>
      <c r="B44" s="116" t="s">
        <v>985</v>
      </c>
      <c r="C44" s="116" t="s">
        <v>986</v>
      </c>
      <c r="D44" s="116" t="s">
        <v>987</v>
      </c>
      <c r="E44" s="116" t="s">
        <v>988</v>
      </c>
      <c r="F44" s="116" t="s">
        <v>989</v>
      </c>
      <c r="G44" s="116" t="s">
        <v>389</v>
      </c>
      <c r="H44" s="116" t="s">
        <v>870</v>
      </c>
      <c r="I44" s="100" t="s">
        <v>390</v>
      </c>
      <c r="J44" s="100" t="s">
        <v>990</v>
      </c>
      <c r="K44" s="100" t="s">
        <v>991</v>
      </c>
      <c r="L44" s="100" t="s">
        <v>992</v>
      </c>
    </row>
    <row r="45" spans="1:12" ht="29" x14ac:dyDescent="0.35">
      <c r="A45" s="121" t="s">
        <v>993</v>
      </c>
      <c r="B45" s="121" t="s">
        <v>994</v>
      </c>
      <c r="C45" s="121" t="s">
        <v>995</v>
      </c>
      <c r="D45" s="121"/>
      <c r="E45" s="121" t="s">
        <v>996</v>
      </c>
      <c r="F45" s="121"/>
      <c r="G45" s="121"/>
      <c r="H45" s="121"/>
      <c r="I45" s="21"/>
      <c r="J45" s="21"/>
      <c r="K45" s="21"/>
      <c r="L45" s="21"/>
    </row>
    <row r="46" spans="1:12" ht="29" x14ac:dyDescent="0.35">
      <c r="A46" s="21" t="s">
        <v>993</v>
      </c>
      <c r="B46" s="21" t="s">
        <v>997</v>
      </c>
      <c r="C46" s="21" t="s">
        <v>998</v>
      </c>
      <c r="D46" s="21"/>
      <c r="E46" s="21" t="s">
        <v>996</v>
      </c>
      <c r="F46" s="21"/>
      <c r="G46" s="21"/>
      <c r="H46" s="21"/>
      <c r="I46" s="21"/>
      <c r="J46" s="21"/>
      <c r="K46" s="21"/>
      <c r="L46" s="21"/>
    </row>
    <row r="47" spans="1:12" ht="29" x14ac:dyDescent="0.35">
      <c r="A47" s="21" t="s">
        <v>993</v>
      </c>
      <c r="B47" s="21" t="s">
        <v>999</v>
      </c>
      <c r="C47" s="21" t="s">
        <v>1000</v>
      </c>
      <c r="D47" s="21"/>
      <c r="E47" s="21" t="s">
        <v>996</v>
      </c>
      <c r="F47" s="21"/>
      <c r="G47" s="21"/>
      <c r="H47" s="21"/>
      <c r="I47" s="21"/>
      <c r="J47" s="21"/>
      <c r="K47" s="21"/>
      <c r="L47" s="21"/>
    </row>
    <row r="48" spans="1:12" ht="29" x14ac:dyDescent="0.35">
      <c r="A48" s="21" t="s">
        <v>993</v>
      </c>
      <c r="B48" s="21" t="s">
        <v>1001</v>
      </c>
      <c r="C48" s="21" t="s">
        <v>1002</v>
      </c>
      <c r="D48" s="21"/>
      <c r="E48" s="21" t="s">
        <v>996</v>
      </c>
      <c r="F48" s="21"/>
      <c r="G48" s="21"/>
      <c r="H48" s="21"/>
      <c r="I48" s="21"/>
      <c r="J48" s="21"/>
      <c r="K48" s="21"/>
      <c r="L48" s="21"/>
    </row>
    <row r="49" spans="1:12" ht="43.5" x14ac:dyDescent="0.35">
      <c r="A49" s="21" t="s">
        <v>993</v>
      </c>
      <c r="B49" s="21" t="s">
        <v>1003</v>
      </c>
      <c r="C49" s="21" t="s">
        <v>1004</v>
      </c>
      <c r="D49" s="21"/>
      <c r="E49" s="21" t="s">
        <v>996</v>
      </c>
      <c r="F49" s="21"/>
      <c r="G49" s="21"/>
      <c r="H49" s="21"/>
      <c r="I49" s="21"/>
      <c r="J49" s="21"/>
      <c r="K49" s="21"/>
      <c r="L49" s="21"/>
    </row>
    <row r="50" spans="1:12" ht="29" x14ac:dyDescent="0.35">
      <c r="A50" s="21" t="s">
        <v>993</v>
      </c>
      <c r="B50" s="21" t="s">
        <v>1005</v>
      </c>
      <c r="C50" s="21" t="s">
        <v>1006</v>
      </c>
      <c r="D50" s="21"/>
      <c r="E50" s="21" t="s">
        <v>996</v>
      </c>
      <c r="F50" s="21"/>
      <c r="G50" s="21"/>
      <c r="H50" s="21"/>
      <c r="I50" s="21"/>
      <c r="J50" s="21"/>
      <c r="K50" s="21"/>
      <c r="L50" s="21"/>
    </row>
    <row r="51" spans="1:12" ht="43.5" x14ac:dyDescent="0.35">
      <c r="A51" s="21" t="s">
        <v>1007</v>
      </c>
      <c r="B51" s="21" t="s">
        <v>1008</v>
      </c>
      <c r="C51" s="21" t="s">
        <v>1009</v>
      </c>
      <c r="D51" s="21"/>
      <c r="E51" s="21" t="s">
        <v>996</v>
      </c>
      <c r="F51" s="21"/>
      <c r="G51" s="21"/>
      <c r="H51" s="21"/>
      <c r="I51" s="21"/>
      <c r="J51" s="21"/>
      <c r="K51" s="21"/>
      <c r="L51" s="21"/>
    </row>
    <row r="52" spans="1:12" ht="29" x14ac:dyDescent="0.35">
      <c r="A52" s="21" t="s">
        <v>1007</v>
      </c>
      <c r="B52" s="21" t="s">
        <v>1010</v>
      </c>
      <c r="C52" s="21" t="s">
        <v>1011</v>
      </c>
      <c r="D52" s="21"/>
      <c r="E52" s="21" t="s">
        <v>996</v>
      </c>
      <c r="F52" s="21"/>
      <c r="G52" s="21"/>
      <c r="H52" s="21"/>
      <c r="I52" s="21"/>
      <c r="J52" s="21"/>
      <c r="K52" s="21"/>
      <c r="L52" s="21"/>
    </row>
    <row r="53" spans="1:12" ht="29" x14ac:dyDescent="0.35">
      <c r="A53" s="21" t="s">
        <v>1007</v>
      </c>
      <c r="B53" s="21" t="s">
        <v>1012</v>
      </c>
      <c r="C53" s="21" t="s">
        <v>1013</v>
      </c>
      <c r="D53" s="21"/>
      <c r="E53" s="21" t="s">
        <v>996</v>
      </c>
      <c r="F53" s="21"/>
      <c r="G53" s="21"/>
      <c r="H53" s="21"/>
      <c r="I53" s="21"/>
      <c r="J53" s="21"/>
      <c r="K53" s="21"/>
      <c r="L53" s="21"/>
    </row>
    <row r="54" spans="1:12" ht="29" x14ac:dyDescent="0.35">
      <c r="A54" s="21" t="s">
        <v>1007</v>
      </c>
      <c r="B54" s="21" t="s">
        <v>1014</v>
      </c>
      <c r="C54" s="21" t="s">
        <v>1015</v>
      </c>
      <c r="D54" s="21"/>
      <c r="E54" s="21" t="s">
        <v>996</v>
      </c>
      <c r="F54" s="21"/>
      <c r="G54" s="21"/>
      <c r="H54" s="21"/>
      <c r="I54" s="21"/>
      <c r="J54" s="21"/>
      <c r="K54" s="21"/>
      <c r="L54" s="21"/>
    </row>
    <row r="55" spans="1:12" ht="29" x14ac:dyDescent="0.35">
      <c r="A55" s="21" t="s">
        <v>1007</v>
      </c>
      <c r="B55" s="21" t="s">
        <v>1016</v>
      </c>
      <c r="C55" s="21" t="s">
        <v>1017</v>
      </c>
      <c r="D55" s="21"/>
      <c r="E55" s="21" t="s">
        <v>996</v>
      </c>
      <c r="F55" s="21"/>
      <c r="G55" s="21"/>
      <c r="H55" s="21"/>
      <c r="I55" s="21"/>
      <c r="J55" s="21"/>
      <c r="K55" s="21"/>
      <c r="L55" s="21"/>
    </row>
    <row r="56" spans="1:12" ht="29" x14ac:dyDescent="0.35">
      <c r="A56" s="21" t="s">
        <v>1007</v>
      </c>
      <c r="B56" s="21" t="s">
        <v>1018</v>
      </c>
      <c r="C56" s="21" t="s">
        <v>1019</v>
      </c>
      <c r="D56" s="21"/>
      <c r="E56" s="21" t="s">
        <v>996</v>
      </c>
      <c r="F56" s="21"/>
      <c r="G56" s="21"/>
      <c r="H56" s="21"/>
      <c r="I56" s="21"/>
      <c r="J56" s="21"/>
      <c r="K56" s="21"/>
      <c r="L56" s="21"/>
    </row>
    <row r="57" spans="1:12" ht="43.5" x14ac:dyDescent="0.35">
      <c r="A57" s="21" t="s">
        <v>1020</v>
      </c>
      <c r="B57" s="21" t="s">
        <v>1021</v>
      </c>
      <c r="C57" s="21" t="s">
        <v>1022</v>
      </c>
      <c r="D57" s="21"/>
      <c r="E57" s="21" t="s">
        <v>1023</v>
      </c>
      <c r="F57" s="21"/>
      <c r="G57" s="21"/>
      <c r="H57" s="21"/>
      <c r="I57" s="21"/>
      <c r="J57" s="21"/>
      <c r="K57" s="21"/>
      <c r="L57" s="21"/>
    </row>
    <row r="58" spans="1:12" ht="43.5" x14ac:dyDescent="0.35">
      <c r="A58" s="21" t="s">
        <v>1020</v>
      </c>
      <c r="B58" s="21" t="s">
        <v>1024</v>
      </c>
      <c r="C58" s="21" t="s">
        <v>1025</v>
      </c>
      <c r="D58" s="21"/>
      <c r="E58" s="21" t="s">
        <v>1023</v>
      </c>
      <c r="F58" s="21"/>
      <c r="G58" s="21"/>
      <c r="H58" s="21"/>
      <c r="I58" s="21"/>
      <c r="J58" s="21"/>
      <c r="K58" s="21"/>
      <c r="L58" s="21"/>
    </row>
    <row r="59" spans="1:12" ht="43.5" x14ac:dyDescent="0.35">
      <c r="A59" s="21" t="s">
        <v>1020</v>
      </c>
      <c r="B59" s="21" t="s">
        <v>1026</v>
      </c>
      <c r="C59" s="21" t="s">
        <v>1027</v>
      </c>
      <c r="D59" s="21"/>
      <c r="E59" s="21" t="s">
        <v>1023</v>
      </c>
      <c r="F59" s="21"/>
      <c r="G59" s="21"/>
      <c r="H59" s="21"/>
      <c r="I59" s="21"/>
      <c r="J59" s="21"/>
      <c r="K59" s="21"/>
      <c r="L59" s="21"/>
    </row>
    <row r="60" spans="1:12" ht="43.5" x14ac:dyDescent="0.35">
      <c r="A60" s="21" t="s">
        <v>1020</v>
      </c>
      <c r="B60" s="21" t="s">
        <v>1028</v>
      </c>
      <c r="C60" s="21" t="s">
        <v>1029</v>
      </c>
      <c r="D60" s="21"/>
      <c r="E60" s="21" t="s">
        <v>1023</v>
      </c>
      <c r="F60" s="21"/>
      <c r="G60" s="21"/>
      <c r="H60" s="21"/>
      <c r="I60" s="21"/>
      <c r="J60" s="21"/>
      <c r="K60" s="21"/>
      <c r="L60" s="21"/>
    </row>
    <row r="61" spans="1:12" ht="43.5" x14ac:dyDescent="0.35">
      <c r="A61" s="21" t="s">
        <v>1020</v>
      </c>
      <c r="B61" s="21" t="s">
        <v>1030</v>
      </c>
      <c r="C61" s="21" t="s">
        <v>1031</v>
      </c>
      <c r="D61" s="21"/>
      <c r="E61" s="21" t="s">
        <v>1023</v>
      </c>
      <c r="F61" s="21"/>
      <c r="G61" s="21"/>
      <c r="H61" s="21"/>
      <c r="I61" s="21"/>
      <c r="J61" s="21"/>
      <c r="K61" s="21"/>
      <c r="L61" s="21"/>
    </row>
    <row r="62" spans="1:12" ht="43.5" x14ac:dyDescent="0.35">
      <c r="A62" s="21" t="s">
        <v>1020</v>
      </c>
      <c r="B62" s="21" t="s">
        <v>1032</v>
      </c>
      <c r="C62" s="21" t="s">
        <v>1033</v>
      </c>
      <c r="D62" s="21"/>
      <c r="E62" s="21" t="s">
        <v>1023</v>
      </c>
      <c r="F62" s="21"/>
      <c r="G62" s="21"/>
      <c r="H62" s="21"/>
      <c r="I62" s="21"/>
      <c r="J62" s="21"/>
      <c r="K62" s="21"/>
      <c r="L62" s="21"/>
    </row>
    <row r="63" spans="1:12" ht="29" x14ac:dyDescent="0.35">
      <c r="A63" s="21" t="s">
        <v>428</v>
      </c>
      <c r="B63" s="21" t="s">
        <v>1034</v>
      </c>
      <c r="C63" s="21" t="s">
        <v>1035</v>
      </c>
      <c r="D63" s="21"/>
      <c r="E63" s="21" t="s">
        <v>996</v>
      </c>
      <c r="F63" s="21"/>
      <c r="G63" s="21"/>
      <c r="H63" s="21"/>
      <c r="I63" s="21"/>
      <c r="J63" s="21"/>
      <c r="K63" s="21"/>
      <c r="L63" s="21"/>
    </row>
    <row r="64" spans="1:12" ht="43.5" x14ac:dyDescent="0.35">
      <c r="A64" s="21" t="s">
        <v>428</v>
      </c>
      <c r="B64" s="21" t="s">
        <v>1036</v>
      </c>
      <c r="C64" s="21" t="s">
        <v>1037</v>
      </c>
      <c r="D64" s="21"/>
      <c r="E64" s="21" t="s">
        <v>996</v>
      </c>
      <c r="F64" s="21"/>
      <c r="G64" s="21"/>
      <c r="H64" s="21"/>
      <c r="I64" s="21"/>
      <c r="J64" s="21"/>
      <c r="K64" s="21"/>
      <c r="L64" s="21"/>
    </row>
    <row r="65" spans="1:12" ht="29" x14ac:dyDescent="0.35">
      <c r="A65" s="21" t="s">
        <v>428</v>
      </c>
      <c r="B65" s="21" t="s">
        <v>1038</v>
      </c>
      <c r="C65" s="21" t="s">
        <v>1039</v>
      </c>
      <c r="D65" s="21"/>
      <c r="E65" s="21" t="s">
        <v>996</v>
      </c>
      <c r="F65" s="21"/>
      <c r="G65" s="21"/>
      <c r="H65" s="21"/>
      <c r="I65" s="21"/>
      <c r="J65" s="21"/>
      <c r="K65" s="21"/>
      <c r="L65" s="21"/>
    </row>
    <row r="66" spans="1:12" ht="43.5" x14ac:dyDescent="0.35">
      <c r="A66" s="21" t="s">
        <v>428</v>
      </c>
      <c r="B66" s="21" t="s">
        <v>1040</v>
      </c>
      <c r="C66" s="21" t="s">
        <v>1041</v>
      </c>
      <c r="D66" s="21"/>
      <c r="E66" s="21" t="s">
        <v>996</v>
      </c>
      <c r="F66" s="21"/>
      <c r="G66" s="21"/>
      <c r="H66" s="21"/>
      <c r="I66" s="21"/>
      <c r="J66" s="21"/>
      <c r="K66" s="21"/>
      <c r="L66" s="21"/>
    </row>
    <row r="67" spans="1:12" ht="29" x14ac:dyDescent="0.35">
      <c r="A67" s="21" t="s">
        <v>428</v>
      </c>
      <c r="B67" s="21" t="s">
        <v>1042</v>
      </c>
      <c r="C67" s="21" t="s">
        <v>1043</v>
      </c>
      <c r="D67" s="21"/>
      <c r="E67" s="21" t="s">
        <v>996</v>
      </c>
      <c r="F67" s="21"/>
      <c r="G67" s="21"/>
      <c r="H67" s="21"/>
      <c r="I67" s="21"/>
      <c r="J67" s="21"/>
      <c r="K67" s="21"/>
      <c r="L67" s="21"/>
    </row>
    <row r="68" spans="1:12" ht="29" x14ac:dyDescent="0.35">
      <c r="A68" s="21" t="s">
        <v>428</v>
      </c>
      <c r="B68" s="21" t="s">
        <v>1044</v>
      </c>
      <c r="C68" s="21" t="s">
        <v>1045</v>
      </c>
      <c r="D68" s="21"/>
      <c r="E68" s="21" t="s">
        <v>996</v>
      </c>
      <c r="F68" s="21"/>
      <c r="G68" s="21"/>
      <c r="H68" s="21"/>
      <c r="I68" s="21"/>
      <c r="J68" s="21"/>
      <c r="K68" s="21"/>
      <c r="L68" s="21"/>
    </row>
    <row r="69" spans="1:12" ht="29" x14ac:dyDescent="0.35">
      <c r="A69" s="21" t="s">
        <v>1046</v>
      </c>
      <c r="B69" s="21" t="s">
        <v>1047</v>
      </c>
      <c r="C69" s="21" t="s">
        <v>1048</v>
      </c>
      <c r="D69" s="21"/>
      <c r="E69" s="21" t="s">
        <v>996</v>
      </c>
      <c r="F69" s="21"/>
      <c r="G69" s="21"/>
      <c r="H69" s="21"/>
      <c r="I69" s="21"/>
      <c r="J69" s="21"/>
      <c r="K69" s="21"/>
      <c r="L69" s="21"/>
    </row>
    <row r="70" spans="1:12" ht="29" x14ac:dyDescent="0.35">
      <c r="A70" s="21" t="s">
        <v>1046</v>
      </c>
      <c r="B70" s="21" t="s">
        <v>1049</v>
      </c>
      <c r="C70" s="21" t="s">
        <v>1050</v>
      </c>
      <c r="D70" s="21"/>
      <c r="E70" s="21" t="s">
        <v>996</v>
      </c>
      <c r="F70" s="21"/>
      <c r="G70" s="21"/>
      <c r="H70" s="21"/>
      <c r="I70" s="21"/>
      <c r="J70" s="21"/>
      <c r="K70" s="21"/>
      <c r="L70" s="21"/>
    </row>
    <row r="71" spans="1:12" ht="29" x14ac:dyDescent="0.35">
      <c r="A71" s="21" t="s">
        <v>1046</v>
      </c>
      <c r="B71" s="21" t="s">
        <v>1051</v>
      </c>
      <c r="C71" s="21" t="s">
        <v>1052</v>
      </c>
      <c r="D71" s="21"/>
      <c r="E71" s="21" t="s">
        <v>996</v>
      </c>
      <c r="F71" s="21"/>
      <c r="G71" s="21"/>
      <c r="H71" s="21"/>
      <c r="I71" s="21"/>
      <c r="J71" s="21"/>
      <c r="K71" s="21"/>
      <c r="L71" s="21"/>
    </row>
    <row r="72" spans="1:12" ht="29" x14ac:dyDescent="0.35">
      <c r="A72" s="21" t="s">
        <v>1046</v>
      </c>
      <c r="B72" s="21" t="s">
        <v>1053</v>
      </c>
      <c r="C72" s="21" t="s">
        <v>1054</v>
      </c>
      <c r="D72" s="21"/>
      <c r="E72" s="21" t="s">
        <v>996</v>
      </c>
      <c r="F72" s="21"/>
      <c r="G72" s="21"/>
      <c r="H72" s="21"/>
      <c r="I72" s="21"/>
      <c r="J72" s="21"/>
      <c r="K72" s="21"/>
      <c r="L72" s="21"/>
    </row>
    <row r="73" spans="1:12" ht="29" x14ac:dyDescent="0.35">
      <c r="A73" s="21" t="s">
        <v>1046</v>
      </c>
      <c r="B73" s="21" t="s">
        <v>1055</v>
      </c>
      <c r="C73" s="21" t="s">
        <v>1056</v>
      </c>
      <c r="D73" s="21"/>
      <c r="E73" s="21" t="s">
        <v>996</v>
      </c>
      <c r="F73" s="21"/>
      <c r="G73" s="21"/>
      <c r="H73" s="21"/>
      <c r="I73" s="21"/>
      <c r="J73" s="21"/>
      <c r="K73" s="21"/>
      <c r="L73" s="21"/>
    </row>
    <row r="74" spans="1:12" ht="29" x14ac:dyDescent="0.35">
      <c r="A74" s="21" t="s">
        <v>1046</v>
      </c>
      <c r="B74" s="21" t="s">
        <v>1057</v>
      </c>
      <c r="C74" s="21" t="s">
        <v>1058</v>
      </c>
      <c r="D74" s="21"/>
      <c r="E74" s="21" t="s">
        <v>996</v>
      </c>
      <c r="F74" s="21"/>
      <c r="G74" s="21"/>
      <c r="H74" s="21"/>
      <c r="I74" s="21"/>
      <c r="J74" s="21"/>
      <c r="K74" s="21"/>
      <c r="L74" s="21"/>
    </row>
    <row r="75" spans="1:12" ht="29" x14ac:dyDescent="0.35">
      <c r="A75" s="21" t="s">
        <v>1059</v>
      </c>
      <c r="B75" s="21" t="s">
        <v>1060</v>
      </c>
      <c r="C75" s="21" t="s">
        <v>1061</v>
      </c>
      <c r="D75" s="21"/>
      <c r="E75" s="21" t="s">
        <v>996</v>
      </c>
      <c r="F75" s="21"/>
      <c r="G75" s="21"/>
      <c r="H75" s="21"/>
      <c r="I75" s="21"/>
      <c r="J75" s="21"/>
      <c r="K75" s="21"/>
      <c r="L75" s="21"/>
    </row>
    <row r="76" spans="1:12" ht="43.5" x14ac:dyDescent="0.35">
      <c r="A76" s="21" t="s">
        <v>1059</v>
      </c>
      <c r="B76" s="21" t="s">
        <v>1062</v>
      </c>
      <c r="C76" s="21" t="s">
        <v>1063</v>
      </c>
      <c r="D76" s="21"/>
      <c r="E76" s="21" t="s">
        <v>996</v>
      </c>
      <c r="F76" s="21"/>
      <c r="G76" s="21"/>
      <c r="H76" s="21"/>
      <c r="I76" s="21"/>
      <c r="J76" s="21"/>
      <c r="K76" s="21"/>
      <c r="L76" s="21"/>
    </row>
    <row r="77" spans="1:12" ht="29" x14ac:dyDescent="0.35">
      <c r="A77" s="21" t="s">
        <v>1059</v>
      </c>
      <c r="B77" s="21" t="s">
        <v>1064</v>
      </c>
      <c r="C77" s="21" t="s">
        <v>1065</v>
      </c>
      <c r="D77" s="21"/>
      <c r="E77" s="21" t="s">
        <v>996</v>
      </c>
      <c r="F77" s="21"/>
      <c r="G77" s="21"/>
      <c r="H77" s="21"/>
      <c r="I77" s="21"/>
      <c r="J77" s="21"/>
      <c r="K77" s="21"/>
      <c r="L77" s="21"/>
    </row>
    <row r="78" spans="1:12" ht="29" x14ac:dyDescent="0.35">
      <c r="A78" s="21" t="s">
        <v>1059</v>
      </c>
      <c r="B78" s="21" t="s">
        <v>1066</v>
      </c>
      <c r="C78" s="21" t="s">
        <v>1067</v>
      </c>
      <c r="D78" s="21"/>
      <c r="E78" s="21" t="s">
        <v>996</v>
      </c>
      <c r="F78" s="21"/>
      <c r="G78" s="21"/>
      <c r="H78" s="21"/>
      <c r="I78" s="21"/>
      <c r="J78" s="21"/>
      <c r="K78" s="21"/>
      <c r="L78" s="21"/>
    </row>
    <row r="79" spans="1:12" ht="29" x14ac:dyDescent="0.35">
      <c r="A79" s="21" t="s">
        <v>1059</v>
      </c>
      <c r="B79" s="21" t="s">
        <v>1068</v>
      </c>
      <c r="C79" s="21" t="s">
        <v>1069</v>
      </c>
      <c r="D79" s="21"/>
      <c r="E79" s="21" t="s">
        <v>996</v>
      </c>
      <c r="F79" s="21"/>
      <c r="G79" s="21"/>
      <c r="H79" s="21"/>
      <c r="I79" s="21"/>
      <c r="J79" s="21"/>
      <c r="K79" s="21"/>
      <c r="L79" s="21"/>
    </row>
    <row r="80" spans="1:12" ht="29" x14ac:dyDescent="0.35">
      <c r="A80" s="21" t="s">
        <v>1059</v>
      </c>
      <c r="B80" s="21" t="s">
        <v>1070</v>
      </c>
      <c r="C80" s="21" t="s">
        <v>1071</v>
      </c>
      <c r="D80" s="21"/>
      <c r="E80" s="21" t="s">
        <v>996</v>
      </c>
      <c r="F80" s="21"/>
      <c r="G80" s="21"/>
      <c r="H80" s="21"/>
      <c r="I80" s="21"/>
      <c r="J80" s="21"/>
      <c r="K80" s="21"/>
      <c r="L80" s="21"/>
    </row>
    <row r="81" spans="1:12" ht="29" x14ac:dyDescent="0.35">
      <c r="A81" s="21" t="s">
        <v>1072</v>
      </c>
      <c r="B81" s="21" t="s">
        <v>1073</v>
      </c>
      <c r="C81" s="21" t="s">
        <v>1074</v>
      </c>
      <c r="D81" s="21"/>
      <c r="E81" s="21" t="s">
        <v>996</v>
      </c>
      <c r="F81" s="21"/>
      <c r="G81" s="21"/>
      <c r="H81" s="21"/>
      <c r="I81" s="21"/>
      <c r="J81" s="21"/>
      <c r="K81" s="21"/>
      <c r="L81" s="21"/>
    </row>
    <row r="82" spans="1:12" ht="29" x14ac:dyDescent="0.35">
      <c r="A82" s="21" t="s">
        <v>1072</v>
      </c>
      <c r="B82" s="21" t="s">
        <v>1075</v>
      </c>
      <c r="C82" s="21" t="s">
        <v>1076</v>
      </c>
      <c r="D82" s="21"/>
      <c r="E82" s="21" t="s">
        <v>996</v>
      </c>
      <c r="F82" s="21"/>
      <c r="G82" s="21"/>
      <c r="H82" s="21"/>
      <c r="I82" s="21"/>
      <c r="J82" s="21"/>
      <c r="K82" s="21"/>
      <c r="L82" s="21"/>
    </row>
    <row r="83" spans="1:12" ht="29" x14ac:dyDescent="0.35">
      <c r="A83" s="21" t="s">
        <v>1072</v>
      </c>
      <c r="B83" s="21" t="s">
        <v>1077</v>
      </c>
      <c r="C83" s="21" t="s">
        <v>1078</v>
      </c>
      <c r="D83" s="21"/>
      <c r="E83" s="21" t="s">
        <v>996</v>
      </c>
      <c r="F83" s="21"/>
      <c r="G83" s="21"/>
      <c r="H83" s="21"/>
      <c r="I83" s="21"/>
      <c r="J83" s="21"/>
      <c r="K83" s="21"/>
      <c r="L83" s="21"/>
    </row>
    <row r="84" spans="1:12" ht="29" x14ac:dyDescent="0.35">
      <c r="A84" s="21" t="s">
        <v>1072</v>
      </c>
      <c r="B84" s="21" t="s">
        <v>1079</v>
      </c>
      <c r="C84" s="21" t="s">
        <v>1080</v>
      </c>
      <c r="D84" s="21"/>
      <c r="E84" s="21" t="s">
        <v>996</v>
      </c>
      <c r="F84" s="21"/>
      <c r="G84" s="21"/>
      <c r="H84" s="21"/>
      <c r="I84" s="21"/>
      <c r="J84" s="21"/>
      <c r="K84" s="21"/>
      <c r="L84" s="21"/>
    </row>
    <row r="85" spans="1:12" ht="29" x14ac:dyDescent="0.35">
      <c r="A85" s="21" t="s">
        <v>1072</v>
      </c>
      <c r="B85" s="21" t="s">
        <v>1081</v>
      </c>
      <c r="C85" s="21" t="s">
        <v>1082</v>
      </c>
      <c r="D85" s="21"/>
      <c r="E85" s="21" t="s">
        <v>996</v>
      </c>
      <c r="F85" s="21"/>
      <c r="G85" s="21"/>
      <c r="H85" s="21"/>
      <c r="I85" s="21"/>
      <c r="J85" s="21"/>
      <c r="K85" s="21"/>
      <c r="L85" s="21"/>
    </row>
    <row r="86" spans="1:12" ht="29" x14ac:dyDescent="0.35">
      <c r="A86" s="21" t="s">
        <v>1072</v>
      </c>
      <c r="B86" s="21" t="s">
        <v>1083</v>
      </c>
      <c r="C86" s="21" t="s">
        <v>1084</v>
      </c>
      <c r="D86" s="21"/>
      <c r="E86" s="21" t="s">
        <v>996</v>
      </c>
      <c r="F86" s="21"/>
      <c r="G86" s="21"/>
      <c r="H86" s="21"/>
      <c r="I86" s="21"/>
      <c r="J86" s="21"/>
      <c r="K86" s="21"/>
      <c r="L86" s="21"/>
    </row>
    <row r="87" spans="1:12" ht="29" x14ac:dyDescent="0.35">
      <c r="A87" s="21" t="s">
        <v>1085</v>
      </c>
      <c r="B87" s="21" t="s">
        <v>1086</v>
      </c>
      <c r="C87" s="21" t="s">
        <v>1087</v>
      </c>
      <c r="D87" s="21"/>
      <c r="E87" s="21" t="s">
        <v>996</v>
      </c>
      <c r="F87" s="21"/>
      <c r="G87" s="21"/>
      <c r="H87" s="21"/>
      <c r="I87" s="21"/>
      <c r="J87" s="21"/>
      <c r="K87" s="21"/>
      <c r="L87" s="21"/>
    </row>
    <row r="88" spans="1:12" ht="29" x14ac:dyDescent="0.35">
      <c r="A88" s="21" t="s">
        <v>1085</v>
      </c>
      <c r="B88" s="21" t="s">
        <v>1088</v>
      </c>
      <c r="C88" s="21" t="s">
        <v>1089</v>
      </c>
      <c r="D88" s="21"/>
      <c r="E88" s="21" t="s">
        <v>996</v>
      </c>
      <c r="F88" s="21"/>
      <c r="G88" s="21"/>
      <c r="H88" s="21"/>
      <c r="I88" s="21"/>
      <c r="J88" s="21"/>
      <c r="K88" s="21"/>
      <c r="L88" s="21"/>
    </row>
    <row r="89" spans="1:12" ht="29" x14ac:dyDescent="0.35">
      <c r="A89" s="21" t="s">
        <v>1085</v>
      </c>
      <c r="B89" s="21" t="s">
        <v>1090</v>
      </c>
      <c r="C89" s="21" t="s">
        <v>1091</v>
      </c>
      <c r="D89" s="21"/>
      <c r="E89" s="21" t="s">
        <v>996</v>
      </c>
      <c r="F89" s="21"/>
      <c r="G89" s="21"/>
      <c r="H89" s="21"/>
      <c r="I89" s="21"/>
      <c r="J89" s="21"/>
      <c r="K89" s="21"/>
      <c r="L89" s="21"/>
    </row>
    <row r="90" spans="1:12" ht="29" x14ac:dyDescent="0.35">
      <c r="A90" s="21" t="s">
        <v>1085</v>
      </c>
      <c r="B90" s="21" t="s">
        <v>1092</v>
      </c>
      <c r="C90" s="21" t="s">
        <v>1093</v>
      </c>
      <c r="D90" s="21"/>
      <c r="E90" s="21" t="s">
        <v>996</v>
      </c>
      <c r="F90" s="21"/>
      <c r="G90" s="21"/>
      <c r="H90" s="21"/>
      <c r="I90" s="21"/>
      <c r="J90" s="21"/>
      <c r="K90" s="21"/>
      <c r="L90" s="21"/>
    </row>
    <row r="91" spans="1:12" ht="29" x14ac:dyDescent="0.35">
      <c r="A91" s="21" t="s">
        <v>1085</v>
      </c>
      <c r="B91" s="21" t="s">
        <v>1094</v>
      </c>
      <c r="C91" s="21" t="s">
        <v>1095</v>
      </c>
      <c r="D91" s="21"/>
      <c r="E91" s="21" t="s">
        <v>996</v>
      </c>
      <c r="F91" s="21"/>
      <c r="G91" s="21"/>
      <c r="H91" s="21"/>
      <c r="I91" s="21"/>
      <c r="J91" s="21"/>
      <c r="K91" s="21"/>
      <c r="L91" s="21"/>
    </row>
    <row r="92" spans="1:12" ht="29" x14ac:dyDescent="0.35">
      <c r="A92" s="21" t="s">
        <v>1085</v>
      </c>
      <c r="B92" s="21" t="s">
        <v>1096</v>
      </c>
      <c r="C92" s="21" t="s">
        <v>1097</v>
      </c>
      <c r="D92" s="21"/>
      <c r="E92" s="21" t="s">
        <v>996</v>
      </c>
      <c r="F92" s="21"/>
      <c r="G92" s="21"/>
      <c r="H92" s="21"/>
      <c r="I92" s="21"/>
      <c r="J92" s="21"/>
      <c r="K92" s="21"/>
      <c r="L92" s="21"/>
    </row>
    <row r="93" spans="1:12" ht="29" x14ac:dyDescent="0.35">
      <c r="A93" s="21" t="s">
        <v>1098</v>
      </c>
      <c r="B93" s="21" t="s">
        <v>1099</v>
      </c>
      <c r="C93" s="21" t="s">
        <v>1100</v>
      </c>
      <c r="D93" s="21"/>
      <c r="E93" s="21" t="s">
        <v>996</v>
      </c>
      <c r="F93" s="21"/>
      <c r="G93" s="21"/>
      <c r="H93" s="21"/>
      <c r="I93" s="21"/>
      <c r="J93" s="21"/>
      <c r="K93" s="21"/>
      <c r="L93" s="21"/>
    </row>
    <row r="94" spans="1:12" ht="29" x14ac:dyDescent="0.35">
      <c r="A94" s="21" t="s">
        <v>1098</v>
      </c>
      <c r="B94" s="21" t="s">
        <v>1101</v>
      </c>
      <c r="C94" s="21" t="s">
        <v>1102</v>
      </c>
      <c r="D94" s="21"/>
      <c r="E94" s="21" t="s">
        <v>996</v>
      </c>
      <c r="F94" s="21"/>
      <c r="G94" s="21"/>
      <c r="H94" s="21"/>
      <c r="I94" s="21"/>
      <c r="J94" s="21"/>
      <c r="K94" s="21"/>
      <c r="L94" s="21"/>
    </row>
    <row r="95" spans="1:12" ht="29" x14ac:dyDescent="0.35">
      <c r="A95" s="21" t="s">
        <v>1098</v>
      </c>
      <c r="B95" s="21" t="s">
        <v>1103</v>
      </c>
      <c r="C95" s="21" t="s">
        <v>1104</v>
      </c>
      <c r="D95" s="21"/>
      <c r="E95" s="21" t="s">
        <v>996</v>
      </c>
      <c r="F95" s="21"/>
      <c r="G95" s="21"/>
      <c r="H95" s="21"/>
      <c r="I95" s="21"/>
      <c r="J95" s="21"/>
      <c r="K95" s="21"/>
      <c r="L95" s="21"/>
    </row>
    <row r="96" spans="1:12" ht="29" x14ac:dyDescent="0.35">
      <c r="A96" s="21" t="s">
        <v>1098</v>
      </c>
      <c r="B96" s="21" t="s">
        <v>1105</v>
      </c>
      <c r="C96" s="21" t="s">
        <v>1106</v>
      </c>
      <c r="D96" s="21"/>
      <c r="E96" s="21" t="s">
        <v>996</v>
      </c>
      <c r="F96" s="21"/>
      <c r="G96" s="21"/>
      <c r="H96" s="21"/>
      <c r="I96" s="21"/>
      <c r="J96" s="21"/>
      <c r="K96" s="21"/>
      <c r="L96" s="21"/>
    </row>
    <row r="97" spans="1:12" ht="29" x14ac:dyDescent="0.35">
      <c r="A97" s="21" t="s">
        <v>1098</v>
      </c>
      <c r="B97" s="21" t="s">
        <v>1107</v>
      </c>
      <c r="C97" s="21" t="s">
        <v>1108</v>
      </c>
      <c r="D97" s="21"/>
      <c r="E97" s="21" t="s">
        <v>996</v>
      </c>
      <c r="F97" s="21"/>
      <c r="G97" s="21"/>
      <c r="H97" s="21"/>
      <c r="I97" s="21"/>
      <c r="J97" s="21"/>
      <c r="K97" s="21"/>
      <c r="L97" s="21"/>
    </row>
    <row r="98" spans="1:12" ht="29" x14ac:dyDescent="0.35">
      <c r="A98" s="21" t="s">
        <v>1098</v>
      </c>
      <c r="B98" s="21" t="s">
        <v>1109</v>
      </c>
      <c r="C98" s="21" t="s">
        <v>1110</v>
      </c>
      <c r="D98" s="21"/>
      <c r="E98" s="21" t="s">
        <v>996</v>
      </c>
      <c r="F98" s="21"/>
      <c r="G98" s="21"/>
      <c r="H98" s="21"/>
      <c r="I98" s="21"/>
      <c r="J98" s="21"/>
      <c r="K98" s="21"/>
      <c r="L98" s="21"/>
    </row>
    <row r="99" spans="1:12" ht="29" x14ac:dyDescent="0.35">
      <c r="A99" s="21" t="s">
        <v>1111</v>
      </c>
      <c r="B99" s="21" t="s">
        <v>1112</v>
      </c>
      <c r="C99" s="21" t="s">
        <v>1113</v>
      </c>
      <c r="D99" s="21"/>
      <c r="E99" s="21" t="s">
        <v>1114</v>
      </c>
      <c r="F99" s="21"/>
      <c r="G99" s="21"/>
      <c r="H99" s="21"/>
      <c r="I99" s="21"/>
      <c r="J99" s="21"/>
      <c r="K99" s="21"/>
      <c r="L99" s="21"/>
    </row>
    <row r="100" spans="1:12" ht="29" x14ac:dyDescent="0.35">
      <c r="A100" s="21" t="s">
        <v>1111</v>
      </c>
      <c r="B100" s="21" t="s">
        <v>1115</v>
      </c>
      <c r="C100" s="21" t="s">
        <v>1116</v>
      </c>
      <c r="D100" s="21"/>
      <c r="E100" s="21" t="s">
        <v>1114</v>
      </c>
      <c r="F100" s="21"/>
      <c r="G100" s="21"/>
      <c r="H100" s="21"/>
      <c r="I100" s="21"/>
      <c r="J100" s="21"/>
      <c r="K100" s="21"/>
      <c r="L100" s="21"/>
    </row>
    <row r="101" spans="1:12" ht="29" x14ac:dyDescent="0.35">
      <c r="A101" s="21" t="s">
        <v>1111</v>
      </c>
      <c r="B101" s="21" t="s">
        <v>1117</v>
      </c>
      <c r="C101" s="21" t="s">
        <v>1118</v>
      </c>
      <c r="D101" s="21"/>
      <c r="E101" s="21" t="s">
        <v>1114</v>
      </c>
      <c r="F101" s="21"/>
      <c r="G101" s="21"/>
      <c r="H101" s="21"/>
      <c r="I101" s="21"/>
      <c r="J101" s="21"/>
      <c r="K101" s="21"/>
      <c r="L101" s="21"/>
    </row>
    <row r="102" spans="1:12" ht="29" x14ac:dyDescent="0.35">
      <c r="A102" s="21" t="s">
        <v>1111</v>
      </c>
      <c r="B102" s="21" t="s">
        <v>1119</v>
      </c>
      <c r="C102" s="21" t="s">
        <v>1120</v>
      </c>
      <c r="D102" s="21"/>
      <c r="E102" s="21" t="s">
        <v>1114</v>
      </c>
      <c r="F102" s="21"/>
      <c r="G102" s="21"/>
      <c r="H102" s="21"/>
      <c r="I102" s="21"/>
      <c r="J102" s="21"/>
      <c r="K102" s="21"/>
      <c r="L102" s="21"/>
    </row>
    <row r="103" spans="1:12" ht="29" x14ac:dyDescent="0.35">
      <c r="A103" s="21" t="s">
        <v>1111</v>
      </c>
      <c r="B103" s="21" t="s">
        <v>1121</v>
      </c>
      <c r="C103" s="21" t="s">
        <v>1122</v>
      </c>
      <c r="D103" s="21"/>
      <c r="E103" s="21" t="s">
        <v>1114</v>
      </c>
      <c r="F103" s="21"/>
      <c r="G103" s="21"/>
      <c r="H103" s="21"/>
      <c r="I103" s="21"/>
      <c r="J103" s="21"/>
      <c r="K103" s="21"/>
      <c r="L103" s="21"/>
    </row>
    <row r="104" spans="1:12" ht="29" x14ac:dyDescent="0.35">
      <c r="A104" s="21" t="s">
        <v>1111</v>
      </c>
      <c r="B104" s="21" t="s">
        <v>1123</v>
      </c>
      <c r="C104" s="21" t="s">
        <v>1124</v>
      </c>
      <c r="D104" s="21"/>
      <c r="E104" s="21" t="s">
        <v>1114</v>
      </c>
      <c r="F104" s="21"/>
      <c r="G104" s="21"/>
      <c r="H104" s="21"/>
      <c r="I104" s="21"/>
      <c r="J104" s="21"/>
      <c r="K104" s="21"/>
      <c r="L104" s="21"/>
    </row>
    <row r="105" spans="1:12" ht="29" x14ac:dyDescent="0.35">
      <c r="A105" s="21" t="s">
        <v>1125</v>
      </c>
      <c r="B105" s="21" t="s">
        <v>1126</v>
      </c>
      <c r="C105" s="21" t="s">
        <v>1127</v>
      </c>
      <c r="D105" s="21"/>
      <c r="E105" s="21" t="s">
        <v>1114</v>
      </c>
      <c r="F105" s="21"/>
      <c r="G105" s="21"/>
      <c r="H105" s="21"/>
      <c r="I105" s="21"/>
      <c r="J105" s="21"/>
      <c r="K105" s="21"/>
      <c r="L105" s="21"/>
    </row>
    <row r="106" spans="1:12" ht="29" x14ac:dyDescent="0.35">
      <c r="A106" s="21" t="s">
        <v>1125</v>
      </c>
      <c r="B106" s="21" t="s">
        <v>1128</v>
      </c>
      <c r="C106" s="21" t="s">
        <v>1129</v>
      </c>
      <c r="D106" s="21"/>
      <c r="E106" s="21" t="s">
        <v>1114</v>
      </c>
      <c r="F106" s="21"/>
      <c r="G106" s="21"/>
      <c r="H106" s="21"/>
      <c r="I106" s="21"/>
      <c r="J106" s="21"/>
      <c r="K106" s="21"/>
      <c r="L106" s="21"/>
    </row>
    <row r="107" spans="1:12" ht="43.5" x14ac:dyDescent="0.35">
      <c r="A107" s="21" t="s">
        <v>1125</v>
      </c>
      <c r="B107" s="21" t="s">
        <v>1130</v>
      </c>
      <c r="C107" s="21" t="s">
        <v>1131</v>
      </c>
      <c r="D107" s="21"/>
      <c r="E107" s="21" t="s">
        <v>1114</v>
      </c>
      <c r="F107" s="21"/>
      <c r="G107" s="21"/>
      <c r="H107" s="21"/>
      <c r="I107" s="21"/>
      <c r="J107" s="21"/>
      <c r="K107" s="21"/>
      <c r="L107" s="21"/>
    </row>
    <row r="108" spans="1:12" ht="29" x14ac:dyDescent="0.35">
      <c r="A108" s="21" t="s">
        <v>1125</v>
      </c>
      <c r="B108" s="21" t="s">
        <v>1132</v>
      </c>
      <c r="C108" s="21" t="s">
        <v>1133</v>
      </c>
      <c r="D108" s="21"/>
      <c r="E108" s="21" t="s">
        <v>1114</v>
      </c>
      <c r="F108" s="21"/>
      <c r="G108" s="21"/>
      <c r="H108" s="21"/>
      <c r="I108" s="21"/>
      <c r="J108" s="21"/>
      <c r="K108" s="21"/>
      <c r="L108" s="21"/>
    </row>
    <row r="109" spans="1:12" ht="29" x14ac:dyDescent="0.35">
      <c r="A109" s="21" t="s">
        <v>1125</v>
      </c>
      <c r="B109" s="21" t="s">
        <v>1134</v>
      </c>
      <c r="C109" s="21" t="s">
        <v>1135</v>
      </c>
      <c r="D109" s="21"/>
      <c r="E109" s="21" t="s">
        <v>1114</v>
      </c>
      <c r="F109" s="21"/>
      <c r="G109" s="21"/>
      <c r="H109" s="21"/>
      <c r="I109" s="21"/>
      <c r="J109" s="21"/>
      <c r="K109" s="21"/>
      <c r="L109" s="21"/>
    </row>
    <row r="110" spans="1:12" ht="29" x14ac:dyDescent="0.35">
      <c r="A110" s="21" t="s">
        <v>1125</v>
      </c>
      <c r="B110" s="21" t="s">
        <v>1136</v>
      </c>
      <c r="C110" s="21" t="s">
        <v>1137</v>
      </c>
      <c r="D110" s="21"/>
      <c r="E110" s="21" t="s">
        <v>1114</v>
      </c>
      <c r="F110" s="21"/>
      <c r="G110" s="21"/>
      <c r="H110" s="21"/>
      <c r="I110" s="21"/>
      <c r="J110" s="21"/>
      <c r="K110" s="21"/>
      <c r="L110" s="21"/>
    </row>
    <row r="111" spans="1:12" ht="29" x14ac:dyDescent="0.35">
      <c r="A111" s="21" t="s">
        <v>1138</v>
      </c>
      <c r="B111" s="21" t="s">
        <v>1139</v>
      </c>
      <c r="C111" s="21" t="s">
        <v>1140</v>
      </c>
      <c r="D111" s="21"/>
      <c r="E111" s="21" t="s">
        <v>996</v>
      </c>
      <c r="F111" s="21"/>
      <c r="G111" s="21"/>
      <c r="H111" s="21"/>
      <c r="I111" s="21"/>
      <c r="J111" s="21"/>
      <c r="K111" s="21"/>
      <c r="L111" s="21"/>
    </row>
    <row r="112" spans="1:12" ht="29" x14ac:dyDescent="0.35">
      <c r="A112" s="21" t="s">
        <v>1138</v>
      </c>
      <c r="B112" s="21" t="s">
        <v>1141</v>
      </c>
      <c r="C112" s="21" t="s">
        <v>1142</v>
      </c>
      <c r="D112" s="21"/>
      <c r="E112" s="21" t="s">
        <v>996</v>
      </c>
      <c r="F112" s="21"/>
      <c r="G112" s="21"/>
      <c r="H112" s="21"/>
      <c r="I112" s="21"/>
      <c r="J112" s="21"/>
      <c r="K112" s="21"/>
      <c r="L112" s="21"/>
    </row>
    <row r="113" spans="1:12" ht="29" x14ac:dyDescent="0.35">
      <c r="A113" s="21" t="s">
        <v>1138</v>
      </c>
      <c r="B113" s="21" t="s">
        <v>1143</v>
      </c>
      <c r="C113" s="21" t="s">
        <v>1144</v>
      </c>
      <c r="D113" s="21"/>
      <c r="E113" s="21" t="s">
        <v>996</v>
      </c>
      <c r="F113" s="21"/>
      <c r="G113" s="21"/>
      <c r="H113" s="21"/>
      <c r="I113" s="21"/>
      <c r="J113" s="21"/>
      <c r="K113" s="21"/>
      <c r="L113" s="21"/>
    </row>
    <row r="114" spans="1:12" ht="29" x14ac:dyDescent="0.35">
      <c r="A114" s="21" t="s">
        <v>1138</v>
      </c>
      <c r="B114" s="21" t="s">
        <v>1145</v>
      </c>
      <c r="C114" s="21" t="s">
        <v>1146</v>
      </c>
      <c r="D114" s="21"/>
      <c r="E114" s="21" t="s">
        <v>996</v>
      </c>
      <c r="F114" s="21"/>
      <c r="G114" s="21"/>
      <c r="H114" s="21"/>
      <c r="I114" s="21"/>
      <c r="J114" s="21"/>
      <c r="K114" s="21"/>
      <c r="L114" s="21"/>
    </row>
    <row r="115" spans="1:12" ht="29" x14ac:dyDescent="0.35">
      <c r="A115" s="21" t="s">
        <v>1138</v>
      </c>
      <c r="B115" s="21" t="s">
        <v>1147</v>
      </c>
      <c r="C115" s="21" t="s">
        <v>1148</v>
      </c>
      <c r="D115" s="21"/>
      <c r="E115" s="21" t="s">
        <v>996</v>
      </c>
      <c r="F115" s="21"/>
      <c r="G115" s="21"/>
      <c r="H115" s="21"/>
      <c r="I115" s="21"/>
      <c r="J115" s="21"/>
      <c r="K115" s="21"/>
      <c r="L115" s="21"/>
    </row>
    <row r="116" spans="1:12" ht="29" x14ac:dyDescent="0.35">
      <c r="A116" s="21" t="s">
        <v>1138</v>
      </c>
      <c r="B116" s="21" t="s">
        <v>1149</v>
      </c>
      <c r="C116" s="21" t="s">
        <v>1150</v>
      </c>
      <c r="D116" s="21"/>
      <c r="E116" s="21" t="s">
        <v>996</v>
      </c>
      <c r="F116" s="21"/>
      <c r="G116" s="21"/>
      <c r="H116" s="21"/>
      <c r="I116" s="21"/>
      <c r="J116" s="21"/>
      <c r="K116" s="21"/>
      <c r="L116" s="21"/>
    </row>
    <row r="117" spans="1:12" ht="29" x14ac:dyDescent="0.35">
      <c r="A117" s="21" t="s">
        <v>1151</v>
      </c>
      <c r="B117" s="21" t="s">
        <v>1152</v>
      </c>
      <c r="C117" s="21" t="s">
        <v>1153</v>
      </c>
      <c r="D117" s="21"/>
      <c r="E117" s="21" t="s">
        <v>996</v>
      </c>
      <c r="F117" s="21"/>
      <c r="G117" s="21"/>
      <c r="H117" s="21"/>
      <c r="I117" s="21"/>
      <c r="J117" s="21"/>
      <c r="K117" s="21"/>
      <c r="L117" s="21"/>
    </row>
    <row r="118" spans="1:12" ht="29" x14ac:dyDescent="0.35">
      <c r="A118" s="21" t="s">
        <v>1151</v>
      </c>
      <c r="B118" s="21" t="s">
        <v>1154</v>
      </c>
      <c r="C118" s="21" t="s">
        <v>1155</v>
      </c>
      <c r="D118" s="21"/>
      <c r="E118" s="21" t="s">
        <v>996</v>
      </c>
      <c r="F118" s="21"/>
      <c r="G118" s="21"/>
      <c r="H118" s="21"/>
      <c r="I118" s="21"/>
      <c r="J118" s="21"/>
      <c r="K118" s="21"/>
      <c r="L118" s="21"/>
    </row>
    <row r="119" spans="1:12" ht="29" x14ac:dyDescent="0.35">
      <c r="A119" s="21" t="s">
        <v>1151</v>
      </c>
      <c r="B119" s="21" t="s">
        <v>1156</v>
      </c>
      <c r="C119" s="21" t="s">
        <v>1157</v>
      </c>
      <c r="D119" s="21"/>
      <c r="E119" s="21" t="s">
        <v>996</v>
      </c>
      <c r="F119" s="21"/>
      <c r="G119" s="21"/>
      <c r="H119" s="21"/>
      <c r="I119" s="21"/>
      <c r="J119" s="21"/>
      <c r="K119" s="21"/>
      <c r="L119" s="21"/>
    </row>
    <row r="120" spans="1:12" ht="29" x14ac:dyDescent="0.35">
      <c r="A120" s="21" t="s">
        <v>1151</v>
      </c>
      <c r="B120" s="21" t="s">
        <v>1158</v>
      </c>
      <c r="C120" s="21" t="s">
        <v>1159</v>
      </c>
      <c r="D120" s="21"/>
      <c r="E120" s="21" t="s">
        <v>996</v>
      </c>
      <c r="F120" s="21"/>
      <c r="G120" s="21"/>
      <c r="H120" s="21"/>
      <c r="I120" s="21"/>
      <c r="J120" s="21"/>
      <c r="K120" s="21"/>
      <c r="L120" s="21"/>
    </row>
    <row r="121" spans="1:12" ht="29" x14ac:dyDescent="0.35">
      <c r="A121" s="21" t="s">
        <v>1151</v>
      </c>
      <c r="B121" s="21" t="s">
        <v>1160</v>
      </c>
      <c r="C121" s="21" t="s">
        <v>1161</v>
      </c>
      <c r="D121" s="21"/>
      <c r="E121" s="21" t="s">
        <v>996</v>
      </c>
      <c r="F121" s="21"/>
      <c r="G121" s="21"/>
      <c r="H121" s="21"/>
      <c r="I121" s="21"/>
      <c r="J121" s="21"/>
      <c r="K121" s="21"/>
      <c r="L121" s="21"/>
    </row>
    <row r="122" spans="1:12" ht="29" x14ac:dyDescent="0.35">
      <c r="A122" s="21" t="s">
        <v>1151</v>
      </c>
      <c r="B122" s="21" t="s">
        <v>1162</v>
      </c>
      <c r="C122" s="21" t="s">
        <v>1163</v>
      </c>
      <c r="D122" s="21"/>
      <c r="E122" s="21" t="s">
        <v>996</v>
      </c>
      <c r="F122" s="21"/>
      <c r="G122" s="21"/>
      <c r="H122" s="21"/>
      <c r="I122" s="21"/>
      <c r="J122" s="21"/>
      <c r="K122" s="21"/>
      <c r="L122" s="21"/>
    </row>
    <row r="123" spans="1:12" ht="29" x14ac:dyDescent="0.35">
      <c r="A123" s="21" t="s">
        <v>432</v>
      </c>
      <c r="B123" s="21" t="s">
        <v>1164</v>
      </c>
      <c r="C123" s="21" t="s">
        <v>1165</v>
      </c>
      <c r="D123" s="21"/>
      <c r="E123" s="21" t="s">
        <v>1114</v>
      </c>
      <c r="F123" s="21"/>
      <c r="G123" s="21"/>
      <c r="H123" s="21"/>
      <c r="I123" s="21"/>
      <c r="J123" s="21"/>
      <c r="K123" s="21"/>
      <c r="L123" s="21"/>
    </row>
    <row r="124" spans="1:12" ht="29" x14ac:dyDescent="0.35">
      <c r="A124" s="21" t="s">
        <v>432</v>
      </c>
      <c r="B124" s="21" t="s">
        <v>1166</v>
      </c>
      <c r="C124" s="21" t="s">
        <v>1167</v>
      </c>
      <c r="D124" s="21"/>
      <c r="E124" s="21" t="s">
        <v>1114</v>
      </c>
      <c r="F124" s="21"/>
      <c r="G124" s="21"/>
      <c r="H124" s="21"/>
      <c r="I124" s="21"/>
      <c r="J124" s="21"/>
      <c r="K124" s="21"/>
      <c r="L124" s="21"/>
    </row>
    <row r="125" spans="1:12" ht="29" x14ac:dyDescent="0.35">
      <c r="A125" s="21" t="s">
        <v>432</v>
      </c>
      <c r="B125" s="21" t="s">
        <v>1168</v>
      </c>
      <c r="C125" s="21" t="s">
        <v>1169</v>
      </c>
      <c r="D125" s="21"/>
      <c r="E125" s="21" t="s">
        <v>1114</v>
      </c>
      <c r="F125" s="21"/>
      <c r="G125" s="21"/>
      <c r="H125" s="21"/>
      <c r="I125" s="21"/>
      <c r="J125" s="21"/>
      <c r="K125" s="21"/>
      <c r="L125" s="21"/>
    </row>
    <row r="126" spans="1:12" ht="29" x14ac:dyDescent="0.35">
      <c r="A126" s="21" t="s">
        <v>432</v>
      </c>
      <c r="B126" s="21" t="s">
        <v>1170</v>
      </c>
      <c r="C126" s="21" t="s">
        <v>1171</v>
      </c>
      <c r="D126" s="21"/>
      <c r="E126" s="21" t="s">
        <v>1114</v>
      </c>
      <c r="F126" s="21"/>
      <c r="G126" s="21"/>
      <c r="H126" s="21"/>
      <c r="I126" s="21"/>
      <c r="J126" s="21"/>
      <c r="K126" s="21"/>
      <c r="L126" s="21"/>
    </row>
    <row r="127" spans="1:12" ht="29" x14ac:dyDescent="0.35">
      <c r="A127" s="21" t="s">
        <v>432</v>
      </c>
      <c r="B127" s="21" t="s">
        <v>1172</v>
      </c>
      <c r="C127" s="21" t="s">
        <v>1173</v>
      </c>
      <c r="D127" s="21"/>
      <c r="E127" s="21" t="s">
        <v>1114</v>
      </c>
      <c r="F127" s="21"/>
      <c r="G127" s="21"/>
      <c r="H127" s="21"/>
      <c r="I127" s="21"/>
      <c r="J127" s="21"/>
      <c r="K127" s="21"/>
      <c r="L127" s="21"/>
    </row>
    <row r="128" spans="1:12" ht="29" x14ac:dyDescent="0.35">
      <c r="A128" s="21" t="s">
        <v>432</v>
      </c>
      <c r="B128" s="21" t="s">
        <v>1174</v>
      </c>
      <c r="C128" s="21" t="s">
        <v>1175</v>
      </c>
      <c r="D128" s="21"/>
      <c r="E128" s="21" t="s">
        <v>1114</v>
      </c>
      <c r="F128" s="21"/>
      <c r="G128" s="21"/>
      <c r="H128" s="21"/>
      <c r="I128" s="21"/>
      <c r="J128" s="21"/>
      <c r="K128" s="21"/>
      <c r="L128" s="21"/>
    </row>
    <row r="129" spans="1:12" ht="29" x14ac:dyDescent="0.35">
      <c r="A129" s="21" t="s">
        <v>1176</v>
      </c>
      <c r="B129" s="21" t="s">
        <v>1177</v>
      </c>
      <c r="C129" s="21" t="s">
        <v>1178</v>
      </c>
      <c r="D129" s="21"/>
      <c r="E129" s="21" t="s">
        <v>996</v>
      </c>
      <c r="F129" s="21"/>
      <c r="G129" s="21"/>
      <c r="H129" s="21"/>
      <c r="I129" s="21"/>
      <c r="J129" s="21"/>
      <c r="K129" s="21"/>
      <c r="L129" s="21"/>
    </row>
    <row r="130" spans="1:12" ht="29" x14ac:dyDescent="0.35">
      <c r="A130" s="21" t="s">
        <v>1176</v>
      </c>
      <c r="B130" s="21" t="s">
        <v>1179</v>
      </c>
      <c r="C130" s="21" t="s">
        <v>1180</v>
      </c>
      <c r="D130" s="21"/>
      <c r="E130" s="21" t="s">
        <v>996</v>
      </c>
      <c r="F130" s="21"/>
      <c r="G130" s="21"/>
      <c r="H130" s="21"/>
      <c r="I130" s="21"/>
      <c r="J130" s="21"/>
      <c r="K130" s="21"/>
      <c r="L130" s="21"/>
    </row>
    <row r="131" spans="1:12" ht="29" x14ac:dyDescent="0.35">
      <c r="A131" s="21" t="s">
        <v>1176</v>
      </c>
      <c r="B131" s="21" t="s">
        <v>1181</v>
      </c>
      <c r="C131" s="21" t="s">
        <v>1182</v>
      </c>
      <c r="D131" s="21"/>
      <c r="E131" s="21" t="s">
        <v>996</v>
      </c>
      <c r="F131" s="21"/>
      <c r="G131" s="21"/>
      <c r="H131" s="21"/>
      <c r="I131" s="21"/>
      <c r="J131" s="21"/>
      <c r="K131" s="21"/>
      <c r="L131" s="21"/>
    </row>
    <row r="132" spans="1:12" ht="29" x14ac:dyDescent="0.35">
      <c r="A132" s="21" t="s">
        <v>1176</v>
      </c>
      <c r="B132" s="21" t="s">
        <v>1183</v>
      </c>
      <c r="C132" s="21" t="s">
        <v>1184</v>
      </c>
      <c r="D132" s="21"/>
      <c r="E132" s="21" t="s">
        <v>996</v>
      </c>
      <c r="F132" s="21"/>
      <c r="G132" s="21"/>
      <c r="H132" s="21"/>
      <c r="I132" s="21"/>
      <c r="J132" s="21"/>
      <c r="K132" s="21"/>
      <c r="L132" s="21"/>
    </row>
    <row r="133" spans="1:12" ht="29" x14ac:dyDescent="0.35">
      <c r="A133" s="21" t="s">
        <v>1176</v>
      </c>
      <c r="B133" s="21" t="s">
        <v>1185</v>
      </c>
      <c r="C133" s="21" t="s">
        <v>1186</v>
      </c>
      <c r="D133" s="21"/>
      <c r="E133" s="21" t="s">
        <v>996</v>
      </c>
      <c r="F133" s="21"/>
      <c r="G133" s="21"/>
      <c r="H133" s="21"/>
      <c r="I133" s="21"/>
      <c r="J133" s="21"/>
      <c r="K133" s="21"/>
      <c r="L133" s="21"/>
    </row>
    <row r="134" spans="1:12" ht="29" x14ac:dyDescent="0.35">
      <c r="A134" s="21" t="s">
        <v>1176</v>
      </c>
      <c r="B134" s="21" t="s">
        <v>1187</v>
      </c>
      <c r="C134" s="21" t="s">
        <v>1188</v>
      </c>
      <c r="D134" s="21"/>
      <c r="E134" s="21" t="s">
        <v>996</v>
      </c>
      <c r="F134" s="21"/>
      <c r="G134" s="21"/>
      <c r="H134" s="21"/>
      <c r="I134" s="21"/>
      <c r="J134" s="21"/>
      <c r="K134" s="21"/>
      <c r="L134" s="21"/>
    </row>
    <row r="135" spans="1:12" ht="29" x14ac:dyDescent="0.35">
      <c r="A135" s="21" t="s">
        <v>1189</v>
      </c>
      <c r="B135" s="21" t="s">
        <v>1190</v>
      </c>
      <c r="C135" s="21" t="s">
        <v>1191</v>
      </c>
      <c r="D135" s="21"/>
      <c r="E135" s="21" t="s">
        <v>996</v>
      </c>
      <c r="F135" s="21"/>
      <c r="G135" s="21"/>
      <c r="H135" s="21"/>
      <c r="I135" s="21"/>
      <c r="J135" s="21"/>
      <c r="K135" s="21"/>
      <c r="L135" s="21"/>
    </row>
    <row r="136" spans="1:12" ht="29" x14ac:dyDescent="0.35">
      <c r="A136" s="21" t="s">
        <v>1189</v>
      </c>
      <c r="B136" s="21" t="s">
        <v>1192</v>
      </c>
      <c r="C136" s="21" t="s">
        <v>1193</v>
      </c>
      <c r="D136" s="21"/>
      <c r="E136" s="21" t="s">
        <v>996</v>
      </c>
      <c r="F136" s="21"/>
      <c r="G136" s="21"/>
      <c r="H136" s="21"/>
      <c r="I136" s="21"/>
      <c r="J136" s="21"/>
      <c r="K136" s="21"/>
      <c r="L136" s="21"/>
    </row>
    <row r="137" spans="1:12" ht="29" x14ac:dyDescent="0.35">
      <c r="A137" s="21" t="s">
        <v>1189</v>
      </c>
      <c r="B137" s="21" t="s">
        <v>1194</v>
      </c>
      <c r="C137" s="21" t="s">
        <v>1195</v>
      </c>
      <c r="D137" s="21"/>
      <c r="E137" s="21" t="s">
        <v>996</v>
      </c>
      <c r="F137" s="21"/>
      <c r="G137" s="21"/>
      <c r="H137" s="21"/>
      <c r="I137" s="21"/>
      <c r="J137" s="21"/>
      <c r="K137" s="21"/>
      <c r="L137" s="21"/>
    </row>
    <row r="138" spans="1:12" ht="29" x14ac:dyDescent="0.35">
      <c r="A138" s="21" t="s">
        <v>1189</v>
      </c>
      <c r="B138" s="21" t="s">
        <v>1196</v>
      </c>
      <c r="C138" s="21" t="s">
        <v>1197</v>
      </c>
      <c r="D138" s="21"/>
      <c r="E138" s="21" t="s">
        <v>996</v>
      </c>
      <c r="F138" s="21"/>
      <c r="G138" s="21"/>
      <c r="H138" s="21"/>
      <c r="I138" s="21"/>
      <c r="J138" s="21"/>
      <c r="K138" s="21"/>
      <c r="L138" s="21"/>
    </row>
    <row r="139" spans="1:12" ht="29" x14ac:dyDescent="0.35">
      <c r="A139" s="21" t="s">
        <v>1189</v>
      </c>
      <c r="B139" s="21" t="s">
        <v>1198</v>
      </c>
      <c r="C139" s="21" t="s">
        <v>1199</v>
      </c>
      <c r="D139" s="21"/>
      <c r="E139" s="21" t="s">
        <v>996</v>
      </c>
      <c r="F139" s="21"/>
      <c r="G139" s="21"/>
      <c r="H139" s="21"/>
      <c r="I139" s="21"/>
      <c r="J139" s="21"/>
      <c r="K139" s="21"/>
      <c r="L139" s="21"/>
    </row>
    <row r="140" spans="1:12" ht="29" x14ac:dyDescent="0.35">
      <c r="A140" s="21" t="s">
        <v>1189</v>
      </c>
      <c r="B140" s="21" t="s">
        <v>1200</v>
      </c>
      <c r="C140" s="21" t="s">
        <v>1201</v>
      </c>
      <c r="D140" s="21"/>
      <c r="E140" s="21" t="s">
        <v>996</v>
      </c>
      <c r="F140" s="21"/>
      <c r="G140" s="21"/>
      <c r="H140" s="21"/>
      <c r="I140" s="21"/>
      <c r="J140" s="21"/>
      <c r="K140" s="21"/>
      <c r="L140" s="21"/>
    </row>
    <row r="141" spans="1:12" ht="29" x14ac:dyDescent="0.35">
      <c r="A141" s="21" t="s">
        <v>1202</v>
      </c>
      <c r="B141" s="21" t="s">
        <v>1203</v>
      </c>
      <c r="C141" s="21" t="s">
        <v>1204</v>
      </c>
      <c r="D141" s="21"/>
      <c r="E141" s="21" t="s">
        <v>996</v>
      </c>
      <c r="F141" s="21"/>
      <c r="G141" s="21"/>
      <c r="H141" s="21"/>
      <c r="I141" s="21"/>
      <c r="J141" s="21"/>
      <c r="K141" s="21"/>
      <c r="L141" s="21"/>
    </row>
    <row r="142" spans="1:12" ht="29" x14ac:dyDescent="0.35">
      <c r="A142" s="21" t="s">
        <v>1202</v>
      </c>
      <c r="B142" s="21" t="s">
        <v>1205</v>
      </c>
      <c r="C142" s="21" t="s">
        <v>1206</v>
      </c>
      <c r="D142" s="21"/>
      <c r="E142" s="21" t="s">
        <v>996</v>
      </c>
      <c r="F142" s="21"/>
      <c r="G142" s="21"/>
      <c r="H142" s="21"/>
      <c r="I142" s="21"/>
      <c r="J142" s="21"/>
      <c r="K142" s="21"/>
      <c r="L142" s="21"/>
    </row>
    <row r="143" spans="1:12" ht="29" x14ac:dyDescent="0.35">
      <c r="A143" s="21" t="s">
        <v>1202</v>
      </c>
      <c r="B143" s="21" t="s">
        <v>1207</v>
      </c>
      <c r="C143" s="21" t="s">
        <v>1208</v>
      </c>
      <c r="D143" s="21"/>
      <c r="E143" s="21" t="s">
        <v>996</v>
      </c>
      <c r="F143" s="21"/>
      <c r="G143" s="21"/>
      <c r="H143" s="21"/>
      <c r="I143" s="21"/>
      <c r="J143" s="21"/>
      <c r="K143" s="21"/>
      <c r="L143" s="21"/>
    </row>
    <row r="144" spans="1:12" ht="29" x14ac:dyDescent="0.35">
      <c r="A144" s="21" t="s">
        <v>1202</v>
      </c>
      <c r="B144" s="21" t="s">
        <v>1209</v>
      </c>
      <c r="C144" s="21" t="s">
        <v>1210</v>
      </c>
      <c r="D144" s="21"/>
      <c r="E144" s="21" t="s">
        <v>996</v>
      </c>
      <c r="F144" s="21"/>
      <c r="G144" s="21"/>
      <c r="H144" s="21"/>
      <c r="I144" s="21"/>
      <c r="J144" s="21"/>
      <c r="K144" s="21"/>
      <c r="L144" s="21"/>
    </row>
    <row r="145" spans="1:12" ht="29" x14ac:dyDescent="0.35">
      <c r="A145" s="21" t="s">
        <v>1202</v>
      </c>
      <c r="B145" s="21" t="s">
        <v>1211</v>
      </c>
      <c r="C145" s="21" t="s">
        <v>1212</v>
      </c>
      <c r="D145" s="21"/>
      <c r="E145" s="21" t="s">
        <v>996</v>
      </c>
      <c r="F145" s="21"/>
      <c r="G145" s="21"/>
      <c r="H145" s="21"/>
      <c r="I145" s="21"/>
      <c r="J145" s="21"/>
      <c r="K145" s="21"/>
      <c r="L145" s="21"/>
    </row>
    <row r="146" spans="1:12" ht="29" x14ac:dyDescent="0.35">
      <c r="A146" s="21" t="s">
        <v>1202</v>
      </c>
      <c r="B146" s="21" t="s">
        <v>1213</v>
      </c>
      <c r="C146" s="21" t="s">
        <v>1214</v>
      </c>
      <c r="D146" s="21"/>
      <c r="E146" s="21" t="s">
        <v>996</v>
      </c>
      <c r="F146" s="21"/>
      <c r="G146" s="21"/>
      <c r="H146" s="21"/>
      <c r="I146" s="21"/>
      <c r="J146" s="21"/>
      <c r="K146" s="21"/>
      <c r="L146" s="21"/>
    </row>
    <row r="147" spans="1:12" ht="29" x14ac:dyDescent="0.35">
      <c r="A147" s="21" t="s">
        <v>1215</v>
      </c>
      <c r="B147" s="21" t="s">
        <v>1216</v>
      </c>
      <c r="C147" s="21" t="s">
        <v>1217</v>
      </c>
      <c r="D147" s="21"/>
      <c r="E147" s="21" t="s">
        <v>996</v>
      </c>
      <c r="F147" s="21"/>
      <c r="G147" s="21"/>
      <c r="H147" s="21"/>
      <c r="I147" s="21"/>
      <c r="J147" s="21"/>
      <c r="K147" s="21"/>
      <c r="L147" s="21"/>
    </row>
    <row r="148" spans="1:12" ht="29" x14ac:dyDescent="0.35">
      <c r="A148" s="21" t="s">
        <v>1215</v>
      </c>
      <c r="B148" s="21" t="s">
        <v>1218</v>
      </c>
      <c r="C148" s="21" t="s">
        <v>1219</v>
      </c>
      <c r="D148" s="21"/>
      <c r="E148" s="21" t="s">
        <v>996</v>
      </c>
      <c r="F148" s="21"/>
      <c r="G148" s="21"/>
      <c r="H148" s="21"/>
      <c r="I148" s="21"/>
      <c r="J148" s="21"/>
      <c r="K148" s="21"/>
      <c r="L148" s="21"/>
    </row>
    <row r="149" spans="1:12" ht="29" x14ac:dyDescent="0.35">
      <c r="A149" s="21" t="s">
        <v>1215</v>
      </c>
      <c r="B149" s="21" t="s">
        <v>1220</v>
      </c>
      <c r="C149" s="21" t="s">
        <v>1221</v>
      </c>
      <c r="D149" s="21"/>
      <c r="E149" s="21" t="s">
        <v>996</v>
      </c>
      <c r="F149" s="21"/>
      <c r="G149" s="21"/>
      <c r="H149" s="21"/>
      <c r="I149" s="21"/>
      <c r="J149" s="21"/>
      <c r="K149" s="21"/>
      <c r="L149" s="21"/>
    </row>
    <row r="150" spans="1:12" ht="29" x14ac:dyDescent="0.35">
      <c r="A150" s="21" t="s">
        <v>1215</v>
      </c>
      <c r="B150" s="21" t="s">
        <v>1222</v>
      </c>
      <c r="C150" s="21" t="s">
        <v>1223</v>
      </c>
      <c r="D150" s="21"/>
      <c r="E150" s="21" t="s">
        <v>996</v>
      </c>
      <c r="F150" s="21"/>
      <c r="G150" s="21"/>
      <c r="H150" s="21"/>
      <c r="I150" s="21"/>
      <c r="J150" s="21"/>
      <c r="K150" s="21"/>
      <c r="L150" s="21"/>
    </row>
    <row r="151" spans="1:12" ht="24" customHeight="1" x14ac:dyDescent="0.35">
      <c r="A151" s="133" t="s">
        <v>1215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</row>
    <row r="152" spans="1:12" x14ac:dyDescent="0.35">
      <c r="A152" s="21" t="s">
        <v>1215</v>
      </c>
      <c r="B152" s="21" t="s">
        <v>1224</v>
      </c>
      <c r="C152" s="21" t="s">
        <v>1225</v>
      </c>
      <c r="D152" s="21"/>
      <c r="E152" s="21" t="s">
        <v>996</v>
      </c>
      <c r="F152" s="21"/>
      <c r="G152" s="21"/>
      <c r="H152" s="21"/>
      <c r="I152" s="21"/>
      <c r="J152" s="21"/>
      <c r="K152" s="21"/>
      <c r="L152" s="21"/>
    </row>
    <row r="158" spans="1:12" x14ac:dyDescent="0.35">
      <c r="A158" s="98" t="s">
        <v>1226</v>
      </c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</row>
    <row r="160" spans="1:12" ht="29" x14ac:dyDescent="0.35">
      <c r="A160" s="100" t="s">
        <v>1227</v>
      </c>
      <c r="B160" s="100" t="s">
        <v>1228</v>
      </c>
      <c r="C160" s="100" t="s">
        <v>1229</v>
      </c>
      <c r="D160" s="100" t="s">
        <v>389</v>
      </c>
      <c r="E160" s="100" t="s">
        <v>870</v>
      </c>
      <c r="F160" s="100" t="s">
        <v>390</v>
      </c>
      <c r="G160" s="100" t="s">
        <v>990</v>
      </c>
      <c r="H160" s="100" t="s">
        <v>1230</v>
      </c>
      <c r="I160" s="100"/>
      <c r="J160" s="100"/>
      <c r="K160" s="100"/>
      <c r="L160" s="100"/>
    </row>
    <row r="161" spans="1:8" x14ac:dyDescent="0.35">
      <c r="A161" s="21" t="s">
        <v>1231</v>
      </c>
      <c r="B161" s="21"/>
      <c r="C161" s="21"/>
      <c r="D161" s="21"/>
      <c r="E161" s="21"/>
      <c r="F161" s="21"/>
      <c r="G161" s="21"/>
      <c r="H161" s="21"/>
    </row>
    <row r="162" spans="1:8" x14ac:dyDescent="0.35">
      <c r="A162" s="21" t="s">
        <v>1232</v>
      </c>
      <c r="B162" s="21"/>
      <c r="C162" s="21"/>
      <c r="D162" s="21"/>
      <c r="E162" s="21"/>
      <c r="F162" s="21"/>
      <c r="G162" s="21"/>
      <c r="H162" s="21"/>
    </row>
    <row r="163" spans="1:8" x14ac:dyDescent="0.35">
      <c r="A163" s="21" t="s">
        <v>509</v>
      </c>
      <c r="B163" s="21"/>
      <c r="C163" s="21"/>
      <c r="D163" s="21"/>
      <c r="E163" s="21"/>
      <c r="F163" s="21"/>
      <c r="G163" s="21"/>
      <c r="H163" s="21"/>
    </row>
    <row r="164" spans="1:8" x14ac:dyDescent="0.35">
      <c r="A164" s="21" t="s">
        <v>1233</v>
      </c>
      <c r="B164" s="21"/>
      <c r="C164" s="21"/>
      <c r="D164" s="21"/>
      <c r="E164" s="21"/>
      <c r="F164" s="21"/>
      <c r="G164" s="21"/>
      <c r="H164" s="21"/>
    </row>
    <row r="165" spans="1:8" x14ac:dyDescent="0.35">
      <c r="A165" s="21" t="s">
        <v>1234</v>
      </c>
      <c r="B165" s="21"/>
      <c r="C165" s="21"/>
      <c r="D165" s="21"/>
      <c r="E165" s="21"/>
      <c r="F165" s="21"/>
      <c r="G165" s="21"/>
      <c r="H165" s="21"/>
    </row>
    <row r="166" spans="1:8" x14ac:dyDescent="0.35">
      <c r="A166" s="21" t="s">
        <v>1235</v>
      </c>
      <c r="B166" s="21"/>
      <c r="C166" s="21"/>
      <c r="D166" s="21"/>
      <c r="E166" s="21"/>
      <c r="F166" s="21"/>
      <c r="G166" s="21"/>
      <c r="H166" s="21"/>
    </row>
    <row r="167" spans="1:8" x14ac:dyDescent="0.35">
      <c r="A167" s="21" t="s">
        <v>1236</v>
      </c>
      <c r="B167" s="21"/>
      <c r="C167" s="21"/>
      <c r="D167" s="21"/>
      <c r="E167" s="21"/>
      <c r="F167" s="21"/>
      <c r="G167" s="21"/>
      <c r="H167" s="21"/>
    </row>
    <row r="168" spans="1:8" x14ac:dyDescent="0.35">
      <c r="A168" s="21" t="s">
        <v>1237</v>
      </c>
      <c r="B168" s="21"/>
      <c r="C168" s="21"/>
      <c r="D168" s="21"/>
      <c r="E168" s="21"/>
      <c r="F168" s="21"/>
      <c r="G168" s="21"/>
      <c r="H168" s="21"/>
    </row>
    <row r="169" spans="1:8" x14ac:dyDescent="0.35">
      <c r="A169" s="21" t="s">
        <v>1238</v>
      </c>
      <c r="B169" s="21"/>
      <c r="C169" s="21"/>
      <c r="D169" s="21"/>
      <c r="E169" s="21"/>
      <c r="F169" s="21"/>
      <c r="G169" s="21"/>
      <c r="H169" s="21"/>
    </row>
    <row r="170" spans="1:8" x14ac:dyDescent="0.35">
      <c r="A170" s="21" t="s">
        <v>1239</v>
      </c>
      <c r="B170" s="21"/>
      <c r="C170" s="21"/>
      <c r="D170" s="21"/>
      <c r="E170" s="21"/>
      <c r="F170" s="21"/>
      <c r="G170" s="21"/>
      <c r="H170" s="21"/>
    </row>
    <row r="171" spans="1:8" x14ac:dyDescent="0.35">
      <c r="A171" s="21" t="s">
        <v>1240</v>
      </c>
      <c r="B171" s="21"/>
      <c r="C171" s="21"/>
      <c r="D171" s="21"/>
      <c r="E171" s="21"/>
      <c r="F171" s="21"/>
      <c r="G171" s="21"/>
      <c r="H171" s="21"/>
    </row>
    <row r="172" spans="1:8" x14ac:dyDescent="0.35">
      <c r="A172" s="21" t="s">
        <v>1241</v>
      </c>
      <c r="B172" s="21"/>
      <c r="C172" s="21"/>
      <c r="D172" s="21"/>
      <c r="E172" s="21"/>
      <c r="F172" s="21"/>
      <c r="G172" s="21"/>
      <c r="H172" s="21"/>
    </row>
    <row r="173" spans="1:8" x14ac:dyDescent="0.35">
      <c r="A173" s="21" t="s">
        <v>1242</v>
      </c>
      <c r="B173" s="21"/>
      <c r="C173" s="21"/>
      <c r="D173" s="21"/>
      <c r="E173" s="21"/>
      <c r="F173" s="21"/>
      <c r="G173" s="21"/>
      <c r="H173" s="21"/>
    </row>
    <row r="174" spans="1:8" x14ac:dyDescent="0.35">
      <c r="A174" s="21" t="s">
        <v>1243</v>
      </c>
      <c r="B174" s="21"/>
      <c r="C174" s="21"/>
      <c r="D174" s="21"/>
      <c r="E174" s="21"/>
      <c r="F174" s="21"/>
      <c r="G174" s="21"/>
      <c r="H174" s="21"/>
    </row>
    <row r="175" spans="1:8" x14ac:dyDescent="0.35">
      <c r="A175" s="21" t="s">
        <v>1244</v>
      </c>
      <c r="B175" s="21"/>
      <c r="C175" s="21"/>
      <c r="D175" s="21"/>
      <c r="E175" s="21"/>
      <c r="F175" s="21"/>
      <c r="G175" s="21"/>
      <c r="H175" s="21"/>
    </row>
    <row r="176" spans="1:8" x14ac:dyDescent="0.35">
      <c r="A176" s="21" t="s">
        <v>1245</v>
      </c>
      <c r="B176" s="21"/>
      <c r="C176" s="21"/>
      <c r="D176" s="21"/>
      <c r="E176" s="21"/>
      <c r="F176" s="21"/>
      <c r="G176" s="21"/>
      <c r="H176" s="21"/>
    </row>
    <row r="177" spans="1:12" x14ac:dyDescent="0.35">
      <c r="A177" s="21" t="s">
        <v>1246</v>
      </c>
      <c r="B177" s="21"/>
      <c r="C177" s="21"/>
      <c r="D177" s="21"/>
      <c r="E177" s="21"/>
      <c r="F177" s="21"/>
      <c r="G177" s="21"/>
      <c r="H177" s="21"/>
    </row>
    <row r="178" spans="1:12" x14ac:dyDescent="0.35">
      <c r="A178" s="21" t="s">
        <v>1247</v>
      </c>
      <c r="B178" s="21"/>
      <c r="C178" s="21"/>
      <c r="D178" s="21"/>
      <c r="E178" s="21"/>
      <c r="F178" s="21"/>
      <c r="G178" s="21"/>
      <c r="H178" s="21"/>
    </row>
    <row r="179" spans="1:12" ht="24" customHeight="1" x14ac:dyDescent="0.35">
      <c r="A179" s="133" t="s">
        <v>1248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</row>
    <row r="180" spans="1:12" x14ac:dyDescent="0.35">
      <c r="A180" s="21" t="s">
        <v>1249</v>
      </c>
      <c r="B180" s="21"/>
      <c r="C180" s="21"/>
      <c r="D180" s="21"/>
      <c r="E180" s="21"/>
      <c r="F180" s="21"/>
      <c r="G180" s="21"/>
      <c r="H180" s="21"/>
    </row>
    <row r="186" spans="1:12" x14ac:dyDescent="0.35">
      <c r="A186" s="98" t="s">
        <v>1250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</row>
    <row r="188" spans="1:12" ht="29" x14ac:dyDescent="0.35">
      <c r="A188" s="100" t="s">
        <v>1251</v>
      </c>
      <c r="B188" s="100" t="s">
        <v>1252</v>
      </c>
      <c r="C188" s="100" t="s">
        <v>1253</v>
      </c>
      <c r="D188" s="100" t="s">
        <v>1254</v>
      </c>
      <c r="E188" s="100" t="s">
        <v>870</v>
      </c>
      <c r="F188" s="100" t="s">
        <v>1255</v>
      </c>
      <c r="G188" s="100" t="s">
        <v>338</v>
      </c>
    </row>
    <row r="189" spans="1:12" x14ac:dyDescent="0.35">
      <c r="A189" s="21" t="s">
        <v>428</v>
      </c>
      <c r="B189" s="21"/>
      <c r="C189" s="21"/>
      <c r="D189" s="21"/>
      <c r="E189" s="21"/>
      <c r="F189" s="21"/>
      <c r="G189" s="21"/>
    </row>
    <row r="190" spans="1:12" x14ac:dyDescent="0.35">
      <c r="A190" s="21" t="s">
        <v>582</v>
      </c>
      <c r="B190" s="21"/>
      <c r="C190" s="21"/>
      <c r="D190" s="21"/>
      <c r="E190" s="21"/>
      <c r="F190" s="21"/>
      <c r="G190" s="21"/>
    </row>
    <row r="191" spans="1:12" x14ac:dyDescent="0.35">
      <c r="A191" s="21" t="s">
        <v>435</v>
      </c>
      <c r="B191" s="21"/>
      <c r="C191" s="21"/>
      <c r="D191" s="21"/>
      <c r="E191" s="21"/>
      <c r="F191" s="21"/>
      <c r="G191" s="21"/>
    </row>
    <row r="192" spans="1:12" x14ac:dyDescent="0.35">
      <c r="A192" s="21" t="s">
        <v>93</v>
      </c>
      <c r="B192" s="21"/>
      <c r="C192" s="21"/>
      <c r="D192" s="21"/>
      <c r="E192" s="21"/>
      <c r="F192" s="21"/>
      <c r="G192" s="21"/>
    </row>
    <row r="193" spans="1:12" x14ac:dyDescent="0.35">
      <c r="A193" s="21" t="s">
        <v>431</v>
      </c>
      <c r="B193" s="21"/>
      <c r="C193" s="21"/>
      <c r="D193" s="21"/>
      <c r="E193" s="21"/>
      <c r="F193" s="21"/>
      <c r="G193" s="21"/>
    </row>
    <row r="194" spans="1:12" x14ac:dyDescent="0.35">
      <c r="A194" s="21" t="s">
        <v>97</v>
      </c>
      <c r="B194" s="21"/>
      <c r="C194" s="21"/>
      <c r="D194" s="21"/>
      <c r="E194" s="21"/>
      <c r="F194" s="21"/>
      <c r="G194" s="21"/>
    </row>
    <row r="195" spans="1:12" x14ac:dyDescent="0.35">
      <c r="A195" s="21" t="s">
        <v>100</v>
      </c>
      <c r="B195" s="21"/>
      <c r="C195" s="21"/>
      <c r="D195" s="21"/>
      <c r="E195" s="21"/>
      <c r="F195" s="21"/>
      <c r="G195" s="21"/>
    </row>
    <row r="196" spans="1:12" x14ac:dyDescent="0.35">
      <c r="A196" s="21" t="s">
        <v>1176</v>
      </c>
      <c r="B196" s="21"/>
      <c r="C196" s="21"/>
      <c r="D196" s="21"/>
      <c r="E196" s="21"/>
      <c r="F196" s="21"/>
      <c r="G196" s="21"/>
    </row>
    <row r="197" spans="1:12" x14ac:dyDescent="0.35">
      <c r="A197" s="21" t="s">
        <v>160</v>
      </c>
      <c r="B197" s="21"/>
      <c r="C197" s="21"/>
      <c r="D197" s="21"/>
      <c r="E197" s="21"/>
      <c r="F197" s="21"/>
      <c r="G197" s="21"/>
    </row>
    <row r="198" spans="1:12" x14ac:dyDescent="0.35">
      <c r="A198" s="21" t="s">
        <v>1256</v>
      </c>
      <c r="B198" s="21"/>
      <c r="C198" s="21"/>
      <c r="D198" s="21"/>
      <c r="E198" s="21"/>
      <c r="F198" s="21"/>
      <c r="G198" s="21"/>
    </row>
    <row r="199" spans="1:12" x14ac:dyDescent="0.35">
      <c r="A199" s="21" t="s">
        <v>1257</v>
      </c>
      <c r="B199" s="21"/>
      <c r="C199" s="21"/>
      <c r="D199" s="21"/>
      <c r="E199" s="21"/>
      <c r="F199" s="21"/>
      <c r="G199" s="21"/>
    </row>
    <row r="200" spans="1:12" x14ac:dyDescent="0.35">
      <c r="A200" s="21" t="s">
        <v>1258</v>
      </c>
      <c r="B200" s="21"/>
      <c r="C200" s="21"/>
      <c r="D200" s="21"/>
      <c r="E200" s="21"/>
      <c r="F200" s="21"/>
      <c r="G200" s="21"/>
    </row>
    <row r="201" spans="1:12" x14ac:dyDescent="0.35">
      <c r="A201" s="21" t="s">
        <v>116</v>
      </c>
      <c r="B201" s="21"/>
      <c r="C201" s="21"/>
      <c r="D201" s="21"/>
      <c r="E201" s="21"/>
      <c r="F201" s="21"/>
      <c r="G201" s="21"/>
    </row>
    <row r="202" spans="1:12" x14ac:dyDescent="0.35">
      <c r="A202" s="21" t="s">
        <v>129</v>
      </c>
      <c r="B202" s="21"/>
      <c r="C202" s="21"/>
      <c r="D202" s="21"/>
      <c r="E202" s="21"/>
      <c r="F202" s="21"/>
      <c r="G202" s="21"/>
    </row>
    <row r="203" spans="1:12" x14ac:dyDescent="0.35">
      <c r="A203" s="21" t="s">
        <v>437</v>
      </c>
      <c r="B203" s="21"/>
      <c r="C203" s="21"/>
      <c r="D203" s="21"/>
      <c r="E203" s="21"/>
      <c r="F203" s="21"/>
      <c r="G203" s="21"/>
    </row>
    <row r="204" spans="1:12" x14ac:dyDescent="0.35">
      <c r="A204" s="21" t="s">
        <v>125</v>
      </c>
      <c r="B204" s="21"/>
      <c r="C204" s="21"/>
      <c r="D204" s="21"/>
      <c r="E204" s="21"/>
      <c r="F204" s="21"/>
      <c r="G204" s="21"/>
    </row>
    <row r="205" spans="1:12" x14ac:dyDescent="0.35">
      <c r="A205" s="21" t="s">
        <v>442</v>
      </c>
      <c r="B205" s="21"/>
      <c r="C205" s="21"/>
      <c r="D205" s="21"/>
      <c r="E205" s="21"/>
      <c r="F205" s="21"/>
      <c r="G205" s="21"/>
    </row>
    <row r="206" spans="1:12" x14ac:dyDescent="0.35">
      <c r="A206" s="21" t="s">
        <v>1259</v>
      </c>
      <c r="B206" s="21"/>
      <c r="C206" s="21"/>
      <c r="D206" s="21"/>
      <c r="E206" s="21"/>
      <c r="F206" s="21"/>
      <c r="G206" s="21"/>
    </row>
    <row r="207" spans="1:12" ht="24" customHeight="1" x14ac:dyDescent="0.35">
      <c r="A207" s="133" t="s">
        <v>1260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</row>
    <row r="208" spans="1:12" x14ac:dyDescent="0.35">
      <c r="A208" s="21" t="s">
        <v>439</v>
      </c>
      <c r="B208" s="21"/>
      <c r="C208" s="21"/>
      <c r="D208" s="21"/>
      <c r="E208" s="21"/>
      <c r="F208" s="21"/>
      <c r="G208" s="21"/>
    </row>
    <row r="214" spans="1:12" x14ac:dyDescent="0.35">
      <c r="A214" s="98" t="s">
        <v>1261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</row>
    <row r="216" spans="1:12" x14ac:dyDescent="0.35">
      <c r="A216" s="100" t="s">
        <v>1262</v>
      </c>
      <c r="B216" s="100" t="s">
        <v>1263</v>
      </c>
      <c r="C216" s="100" t="s">
        <v>292</v>
      </c>
      <c r="D216" s="100" t="s">
        <v>371</v>
      </c>
      <c r="E216" s="100" t="s">
        <v>360</v>
      </c>
      <c r="F216" s="100" t="s">
        <v>1264</v>
      </c>
      <c r="G216" s="100" t="s">
        <v>990</v>
      </c>
      <c r="H216" s="100" t="s">
        <v>338</v>
      </c>
    </row>
    <row r="217" spans="1:12" x14ac:dyDescent="0.35">
      <c r="A217" t="s">
        <v>1265</v>
      </c>
    </row>
    <row r="218" spans="1:12" x14ac:dyDescent="0.35">
      <c r="A218" t="s">
        <v>1266</v>
      </c>
    </row>
    <row r="219" spans="1:12" x14ac:dyDescent="0.35">
      <c r="A219" t="s">
        <v>1267</v>
      </c>
    </row>
    <row r="220" spans="1:12" x14ac:dyDescent="0.35">
      <c r="A220" t="s">
        <v>1268</v>
      </c>
    </row>
    <row r="221" spans="1:12" x14ac:dyDescent="0.35">
      <c r="A221" t="s">
        <v>1269</v>
      </c>
    </row>
    <row r="222" spans="1:12" x14ac:dyDescent="0.35">
      <c r="A222" t="s">
        <v>1270</v>
      </c>
    </row>
    <row r="223" spans="1:12" ht="24" customHeight="1" x14ac:dyDescent="0.35">
      <c r="A223" s="129" t="s">
        <v>1271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</row>
    <row r="224" spans="1:12" x14ac:dyDescent="0.35">
      <c r="A224" t="s">
        <v>1272</v>
      </c>
    </row>
    <row r="230" spans="1:12" x14ac:dyDescent="0.35">
      <c r="A230" s="98" t="s">
        <v>1273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2" spans="1:12" ht="29" x14ac:dyDescent="0.35">
      <c r="A232" s="100" t="s">
        <v>1229</v>
      </c>
      <c r="B232" s="100" t="s">
        <v>1274</v>
      </c>
      <c r="C232" s="100" t="s">
        <v>390</v>
      </c>
      <c r="D232" s="100" t="s">
        <v>351</v>
      </c>
      <c r="E232" s="100" t="s">
        <v>352</v>
      </c>
      <c r="F232" s="100" t="s">
        <v>292</v>
      </c>
      <c r="G232" s="100" t="s">
        <v>353</v>
      </c>
      <c r="H232" s="100" t="s">
        <v>338</v>
      </c>
    </row>
    <row r="240" spans="1:12" x14ac:dyDescent="0.3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</row>
    <row r="241" spans="1:12" x14ac:dyDescent="0.3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</row>
    <row r="247" spans="1:12" ht="29" x14ac:dyDescent="0.35">
      <c r="A247" s="106" t="s">
        <v>1275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3"/>
    </row>
    <row r="248" spans="1:12" ht="43.5" x14ac:dyDescent="0.35">
      <c r="A248" s="111" t="s">
        <v>1276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3"/>
    </row>
    <row r="249" spans="1:12" ht="29" x14ac:dyDescent="0.35">
      <c r="A249" s="110" t="s">
        <v>1277</v>
      </c>
      <c r="B249" s="110" t="s">
        <v>1278</v>
      </c>
      <c r="C249" s="110" t="s">
        <v>81</v>
      </c>
      <c r="D249" s="110" t="s">
        <v>615</v>
      </c>
      <c r="E249" s="110" t="s">
        <v>616</v>
      </c>
      <c r="F249" s="110" t="s">
        <v>990</v>
      </c>
      <c r="G249" s="110" t="s">
        <v>1279</v>
      </c>
      <c r="H249" s="110" t="s">
        <v>390</v>
      </c>
      <c r="I249" s="110" t="s">
        <v>351</v>
      </c>
      <c r="J249" s="110" t="s">
        <v>292</v>
      </c>
      <c r="K249" s="110" t="s">
        <v>353</v>
      </c>
      <c r="L249" s="110" t="s">
        <v>619</v>
      </c>
    </row>
    <row r="250" spans="1:12" x14ac:dyDescent="0.35">
      <c r="A250" s="105" t="s">
        <v>1280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x14ac:dyDescent="0.35">
      <c r="A251" s="105" t="s">
        <v>1281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x14ac:dyDescent="0.35">
      <c r="A252" s="105" t="s">
        <v>1282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29" x14ac:dyDescent="0.35">
      <c r="A253" s="105" t="s">
        <v>1283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29" x14ac:dyDescent="0.35">
      <c r="A254" s="105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29" x14ac:dyDescent="0.35">
      <c r="A255" s="105" t="s">
        <v>1285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29" x14ac:dyDescent="0.35">
      <c r="A256" s="105" t="s">
        <v>1286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29" x14ac:dyDescent="0.35">
      <c r="A257" s="105" t="s">
        <v>1287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29" x14ac:dyDescent="0.35">
      <c r="A258" s="105" t="s">
        <v>1288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29" x14ac:dyDescent="0.35">
      <c r="A259" s="105" t="s">
        <v>1289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29" x14ac:dyDescent="0.35">
      <c r="A260" s="105" t="s">
        <v>1290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29" x14ac:dyDescent="0.35">
      <c r="A261" s="105" t="s">
        <v>1291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29" x14ac:dyDescent="0.35">
      <c r="A262" s="105" t="s">
        <v>1292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43.5" x14ac:dyDescent="0.35">
      <c r="A263" s="105" t="s">
        <v>1293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29" x14ac:dyDescent="0.35">
      <c r="A264" s="105" t="s">
        <v>1294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x14ac:dyDescent="0.35">
      <c r="A265" s="105" t="s">
        <v>1295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</sheetData>
  <mergeCells count="9">
    <mergeCell ref="A1:L1"/>
    <mergeCell ref="A17:L17"/>
    <mergeCell ref="A241:L241"/>
    <mergeCell ref="A223:L223"/>
    <mergeCell ref="A35:L35"/>
    <mergeCell ref="A240:L240"/>
    <mergeCell ref="A179:L179"/>
    <mergeCell ref="A151:L151"/>
    <mergeCell ref="A207:L207"/>
  </mergeCells>
  <conditionalFormatting sqref="B12">
    <cfRule type="expression" dxfId="195" priority="12">
      <formula>B12="Green"</formula>
    </cfRule>
    <cfRule type="expression" dxfId="194" priority="13">
      <formula>B12="Amber"</formula>
    </cfRule>
    <cfRule type="expression" dxfId="193" priority="14">
      <formula>B12="Red"</formula>
    </cfRule>
  </conditionalFormatting>
  <conditionalFormatting sqref="B182:B201">
    <cfRule type="expression" dxfId="192" priority="3">
      <formula>B182="Pass"</formula>
    </cfRule>
  </conditionalFormatting>
  <conditionalFormatting sqref="C20:C43">
    <cfRule type="expression" dxfId="191" priority="8">
      <formula>C20="Green"</formula>
    </cfRule>
    <cfRule type="expression" dxfId="190" priority="9">
      <formula>C20="Amber"</formula>
    </cfRule>
    <cfRule type="expression" dxfId="189" priority="10">
      <formula>C20="Red"</formula>
    </cfRule>
    <cfRule type="expression" dxfId="188" priority="11">
      <formula>C20="N/A"</formula>
    </cfRule>
  </conditionalFormatting>
  <conditionalFormatting sqref="C20:C45">
    <cfRule type="expression" dxfId="187" priority="4">
      <formula>ISNUMBER(SEARCH("Green",C20))</formula>
    </cfRule>
    <cfRule type="expression" dxfId="186" priority="5">
      <formula>ISNUMBER(SEARCH("Amber",C20))</formula>
    </cfRule>
    <cfRule type="expression" dxfId="185" priority="6">
      <formula>ISNUMBER(SEARCH("Red",C20))</formula>
    </cfRule>
    <cfRule type="expression" dxfId="184" priority="7">
      <formula>C20="N/A"</formula>
    </cfRule>
  </conditionalFormatting>
  <conditionalFormatting sqref="E154:E173">
    <cfRule type="expression" dxfId="183" priority="2">
      <formula>E154="Pass"</formula>
    </cfRule>
  </conditionalFormatting>
  <conditionalFormatting sqref="H38:H145">
    <cfRule type="expression" dxfId="182" priority="1">
      <formula>H38="Pass"</formula>
    </cfRule>
  </conditionalFormatting>
  <dataValidations count="8">
    <dataValidation type="list" sqref="H38:H145 E154:E173" xr:uid="{00000000-0002-0000-3200-000000000000}">
      <formula1>"Pass,Developing,Fail,N/A"</formula1>
    </dataValidation>
    <dataValidation type="list" sqref="F38:F145" xr:uid="{00000000-0002-0000-3200-000001000000}">
      <formula1>"1,2,3,4,5"</formula1>
    </dataValidation>
    <dataValidation type="list" sqref="B182:B201" xr:uid="{00000000-0002-0000-3200-000003000000}">
      <formula1>"Complete,In Progress,Not Started,N/A"</formula1>
    </dataValidation>
    <dataValidation type="list" allowBlank="1" sqref="C243:E258" xr:uid="{00000000-0002-0000-3200-000004000000}">
      <formula1>"Yes,No,N/A"</formula1>
    </dataValidation>
    <dataValidation type="list" allowBlank="1" sqref="C20:C45" xr:uid="{00000000-0002-0000-3200-000005000000}">
      <formula1>"Green - Received,Amber - Awaiting,Red - Missing,N/A"</formula1>
    </dataValidation>
    <dataValidation type="list" sqref="C20:C43" xr:uid="{00000000-0002-0000-3200-000006000000}">
      <formula1>"Green,Amber,Red,N/A"</formula1>
    </dataValidation>
    <dataValidation type="list" sqref="F42:F230" xr:uid="{00000000-0002-0000-3200-000007000000}">
      <formula1>"1,2,3,4,5,N/A"</formula1>
    </dataValidation>
    <dataValidation type="list" sqref="H42:H230 H235:H255" xr:uid="{00000000-0002-0000-3200-000008000000}">
      <formula1>"Pass,Fail,Not Assessed,N/A"</formula1>
    </dataValidation>
  </dataValidation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L265"/>
  <sheetViews>
    <sheetView workbookViewId="0"/>
  </sheetViews>
  <sheetFormatPr defaultRowHeight="14.5" x14ac:dyDescent="0.35"/>
  <cols>
    <col min="1" max="1" width="42" customWidth="1"/>
    <col min="2" max="2" width="36" customWidth="1"/>
    <col min="3" max="3" width="52" customWidth="1"/>
    <col min="4" max="4" width="34" customWidth="1"/>
    <col min="5" max="5" width="30" customWidth="1"/>
    <col min="6" max="6" width="12" customWidth="1"/>
    <col min="7" max="7" width="16" customWidth="1"/>
    <col min="8" max="8" width="14" customWidth="1"/>
    <col min="9" max="9" width="28" customWidth="1"/>
    <col min="10" max="12" width="14" customWidth="1"/>
  </cols>
  <sheetData>
    <row r="1" spans="1:12" ht="30" customHeight="1" x14ac:dyDescent="0.35">
      <c r="A1" s="134" t="s">
        <v>1307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x14ac:dyDescent="0.35">
      <c r="A2" t="s">
        <v>928</v>
      </c>
      <c r="D2" t="s">
        <v>929</v>
      </c>
    </row>
    <row r="4" spans="1:12" x14ac:dyDescent="0.35">
      <c r="A4" s="101" t="s">
        <v>882</v>
      </c>
      <c r="B4" s="101" t="str">
        <f>IF('Induction Employee Register'!A16="","",'Induction Employee Register'!A16)</f>
        <v>SW013</v>
      </c>
      <c r="D4" t="s">
        <v>930</v>
      </c>
      <c r="E4" t="s">
        <v>931</v>
      </c>
      <c r="F4" t="s">
        <v>932</v>
      </c>
      <c r="G4" t="s">
        <v>933</v>
      </c>
      <c r="H4" t="s">
        <v>58</v>
      </c>
      <c r="I4" t="s">
        <v>934</v>
      </c>
      <c r="J4" t="s">
        <v>54</v>
      </c>
      <c r="K4" t="s">
        <v>935</v>
      </c>
      <c r="L4" t="s">
        <v>43</v>
      </c>
    </row>
    <row r="5" spans="1:12" x14ac:dyDescent="0.35">
      <c r="A5" s="101" t="s">
        <v>883</v>
      </c>
      <c r="B5" s="101" t="str">
        <f>IF('Induction Employee Register'!B16="","",'Induction Employee Register'!B16)</f>
        <v/>
      </c>
      <c r="D5" t="s">
        <v>936</v>
      </c>
    </row>
    <row r="6" spans="1:12" x14ac:dyDescent="0.35">
      <c r="A6" s="101" t="s">
        <v>322</v>
      </c>
      <c r="B6" s="101" t="str">
        <f>IF('Induction Employee Register'!C16="","",'Induction Employee Register'!C16)</f>
        <v/>
      </c>
      <c r="D6" t="s">
        <v>937</v>
      </c>
      <c r="E6" t="s">
        <v>938</v>
      </c>
    </row>
    <row r="7" spans="1:12" x14ac:dyDescent="0.35">
      <c r="A7" s="101" t="s">
        <v>323</v>
      </c>
      <c r="B7" s="126" t="str">
        <f>IF('Induction Employee Register'!D16="","",'Induction Employee Register'!D16)</f>
        <v/>
      </c>
      <c r="D7" t="s">
        <v>939</v>
      </c>
      <c r="E7" t="s">
        <v>940</v>
      </c>
    </row>
    <row r="8" spans="1:12" x14ac:dyDescent="0.35">
      <c r="A8" s="101" t="s">
        <v>886</v>
      </c>
      <c r="B8" s="125">
        <f>IFERROR(COUNTIF($H$42:$H$230,"Pass")/(COUNTIF($H$42:$H$230,"Pass")+COUNTIF($H$42:$H$230,"Fail")+COUNTIF($H$42:$H$230,"Not Assessed")),0)</f>
        <v>0</v>
      </c>
      <c r="D8" t="s">
        <v>6</v>
      </c>
      <c r="E8" t="s">
        <v>941</v>
      </c>
    </row>
    <row r="9" spans="1:12" x14ac:dyDescent="0.35">
      <c r="A9" s="101" t="s">
        <v>887</v>
      </c>
      <c r="B9" s="125">
        <f>IFERROR(COUNTIF($H$235:$H$255,"Pass")/(COUNTIF($H$235:$H$255,"Pass")+COUNTIF($H$235:$H$255,"Fail")+COUNTIF($H$235:$H$255,"Not Assessed")),0)</f>
        <v>0</v>
      </c>
      <c r="D9" t="s">
        <v>942</v>
      </c>
      <c r="E9" t="s">
        <v>943</v>
      </c>
    </row>
    <row r="10" spans="1:12" x14ac:dyDescent="0.35">
      <c r="A10" s="101" t="s">
        <v>888</v>
      </c>
      <c r="B10" s="125" t="str">
        <f>IFERROR(IF($B$5="","",IF(INDEX('Mandatory Training Dashboard'!$D$5:$D$53,MATCH($B$5,'Mandatory Training Dashboard'!$A$5:$A$53,0))&gt;1,INDEX('Mandatory Training Dashboard'!$D$5:$D$53,MATCH($B$5,'Mandatory Training Dashboard'!$A$5:$A$53,0))/100,INDEX('Mandatory Training Dashboard'!$D$5:$D$53,MATCH($B$5,'Mandatory Training Dashboard'!$A$5:$A$53,0)))),0)</f>
        <v/>
      </c>
      <c r="D10" t="s">
        <v>944</v>
      </c>
      <c r="E10" t="s">
        <v>945</v>
      </c>
    </row>
    <row r="11" spans="1:12" x14ac:dyDescent="0.35">
      <c r="A11" s="101" t="s">
        <v>893</v>
      </c>
      <c r="B11" s="125">
        <f>IFERROR(AVERAGE(B8:B10),0)</f>
        <v>0</v>
      </c>
      <c r="D11" t="s">
        <v>946</v>
      </c>
      <c r="E11" t="s">
        <v>947</v>
      </c>
    </row>
    <row r="12" spans="1:12" x14ac:dyDescent="0.35">
      <c r="A12" s="101" t="s">
        <v>948</v>
      </c>
      <c r="B12" s="101" t="str">
        <f>IF(B11&gt;=0.9,"Green",IF(B11&gt;=0.75,"Amber","Red"))</f>
        <v>Red</v>
      </c>
      <c r="D12" t="s">
        <v>949</v>
      </c>
      <c r="E12" t="s">
        <v>950</v>
      </c>
    </row>
    <row r="13" spans="1:12" x14ac:dyDescent="0.35">
      <c r="A13" s="101" t="s">
        <v>891</v>
      </c>
      <c r="B13" s="101">
        <f>IF('Induction Employee Register'!N16="","",'Induction Employee Register'!N16)</f>
        <v>0</v>
      </c>
      <c r="D13" t="s">
        <v>951</v>
      </c>
      <c r="E13" t="s">
        <v>952</v>
      </c>
    </row>
    <row r="14" spans="1:12" x14ac:dyDescent="0.35">
      <c r="A14" s="101" t="s">
        <v>892</v>
      </c>
      <c r="B14" s="101" t="str">
        <f>IF('Induction Employee Register'!O16="","",'Induction Employee Register'!O16)</f>
        <v/>
      </c>
    </row>
    <row r="17" spans="1:12" ht="24" customHeight="1" x14ac:dyDescent="0.35">
      <c r="A17" s="135" t="s">
        <v>953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9" spans="1:12" ht="29" x14ac:dyDescent="0.35">
      <c r="A19" s="116" t="s">
        <v>954</v>
      </c>
      <c r="B19" s="116" t="s">
        <v>955</v>
      </c>
      <c r="C19" s="116" t="s">
        <v>956</v>
      </c>
      <c r="D19" s="116" t="s">
        <v>957</v>
      </c>
      <c r="E19" s="116" t="s">
        <v>958</v>
      </c>
      <c r="F19" s="116" t="s">
        <v>353</v>
      </c>
      <c r="G19" s="116" t="s">
        <v>335</v>
      </c>
      <c r="H19" s="116" t="s">
        <v>338</v>
      </c>
      <c r="I19" s="117" t="s">
        <v>959</v>
      </c>
      <c r="J19" t="s">
        <v>960</v>
      </c>
      <c r="K19" t="s">
        <v>300</v>
      </c>
      <c r="L19" t="s">
        <v>961</v>
      </c>
    </row>
    <row r="20" spans="1:12" x14ac:dyDescent="0.35">
      <c r="A20" s="118" t="s">
        <v>962</v>
      </c>
      <c r="B20" s="118" t="s">
        <v>81</v>
      </c>
      <c r="C20" s="118"/>
      <c r="D20" s="127"/>
      <c r="E20" s="127"/>
      <c r="F20" s="118"/>
      <c r="G20" s="118"/>
      <c r="H20" s="118"/>
      <c r="J20" t="s">
        <v>310</v>
      </c>
      <c r="K20" t="str">
        <f>IF('Induction Employee Register'!W16="","",'Induction Employee Register'!W16)</f>
        <v/>
      </c>
      <c r="L20" t="s">
        <v>963</v>
      </c>
    </row>
    <row r="21" spans="1:12" x14ac:dyDescent="0.35">
      <c r="A21" s="118" t="s">
        <v>964</v>
      </c>
      <c r="B21" s="118" t="s">
        <v>81</v>
      </c>
      <c r="C21" s="118"/>
      <c r="D21" s="127"/>
      <c r="E21" s="127"/>
      <c r="F21" s="118"/>
      <c r="G21" s="118"/>
      <c r="H21" s="118"/>
      <c r="J21" t="s">
        <v>311</v>
      </c>
      <c r="K21" t="str">
        <f>IF('Induction Employee Register'!X16="","",'Induction Employee Register'!X16)</f>
        <v/>
      </c>
      <c r="L21" t="s">
        <v>965</v>
      </c>
    </row>
    <row r="22" spans="1:12" x14ac:dyDescent="0.35">
      <c r="A22" s="118" t="s">
        <v>966</v>
      </c>
      <c r="B22" s="118" t="s">
        <v>81</v>
      </c>
      <c r="C22" s="118"/>
      <c r="D22" s="127"/>
      <c r="E22" s="127"/>
      <c r="F22" s="118"/>
      <c r="G22" s="118"/>
      <c r="H22" s="118"/>
      <c r="J22" t="s">
        <v>312</v>
      </c>
      <c r="K22" t="str">
        <f>IF('Induction Employee Register'!Y16="","",'Induction Employee Register'!Y16)</f>
        <v/>
      </c>
      <c r="L22" t="s">
        <v>967</v>
      </c>
    </row>
    <row r="23" spans="1:12" x14ac:dyDescent="0.35">
      <c r="A23" s="118" t="s">
        <v>52</v>
      </c>
      <c r="B23" s="118" t="s">
        <v>81</v>
      </c>
      <c r="C23" s="118"/>
      <c r="D23" s="127"/>
      <c r="E23" s="127"/>
      <c r="F23" s="118"/>
      <c r="G23" s="118"/>
      <c r="H23" s="118"/>
      <c r="J23" t="s">
        <v>313</v>
      </c>
      <c r="K23" t="str">
        <f>IF('Induction Employee Register'!Z16="","",'Induction Employee Register'!Z16)</f>
        <v/>
      </c>
      <c r="L23" t="s">
        <v>968</v>
      </c>
    </row>
    <row r="24" spans="1:12" x14ac:dyDescent="0.35">
      <c r="A24" s="118" t="s">
        <v>50</v>
      </c>
      <c r="B24" s="118" t="s">
        <v>81</v>
      </c>
      <c r="C24" s="118"/>
      <c r="D24" s="127"/>
      <c r="E24" s="127"/>
      <c r="F24" s="118"/>
      <c r="G24" s="118"/>
      <c r="H24" s="118"/>
      <c r="J24" t="s">
        <v>314</v>
      </c>
      <c r="K24" t="str">
        <f>IF('Induction Employee Register'!AA16="","",'Induction Employee Register'!AA16)</f>
        <v/>
      </c>
      <c r="L24" t="s">
        <v>968</v>
      </c>
    </row>
    <row r="25" spans="1:12" x14ac:dyDescent="0.35">
      <c r="A25" s="118" t="s">
        <v>329</v>
      </c>
      <c r="B25" s="118" t="s">
        <v>81</v>
      </c>
      <c r="C25" s="118"/>
      <c r="D25" s="127"/>
      <c r="E25" s="127"/>
      <c r="F25" s="118"/>
      <c r="G25" s="118"/>
      <c r="H25" s="118"/>
      <c r="J25" t="s">
        <v>315</v>
      </c>
      <c r="K25" t="str">
        <f>IF('Induction Employee Register'!AB16="","",'Induction Employee Register'!AB16)</f>
        <v/>
      </c>
      <c r="L25" t="s">
        <v>967</v>
      </c>
    </row>
    <row r="26" spans="1:12" x14ac:dyDescent="0.35">
      <c r="A26" s="118" t="s">
        <v>969</v>
      </c>
      <c r="B26" s="118" t="s">
        <v>81</v>
      </c>
      <c r="C26" s="118"/>
      <c r="D26" s="127"/>
      <c r="E26" s="127"/>
      <c r="F26" s="118"/>
      <c r="G26" s="118"/>
      <c r="H26" s="118"/>
      <c r="J26" t="s">
        <v>316</v>
      </c>
      <c r="K26" t="str">
        <f>IF('Induction Employee Register'!AC16="","",'Induction Employee Register'!AC16)</f>
        <v/>
      </c>
      <c r="L26" t="s">
        <v>967</v>
      </c>
    </row>
    <row r="27" spans="1:12" x14ac:dyDescent="0.35">
      <c r="A27" s="118" t="s">
        <v>970</v>
      </c>
      <c r="B27" s="118" t="s">
        <v>81</v>
      </c>
      <c r="C27" s="118"/>
      <c r="D27" s="127"/>
      <c r="E27" s="127"/>
      <c r="F27" s="118"/>
      <c r="G27" s="118"/>
      <c r="H27" s="118"/>
    </row>
    <row r="28" spans="1:12" x14ac:dyDescent="0.35">
      <c r="A28" s="118" t="s">
        <v>971</v>
      </c>
      <c r="B28" s="118" t="s">
        <v>81</v>
      </c>
      <c r="C28" s="118"/>
      <c r="D28" s="127"/>
      <c r="E28" s="127"/>
      <c r="F28" s="118"/>
      <c r="G28" s="118"/>
      <c r="H28" s="118"/>
    </row>
    <row r="29" spans="1:12" x14ac:dyDescent="0.35">
      <c r="A29" s="118" t="s">
        <v>972</v>
      </c>
      <c r="B29" s="118" t="s">
        <v>81</v>
      </c>
      <c r="C29" s="118"/>
      <c r="D29" s="127"/>
      <c r="E29" s="127"/>
      <c r="F29" s="118"/>
      <c r="G29" s="118"/>
      <c r="H29" s="118"/>
    </row>
    <row r="30" spans="1:12" x14ac:dyDescent="0.35">
      <c r="A30" s="118" t="s">
        <v>973</v>
      </c>
      <c r="B30" s="118" t="s">
        <v>81</v>
      </c>
      <c r="C30" s="118"/>
      <c r="D30" s="127"/>
      <c r="E30" s="127"/>
      <c r="F30" s="118"/>
      <c r="G30" s="118"/>
      <c r="H30" s="118"/>
    </row>
    <row r="31" spans="1:12" x14ac:dyDescent="0.35">
      <c r="A31" s="118" t="s">
        <v>974</v>
      </c>
      <c r="B31" s="118" t="s">
        <v>81</v>
      </c>
      <c r="C31" s="118"/>
      <c r="D31" s="127"/>
      <c r="E31" s="127"/>
      <c r="F31" s="118"/>
      <c r="G31" s="118"/>
      <c r="H31" s="118"/>
    </row>
    <row r="32" spans="1:12" x14ac:dyDescent="0.35">
      <c r="A32" s="118" t="s">
        <v>975</v>
      </c>
      <c r="B32" s="118" t="s">
        <v>81</v>
      </c>
      <c r="C32" s="118"/>
      <c r="D32" s="127"/>
      <c r="E32" s="127"/>
      <c r="F32" s="118"/>
      <c r="G32" s="118"/>
      <c r="H32" s="118"/>
    </row>
    <row r="33" spans="1:12" x14ac:dyDescent="0.35">
      <c r="A33" s="118" t="s">
        <v>54</v>
      </c>
      <c r="B33" s="118" t="s">
        <v>81</v>
      </c>
      <c r="C33" s="118"/>
      <c r="D33" s="127"/>
      <c r="E33" s="127"/>
      <c r="F33" s="118"/>
      <c r="G33" s="118"/>
      <c r="H33" s="118"/>
    </row>
    <row r="34" spans="1:12" x14ac:dyDescent="0.35">
      <c r="A34" s="119" t="s">
        <v>976</v>
      </c>
      <c r="B34" s="119" t="s">
        <v>81</v>
      </c>
      <c r="C34" s="119"/>
      <c r="D34" s="127"/>
      <c r="E34" s="127"/>
      <c r="F34" s="119"/>
      <c r="G34" s="119"/>
      <c r="H34" s="119"/>
    </row>
    <row r="35" spans="1:12" ht="24" customHeight="1" x14ac:dyDescent="0.35">
      <c r="A35" s="130" t="s">
        <v>977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</row>
    <row r="36" spans="1:12" x14ac:dyDescent="0.35">
      <c r="A36" s="119" t="s">
        <v>978</v>
      </c>
      <c r="B36" s="119" t="s">
        <v>81</v>
      </c>
      <c r="C36" s="119"/>
      <c r="D36" s="127"/>
      <c r="E36" s="127"/>
      <c r="F36" s="119"/>
      <c r="G36" s="119"/>
      <c r="H36" s="119"/>
    </row>
    <row r="37" spans="1:12" x14ac:dyDescent="0.35">
      <c r="A37" s="119" t="s">
        <v>979</v>
      </c>
      <c r="B37" s="119" t="s">
        <v>81</v>
      </c>
      <c r="C37" s="119"/>
      <c r="D37" s="127"/>
      <c r="E37" s="127"/>
      <c r="F37" s="119"/>
      <c r="G37" s="119"/>
      <c r="H37" s="119"/>
    </row>
    <row r="38" spans="1:12" x14ac:dyDescent="0.35">
      <c r="A38" s="119" t="s">
        <v>980</v>
      </c>
      <c r="B38" s="119" t="s">
        <v>81</v>
      </c>
      <c r="C38" s="119"/>
      <c r="D38" s="127"/>
      <c r="E38" s="127"/>
      <c r="F38" s="119"/>
      <c r="G38" s="119"/>
      <c r="H38" s="119"/>
    </row>
    <row r="39" spans="1:12" x14ac:dyDescent="0.35">
      <c r="A39" s="119" t="s">
        <v>981</v>
      </c>
      <c r="B39" s="119" t="s">
        <v>81</v>
      </c>
      <c r="C39" s="119"/>
      <c r="D39" s="127"/>
      <c r="E39" s="127"/>
      <c r="F39" s="119"/>
      <c r="G39" s="119"/>
      <c r="H39" s="119"/>
    </row>
    <row r="40" spans="1:12" x14ac:dyDescent="0.35">
      <c r="A40" s="119" t="s">
        <v>982</v>
      </c>
      <c r="B40" s="119" t="s">
        <v>81</v>
      </c>
      <c r="C40" s="119"/>
      <c r="D40" s="127"/>
      <c r="E40" s="127"/>
      <c r="F40" s="119"/>
      <c r="G40" s="119"/>
      <c r="H40" s="119"/>
    </row>
    <row r="41" spans="1:12" x14ac:dyDescent="0.35">
      <c r="A41" s="118"/>
      <c r="B41" s="118"/>
      <c r="C41" s="118"/>
      <c r="D41" s="127"/>
      <c r="E41" s="127"/>
      <c r="F41" s="118"/>
      <c r="G41" s="118"/>
      <c r="H41" s="118"/>
    </row>
    <row r="42" spans="1:12" x14ac:dyDescent="0.35">
      <c r="A42" s="120" t="s">
        <v>983</v>
      </c>
      <c r="B42" s="118"/>
      <c r="C42" s="118"/>
      <c r="D42" s="127"/>
      <c r="E42" s="127"/>
      <c r="F42" s="118"/>
      <c r="G42" s="118"/>
      <c r="H42" s="118"/>
      <c r="I42" s="96"/>
      <c r="J42" s="96"/>
      <c r="K42" s="96"/>
      <c r="L42" s="96"/>
    </row>
    <row r="43" spans="1:12" x14ac:dyDescent="0.35">
      <c r="A43" s="118"/>
      <c r="B43" s="118"/>
      <c r="C43" s="118"/>
      <c r="D43" s="127"/>
      <c r="E43" s="127"/>
      <c r="F43" s="118"/>
      <c r="G43" s="118"/>
      <c r="H43" s="118"/>
    </row>
    <row r="44" spans="1:12" ht="29" x14ac:dyDescent="0.35">
      <c r="A44" s="116" t="s">
        <v>984</v>
      </c>
      <c r="B44" s="116" t="s">
        <v>985</v>
      </c>
      <c r="C44" s="116" t="s">
        <v>986</v>
      </c>
      <c r="D44" s="116" t="s">
        <v>987</v>
      </c>
      <c r="E44" s="116" t="s">
        <v>988</v>
      </c>
      <c r="F44" s="116" t="s">
        <v>989</v>
      </c>
      <c r="G44" s="116" t="s">
        <v>389</v>
      </c>
      <c r="H44" s="116" t="s">
        <v>870</v>
      </c>
      <c r="I44" s="100" t="s">
        <v>390</v>
      </c>
      <c r="J44" s="100" t="s">
        <v>990</v>
      </c>
      <c r="K44" s="100" t="s">
        <v>991</v>
      </c>
      <c r="L44" s="100" t="s">
        <v>992</v>
      </c>
    </row>
    <row r="45" spans="1:12" ht="29" x14ac:dyDescent="0.35">
      <c r="A45" s="121" t="s">
        <v>993</v>
      </c>
      <c r="B45" s="121" t="s">
        <v>994</v>
      </c>
      <c r="C45" s="121" t="s">
        <v>995</v>
      </c>
      <c r="D45" s="121"/>
      <c r="E45" s="121" t="s">
        <v>996</v>
      </c>
      <c r="F45" s="121"/>
      <c r="G45" s="121"/>
      <c r="H45" s="121"/>
      <c r="I45" s="21"/>
      <c r="J45" s="21"/>
      <c r="K45" s="21"/>
      <c r="L45" s="21"/>
    </row>
    <row r="46" spans="1:12" ht="29" x14ac:dyDescent="0.35">
      <c r="A46" s="21" t="s">
        <v>993</v>
      </c>
      <c r="B46" s="21" t="s">
        <v>997</v>
      </c>
      <c r="C46" s="21" t="s">
        <v>998</v>
      </c>
      <c r="D46" s="21"/>
      <c r="E46" s="21" t="s">
        <v>996</v>
      </c>
      <c r="F46" s="21"/>
      <c r="G46" s="21"/>
      <c r="H46" s="21"/>
      <c r="I46" s="21"/>
      <c r="J46" s="21"/>
      <c r="K46" s="21"/>
      <c r="L46" s="21"/>
    </row>
    <row r="47" spans="1:12" ht="29" x14ac:dyDescent="0.35">
      <c r="A47" s="21" t="s">
        <v>993</v>
      </c>
      <c r="B47" s="21" t="s">
        <v>999</v>
      </c>
      <c r="C47" s="21" t="s">
        <v>1000</v>
      </c>
      <c r="D47" s="21"/>
      <c r="E47" s="21" t="s">
        <v>996</v>
      </c>
      <c r="F47" s="21"/>
      <c r="G47" s="21"/>
      <c r="H47" s="21"/>
      <c r="I47" s="21"/>
      <c r="J47" s="21"/>
      <c r="K47" s="21"/>
      <c r="L47" s="21"/>
    </row>
    <row r="48" spans="1:12" ht="29" x14ac:dyDescent="0.35">
      <c r="A48" s="21" t="s">
        <v>993</v>
      </c>
      <c r="B48" s="21" t="s">
        <v>1001</v>
      </c>
      <c r="C48" s="21" t="s">
        <v>1002</v>
      </c>
      <c r="D48" s="21"/>
      <c r="E48" s="21" t="s">
        <v>996</v>
      </c>
      <c r="F48" s="21"/>
      <c r="G48" s="21"/>
      <c r="H48" s="21"/>
      <c r="I48" s="21"/>
      <c r="J48" s="21"/>
      <c r="K48" s="21"/>
      <c r="L48" s="21"/>
    </row>
    <row r="49" spans="1:12" ht="43.5" x14ac:dyDescent="0.35">
      <c r="A49" s="21" t="s">
        <v>993</v>
      </c>
      <c r="B49" s="21" t="s">
        <v>1003</v>
      </c>
      <c r="C49" s="21" t="s">
        <v>1004</v>
      </c>
      <c r="D49" s="21"/>
      <c r="E49" s="21" t="s">
        <v>996</v>
      </c>
      <c r="F49" s="21"/>
      <c r="G49" s="21"/>
      <c r="H49" s="21"/>
      <c r="I49" s="21"/>
      <c r="J49" s="21"/>
      <c r="K49" s="21"/>
      <c r="L49" s="21"/>
    </row>
    <row r="50" spans="1:12" ht="29" x14ac:dyDescent="0.35">
      <c r="A50" s="21" t="s">
        <v>993</v>
      </c>
      <c r="B50" s="21" t="s">
        <v>1005</v>
      </c>
      <c r="C50" s="21" t="s">
        <v>1006</v>
      </c>
      <c r="D50" s="21"/>
      <c r="E50" s="21" t="s">
        <v>996</v>
      </c>
      <c r="F50" s="21"/>
      <c r="G50" s="21"/>
      <c r="H50" s="21"/>
      <c r="I50" s="21"/>
      <c r="J50" s="21"/>
      <c r="K50" s="21"/>
      <c r="L50" s="21"/>
    </row>
    <row r="51" spans="1:12" ht="43.5" x14ac:dyDescent="0.35">
      <c r="A51" s="21" t="s">
        <v>1007</v>
      </c>
      <c r="B51" s="21" t="s">
        <v>1008</v>
      </c>
      <c r="C51" s="21" t="s">
        <v>1009</v>
      </c>
      <c r="D51" s="21"/>
      <c r="E51" s="21" t="s">
        <v>996</v>
      </c>
      <c r="F51" s="21"/>
      <c r="G51" s="21"/>
      <c r="H51" s="21"/>
      <c r="I51" s="21"/>
      <c r="J51" s="21"/>
      <c r="K51" s="21"/>
      <c r="L51" s="21"/>
    </row>
    <row r="52" spans="1:12" ht="29" x14ac:dyDescent="0.35">
      <c r="A52" s="21" t="s">
        <v>1007</v>
      </c>
      <c r="B52" s="21" t="s">
        <v>1010</v>
      </c>
      <c r="C52" s="21" t="s">
        <v>1011</v>
      </c>
      <c r="D52" s="21"/>
      <c r="E52" s="21" t="s">
        <v>996</v>
      </c>
      <c r="F52" s="21"/>
      <c r="G52" s="21"/>
      <c r="H52" s="21"/>
      <c r="I52" s="21"/>
      <c r="J52" s="21"/>
      <c r="K52" s="21"/>
      <c r="L52" s="21"/>
    </row>
    <row r="53" spans="1:12" ht="29" x14ac:dyDescent="0.35">
      <c r="A53" s="21" t="s">
        <v>1007</v>
      </c>
      <c r="B53" s="21" t="s">
        <v>1012</v>
      </c>
      <c r="C53" s="21" t="s">
        <v>1013</v>
      </c>
      <c r="D53" s="21"/>
      <c r="E53" s="21" t="s">
        <v>996</v>
      </c>
      <c r="F53" s="21"/>
      <c r="G53" s="21"/>
      <c r="H53" s="21"/>
      <c r="I53" s="21"/>
      <c r="J53" s="21"/>
      <c r="K53" s="21"/>
      <c r="L53" s="21"/>
    </row>
    <row r="54" spans="1:12" ht="29" x14ac:dyDescent="0.35">
      <c r="A54" s="21" t="s">
        <v>1007</v>
      </c>
      <c r="B54" s="21" t="s">
        <v>1014</v>
      </c>
      <c r="C54" s="21" t="s">
        <v>1015</v>
      </c>
      <c r="D54" s="21"/>
      <c r="E54" s="21" t="s">
        <v>996</v>
      </c>
      <c r="F54" s="21"/>
      <c r="G54" s="21"/>
      <c r="H54" s="21"/>
      <c r="I54" s="21"/>
      <c r="J54" s="21"/>
      <c r="K54" s="21"/>
      <c r="L54" s="21"/>
    </row>
    <row r="55" spans="1:12" ht="29" x14ac:dyDescent="0.35">
      <c r="A55" s="21" t="s">
        <v>1007</v>
      </c>
      <c r="B55" s="21" t="s">
        <v>1016</v>
      </c>
      <c r="C55" s="21" t="s">
        <v>1017</v>
      </c>
      <c r="D55" s="21"/>
      <c r="E55" s="21" t="s">
        <v>996</v>
      </c>
      <c r="F55" s="21"/>
      <c r="G55" s="21"/>
      <c r="H55" s="21"/>
      <c r="I55" s="21"/>
      <c r="J55" s="21"/>
      <c r="K55" s="21"/>
      <c r="L55" s="21"/>
    </row>
    <row r="56" spans="1:12" ht="29" x14ac:dyDescent="0.35">
      <c r="A56" s="21" t="s">
        <v>1007</v>
      </c>
      <c r="B56" s="21" t="s">
        <v>1018</v>
      </c>
      <c r="C56" s="21" t="s">
        <v>1019</v>
      </c>
      <c r="D56" s="21"/>
      <c r="E56" s="21" t="s">
        <v>996</v>
      </c>
      <c r="F56" s="21"/>
      <c r="G56" s="21"/>
      <c r="H56" s="21"/>
      <c r="I56" s="21"/>
      <c r="J56" s="21"/>
      <c r="K56" s="21"/>
      <c r="L56" s="21"/>
    </row>
    <row r="57" spans="1:12" ht="43.5" x14ac:dyDescent="0.35">
      <c r="A57" s="21" t="s">
        <v>1020</v>
      </c>
      <c r="B57" s="21" t="s">
        <v>1021</v>
      </c>
      <c r="C57" s="21" t="s">
        <v>1022</v>
      </c>
      <c r="D57" s="21"/>
      <c r="E57" s="21" t="s">
        <v>1023</v>
      </c>
      <c r="F57" s="21"/>
      <c r="G57" s="21"/>
      <c r="H57" s="21"/>
      <c r="I57" s="21"/>
      <c r="J57" s="21"/>
      <c r="K57" s="21"/>
      <c r="L57" s="21"/>
    </row>
    <row r="58" spans="1:12" ht="43.5" x14ac:dyDescent="0.35">
      <c r="A58" s="21" t="s">
        <v>1020</v>
      </c>
      <c r="B58" s="21" t="s">
        <v>1024</v>
      </c>
      <c r="C58" s="21" t="s">
        <v>1025</v>
      </c>
      <c r="D58" s="21"/>
      <c r="E58" s="21" t="s">
        <v>1023</v>
      </c>
      <c r="F58" s="21"/>
      <c r="G58" s="21"/>
      <c r="H58" s="21"/>
      <c r="I58" s="21"/>
      <c r="J58" s="21"/>
      <c r="K58" s="21"/>
      <c r="L58" s="21"/>
    </row>
    <row r="59" spans="1:12" ht="43.5" x14ac:dyDescent="0.35">
      <c r="A59" s="21" t="s">
        <v>1020</v>
      </c>
      <c r="B59" s="21" t="s">
        <v>1026</v>
      </c>
      <c r="C59" s="21" t="s">
        <v>1027</v>
      </c>
      <c r="D59" s="21"/>
      <c r="E59" s="21" t="s">
        <v>1023</v>
      </c>
      <c r="F59" s="21"/>
      <c r="G59" s="21"/>
      <c r="H59" s="21"/>
      <c r="I59" s="21"/>
      <c r="J59" s="21"/>
      <c r="K59" s="21"/>
      <c r="L59" s="21"/>
    </row>
    <row r="60" spans="1:12" ht="43.5" x14ac:dyDescent="0.35">
      <c r="A60" s="21" t="s">
        <v>1020</v>
      </c>
      <c r="B60" s="21" t="s">
        <v>1028</v>
      </c>
      <c r="C60" s="21" t="s">
        <v>1029</v>
      </c>
      <c r="D60" s="21"/>
      <c r="E60" s="21" t="s">
        <v>1023</v>
      </c>
      <c r="F60" s="21"/>
      <c r="G60" s="21"/>
      <c r="H60" s="21"/>
      <c r="I60" s="21"/>
      <c r="J60" s="21"/>
      <c r="K60" s="21"/>
      <c r="L60" s="21"/>
    </row>
    <row r="61" spans="1:12" ht="43.5" x14ac:dyDescent="0.35">
      <c r="A61" s="21" t="s">
        <v>1020</v>
      </c>
      <c r="B61" s="21" t="s">
        <v>1030</v>
      </c>
      <c r="C61" s="21" t="s">
        <v>1031</v>
      </c>
      <c r="D61" s="21"/>
      <c r="E61" s="21" t="s">
        <v>1023</v>
      </c>
      <c r="F61" s="21"/>
      <c r="G61" s="21"/>
      <c r="H61" s="21"/>
      <c r="I61" s="21"/>
      <c r="J61" s="21"/>
      <c r="K61" s="21"/>
      <c r="L61" s="21"/>
    </row>
    <row r="62" spans="1:12" ht="43.5" x14ac:dyDescent="0.35">
      <c r="A62" s="21" t="s">
        <v>1020</v>
      </c>
      <c r="B62" s="21" t="s">
        <v>1032</v>
      </c>
      <c r="C62" s="21" t="s">
        <v>1033</v>
      </c>
      <c r="D62" s="21"/>
      <c r="E62" s="21" t="s">
        <v>1023</v>
      </c>
      <c r="F62" s="21"/>
      <c r="G62" s="21"/>
      <c r="H62" s="21"/>
      <c r="I62" s="21"/>
      <c r="J62" s="21"/>
      <c r="K62" s="21"/>
      <c r="L62" s="21"/>
    </row>
    <row r="63" spans="1:12" ht="29" x14ac:dyDescent="0.35">
      <c r="A63" s="21" t="s">
        <v>428</v>
      </c>
      <c r="B63" s="21" t="s">
        <v>1034</v>
      </c>
      <c r="C63" s="21" t="s">
        <v>1035</v>
      </c>
      <c r="D63" s="21"/>
      <c r="E63" s="21" t="s">
        <v>996</v>
      </c>
      <c r="F63" s="21"/>
      <c r="G63" s="21"/>
      <c r="H63" s="21"/>
      <c r="I63" s="21"/>
      <c r="J63" s="21"/>
      <c r="K63" s="21"/>
      <c r="L63" s="21"/>
    </row>
    <row r="64" spans="1:12" ht="43.5" x14ac:dyDescent="0.35">
      <c r="A64" s="21" t="s">
        <v>428</v>
      </c>
      <c r="B64" s="21" t="s">
        <v>1036</v>
      </c>
      <c r="C64" s="21" t="s">
        <v>1037</v>
      </c>
      <c r="D64" s="21"/>
      <c r="E64" s="21" t="s">
        <v>996</v>
      </c>
      <c r="F64" s="21"/>
      <c r="G64" s="21"/>
      <c r="H64" s="21"/>
      <c r="I64" s="21"/>
      <c r="J64" s="21"/>
      <c r="K64" s="21"/>
      <c r="L64" s="21"/>
    </row>
    <row r="65" spans="1:12" ht="29" x14ac:dyDescent="0.35">
      <c r="A65" s="21" t="s">
        <v>428</v>
      </c>
      <c r="B65" s="21" t="s">
        <v>1038</v>
      </c>
      <c r="C65" s="21" t="s">
        <v>1039</v>
      </c>
      <c r="D65" s="21"/>
      <c r="E65" s="21" t="s">
        <v>996</v>
      </c>
      <c r="F65" s="21"/>
      <c r="G65" s="21"/>
      <c r="H65" s="21"/>
      <c r="I65" s="21"/>
      <c r="J65" s="21"/>
      <c r="K65" s="21"/>
      <c r="L65" s="21"/>
    </row>
    <row r="66" spans="1:12" ht="43.5" x14ac:dyDescent="0.35">
      <c r="A66" s="21" t="s">
        <v>428</v>
      </c>
      <c r="B66" s="21" t="s">
        <v>1040</v>
      </c>
      <c r="C66" s="21" t="s">
        <v>1041</v>
      </c>
      <c r="D66" s="21"/>
      <c r="E66" s="21" t="s">
        <v>996</v>
      </c>
      <c r="F66" s="21"/>
      <c r="G66" s="21"/>
      <c r="H66" s="21"/>
      <c r="I66" s="21"/>
      <c r="J66" s="21"/>
      <c r="K66" s="21"/>
      <c r="L66" s="21"/>
    </row>
    <row r="67" spans="1:12" ht="29" x14ac:dyDescent="0.35">
      <c r="A67" s="21" t="s">
        <v>428</v>
      </c>
      <c r="B67" s="21" t="s">
        <v>1042</v>
      </c>
      <c r="C67" s="21" t="s">
        <v>1043</v>
      </c>
      <c r="D67" s="21"/>
      <c r="E67" s="21" t="s">
        <v>996</v>
      </c>
      <c r="F67" s="21"/>
      <c r="G67" s="21"/>
      <c r="H67" s="21"/>
      <c r="I67" s="21"/>
      <c r="J67" s="21"/>
      <c r="K67" s="21"/>
      <c r="L67" s="21"/>
    </row>
    <row r="68" spans="1:12" ht="29" x14ac:dyDescent="0.35">
      <c r="A68" s="21" t="s">
        <v>428</v>
      </c>
      <c r="B68" s="21" t="s">
        <v>1044</v>
      </c>
      <c r="C68" s="21" t="s">
        <v>1045</v>
      </c>
      <c r="D68" s="21"/>
      <c r="E68" s="21" t="s">
        <v>996</v>
      </c>
      <c r="F68" s="21"/>
      <c r="G68" s="21"/>
      <c r="H68" s="21"/>
      <c r="I68" s="21"/>
      <c r="J68" s="21"/>
      <c r="K68" s="21"/>
      <c r="L68" s="21"/>
    </row>
    <row r="69" spans="1:12" ht="29" x14ac:dyDescent="0.35">
      <c r="A69" s="21" t="s">
        <v>1046</v>
      </c>
      <c r="B69" s="21" t="s">
        <v>1047</v>
      </c>
      <c r="C69" s="21" t="s">
        <v>1048</v>
      </c>
      <c r="D69" s="21"/>
      <c r="E69" s="21" t="s">
        <v>996</v>
      </c>
      <c r="F69" s="21"/>
      <c r="G69" s="21"/>
      <c r="H69" s="21"/>
      <c r="I69" s="21"/>
      <c r="J69" s="21"/>
      <c r="K69" s="21"/>
      <c r="L69" s="21"/>
    </row>
    <row r="70" spans="1:12" ht="29" x14ac:dyDescent="0.35">
      <c r="A70" s="21" t="s">
        <v>1046</v>
      </c>
      <c r="B70" s="21" t="s">
        <v>1049</v>
      </c>
      <c r="C70" s="21" t="s">
        <v>1050</v>
      </c>
      <c r="D70" s="21"/>
      <c r="E70" s="21" t="s">
        <v>996</v>
      </c>
      <c r="F70" s="21"/>
      <c r="G70" s="21"/>
      <c r="H70" s="21"/>
      <c r="I70" s="21"/>
      <c r="J70" s="21"/>
      <c r="K70" s="21"/>
      <c r="L70" s="21"/>
    </row>
    <row r="71" spans="1:12" ht="29" x14ac:dyDescent="0.35">
      <c r="A71" s="21" t="s">
        <v>1046</v>
      </c>
      <c r="B71" s="21" t="s">
        <v>1051</v>
      </c>
      <c r="C71" s="21" t="s">
        <v>1052</v>
      </c>
      <c r="D71" s="21"/>
      <c r="E71" s="21" t="s">
        <v>996</v>
      </c>
      <c r="F71" s="21"/>
      <c r="G71" s="21"/>
      <c r="H71" s="21"/>
      <c r="I71" s="21"/>
      <c r="J71" s="21"/>
      <c r="K71" s="21"/>
      <c r="L71" s="21"/>
    </row>
    <row r="72" spans="1:12" ht="29" x14ac:dyDescent="0.35">
      <c r="A72" s="21" t="s">
        <v>1046</v>
      </c>
      <c r="B72" s="21" t="s">
        <v>1053</v>
      </c>
      <c r="C72" s="21" t="s">
        <v>1054</v>
      </c>
      <c r="D72" s="21"/>
      <c r="E72" s="21" t="s">
        <v>996</v>
      </c>
      <c r="F72" s="21"/>
      <c r="G72" s="21"/>
      <c r="H72" s="21"/>
      <c r="I72" s="21"/>
      <c r="J72" s="21"/>
      <c r="K72" s="21"/>
      <c r="L72" s="21"/>
    </row>
    <row r="73" spans="1:12" ht="29" x14ac:dyDescent="0.35">
      <c r="A73" s="21" t="s">
        <v>1046</v>
      </c>
      <c r="B73" s="21" t="s">
        <v>1055</v>
      </c>
      <c r="C73" s="21" t="s">
        <v>1056</v>
      </c>
      <c r="D73" s="21"/>
      <c r="E73" s="21" t="s">
        <v>996</v>
      </c>
      <c r="F73" s="21"/>
      <c r="G73" s="21"/>
      <c r="H73" s="21"/>
      <c r="I73" s="21"/>
      <c r="J73" s="21"/>
      <c r="K73" s="21"/>
      <c r="L73" s="21"/>
    </row>
    <row r="74" spans="1:12" ht="29" x14ac:dyDescent="0.35">
      <c r="A74" s="21" t="s">
        <v>1046</v>
      </c>
      <c r="B74" s="21" t="s">
        <v>1057</v>
      </c>
      <c r="C74" s="21" t="s">
        <v>1058</v>
      </c>
      <c r="D74" s="21"/>
      <c r="E74" s="21" t="s">
        <v>996</v>
      </c>
      <c r="F74" s="21"/>
      <c r="G74" s="21"/>
      <c r="H74" s="21"/>
      <c r="I74" s="21"/>
      <c r="J74" s="21"/>
      <c r="K74" s="21"/>
      <c r="L74" s="21"/>
    </row>
    <row r="75" spans="1:12" ht="29" x14ac:dyDescent="0.35">
      <c r="A75" s="21" t="s">
        <v>1059</v>
      </c>
      <c r="B75" s="21" t="s">
        <v>1060</v>
      </c>
      <c r="C75" s="21" t="s">
        <v>1061</v>
      </c>
      <c r="D75" s="21"/>
      <c r="E75" s="21" t="s">
        <v>996</v>
      </c>
      <c r="F75" s="21"/>
      <c r="G75" s="21"/>
      <c r="H75" s="21"/>
      <c r="I75" s="21"/>
      <c r="J75" s="21"/>
      <c r="K75" s="21"/>
      <c r="L75" s="21"/>
    </row>
    <row r="76" spans="1:12" ht="43.5" x14ac:dyDescent="0.35">
      <c r="A76" s="21" t="s">
        <v>1059</v>
      </c>
      <c r="B76" s="21" t="s">
        <v>1062</v>
      </c>
      <c r="C76" s="21" t="s">
        <v>1063</v>
      </c>
      <c r="D76" s="21"/>
      <c r="E76" s="21" t="s">
        <v>996</v>
      </c>
      <c r="F76" s="21"/>
      <c r="G76" s="21"/>
      <c r="H76" s="21"/>
      <c r="I76" s="21"/>
      <c r="J76" s="21"/>
      <c r="K76" s="21"/>
      <c r="L76" s="21"/>
    </row>
    <row r="77" spans="1:12" ht="29" x14ac:dyDescent="0.35">
      <c r="A77" s="21" t="s">
        <v>1059</v>
      </c>
      <c r="B77" s="21" t="s">
        <v>1064</v>
      </c>
      <c r="C77" s="21" t="s">
        <v>1065</v>
      </c>
      <c r="D77" s="21"/>
      <c r="E77" s="21" t="s">
        <v>996</v>
      </c>
      <c r="F77" s="21"/>
      <c r="G77" s="21"/>
      <c r="H77" s="21"/>
      <c r="I77" s="21"/>
      <c r="J77" s="21"/>
      <c r="K77" s="21"/>
      <c r="L77" s="21"/>
    </row>
    <row r="78" spans="1:12" ht="29" x14ac:dyDescent="0.35">
      <c r="A78" s="21" t="s">
        <v>1059</v>
      </c>
      <c r="B78" s="21" t="s">
        <v>1066</v>
      </c>
      <c r="C78" s="21" t="s">
        <v>1067</v>
      </c>
      <c r="D78" s="21"/>
      <c r="E78" s="21" t="s">
        <v>996</v>
      </c>
      <c r="F78" s="21"/>
      <c r="G78" s="21"/>
      <c r="H78" s="21"/>
      <c r="I78" s="21"/>
      <c r="J78" s="21"/>
      <c r="K78" s="21"/>
      <c r="L78" s="21"/>
    </row>
    <row r="79" spans="1:12" ht="29" x14ac:dyDescent="0.35">
      <c r="A79" s="21" t="s">
        <v>1059</v>
      </c>
      <c r="B79" s="21" t="s">
        <v>1068</v>
      </c>
      <c r="C79" s="21" t="s">
        <v>1069</v>
      </c>
      <c r="D79" s="21"/>
      <c r="E79" s="21" t="s">
        <v>996</v>
      </c>
      <c r="F79" s="21"/>
      <c r="G79" s="21"/>
      <c r="H79" s="21"/>
      <c r="I79" s="21"/>
      <c r="J79" s="21"/>
      <c r="K79" s="21"/>
      <c r="L79" s="21"/>
    </row>
    <row r="80" spans="1:12" ht="29" x14ac:dyDescent="0.35">
      <c r="A80" s="21" t="s">
        <v>1059</v>
      </c>
      <c r="B80" s="21" t="s">
        <v>1070</v>
      </c>
      <c r="C80" s="21" t="s">
        <v>1071</v>
      </c>
      <c r="D80" s="21"/>
      <c r="E80" s="21" t="s">
        <v>996</v>
      </c>
      <c r="F80" s="21"/>
      <c r="G80" s="21"/>
      <c r="H80" s="21"/>
      <c r="I80" s="21"/>
      <c r="J80" s="21"/>
      <c r="K80" s="21"/>
      <c r="L80" s="21"/>
    </row>
    <row r="81" spans="1:12" ht="29" x14ac:dyDescent="0.35">
      <c r="A81" s="21" t="s">
        <v>1072</v>
      </c>
      <c r="B81" s="21" t="s">
        <v>1073</v>
      </c>
      <c r="C81" s="21" t="s">
        <v>1074</v>
      </c>
      <c r="D81" s="21"/>
      <c r="E81" s="21" t="s">
        <v>996</v>
      </c>
      <c r="F81" s="21"/>
      <c r="G81" s="21"/>
      <c r="H81" s="21"/>
      <c r="I81" s="21"/>
      <c r="J81" s="21"/>
      <c r="K81" s="21"/>
      <c r="L81" s="21"/>
    </row>
    <row r="82" spans="1:12" ht="29" x14ac:dyDescent="0.35">
      <c r="A82" s="21" t="s">
        <v>1072</v>
      </c>
      <c r="B82" s="21" t="s">
        <v>1075</v>
      </c>
      <c r="C82" s="21" t="s">
        <v>1076</v>
      </c>
      <c r="D82" s="21"/>
      <c r="E82" s="21" t="s">
        <v>996</v>
      </c>
      <c r="F82" s="21"/>
      <c r="G82" s="21"/>
      <c r="H82" s="21"/>
      <c r="I82" s="21"/>
      <c r="J82" s="21"/>
      <c r="K82" s="21"/>
      <c r="L82" s="21"/>
    </row>
    <row r="83" spans="1:12" ht="29" x14ac:dyDescent="0.35">
      <c r="A83" s="21" t="s">
        <v>1072</v>
      </c>
      <c r="B83" s="21" t="s">
        <v>1077</v>
      </c>
      <c r="C83" s="21" t="s">
        <v>1078</v>
      </c>
      <c r="D83" s="21"/>
      <c r="E83" s="21" t="s">
        <v>996</v>
      </c>
      <c r="F83" s="21"/>
      <c r="G83" s="21"/>
      <c r="H83" s="21"/>
      <c r="I83" s="21"/>
      <c r="J83" s="21"/>
      <c r="K83" s="21"/>
      <c r="L83" s="21"/>
    </row>
    <row r="84" spans="1:12" ht="29" x14ac:dyDescent="0.35">
      <c r="A84" s="21" t="s">
        <v>1072</v>
      </c>
      <c r="B84" s="21" t="s">
        <v>1079</v>
      </c>
      <c r="C84" s="21" t="s">
        <v>1080</v>
      </c>
      <c r="D84" s="21"/>
      <c r="E84" s="21" t="s">
        <v>996</v>
      </c>
      <c r="F84" s="21"/>
      <c r="G84" s="21"/>
      <c r="H84" s="21"/>
      <c r="I84" s="21"/>
      <c r="J84" s="21"/>
      <c r="K84" s="21"/>
      <c r="L84" s="21"/>
    </row>
    <row r="85" spans="1:12" ht="29" x14ac:dyDescent="0.35">
      <c r="A85" s="21" t="s">
        <v>1072</v>
      </c>
      <c r="B85" s="21" t="s">
        <v>1081</v>
      </c>
      <c r="C85" s="21" t="s">
        <v>1082</v>
      </c>
      <c r="D85" s="21"/>
      <c r="E85" s="21" t="s">
        <v>996</v>
      </c>
      <c r="F85" s="21"/>
      <c r="G85" s="21"/>
      <c r="H85" s="21"/>
      <c r="I85" s="21"/>
      <c r="J85" s="21"/>
      <c r="K85" s="21"/>
      <c r="L85" s="21"/>
    </row>
    <row r="86" spans="1:12" ht="29" x14ac:dyDescent="0.35">
      <c r="A86" s="21" t="s">
        <v>1072</v>
      </c>
      <c r="B86" s="21" t="s">
        <v>1083</v>
      </c>
      <c r="C86" s="21" t="s">
        <v>1084</v>
      </c>
      <c r="D86" s="21"/>
      <c r="E86" s="21" t="s">
        <v>996</v>
      </c>
      <c r="F86" s="21"/>
      <c r="G86" s="21"/>
      <c r="H86" s="21"/>
      <c r="I86" s="21"/>
      <c r="J86" s="21"/>
      <c r="K86" s="21"/>
      <c r="L86" s="21"/>
    </row>
    <row r="87" spans="1:12" ht="29" x14ac:dyDescent="0.35">
      <c r="A87" s="21" t="s">
        <v>1085</v>
      </c>
      <c r="B87" s="21" t="s">
        <v>1086</v>
      </c>
      <c r="C87" s="21" t="s">
        <v>1087</v>
      </c>
      <c r="D87" s="21"/>
      <c r="E87" s="21" t="s">
        <v>996</v>
      </c>
      <c r="F87" s="21"/>
      <c r="G87" s="21"/>
      <c r="H87" s="21"/>
      <c r="I87" s="21"/>
      <c r="J87" s="21"/>
      <c r="K87" s="21"/>
      <c r="L87" s="21"/>
    </row>
    <row r="88" spans="1:12" ht="29" x14ac:dyDescent="0.35">
      <c r="A88" s="21" t="s">
        <v>1085</v>
      </c>
      <c r="B88" s="21" t="s">
        <v>1088</v>
      </c>
      <c r="C88" s="21" t="s">
        <v>1089</v>
      </c>
      <c r="D88" s="21"/>
      <c r="E88" s="21" t="s">
        <v>996</v>
      </c>
      <c r="F88" s="21"/>
      <c r="G88" s="21"/>
      <c r="H88" s="21"/>
      <c r="I88" s="21"/>
      <c r="J88" s="21"/>
      <c r="K88" s="21"/>
      <c r="L88" s="21"/>
    </row>
    <row r="89" spans="1:12" ht="29" x14ac:dyDescent="0.35">
      <c r="A89" s="21" t="s">
        <v>1085</v>
      </c>
      <c r="B89" s="21" t="s">
        <v>1090</v>
      </c>
      <c r="C89" s="21" t="s">
        <v>1091</v>
      </c>
      <c r="D89" s="21"/>
      <c r="E89" s="21" t="s">
        <v>996</v>
      </c>
      <c r="F89" s="21"/>
      <c r="G89" s="21"/>
      <c r="H89" s="21"/>
      <c r="I89" s="21"/>
      <c r="J89" s="21"/>
      <c r="K89" s="21"/>
      <c r="L89" s="21"/>
    </row>
    <row r="90" spans="1:12" ht="29" x14ac:dyDescent="0.35">
      <c r="A90" s="21" t="s">
        <v>1085</v>
      </c>
      <c r="B90" s="21" t="s">
        <v>1092</v>
      </c>
      <c r="C90" s="21" t="s">
        <v>1093</v>
      </c>
      <c r="D90" s="21"/>
      <c r="E90" s="21" t="s">
        <v>996</v>
      </c>
      <c r="F90" s="21"/>
      <c r="G90" s="21"/>
      <c r="H90" s="21"/>
      <c r="I90" s="21"/>
      <c r="J90" s="21"/>
      <c r="K90" s="21"/>
      <c r="L90" s="21"/>
    </row>
    <row r="91" spans="1:12" ht="29" x14ac:dyDescent="0.35">
      <c r="A91" s="21" t="s">
        <v>1085</v>
      </c>
      <c r="B91" s="21" t="s">
        <v>1094</v>
      </c>
      <c r="C91" s="21" t="s">
        <v>1095</v>
      </c>
      <c r="D91" s="21"/>
      <c r="E91" s="21" t="s">
        <v>996</v>
      </c>
      <c r="F91" s="21"/>
      <c r="G91" s="21"/>
      <c r="H91" s="21"/>
      <c r="I91" s="21"/>
      <c r="J91" s="21"/>
      <c r="K91" s="21"/>
      <c r="L91" s="21"/>
    </row>
    <row r="92" spans="1:12" ht="29" x14ac:dyDescent="0.35">
      <c r="A92" s="21" t="s">
        <v>1085</v>
      </c>
      <c r="B92" s="21" t="s">
        <v>1096</v>
      </c>
      <c r="C92" s="21" t="s">
        <v>1097</v>
      </c>
      <c r="D92" s="21"/>
      <c r="E92" s="21" t="s">
        <v>996</v>
      </c>
      <c r="F92" s="21"/>
      <c r="G92" s="21"/>
      <c r="H92" s="21"/>
      <c r="I92" s="21"/>
      <c r="J92" s="21"/>
      <c r="K92" s="21"/>
      <c r="L92" s="21"/>
    </row>
    <row r="93" spans="1:12" ht="29" x14ac:dyDescent="0.35">
      <c r="A93" s="21" t="s">
        <v>1098</v>
      </c>
      <c r="B93" s="21" t="s">
        <v>1099</v>
      </c>
      <c r="C93" s="21" t="s">
        <v>1100</v>
      </c>
      <c r="D93" s="21"/>
      <c r="E93" s="21" t="s">
        <v>996</v>
      </c>
      <c r="F93" s="21"/>
      <c r="G93" s="21"/>
      <c r="H93" s="21"/>
      <c r="I93" s="21"/>
      <c r="J93" s="21"/>
      <c r="K93" s="21"/>
      <c r="L93" s="21"/>
    </row>
    <row r="94" spans="1:12" ht="29" x14ac:dyDescent="0.35">
      <c r="A94" s="21" t="s">
        <v>1098</v>
      </c>
      <c r="B94" s="21" t="s">
        <v>1101</v>
      </c>
      <c r="C94" s="21" t="s">
        <v>1102</v>
      </c>
      <c r="D94" s="21"/>
      <c r="E94" s="21" t="s">
        <v>996</v>
      </c>
      <c r="F94" s="21"/>
      <c r="G94" s="21"/>
      <c r="H94" s="21"/>
      <c r="I94" s="21"/>
      <c r="J94" s="21"/>
      <c r="K94" s="21"/>
      <c r="L94" s="21"/>
    </row>
    <row r="95" spans="1:12" ht="29" x14ac:dyDescent="0.35">
      <c r="A95" s="21" t="s">
        <v>1098</v>
      </c>
      <c r="B95" s="21" t="s">
        <v>1103</v>
      </c>
      <c r="C95" s="21" t="s">
        <v>1104</v>
      </c>
      <c r="D95" s="21"/>
      <c r="E95" s="21" t="s">
        <v>996</v>
      </c>
      <c r="F95" s="21"/>
      <c r="G95" s="21"/>
      <c r="H95" s="21"/>
      <c r="I95" s="21"/>
      <c r="J95" s="21"/>
      <c r="K95" s="21"/>
      <c r="L95" s="21"/>
    </row>
    <row r="96" spans="1:12" ht="29" x14ac:dyDescent="0.35">
      <c r="A96" s="21" t="s">
        <v>1098</v>
      </c>
      <c r="B96" s="21" t="s">
        <v>1105</v>
      </c>
      <c r="C96" s="21" t="s">
        <v>1106</v>
      </c>
      <c r="D96" s="21"/>
      <c r="E96" s="21" t="s">
        <v>996</v>
      </c>
      <c r="F96" s="21"/>
      <c r="G96" s="21"/>
      <c r="H96" s="21"/>
      <c r="I96" s="21"/>
      <c r="J96" s="21"/>
      <c r="K96" s="21"/>
      <c r="L96" s="21"/>
    </row>
    <row r="97" spans="1:12" ht="29" x14ac:dyDescent="0.35">
      <c r="A97" s="21" t="s">
        <v>1098</v>
      </c>
      <c r="B97" s="21" t="s">
        <v>1107</v>
      </c>
      <c r="C97" s="21" t="s">
        <v>1108</v>
      </c>
      <c r="D97" s="21"/>
      <c r="E97" s="21" t="s">
        <v>996</v>
      </c>
      <c r="F97" s="21"/>
      <c r="G97" s="21"/>
      <c r="H97" s="21"/>
      <c r="I97" s="21"/>
      <c r="J97" s="21"/>
      <c r="K97" s="21"/>
      <c r="L97" s="21"/>
    </row>
    <row r="98" spans="1:12" ht="29" x14ac:dyDescent="0.35">
      <c r="A98" s="21" t="s">
        <v>1098</v>
      </c>
      <c r="B98" s="21" t="s">
        <v>1109</v>
      </c>
      <c r="C98" s="21" t="s">
        <v>1110</v>
      </c>
      <c r="D98" s="21"/>
      <c r="E98" s="21" t="s">
        <v>996</v>
      </c>
      <c r="F98" s="21"/>
      <c r="G98" s="21"/>
      <c r="H98" s="21"/>
      <c r="I98" s="21"/>
      <c r="J98" s="21"/>
      <c r="K98" s="21"/>
      <c r="L98" s="21"/>
    </row>
    <row r="99" spans="1:12" ht="29" x14ac:dyDescent="0.35">
      <c r="A99" s="21" t="s">
        <v>1111</v>
      </c>
      <c r="B99" s="21" t="s">
        <v>1112</v>
      </c>
      <c r="C99" s="21" t="s">
        <v>1113</v>
      </c>
      <c r="D99" s="21"/>
      <c r="E99" s="21" t="s">
        <v>1114</v>
      </c>
      <c r="F99" s="21"/>
      <c r="G99" s="21"/>
      <c r="H99" s="21"/>
      <c r="I99" s="21"/>
      <c r="J99" s="21"/>
      <c r="K99" s="21"/>
      <c r="L99" s="21"/>
    </row>
    <row r="100" spans="1:12" ht="29" x14ac:dyDescent="0.35">
      <c r="A100" s="21" t="s">
        <v>1111</v>
      </c>
      <c r="B100" s="21" t="s">
        <v>1115</v>
      </c>
      <c r="C100" s="21" t="s">
        <v>1116</v>
      </c>
      <c r="D100" s="21"/>
      <c r="E100" s="21" t="s">
        <v>1114</v>
      </c>
      <c r="F100" s="21"/>
      <c r="G100" s="21"/>
      <c r="H100" s="21"/>
      <c r="I100" s="21"/>
      <c r="J100" s="21"/>
      <c r="K100" s="21"/>
      <c r="L100" s="21"/>
    </row>
    <row r="101" spans="1:12" ht="29" x14ac:dyDescent="0.35">
      <c r="A101" s="21" t="s">
        <v>1111</v>
      </c>
      <c r="B101" s="21" t="s">
        <v>1117</v>
      </c>
      <c r="C101" s="21" t="s">
        <v>1118</v>
      </c>
      <c r="D101" s="21"/>
      <c r="E101" s="21" t="s">
        <v>1114</v>
      </c>
      <c r="F101" s="21"/>
      <c r="G101" s="21"/>
      <c r="H101" s="21"/>
      <c r="I101" s="21"/>
      <c r="J101" s="21"/>
      <c r="K101" s="21"/>
      <c r="L101" s="21"/>
    </row>
    <row r="102" spans="1:12" ht="29" x14ac:dyDescent="0.35">
      <c r="A102" s="21" t="s">
        <v>1111</v>
      </c>
      <c r="B102" s="21" t="s">
        <v>1119</v>
      </c>
      <c r="C102" s="21" t="s">
        <v>1120</v>
      </c>
      <c r="D102" s="21"/>
      <c r="E102" s="21" t="s">
        <v>1114</v>
      </c>
      <c r="F102" s="21"/>
      <c r="G102" s="21"/>
      <c r="H102" s="21"/>
      <c r="I102" s="21"/>
      <c r="J102" s="21"/>
      <c r="K102" s="21"/>
      <c r="L102" s="21"/>
    </row>
    <row r="103" spans="1:12" ht="29" x14ac:dyDescent="0.35">
      <c r="A103" s="21" t="s">
        <v>1111</v>
      </c>
      <c r="B103" s="21" t="s">
        <v>1121</v>
      </c>
      <c r="C103" s="21" t="s">
        <v>1122</v>
      </c>
      <c r="D103" s="21"/>
      <c r="E103" s="21" t="s">
        <v>1114</v>
      </c>
      <c r="F103" s="21"/>
      <c r="G103" s="21"/>
      <c r="H103" s="21"/>
      <c r="I103" s="21"/>
      <c r="J103" s="21"/>
      <c r="K103" s="21"/>
      <c r="L103" s="21"/>
    </row>
    <row r="104" spans="1:12" ht="29" x14ac:dyDescent="0.35">
      <c r="A104" s="21" t="s">
        <v>1111</v>
      </c>
      <c r="B104" s="21" t="s">
        <v>1123</v>
      </c>
      <c r="C104" s="21" t="s">
        <v>1124</v>
      </c>
      <c r="D104" s="21"/>
      <c r="E104" s="21" t="s">
        <v>1114</v>
      </c>
      <c r="F104" s="21"/>
      <c r="G104" s="21"/>
      <c r="H104" s="21"/>
      <c r="I104" s="21"/>
      <c r="J104" s="21"/>
      <c r="K104" s="21"/>
      <c r="L104" s="21"/>
    </row>
    <row r="105" spans="1:12" ht="29" x14ac:dyDescent="0.35">
      <c r="A105" s="21" t="s">
        <v>1125</v>
      </c>
      <c r="B105" s="21" t="s">
        <v>1126</v>
      </c>
      <c r="C105" s="21" t="s">
        <v>1127</v>
      </c>
      <c r="D105" s="21"/>
      <c r="E105" s="21" t="s">
        <v>1114</v>
      </c>
      <c r="F105" s="21"/>
      <c r="G105" s="21"/>
      <c r="H105" s="21"/>
      <c r="I105" s="21"/>
      <c r="J105" s="21"/>
      <c r="K105" s="21"/>
      <c r="L105" s="21"/>
    </row>
    <row r="106" spans="1:12" ht="29" x14ac:dyDescent="0.35">
      <c r="A106" s="21" t="s">
        <v>1125</v>
      </c>
      <c r="B106" s="21" t="s">
        <v>1128</v>
      </c>
      <c r="C106" s="21" t="s">
        <v>1129</v>
      </c>
      <c r="D106" s="21"/>
      <c r="E106" s="21" t="s">
        <v>1114</v>
      </c>
      <c r="F106" s="21"/>
      <c r="G106" s="21"/>
      <c r="H106" s="21"/>
      <c r="I106" s="21"/>
      <c r="J106" s="21"/>
      <c r="K106" s="21"/>
      <c r="L106" s="21"/>
    </row>
    <row r="107" spans="1:12" ht="43.5" x14ac:dyDescent="0.35">
      <c r="A107" s="21" t="s">
        <v>1125</v>
      </c>
      <c r="B107" s="21" t="s">
        <v>1130</v>
      </c>
      <c r="C107" s="21" t="s">
        <v>1131</v>
      </c>
      <c r="D107" s="21"/>
      <c r="E107" s="21" t="s">
        <v>1114</v>
      </c>
      <c r="F107" s="21"/>
      <c r="G107" s="21"/>
      <c r="H107" s="21"/>
      <c r="I107" s="21"/>
      <c r="J107" s="21"/>
      <c r="K107" s="21"/>
      <c r="L107" s="21"/>
    </row>
    <row r="108" spans="1:12" ht="29" x14ac:dyDescent="0.35">
      <c r="A108" s="21" t="s">
        <v>1125</v>
      </c>
      <c r="B108" s="21" t="s">
        <v>1132</v>
      </c>
      <c r="C108" s="21" t="s">
        <v>1133</v>
      </c>
      <c r="D108" s="21"/>
      <c r="E108" s="21" t="s">
        <v>1114</v>
      </c>
      <c r="F108" s="21"/>
      <c r="G108" s="21"/>
      <c r="H108" s="21"/>
      <c r="I108" s="21"/>
      <c r="J108" s="21"/>
      <c r="K108" s="21"/>
      <c r="L108" s="21"/>
    </row>
    <row r="109" spans="1:12" ht="29" x14ac:dyDescent="0.35">
      <c r="A109" s="21" t="s">
        <v>1125</v>
      </c>
      <c r="B109" s="21" t="s">
        <v>1134</v>
      </c>
      <c r="C109" s="21" t="s">
        <v>1135</v>
      </c>
      <c r="D109" s="21"/>
      <c r="E109" s="21" t="s">
        <v>1114</v>
      </c>
      <c r="F109" s="21"/>
      <c r="G109" s="21"/>
      <c r="H109" s="21"/>
      <c r="I109" s="21"/>
      <c r="J109" s="21"/>
      <c r="K109" s="21"/>
      <c r="L109" s="21"/>
    </row>
    <row r="110" spans="1:12" ht="29" x14ac:dyDescent="0.35">
      <c r="A110" s="21" t="s">
        <v>1125</v>
      </c>
      <c r="B110" s="21" t="s">
        <v>1136</v>
      </c>
      <c r="C110" s="21" t="s">
        <v>1137</v>
      </c>
      <c r="D110" s="21"/>
      <c r="E110" s="21" t="s">
        <v>1114</v>
      </c>
      <c r="F110" s="21"/>
      <c r="G110" s="21"/>
      <c r="H110" s="21"/>
      <c r="I110" s="21"/>
      <c r="J110" s="21"/>
      <c r="K110" s="21"/>
      <c r="L110" s="21"/>
    </row>
    <row r="111" spans="1:12" ht="29" x14ac:dyDescent="0.35">
      <c r="A111" s="21" t="s">
        <v>1138</v>
      </c>
      <c r="B111" s="21" t="s">
        <v>1139</v>
      </c>
      <c r="C111" s="21" t="s">
        <v>1140</v>
      </c>
      <c r="D111" s="21"/>
      <c r="E111" s="21" t="s">
        <v>996</v>
      </c>
      <c r="F111" s="21"/>
      <c r="G111" s="21"/>
      <c r="H111" s="21"/>
      <c r="I111" s="21"/>
      <c r="J111" s="21"/>
      <c r="K111" s="21"/>
      <c r="L111" s="21"/>
    </row>
    <row r="112" spans="1:12" ht="29" x14ac:dyDescent="0.35">
      <c r="A112" s="21" t="s">
        <v>1138</v>
      </c>
      <c r="B112" s="21" t="s">
        <v>1141</v>
      </c>
      <c r="C112" s="21" t="s">
        <v>1142</v>
      </c>
      <c r="D112" s="21"/>
      <c r="E112" s="21" t="s">
        <v>996</v>
      </c>
      <c r="F112" s="21"/>
      <c r="G112" s="21"/>
      <c r="H112" s="21"/>
      <c r="I112" s="21"/>
      <c r="J112" s="21"/>
      <c r="K112" s="21"/>
      <c r="L112" s="21"/>
    </row>
    <row r="113" spans="1:12" ht="29" x14ac:dyDescent="0.35">
      <c r="A113" s="21" t="s">
        <v>1138</v>
      </c>
      <c r="B113" s="21" t="s">
        <v>1143</v>
      </c>
      <c r="C113" s="21" t="s">
        <v>1144</v>
      </c>
      <c r="D113" s="21"/>
      <c r="E113" s="21" t="s">
        <v>996</v>
      </c>
      <c r="F113" s="21"/>
      <c r="G113" s="21"/>
      <c r="H113" s="21"/>
      <c r="I113" s="21"/>
      <c r="J113" s="21"/>
      <c r="K113" s="21"/>
      <c r="L113" s="21"/>
    </row>
    <row r="114" spans="1:12" ht="29" x14ac:dyDescent="0.35">
      <c r="A114" s="21" t="s">
        <v>1138</v>
      </c>
      <c r="B114" s="21" t="s">
        <v>1145</v>
      </c>
      <c r="C114" s="21" t="s">
        <v>1146</v>
      </c>
      <c r="D114" s="21"/>
      <c r="E114" s="21" t="s">
        <v>996</v>
      </c>
      <c r="F114" s="21"/>
      <c r="G114" s="21"/>
      <c r="H114" s="21"/>
      <c r="I114" s="21"/>
      <c r="J114" s="21"/>
      <c r="K114" s="21"/>
      <c r="L114" s="21"/>
    </row>
    <row r="115" spans="1:12" ht="29" x14ac:dyDescent="0.35">
      <c r="A115" s="21" t="s">
        <v>1138</v>
      </c>
      <c r="B115" s="21" t="s">
        <v>1147</v>
      </c>
      <c r="C115" s="21" t="s">
        <v>1148</v>
      </c>
      <c r="D115" s="21"/>
      <c r="E115" s="21" t="s">
        <v>996</v>
      </c>
      <c r="F115" s="21"/>
      <c r="G115" s="21"/>
      <c r="H115" s="21"/>
      <c r="I115" s="21"/>
      <c r="J115" s="21"/>
      <c r="K115" s="21"/>
      <c r="L115" s="21"/>
    </row>
    <row r="116" spans="1:12" ht="29" x14ac:dyDescent="0.35">
      <c r="A116" s="21" t="s">
        <v>1138</v>
      </c>
      <c r="B116" s="21" t="s">
        <v>1149</v>
      </c>
      <c r="C116" s="21" t="s">
        <v>1150</v>
      </c>
      <c r="D116" s="21"/>
      <c r="E116" s="21" t="s">
        <v>996</v>
      </c>
      <c r="F116" s="21"/>
      <c r="G116" s="21"/>
      <c r="H116" s="21"/>
      <c r="I116" s="21"/>
      <c r="J116" s="21"/>
      <c r="K116" s="21"/>
      <c r="L116" s="21"/>
    </row>
    <row r="117" spans="1:12" ht="29" x14ac:dyDescent="0.35">
      <c r="A117" s="21" t="s">
        <v>1151</v>
      </c>
      <c r="B117" s="21" t="s">
        <v>1152</v>
      </c>
      <c r="C117" s="21" t="s">
        <v>1153</v>
      </c>
      <c r="D117" s="21"/>
      <c r="E117" s="21" t="s">
        <v>996</v>
      </c>
      <c r="F117" s="21"/>
      <c r="G117" s="21"/>
      <c r="H117" s="21"/>
      <c r="I117" s="21"/>
      <c r="J117" s="21"/>
      <c r="K117" s="21"/>
      <c r="L117" s="21"/>
    </row>
    <row r="118" spans="1:12" ht="29" x14ac:dyDescent="0.35">
      <c r="A118" s="21" t="s">
        <v>1151</v>
      </c>
      <c r="B118" s="21" t="s">
        <v>1154</v>
      </c>
      <c r="C118" s="21" t="s">
        <v>1155</v>
      </c>
      <c r="D118" s="21"/>
      <c r="E118" s="21" t="s">
        <v>996</v>
      </c>
      <c r="F118" s="21"/>
      <c r="G118" s="21"/>
      <c r="H118" s="21"/>
      <c r="I118" s="21"/>
      <c r="J118" s="21"/>
      <c r="K118" s="21"/>
      <c r="L118" s="21"/>
    </row>
    <row r="119" spans="1:12" ht="29" x14ac:dyDescent="0.35">
      <c r="A119" s="21" t="s">
        <v>1151</v>
      </c>
      <c r="B119" s="21" t="s">
        <v>1156</v>
      </c>
      <c r="C119" s="21" t="s">
        <v>1157</v>
      </c>
      <c r="D119" s="21"/>
      <c r="E119" s="21" t="s">
        <v>996</v>
      </c>
      <c r="F119" s="21"/>
      <c r="G119" s="21"/>
      <c r="H119" s="21"/>
      <c r="I119" s="21"/>
      <c r="J119" s="21"/>
      <c r="K119" s="21"/>
      <c r="L119" s="21"/>
    </row>
    <row r="120" spans="1:12" ht="29" x14ac:dyDescent="0.35">
      <c r="A120" s="21" t="s">
        <v>1151</v>
      </c>
      <c r="B120" s="21" t="s">
        <v>1158</v>
      </c>
      <c r="C120" s="21" t="s">
        <v>1159</v>
      </c>
      <c r="D120" s="21"/>
      <c r="E120" s="21" t="s">
        <v>996</v>
      </c>
      <c r="F120" s="21"/>
      <c r="G120" s="21"/>
      <c r="H120" s="21"/>
      <c r="I120" s="21"/>
      <c r="J120" s="21"/>
      <c r="K120" s="21"/>
      <c r="L120" s="21"/>
    </row>
    <row r="121" spans="1:12" ht="29" x14ac:dyDescent="0.35">
      <c r="A121" s="21" t="s">
        <v>1151</v>
      </c>
      <c r="B121" s="21" t="s">
        <v>1160</v>
      </c>
      <c r="C121" s="21" t="s">
        <v>1161</v>
      </c>
      <c r="D121" s="21"/>
      <c r="E121" s="21" t="s">
        <v>996</v>
      </c>
      <c r="F121" s="21"/>
      <c r="G121" s="21"/>
      <c r="H121" s="21"/>
      <c r="I121" s="21"/>
      <c r="J121" s="21"/>
      <c r="K121" s="21"/>
      <c r="L121" s="21"/>
    </row>
    <row r="122" spans="1:12" ht="29" x14ac:dyDescent="0.35">
      <c r="A122" s="21" t="s">
        <v>1151</v>
      </c>
      <c r="B122" s="21" t="s">
        <v>1162</v>
      </c>
      <c r="C122" s="21" t="s">
        <v>1163</v>
      </c>
      <c r="D122" s="21"/>
      <c r="E122" s="21" t="s">
        <v>996</v>
      </c>
      <c r="F122" s="21"/>
      <c r="G122" s="21"/>
      <c r="H122" s="21"/>
      <c r="I122" s="21"/>
      <c r="J122" s="21"/>
      <c r="K122" s="21"/>
      <c r="L122" s="21"/>
    </row>
    <row r="123" spans="1:12" ht="29" x14ac:dyDescent="0.35">
      <c r="A123" s="21" t="s">
        <v>432</v>
      </c>
      <c r="B123" s="21" t="s">
        <v>1164</v>
      </c>
      <c r="C123" s="21" t="s">
        <v>1165</v>
      </c>
      <c r="D123" s="21"/>
      <c r="E123" s="21" t="s">
        <v>1114</v>
      </c>
      <c r="F123" s="21"/>
      <c r="G123" s="21"/>
      <c r="H123" s="21"/>
      <c r="I123" s="21"/>
      <c r="J123" s="21"/>
      <c r="K123" s="21"/>
      <c r="L123" s="21"/>
    </row>
    <row r="124" spans="1:12" ht="29" x14ac:dyDescent="0.35">
      <c r="A124" s="21" t="s">
        <v>432</v>
      </c>
      <c r="B124" s="21" t="s">
        <v>1166</v>
      </c>
      <c r="C124" s="21" t="s">
        <v>1167</v>
      </c>
      <c r="D124" s="21"/>
      <c r="E124" s="21" t="s">
        <v>1114</v>
      </c>
      <c r="F124" s="21"/>
      <c r="G124" s="21"/>
      <c r="H124" s="21"/>
      <c r="I124" s="21"/>
      <c r="J124" s="21"/>
      <c r="K124" s="21"/>
      <c r="L124" s="21"/>
    </row>
    <row r="125" spans="1:12" ht="29" x14ac:dyDescent="0.35">
      <c r="A125" s="21" t="s">
        <v>432</v>
      </c>
      <c r="B125" s="21" t="s">
        <v>1168</v>
      </c>
      <c r="C125" s="21" t="s">
        <v>1169</v>
      </c>
      <c r="D125" s="21"/>
      <c r="E125" s="21" t="s">
        <v>1114</v>
      </c>
      <c r="F125" s="21"/>
      <c r="G125" s="21"/>
      <c r="H125" s="21"/>
      <c r="I125" s="21"/>
      <c r="J125" s="21"/>
      <c r="K125" s="21"/>
      <c r="L125" s="21"/>
    </row>
    <row r="126" spans="1:12" ht="29" x14ac:dyDescent="0.35">
      <c r="A126" s="21" t="s">
        <v>432</v>
      </c>
      <c r="B126" s="21" t="s">
        <v>1170</v>
      </c>
      <c r="C126" s="21" t="s">
        <v>1171</v>
      </c>
      <c r="D126" s="21"/>
      <c r="E126" s="21" t="s">
        <v>1114</v>
      </c>
      <c r="F126" s="21"/>
      <c r="G126" s="21"/>
      <c r="H126" s="21"/>
      <c r="I126" s="21"/>
      <c r="J126" s="21"/>
      <c r="K126" s="21"/>
      <c r="L126" s="21"/>
    </row>
    <row r="127" spans="1:12" ht="29" x14ac:dyDescent="0.35">
      <c r="A127" s="21" t="s">
        <v>432</v>
      </c>
      <c r="B127" s="21" t="s">
        <v>1172</v>
      </c>
      <c r="C127" s="21" t="s">
        <v>1173</v>
      </c>
      <c r="D127" s="21"/>
      <c r="E127" s="21" t="s">
        <v>1114</v>
      </c>
      <c r="F127" s="21"/>
      <c r="G127" s="21"/>
      <c r="H127" s="21"/>
      <c r="I127" s="21"/>
      <c r="J127" s="21"/>
      <c r="K127" s="21"/>
      <c r="L127" s="21"/>
    </row>
    <row r="128" spans="1:12" ht="29" x14ac:dyDescent="0.35">
      <c r="A128" s="21" t="s">
        <v>432</v>
      </c>
      <c r="B128" s="21" t="s">
        <v>1174</v>
      </c>
      <c r="C128" s="21" t="s">
        <v>1175</v>
      </c>
      <c r="D128" s="21"/>
      <c r="E128" s="21" t="s">
        <v>1114</v>
      </c>
      <c r="F128" s="21"/>
      <c r="G128" s="21"/>
      <c r="H128" s="21"/>
      <c r="I128" s="21"/>
      <c r="J128" s="21"/>
      <c r="K128" s="21"/>
      <c r="L128" s="21"/>
    </row>
    <row r="129" spans="1:12" ht="29" x14ac:dyDescent="0.35">
      <c r="A129" s="21" t="s">
        <v>1176</v>
      </c>
      <c r="B129" s="21" t="s">
        <v>1177</v>
      </c>
      <c r="C129" s="21" t="s">
        <v>1178</v>
      </c>
      <c r="D129" s="21"/>
      <c r="E129" s="21" t="s">
        <v>996</v>
      </c>
      <c r="F129" s="21"/>
      <c r="G129" s="21"/>
      <c r="H129" s="21"/>
      <c r="I129" s="21"/>
      <c r="J129" s="21"/>
      <c r="K129" s="21"/>
      <c r="L129" s="21"/>
    </row>
    <row r="130" spans="1:12" ht="29" x14ac:dyDescent="0.35">
      <c r="A130" s="21" t="s">
        <v>1176</v>
      </c>
      <c r="B130" s="21" t="s">
        <v>1179</v>
      </c>
      <c r="C130" s="21" t="s">
        <v>1180</v>
      </c>
      <c r="D130" s="21"/>
      <c r="E130" s="21" t="s">
        <v>996</v>
      </c>
      <c r="F130" s="21"/>
      <c r="G130" s="21"/>
      <c r="H130" s="21"/>
      <c r="I130" s="21"/>
      <c r="J130" s="21"/>
      <c r="K130" s="21"/>
      <c r="L130" s="21"/>
    </row>
    <row r="131" spans="1:12" ht="29" x14ac:dyDescent="0.35">
      <c r="A131" s="21" t="s">
        <v>1176</v>
      </c>
      <c r="B131" s="21" t="s">
        <v>1181</v>
      </c>
      <c r="C131" s="21" t="s">
        <v>1182</v>
      </c>
      <c r="D131" s="21"/>
      <c r="E131" s="21" t="s">
        <v>996</v>
      </c>
      <c r="F131" s="21"/>
      <c r="G131" s="21"/>
      <c r="H131" s="21"/>
      <c r="I131" s="21"/>
      <c r="J131" s="21"/>
      <c r="K131" s="21"/>
      <c r="L131" s="21"/>
    </row>
    <row r="132" spans="1:12" ht="29" x14ac:dyDescent="0.35">
      <c r="A132" s="21" t="s">
        <v>1176</v>
      </c>
      <c r="B132" s="21" t="s">
        <v>1183</v>
      </c>
      <c r="C132" s="21" t="s">
        <v>1184</v>
      </c>
      <c r="D132" s="21"/>
      <c r="E132" s="21" t="s">
        <v>996</v>
      </c>
      <c r="F132" s="21"/>
      <c r="G132" s="21"/>
      <c r="H132" s="21"/>
      <c r="I132" s="21"/>
      <c r="J132" s="21"/>
      <c r="K132" s="21"/>
      <c r="L132" s="21"/>
    </row>
    <row r="133" spans="1:12" ht="29" x14ac:dyDescent="0.35">
      <c r="A133" s="21" t="s">
        <v>1176</v>
      </c>
      <c r="B133" s="21" t="s">
        <v>1185</v>
      </c>
      <c r="C133" s="21" t="s">
        <v>1186</v>
      </c>
      <c r="D133" s="21"/>
      <c r="E133" s="21" t="s">
        <v>996</v>
      </c>
      <c r="F133" s="21"/>
      <c r="G133" s="21"/>
      <c r="H133" s="21"/>
      <c r="I133" s="21"/>
      <c r="J133" s="21"/>
      <c r="K133" s="21"/>
      <c r="L133" s="21"/>
    </row>
    <row r="134" spans="1:12" ht="29" x14ac:dyDescent="0.35">
      <c r="A134" s="21" t="s">
        <v>1176</v>
      </c>
      <c r="B134" s="21" t="s">
        <v>1187</v>
      </c>
      <c r="C134" s="21" t="s">
        <v>1188</v>
      </c>
      <c r="D134" s="21"/>
      <c r="E134" s="21" t="s">
        <v>996</v>
      </c>
      <c r="F134" s="21"/>
      <c r="G134" s="21"/>
      <c r="H134" s="21"/>
      <c r="I134" s="21"/>
      <c r="J134" s="21"/>
      <c r="K134" s="21"/>
      <c r="L134" s="21"/>
    </row>
    <row r="135" spans="1:12" ht="29" x14ac:dyDescent="0.35">
      <c r="A135" s="21" t="s">
        <v>1189</v>
      </c>
      <c r="B135" s="21" t="s">
        <v>1190</v>
      </c>
      <c r="C135" s="21" t="s">
        <v>1191</v>
      </c>
      <c r="D135" s="21"/>
      <c r="E135" s="21" t="s">
        <v>996</v>
      </c>
      <c r="F135" s="21"/>
      <c r="G135" s="21"/>
      <c r="H135" s="21"/>
      <c r="I135" s="21"/>
      <c r="J135" s="21"/>
      <c r="K135" s="21"/>
      <c r="L135" s="21"/>
    </row>
    <row r="136" spans="1:12" ht="29" x14ac:dyDescent="0.35">
      <c r="A136" s="21" t="s">
        <v>1189</v>
      </c>
      <c r="B136" s="21" t="s">
        <v>1192</v>
      </c>
      <c r="C136" s="21" t="s">
        <v>1193</v>
      </c>
      <c r="D136" s="21"/>
      <c r="E136" s="21" t="s">
        <v>996</v>
      </c>
      <c r="F136" s="21"/>
      <c r="G136" s="21"/>
      <c r="H136" s="21"/>
      <c r="I136" s="21"/>
      <c r="J136" s="21"/>
      <c r="K136" s="21"/>
      <c r="L136" s="21"/>
    </row>
    <row r="137" spans="1:12" ht="29" x14ac:dyDescent="0.35">
      <c r="A137" s="21" t="s">
        <v>1189</v>
      </c>
      <c r="B137" s="21" t="s">
        <v>1194</v>
      </c>
      <c r="C137" s="21" t="s">
        <v>1195</v>
      </c>
      <c r="D137" s="21"/>
      <c r="E137" s="21" t="s">
        <v>996</v>
      </c>
      <c r="F137" s="21"/>
      <c r="G137" s="21"/>
      <c r="H137" s="21"/>
      <c r="I137" s="21"/>
      <c r="J137" s="21"/>
      <c r="K137" s="21"/>
      <c r="L137" s="21"/>
    </row>
    <row r="138" spans="1:12" ht="29" x14ac:dyDescent="0.35">
      <c r="A138" s="21" t="s">
        <v>1189</v>
      </c>
      <c r="B138" s="21" t="s">
        <v>1196</v>
      </c>
      <c r="C138" s="21" t="s">
        <v>1197</v>
      </c>
      <c r="D138" s="21"/>
      <c r="E138" s="21" t="s">
        <v>996</v>
      </c>
      <c r="F138" s="21"/>
      <c r="G138" s="21"/>
      <c r="H138" s="21"/>
      <c r="I138" s="21"/>
      <c r="J138" s="21"/>
      <c r="K138" s="21"/>
      <c r="L138" s="21"/>
    </row>
    <row r="139" spans="1:12" ht="29" x14ac:dyDescent="0.35">
      <c r="A139" s="21" t="s">
        <v>1189</v>
      </c>
      <c r="B139" s="21" t="s">
        <v>1198</v>
      </c>
      <c r="C139" s="21" t="s">
        <v>1199</v>
      </c>
      <c r="D139" s="21"/>
      <c r="E139" s="21" t="s">
        <v>996</v>
      </c>
      <c r="F139" s="21"/>
      <c r="G139" s="21"/>
      <c r="H139" s="21"/>
      <c r="I139" s="21"/>
      <c r="J139" s="21"/>
      <c r="K139" s="21"/>
      <c r="L139" s="21"/>
    </row>
    <row r="140" spans="1:12" ht="29" x14ac:dyDescent="0.35">
      <c r="A140" s="21" t="s">
        <v>1189</v>
      </c>
      <c r="B140" s="21" t="s">
        <v>1200</v>
      </c>
      <c r="C140" s="21" t="s">
        <v>1201</v>
      </c>
      <c r="D140" s="21"/>
      <c r="E140" s="21" t="s">
        <v>996</v>
      </c>
      <c r="F140" s="21"/>
      <c r="G140" s="21"/>
      <c r="H140" s="21"/>
      <c r="I140" s="21"/>
      <c r="J140" s="21"/>
      <c r="K140" s="21"/>
      <c r="L140" s="21"/>
    </row>
    <row r="141" spans="1:12" ht="29" x14ac:dyDescent="0.35">
      <c r="A141" s="21" t="s">
        <v>1202</v>
      </c>
      <c r="B141" s="21" t="s">
        <v>1203</v>
      </c>
      <c r="C141" s="21" t="s">
        <v>1204</v>
      </c>
      <c r="D141" s="21"/>
      <c r="E141" s="21" t="s">
        <v>996</v>
      </c>
      <c r="F141" s="21"/>
      <c r="G141" s="21"/>
      <c r="H141" s="21"/>
      <c r="I141" s="21"/>
      <c r="J141" s="21"/>
      <c r="K141" s="21"/>
      <c r="L141" s="21"/>
    </row>
    <row r="142" spans="1:12" ht="29" x14ac:dyDescent="0.35">
      <c r="A142" s="21" t="s">
        <v>1202</v>
      </c>
      <c r="B142" s="21" t="s">
        <v>1205</v>
      </c>
      <c r="C142" s="21" t="s">
        <v>1206</v>
      </c>
      <c r="D142" s="21"/>
      <c r="E142" s="21" t="s">
        <v>996</v>
      </c>
      <c r="F142" s="21"/>
      <c r="G142" s="21"/>
      <c r="H142" s="21"/>
      <c r="I142" s="21"/>
      <c r="J142" s="21"/>
      <c r="K142" s="21"/>
      <c r="L142" s="21"/>
    </row>
    <row r="143" spans="1:12" ht="29" x14ac:dyDescent="0.35">
      <c r="A143" s="21" t="s">
        <v>1202</v>
      </c>
      <c r="B143" s="21" t="s">
        <v>1207</v>
      </c>
      <c r="C143" s="21" t="s">
        <v>1208</v>
      </c>
      <c r="D143" s="21"/>
      <c r="E143" s="21" t="s">
        <v>996</v>
      </c>
      <c r="F143" s="21"/>
      <c r="G143" s="21"/>
      <c r="H143" s="21"/>
      <c r="I143" s="21"/>
      <c r="J143" s="21"/>
      <c r="K143" s="21"/>
      <c r="L143" s="21"/>
    </row>
    <row r="144" spans="1:12" ht="29" x14ac:dyDescent="0.35">
      <c r="A144" s="21" t="s">
        <v>1202</v>
      </c>
      <c r="B144" s="21" t="s">
        <v>1209</v>
      </c>
      <c r="C144" s="21" t="s">
        <v>1210</v>
      </c>
      <c r="D144" s="21"/>
      <c r="E144" s="21" t="s">
        <v>996</v>
      </c>
      <c r="F144" s="21"/>
      <c r="G144" s="21"/>
      <c r="H144" s="21"/>
      <c r="I144" s="21"/>
      <c r="J144" s="21"/>
      <c r="K144" s="21"/>
      <c r="L144" s="21"/>
    </row>
    <row r="145" spans="1:12" ht="29" x14ac:dyDescent="0.35">
      <c r="A145" s="21" t="s">
        <v>1202</v>
      </c>
      <c r="B145" s="21" t="s">
        <v>1211</v>
      </c>
      <c r="C145" s="21" t="s">
        <v>1212</v>
      </c>
      <c r="D145" s="21"/>
      <c r="E145" s="21" t="s">
        <v>996</v>
      </c>
      <c r="F145" s="21"/>
      <c r="G145" s="21"/>
      <c r="H145" s="21"/>
      <c r="I145" s="21"/>
      <c r="J145" s="21"/>
      <c r="K145" s="21"/>
      <c r="L145" s="21"/>
    </row>
    <row r="146" spans="1:12" ht="29" x14ac:dyDescent="0.35">
      <c r="A146" s="21" t="s">
        <v>1202</v>
      </c>
      <c r="B146" s="21" t="s">
        <v>1213</v>
      </c>
      <c r="C146" s="21" t="s">
        <v>1214</v>
      </c>
      <c r="D146" s="21"/>
      <c r="E146" s="21" t="s">
        <v>996</v>
      </c>
      <c r="F146" s="21"/>
      <c r="G146" s="21"/>
      <c r="H146" s="21"/>
      <c r="I146" s="21"/>
      <c r="J146" s="21"/>
      <c r="K146" s="21"/>
      <c r="L146" s="21"/>
    </row>
    <row r="147" spans="1:12" ht="29" x14ac:dyDescent="0.35">
      <c r="A147" s="21" t="s">
        <v>1215</v>
      </c>
      <c r="B147" s="21" t="s">
        <v>1216</v>
      </c>
      <c r="C147" s="21" t="s">
        <v>1217</v>
      </c>
      <c r="D147" s="21"/>
      <c r="E147" s="21" t="s">
        <v>996</v>
      </c>
      <c r="F147" s="21"/>
      <c r="G147" s="21"/>
      <c r="H147" s="21"/>
      <c r="I147" s="21"/>
      <c r="J147" s="21"/>
      <c r="K147" s="21"/>
      <c r="L147" s="21"/>
    </row>
    <row r="148" spans="1:12" ht="29" x14ac:dyDescent="0.35">
      <c r="A148" s="21" t="s">
        <v>1215</v>
      </c>
      <c r="B148" s="21" t="s">
        <v>1218</v>
      </c>
      <c r="C148" s="21" t="s">
        <v>1219</v>
      </c>
      <c r="D148" s="21"/>
      <c r="E148" s="21" t="s">
        <v>996</v>
      </c>
      <c r="F148" s="21"/>
      <c r="G148" s="21"/>
      <c r="H148" s="21"/>
      <c r="I148" s="21"/>
      <c r="J148" s="21"/>
      <c r="K148" s="21"/>
      <c r="L148" s="21"/>
    </row>
    <row r="149" spans="1:12" ht="29" x14ac:dyDescent="0.35">
      <c r="A149" s="21" t="s">
        <v>1215</v>
      </c>
      <c r="B149" s="21" t="s">
        <v>1220</v>
      </c>
      <c r="C149" s="21" t="s">
        <v>1221</v>
      </c>
      <c r="D149" s="21"/>
      <c r="E149" s="21" t="s">
        <v>996</v>
      </c>
      <c r="F149" s="21"/>
      <c r="G149" s="21"/>
      <c r="H149" s="21"/>
      <c r="I149" s="21"/>
      <c r="J149" s="21"/>
      <c r="K149" s="21"/>
      <c r="L149" s="21"/>
    </row>
    <row r="150" spans="1:12" ht="29" x14ac:dyDescent="0.35">
      <c r="A150" s="21" t="s">
        <v>1215</v>
      </c>
      <c r="B150" s="21" t="s">
        <v>1222</v>
      </c>
      <c r="C150" s="21" t="s">
        <v>1223</v>
      </c>
      <c r="D150" s="21"/>
      <c r="E150" s="21" t="s">
        <v>996</v>
      </c>
      <c r="F150" s="21"/>
      <c r="G150" s="21"/>
      <c r="H150" s="21"/>
      <c r="I150" s="21"/>
      <c r="J150" s="21"/>
      <c r="K150" s="21"/>
      <c r="L150" s="21"/>
    </row>
    <row r="151" spans="1:12" ht="24" customHeight="1" x14ac:dyDescent="0.35">
      <c r="A151" s="133" t="s">
        <v>1215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</row>
    <row r="152" spans="1:12" x14ac:dyDescent="0.35">
      <c r="A152" s="21" t="s">
        <v>1215</v>
      </c>
      <c r="B152" s="21" t="s">
        <v>1224</v>
      </c>
      <c r="C152" s="21" t="s">
        <v>1225</v>
      </c>
      <c r="D152" s="21"/>
      <c r="E152" s="21" t="s">
        <v>996</v>
      </c>
      <c r="F152" s="21"/>
      <c r="G152" s="21"/>
      <c r="H152" s="21"/>
      <c r="I152" s="21"/>
      <c r="J152" s="21"/>
      <c r="K152" s="21"/>
      <c r="L152" s="21"/>
    </row>
    <row r="158" spans="1:12" x14ac:dyDescent="0.35">
      <c r="A158" s="98" t="s">
        <v>1226</v>
      </c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</row>
    <row r="160" spans="1:12" ht="29" x14ac:dyDescent="0.35">
      <c r="A160" s="100" t="s">
        <v>1227</v>
      </c>
      <c r="B160" s="100" t="s">
        <v>1228</v>
      </c>
      <c r="C160" s="100" t="s">
        <v>1229</v>
      </c>
      <c r="D160" s="100" t="s">
        <v>389</v>
      </c>
      <c r="E160" s="100" t="s">
        <v>870</v>
      </c>
      <c r="F160" s="100" t="s">
        <v>390</v>
      </c>
      <c r="G160" s="100" t="s">
        <v>990</v>
      </c>
      <c r="H160" s="100" t="s">
        <v>1230</v>
      </c>
      <c r="I160" s="100"/>
      <c r="J160" s="100"/>
      <c r="K160" s="100"/>
      <c r="L160" s="100"/>
    </row>
    <row r="161" spans="1:8" x14ac:dyDescent="0.35">
      <c r="A161" s="21" t="s">
        <v>1231</v>
      </c>
      <c r="B161" s="21"/>
      <c r="C161" s="21"/>
      <c r="D161" s="21"/>
      <c r="E161" s="21"/>
      <c r="F161" s="21"/>
      <c r="G161" s="21"/>
      <c r="H161" s="21"/>
    </row>
    <row r="162" spans="1:8" x14ac:dyDescent="0.35">
      <c r="A162" s="21" t="s">
        <v>1232</v>
      </c>
      <c r="B162" s="21"/>
      <c r="C162" s="21"/>
      <c r="D162" s="21"/>
      <c r="E162" s="21"/>
      <c r="F162" s="21"/>
      <c r="G162" s="21"/>
      <c r="H162" s="21"/>
    </row>
    <row r="163" spans="1:8" x14ac:dyDescent="0.35">
      <c r="A163" s="21" t="s">
        <v>509</v>
      </c>
      <c r="B163" s="21"/>
      <c r="C163" s="21"/>
      <c r="D163" s="21"/>
      <c r="E163" s="21"/>
      <c r="F163" s="21"/>
      <c r="G163" s="21"/>
      <c r="H163" s="21"/>
    </row>
    <row r="164" spans="1:8" x14ac:dyDescent="0.35">
      <c r="A164" s="21" t="s">
        <v>1233</v>
      </c>
      <c r="B164" s="21"/>
      <c r="C164" s="21"/>
      <c r="D164" s="21"/>
      <c r="E164" s="21"/>
      <c r="F164" s="21"/>
      <c r="G164" s="21"/>
      <c r="H164" s="21"/>
    </row>
    <row r="165" spans="1:8" x14ac:dyDescent="0.35">
      <c r="A165" s="21" t="s">
        <v>1234</v>
      </c>
      <c r="B165" s="21"/>
      <c r="C165" s="21"/>
      <c r="D165" s="21"/>
      <c r="E165" s="21"/>
      <c r="F165" s="21"/>
      <c r="G165" s="21"/>
      <c r="H165" s="21"/>
    </row>
    <row r="166" spans="1:8" x14ac:dyDescent="0.35">
      <c r="A166" s="21" t="s">
        <v>1235</v>
      </c>
      <c r="B166" s="21"/>
      <c r="C166" s="21"/>
      <c r="D166" s="21"/>
      <c r="E166" s="21"/>
      <c r="F166" s="21"/>
      <c r="G166" s="21"/>
      <c r="H166" s="21"/>
    </row>
    <row r="167" spans="1:8" x14ac:dyDescent="0.35">
      <c r="A167" s="21" t="s">
        <v>1236</v>
      </c>
      <c r="B167" s="21"/>
      <c r="C167" s="21"/>
      <c r="D167" s="21"/>
      <c r="E167" s="21"/>
      <c r="F167" s="21"/>
      <c r="G167" s="21"/>
      <c r="H167" s="21"/>
    </row>
    <row r="168" spans="1:8" x14ac:dyDescent="0.35">
      <c r="A168" s="21" t="s">
        <v>1237</v>
      </c>
      <c r="B168" s="21"/>
      <c r="C168" s="21"/>
      <c r="D168" s="21"/>
      <c r="E168" s="21"/>
      <c r="F168" s="21"/>
      <c r="G168" s="21"/>
      <c r="H168" s="21"/>
    </row>
    <row r="169" spans="1:8" x14ac:dyDescent="0.35">
      <c r="A169" s="21" t="s">
        <v>1238</v>
      </c>
      <c r="B169" s="21"/>
      <c r="C169" s="21"/>
      <c r="D169" s="21"/>
      <c r="E169" s="21"/>
      <c r="F169" s="21"/>
      <c r="G169" s="21"/>
      <c r="H169" s="21"/>
    </row>
    <row r="170" spans="1:8" x14ac:dyDescent="0.35">
      <c r="A170" s="21" t="s">
        <v>1239</v>
      </c>
      <c r="B170" s="21"/>
      <c r="C170" s="21"/>
      <c r="D170" s="21"/>
      <c r="E170" s="21"/>
      <c r="F170" s="21"/>
      <c r="G170" s="21"/>
      <c r="H170" s="21"/>
    </row>
    <row r="171" spans="1:8" x14ac:dyDescent="0.35">
      <c r="A171" s="21" t="s">
        <v>1240</v>
      </c>
      <c r="B171" s="21"/>
      <c r="C171" s="21"/>
      <c r="D171" s="21"/>
      <c r="E171" s="21"/>
      <c r="F171" s="21"/>
      <c r="G171" s="21"/>
      <c r="H171" s="21"/>
    </row>
    <row r="172" spans="1:8" x14ac:dyDescent="0.35">
      <c r="A172" s="21" t="s">
        <v>1241</v>
      </c>
      <c r="B172" s="21"/>
      <c r="C172" s="21"/>
      <c r="D172" s="21"/>
      <c r="E172" s="21"/>
      <c r="F172" s="21"/>
      <c r="G172" s="21"/>
      <c r="H172" s="21"/>
    </row>
    <row r="173" spans="1:8" x14ac:dyDescent="0.35">
      <c r="A173" s="21" t="s">
        <v>1242</v>
      </c>
      <c r="B173" s="21"/>
      <c r="C173" s="21"/>
      <c r="D173" s="21"/>
      <c r="E173" s="21"/>
      <c r="F173" s="21"/>
      <c r="G173" s="21"/>
      <c r="H173" s="21"/>
    </row>
    <row r="174" spans="1:8" x14ac:dyDescent="0.35">
      <c r="A174" s="21" t="s">
        <v>1243</v>
      </c>
      <c r="B174" s="21"/>
      <c r="C174" s="21"/>
      <c r="D174" s="21"/>
      <c r="E174" s="21"/>
      <c r="F174" s="21"/>
      <c r="G174" s="21"/>
      <c r="H174" s="21"/>
    </row>
    <row r="175" spans="1:8" x14ac:dyDescent="0.35">
      <c r="A175" s="21" t="s">
        <v>1244</v>
      </c>
      <c r="B175" s="21"/>
      <c r="C175" s="21"/>
      <c r="D175" s="21"/>
      <c r="E175" s="21"/>
      <c r="F175" s="21"/>
      <c r="G175" s="21"/>
      <c r="H175" s="21"/>
    </row>
    <row r="176" spans="1:8" x14ac:dyDescent="0.35">
      <c r="A176" s="21" t="s">
        <v>1245</v>
      </c>
      <c r="B176" s="21"/>
      <c r="C176" s="21"/>
      <c r="D176" s="21"/>
      <c r="E176" s="21"/>
      <c r="F176" s="21"/>
      <c r="G176" s="21"/>
      <c r="H176" s="21"/>
    </row>
    <row r="177" spans="1:12" x14ac:dyDescent="0.35">
      <c r="A177" s="21" t="s">
        <v>1246</v>
      </c>
      <c r="B177" s="21"/>
      <c r="C177" s="21"/>
      <c r="D177" s="21"/>
      <c r="E177" s="21"/>
      <c r="F177" s="21"/>
      <c r="G177" s="21"/>
      <c r="H177" s="21"/>
    </row>
    <row r="178" spans="1:12" x14ac:dyDescent="0.35">
      <c r="A178" s="21" t="s">
        <v>1247</v>
      </c>
      <c r="B178" s="21"/>
      <c r="C178" s="21"/>
      <c r="D178" s="21"/>
      <c r="E178" s="21"/>
      <c r="F178" s="21"/>
      <c r="G178" s="21"/>
      <c r="H178" s="21"/>
    </row>
    <row r="179" spans="1:12" ht="24" customHeight="1" x14ac:dyDescent="0.35">
      <c r="A179" s="133" t="s">
        <v>1248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</row>
    <row r="180" spans="1:12" x14ac:dyDescent="0.35">
      <c r="A180" s="21" t="s">
        <v>1249</v>
      </c>
      <c r="B180" s="21"/>
      <c r="C180" s="21"/>
      <c r="D180" s="21"/>
      <c r="E180" s="21"/>
      <c r="F180" s="21"/>
      <c r="G180" s="21"/>
      <c r="H180" s="21"/>
    </row>
    <row r="186" spans="1:12" x14ac:dyDescent="0.35">
      <c r="A186" s="98" t="s">
        <v>1250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</row>
    <row r="188" spans="1:12" ht="29" x14ac:dyDescent="0.35">
      <c r="A188" s="100" t="s">
        <v>1251</v>
      </c>
      <c r="B188" s="100" t="s">
        <v>1252</v>
      </c>
      <c r="C188" s="100" t="s">
        <v>1253</v>
      </c>
      <c r="D188" s="100" t="s">
        <v>1254</v>
      </c>
      <c r="E188" s="100" t="s">
        <v>870</v>
      </c>
      <c r="F188" s="100" t="s">
        <v>1255</v>
      </c>
      <c r="G188" s="100" t="s">
        <v>338</v>
      </c>
    </row>
    <row r="189" spans="1:12" x14ac:dyDescent="0.35">
      <c r="A189" s="21" t="s">
        <v>428</v>
      </c>
      <c r="B189" s="21"/>
      <c r="C189" s="21"/>
      <c r="D189" s="21"/>
      <c r="E189" s="21"/>
      <c r="F189" s="21"/>
      <c r="G189" s="21"/>
    </row>
    <row r="190" spans="1:12" x14ac:dyDescent="0.35">
      <c r="A190" s="21" t="s">
        <v>582</v>
      </c>
      <c r="B190" s="21"/>
      <c r="C190" s="21"/>
      <c r="D190" s="21"/>
      <c r="E190" s="21"/>
      <c r="F190" s="21"/>
      <c r="G190" s="21"/>
    </row>
    <row r="191" spans="1:12" x14ac:dyDescent="0.35">
      <c r="A191" s="21" t="s">
        <v>435</v>
      </c>
      <c r="B191" s="21"/>
      <c r="C191" s="21"/>
      <c r="D191" s="21"/>
      <c r="E191" s="21"/>
      <c r="F191" s="21"/>
      <c r="G191" s="21"/>
    </row>
    <row r="192" spans="1:12" x14ac:dyDescent="0.35">
      <c r="A192" s="21" t="s">
        <v>93</v>
      </c>
      <c r="B192" s="21"/>
      <c r="C192" s="21"/>
      <c r="D192" s="21"/>
      <c r="E192" s="21"/>
      <c r="F192" s="21"/>
      <c r="G192" s="21"/>
    </row>
    <row r="193" spans="1:12" x14ac:dyDescent="0.35">
      <c r="A193" s="21" t="s">
        <v>431</v>
      </c>
      <c r="B193" s="21"/>
      <c r="C193" s="21"/>
      <c r="D193" s="21"/>
      <c r="E193" s="21"/>
      <c r="F193" s="21"/>
      <c r="G193" s="21"/>
    </row>
    <row r="194" spans="1:12" x14ac:dyDescent="0.35">
      <c r="A194" s="21" t="s">
        <v>97</v>
      </c>
      <c r="B194" s="21"/>
      <c r="C194" s="21"/>
      <c r="D194" s="21"/>
      <c r="E194" s="21"/>
      <c r="F194" s="21"/>
      <c r="G194" s="21"/>
    </row>
    <row r="195" spans="1:12" x14ac:dyDescent="0.35">
      <c r="A195" s="21" t="s">
        <v>100</v>
      </c>
      <c r="B195" s="21"/>
      <c r="C195" s="21"/>
      <c r="D195" s="21"/>
      <c r="E195" s="21"/>
      <c r="F195" s="21"/>
      <c r="G195" s="21"/>
    </row>
    <row r="196" spans="1:12" x14ac:dyDescent="0.35">
      <c r="A196" s="21" t="s">
        <v>1176</v>
      </c>
      <c r="B196" s="21"/>
      <c r="C196" s="21"/>
      <c r="D196" s="21"/>
      <c r="E196" s="21"/>
      <c r="F196" s="21"/>
      <c r="G196" s="21"/>
    </row>
    <row r="197" spans="1:12" x14ac:dyDescent="0.35">
      <c r="A197" s="21" t="s">
        <v>160</v>
      </c>
      <c r="B197" s="21"/>
      <c r="C197" s="21"/>
      <c r="D197" s="21"/>
      <c r="E197" s="21"/>
      <c r="F197" s="21"/>
      <c r="G197" s="21"/>
    </row>
    <row r="198" spans="1:12" x14ac:dyDescent="0.35">
      <c r="A198" s="21" t="s">
        <v>1256</v>
      </c>
      <c r="B198" s="21"/>
      <c r="C198" s="21"/>
      <c r="D198" s="21"/>
      <c r="E198" s="21"/>
      <c r="F198" s="21"/>
      <c r="G198" s="21"/>
    </row>
    <row r="199" spans="1:12" x14ac:dyDescent="0.35">
      <c r="A199" s="21" t="s">
        <v>1257</v>
      </c>
      <c r="B199" s="21"/>
      <c r="C199" s="21"/>
      <c r="D199" s="21"/>
      <c r="E199" s="21"/>
      <c r="F199" s="21"/>
      <c r="G199" s="21"/>
    </row>
    <row r="200" spans="1:12" x14ac:dyDescent="0.35">
      <c r="A200" s="21" t="s">
        <v>1258</v>
      </c>
      <c r="B200" s="21"/>
      <c r="C200" s="21"/>
      <c r="D200" s="21"/>
      <c r="E200" s="21"/>
      <c r="F200" s="21"/>
      <c r="G200" s="21"/>
    </row>
    <row r="201" spans="1:12" x14ac:dyDescent="0.35">
      <c r="A201" s="21" t="s">
        <v>116</v>
      </c>
      <c r="B201" s="21"/>
      <c r="C201" s="21"/>
      <c r="D201" s="21"/>
      <c r="E201" s="21"/>
      <c r="F201" s="21"/>
      <c r="G201" s="21"/>
    </row>
    <row r="202" spans="1:12" x14ac:dyDescent="0.35">
      <c r="A202" s="21" t="s">
        <v>129</v>
      </c>
      <c r="B202" s="21"/>
      <c r="C202" s="21"/>
      <c r="D202" s="21"/>
      <c r="E202" s="21"/>
      <c r="F202" s="21"/>
      <c r="G202" s="21"/>
    </row>
    <row r="203" spans="1:12" x14ac:dyDescent="0.35">
      <c r="A203" s="21" t="s">
        <v>437</v>
      </c>
      <c r="B203" s="21"/>
      <c r="C203" s="21"/>
      <c r="D203" s="21"/>
      <c r="E203" s="21"/>
      <c r="F203" s="21"/>
      <c r="G203" s="21"/>
    </row>
    <row r="204" spans="1:12" x14ac:dyDescent="0.35">
      <c r="A204" s="21" t="s">
        <v>125</v>
      </c>
      <c r="B204" s="21"/>
      <c r="C204" s="21"/>
      <c r="D204" s="21"/>
      <c r="E204" s="21"/>
      <c r="F204" s="21"/>
      <c r="G204" s="21"/>
    </row>
    <row r="205" spans="1:12" x14ac:dyDescent="0.35">
      <c r="A205" s="21" t="s">
        <v>442</v>
      </c>
      <c r="B205" s="21"/>
      <c r="C205" s="21"/>
      <c r="D205" s="21"/>
      <c r="E205" s="21"/>
      <c r="F205" s="21"/>
      <c r="G205" s="21"/>
    </row>
    <row r="206" spans="1:12" x14ac:dyDescent="0.35">
      <c r="A206" s="21" t="s">
        <v>1259</v>
      </c>
      <c r="B206" s="21"/>
      <c r="C206" s="21"/>
      <c r="D206" s="21"/>
      <c r="E206" s="21"/>
      <c r="F206" s="21"/>
      <c r="G206" s="21"/>
    </row>
    <row r="207" spans="1:12" ht="24" customHeight="1" x14ac:dyDescent="0.35">
      <c r="A207" s="133" t="s">
        <v>1260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</row>
    <row r="208" spans="1:12" x14ac:dyDescent="0.35">
      <c r="A208" s="21" t="s">
        <v>439</v>
      </c>
      <c r="B208" s="21"/>
      <c r="C208" s="21"/>
      <c r="D208" s="21"/>
      <c r="E208" s="21"/>
      <c r="F208" s="21"/>
      <c r="G208" s="21"/>
    </row>
    <row r="214" spans="1:12" x14ac:dyDescent="0.35">
      <c r="A214" s="98" t="s">
        <v>1261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</row>
    <row r="216" spans="1:12" x14ac:dyDescent="0.35">
      <c r="A216" s="100" t="s">
        <v>1262</v>
      </c>
      <c r="B216" s="100" t="s">
        <v>1263</v>
      </c>
      <c r="C216" s="100" t="s">
        <v>292</v>
      </c>
      <c r="D216" s="100" t="s">
        <v>371</v>
      </c>
      <c r="E216" s="100" t="s">
        <v>360</v>
      </c>
      <c r="F216" s="100" t="s">
        <v>1264</v>
      </c>
      <c r="G216" s="100" t="s">
        <v>990</v>
      </c>
      <c r="H216" s="100" t="s">
        <v>338</v>
      </c>
    </row>
    <row r="217" spans="1:12" x14ac:dyDescent="0.35">
      <c r="A217" t="s">
        <v>1265</v>
      </c>
    </row>
    <row r="218" spans="1:12" x14ac:dyDescent="0.35">
      <c r="A218" t="s">
        <v>1266</v>
      </c>
    </row>
    <row r="219" spans="1:12" x14ac:dyDescent="0.35">
      <c r="A219" t="s">
        <v>1267</v>
      </c>
    </row>
    <row r="220" spans="1:12" x14ac:dyDescent="0.35">
      <c r="A220" t="s">
        <v>1268</v>
      </c>
    </row>
    <row r="221" spans="1:12" x14ac:dyDescent="0.35">
      <c r="A221" t="s">
        <v>1269</v>
      </c>
    </row>
    <row r="222" spans="1:12" x14ac:dyDescent="0.35">
      <c r="A222" t="s">
        <v>1270</v>
      </c>
    </row>
    <row r="223" spans="1:12" ht="24" customHeight="1" x14ac:dyDescent="0.35">
      <c r="A223" s="129" t="s">
        <v>1271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</row>
    <row r="224" spans="1:12" x14ac:dyDescent="0.35">
      <c r="A224" t="s">
        <v>1272</v>
      </c>
    </row>
    <row r="230" spans="1:12" x14ac:dyDescent="0.35">
      <c r="A230" s="98" t="s">
        <v>1273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2" spans="1:12" ht="29" x14ac:dyDescent="0.35">
      <c r="A232" s="100" t="s">
        <v>1229</v>
      </c>
      <c r="B232" s="100" t="s">
        <v>1274</v>
      </c>
      <c r="C232" s="100" t="s">
        <v>390</v>
      </c>
      <c r="D232" s="100" t="s">
        <v>351</v>
      </c>
      <c r="E232" s="100" t="s">
        <v>352</v>
      </c>
      <c r="F232" s="100" t="s">
        <v>292</v>
      </c>
      <c r="G232" s="100" t="s">
        <v>353</v>
      </c>
      <c r="H232" s="100" t="s">
        <v>338</v>
      </c>
    </row>
    <row r="240" spans="1:12" x14ac:dyDescent="0.3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</row>
    <row r="241" spans="1:12" x14ac:dyDescent="0.3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</row>
    <row r="247" spans="1:12" ht="29" x14ac:dyDescent="0.35">
      <c r="A247" s="106" t="s">
        <v>1275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3"/>
    </row>
    <row r="248" spans="1:12" ht="43.5" x14ac:dyDescent="0.35">
      <c r="A248" s="111" t="s">
        <v>1276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3"/>
    </row>
    <row r="249" spans="1:12" ht="29" x14ac:dyDescent="0.35">
      <c r="A249" s="110" t="s">
        <v>1277</v>
      </c>
      <c r="B249" s="110" t="s">
        <v>1278</v>
      </c>
      <c r="C249" s="110" t="s">
        <v>81</v>
      </c>
      <c r="D249" s="110" t="s">
        <v>615</v>
      </c>
      <c r="E249" s="110" t="s">
        <v>616</v>
      </c>
      <c r="F249" s="110" t="s">
        <v>990</v>
      </c>
      <c r="G249" s="110" t="s">
        <v>1279</v>
      </c>
      <c r="H249" s="110" t="s">
        <v>390</v>
      </c>
      <c r="I249" s="110" t="s">
        <v>351</v>
      </c>
      <c r="J249" s="110" t="s">
        <v>292</v>
      </c>
      <c r="K249" s="110" t="s">
        <v>353</v>
      </c>
      <c r="L249" s="110" t="s">
        <v>619</v>
      </c>
    </row>
    <row r="250" spans="1:12" x14ac:dyDescent="0.35">
      <c r="A250" s="105" t="s">
        <v>1280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x14ac:dyDescent="0.35">
      <c r="A251" s="105" t="s">
        <v>1281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x14ac:dyDescent="0.35">
      <c r="A252" s="105" t="s">
        <v>1282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29" x14ac:dyDescent="0.35">
      <c r="A253" s="105" t="s">
        <v>1283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29" x14ac:dyDescent="0.35">
      <c r="A254" s="105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29" x14ac:dyDescent="0.35">
      <c r="A255" s="105" t="s">
        <v>1285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29" x14ac:dyDescent="0.35">
      <c r="A256" s="105" t="s">
        <v>1286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29" x14ac:dyDescent="0.35">
      <c r="A257" s="105" t="s">
        <v>1287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29" x14ac:dyDescent="0.35">
      <c r="A258" s="105" t="s">
        <v>1288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29" x14ac:dyDescent="0.35">
      <c r="A259" s="105" t="s">
        <v>1289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29" x14ac:dyDescent="0.35">
      <c r="A260" s="105" t="s">
        <v>1290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29" x14ac:dyDescent="0.35">
      <c r="A261" s="105" t="s">
        <v>1291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29" x14ac:dyDescent="0.35">
      <c r="A262" s="105" t="s">
        <v>1292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43.5" x14ac:dyDescent="0.35">
      <c r="A263" s="105" t="s">
        <v>1293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29" x14ac:dyDescent="0.35">
      <c r="A264" s="105" t="s">
        <v>1294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x14ac:dyDescent="0.35">
      <c r="A265" s="105" t="s">
        <v>1295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</sheetData>
  <mergeCells count="9">
    <mergeCell ref="A1:L1"/>
    <mergeCell ref="A17:L17"/>
    <mergeCell ref="A241:L241"/>
    <mergeCell ref="A223:L223"/>
    <mergeCell ref="A35:L35"/>
    <mergeCell ref="A240:L240"/>
    <mergeCell ref="A179:L179"/>
    <mergeCell ref="A151:L151"/>
    <mergeCell ref="A207:L207"/>
  </mergeCells>
  <conditionalFormatting sqref="B12">
    <cfRule type="expression" dxfId="181" priority="12">
      <formula>B12="Green"</formula>
    </cfRule>
    <cfRule type="expression" dxfId="180" priority="13">
      <formula>B12="Amber"</formula>
    </cfRule>
    <cfRule type="expression" dxfId="179" priority="14">
      <formula>B12="Red"</formula>
    </cfRule>
  </conditionalFormatting>
  <conditionalFormatting sqref="B182:B201">
    <cfRule type="expression" dxfId="178" priority="3">
      <formula>B182="Pass"</formula>
    </cfRule>
  </conditionalFormatting>
  <conditionalFormatting sqref="C20:C43">
    <cfRule type="expression" dxfId="177" priority="8">
      <formula>C20="Green"</formula>
    </cfRule>
    <cfRule type="expression" dxfId="176" priority="9">
      <formula>C20="Amber"</formula>
    </cfRule>
    <cfRule type="expression" dxfId="175" priority="10">
      <formula>C20="Red"</formula>
    </cfRule>
    <cfRule type="expression" dxfId="174" priority="11">
      <formula>C20="N/A"</formula>
    </cfRule>
  </conditionalFormatting>
  <conditionalFormatting sqref="C20:C45">
    <cfRule type="expression" dxfId="173" priority="4">
      <formula>ISNUMBER(SEARCH("Green",C20))</formula>
    </cfRule>
    <cfRule type="expression" dxfId="172" priority="5">
      <formula>ISNUMBER(SEARCH("Amber",C20))</formula>
    </cfRule>
    <cfRule type="expression" dxfId="171" priority="6">
      <formula>ISNUMBER(SEARCH("Red",C20))</formula>
    </cfRule>
    <cfRule type="expression" dxfId="170" priority="7">
      <formula>C20="N/A"</formula>
    </cfRule>
  </conditionalFormatting>
  <conditionalFormatting sqref="E154:E173">
    <cfRule type="expression" dxfId="169" priority="2">
      <formula>E154="Pass"</formula>
    </cfRule>
  </conditionalFormatting>
  <conditionalFormatting sqref="H38:H145">
    <cfRule type="expression" dxfId="168" priority="1">
      <formula>H38="Pass"</formula>
    </cfRule>
  </conditionalFormatting>
  <dataValidations count="8">
    <dataValidation type="list" sqref="H38:H145 E154:E173" xr:uid="{00000000-0002-0000-3300-000000000000}">
      <formula1>"Pass,Developing,Fail,N/A"</formula1>
    </dataValidation>
    <dataValidation type="list" sqref="F38:F145" xr:uid="{00000000-0002-0000-3300-000001000000}">
      <formula1>"1,2,3,4,5"</formula1>
    </dataValidation>
    <dataValidation type="list" sqref="B182:B201" xr:uid="{00000000-0002-0000-3300-000003000000}">
      <formula1>"Complete,In Progress,Not Started,N/A"</formula1>
    </dataValidation>
    <dataValidation type="list" allowBlank="1" sqref="C243:E258" xr:uid="{00000000-0002-0000-3300-000004000000}">
      <formula1>"Yes,No,N/A"</formula1>
    </dataValidation>
    <dataValidation type="list" allowBlank="1" sqref="C20:C45" xr:uid="{00000000-0002-0000-3300-000005000000}">
      <formula1>"Green - Received,Amber - Awaiting,Red - Missing,N/A"</formula1>
    </dataValidation>
    <dataValidation type="list" sqref="C20:C43" xr:uid="{00000000-0002-0000-3300-000006000000}">
      <formula1>"Green,Amber,Red,N/A"</formula1>
    </dataValidation>
    <dataValidation type="list" sqref="F42:F230" xr:uid="{00000000-0002-0000-3300-000007000000}">
      <formula1>"1,2,3,4,5,N/A"</formula1>
    </dataValidation>
    <dataValidation type="list" sqref="H42:H230 H235:H255" xr:uid="{00000000-0002-0000-3300-000008000000}">
      <formula1>"Pass,Fail,Not Assessed,N/A"</formula1>
    </dataValidation>
  </dataValidation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L265"/>
  <sheetViews>
    <sheetView workbookViewId="0"/>
  </sheetViews>
  <sheetFormatPr defaultRowHeight="14.5" x14ac:dyDescent="0.35"/>
  <cols>
    <col min="1" max="1" width="42" customWidth="1"/>
    <col min="2" max="2" width="36" customWidth="1"/>
    <col min="3" max="3" width="52" customWidth="1"/>
    <col min="4" max="4" width="34" customWidth="1"/>
    <col min="5" max="5" width="30" customWidth="1"/>
    <col min="6" max="6" width="12" customWidth="1"/>
    <col min="7" max="7" width="16" customWidth="1"/>
    <col min="8" max="8" width="14" customWidth="1"/>
    <col min="9" max="9" width="28" customWidth="1"/>
    <col min="10" max="12" width="14" customWidth="1"/>
  </cols>
  <sheetData>
    <row r="1" spans="1:12" ht="30" customHeight="1" x14ac:dyDescent="0.35">
      <c r="A1" s="134" t="s">
        <v>1308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x14ac:dyDescent="0.35">
      <c r="A2" t="s">
        <v>928</v>
      </c>
      <c r="D2" t="s">
        <v>929</v>
      </c>
    </row>
    <row r="4" spans="1:12" x14ac:dyDescent="0.35">
      <c r="A4" s="101" t="s">
        <v>882</v>
      </c>
      <c r="B4" s="101" t="str">
        <f>IF('Induction Employee Register'!A17="","",'Induction Employee Register'!A17)</f>
        <v>SW014</v>
      </c>
      <c r="D4" t="s">
        <v>930</v>
      </c>
      <c r="E4" t="s">
        <v>931</v>
      </c>
      <c r="F4" t="s">
        <v>932</v>
      </c>
      <c r="G4" t="s">
        <v>933</v>
      </c>
      <c r="H4" t="s">
        <v>58</v>
      </c>
      <c r="I4" t="s">
        <v>934</v>
      </c>
      <c r="J4" t="s">
        <v>54</v>
      </c>
      <c r="K4" t="s">
        <v>935</v>
      </c>
      <c r="L4" t="s">
        <v>43</v>
      </c>
    </row>
    <row r="5" spans="1:12" x14ac:dyDescent="0.35">
      <c r="A5" s="101" t="s">
        <v>883</v>
      </c>
      <c r="B5" s="101" t="str">
        <f>IF('Induction Employee Register'!B17="","",'Induction Employee Register'!B17)</f>
        <v/>
      </c>
      <c r="D5" t="s">
        <v>936</v>
      </c>
    </row>
    <row r="6" spans="1:12" x14ac:dyDescent="0.35">
      <c r="A6" s="101" t="s">
        <v>322</v>
      </c>
      <c r="B6" s="101" t="str">
        <f>IF('Induction Employee Register'!C17="","",'Induction Employee Register'!C17)</f>
        <v/>
      </c>
      <c r="D6" t="s">
        <v>937</v>
      </c>
      <c r="E6" t="s">
        <v>938</v>
      </c>
    </row>
    <row r="7" spans="1:12" x14ac:dyDescent="0.35">
      <c r="A7" s="101" t="s">
        <v>323</v>
      </c>
      <c r="B7" s="126" t="str">
        <f>IF('Induction Employee Register'!D17="","",'Induction Employee Register'!D17)</f>
        <v/>
      </c>
      <c r="D7" t="s">
        <v>939</v>
      </c>
      <c r="E7" t="s">
        <v>940</v>
      </c>
    </row>
    <row r="8" spans="1:12" x14ac:dyDescent="0.35">
      <c r="A8" s="101" t="s">
        <v>886</v>
      </c>
      <c r="B8" s="125">
        <f>IFERROR(COUNTIF($H$42:$H$230,"Pass")/(COUNTIF($H$42:$H$230,"Pass")+COUNTIF($H$42:$H$230,"Fail")+COUNTIF($H$42:$H$230,"Not Assessed")),0)</f>
        <v>0</v>
      </c>
      <c r="D8" t="s">
        <v>6</v>
      </c>
      <c r="E8" t="s">
        <v>941</v>
      </c>
    </row>
    <row r="9" spans="1:12" x14ac:dyDescent="0.35">
      <c r="A9" s="101" t="s">
        <v>887</v>
      </c>
      <c r="B9" s="125">
        <f>IFERROR(COUNTIF($H$235:$H$255,"Pass")/(COUNTIF($H$235:$H$255,"Pass")+COUNTIF($H$235:$H$255,"Fail")+COUNTIF($H$235:$H$255,"Not Assessed")),0)</f>
        <v>0</v>
      </c>
      <c r="D9" t="s">
        <v>942</v>
      </c>
      <c r="E9" t="s">
        <v>943</v>
      </c>
    </row>
    <row r="10" spans="1:12" x14ac:dyDescent="0.35">
      <c r="A10" s="101" t="s">
        <v>888</v>
      </c>
      <c r="B10" s="125" t="str">
        <f>IFERROR(IF($B$5="","",IF(INDEX('Mandatory Training Dashboard'!$D$5:$D$53,MATCH($B$5,'Mandatory Training Dashboard'!$A$5:$A$53,0))&gt;1,INDEX('Mandatory Training Dashboard'!$D$5:$D$53,MATCH($B$5,'Mandatory Training Dashboard'!$A$5:$A$53,0))/100,INDEX('Mandatory Training Dashboard'!$D$5:$D$53,MATCH($B$5,'Mandatory Training Dashboard'!$A$5:$A$53,0)))),0)</f>
        <v/>
      </c>
      <c r="D10" t="s">
        <v>944</v>
      </c>
      <c r="E10" t="s">
        <v>945</v>
      </c>
    </row>
    <row r="11" spans="1:12" x14ac:dyDescent="0.35">
      <c r="A11" s="101" t="s">
        <v>893</v>
      </c>
      <c r="B11" s="125">
        <f>IFERROR(AVERAGE(B8:B10),0)</f>
        <v>0</v>
      </c>
      <c r="D11" t="s">
        <v>946</v>
      </c>
      <c r="E11" t="s">
        <v>947</v>
      </c>
    </row>
    <row r="12" spans="1:12" x14ac:dyDescent="0.35">
      <c r="A12" s="101" t="s">
        <v>948</v>
      </c>
      <c r="B12" s="101" t="str">
        <f>IF(B11&gt;=0.9,"Green",IF(B11&gt;=0.75,"Amber","Red"))</f>
        <v>Red</v>
      </c>
      <c r="D12" t="s">
        <v>949</v>
      </c>
      <c r="E12" t="s">
        <v>950</v>
      </c>
    </row>
    <row r="13" spans="1:12" x14ac:dyDescent="0.35">
      <c r="A13" s="101" t="s">
        <v>891</v>
      </c>
      <c r="B13" s="101">
        <f>IF('Induction Employee Register'!N17="","",'Induction Employee Register'!N17)</f>
        <v>0</v>
      </c>
      <c r="D13" t="s">
        <v>951</v>
      </c>
      <c r="E13" t="s">
        <v>952</v>
      </c>
    </row>
    <row r="14" spans="1:12" x14ac:dyDescent="0.35">
      <c r="A14" s="101" t="s">
        <v>892</v>
      </c>
      <c r="B14" s="101" t="str">
        <f>IF('Induction Employee Register'!O17="","",'Induction Employee Register'!O17)</f>
        <v/>
      </c>
    </row>
    <row r="17" spans="1:12" ht="24" customHeight="1" x14ac:dyDescent="0.35">
      <c r="A17" s="135" t="s">
        <v>953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9" spans="1:12" ht="29" x14ac:dyDescent="0.35">
      <c r="A19" s="116" t="s">
        <v>954</v>
      </c>
      <c r="B19" s="116" t="s">
        <v>955</v>
      </c>
      <c r="C19" s="116" t="s">
        <v>956</v>
      </c>
      <c r="D19" s="116" t="s">
        <v>957</v>
      </c>
      <c r="E19" s="116" t="s">
        <v>958</v>
      </c>
      <c r="F19" s="116" t="s">
        <v>353</v>
      </c>
      <c r="G19" s="116" t="s">
        <v>335</v>
      </c>
      <c r="H19" s="116" t="s">
        <v>338</v>
      </c>
      <c r="I19" s="117" t="s">
        <v>959</v>
      </c>
      <c r="J19" t="s">
        <v>960</v>
      </c>
      <c r="K19" t="s">
        <v>300</v>
      </c>
      <c r="L19" t="s">
        <v>961</v>
      </c>
    </row>
    <row r="20" spans="1:12" x14ac:dyDescent="0.35">
      <c r="A20" s="118" t="s">
        <v>962</v>
      </c>
      <c r="B20" s="118" t="s">
        <v>81</v>
      </c>
      <c r="C20" s="118"/>
      <c r="D20" s="127"/>
      <c r="E20" s="127"/>
      <c r="F20" s="118"/>
      <c r="G20" s="118"/>
      <c r="H20" s="118"/>
      <c r="J20" t="s">
        <v>310</v>
      </c>
      <c r="K20" t="str">
        <f>IF('Induction Employee Register'!W17="","",'Induction Employee Register'!W17)</f>
        <v/>
      </c>
      <c r="L20" t="s">
        <v>963</v>
      </c>
    </row>
    <row r="21" spans="1:12" x14ac:dyDescent="0.35">
      <c r="A21" s="118" t="s">
        <v>964</v>
      </c>
      <c r="B21" s="118" t="s">
        <v>81</v>
      </c>
      <c r="C21" s="118"/>
      <c r="D21" s="127"/>
      <c r="E21" s="127"/>
      <c r="F21" s="118"/>
      <c r="G21" s="118"/>
      <c r="H21" s="118"/>
      <c r="J21" t="s">
        <v>311</v>
      </c>
      <c r="K21" t="str">
        <f>IF('Induction Employee Register'!X17="","",'Induction Employee Register'!X17)</f>
        <v/>
      </c>
      <c r="L21" t="s">
        <v>965</v>
      </c>
    </row>
    <row r="22" spans="1:12" x14ac:dyDescent="0.35">
      <c r="A22" s="118" t="s">
        <v>966</v>
      </c>
      <c r="B22" s="118" t="s">
        <v>81</v>
      </c>
      <c r="C22" s="118"/>
      <c r="D22" s="127"/>
      <c r="E22" s="127"/>
      <c r="F22" s="118"/>
      <c r="G22" s="118"/>
      <c r="H22" s="118"/>
      <c r="J22" t="s">
        <v>312</v>
      </c>
      <c r="K22" t="str">
        <f>IF('Induction Employee Register'!Y17="","",'Induction Employee Register'!Y17)</f>
        <v/>
      </c>
      <c r="L22" t="s">
        <v>967</v>
      </c>
    </row>
    <row r="23" spans="1:12" x14ac:dyDescent="0.35">
      <c r="A23" s="118" t="s">
        <v>52</v>
      </c>
      <c r="B23" s="118" t="s">
        <v>81</v>
      </c>
      <c r="C23" s="118"/>
      <c r="D23" s="127"/>
      <c r="E23" s="127"/>
      <c r="F23" s="118"/>
      <c r="G23" s="118"/>
      <c r="H23" s="118"/>
      <c r="J23" t="s">
        <v>313</v>
      </c>
      <c r="K23" t="str">
        <f>IF('Induction Employee Register'!Z17="","",'Induction Employee Register'!Z17)</f>
        <v/>
      </c>
      <c r="L23" t="s">
        <v>968</v>
      </c>
    </row>
    <row r="24" spans="1:12" x14ac:dyDescent="0.35">
      <c r="A24" s="118" t="s">
        <v>50</v>
      </c>
      <c r="B24" s="118" t="s">
        <v>81</v>
      </c>
      <c r="C24" s="118"/>
      <c r="D24" s="127"/>
      <c r="E24" s="127"/>
      <c r="F24" s="118"/>
      <c r="G24" s="118"/>
      <c r="H24" s="118"/>
      <c r="J24" t="s">
        <v>314</v>
      </c>
      <c r="K24" t="str">
        <f>IF('Induction Employee Register'!AA17="","",'Induction Employee Register'!AA17)</f>
        <v/>
      </c>
      <c r="L24" t="s">
        <v>968</v>
      </c>
    </row>
    <row r="25" spans="1:12" x14ac:dyDescent="0.35">
      <c r="A25" s="118" t="s">
        <v>329</v>
      </c>
      <c r="B25" s="118" t="s">
        <v>81</v>
      </c>
      <c r="C25" s="118"/>
      <c r="D25" s="127"/>
      <c r="E25" s="127"/>
      <c r="F25" s="118"/>
      <c r="G25" s="118"/>
      <c r="H25" s="118"/>
      <c r="J25" t="s">
        <v>315</v>
      </c>
      <c r="K25" t="str">
        <f>IF('Induction Employee Register'!AB17="","",'Induction Employee Register'!AB17)</f>
        <v/>
      </c>
      <c r="L25" t="s">
        <v>967</v>
      </c>
    </row>
    <row r="26" spans="1:12" x14ac:dyDescent="0.35">
      <c r="A26" s="118" t="s">
        <v>969</v>
      </c>
      <c r="B26" s="118" t="s">
        <v>81</v>
      </c>
      <c r="C26" s="118"/>
      <c r="D26" s="127"/>
      <c r="E26" s="127"/>
      <c r="F26" s="118"/>
      <c r="G26" s="118"/>
      <c r="H26" s="118"/>
      <c r="J26" t="s">
        <v>316</v>
      </c>
      <c r="K26" t="str">
        <f>IF('Induction Employee Register'!AC17="","",'Induction Employee Register'!AC17)</f>
        <v/>
      </c>
      <c r="L26" t="s">
        <v>967</v>
      </c>
    </row>
    <row r="27" spans="1:12" x14ac:dyDescent="0.35">
      <c r="A27" s="118" t="s">
        <v>970</v>
      </c>
      <c r="B27" s="118" t="s">
        <v>81</v>
      </c>
      <c r="C27" s="118"/>
      <c r="D27" s="127"/>
      <c r="E27" s="127"/>
      <c r="F27" s="118"/>
      <c r="G27" s="118"/>
      <c r="H27" s="118"/>
    </row>
    <row r="28" spans="1:12" x14ac:dyDescent="0.35">
      <c r="A28" s="118" t="s">
        <v>971</v>
      </c>
      <c r="B28" s="118" t="s">
        <v>81</v>
      </c>
      <c r="C28" s="118"/>
      <c r="D28" s="127"/>
      <c r="E28" s="127"/>
      <c r="F28" s="118"/>
      <c r="G28" s="118"/>
      <c r="H28" s="118"/>
    </row>
    <row r="29" spans="1:12" x14ac:dyDescent="0.35">
      <c r="A29" s="118" t="s">
        <v>972</v>
      </c>
      <c r="B29" s="118" t="s">
        <v>81</v>
      </c>
      <c r="C29" s="118"/>
      <c r="D29" s="127"/>
      <c r="E29" s="127"/>
      <c r="F29" s="118"/>
      <c r="G29" s="118"/>
      <c r="H29" s="118"/>
    </row>
    <row r="30" spans="1:12" x14ac:dyDescent="0.35">
      <c r="A30" s="118" t="s">
        <v>973</v>
      </c>
      <c r="B30" s="118" t="s">
        <v>81</v>
      </c>
      <c r="C30" s="118"/>
      <c r="D30" s="127"/>
      <c r="E30" s="127"/>
      <c r="F30" s="118"/>
      <c r="G30" s="118"/>
      <c r="H30" s="118"/>
    </row>
    <row r="31" spans="1:12" x14ac:dyDescent="0.35">
      <c r="A31" s="118" t="s">
        <v>974</v>
      </c>
      <c r="B31" s="118" t="s">
        <v>81</v>
      </c>
      <c r="C31" s="118"/>
      <c r="D31" s="127"/>
      <c r="E31" s="127"/>
      <c r="F31" s="118"/>
      <c r="G31" s="118"/>
      <c r="H31" s="118"/>
    </row>
    <row r="32" spans="1:12" x14ac:dyDescent="0.35">
      <c r="A32" s="118" t="s">
        <v>975</v>
      </c>
      <c r="B32" s="118" t="s">
        <v>81</v>
      </c>
      <c r="C32" s="118"/>
      <c r="D32" s="127"/>
      <c r="E32" s="127"/>
      <c r="F32" s="118"/>
      <c r="G32" s="118"/>
      <c r="H32" s="118"/>
    </row>
    <row r="33" spans="1:12" x14ac:dyDescent="0.35">
      <c r="A33" s="118" t="s">
        <v>54</v>
      </c>
      <c r="B33" s="118" t="s">
        <v>81</v>
      </c>
      <c r="C33" s="118"/>
      <c r="D33" s="127"/>
      <c r="E33" s="127"/>
      <c r="F33" s="118"/>
      <c r="G33" s="118"/>
      <c r="H33" s="118"/>
    </row>
    <row r="34" spans="1:12" x14ac:dyDescent="0.35">
      <c r="A34" s="119" t="s">
        <v>976</v>
      </c>
      <c r="B34" s="119" t="s">
        <v>81</v>
      </c>
      <c r="C34" s="119"/>
      <c r="D34" s="127"/>
      <c r="E34" s="127"/>
      <c r="F34" s="119"/>
      <c r="G34" s="119"/>
      <c r="H34" s="119"/>
    </row>
    <row r="35" spans="1:12" ht="24" customHeight="1" x14ac:dyDescent="0.35">
      <c r="A35" s="130" t="s">
        <v>977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</row>
    <row r="36" spans="1:12" x14ac:dyDescent="0.35">
      <c r="A36" s="119" t="s">
        <v>978</v>
      </c>
      <c r="B36" s="119" t="s">
        <v>81</v>
      </c>
      <c r="C36" s="119"/>
      <c r="D36" s="127"/>
      <c r="E36" s="127"/>
      <c r="F36" s="119"/>
      <c r="G36" s="119"/>
      <c r="H36" s="119"/>
    </row>
    <row r="37" spans="1:12" x14ac:dyDescent="0.35">
      <c r="A37" s="119" t="s">
        <v>979</v>
      </c>
      <c r="B37" s="119" t="s">
        <v>81</v>
      </c>
      <c r="C37" s="119"/>
      <c r="D37" s="127"/>
      <c r="E37" s="127"/>
      <c r="F37" s="119"/>
      <c r="G37" s="119"/>
      <c r="H37" s="119"/>
    </row>
    <row r="38" spans="1:12" x14ac:dyDescent="0.35">
      <c r="A38" s="119" t="s">
        <v>980</v>
      </c>
      <c r="B38" s="119" t="s">
        <v>81</v>
      </c>
      <c r="C38" s="119"/>
      <c r="D38" s="127"/>
      <c r="E38" s="127"/>
      <c r="F38" s="119"/>
      <c r="G38" s="119"/>
      <c r="H38" s="119"/>
    </row>
    <row r="39" spans="1:12" x14ac:dyDescent="0.35">
      <c r="A39" s="119" t="s">
        <v>981</v>
      </c>
      <c r="B39" s="119" t="s">
        <v>81</v>
      </c>
      <c r="C39" s="119"/>
      <c r="D39" s="127"/>
      <c r="E39" s="127"/>
      <c r="F39" s="119"/>
      <c r="G39" s="119"/>
      <c r="H39" s="119"/>
    </row>
    <row r="40" spans="1:12" x14ac:dyDescent="0.35">
      <c r="A40" s="119" t="s">
        <v>982</v>
      </c>
      <c r="B40" s="119" t="s">
        <v>81</v>
      </c>
      <c r="C40" s="119"/>
      <c r="D40" s="127"/>
      <c r="E40" s="127"/>
      <c r="F40" s="119"/>
      <c r="G40" s="119"/>
      <c r="H40" s="119"/>
    </row>
    <row r="41" spans="1:12" x14ac:dyDescent="0.35">
      <c r="A41" s="118"/>
      <c r="B41" s="118"/>
      <c r="C41" s="118"/>
      <c r="D41" s="127"/>
      <c r="E41" s="127"/>
      <c r="F41" s="118"/>
      <c r="G41" s="118"/>
      <c r="H41" s="118"/>
    </row>
    <row r="42" spans="1:12" x14ac:dyDescent="0.35">
      <c r="A42" s="120" t="s">
        <v>983</v>
      </c>
      <c r="B42" s="118"/>
      <c r="C42" s="118"/>
      <c r="D42" s="127"/>
      <c r="E42" s="127"/>
      <c r="F42" s="118"/>
      <c r="G42" s="118"/>
      <c r="H42" s="118"/>
      <c r="I42" s="96"/>
      <c r="J42" s="96"/>
      <c r="K42" s="96"/>
      <c r="L42" s="96"/>
    </row>
    <row r="43" spans="1:12" x14ac:dyDescent="0.35">
      <c r="A43" s="118"/>
      <c r="B43" s="118"/>
      <c r="C43" s="118"/>
      <c r="D43" s="127"/>
      <c r="E43" s="127"/>
      <c r="F43" s="118"/>
      <c r="G43" s="118"/>
      <c r="H43" s="118"/>
    </row>
    <row r="44" spans="1:12" ht="29" x14ac:dyDescent="0.35">
      <c r="A44" s="116" t="s">
        <v>984</v>
      </c>
      <c r="B44" s="116" t="s">
        <v>985</v>
      </c>
      <c r="C44" s="116" t="s">
        <v>986</v>
      </c>
      <c r="D44" s="116" t="s">
        <v>987</v>
      </c>
      <c r="E44" s="116" t="s">
        <v>988</v>
      </c>
      <c r="F44" s="116" t="s">
        <v>989</v>
      </c>
      <c r="G44" s="116" t="s">
        <v>389</v>
      </c>
      <c r="H44" s="116" t="s">
        <v>870</v>
      </c>
      <c r="I44" s="100" t="s">
        <v>390</v>
      </c>
      <c r="J44" s="100" t="s">
        <v>990</v>
      </c>
      <c r="K44" s="100" t="s">
        <v>991</v>
      </c>
      <c r="L44" s="100" t="s">
        <v>992</v>
      </c>
    </row>
    <row r="45" spans="1:12" ht="29" x14ac:dyDescent="0.35">
      <c r="A45" s="121" t="s">
        <v>993</v>
      </c>
      <c r="B45" s="121" t="s">
        <v>994</v>
      </c>
      <c r="C45" s="121" t="s">
        <v>995</v>
      </c>
      <c r="D45" s="121"/>
      <c r="E45" s="121" t="s">
        <v>996</v>
      </c>
      <c r="F45" s="121"/>
      <c r="G45" s="121"/>
      <c r="H45" s="121"/>
      <c r="I45" s="21"/>
      <c r="J45" s="21"/>
      <c r="K45" s="21"/>
      <c r="L45" s="21"/>
    </row>
    <row r="46" spans="1:12" ht="29" x14ac:dyDescent="0.35">
      <c r="A46" s="21" t="s">
        <v>993</v>
      </c>
      <c r="B46" s="21" t="s">
        <v>997</v>
      </c>
      <c r="C46" s="21" t="s">
        <v>998</v>
      </c>
      <c r="D46" s="21"/>
      <c r="E46" s="21" t="s">
        <v>996</v>
      </c>
      <c r="F46" s="21"/>
      <c r="G46" s="21"/>
      <c r="H46" s="21"/>
      <c r="I46" s="21"/>
      <c r="J46" s="21"/>
      <c r="K46" s="21"/>
      <c r="L46" s="21"/>
    </row>
    <row r="47" spans="1:12" ht="29" x14ac:dyDescent="0.35">
      <c r="A47" s="21" t="s">
        <v>993</v>
      </c>
      <c r="B47" s="21" t="s">
        <v>999</v>
      </c>
      <c r="C47" s="21" t="s">
        <v>1000</v>
      </c>
      <c r="D47" s="21"/>
      <c r="E47" s="21" t="s">
        <v>996</v>
      </c>
      <c r="F47" s="21"/>
      <c r="G47" s="21"/>
      <c r="H47" s="21"/>
      <c r="I47" s="21"/>
      <c r="J47" s="21"/>
      <c r="K47" s="21"/>
      <c r="L47" s="21"/>
    </row>
    <row r="48" spans="1:12" ht="29" x14ac:dyDescent="0.35">
      <c r="A48" s="21" t="s">
        <v>993</v>
      </c>
      <c r="B48" s="21" t="s">
        <v>1001</v>
      </c>
      <c r="C48" s="21" t="s">
        <v>1002</v>
      </c>
      <c r="D48" s="21"/>
      <c r="E48" s="21" t="s">
        <v>996</v>
      </c>
      <c r="F48" s="21"/>
      <c r="G48" s="21"/>
      <c r="H48" s="21"/>
      <c r="I48" s="21"/>
      <c r="J48" s="21"/>
      <c r="K48" s="21"/>
      <c r="L48" s="21"/>
    </row>
    <row r="49" spans="1:12" ht="43.5" x14ac:dyDescent="0.35">
      <c r="A49" s="21" t="s">
        <v>993</v>
      </c>
      <c r="B49" s="21" t="s">
        <v>1003</v>
      </c>
      <c r="C49" s="21" t="s">
        <v>1004</v>
      </c>
      <c r="D49" s="21"/>
      <c r="E49" s="21" t="s">
        <v>996</v>
      </c>
      <c r="F49" s="21"/>
      <c r="G49" s="21"/>
      <c r="H49" s="21"/>
      <c r="I49" s="21"/>
      <c r="J49" s="21"/>
      <c r="K49" s="21"/>
      <c r="L49" s="21"/>
    </row>
    <row r="50" spans="1:12" ht="29" x14ac:dyDescent="0.35">
      <c r="A50" s="21" t="s">
        <v>993</v>
      </c>
      <c r="B50" s="21" t="s">
        <v>1005</v>
      </c>
      <c r="C50" s="21" t="s">
        <v>1006</v>
      </c>
      <c r="D50" s="21"/>
      <c r="E50" s="21" t="s">
        <v>996</v>
      </c>
      <c r="F50" s="21"/>
      <c r="G50" s="21"/>
      <c r="H50" s="21"/>
      <c r="I50" s="21"/>
      <c r="J50" s="21"/>
      <c r="K50" s="21"/>
      <c r="L50" s="21"/>
    </row>
    <row r="51" spans="1:12" ht="43.5" x14ac:dyDescent="0.35">
      <c r="A51" s="21" t="s">
        <v>1007</v>
      </c>
      <c r="B51" s="21" t="s">
        <v>1008</v>
      </c>
      <c r="C51" s="21" t="s">
        <v>1009</v>
      </c>
      <c r="D51" s="21"/>
      <c r="E51" s="21" t="s">
        <v>996</v>
      </c>
      <c r="F51" s="21"/>
      <c r="G51" s="21"/>
      <c r="H51" s="21"/>
      <c r="I51" s="21"/>
      <c r="J51" s="21"/>
      <c r="K51" s="21"/>
      <c r="L51" s="21"/>
    </row>
    <row r="52" spans="1:12" ht="29" x14ac:dyDescent="0.35">
      <c r="A52" s="21" t="s">
        <v>1007</v>
      </c>
      <c r="B52" s="21" t="s">
        <v>1010</v>
      </c>
      <c r="C52" s="21" t="s">
        <v>1011</v>
      </c>
      <c r="D52" s="21"/>
      <c r="E52" s="21" t="s">
        <v>996</v>
      </c>
      <c r="F52" s="21"/>
      <c r="G52" s="21"/>
      <c r="H52" s="21"/>
      <c r="I52" s="21"/>
      <c r="J52" s="21"/>
      <c r="K52" s="21"/>
      <c r="L52" s="21"/>
    </row>
    <row r="53" spans="1:12" ht="29" x14ac:dyDescent="0.35">
      <c r="A53" s="21" t="s">
        <v>1007</v>
      </c>
      <c r="B53" s="21" t="s">
        <v>1012</v>
      </c>
      <c r="C53" s="21" t="s">
        <v>1013</v>
      </c>
      <c r="D53" s="21"/>
      <c r="E53" s="21" t="s">
        <v>996</v>
      </c>
      <c r="F53" s="21"/>
      <c r="G53" s="21"/>
      <c r="H53" s="21"/>
      <c r="I53" s="21"/>
      <c r="J53" s="21"/>
      <c r="K53" s="21"/>
      <c r="L53" s="21"/>
    </row>
    <row r="54" spans="1:12" ht="29" x14ac:dyDescent="0.35">
      <c r="A54" s="21" t="s">
        <v>1007</v>
      </c>
      <c r="B54" s="21" t="s">
        <v>1014</v>
      </c>
      <c r="C54" s="21" t="s">
        <v>1015</v>
      </c>
      <c r="D54" s="21"/>
      <c r="E54" s="21" t="s">
        <v>996</v>
      </c>
      <c r="F54" s="21"/>
      <c r="G54" s="21"/>
      <c r="H54" s="21"/>
      <c r="I54" s="21"/>
      <c r="J54" s="21"/>
      <c r="K54" s="21"/>
      <c r="L54" s="21"/>
    </row>
    <row r="55" spans="1:12" ht="29" x14ac:dyDescent="0.35">
      <c r="A55" s="21" t="s">
        <v>1007</v>
      </c>
      <c r="B55" s="21" t="s">
        <v>1016</v>
      </c>
      <c r="C55" s="21" t="s">
        <v>1017</v>
      </c>
      <c r="D55" s="21"/>
      <c r="E55" s="21" t="s">
        <v>996</v>
      </c>
      <c r="F55" s="21"/>
      <c r="G55" s="21"/>
      <c r="H55" s="21"/>
      <c r="I55" s="21"/>
      <c r="J55" s="21"/>
      <c r="K55" s="21"/>
      <c r="L55" s="21"/>
    </row>
    <row r="56" spans="1:12" ht="29" x14ac:dyDescent="0.35">
      <c r="A56" s="21" t="s">
        <v>1007</v>
      </c>
      <c r="B56" s="21" t="s">
        <v>1018</v>
      </c>
      <c r="C56" s="21" t="s">
        <v>1019</v>
      </c>
      <c r="D56" s="21"/>
      <c r="E56" s="21" t="s">
        <v>996</v>
      </c>
      <c r="F56" s="21"/>
      <c r="G56" s="21"/>
      <c r="H56" s="21"/>
      <c r="I56" s="21"/>
      <c r="J56" s="21"/>
      <c r="K56" s="21"/>
      <c r="L56" s="21"/>
    </row>
    <row r="57" spans="1:12" ht="43.5" x14ac:dyDescent="0.35">
      <c r="A57" s="21" t="s">
        <v>1020</v>
      </c>
      <c r="B57" s="21" t="s">
        <v>1021</v>
      </c>
      <c r="C57" s="21" t="s">
        <v>1022</v>
      </c>
      <c r="D57" s="21"/>
      <c r="E57" s="21" t="s">
        <v>1023</v>
      </c>
      <c r="F57" s="21"/>
      <c r="G57" s="21"/>
      <c r="H57" s="21"/>
      <c r="I57" s="21"/>
      <c r="J57" s="21"/>
      <c r="K57" s="21"/>
      <c r="L57" s="21"/>
    </row>
    <row r="58" spans="1:12" ht="43.5" x14ac:dyDescent="0.35">
      <c r="A58" s="21" t="s">
        <v>1020</v>
      </c>
      <c r="B58" s="21" t="s">
        <v>1024</v>
      </c>
      <c r="C58" s="21" t="s">
        <v>1025</v>
      </c>
      <c r="D58" s="21"/>
      <c r="E58" s="21" t="s">
        <v>1023</v>
      </c>
      <c r="F58" s="21"/>
      <c r="G58" s="21"/>
      <c r="H58" s="21"/>
      <c r="I58" s="21"/>
      <c r="J58" s="21"/>
      <c r="K58" s="21"/>
      <c r="L58" s="21"/>
    </row>
    <row r="59" spans="1:12" ht="43.5" x14ac:dyDescent="0.35">
      <c r="A59" s="21" t="s">
        <v>1020</v>
      </c>
      <c r="B59" s="21" t="s">
        <v>1026</v>
      </c>
      <c r="C59" s="21" t="s">
        <v>1027</v>
      </c>
      <c r="D59" s="21"/>
      <c r="E59" s="21" t="s">
        <v>1023</v>
      </c>
      <c r="F59" s="21"/>
      <c r="G59" s="21"/>
      <c r="H59" s="21"/>
      <c r="I59" s="21"/>
      <c r="J59" s="21"/>
      <c r="K59" s="21"/>
      <c r="L59" s="21"/>
    </row>
    <row r="60" spans="1:12" ht="43.5" x14ac:dyDescent="0.35">
      <c r="A60" s="21" t="s">
        <v>1020</v>
      </c>
      <c r="B60" s="21" t="s">
        <v>1028</v>
      </c>
      <c r="C60" s="21" t="s">
        <v>1029</v>
      </c>
      <c r="D60" s="21"/>
      <c r="E60" s="21" t="s">
        <v>1023</v>
      </c>
      <c r="F60" s="21"/>
      <c r="G60" s="21"/>
      <c r="H60" s="21"/>
      <c r="I60" s="21"/>
      <c r="J60" s="21"/>
      <c r="K60" s="21"/>
      <c r="L60" s="21"/>
    </row>
    <row r="61" spans="1:12" ht="43.5" x14ac:dyDescent="0.35">
      <c r="A61" s="21" t="s">
        <v>1020</v>
      </c>
      <c r="B61" s="21" t="s">
        <v>1030</v>
      </c>
      <c r="C61" s="21" t="s">
        <v>1031</v>
      </c>
      <c r="D61" s="21"/>
      <c r="E61" s="21" t="s">
        <v>1023</v>
      </c>
      <c r="F61" s="21"/>
      <c r="G61" s="21"/>
      <c r="H61" s="21"/>
      <c r="I61" s="21"/>
      <c r="J61" s="21"/>
      <c r="K61" s="21"/>
      <c r="L61" s="21"/>
    </row>
    <row r="62" spans="1:12" ht="43.5" x14ac:dyDescent="0.35">
      <c r="A62" s="21" t="s">
        <v>1020</v>
      </c>
      <c r="B62" s="21" t="s">
        <v>1032</v>
      </c>
      <c r="C62" s="21" t="s">
        <v>1033</v>
      </c>
      <c r="D62" s="21"/>
      <c r="E62" s="21" t="s">
        <v>1023</v>
      </c>
      <c r="F62" s="21"/>
      <c r="G62" s="21"/>
      <c r="H62" s="21"/>
      <c r="I62" s="21"/>
      <c r="J62" s="21"/>
      <c r="K62" s="21"/>
      <c r="L62" s="21"/>
    </row>
    <row r="63" spans="1:12" ht="29" x14ac:dyDescent="0.35">
      <c r="A63" s="21" t="s">
        <v>428</v>
      </c>
      <c r="B63" s="21" t="s">
        <v>1034</v>
      </c>
      <c r="C63" s="21" t="s">
        <v>1035</v>
      </c>
      <c r="D63" s="21"/>
      <c r="E63" s="21" t="s">
        <v>996</v>
      </c>
      <c r="F63" s="21"/>
      <c r="G63" s="21"/>
      <c r="H63" s="21"/>
      <c r="I63" s="21"/>
      <c r="J63" s="21"/>
      <c r="K63" s="21"/>
      <c r="L63" s="21"/>
    </row>
    <row r="64" spans="1:12" ht="43.5" x14ac:dyDescent="0.35">
      <c r="A64" s="21" t="s">
        <v>428</v>
      </c>
      <c r="B64" s="21" t="s">
        <v>1036</v>
      </c>
      <c r="C64" s="21" t="s">
        <v>1037</v>
      </c>
      <c r="D64" s="21"/>
      <c r="E64" s="21" t="s">
        <v>996</v>
      </c>
      <c r="F64" s="21"/>
      <c r="G64" s="21"/>
      <c r="H64" s="21"/>
      <c r="I64" s="21"/>
      <c r="J64" s="21"/>
      <c r="K64" s="21"/>
      <c r="L64" s="21"/>
    </row>
    <row r="65" spans="1:12" ht="29" x14ac:dyDescent="0.35">
      <c r="A65" s="21" t="s">
        <v>428</v>
      </c>
      <c r="B65" s="21" t="s">
        <v>1038</v>
      </c>
      <c r="C65" s="21" t="s">
        <v>1039</v>
      </c>
      <c r="D65" s="21"/>
      <c r="E65" s="21" t="s">
        <v>996</v>
      </c>
      <c r="F65" s="21"/>
      <c r="G65" s="21"/>
      <c r="H65" s="21"/>
      <c r="I65" s="21"/>
      <c r="J65" s="21"/>
      <c r="K65" s="21"/>
      <c r="L65" s="21"/>
    </row>
    <row r="66" spans="1:12" ht="43.5" x14ac:dyDescent="0.35">
      <c r="A66" s="21" t="s">
        <v>428</v>
      </c>
      <c r="B66" s="21" t="s">
        <v>1040</v>
      </c>
      <c r="C66" s="21" t="s">
        <v>1041</v>
      </c>
      <c r="D66" s="21"/>
      <c r="E66" s="21" t="s">
        <v>996</v>
      </c>
      <c r="F66" s="21"/>
      <c r="G66" s="21"/>
      <c r="H66" s="21"/>
      <c r="I66" s="21"/>
      <c r="J66" s="21"/>
      <c r="K66" s="21"/>
      <c r="L66" s="21"/>
    </row>
    <row r="67" spans="1:12" ht="29" x14ac:dyDescent="0.35">
      <c r="A67" s="21" t="s">
        <v>428</v>
      </c>
      <c r="B67" s="21" t="s">
        <v>1042</v>
      </c>
      <c r="C67" s="21" t="s">
        <v>1043</v>
      </c>
      <c r="D67" s="21"/>
      <c r="E67" s="21" t="s">
        <v>996</v>
      </c>
      <c r="F67" s="21"/>
      <c r="G67" s="21"/>
      <c r="H67" s="21"/>
      <c r="I67" s="21"/>
      <c r="J67" s="21"/>
      <c r="K67" s="21"/>
      <c r="L67" s="21"/>
    </row>
    <row r="68" spans="1:12" ht="29" x14ac:dyDescent="0.35">
      <c r="A68" s="21" t="s">
        <v>428</v>
      </c>
      <c r="B68" s="21" t="s">
        <v>1044</v>
      </c>
      <c r="C68" s="21" t="s">
        <v>1045</v>
      </c>
      <c r="D68" s="21"/>
      <c r="E68" s="21" t="s">
        <v>996</v>
      </c>
      <c r="F68" s="21"/>
      <c r="G68" s="21"/>
      <c r="H68" s="21"/>
      <c r="I68" s="21"/>
      <c r="J68" s="21"/>
      <c r="K68" s="21"/>
      <c r="L68" s="21"/>
    </row>
    <row r="69" spans="1:12" ht="29" x14ac:dyDescent="0.35">
      <c r="A69" s="21" t="s">
        <v>1046</v>
      </c>
      <c r="B69" s="21" t="s">
        <v>1047</v>
      </c>
      <c r="C69" s="21" t="s">
        <v>1048</v>
      </c>
      <c r="D69" s="21"/>
      <c r="E69" s="21" t="s">
        <v>996</v>
      </c>
      <c r="F69" s="21"/>
      <c r="G69" s="21"/>
      <c r="H69" s="21"/>
      <c r="I69" s="21"/>
      <c r="J69" s="21"/>
      <c r="K69" s="21"/>
      <c r="L69" s="21"/>
    </row>
    <row r="70" spans="1:12" ht="29" x14ac:dyDescent="0.35">
      <c r="A70" s="21" t="s">
        <v>1046</v>
      </c>
      <c r="B70" s="21" t="s">
        <v>1049</v>
      </c>
      <c r="C70" s="21" t="s">
        <v>1050</v>
      </c>
      <c r="D70" s="21"/>
      <c r="E70" s="21" t="s">
        <v>996</v>
      </c>
      <c r="F70" s="21"/>
      <c r="G70" s="21"/>
      <c r="H70" s="21"/>
      <c r="I70" s="21"/>
      <c r="J70" s="21"/>
      <c r="K70" s="21"/>
      <c r="L70" s="21"/>
    </row>
    <row r="71" spans="1:12" ht="29" x14ac:dyDescent="0.35">
      <c r="A71" s="21" t="s">
        <v>1046</v>
      </c>
      <c r="B71" s="21" t="s">
        <v>1051</v>
      </c>
      <c r="C71" s="21" t="s">
        <v>1052</v>
      </c>
      <c r="D71" s="21"/>
      <c r="E71" s="21" t="s">
        <v>996</v>
      </c>
      <c r="F71" s="21"/>
      <c r="G71" s="21"/>
      <c r="H71" s="21"/>
      <c r="I71" s="21"/>
      <c r="J71" s="21"/>
      <c r="K71" s="21"/>
      <c r="L71" s="21"/>
    </row>
    <row r="72" spans="1:12" ht="29" x14ac:dyDescent="0.35">
      <c r="A72" s="21" t="s">
        <v>1046</v>
      </c>
      <c r="B72" s="21" t="s">
        <v>1053</v>
      </c>
      <c r="C72" s="21" t="s">
        <v>1054</v>
      </c>
      <c r="D72" s="21"/>
      <c r="E72" s="21" t="s">
        <v>996</v>
      </c>
      <c r="F72" s="21"/>
      <c r="G72" s="21"/>
      <c r="H72" s="21"/>
      <c r="I72" s="21"/>
      <c r="J72" s="21"/>
      <c r="K72" s="21"/>
      <c r="L72" s="21"/>
    </row>
    <row r="73" spans="1:12" ht="29" x14ac:dyDescent="0.35">
      <c r="A73" s="21" t="s">
        <v>1046</v>
      </c>
      <c r="B73" s="21" t="s">
        <v>1055</v>
      </c>
      <c r="C73" s="21" t="s">
        <v>1056</v>
      </c>
      <c r="D73" s="21"/>
      <c r="E73" s="21" t="s">
        <v>996</v>
      </c>
      <c r="F73" s="21"/>
      <c r="G73" s="21"/>
      <c r="H73" s="21"/>
      <c r="I73" s="21"/>
      <c r="J73" s="21"/>
      <c r="K73" s="21"/>
      <c r="L73" s="21"/>
    </row>
    <row r="74" spans="1:12" ht="29" x14ac:dyDescent="0.35">
      <c r="A74" s="21" t="s">
        <v>1046</v>
      </c>
      <c r="B74" s="21" t="s">
        <v>1057</v>
      </c>
      <c r="C74" s="21" t="s">
        <v>1058</v>
      </c>
      <c r="D74" s="21"/>
      <c r="E74" s="21" t="s">
        <v>996</v>
      </c>
      <c r="F74" s="21"/>
      <c r="G74" s="21"/>
      <c r="H74" s="21"/>
      <c r="I74" s="21"/>
      <c r="J74" s="21"/>
      <c r="K74" s="21"/>
      <c r="L74" s="21"/>
    </row>
    <row r="75" spans="1:12" ht="29" x14ac:dyDescent="0.35">
      <c r="A75" s="21" t="s">
        <v>1059</v>
      </c>
      <c r="B75" s="21" t="s">
        <v>1060</v>
      </c>
      <c r="C75" s="21" t="s">
        <v>1061</v>
      </c>
      <c r="D75" s="21"/>
      <c r="E75" s="21" t="s">
        <v>996</v>
      </c>
      <c r="F75" s="21"/>
      <c r="G75" s="21"/>
      <c r="H75" s="21"/>
      <c r="I75" s="21"/>
      <c r="J75" s="21"/>
      <c r="K75" s="21"/>
      <c r="L75" s="21"/>
    </row>
    <row r="76" spans="1:12" ht="43.5" x14ac:dyDescent="0.35">
      <c r="A76" s="21" t="s">
        <v>1059</v>
      </c>
      <c r="B76" s="21" t="s">
        <v>1062</v>
      </c>
      <c r="C76" s="21" t="s">
        <v>1063</v>
      </c>
      <c r="D76" s="21"/>
      <c r="E76" s="21" t="s">
        <v>996</v>
      </c>
      <c r="F76" s="21"/>
      <c r="G76" s="21"/>
      <c r="H76" s="21"/>
      <c r="I76" s="21"/>
      <c r="J76" s="21"/>
      <c r="K76" s="21"/>
      <c r="L76" s="21"/>
    </row>
    <row r="77" spans="1:12" ht="29" x14ac:dyDescent="0.35">
      <c r="A77" s="21" t="s">
        <v>1059</v>
      </c>
      <c r="B77" s="21" t="s">
        <v>1064</v>
      </c>
      <c r="C77" s="21" t="s">
        <v>1065</v>
      </c>
      <c r="D77" s="21"/>
      <c r="E77" s="21" t="s">
        <v>996</v>
      </c>
      <c r="F77" s="21"/>
      <c r="G77" s="21"/>
      <c r="H77" s="21"/>
      <c r="I77" s="21"/>
      <c r="J77" s="21"/>
      <c r="K77" s="21"/>
      <c r="L77" s="21"/>
    </row>
    <row r="78" spans="1:12" ht="29" x14ac:dyDescent="0.35">
      <c r="A78" s="21" t="s">
        <v>1059</v>
      </c>
      <c r="B78" s="21" t="s">
        <v>1066</v>
      </c>
      <c r="C78" s="21" t="s">
        <v>1067</v>
      </c>
      <c r="D78" s="21"/>
      <c r="E78" s="21" t="s">
        <v>996</v>
      </c>
      <c r="F78" s="21"/>
      <c r="G78" s="21"/>
      <c r="H78" s="21"/>
      <c r="I78" s="21"/>
      <c r="J78" s="21"/>
      <c r="K78" s="21"/>
      <c r="L78" s="21"/>
    </row>
    <row r="79" spans="1:12" ht="29" x14ac:dyDescent="0.35">
      <c r="A79" s="21" t="s">
        <v>1059</v>
      </c>
      <c r="B79" s="21" t="s">
        <v>1068</v>
      </c>
      <c r="C79" s="21" t="s">
        <v>1069</v>
      </c>
      <c r="D79" s="21"/>
      <c r="E79" s="21" t="s">
        <v>996</v>
      </c>
      <c r="F79" s="21"/>
      <c r="G79" s="21"/>
      <c r="H79" s="21"/>
      <c r="I79" s="21"/>
      <c r="J79" s="21"/>
      <c r="K79" s="21"/>
      <c r="L79" s="21"/>
    </row>
    <row r="80" spans="1:12" ht="29" x14ac:dyDescent="0.35">
      <c r="A80" s="21" t="s">
        <v>1059</v>
      </c>
      <c r="B80" s="21" t="s">
        <v>1070</v>
      </c>
      <c r="C80" s="21" t="s">
        <v>1071</v>
      </c>
      <c r="D80" s="21"/>
      <c r="E80" s="21" t="s">
        <v>996</v>
      </c>
      <c r="F80" s="21"/>
      <c r="G80" s="21"/>
      <c r="H80" s="21"/>
      <c r="I80" s="21"/>
      <c r="J80" s="21"/>
      <c r="K80" s="21"/>
      <c r="L80" s="21"/>
    </row>
    <row r="81" spans="1:12" ht="29" x14ac:dyDescent="0.35">
      <c r="A81" s="21" t="s">
        <v>1072</v>
      </c>
      <c r="B81" s="21" t="s">
        <v>1073</v>
      </c>
      <c r="C81" s="21" t="s">
        <v>1074</v>
      </c>
      <c r="D81" s="21"/>
      <c r="E81" s="21" t="s">
        <v>996</v>
      </c>
      <c r="F81" s="21"/>
      <c r="G81" s="21"/>
      <c r="H81" s="21"/>
      <c r="I81" s="21"/>
      <c r="J81" s="21"/>
      <c r="K81" s="21"/>
      <c r="L81" s="21"/>
    </row>
    <row r="82" spans="1:12" ht="29" x14ac:dyDescent="0.35">
      <c r="A82" s="21" t="s">
        <v>1072</v>
      </c>
      <c r="B82" s="21" t="s">
        <v>1075</v>
      </c>
      <c r="C82" s="21" t="s">
        <v>1076</v>
      </c>
      <c r="D82" s="21"/>
      <c r="E82" s="21" t="s">
        <v>996</v>
      </c>
      <c r="F82" s="21"/>
      <c r="G82" s="21"/>
      <c r="H82" s="21"/>
      <c r="I82" s="21"/>
      <c r="J82" s="21"/>
      <c r="K82" s="21"/>
      <c r="L82" s="21"/>
    </row>
    <row r="83" spans="1:12" ht="29" x14ac:dyDescent="0.35">
      <c r="A83" s="21" t="s">
        <v>1072</v>
      </c>
      <c r="B83" s="21" t="s">
        <v>1077</v>
      </c>
      <c r="C83" s="21" t="s">
        <v>1078</v>
      </c>
      <c r="D83" s="21"/>
      <c r="E83" s="21" t="s">
        <v>996</v>
      </c>
      <c r="F83" s="21"/>
      <c r="G83" s="21"/>
      <c r="H83" s="21"/>
      <c r="I83" s="21"/>
      <c r="J83" s="21"/>
      <c r="K83" s="21"/>
      <c r="L83" s="21"/>
    </row>
    <row r="84" spans="1:12" ht="29" x14ac:dyDescent="0.35">
      <c r="A84" s="21" t="s">
        <v>1072</v>
      </c>
      <c r="B84" s="21" t="s">
        <v>1079</v>
      </c>
      <c r="C84" s="21" t="s">
        <v>1080</v>
      </c>
      <c r="D84" s="21"/>
      <c r="E84" s="21" t="s">
        <v>996</v>
      </c>
      <c r="F84" s="21"/>
      <c r="G84" s="21"/>
      <c r="H84" s="21"/>
      <c r="I84" s="21"/>
      <c r="J84" s="21"/>
      <c r="K84" s="21"/>
      <c r="L84" s="21"/>
    </row>
    <row r="85" spans="1:12" ht="29" x14ac:dyDescent="0.35">
      <c r="A85" s="21" t="s">
        <v>1072</v>
      </c>
      <c r="B85" s="21" t="s">
        <v>1081</v>
      </c>
      <c r="C85" s="21" t="s">
        <v>1082</v>
      </c>
      <c r="D85" s="21"/>
      <c r="E85" s="21" t="s">
        <v>996</v>
      </c>
      <c r="F85" s="21"/>
      <c r="G85" s="21"/>
      <c r="H85" s="21"/>
      <c r="I85" s="21"/>
      <c r="J85" s="21"/>
      <c r="K85" s="21"/>
      <c r="L85" s="21"/>
    </row>
    <row r="86" spans="1:12" ht="29" x14ac:dyDescent="0.35">
      <c r="A86" s="21" t="s">
        <v>1072</v>
      </c>
      <c r="B86" s="21" t="s">
        <v>1083</v>
      </c>
      <c r="C86" s="21" t="s">
        <v>1084</v>
      </c>
      <c r="D86" s="21"/>
      <c r="E86" s="21" t="s">
        <v>996</v>
      </c>
      <c r="F86" s="21"/>
      <c r="G86" s="21"/>
      <c r="H86" s="21"/>
      <c r="I86" s="21"/>
      <c r="J86" s="21"/>
      <c r="K86" s="21"/>
      <c r="L86" s="21"/>
    </row>
    <row r="87" spans="1:12" ht="29" x14ac:dyDescent="0.35">
      <c r="A87" s="21" t="s">
        <v>1085</v>
      </c>
      <c r="B87" s="21" t="s">
        <v>1086</v>
      </c>
      <c r="C87" s="21" t="s">
        <v>1087</v>
      </c>
      <c r="D87" s="21"/>
      <c r="E87" s="21" t="s">
        <v>996</v>
      </c>
      <c r="F87" s="21"/>
      <c r="G87" s="21"/>
      <c r="H87" s="21"/>
      <c r="I87" s="21"/>
      <c r="J87" s="21"/>
      <c r="K87" s="21"/>
      <c r="L87" s="21"/>
    </row>
    <row r="88" spans="1:12" ht="29" x14ac:dyDescent="0.35">
      <c r="A88" s="21" t="s">
        <v>1085</v>
      </c>
      <c r="B88" s="21" t="s">
        <v>1088</v>
      </c>
      <c r="C88" s="21" t="s">
        <v>1089</v>
      </c>
      <c r="D88" s="21"/>
      <c r="E88" s="21" t="s">
        <v>996</v>
      </c>
      <c r="F88" s="21"/>
      <c r="G88" s="21"/>
      <c r="H88" s="21"/>
      <c r="I88" s="21"/>
      <c r="J88" s="21"/>
      <c r="K88" s="21"/>
      <c r="L88" s="21"/>
    </row>
    <row r="89" spans="1:12" ht="29" x14ac:dyDescent="0.35">
      <c r="A89" s="21" t="s">
        <v>1085</v>
      </c>
      <c r="B89" s="21" t="s">
        <v>1090</v>
      </c>
      <c r="C89" s="21" t="s">
        <v>1091</v>
      </c>
      <c r="D89" s="21"/>
      <c r="E89" s="21" t="s">
        <v>996</v>
      </c>
      <c r="F89" s="21"/>
      <c r="G89" s="21"/>
      <c r="H89" s="21"/>
      <c r="I89" s="21"/>
      <c r="J89" s="21"/>
      <c r="K89" s="21"/>
      <c r="L89" s="21"/>
    </row>
    <row r="90" spans="1:12" ht="29" x14ac:dyDescent="0.35">
      <c r="A90" s="21" t="s">
        <v>1085</v>
      </c>
      <c r="B90" s="21" t="s">
        <v>1092</v>
      </c>
      <c r="C90" s="21" t="s">
        <v>1093</v>
      </c>
      <c r="D90" s="21"/>
      <c r="E90" s="21" t="s">
        <v>996</v>
      </c>
      <c r="F90" s="21"/>
      <c r="G90" s="21"/>
      <c r="H90" s="21"/>
      <c r="I90" s="21"/>
      <c r="J90" s="21"/>
      <c r="K90" s="21"/>
      <c r="L90" s="21"/>
    </row>
    <row r="91" spans="1:12" ht="29" x14ac:dyDescent="0.35">
      <c r="A91" s="21" t="s">
        <v>1085</v>
      </c>
      <c r="B91" s="21" t="s">
        <v>1094</v>
      </c>
      <c r="C91" s="21" t="s">
        <v>1095</v>
      </c>
      <c r="D91" s="21"/>
      <c r="E91" s="21" t="s">
        <v>996</v>
      </c>
      <c r="F91" s="21"/>
      <c r="G91" s="21"/>
      <c r="H91" s="21"/>
      <c r="I91" s="21"/>
      <c r="J91" s="21"/>
      <c r="K91" s="21"/>
      <c r="L91" s="21"/>
    </row>
    <row r="92" spans="1:12" ht="29" x14ac:dyDescent="0.35">
      <c r="A92" s="21" t="s">
        <v>1085</v>
      </c>
      <c r="B92" s="21" t="s">
        <v>1096</v>
      </c>
      <c r="C92" s="21" t="s">
        <v>1097</v>
      </c>
      <c r="D92" s="21"/>
      <c r="E92" s="21" t="s">
        <v>996</v>
      </c>
      <c r="F92" s="21"/>
      <c r="G92" s="21"/>
      <c r="H92" s="21"/>
      <c r="I92" s="21"/>
      <c r="J92" s="21"/>
      <c r="K92" s="21"/>
      <c r="L92" s="21"/>
    </row>
    <row r="93" spans="1:12" ht="29" x14ac:dyDescent="0.35">
      <c r="A93" s="21" t="s">
        <v>1098</v>
      </c>
      <c r="B93" s="21" t="s">
        <v>1099</v>
      </c>
      <c r="C93" s="21" t="s">
        <v>1100</v>
      </c>
      <c r="D93" s="21"/>
      <c r="E93" s="21" t="s">
        <v>996</v>
      </c>
      <c r="F93" s="21"/>
      <c r="G93" s="21"/>
      <c r="H93" s="21"/>
      <c r="I93" s="21"/>
      <c r="J93" s="21"/>
      <c r="K93" s="21"/>
      <c r="L93" s="21"/>
    </row>
    <row r="94" spans="1:12" ht="29" x14ac:dyDescent="0.35">
      <c r="A94" s="21" t="s">
        <v>1098</v>
      </c>
      <c r="B94" s="21" t="s">
        <v>1101</v>
      </c>
      <c r="C94" s="21" t="s">
        <v>1102</v>
      </c>
      <c r="D94" s="21"/>
      <c r="E94" s="21" t="s">
        <v>996</v>
      </c>
      <c r="F94" s="21"/>
      <c r="G94" s="21"/>
      <c r="H94" s="21"/>
      <c r="I94" s="21"/>
      <c r="J94" s="21"/>
      <c r="K94" s="21"/>
      <c r="L94" s="21"/>
    </row>
    <row r="95" spans="1:12" ht="29" x14ac:dyDescent="0.35">
      <c r="A95" s="21" t="s">
        <v>1098</v>
      </c>
      <c r="B95" s="21" t="s">
        <v>1103</v>
      </c>
      <c r="C95" s="21" t="s">
        <v>1104</v>
      </c>
      <c r="D95" s="21"/>
      <c r="E95" s="21" t="s">
        <v>996</v>
      </c>
      <c r="F95" s="21"/>
      <c r="G95" s="21"/>
      <c r="H95" s="21"/>
      <c r="I95" s="21"/>
      <c r="J95" s="21"/>
      <c r="K95" s="21"/>
      <c r="L95" s="21"/>
    </row>
    <row r="96" spans="1:12" ht="29" x14ac:dyDescent="0.35">
      <c r="A96" s="21" t="s">
        <v>1098</v>
      </c>
      <c r="B96" s="21" t="s">
        <v>1105</v>
      </c>
      <c r="C96" s="21" t="s">
        <v>1106</v>
      </c>
      <c r="D96" s="21"/>
      <c r="E96" s="21" t="s">
        <v>996</v>
      </c>
      <c r="F96" s="21"/>
      <c r="G96" s="21"/>
      <c r="H96" s="21"/>
      <c r="I96" s="21"/>
      <c r="J96" s="21"/>
      <c r="K96" s="21"/>
      <c r="L96" s="21"/>
    </row>
    <row r="97" spans="1:12" ht="29" x14ac:dyDescent="0.35">
      <c r="A97" s="21" t="s">
        <v>1098</v>
      </c>
      <c r="B97" s="21" t="s">
        <v>1107</v>
      </c>
      <c r="C97" s="21" t="s">
        <v>1108</v>
      </c>
      <c r="D97" s="21"/>
      <c r="E97" s="21" t="s">
        <v>996</v>
      </c>
      <c r="F97" s="21"/>
      <c r="G97" s="21"/>
      <c r="H97" s="21"/>
      <c r="I97" s="21"/>
      <c r="J97" s="21"/>
      <c r="K97" s="21"/>
      <c r="L97" s="21"/>
    </row>
    <row r="98" spans="1:12" ht="29" x14ac:dyDescent="0.35">
      <c r="A98" s="21" t="s">
        <v>1098</v>
      </c>
      <c r="B98" s="21" t="s">
        <v>1109</v>
      </c>
      <c r="C98" s="21" t="s">
        <v>1110</v>
      </c>
      <c r="D98" s="21"/>
      <c r="E98" s="21" t="s">
        <v>996</v>
      </c>
      <c r="F98" s="21"/>
      <c r="G98" s="21"/>
      <c r="H98" s="21"/>
      <c r="I98" s="21"/>
      <c r="J98" s="21"/>
      <c r="K98" s="21"/>
      <c r="L98" s="21"/>
    </row>
    <row r="99" spans="1:12" ht="29" x14ac:dyDescent="0.35">
      <c r="A99" s="21" t="s">
        <v>1111</v>
      </c>
      <c r="B99" s="21" t="s">
        <v>1112</v>
      </c>
      <c r="C99" s="21" t="s">
        <v>1113</v>
      </c>
      <c r="D99" s="21"/>
      <c r="E99" s="21" t="s">
        <v>1114</v>
      </c>
      <c r="F99" s="21"/>
      <c r="G99" s="21"/>
      <c r="H99" s="21"/>
      <c r="I99" s="21"/>
      <c r="J99" s="21"/>
      <c r="K99" s="21"/>
      <c r="L99" s="21"/>
    </row>
    <row r="100" spans="1:12" ht="29" x14ac:dyDescent="0.35">
      <c r="A100" s="21" t="s">
        <v>1111</v>
      </c>
      <c r="B100" s="21" t="s">
        <v>1115</v>
      </c>
      <c r="C100" s="21" t="s">
        <v>1116</v>
      </c>
      <c r="D100" s="21"/>
      <c r="E100" s="21" t="s">
        <v>1114</v>
      </c>
      <c r="F100" s="21"/>
      <c r="G100" s="21"/>
      <c r="H100" s="21"/>
      <c r="I100" s="21"/>
      <c r="J100" s="21"/>
      <c r="K100" s="21"/>
      <c r="L100" s="21"/>
    </row>
    <row r="101" spans="1:12" ht="29" x14ac:dyDescent="0.35">
      <c r="A101" s="21" t="s">
        <v>1111</v>
      </c>
      <c r="B101" s="21" t="s">
        <v>1117</v>
      </c>
      <c r="C101" s="21" t="s">
        <v>1118</v>
      </c>
      <c r="D101" s="21"/>
      <c r="E101" s="21" t="s">
        <v>1114</v>
      </c>
      <c r="F101" s="21"/>
      <c r="G101" s="21"/>
      <c r="H101" s="21"/>
      <c r="I101" s="21"/>
      <c r="J101" s="21"/>
      <c r="K101" s="21"/>
      <c r="L101" s="21"/>
    </row>
    <row r="102" spans="1:12" ht="29" x14ac:dyDescent="0.35">
      <c r="A102" s="21" t="s">
        <v>1111</v>
      </c>
      <c r="B102" s="21" t="s">
        <v>1119</v>
      </c>
      <c r="C102" s="21" t="s">
        <v>1120</v>
      </c>
      <c r="D102" s="21"/>
      <c r="E102" s="21" t="s">
        <v>1114</v>
      </c>
      <c r="F102" s="21"/>
      <c r="G102" s="21"/>
      <c r="H102" s="21"/>
      <c r="I102" s="21"/>
      <c r="J102" s="21"/>
      <c r="K102" s="21"/>
      <c r="L102" s="21"/>
    </row>
    <row r="103" spans="1:12" ht="29" x14ac:dyDescent="0.35">
      <c r="A103" s="21" t="s">
        <v>1111</v>
      </c>
      <c r="B103" s="21" t="s">
        <v>1121</v>
      </c>
      <c r="C103" s="21" t="s">
        <v>1122</v>
      </c>
      <c r="D103" s="21"/>
      <c r="E103" s="21" t="s">
        <v>1114</v>
      </c>
      <c r="F103" s="21"/>
      <c r="G103" s="21"/>
      <c r="H103" s="21"/>
      <c r="I103" s="21"/>
      <c r="J103" s="21"/>
      <c r="K103" s="21"/>
      <c r="L103" s="21"/>
    </row>
    <row r="104" spans="1:12" ht="29" x14ac:dyDescent="0.35">
      <c r="A104" s="21" t="s">
        <v>1111</v>
      </c>
      <c r="B104" s="21" t="s">
        <v>1123</v>
      </c>
      <c r="C104" s="21" t="s">
        <v>1124</v>
      </c>
      <c r="D104" s="21"/>
      <c r="E104" s="21" t="s">
        <v>1114</v>
      </c>
      <c r="F104" s="21"/>
      <c r="G104" s="21"/>
      <c r="H104" s="21"/>
      <c r="I104" s="21"/>
      <c r="J104" s="21"/>
      <c r="K104" s="21"/>
      <c r="L104" s="21"/>
    </row>
    <row r="105" spans="1:12" ht="29" x14ac:dyDescent="0.35">
      <c r="A105" s="21" t="s">
        <v>1125</v>
      </c>
      <c r="B105" s="21" t="s">
        <v>1126</v>
      </c>
      <c r="C105" s="21" t="s">
        <v>1127</v>
      </c>
      <c r="D105" s="21"/>
      <c r="E105" s="21" t="s">
        <v>1114</v>
      </c>
      <c r="F105" s="21"/>
      <c r="G105" s="21"/>
      <c r="H105" s="21"/>
      <c r="I105" s="21"/>
      <c r="J105" s="21"/>
      <c r="K105" s="21"/>
      <c r="L105" s="21"/>
    </row>
    <row r="106" spans="1:12" ht="29" x14ac:dyDescent="0.35">
      <c r="A106" s="21" t="s">
        <v>1125</v>
      </c>
      <c r="B106" s="21" t="s">
        <v>1128</v>
      </c>
      <c r="C106" s="21" t="s">
        <v>1129</v>
      </c>
      <c r="D106" s="21"/>
      <c r="E106" s="21" t="s">
        <v>1114</v>
      </c>
      <c r="F106" s="21"/>
      <c r="G106" s="21"/>
      <c r="H106" s="21"/>
      <c r="I106" s="21"/>
      <c r="J106" s="21"/>
      <c r="K106" s="21"/>
      <c r="L106" s="21"/>
    </row>
    <row r="107" spans="1:12" ht="43.5" x14ac:dyDescent="0.35">
      <c r="A107" s="21" t="s">
        <v>1125</v>
      </c>
      <c r="B107" s="21" t="s">
        <v>1130</v>
      </c>
      <c r="C107" s="21" t="s">
        <v>1131</v>
      </c>
      <c r="D107" s="21"/>
      <c r="E107" s="21" t="s">
        <v>1114</v>
      </c>
      <c r="F107" s="21"/>
      <c r="G107" s="21"/>
      <c r="H107" s="21"/>
      <c r="I107" s="21"/>
      <c r="J107" s="21"/>
      <c r="K107" s="21"/>
      <c r="L107" s="21"/>
    </row>
    <row r="108" spans="1:12" ht="29" x14ac:dyDescent="0.35">
      <c r="A108" s="21" t="s">
        <v>1125</v>
      </c>
      <c r="B108" s="21" t="s">
        <v>1132</v>
      </c>
      <c r="C108" s="21" t="s">
        <v>1133</v>
      </c>
      <c r="D108" s="21"/>
      <c r="E108" s="21" t="s">
        <v>1114</v>
      </c>
      <c r="F108" s="21"/>
      <c r="G108" s="21"/>
      <c r="H108" s="21"/>
      <c r="I108" s="21"/>
      <c r="J108" s="21"/>
      <c r="K108" s="21"/>
      <c r="L108" s="21"/>
    </row>
    <row r="109" spans="1:12" ht="29" x14ac:dyDescent="0.35">
      <c r="A109" s="21" t="s">
        <v>1125</v>
      </c>
      <c r="B109" s="21" t="s">
        <v>1134</v>
      </c>
      <c r="C109" s="21" t="s">
        <v>1135</v>
      </c>
      <c r="D109" s="21"/>
      <c r="E109" s="21" t="s">
        <v>1114</v>
      </c>
      <c r="F109" s="21"/>
      <c r="G109" s="21"/>
      <c r="H109" s="21"/>
      <c r="I109" s="21"/>
      <c r="J109" s="21"/>
      <c r="K109" s="21"/>
      <c r="L109" s="21"/>
    </row>
    <row r="110" spans="1:12" ht="29" x14ac:dyDescent="0.35">
      <c r="A110" s="21" t="s">
        <v>1125</v>
      </c>
      <c r="B110" s="21" t="s">
        <v>1136</v>
      </c>
      <c r="C110" s="21" t="s">
        <v>1137</v>
      </c>
      <c r="D110" s="21"/>
      <c r="E110" s="21" t="s">
        <v>1114</v>
      </c>
      <c r="F110" s="21"/>
      <c r="G110" s="21"/>
      <c r="H110" s="21"/>
      <c r="I110" s="21"/>
      <c r="J110" s="21"/>
      <c r="K110" s="21"/>
      <c r="L110" s="21"/>
    </row>
    <row r="111" spans="1:12" ht="29" x14ac:dyDescent="0.35">
      <c r="A111" s="21" t="s">
        <v>1138</v>
      </c>
      <c r="B111" s="21" t="s">
        <v>1139</v>
      </c>
      <c r="C111" s="21" t="s">
        <v>1140</v>
      </c>
      <c r="D111" s="21"/>
      <c r="E111" s="21" t="s">
        <v>996</v>
      </c>
      <c r="F111" s="21"/>
      <c r="G111" s="21"/>
      <c r="H111" s="21"/>
      <c r="I111" s="21"/>
      <c r="J111" s="21"/>
      <c r="K111" s="21"/>
      <c r="L111" s="21"/>
    </row>
    <row r="112" spans="1:12" ht="29" x14ac:dyDescent="0.35">
      <c r="A112" s="21" t="s">
        <v>1138</v>
      </c>
      <c r="B112" s="21" t="s">
        <v>1141</v>
      </c>
      <c r="C112" s="21" t="s">
        <v>1142</v>
      </c>
      <c r="D112" s="21"/>
      <c r="E112" s="21" t="s">
        <v>996</v>
      </c>
      <c r="F112" s="21"/>
      <c r="G112" s="21"/>
      <c r="H112" s="21"/>
      <c r="I112" s="21"/>
      <c r="J112" s="21"/>
      <c r="K112" s="21"/>
      <c r="L112" s="21"/>
    </row>
    <row r="113" spans="1:12" ht="29" x14ac:dyDescent="0.35">
      <c r="A113" s="21" t="s">
        <v>1138</v>
      </c>
      <c r="B113" s="21" t="s">
        <v>1143</v>
      </c>
      <c r="C113" s="21" t="s">
        <v>1144</v>
      </c>
      <c r="D113" s="21"/>
      <c r="E113" s="21" t="s">
        <v>996</v>
      </c>
      <c r="F113" s="21"/>
      <c r="G113" s="21"/>
      <c r="H113" s="21"/>
      <c r="I113" s="21"/>
      <c r="J113" s="21"/>
      <c r="K113" s="21"/>
      <c r="L113" s="21"/>
    </row>
    <row r="114" spans="1:12" ht="29" x14ac:dyDescent="0.35">
      <c r="A114" s="21" t="s">
        <v>1138</v>
      </c>
      <c r="B114" s="21" t="s">
        <v>1145</v>
      </c>
      <c r="C114" s="21" t="s">
        <v>1146</v>
      </c>
      <c r="D114" s="21"/>
      <c r="E114" s="21" t="s">
        <v>996</v>
      </c>
      <c r="F114" s="21"/>
      <c r="G114" s="21"/>
      <c r="H114" s="21"/>
      <c r="I114" s="21"/>
      <c r="J114" s="21"/>
      <c r="K114" s="21"/>
      <c r="L114" s="21"/>
    </row>
    <row r="115" spans="1:12" ht="29" x14ac:dyDescent="0.35">
      <c r="A115" s="21" t="s">
        <v>1138</v>
      </c>
      <c r="B115" s="21" t="s">
        <v>1147</v>
      </c>
      <c r="C115" s="21" t="s">
        <v>1148</v>
      </c>
      <c r="D115" s="21"/>
      <c r="E115" s="21" t="s">
        <v>996</v>
      </c>
      <c r="F115" s="21"/>
      <c r="G115" s="21"/>
      <c r="H115" s="21"/>
      <c r="I115" s="21"/>
      <c r="J115" s="21"/>
      <c r="K115" s="21"/>
      <c r="L115" s="21"/>
    </row>
    <row r="116" spans="1:12" ht="29" x14ac:dyDescent="0.35">
      <c r="A116" s="21" t="s">
        <v>1138</v>
      </c>
      <c r="B116" s="21" t="s">
        <v>1149</v>
      </c>
      <c r="C116" s="21" t="s">
        <v>1150</v>
      </c>
      <c r="D116" s="21"/>
      <c r="E116" s="21" t="s">
        <v>996</v>
      </c>
      <c r="F116" s="21"/>
      <c r="G116" s="21"/>
      <c r="H116" s="21"/>
      <c r="I116" s="21"/>
      <c r="J116" s="21"/>
      <c r="K116" s="21"/>
      <c r="L116" s="21"/>
    </row>
    <row r="117" spans="1:12" ht="29" x14ac:dyDescent="0.35">
      <c r="A117" s="21" t="s">
        <v>1151</v>
      </c>
      <c r="B117" s="21" t="s">
        <v>1152</v>
      </c>
      <c r="C117" s="21" t="s">
        <v>1153</v>
      </c>
      <c r="D117" s="21"/>
      <c r="E117" s="21" t="s">
        <v>996</v>
      </c>
      <c r="F117" s="21"/>
      <c r="G117" s="21"/>
      <c r="H117" s="21"/>
      <c r="I117" s="21"/>
      <c r="J117" s="21"/>
      <c r="K117" s="21"/>
      <c r="L117" s="21"/>
    </row>
    <row r="118" spans="1:12" ht="29" x14ac:dyDescent="0.35">
      <c r="A118" s="21" t="s">
        <v>1151</v>
      </c>
      <c r="B118" s="21" t="s">
        <v>1154</v>
      </c>
      <c r="C118" s="21" t="s">
        <v>1155</v>
      </c>
      <c r="D118" s="21"/>
      <c r="E118" s="21" t="s">
        <v>996</v>
      </c>
      <c r="F118" s="21"/>
      <c r="G118" s="21"/>
      <c r="H118" s="21"/>
      <c r="I118" s="21"/>
      <c r="J118" s="21"/>
      <c r="K118" s="21"/>
      <c r="L118" s="21"/>
    </row>
    <row r="119" spans="1:12" ht="29" x14ac:dyDescent="0.35">
      <c r="A119" s="21" t="s">
        <v>1151</v>
      </c>
      <c r="B119" s="21" t="s">
        <v>1156</v>
      </c>
      <c r="C119" s="21" t="s">
        <v>1157</v>
      </c>
      <c r="D119" s="21"/>
      <c r="E119" s="21" t="s">
        <v>996</v>
      </c>
      <c r="F119" s="21"/>
      <c r="G119" s="21"/>
      <c r="H119" s="21"/>
      <c r="I119" s="21"/>
      <c r="J119" s="21"/>
      <c r="K119" s="21"/>
      <c r="L119" s="21"/>
    </row>
    <row r="120" spans="1:12" ht="29" x14ac:dyDescent="0.35">
      <c r="A120" s="21" t="s">
        <v>1151</v>
      </c>
      <c r="B120" s="21" t="s">
        <v>1158</v>
      </c>
      <c r="C120" s="21" t="s">
        <v>1159</v>
      </c>
      <c r="D120" s="21"/>
      <c r="E120" s="21" t="s">
        <v>996</v>
      </c>
      <c r="F120" s="21"/>
      <c r="G120" s="21"/>
      <c r="H120" s="21"/>
      <c r="I120" s="21"/>
      <c r="J120" s="21"/>
      <c r="K120" s="21"/>
      <c r="L120" s="21"/>
    </row>
    <row r="121" spans="1:12" ht="29" x14ac:dyDescent="0.35">
      <c r="A121" s="21" t="s">
        <v>1151</v>
      </c>
      <c r="B121" s="21" t="s">
        <v>1160</v>
      </c>
      <c r="C121" s="21" t="s">
        <v>1161</v>
      </c>
      <c r="D121" s="21"/>
      <c r="E121" s="21" t="s">
        <v>996</v>
      </c>
      <c r="F121" s="21"/>
      <c r="G121" s="21"/>
      <c r="H121" s="21"/>
      <c r="I121" s="21"/>
      <c r="J121" s="21"/>
      <c r="K121" s="21"/>
      <c r="L121" s="21"/>
    </row>
    <row r="122" spans="1:12" ht="29" x14ac:dyDescent="0.35">
      <c r="A122" s="21" t="s">
        <v>1151</v>
      </c>
      <c r="B122" s="21" t="s">
        <v>1162</v>
      </c>
      <c r="C122" s="21" t="s">
        <v>1163</v>
      </c>
      <c r="D122" s="21"/>
      <c r="E122" s="21" t="s">
        <v>996</v>
      </c>
      <c r="F122" s="21"/>
      <c r="G122" s="21"/>
      <c r="H122" s="21"/>
      <c r="I122" s="21"/>
      <c r="J122" s="21"/>
      <c r="K122" s="21"/>
      <c r="L122" s="21"/>
    </row>
    <row r="123" spans="1:12" ht="29" x14ac:dyDescent="0.35">
      <c r="A123" s="21" t="s">
        <v>432</v>
      </c>
      <c r="B123" s="21" t="s">
        <v>1164</v>
      </c>
      <c r="C123" s="21" t="s">
        <v>1165</v>
      </c>
      <c r="D123" s="21"/>
      <c r="E123" s="21" t="s">
        <v>1114</v>
      </c>
      <c r="F123" s="21"/>
      <c r="G123" s="21"/>
      <c r="H123" s="21"/>
      <c r="I123" s="21"/>
      <c r="J123" s="21"/>
      <c r="K123" s="21"/>
      <c r="L123" s="21"/>
    </row>
    <row r="124" spans="1:12" ht="29" x14ac:dyDescent="0.35">
      <c r="A124" s="21" t="s">
        <v>432</v>
      </c>
      <c r="B124" s="21" t="s">
        <v>1166</v>
      </c>
      <c r="C124" s="21" t="s">
        <v>1167</v>
      </c>
      <c r="D124" s="21"/>
      <c r="E124" s="21" t="s">
        <v>1114</v>
      </c>
      <c r="F124" s="21"/>
      <c r="G124" s="21"/>
      <c r="H124" s="21"/>
      <c r="I124" s="21"/>
      <c r="J124" s="21"/>
      <c r="K124" s="21"/>
      <c r="L124" s="21"/>
    </row>
    <row r="125" spans="1:12" ht="29" x14ac:dyDescent="0.35">
      <c r="A125" s="21" t="s">
        <v>432</v>
      </c>
      <c r="B125" s="21" t="s">
        <v>1168</v>
      </c>
      <c r="C125" s="21" t="s">
        <v>1169</v>
      </c>
      <c r="D125" s="21"/>
      <c r="E125" s="21" t="s">
        <v>1114</v>
      </c>
      <c r="F125" s="21"/>
      <c r="G125" s="21"/>
      <c r="H125" s="21"/>
      <c r="I125" s="21"/>
      <c r="J125" s="21"/>
      <c r="K125" s="21"/>
      <c r="L125" s="21"/>
    </row>
    <row r="126" spans="1:12" ht="29" x14ac:dyDescent="0.35">
      <c r="A126" s="21" t="s">
        <v>432</v>
      </c>
      <c r="B126" s="21" t="s">
        <v>1170</v>
      </c>
      <c r="C126" s="21" t="s">
        <v>1171</v>
      </c>
      <c r="D126" s="21"/>
      <c r="E126" s="21" t="s">
        <v>1114</v>
      </c>
      <c r="F126" s="21"/>
      <c r="G126" s="21"/>
      <c r="H126" s="21"/>
      <c r="I126" s="21"/>
      <c r="J126" s="21"/>
      <c r="K126" s="21"/>
      <c r="L126" s="21"/>
    </row>
    <row r="127" spans="1:12" ht="29" x14ac:dyDescent="0.35">
      <c r="A127" s="21" t="s">
        <v>432</v>
      </c>
      <c r="B127" s="21" t="s">
        <v>1172</v>
      </c>
      <c r="C127" s="21" t="s">
        <v>1173</v>
      </c>
      <c r="D127" s="21"/>
      <c r="E127" s="21" t="s">
        <v>1114</v>
      </c>
      <c r="F127" s="21"/>
      <c r="G127" s="21"/>
      <c r="H127" s="21"/>
      <c r="I127" s="21"/>
      <c r="J127" s="21"/>
      <c r="K127" s="21"/>
      <c r="L127" s="21"/>
    </row>
    <row r="128" spans="1:12" ht="29" x14ac:dyDescent="0.35">
      <c r="A128" s="21" t="s">
        <v>432</v>
      </c>
      <c r="B128" s="21" t="s">
        <v>1174</v>
      </c>
      <c r="C128" s="21" t="s">
        <v>1175</v>
      </c>
      <c r="D128" s="21"/>
      <c r="E128" s="21" t="s">
        <v>1114</v>
      </c>
      <c r="F128" s="21"/>
      <c r="G128" s="21"/>
      <c r="H128" s="21"/>
      <c r="I128" s="21"/>
      <c r="J128" s="21"/>
      <c r="K128" s="21"/>
      <c r="L128" s="21"/>
    </row>
    <row r="129" spans="1:12" ht="29" x14ac:dyDescent="0.35">
      <c r="A129" s="21" t="s">
        <v>1176</v>
      </c>
      <c r="B129" s="21" t="s">
        <v>1177</v>
      </c>
      <c r="C129" s="21" t="s">
        <v>1178</v>
      </c>
      <c r="D129" s="21"/>
      <c r="E129" s="21" t="s">
        <v>996</v>
      </c>
      <c r="F129" s="21"/>
      <c r="G129" s="21"/>
      <c r="H129" s="21"/>
      <c r="I129" s="21"/>
      <c r="J129" s="21"/>
      <c r="K129" s="21"/>
      <c r="L129" s="21"/>
    </row>
    <row r="130" spans="1:12" ht="29" x14ac:dyDescent="0.35">
      <c r="A130" s="21" t="s">
        <v>1176</v>
      </c>
      <c r="B130" s="21" t="s">
        <v>1179</v>
      </c>
      <c r="C130" s="21" t="s">
        <v>1180</v>
      </c>
      <c r="D130" s="21"/>
      <c r="E130" s="21" t="s">
        <v>996</v>
      </c>
      <c r="F130" s="21"/>
      <c r="G130" s="21"/>
      <c r="H130" s="21"/>
      <c r="I130" s="21"/>
      <c r="J130" s="21"/>
      <c r="K130" s="21"/>
      <c r="L130" s="21"/>
    </row>
    <row r="131" spans="1:12" ht="29" x14ac:dyDescent="0.35">
      <c r="A131" s="21" t="s">
        <v>1176</v>
      </c>
      <c r="B131" s="21" t="s">
        <v>1181</v>
      </c>
      <c r="C131" s="21" t="s">
        <v>1182</v>
      </c>
      <c r="D131" s="21"/>
      <c r="E131" s="21" t="s">
        <v>996</v>
      </c>
      <c r="F131" s="21"/>
      <c r="G131" s="21"/>
      <c r="H131" s="21"/>
      <c r="I131" s="21"/>
      <c r="J131" s="21"/>
      <c r="K131" s="21"/>
      <c r="L131" s="21"/>
    </row>
    <row r="132" spans="1:12" ht="29" x14ac:dyDescent="0.35">
      <c r="A132" s="21" t="s">
        <v>1176</v>
      </c>
      <c r="B132" s="21" t="s">
        <v>1183</v>
      </c>
      <c r="C132" s="21" t="s">
        <v>1184</v>
      </c>
      <c r="D132" s="21"/>
      <c r="E132" s="21" t="s">
        <v>996</v>
      </c>
      <c r="F132" s="21"/>
      <c r="G132" s="21"/>
      <c r="H132" s="21"/>
      <c r="I132" s="21"/>
      <c r="J132" s="21"/>
      <c r="K132" s="21"/>
      <c r="L132" s="21"/>
    </row>
    <row r="133" spans="1:12" ht="29" x14ac:dyDescent="0.35">
      <c r="A133" s="21" t="s">
        <v>1176</v>
      </c>
      <c r="B133" s="21" t="s">
        <v>1185</v>
      </c>
      <c r="C133" s="21" t="s">
        <v>1186</v>
      </c>
      <c r="D133" s="21"/>
      <c r="E133" s="21" t="s">
        <v>996</v>
      </c>
      <c r="F133" s="21"/>
      <c r="G133" s="21"/>
      <c r="H133" s="21"/>
      <c r="I133" s="21"/>
      <c r="J133" s="21"/>
      <c r="K133" s="21"/>
      <c r="L133" s="21"/>
    </row>
    <row r="134" spans="1:12" ht="29" x14ac:dyDescent="0.35">
      <c r="A134" s="21" t="s">
        <v>1176</v>
      </c>
      <c r="B134" s="21" t="s">
        <v>1187</v>
      </c>
      <c r="C134" s="21" t="s">
        <v>1188</v>
      </c>
      <c r="D134" s="21"/>
      <c r="E134" s="21" t="s">
        <v>996</v>
      </c>
      <c r="F134" s="21"/>
      <c r="G134" s="21"/>
      <c r="H134" s="21"/>
      <c r="I134" s="21"/>
      <c r="J134" s="21"/>
      <c r="K134" s="21"/>
      <c r="L134" s="21"/>
    </row>
    <row r="135" spans="1:12" ht="29" x14ac:dyDescent="0.35">
      <c r="A135" s="21" t="s">
        <v>1189</v>
      </c>
      <c r="B135" s="21" t="s">
        <v>1190</v>
      </c>
      <c r="C135" s="21" t="s">
        <v>1191</v>
      </c>
      <c r="D135" s="21"/>
      <c r="E135" s="21" t="s">
        <v>996</v>
      </c>
      <c r="F135" s="21"/>
      <c r="G135" s="21"/>
      <c r="H135" s="21"/>
      <c r="I135" s="21"/>
      <c r="J135" s="21"/>
      <c r="K135" s="21"/>
      <c r="L135" s="21"/>
    </row>
    <row r="136" spans="1:12" ht="29" x14ac:dyDescent="0.35">
      <c r="A136" s="21" t="s">
        <v>1189</v>
      </c>
      <c r="B136" s="21" t="s">
        <v>1192</v>
      </c>
      <c r="C136" s="21" t="s">
        <v>1193</v>
      </c>
      <c r="D136" s="21"/>
      <c r="E136" s="21" t="s">
        <v>996</v>
      </c>
      <c r="F136" s="21"/>
      <c r="G136" s="21"/>
      <c r="H136" s="21"/>
      <c r="I136" s="21"/>
      <c r="J136" s="21"/>
      <c r="K136" s="21"/>
      <c r="L136" s="21"/>
    </row>
    <row r="137" spans="1:12" ht="29" x14ac:dyDescent="0.35">
      <c r="A137" s="21" t="s">
        <v>1189</v>
      </c>
      <c r="B137" s="21" t="s">
        <v>1194</v>
      </c>
      <c r="C137" s="21" t="s">
        <v>1195</v>
      </c>
      <c r="D137" s="21"/>
      <c r="E137" s="21" t="s">
        <v>996</v>
      </c>
      <c r="F137" s="21"/>
      <c r="G137" s="21"/>
      <c r="H137" s="21"/>
      <c r="I137" s="21"/>
      <c r="J137" s="21"/>
      <c r="K137" s="21"/>
      <c r="L137" s="21"/>
    </row>
    <row r="138" spans="1:12" ht="29" x14ac:dyDescent="0.35">
      <c r="A138" s="21" t="s">
        <v>1189</v>
      </c>
      <c r="B138" s="21" t="s">
        <v>1196</v>
      </c>
      <c r="C138" s="21" t="s">
        <v>1197</v>
      </c>
      <c r="D138" s="21"/>
      <c r="E138" s="21" t="s">
        <v>996</v>
      </c>
      <c r="F138" s="21"/>
      <c r="G138" s="21"/>
      <c r="H138" s="21"/>
      <c r="I138" s="21"/>
      <c r="J138" s="21"/>
      <c r="K138" s="21"/>
      <c r="L138" s="21"/>
    </row>
    <row r="139" spans="1:12" ht="29" x14ac:dyDescent="0.35">
      <c r="A139" s="21" t="s">
        <v>1189</v>
      </c>
      <c r="B139" s="21" t="s">
        <v>1198</v>
      </c>
      <c r="C139" s="21" t="s">
        <v>1199</v>
      </c>
      <c r="D139" s="21"/>
      <c r="E139" s="21" t="s">
        <v>996</v>
      </c>
      <c r="F139" s="21"/>
      <c r="G139" s="21"/>
      <c r="H139" s="21"/>
      <c r="I139" s="21"/>
      <c r="J139" s="21"/>
      <c r="K139" s="21"/>
      <c r="L139" s="21"/>
    </row>
    <row r="140" spans="1:12" ht="29" x14ac:dyDescent="0.35">
      <c r="A140" s="21" t="s">
        <v>1189</v>
      </c>
      <c r="B140" s="21" t="s">
        <v>1200</v>
      </c>
      <c r="C140" s="21" t="s">
        <v>1201</v>
      </c>
      <c r="D140" s="21"/>
      <c r="E140" s="21" t="s">
        <v>996</v>
      </c>
      <c r="F140" s="21"/>
      <c r="G140" s="21"/>
      <c r="H140" s="21"/>
      <c r="I140" s="21"/>
      <c r="J140" s="21"/>
      <c r="K140" s="21"/>
      <c r="L140" s="21"/>
    </row>
    <row r="141" spans="1:12" ht="29" x14ac:dyDescent="0.35">
      <c r="A141" s="21" t="s">
        <v>1202</v>
      </c>
      <c r="B141" s="21" t="s">
        <v>1203</v>
      </c>
      <c r="C141" s="21" t="s">
        <v>1204</v>
      </c>
      <c r="D141" s="21"/>
      <c r="E141" s="21" t="s">
        <v>996</v>
      </c>
      <c r="F141" s="21"/>
      <c r="G141" s="21"/>
      <c r="H141" s="21"/>
      <c r="I141" s="21"/>
      <c r="J141" s="21"/>
      <c r="K141" s="21"/>
      <c r="L141" s="21"/>
    </row>
    <row r="142" spans="1:12" ht="29" x14ac:dyDescent="0.35">
      <c r="A142" s="21" t="s">
        <v>1202</v>
      </c>
      <c r="B142" s="21" t="s">
        <v>1205</v>
      </c>
      <c r="C142" s="21" t="s">
        <v>1206</v>
      </c>
      <c r="D142" s="21"/>
      <c r="E142" s="21" t="s">
        <v>996</v>
      </c>
      <c r="F142" s="21"/>
      <c r="G142" s="21"/>
      <c r="H142" s="21"/>
      <c r="I142" s="21"/>
      <c r="J142" s="21"/>
      <c r="K142" s="21"/>
      <c r="L142" s="21"/>
    </row>
    <row r="143" spans="1:12" ht="29" x14ac:dyDescent="0.35">
      <c r="A143" s="21" t="s">
        <v>1202</v>
      </c>
      <c r="B143" s="21" t="s">
        <v>1207</v>
      </c>
      <c r="C143" s="21" t="s">
        <v>1208</v>
      </c>
      <c r="D143" s="21"/>
      <c r="E143" s="21" t="s">
        <v>996</v>
      </c>
      <c r="F143" s="21"/>
      <c r="G143" s="21"/>
      <c r="H143" s="21"/>
      <c r="I143" s="21"/>
      <c r="J143" s="21"/>
      <c r="K143" s="21"/>
      <c r="L143" s="21"/>
    </row>
    <row r="144" spans="1:12" ht="29" x14ac:dyDescent="0.35">
      <c r="A144" s="21" t="s">
        <v>1202</v>
      </c>
      <c r="B144" s="21" t="s">
        <v>1209</v>
      </c>
      <c r="C144" s="21" t="s">
        <v>1210</v>
      </c>
      <c r="D144" s="21"/>
      <c r="E144" s="21" t="s">
        <v>996</v>
      </c>
      <c r="F144" s="21"/>
      <c r="G144" s="21"/>
      <c r="H144" s="21"/>
      <c r="I144" s="21"/>
      <c r="J144" s="21"/>
      <c r="K144" s="21"/>
      <c r="L144" s="21"/>
    </row>
    <row r="145" spans="1:12" ht="29" x14ac:dyDescent="0.35">
      <c r="A145" s="21" t="s">
        <v>1202</v>
      </c>
      <c r="B145" s="21" t="s">
        <v>1211</v>
      </c>
      <c r="C145" s="21" t="s">
        <v>1212</v>
      </c>
      <c r="D145" s="21"/>
      <c r="E145" s="21" t="s">
        <v>996</v>
      </c>
      <c r="F145" s="21"/>
      <c r="G145" s="21"/>
      <c r="H145" s="21"/>
      <c r="I145" s="21"/>
      <c r="J145" s="21"/>
      <c r="K145" s="21"/>
      <c r="L145" s="21"/>
    </row>
    <row r="146" spans="1:12" ht="29" x14ac:dyDescent="0.35">
      <c r="A146" s="21" t="s">
        <v>1202</v>
      </c>
      <c r="B146" s="21" t="s">
        <v>1213</v>
      </c>
      <c r="C146" s="21" t="s">
        <v>1214</v>
      </c>
      <c r="D146" s="21"/>
      <c r="E146" s="21" t="s">
        <v>996</v>
      </c>
      <c r="F146" s="21"/>
      <c r="G146" s="21"/>
      <c r="H146" s="21"/>
      <c r="I146" s="21"/>
      <c r="J146" s="21"/>
      <c r="K146" s="21"/>
      <c r="L146" s="21"/>
    </row>
    <row r="147" spans="1:12" ht="29" x14ac:dyDescent="0.35">
      <c r="A147" s="21" t="s">
        <v>1215</v>
      </c>
      <c r="B147" s="21" t="s">
        <v>1216</v>
      </c>
      <c r="C147" s="21" t="s">
        <v>1217</v>
      </c>
      <c r="D147" s="21"/>
      <c r="E147" s="21" t="s">
        <v>996</v>
      </c>
      <c r="F147" s="21"/>
      <c r="G147" s="21"/>
      <c r="H147" s="21"/>
      <c r="I147" s="21"/>
      <c r="J147" s="21"/>
      <c r="K147" s="21"/>
      <c r="L147" s="21"/>
    </row>
    <row r="148" spans="1:12" ht="29" x14ac:dyDescent="0.35">
      <c r="A148" s="21" t="s">
        <v>1215</v>
      </c>
      <c r="B148" s="21" t="s">
        <v>1218</v>
      </c>
      <c r="C148" s="21" t="s">
        <v>1219</v>
      </c>
      <c r="D148" s="21"/>
      <c r="E148" s="21" t="s">
        <v>996</v>
      </c>
      <c r="F148" s="21"/>
      <c r="G148" s="21"/>
      <c r="H148" s="21"/>
      <c r="I148" s="21"/>
      <c r="J148" s="21"/>
      <c r="K148" s="21"/>
      <c r="L148" s="21"/>
    </row>
    <row r="149" spans="1:12" ht="29" x14ac:dyDescent="0.35">
      <c r="A149" s="21" t="s">
        <v>1215</v>
      </c>
      <c r="B149" s="21" t="s">
        <v>1220</v>
      </c>
      <c r="C149" s="21" t="s">
        <v>1221</v>
      </c>
      <c r="D149" s="21"/>
      <c r="E149" s="21" t="s">
        <v>996</v>
      </c>
      <c r="F149" s="21"/>
      <c r="G149" s="21"/>
      <c r="H149" s="21"/>
      <c r="I149" s="21"/>
      <c r="J149" s="21"/>
      <c r="K149" s="21"/>
      <c r="L149" s="21"/>
    </row>
    <row r="150" spans="1:12" ht="29" x14ac:dyDescent="0.35">
      <c r="A150" s="21" t="s">
        <v>1215</v>
      </c>
      <c r="B150" s="21" t="s">
        <v>1222</v>
      </c>
      <c r="C150" s="21" t="s">
        <v>1223</v>
      </c>
      <c r="D150" s="21"/>
      <c r="E150" s="21" t="s">
        <v>996</v>
      </c>
      <c r="F150" s="21"/>
      <c r="G150" s="21"/>
      <c r="H150" s="21"/>
      <c r="I150" s="21"/>
      <c r="J150" s="21"/>
      <c r="K150" s="21"/>
      <c r="L150" s="21"/>
    </row>
    <row r="151" spans="1:12" ht="24" customHeight="1" x14ac:dyDescent="0.35">
      <c r="A151" s="133" t="s">
        <v>1215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</row>
    <row r="152" spans="1:12" x14ac:dyDescent="0.35">
      <c r="A152" s="21" t="s">
        <v>1215</v>
      </c>
      <c r="B152" s="21" t="s">
        <v>1224</v>
      </c>
      <c r="C152" s="21" t="s">
        <v>1225</v>
      </c>
      <c r="D152" s="21"/>
      <c r="E152" s="21" t="s">
        <v>996</v>
      </c>
      <c r="F152" s="21"/>
      <c r="G152" s="21"/>
      <c r="H152" s="21"/>
      <c r="I152" s="21"/>
      <c r="J152" s="21"/>
      <c r="K152" s="21"/>
      <c r="L152" s="21"/>
    </row>
    <row r="158" spans="1:12" x14ac:dyDescent="0.35">
      <c r="A158" s="98" t="s">
        <v>1226</v>
      </c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</row>
    <row r="160" spans="1:12" ht="29" x14ac:dyDescent="0.35">
      <c r="A160" s="100" t="s">
        <v>1227</v>
      </c>
      <c r="B160" s="100" t="s">
        <v>1228</v>
      </c>
      <c r="C160" s="100" t="s">
        <v>1229</v>
      </c>
      <c r="D160" s="100" t="s">
        <v>389</v>
      </c>
      <c r="E160" s="100" t="s">
        <v>870</v>
      </c>
      <c r="F160" s="100" t="s">
        <v>390</v>
      </c>
      <c r="G160" s="100" t="s">
        <v>990</v>
      </c>
      <c r="H160" s="100" t="s">
        <v>1230</v>
      </c>
      <c r="I160" s="100"/>
      <c r="J160" s="100"/>
      <c r="K160" s="100"/>
      <c r="L160" s="100"/>
    </row>
    <row r="161" spans="1:8" x14ac:dyDescent="0.35">
      <c r="A161" s="21" t="s">
        <v>1231</v>
      </c>
      <c r="B161" s="21"/>
      <c r="C161" s="21"/>
      <c r="D161" s="21"/>
      <c r="E161" s="21"/>
      <c r="F161" s="21"/>
      <c r="G161" s="21"/>
      <c r="H161" s="21"/>
    </row>
    <row r="162" spans="1:8" x14ac:dyDescent="0.35">
      <c r="A162" s="21" t="s">
        <v>1232</v>
      </c>
      <c r="B162" s="21"/>
      <c r="C162" s="21"/>
      <c r="D162" s="21"/>
      <c r="E162" s="21"/>
      <c r="F162" s="21"/>
      <c r="G162" s="21"/>
      <c r="H162" s="21"/>
    </row>
    <row r="163" spans="1:8" x14ac:dyDescent="0.35">
      <c r="A163" s="21" t="s">
        <v>509</v>
      </c>
      <c r="B163" s="21"/>
      <c r="C163" s="21"/>
      <c r="D163" s="21"/>
      <c r="E163" s="21"/>
      <c r="F163" s="21"/>
      <c r="G163" s="21"/>
      <c r="H163" s="21"/>
    </row>
    <row r="164" spans="1:8" x14ac:dyDescent="0.35">
      <c r="A164" s="21" t="s">
        <v>1233</v>
      </c>
      <c r="B164" s="21"/>
      <c r="C164" s="21"/>
      <c r="D164" s="21"/>
      <c r="E164" s="21"/>
      <c r="F164" s="21"/>
      <c r="G164" s="21"/>
      <c r="H164" s="21"/>
    </row>
    <row r="165" spans="1:8" x14ac:dyDescent="0.35">
      <c r="A165" s="21" t="s">
        <v>1234</v>
      </c>
      <c r="B165" s="21"/>
      <c r="C165" s="21"/>
      <c r="D165" s="21"/>
      <c r="E165" s="21"/>
      <c r="F165" s="21"/>
      <c r="G165" s="21"/>
      <c r="H165" s="21"/>
    </row>
    <row r="166" spans="1:8" x14ac:dyDescent="0.35">
      <c r="A166" s="21" t="s">
        <v>1235</v>
      </c>
      <c r="B166" s="21"/>
      <c r="C166" s="21"/>
      <c r="D166" s="21"/>
      <c r="E166" s="21"/>
      <c r="F166" s="21"/>
      <c r="G166" s="21"/>
      <c r="H166" s="21"/>
    </row>
    <row r="167" spans="1:8" x14ac:dyDescent="0.35">
      <c r="A167" s="21" t="s">
        <v>1236</v>
      </c>
      <c r="B167" s="21"/>
      <c r="C167" s="21"/>
      <c r="D167" s="21"/>
      <c r="E167" s="21"/>
      <c r="F167" s="21"/>
      <c r="G167" s="21"/>
      <c r="H167" s="21"/>
    </row>
    <row r="168" spans="1:8" x14ac:dyDescent="0.35">
      <c r="A168" s="21" t="s">
        <v>1237</v>
      </c>
      <c r="B168" s="21"/>
      <c r="C168" s="21"/>
      <c r="D168" s="21"/>
      <c r="E168" s="21"/>
      <c r="F168" s="21"/>
      <c r="G168" s="21"/>
      <c r="H168" s="21"/>
    </row>
    <row r="169" spans="1:8" x14ac:dyDescent="0.35">
      <c r="A169" s="21" t="s">
        <v>1238</v>
      </c>
      <c r="B169" s="21"/>
      <c r="C169" s="21"/>
      <c r="D169" s="21"/>
      <c r="E169" s="21"/>
      <c r="F169" s="21"/>
      <c r="G169" s="21"/>
      <c r="H169" s="21"/>
    </row>
    <row r="170" spans="1:8" x14ac:dyDescent="0.35">
      <c r="A170" s="21" t="s">
        <v>1239</v>
      </c>
      <c r="B170" s="21"/>
      <c r="C170" s="21"/>
      <c r="D170" s="21"/>
      <c r="E170" s="21"/>
      <c r="F170" s="21"/>
      <c r="G170" s="21"/>
      <c r="H170" s="21"/>
    </row>
    <row r="171" spans="1:8" x14ac:dyDescent="0.35">
      <c r="A171" s="21" t="s">
        <v>1240</v>
      </c>
      <c r="B171" s="21"/>
      <c r="C171" s="21"/>
      <c r="D171" s="21"/>
      <c r="E171" s="21"/>
      <c r="F171" s="21"/>
      <c r="G171" s="21"/>
      <c r="H171" s="21"/>
    </row>
    <row r="172" spans="1:8" x14ac:dyDescent="0.35">
      <c r="A172" s="21" t="s">
        <v>1241</v>
      </c>
      <c r="B172" s="21"/>
      <c r="C172" s="21"/>
      <c r="D172" s="21"/>
      <c r="E172" s="21"/>
      <c r="F172" s="21"/>
      <c r="G172" s="21"/>
      <c r="H172" s="21"/>
    </row>
    <row r="173" spans="1:8" x14ac:dyDescent="0.35">
      <c r="A173" s="21" t="s">
        <v>1242</v>
      </c>
      <c r="B173" s="21"/>
      <c r="C173" s="21"/>
      <c r="D173" s="21"/>
      <c r="E173" s="21"/>
      <c r="F173" s="21"/>
      <c r="G173" s="21"/>
      <c r="H173" s="21"/>
    </row>
    <row r="174" spans="1:8" x14ac:dyDescent="0.35">
      <c r="A174" s="21" t="s">
        <v>1243</v>
      </c>
      <c r="B174" s="21"/>
      <c r="C174" s="21"/>
      <c r="D174" s="21"/>
      <c r="E174" s="21"/>
      <c r="F174" s="21"/>
      <c r="G174" s="21"/>
      <c r="H174" s="21"/>
    </row>
    <row r="175" spans="1:8" x14ac:dyDescent="0.35">
      <c r="A175" s="21" t="s">
        <v>1244</v>
      </c>
      <c r="B175" s="21"/>
      <c r="C175" s="21"/>
      <c r="D175" s="21"/>
      <c r="E175" s="21"/>
      <c r="F175" s="21"/>
      <c r="G175" s="21"/>
      <c r="H175" s="21"/>
    </row>
    <row r="176" spans="1:8" x14ac:dyDescent="0.35">
      <c r="A176" s="21" t="s">
        <v>1245</v>
      </c>
      <c r="B176" s="21"/>
      <c r="C176" s="21"/>
      <c r="D176" s="21"/>
      <c r="E176" s="21"/>
      <c r="F176" s="21"/>
      <c r="G176" s="21"/>
      <c r="H176" s="21"/>
    </row>
    <row r="177" spans="1:12" x14ac:dyDescent="0.35">
      <c r="A177" s="21" t="s">
        <v>1246</v>
      </c>
      <c r="B177" s="21"/>
      <c r="C177" s="21"/>
      <c r="D177" s="21"/>
      <c r="E177" s="21"/>
      <c r="F177" s="21"/>
      <c r="G177" s="21"/>
      <c r="H177" s="21"/>
    </row>
    <row r="178" spans="1:12" x14ac:dyDescent="0.35">
      <c r="A178" s="21" t="s">
        <v>1247</v>
      </c>
      <c r="B178" s="21"/>
      <c r="C178" s="21"/>
      <c r="D178" s="21"/>
      <c r="E178" s="21"/>
      <c r="F178" s="21"/>
      <c r="G178" s="21"/>
      <c r="H178" s="21"/>
    </row>
    <row r="179" spans="1:12" ht="24" customHeight="1" x14ac:dyDescent="0.35">
      <c r="A179" s="133" t="s">
        <v>1248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</row>
    <row r="180" spans="1:12" x14ac:dyDescent="0.35">
      <c r="A180" s="21" t="s">
        <v>1249</v>
      </c>
      <c r="B180" s="21"/>
      <c r="C180" s="21"/>
      <c r="D180" s="21"/>
      <c r="E180" s="21"/>
      <c r="F180" s="21"/>
      <c r="G180" s="21"/>
      <c r="H180" s="21"/>
    </row>
    <row r="186" spans="1:12" x14ac:dyDescent="0.35">
      <c r="A186" s="98" t="s">
        <v>1250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</row>
    <row r="188" spans="1:12" ht="29" x14ac:dyDescent="0.35">
      <c r="A188" s="100" t="s">
        <v>1251</v>
      </c>
      <c r="B188" s="100" t="s">
        <v>1252</v>
      </c>
      <c r="C188" s="100" t="s">
        <v>1253</v>
      </c>
      <c r="D188" s="100" t="s">
        <v>1254</v>
      </c>
      <c r="E188" s="100" t="s">
        <v>870</v>
      </c>
      <c r="F188" s="100" t="s">
        <v>1255</v>
      </c>
      <c r="G188" s="100" t="s">
        <v>338</v>
      </c>
    </row>
    <row r="189" spans="1:12" x14ac:dyDescent="0.35">
      <c r="A189" s="21" t="s">
        <v>428</v>
      </c>
      <c r="B189" s="21"/>
      <c r="C189" s="21"/>
      <c r="D189" s="21"/>
      <c r="E189" s="21"/>
      <c r="F189" s="21"/>
      <c r="G189" s="21"/>
    </row>
    <row r="190" spans="1:12" x14ac:dyDescent="0.35">
      <c r="A190" s="21" t="s">
        <v>582</v>
      </c>
      <c r="B190" s="21"/>
      <c r="C190" s="21"/>
      <c r="D190" s="21"/>
      <c r="E190" s="21"/>
      <c r="F190" s="21"/>
      <c r="G190" s="21"/>
    </row>
    <row r="191" spans="1:12" x14ac:dyDescent="0.35">
      <c r="A191" s="21" t="s">
        <v>435</v>
      </c>
      <c r="B191" s="21"/>
      <c r="C191" s="21"/>
      <c r="D191" s="21"/>
      <c r="E191" s="21"/>
      <c r="F191" s="21"/>
      <c r="G191" s="21"/>
    </row>
    <row r="192" spans="1:12" x14ac:dyDescent="0.35">
      <c r="A192" s="21" t="s">
        <v>93</v>
      </c>
      <c r="B192" s="21"/>
      <c r="C192" s="21"/>
      <c r="D192" s="21"/>
      <c r="E192" s="21"/>
      <c r="F192" s="21"/>
      <c r="G192" s="21"/>
    </row>
    <row r="193" spans="1:12" x14ac:dyDescent="0.35">
      <c r="A193" s="21" t="s">
        <v>431</v>
      </c>
      <c r="B193" s="21"/>
      <c r="C193" s="21"/>
      <c r="D193" s="21"/>
      <c r="E193" s="21"/>
      <c r="F193" s="21"/>
      <c r="G193" s="21"/>
    </row>
    <row r="194" spans="1:12" x14ac:dyDescent="0.35">
      <c r="A194" s="21" t="s">
        <v>97</v>
      </c>
      <c r="B194" s="21"/>
      <c r="C194" s="21"/>
      <c r="D194" s="21"/>
      <c r="E194" s="21"/>
      <c r="F194" s="21"/>
      <c r="G194" s="21"/>
    </row>
    <row r="195" spans="1:12" x14ac:dyDescent="0.35">
      <c r="A195" s="21" t="s">
        <v>100</v>
      </c>
      <c r="B195" s="21"/>
      <c r="C195" s="21"/>
      <c r="D195" s="21"/>
      <c r="E195" s="21"/>
      <c r="F195" s="21"/>
      <c r="G195" s="21"/>
    </row>
    <row r="196" spans="1:12" x14ac:dyDescent="0.35">
      <c r="A196" s="21" t="s">
        <v>1176</v>
      </c>
      <c r="B196" s="21"/>
      <c r="C196" s="21"/>
      <c r="D196" s="21"/>
      <c r="E196" s="21"/>
      <c r="F196" s="21"/>
      <c r="G196" s="21"/>
    </row>
    <row r="197" spans="1:12" x14ac:dyDescent="0.35">
      <c r="A197" s="21" t="s">
        <v>160</v>
      </c>
      <c r="B197" s="21"/>
      <c r="C197" s="21"/>
      <c r="D197" s="21"/>
      <c r="E197" s="21"/>
      <c r="F197" s="21"/>
      <c r="G197" s="21"/>
    </row>
    <row r="198" spans="1:12" x14ac:dyDescent="0.35">
      <c r="A198" s="21" t="s">
        <v>1256</v>
      </c>
      <c r="B198" s="21"/>
      <c r="C198" s="21"/>
      <c r="D198" s="21"/>
      <c r="E198" s="21"/>
      <c r="F198" s="21"/>
      <c r="G198" s="21"/>
    </row>
    <row r="199" spans="1:12" x14ac:dyDescent="0.35">
      <c r="A199" s="21" t="s">
        <v>1257</v>
      </c>
      <c r="B199" s="21"/>
      <c r="C199" s="21"/>
      <c r="D199" s="21"/>
      <c r="E199" s="21"/>
      <c r="F199" s="21"/>
      <c r="G199" s="21"/>
    </row>
    <row r="200" spans="1:12" x14ac:dyDescent="0.35">
      <c r="A200" s="21" t="s">
        <v>1258</v>
      </c>
      <c r="B200" s="21"/>
      <c r="C200" s="21"/>
      <c r="D200" s="21"/>
      <c r="E200" s="21"/>
      <c r="F200" s="21"/>
      <c r="G200" s="21"/>
    </row>
    <row r="201" spans="1:12" x14ac:dyDescent="0.35">
      <c r="A201" s="21" t="s">
        <v>116</v>
      </c>
      <c r="B201" s="21"/>
      <c r="C201" s="21"/>
      <c r="D201" s="21"/>
      <c r="E201" s="21"/>
      <c r="F201" s="21"/>
      <c r="G201" s="21"/>
    </row>
    <row r="202" spans="1:12" x14ac:dyDescent="0.35">
      <c r="A202" s="21" t="s">
        <v>129</v>
      </c>
      <c r="B202" s="21"/>
      <c r="C202" s="21"/>
      <c r="D202" s="21"/>
      <c r="E202" s="21"/>
      <c r="F202" s="21"/>
      <c r="G202" s="21"/>
    </row>
    <row r="203" spans="1:12" x14ac:dyDescent="0.35">
      <c r="A203" s="21" t="s">
        <v>437</v>
      </c>
      <c r="B203" s="21"/>
      <c r="C203" s="21"/>
      <c r="D203" s="21"/>
      <c r="E203" s="21"/>
      <c r="F203" s="21"/>
      <c r="G203" s="21"/>
    </row>
    <row r="204" spans="1:12" x14ac:dyDescent="0.35">
      <c r="A204" s="21" t="s">
        <v>125</v>
      </c>
      <c r="B204" s="21"/>
      <c r="C204" s="21"/>
      <c r="D204" s="21"/>
      <c r="E204" s="21"/>
      <c r="F204" s="21"/>
      <c r="G204" s="21"/>
    </row>
    <row r="205" spans="1:12" x14ac:dyDescent="0.35">
      <c r="A205" s="21" t="s">
        <v>442</v>
      </c>
      <c r="B205" s="21"/>
      <c r="C205" s="21"/>
      <c r="D205" s="21"/>
      <c r="E205" s="21"/>
      <c r="F205" s="21"/>
      <c r="G205" s="21"/>
    </row>
    <row r="206" spans="1:12" x14ac:dyDescent="0.35">
      <c r="A206" s="21" t="s">
        <v>1259</v>
      </c>
      <c r="B206" s="21"/>
      <c r="C206" s="21"/>
      <c r="D206" s="21"/>
      <c r="E206" s="21"/>
      <c r="F206" s="21"/>
      <c r="G206" s="21"/>
    </row>
    <row r="207" spans="1:12" ht="24" customHeight="1" x14ac:dyDescent="0.35">
      <c r="A207" s="133" t="s">
        <v>1260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</row>
    <row r="208" spans="1:12" x14ac:dyDescent="0.35">
      <c r="A208" s="21" t="s">
        <v>439</v>
      </c>
      <c r="B208" s="21"/>
      <c r="C208" s="21"/>
      <c r="D208" s="21"/>
      <c r="E208" s="21"/>
      <c r="F208" s="21"/>
      <c r="G208" s="21"/>
    </row>
    <row r="214" spans="1:12" x14ac:dyDescent="0.35">
      <c r="A214" s="98" t="s">
        <v>1261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</row>
    <row r="216" spans="1:12" x14ac:dyDescent="0.35">
      <c r="A216" s="100" t="s">
        <v>1262</v>
      </c>
      <c r="B216" s="100" t="s">
        <v>1263</v>
      </c>
      <c r="C216" s="100" t="s">
        <v>292</v>
      </c>
      <c r="D216" s="100" t="s">
        <v>371</v>
      </c>
      <c r="E216" s="100" t="s">
        <v>360</v>
      </c>
      <c r="F216" s="100" t="s">
        <v>1264</v>
      </c>
      <c r="G216" s="100" t="s">
        <v>990</v>
      </c>
      <c r="H216" s="100" t="s">
        <v>338</v>
      </c>
    </row>
    <row r="217" spans="1:12" x14ac:dyDescent="0.35">
      <c r="A217" t="s">
        <v>1265</v>
      </c>
    </row>
    <row r="218" spans="1:12" x14ac:dyDescent="0.35">
      <c r="A218" t="s">
        <v>1266</v>
      </c>
    </row>
    <row r="219" spans="1:12" x14ac:dyDescent="0.35">
      <c r="A219" t="s">
        <v>1267</v>
      </c>
    </row>
    <row r="220" spans="1:12" x14ac:dyDescent="0.35">
      <c r="A220" t="s">
        <v>1268</v>
      </c>
    </row>
    <row r="221" spans="1:12" x14ac:dyDescent="0.35">
      <c r="A221" t="s">
        <v>1269</v>
      </c>
    </row>
    <row r="222" spans="1:12" x14ac:dyDescent="0.35">
      <c r="A222" t="s">
        <v>1270</v>
      </c>
    </row>
    <row r="223" spans="1:12" ht="24" customHeight="1" x14ac:dyDescent="0.35">
      <c r="A223" s="129" t="s">
        <v>1271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</row>
    <row r="224" spans="1:12" x14ac:dyDescent="0.35">
      <c r="A224" t="s">
        <v>1272</v>
      </c>
    </row>
    <row r="230" spans="1:12" x14ac:dyDescent="0.35">
      <c r="A230" s="98" t="s">
        <v>1273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2" spans="1:12" ht="29" x14ac:dyDescent="0.35">
      <c r="A232" s="100" t="s">
        <v>1229</v>
      </c>
      <c r="B232" s="100" t="s">
        <v>1274</v>
      </c>
      <c r="C232" s="100" t="s">
        <v>390</v>
      </c>
      <c r="D232" s="100" t="s">
        <v>351</v>
      </c>
      <c r="E232" s="100" t="s">
        <v>352</v>
      </c>
      <c r="F232" s="100" t="s">
        <v>292</v>
      </c>
      <c r="G232" s="100" t="s">
        <v>353</v>
      </c>
      <c r="H232" s="100" t="s">
        <v>338</v>
      </c>
    </row>
    <row r="240" spans="1:12" x14ac:dyDescent="0.3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</row>
    <row r="241" spans="1:12" x14ac:dyDescent="0.3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</row>
    <row r="247" spans="1:12" ht="29" x14ac:dyDescent="0.35">
      <c r="A247" s="106" t="s">
        <v>1275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3"/>
    </row>
    <row r="248" spans="1:12" ht="43.5" x14ac:dyDescent="0.35">
      <c r="A248" s="111" t="s">
        <v>1276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3"/>
    </row>
    <row r="249" spans="1:12" ht="29" x14ac:dyDescent="0.35">
      <c r="A249" s="110" t="s">
        <v>1277</v>
      </c>
      <c r="B249" s="110" t="s">
        <v>1278</v>
      </c>
      <c r="C249" s="110" t="s">
        <v>81</v>
      </c>
      <c r="D249" s="110" t="s">
        <v>615</v>
      </c>
      <c r="E249" s="110" t="s">
        <v>616</v>
      </c>
      <c r="F249" s="110" t="s">
        <v>990</v>
      </c>
      <c r="G249" s="110" t="s">
        <v>1279</v>
      </c>
      <c r="H249" s="110" t="s">
        <v>390</v>
      </c>
      <c r="I249" s="110" t="s">
        <v>351</v>
      </c>
      <c r="J249" s="110" t="s">
        <v>292</v>
      </c>
      <c r="K249" s="110" t="s">
        <v>353</v>
      </c>
      <c r="L249" s="110" t="s">
        <v>619</v>
      </c>
    </row>
    <row r="250" spans="1:12" x14ac:dyDescent="0.35">
      <c r="A250" s="105" t="s">
        <v>1280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x14ac:dyDescent="0.35">
      <c r="A251" s="105" t="s">
        <v>1281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x14ac:dyDescent="0.35">
      <c r="A252" s="105" t="s">
        <v>1282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29" x14ac:dyDescent="0.35">
      <c r="A253" s="105" t="s">
        <v>1283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29" x14ac:dyDescent="0.35">
      <c r="A254" s="105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29" x14ac:dyDescent="0.35">
      <c r="A255" s="105" t="s">
        <v>1285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29" x14ac:dyDescent="0.35">
      <c r="A256" s="105" t="s">
        <v>1286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29" x14ac:dyDescent="0.35">
      <c r="A257" s="105" t="s">
        <v>1287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29" x14ac:dyDescent="0.35">
      <c r="A258" s="105" t="s">
        <v>1288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29" x14ac:dyDescent="0.35">
      <c r="A259" s="105" t="s">
        <v>1289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29" x14ac:dyDescent="0.35">
      <c r="A260" s="105" t="s">
        <v>1290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29" x14ac:dyDescent="0.35">
      <c r="A261" s="105" t="s">
        <v>1291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29" x14ac:dyDescent="0.35">
      <c r="A262" s="105" t="s">
        <v>1292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43.5" x14ac:dyDescent="0.35">
      <c r="A263" s="105" t="s">
        <v>1293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29" x14ac:dyDescent="0.35">
      <c r="A264" s="105" t="s">
        <v>1294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x14ac:dyDescent="0.35">
      <c r="A265" s="105" t="s">
        <v>1295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</sheetData>
  <mergeCells count="9">
    <mergeCell ref="A1:L1"/>
    <mergeCell ref="A17:L17"/>
    <mergeCell ref="A241:L241"/>
    <mergeCell ref="A223:L223"/>
    <mergeCell ref="A35:L35"/>
    <mergeCell ref="A240:L240"/>
    <mergeCell ref="A179:L179"/>
    <mergeCell ref="A151:L151"/>
    <mergeCell ref="A207:L207"/>
  </mergeCells>
  <conditionalFormatting sqref="B12">
    <cfRule type="expression" dxfId="167" priority="12">
      <formula>B12="Green"</formula>
    </cfRule>
    <cfRule type="expression" dxfId="166" priority="13">
      <formula>B12="Amber"</formula>
    </cfRule>
    <cfRule type="expression" dxfId="165" priority="14">
      <formula>B12="Red"</formula>
    </cfRule>
  </conditionalFormatting>
  <conditionalFormatting sqref="B182:B201">
    <cfRule type="expression" dxfId="164" priority="3">
      <formula>B182="Pass"</formula>
    </cfRule>
  </conditionalFormatting>
  <conditionalFormatting sqref="C20:C43">
    <cfRule type="expression" dxfId="163" priority="8">
      <formula>C20="Green"</formula>
    </cfRule>
    <cfRule type="expression" dxfId="162" priority="9">
      <formula>C20="Amber"</formula>
    </cfRule>
    <cfRule type="expression" dxfId="161" priority="10">
      <formula>C20="Red"</formula>
    </cfRule>
    <cfRule type="expression" dxfId="160" priority="11">
      <formula>C20="N/A"</formula>
    </cfRule>
  </conditionalFormatting>
  <conditionalFormatting sqref="C20:C45">
    <cfRule type="expression" dxfId="159" priority="4">
      <formula>ISNUMBER(SEARCH("Green",C20))</formula>
    </cfRule>
    <cfRule type="expression" dxfId="158" priority="5">
      <formula>ISNUMBER(SEARCH("Amber",C20))</formula>
    </cfRule>
    <cfRule type="expression" dxfId="157" priority="6">
      <formula>ISNUMBER(SEARCH("Red",C20))</formula>
    </cfRule>
    <cfRule type="expression" dxfId="156" priority="7">
      <formula>C20="N/A"</formula>
    </cfRule>
  </conditionalFormatting>
  <conditionalFormatting sqref="E154:E173">
    <cfRule type="expression" dxfId="155" priority="2">
      <formula>E154="Pass"</formula>
    </cfRule>
  </conditionalFormatting>
  <conditionalFormatting sqref="H38:H145">
    <cfRule type="expression" dxfId="154" priority="1">
      <formula>H38="Pass"</formula>
    </cfRule>
  </conditionalFormatting>
  <dataValidations count="8">
    <dataValidation type="list" sqref="H38:H145 E154:E173" xr:uid="{00000000-0002-0000-3400-000000000000}">
      <formula1>"Pass,Developing,Fail,N/A"</formula1>
    </dataValidation>
    <dataValidation type="list" sqref="F38:F145" xr:uid="{00000000-0002-0000-3400-000001000000}">
      <formula1>"1,2,3,4,5"</formula1>
    </dataValidation>
    <dataValidation type="list" sqref="B182:B201" xr:uid="{00000000-0002-0000-3400-000003000000}">
      <formula1>"Complete,In Progress,Not Started,N/A"</formula1>
    </dataValidation>
    <dataValidation type="list" allowBlank="1" sqref="C243:E258" xr:uid="{00000000-0002-0000-3400-000004000000}">
      <formula1>"Yes,No,N/A"</formula1>
    </dataValidation>
    <dataValidation type="list" allowBlank="1" sqref="C20:C45" xr:uid="{00000000-0002-0000-3400-000005000000}">
      <formula1>"Green - Received,Amber - Awaiting,Red - Missing,N/A"</formula1>
    </dataValidation>
    <dataValidation type="list" sqref="C20:C43" xr:uid="{00000000-0002-0000-3400-000006000000}">
      <formula1>"Green,Amber,Red,N/A"</formula1>
    </dataValidation>
    <dataValidation type="list" sqref="F42:F230" xr:uid="{00000000-0002-0000-3400-000007000000}">
      <formula1>"1,2,3,4,5,N/A"</formula1>
    </dataValidation>
    <dataValidation type="list" sqref="H42:H230 H235:H255" xr:uid="{00000000-0002-0000-3400-000008000000}">
      <formula1>"Pass,Fail,Not Assessed,N/A"</formula1>
    </dataValidation>
  </dataValidation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L265"/>
  <sheetViews>
    <sheetView workbookViewId="0"/>
  </sheetViews>
  <sheetFormatPr defaultRowHeight="14.5" x14ac:dyDescent="0.35"/>
  <cols>
    <col min="1" max="1" width="42" customWidth="1"/>
    <col min="2" max="2" width="36" customWidth="1"/>
    <col min="3" max="3" width="52" customWidth="1"/>
    <col min="4" max="4" width="34" customWidth="1"/>
    <col min="5" max="5" width="30" customWidth="1"/>
    <col min="6" max="6" width="12" customWidth="1"/>
    <col min="7" max="7" width="16" customWidth="1"/>
    <col min="8" max="8" width="14" customWidth="1"/>
    <col min="9" max="9" width="28" customWidth="1"/>
    <col min="10" max="12" width="14" customWidth="1"/>
  </cols>
  <sheetData>
    <row r="1" spans="1:12" ht="30" customHeight="1" x14ac:dyDescent="0.35">
      <c r="A1" s="134" t="s">
        <v>1309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x14ac:dyDescent="0.35">
      <c r="A2" t="s">
        <v>928</v>
      </c>
      <c r="D2" t="s">
        <v>929</v>
      </c>
    </row>
    <row r="4" spans="1:12" x14ac:dyDescent="0.35">
      <c r="A4" s="101" t="s">
        <v>882</v>
      </c>
      <c r="B4" s="101" t="str">
        <f>IF('Induction Employee Register'!A18="","",'Induction Employee Register'!A18)</f>
        <v>SW015</v>
      </c>
      <c r="D4" t="s">
        <v>930</v>
      </c>
      <c r="E4" t="s">
        <v>931</v>
      </c>
      <c r="F4" t="s">
        <v>932</v>
      </c>
      <c r="G4" t="s">
        <v>933</v>
      </c>
      <c r="H4" t="s">
        <v>58</v>
      </c>
      <c r="I4" t="s">
        <v>934</v>
      </c>
      <c r="J4" t="s">
        <v>54</v>
      </c>
      <c r="K4" t="s">
        <v>935</v>
      </c>
      <c r="L4" t="s">
        <v>43</v>
      </c>
    </row>
    <row r="5" spans="1:12" x14ac:dyDescent="0.35">
      <c r="A5" s="101" t="s">
        <v>883</v>
      </c>
      <c r="B5" s="101" t="str">
        <f>IF('Induction Employee Register'!B18="","",'Induction Employee Register'!B18)</f>
        <v/>
      </c>
      <c r="D5" t="s">
        <v>936</v>
      </c>
    </row>
    <row r="6" spans="1:12" x14ac:dyDescent="0.35">
      <c r="A6" s="101" t="s">
        <v>322</v>
      </c>
      <c r="B6" s="101" t="str">
        <f>IF('Induction Employee Register'!C18="","",'Induction Employee Register'!C18)</f>
        <v/>
      </c>
      <c r="D6" t="s">
        <v>937</v>
      </c>
      <c r="E6" t="s">
        <v>938</v>
      </c>
    </row>
    <row r="7" spans="1:12" x14ac:dyDescent="0.35">
      <c r="A7" s="101" t="s">
        <v>323</v>
      </c>
      <c r="B7" s="126" t="str">
        <f>IF('Induction Employee Register'!D18="","",'Induction Employee Register'!D18)</f>
        <v/>
      </c>
      <c r="D7" t="s">
        <v>939</v>
      </c>
      <c r="E7" t="s">
        <v>940</v>
      </c>
    </row>
    <row r="8" spans="1:12" x14ac:dyDescent="0.35">
      <c r="A8" s="101" t="s">
        <v>886</v>
      </c>
      <c r="B8" s="125">
        <f>IFERROR(COUNTIF($H$42:$H$230,"Pass")/(COUNTIF($H$42:$H$230,"Pass")+COUNTIF($H$42:$H$230,"Fail")+COUNTIF($H$42:$H$230,"Not Assessed")),0)</f>
        <v>0</v>
      </c>
      <c r="D8" t="s">
        <v>6</v>
      </c>
      <c r="E8" t="s">
        <v>941</v>
      </c>
    </row>
    <row r="9" spans="1:12" x14ac:dyDescent="0.35">
      <c r="A9" s="101" t="s">
        <v>887</v>
      </c>
      <c r="B9" s="125">
        <f>IFERROR(COUNTIF($H$235:$H$255,"Pass")/(COUNTIF($H$235:$H$255,"Pass")+COUNTIF($H$235:$H$255,"Fail")+COUNTIF($H$235:$H$255,"Not Assessed")),0)</f>
        <v>0</v>
      </c>
      <c r="D9" t="s">
        <v>942</v>
      </c>
      <c r="E9" t="s">
        <v>943</v>
      </c>
    </row>
    <row r="10" spans="1:12" x14ac:dyDescent="0.35">
      <c r="A10" s="101" t="s">
        <v>888</v>
      </c>
      <c r="B10" s="125" t="str">
        <f>IFERROR(IF($B$5="","",IF(INDEX('Mandatory Training Dashboard'!$D$5:$D$53,MATCH($B$5,'Mandatory Training Dashboard'!$A$5:$A$53,0))&gt;1,INDEX('Mandatory Training Dashboard'!$D$5:$D$53,MATCH($B$5,'Mandatory Training Dashboard'!$A$5:$A$53,0))/100,INDEX('Mandatory Training Dashboard'!$D$5:$D$53,MATCH($B$5,'Mandatory Training Dashboard'!$A$5:$A$53,0)))),0)</f>
        <v/>
      </c>
      <c r="D10" t="s">
        <v>944</v>
      </c>
      <c r="E10" t="s">
        <v>945</v>
      </c>
    </row>
    <row r="11" spans="1:12" x14ac:dyDescent="0.35">
      <c r="A11" s="101" t="s">
        <v>893</v>
      </c>
      <c r="B11" s="125">
        <f>IFERROR(AVERAGE(B8:B10),0)</f>
        <v>0</v>
      </c>
      <c r="D11" t="s">
        <v>946</v>
      </c>
      <c r="E11" t="s">
        <v>947</v>
      </c>
    </row>
    <row r="12" spans="1:12" x14ac:dyDescent="0.35">
      <c r="A12" s="101" t="s">
        <v>948</v>
      </c>
      <c r="B12" s="101" t="str">
        <f>IF(B11&gt;=0.9,"Green",IF(B11&gt;=0.75,"Amber","Red"))</f>
        <v>Red</v>
      </c>
      <c r="D12" t="s">
        <v>949</v>
      </c>
      <c r="E12" t="s">
        <v>950</v>
      </c>
    </row>
    <row r="13" spans="1:12" x14ac:dyDescent="0.35">
      <c r="A13" s="101" t="s">
        <v>891</v>
      </c>
      <c r="B13" s="101">
        <f>IF('Induction Employee Register'!N18="","",'Induction Employee Register'!N18)</f>
        <v>0</v>
      </c>
      <c r="D13" t="s">
        <v>951</v>
      </c>
      <c r="E13" t="s">
        <v>952</v>
      </c>
    </row>
    <row r="14" spans="1:12" x14ac:dyDescent="0.35">
      <c r="A14" s="101" t="s">
        <v>892</v>
      </c>
      <c r="B14" s="101" t="str">
        <f>IF('Induction Employee Register'!O18="","",'Induction Employee Register'!O18)</f>
        <v/>
      </c>
    </row>
    <row r="17" spans="1:12" ht="24" customHeight="1" x14ac:dyDescent="0.35">
      <c r="A17" s="135" t="s">
        <v>953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9" spans="1:12" ht="29" x14ac:dyDescent="0.35">
      <c r="A19" s="116" t="s">
        <v>954</v>
      </c>
      <c r="B19" s="116" t="s">
        <v>955</v>
      </c>
      <c r="C19" s="116" t="s">
        <v>956</v>
      </c>
      <c r="D19" s="116" t="s">
        <v>957</v>
      </c>
      <c r="E19" s="116" t="s">
        <v>958</v>
      </c>
      <c r="F19" s="116" t="s">
        <v>353</v>
      </c>
      <c r="G19" s="116" t="s">
        <v>335</v>
      </c>
      <c r="H19" s="116" t="s">
        <v>338</v>
      </c>
      <c r="I19" s="117" t="s">
        <v>959</v>
      </c>
      <c r="J19" t="s">
        <v>960</v>
      </c>
      <c r="K19" t="s">
        <v>300</v>
      </c>
      <c r="L19" t="s">
        <v>961</v>
      </c>
    </row>
    <row r="20" spans="1:12" x14ac:dyDescent="0.35">
      <c r="A20" s="118" t="s">
        <v>962</v>
      </c>
      <c r="B20" s="118" t="s">
        <v>81</v>
      </c>
      <c r="C20" s="118"/>
      <c r="D20" s="127"/>
      <c r="E20" s="127"/>
      <c r="F20" s="118"/>
      <c r="G20" s="118"/>
      <c r="H20" s="118"/>
      <c r="J20" t="s">
        <v>310</v>
      </c>
      <c r="K20" t="str">
        <f>IF('Induction Employee Register'!W18="","",'Induction Employee Register'!W18)</f>
        <v/>
      </c>
      <c r="L20" t="s">
        <v>963</v>
      </c>
    </row>
    <row r="21" spans="1:12" x14ac:dyDescent="0.35">
      <c r="A21" s="118" t="s">
        <v>964</v>
      </c>
      <c r="B21" s="118" t="s">
        <v>81</v>
      </c>
      <c r="C21" s="118"/>
      <c r="D21" s="127"/>
      <c r="E21" s="127"/>
      <c r="F21" s="118"/>
      <c r="G21" s="118"/>
      <c r="H21" s="118"/>
      <c r="J21" t="s">
        <v>311</v>
      </c>
      <c r="K21" t="str">
        <f>IF('Induction Employee Register'!X18="","",'Induction Employee Register'!X18)</f>
        <v/>
      </c>
      <c r="L21" t="s">
        <v>965</v>
      </c>
    </row>
    <row r="22" spans="1:12" x14ac:dyDescent="0.35">
      <c r="A22" s="118" t="s">
        <v>966</v>
      </c>
      <c r="B22" s="118" t="s">
        <v>81</v>
      </c>
      <c r="C22" s="118"/>
      <c r="D22" s="127"/>
      <c r="E22" s="127"/>
      <c r="F22" s="118"/>
      <c r="G22" s="118"/>
      <c r="H22" s="118"/>
      <c r="J22" t="s">
        <v>312</v>
      </c>
      <c r="K22" t="str">
        <f>IF('Induction Employee Register'!Y18="","",'Induction Employee Register'!Y18)</f>
        <v/>
      </c>
      <c r="L22" t="s">
        <v>967</v>
      </c>
    </row>
    <row r="23" spans="1:12" x14ac:dyDescent="0.35">
      <c r="A23" s="118" t="s">
        <v>52</v>
      </c>
      <c r="B23" s="118" t="s">
        <v>81</v>
      </c>
      <c r="C23" s="118"/>
      <c r="D23" s="127"/>
      <c r="E23" s="127"/>
      <c r="F23" s="118"/>
      <c r="G23" s="118"/>
      <c r="H23" s="118"/>
      <c r="J23" t="s">
        <v>313</v>
      </c>
      <c r="K23" t="str">
        <f>IF('Induction Employee Register'!Z18="","",'Induction Employee Register'!Z18)</f>
        <v/>
      </c>
      <c r="L23" t="s">
        <v>968</v>
      </c>
    </row>
    <row r="24" spans="1:12" x14ac:dyDescent="0.35">
      <c r="A24" s="118" t="s">
        <v>50</v>
      </c>
      <c r="B24" s="118" t="s">
        <v>81</v>
      </c>
      <c r="C24" s="118"/>
      <c r="D24" s="127"/>
      <c r="E24" s="127"/>
      <c r="F24" s="118"/>
      <c r="G24" s="118"/>
      <c r="H24" s="118"/>
      <c r="J24" t="s">
        <v>314</v>
      </c>
      <c r="K24" t="str">
        <f>IF('Induction Employee Register'!AA18="","",'Induction Employee Register'!AA18)</f>
        <v/>
      </c>
      <c r="L24" t="s">
        <v>968</v>
      </c>
    </row>
    <row r="25" spans="1:12" x14ac:dyDescent="0.35">
      <c r="A25" s="118" t="s">
        <v>329</v>
      </c>
      <c r="B25" s="118" t="s">
        <v>81</v>
      </c>
      <c r="C25" s="118"/>
      <c r="D25" s="127"/>
      <c r="E25" s="127"/>
      <c r="F25" s="118"/>
      <c r="G25" s="118"/>
      <c r="H25" s="118"/>
      <c r="J25" t="s">
        <v>315</v>
      </c>
      <c r="K25" t="str">
        <f>IF('Induction Employee Register'!AB18="","",'Induction Employee Register'!AB18)</f>
        <v/>
      </c>
      <c r="L25" t="s">
        <v>967</v>
      </c>
    </row>
    <row r="26" spans="1:12" x14ac:dyDescent="0.35">
      <c r="A26" s="118" t="s">
        <v>969</v>
      </c>
      <c r="B26" s="118" t="s">
        <v>81</v>
      </c>
      <c r="C26" s="118"/>
      <c r="D26" s="127"/>
      <c r="E26" s="127"/>
      <c r="F26" s="118"/>
      <c r="G26" s="118"/>
      <c r="H26" s="118"/>
      <c r="J26" t="s">
        <v>316</v>
      </c>
      <c r="K26" t="str">
        <f>IF('Induction Employee Register'!AC18="","",'Induction Employee Register'!AC18)</f>
        <v/>
      </c>
      <c r="L26" t="s">
        <v>967</v>
      </c>
    </row>
    <row r="27" spans="1:12" x14ac:dyDescent="0.35">
      <c r="A27" s="118" t="s">
        <v>970</v>
      </c>
      <c r="B27" s="118" t="s">
        <v>81</v>
      </c>
      <c r="C27" s="118"/>
      <c r="D27" s="127"/>
      <c r="E27" s="127"/>
      <c r="F27" s="118"/>
      <c r="G27" s="118"/>
      <c r="H27" s="118"/>
    </row>
    <row r="28" spans="1:12" x14ac:dyDescent="0.35">
      <c r="A28" s="118" t="s">
        <v>971</v>
      </c>
      <c r="B28" s="118" t="s">
        <v>81</v>
      </c>
      <c r="C28" s="118"/>
      <c r="D28" s="127"/>
      <c r="E28" s="127"/>
      <c r="F28" s="118"/>
      <c r="G28" s="118"/>
      <c r="H28" s="118"/>
    </row>
    <row r="29" spans="1:12" x14ac:dyDescent="0.35">
      <c r="A29" s="118" t="s">
        <v>972</v>
      </c>
      <c r="B29" s="118" t="s">
        <v>81</v>
      </c>
      <c r="C29" s="118"/>
      <c r="D29" s="127"/>
      <c r="E29" s="127"/>
      <c r="F29" s="118"/>
      <c r="G29" s="118"/>
      <c r="H29" s="118"/>
    </row>
    <row r="30" spans="1:12" x14ac:dyDescent="0.35">
      <c r="A30" s="118" t="s">
        <v>973</v>
      </c>
      <c r="B30" s="118" t="s">
        <v>81</v>
      </c>
      <c r="C30" s="118"/>
      <c r="D30" s="127"/>
      <c r="E30" s="127"/>
      <c r="F30" s="118"/>
      <c r="G30" s="118"/>
      <c r="H30" s="118"/>
    </row>
    <row r="31" spans="1:12" x14ac:dyDescent="0.35">
      <c r="A31" s="118" t="s">
        <v>974</v>
      </c>
      <c r="B31" s="118" t="s">
        <v>81</v>
      </c>
      <c r="C31" s="118"/>
      <c r="D31" s="127"/>
      <c r="E31" s="127"/>
      <c r="F31" s="118"/>
      <c r="G31" s="118"/>
      <c r="H31" s="118"/>
    </row>
    <row r="32" spans="1:12" x14ac:dyDescent="0.35">
      <c r="A32" s="118" t="s">
        <v>975</v>
      </c>
      <c r="B32" s="118" t="s">
        <v>81</v>
      </c>
      <c r="C32" s="118"/>
      <c r="D32" s="127"/>
      <c r="E32" s="127"/>
      <c r="F32" s="118"/>
      <c r="G32" s="118"/>
      <c r="H32" s="118"/>
    </row>
    <row r="33" spans="1:12" x14ac:dyDescent="0.35">
      <c r="A33" s="118" t="s">
        <v>54</v>
      </c>
      <c r="B33" s="118" t="s">
        <v>81</v>
      </c>
      <c r="C33" s="118"/>
      <c r="D33" s="127"/>
      <c r="E33" s="127"/>
      <c r="F33" s="118"/>
      <c r="G33" s="118"/>
      <c r="H33" s="118"/>
    </row>
    <row r="34" spans="1:12" x14ac:dyDescent="0.35">
      <c r="A34" s="119" t="s">
        <v>976</v>
      </c>
      <c r="B34" s="119" t="s">
        <v>81</v>
      </c>
      <c r="C34" s="119"/>
      <c r="D34" s="127"/>
      <c r="E34" s="127"/>
      <c r="F34" s="119"/>
      <c r="G34" s="119"/>
      <c r="H34" s="119"/>
    </row>
    <row r="35" spans="1:12" ht="24" customHeight="1" x14ac:dyDescent="0.35">
      <c r="A35" s="130" t="s">
        <v>977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</row>
    <row r="36" spans="1:12" x14ac:dyDescent="0.35">
      <c r="A36" s="119" t="s">
        <v>978</v>
      </c>
      <c r="B36" s="119" t="s">
        <v>81</v>
      </c>
      <c r="C36" s="119"/>
      <c r="D36" s="127"/>
      <c r="E36" s="127"/>
      <c r="F36" s="119"/>
      <c r="G36" s="119"/>
      <c r="H36" s="119"/>
    </row>
    <row r="37" spans="1:12" x14ac:dyDescent="0.35">
      <c r="A37" s="119" t="s">
        <v>979</v>
      </c>
      <c r="B37" s="119" t="s">
        <v>81</v>
      </c>
      <c r="C37" s="119"/>
      <c r="D37" s="127"/>
      <c r="E37" s="127"/>
      <c r="F37" s="119"/>
      <c r="G37" s="119"/>
      <c r="H37" s="119"/>
    </row>
    <row r="38" spans="1:12" x14ac:dyDescent="0.35">
      <c r="A38" s="119" t="s">
        <v>980</v>
      </c>
      <c r="B38" s="119" t="s">
        <v>81</v>
      </c>
      <c r="C38" s="119"/>
      <c r="D38" s="127"/>
      <c r="E38" s="127"/>
      <c r="F38" s="119"/>
      <c r="G38" s="119"/>
      <c r="H38" s="119"/>
    </row>
    <row r="39" spans="1:12" x14ac:dyDescent="0.35">
      <c r="A39" s="119" t="s">
        <v>981</v>
      </c>
      <c r="B39" s="119" t="s">
        <v>81</v>
      </c>
      <c r="C39" s="119"/>
      <c r="D39" s="127"/>
      <c r="E39" s="127"/>
      <c r="F39" s="119"/>
      <c r="G39" s="119"/>
      <c r="H39" s="119"/>
    </row>
    <row r="40" spans="1:12" x14ac:dyDescent="0.35">
      <c r="A40" s="119" t="s">
        <v>982</v>
      </c>
      <c r="B40" s="119" t="s">
        <v>81</v>
      </c>
      <c r="C40" s="119"/>
      <c r="D40" s="127"/>
      <c r="E40" s="127"/>
      <c r="F40" s="119"/>
      <c r="G40" s="119"/>
      <c r="H40" s="119"/>
    </row>
    <row r="41" spans="1:12" x14ac:dyDescent="0.35">
      <c r="A41" s="118"/>
      <c r="B41" s="118"/>
      <c r="C41" s="118"/>
      <c r="D41" s="127"/>
      <c r="E41" s="127"/>
      <c r="F41" s="118"/>
      <c r="G41" s="118"/>
      <c r="H41" s="118"/>
    </row>
    <row r="42" spans="1:12" x14ac:dyDescent="0.35">
      <c r="A42" s="120" t="s">
        <v>983</v>
      </c>
      <c r="B42" s="118"/>
      <c r="C42" s="118"/>
      <c r="D42" s="127"/>
      <c r="E42" s="127"/>
      <c r="F42" s="118"/>
      <c r="G42" s="118"/>
      <c r="H42" s="118"/>
      <c r="I42" s="96"/>
      <c r="J42" s="96"/>
      <c r="K42" s="96"/>
      <c r="L42" s="96"/>
    </row>
    <row r="43" spans="1:12" x14ac:dyDescent="0.35">
      <c r="A43" s="118"/>
      <c r="B43" s="118"/>
      <c r="C43" s="118"/>
      <c r="D43" s="127"/>
      <c r="E43" s="127"/>
      <c r="F43" s="118"/>
      <c r="G43" s="118"/>
      <c r="H43" s="118"/>
    </row>
    <row r="44" spans="1:12" ht="29" x14ac:dyDescent="0.35">
      <c r="A44" s="116" t="s">
        <v>984</v>
      </c>
      <c r="B44" s="116" t="s">
        <v>985</v>
      </c>
      <c r="C44" s="116" t="s">
        <v>986</v>
      </c>
      <c r="D44" s="116" t="s">
        <v>987</v>
      </c>
      <c r="E44" s="116" t="s">
        <v>988</v>
      </c>
      <c r="F44" s="116" t="s">
        <v>989</v>
      </c>
      <c r="G44" s="116" t="s">
        <v>389</v>
      </c>
      <c r="H44" s="116" t="s">
        <v>870</v>
      </c>
      <c r="I44" s="100" t="s">
        <v>390</v>
      </c>
      <c r="J44" s="100" t="s">
        <v>990</v>
      </c>
      <c r="K44" s="100" t="s">
        <v>991</v>
      </c>
      <c r="L44" s="100" t="s">
        <v>992</v>
      </c>
    </row>
    <row r="45" spans="1:12" ht="29" x14ac:dyDescent="0.35">
      <c r="A45" s="121" t="s">
        <v>993</v>
      </c>
      <c r="B45" s="121" t="s">
        <v>994</v>
      </c>
      <c r="C45" s="121" t="s">
        <v>995</v>
      </c>
      <c r="D45" s="121"/>
      <c r="E45" s="121" t="s">
        <v>996</v>
      </c>
      <c r="F45" s="121"/>
      <c r="G45" s="121"/>
      <c r="H45" s="121"/>
      <c r="I45" s="21"/>
      <c r="J45" s="21"/>
      <c r="K45" s="21"/>
      <c r="L45" s="21"/>
    </row>
    <row r="46" spans="1:12" ht="29" x14ac:dyDescent="0.35">
      <c r="A46" s="21" t="s">
        <v>993</v>
      </c>
      <c r="B46" s="21" t="s">
        <v>997</v>
      </c>
      <c r="C46" s="21" t="s">
        <v>998</v>
      </c>
      <c r="D46" s="21"/>
      <c r="E46" s="21" t="s">
        <v>996</v>
      </c>
      <c r="F46" s="21"/>
      <c r="G46" s="21"/>
      <c r="H46" s="21"/>
      <c r="I46" s="21"/>
      <c r="J46" s="21"/>
      <c r="K46" s="21"/>
      <c r="L46" s="21"/>
    </row>
    <row r="47" spans="1:12" ht="29" x14ac:dyDescent="0.35">
      <c r="A47" s="21" t="s">
        <v>993</v>
      </c>
      <c r="B47" s="21" t="s">
        <v>999</v>
      </c>
      <c r="C47" s="21" t="s">
        <v>1000</v>
      </c>
      <c r="D47" s="21"/>
      <c r="E47" s="21" t="s">
        <v>996</v>
      </c>
      <c r="F47" s="21"/>
      <c r="G47" s="21"/>
      <c r="H47" s="21"/>
      <c r="I47" s="21"/>
      <c r="J47" s="21"/>
      <c r="K47" s="21"/>
      <c r="L47" s="21"/>
    </row>
    <row r="48" spans="1:12" ht="29" x14ac:dyDescent="0.35">
      <c r="A48" s="21" t="s">
        <v>993</v>
      </c>
      <c r="B48" s="21" t="s">
        <v>1001</v>
      </c>
      <c r="C48" s="21" t="s">
        <v>1002</v>
      </c>
      <c r="D48" s="21"/>
      <c r="E48" s="21" t="s">
        <v>996</v>
      </c>
      <c r="F48" s="21"/>
      <c r="G48" s="21"/>
      <c r="H48" s="21"/>
      <c r="I48" s="21"/>
      <c r="J48" s="21"/>
      <c r="K48" s="21"/>
      <c r="L48" s="21"/>
    </row>
    <row r="49" spans="1:12" ht="43.5" x14ac:dyDescent="0.35">
      <c r="A49" s="21" t="s">
        <v>993</v>
      </c>
      <c r="B49" s="21" t="s">
        <v>1003</v>
      </c>
      <c r="C49" s="21" t="s">
        <v>1004</v>
      </c>
      <c r="D49" s="21"/>
      <c r="E49" s="21" t="s">
        <v>996</v>
      </c>
      <c r="F49" s="21"/>
      <c r="G49" s="21"/>
      <c r="H49" s="21"/>
      <c r="I49" s="21"/>
      <c r="J49" s="21"/>
      <c r="K49" s="21"/>
      <c r="L49" s="21"/>
    </row>
    <row r="50" spans="1:12" ht="29" x14ac:dyDescent="0.35">
      <c r="A50" s="21" t="s">
        <v>993</v>
      </c>
      <c r="B50" s="21" t="s">
        <v>1005</v>
      </c>
      <c r="C50" s="21" t="s">
        <v>1006</v>
      </c>
      <c r="D50" s="21"/>
      <c r="E50" s="21" t="s">
        <v>996</v>
      </c>
      <c r="F50" s="21"/>
      <c r="G50" s="21"/>
      <c r="H50" s="21"/>
      <c r="I50" s="21"/>
      <c r="J50" s="21"/>
      <c r="K50" s="21"/>
      <c r="L50" s="21"/>
    </row>
    <row r="51" spans="1:12" ht="43.5" x14ac:dyDescent="0.35">
      <c r="A51" s="21" t="s">
        <v>1007</v>
      </c>
      <c r="B51" s="21" t="s">
        <v>1008</v>
      </c>
      <c r="C51" s="21" t="s">
        <v>1009</v>
      </c>
      <c r="D51" s="21"/>
      <c r="E51" s="21" t="s">
        <v>996</v>
      </c>
      <c r="F51" s="21"/>
      <c r="G51" s="21"/>
      <c r="H51" s="21"/>
      <c r="I51" s="21"/>
      <c r="J51" s="21"/>
      <c r="K51" s="21"/>
      <c r="L51" s="21"/>
    </row>
    <row r="52" spans="1:12" ht="29" x14ac:dyDescent="0.35">
      <c r="A52" s="21" t="s">
        <v>1007</v>
      </c>
      <c r="B52" s="21" t="s">
        <v>1010</v>
      </c>
      <c r="C52" s="21" t="s">
        <v>1011</v>
      </c>
      <c r="D52" s="21"/>
      <c r="E52" s="21" t="s">
        <v>996</v>
      </c>
      <c r="F52" s="21"/>
      <c r="G52" s="21"/>
      <c r="H52" s="21"/>
      <c r="I52" s="21"/>
      <c r="J52" s="21"/>
      <c r="K52" s="21"/>
      <c r="L52" s="21"/>
    </row>
    <row r="53" spans="1:12" ht="29" x14ac:dyDescent="0.35">
      <c r="A53" s="21" t="s">
        <v>1007</v>
      </c>
      <c r="B53" s="21" t="s">
        <v>1012</v>
      </c>
      <c r="C53" s="21" t="s">
        <v>1013</v>
      </c>
      <c r="D53" s="21"/>
      <c r="E53" s="21" t="s">
        <v>996</v>
      </c>
      <c r="F53" s="21"/>
      <c r="G53" s="21"/>
      <c r="H53" s="21"/>
      <c r="I53" s="21"/>
      <c r="J53" s="21"/>
      <c r="K53" s="21"/>
      <c r="L53" s="21"/>
    </row>
    <row r="54" spans="1:12" ht="29" x14ac:dyDescent="0.35">
      <c r="A54" s="21" t="s">
        <v>1007</v>
      </c>
      <c r="B54" s="21" t="s">
        <v>1014</v>
      </c>
      <c r="C54" s="21" t="s">
        <v>1015</v>
      </c>
      <c r="D54" s="21"/>
      <c r="E54" s="21" t="s">
        <v>996</v>
      </c>
      <c r="F54" s="21"/>
      <c r="G54" s="21"/>
      <c r="H54" s="21"/>
      <c r="I54" s="21"/>
      <c r="J54" s="21"/>
      <c r="K54" s="21"/>
      <c r="L54" s="21"/>
    </row>
    <row r="55" spans="1:12" ht="29" x14ac:dyDescent="0.35">
      <c r="A55" s="21" t="s">
        <v>1007</v>
      </c>
      <c r="B55" s="21" t="s">
        <v>1016</v>
      </c>
      <c r="C55" s="21" t="s">
        <v>1017</v>
      </c>
      <c r="D55" s="21"/>
      <c r="E55" s="21" t="s">
        <v>996</v>
      </c>
      <c r="F55" s="21"/>
      <c r="G55" s="21"/>
      <c r="H55" s="21"/>
      <c r="I55" s="21"/>
      <c r="J55" s="21"/>
      <c r="K55" s="21"/>
      <c r="L55" s="21"/>
    </row>
    <row r="56" spans="1:12" ht="29" x14ac:dyDescent="0.35">
      <c r="A56" s="21" t="s">
        <v>1007</v>
      </c>
      <c r="B56" s="21" t="s">
        <v>1018</v>
      </c>
      <c r="C56" s="21" t="s">
        <v>1019</v>
      </c>
      <c r="D56" s="21"/>
      <c r="E56" s="21" t="s">
        <v>996</v>
      </c>
      <c r="F56" s="21"/>
      <c r="G56" s="21"/>
      <c r="H56" s="21"/>
      <c r="I56" s="21"/>
      <c r="J56" s="21"/>
      <c r="K56" s="21"/>
      <c r="L56" s="21"/>
    </row>
    <row r="57" spans="1:12" ht="43.5" x14ac:dyDescent="0.35">
      <c r="A57" s="21" t="s">
        <v>1020</v>
      </c>
      <c r="B57" s="21" t="s">
        <v>1021</v>
      </c>
      <c r="C57" s="21" t="s">
        <v>1022</v>
      </c>
      <c r="D57" s="21"/>
      <c r="E57" s="21" t="s">
        <v>1023</v>
      </c>
      <c r="F57" s="21"/>
      <c r="G57" s="21"/>
      <c r="H57" s="21"/>
      <c r="I57" s="21"/>
      <c r="J57" s="21"/>
      <c r="K57" s="21"/>
      <c r="L57" s="21"/>
    </row>
    <row r="58" spans="1:12" ht="43.5" x14ac:dyDescent="0.35">
      <c r="A58" s="21" t="s">
        <v>1020</v>
      </c>
      <c r="B58" s="21" t="s">
        <v>1024</v>
      </c>
      <c r="C58" s="21" t="s">
        <v>1025</v>
      </c>
      <c r="D58" s="21"/>
      <c r="E58" s="21" t="s">
        <v>1023</v>
      </c>
      <c r="F58" s="21"/>
      <c r="G58" s="21"/>
      <c r="H58" s="21"/>
      <c r="I58" s="21"/>
      <c r="J58" s="21"/>
      <c r="K58" s="21"/>
      <c r="L58" s="21"/>
    </row>
    <row r="59" spans="1:12" ht="43.5" x14ac:dyDescent="0.35">
      <c r="A59" s="21" t="s">
        <v>1020</v>
      </c>
      <c r="B59" s="21" t="s">
        <v>1026</v>
      </c>
      <c r="C59" s="21" t="s">
        <v>1027</v>
      </c>
      <c r="D59" s="21"/>
      <c r="E59" s="21" t="s">
        <v>1023</v>
      </c>
      <c r="F59" s="21"/>
      <c r="G59" s="21"/>
      <c r="H59" s="21"/>
      <c r="I59" s="21"/>
      <c r="J59" s="21"/>
      <c r="K59" s="21"/>
      <c r="L59" s="21"/>
    </row>
    <row r="60" spans="1:12" ht="43.5" x14ac:dyDescent="0.35">
      <c r="A60" s="21" t="s">
        <v>1020</v>
      </c>
      <c r="B60" s="21" t="s">
        <v>1028</v>
      </c>
      <c r="C60" s="21" t="s">
        <v>1029</v>
      </c>
      <c r="D60" s="21"/>
      <c r="E60" s="21" t="s">
        <v>1023</v>
      </c>
      <c r="F60" s="21"/>
      <c r="G60" s="21"/>
      <c r="H60" s="21"/>
      <c r="I60" s="21"/>
      <c r="J60" s="21"/>
      <c r="K60" s="21"/>
      <c r="L60" s="21"/>
    </row>
    <row r="61" spans="1:12" ht="43.5" x14ac:dyDescent="0.35">
      <c r="A61" s="21" t="s">
        <v>1020</v>
      </c>
      <c r="B61" s="21" t="s">
        <v>1030</v>
      </c>
      <c r="C61" s="21" t="s">
        <v>1031</v>
      </c>
      <c r="D61" s="21"/>
      <c r="E61" s="21" t="s">
        <v>1023</v>
      </c>
      <c r="F61" s="21"/>
      <c r="G61" s="21"/>
      <c r="H61" s="21"/>
      <c r="I61" s="21"/>
      <c r="J61" s="21"/>
      <c r="K61" s="21"/>
      <c r="L61" s="21"/>
    </row>
    <row r="62" spans="1:12" ht="43.5" x14ac:dyDescent="0.35">
      <c r="A62" s="21" t="s">
        <v>1020</v>
      </c>
      <c r="B62" s="21" t="s">
        <v>1032</v>
      </c>
      <c r="C62" s="21" t="s">
        <v>1033</v>
      </c>
      <c r="D62" s="21"/>
      <c r="E62" s="21" t="s">
        <v>1023</v>
      </c>
      <c r="F62" s="21"/>
      <c r="G62" s="21"/>
      <c r="H62" s="21"/>
      <c r="I62" s="21"/>
      <c r="J62" s="21"/>
      <c r="K62" s="21"/>
      <c r="L62" s="21"/>
    </row>
    <row r="63" spans="1:12" ht="29" x14ac:dyDescent="0.35">
      <c r="A63" s="21" t="s">
        <v>428</v>
      </c>
      <c r="B63" s="21" t="s">
        <v>1034</v>
      </c>
      <c r="C63" s="21" t="s">
        <v>1035</v>
      </c>
      <c r="D63" s="21"/>
      <c r="E63" s="21" t="s">
        <v>996</v>
      </c>
      <c r="F63" s="21"/>
      <c r="G63" s="21"/>
      <c r="H63" s="21"/>
      <c r="I63" s="21"/>
      <c r="J63" s="21"/>
      <c r="K63" s="21"/>
      <c r="L63" s="21"/>
    </row>
    <row r="64" spans="1:12" ht="43.5" x14ac:dyDescent="0.35">
      <c r="A64" s="21" t="s">
        <v>428</v>
      </c>
      <c r="B64" s="21" t="s">
        <v>1036</v>
      </c>
      <c r="C64" s="21" t="s">
        <v>1037</v>
      </c>
      <c r="D64" s="21"/>
      <c r="E64" s="21" t="s">
        <v>996</v>
      </c>
      <c r="F64" s="21"/>
      <c r="G64" s="21"/>
      <c r="H64" s="21"/>
      <c r="I64" s="21"/>
      <c r="J64" s="21"/>
      <c r="K64" s="21"/>
      <c r="L64" s="21"/>
    </row>
    <row r="65" spans="1:12" ht="29" x14ac:dyDescent="0.35">
      <c r="A65" s="21" t="s">
        <v>428</v>
      </c>
      <c r="B65" s="21" t="s">
        <v>1038</v>
      </c>
      <c r="C65" s="21" t="s">
        <v>1039</v>
      </c>
      <c r="D65" s="21"/>
      <c r="E65" s="21" t="s">
        <v>996</v>
      </c>
      <c r="F65" s="21"/>
      <c r="G65" s="21"/>
      <c r="H65" s="21"/>
      <c r="I65" s="21"/>
      <c r="J65" s="21"/>
      <c r="K65" s="21"/>
      <c r="L65" s="21"/>
    </row>
    <row r="66" spans="1:12" ht="43.5" x14ac:dyDescent="0.35">
      <c r="A66" s="21" t="s">
        <v>428</v>
      </c>
      <c r="B66" s="21" t="s">
        <v>1040</v>
      </c>
      <c r="C66" s="21" t="s">
        <v>1041</v>
      </c>
      <c r="D66" s="21"/>
      <c r="E66" s="21" t="s">
        <v>996</v>
      </c>
      <c r="F66" s="21"/>
      <c r="G66" s="21"/>
      <c r="H66" s="21"/>
      <c r="I66" s="21"/>
      <c r="J66" s="21"/>
      <c r="K66" s="21"/>
      <c r="L66" s="21"/>
    </row>
    <row r="67" spans="1:12" ht="29" x14ac:dyDescent="0.35">
      <c r="A67" s="21" t="s">
        <v>428</v>
      </c>
      <c r="B67" s="21" t="s">
        <v>1042</v>
      </c>
      <c r="C67" s="21" t="s">
        <v>1043</v>
      </c>
      <c r="D67" s="21"/>
      <c r="E67" s="21" t="s">
        <v>996</v>
      </c>
      <c r="F67" s="21"/>
      <c r="G67" s="21"/>
      <c r="H67" s="21"/>
      <c r="I67" s="21"/>
      <c r="J67" s="21"/>
      <c r="K67" s="21"/>
      <c r="L67" s="21"/>
    </row>
    <row r="68" spans="1:12" ht="29" x14ac:dyDescent="0.35">
      <c r="A68" s="21" t="s">
        <v>428</v>
      </c>
      <c r="B68" s="21" t="s">
        <v>1044</v>
      </c>
      <c r="C68" s="21" t="s">
        <v>1045</v>
      </c>
      <c r="D68" s="21"/>
      <c r="E68" s="21" t="s">
        <v>996</v>
      </c>
      <c r="F68" s="21"/>
      <c r="G68" s="21"/>
      <c r="H68" s="21"/>
      <c r="I68" s="21"/>
      <c r="J68" s="21"/>
      <c r="K68" s="21"/>
      <c r="L68" s="21"/>
    </row>
    <row r="69" spans="1:12" ht="29" x14ac:dyDescent="0.35">
      <c r="A69" s="21" t="s">
        <v>1046</v>
      </c>
      <c r="B69" s="21" t="s">
        <v>1047</v>
      </c>
      <c r="C69" s="21" t="s">
        <v>1048</v>
      </c>
      <c r="D69" s="21"/>
      <c r="E69" s="21" t="s">
        <v>996</v>
      </c>
      <c r="F69" s="21"/>
      <c r="G69" s="21"/>
      <c r="H69" s="21"/>
      <c r="I69" s="21"/>
      <c r="J69" s="21"/>
      <c r="K69" s="21"/>
      <c r="L69" s="21"/>
    </row>
    <row r="70" spans="1:12" ht="29" x14ac:dyDescent="0.35">
      <c r="A70" s="21" t="s">
        <v>1046</v>
      </c>
      <c r="B70" s="21" t="s">
        <v>1049</v>
      </c>
      <c r="C70" s="21" t="s">
        <v>1050</v>
      </c>
      <c r="D70" s="21"/>
      <c r="E70" s="21" t="s">
        <v>996</v>
      </c>
      <c r="F70" s="21"/>
      <c r="G70" s="21"/>
      <c r="H70" s="21"/>
      <c r="I70" s="21"/>
      <c r="J70" s="21"/>
      <c r="K70" s="21"/>
      <c r="L70" s="21"/>
    </row>
    <row r="71" spans="1:12" ht="29" x14ac:dyDescent="0.35">
      <c r="A71" s="21" t="s">
        <v>1046</v>
      </c>
      <c r="B71" s="21" t="s">
        <v>1051</v>
      </c>
      <c r="C71" s="21" t="s">
        <v>1052</v>
      </c>
      <c r="D71" s="21"/>
      <c r="E71" s="21" t="s">
        <v>996</v>
      </c>
      <c r="F71" s="21"/>
      <c r="G71" s="21"/>
      <c r="H71" s="21"/>
      <c r="I71" s="21"/>
      <c r="J71" s="21"/>
      <c r="K71" s="21"/>
      <c r="L71" s="21"/>
    </row>
    <row r="72" spans="1:12" ht="29" x14ac:dyDescent="0.35">
      <c r="A72" s="21" t="s">
        <v>1046</v>
      </c>
      <c r="B72" s="21" t="s">
        <v>1053</v>
      </c>
      <c r="C72" s="21" t="s">
        <v>1054</v>
      </c>
      <c r="D72" s="21"/>
      <c r="E72" s="21" t="s">
        <v>996</v>
      </c>
      <c r="F72" s="21"/>
      <c r="G72" s="21"/>
      <c r="H72" s="21"/>
      <c r="I72" s="21"/>
      <c r="J72" s="21"/>
      <c r="K72" s="21"/>
      <c r="L72" s="21"/>
    </row>
    <row r="73" spans="1:12" ht="29" x14ac:dyDescent="0.35">
      <c r="A73" s="21" t="s">
        <v>1046</v>
      </c>
      <c r="B73" s="21" t="s">
        <v>1055</v>
      </c>
      <c r="C73" s="21" t="s">
        <v>1056</v>
      </c>
      <c r="D73" s="21"/>
      <c r="E73" s="21" t="s">
        <v>996</v>
      </c>
      <c r="F73" s="21"/>
      <c r="G73" s="21"/>
      <c r="H73" s="21"/>
      <c r="I73" s="21"/>
      <c r="J73" s="21"/>
      <c r="K73" s="21"/>
      <c r="L73" s="21"/>
    </row>
    <row r="74" spans="1:12" ht="29" x14ac:dyDescent="0.35">
      <c r="A74" s="21" t="s">
        <v>1046</v>
      </c>
      <c r="B74" s="21" t="s">
        <v>1057</v>
      </c>
      <c r="C74" s="21" t="s">
        <v>1058</v>
      </c>
      <c r="D74" s="21"/>
      <c r="E74" s="21" t="s">
        <v>996</v>
      </c>
      <c r="F74" s="21"/>
      <c r="G74" s="21"/>
      <c r="H74" s="21"/>
      <c r="I74" s="21"/>
      <c r="J74" s="21"/>
      <c r="K74" s="21"/>
      <c r="L74" s="21"/>
    </row>
    <row r="75" spans="1:12" ht="29" x14ac:dyDescent="0.35">
      <c r="A75" s="21" t="s">
        <v>1059</v>
      </c>
      <c r="B75" s="21" t="s">
        <v>1060</v>
      </c>
      <c r="C75" s="21" t="s">
        <v>1061</v>
      </c>
      <c r="D75" s="21"/>
      <c r="E75" s="21" t="s">
        <v>996</v>
      </c>
      <c r="F75" s="21"/>
      <c r="G75" s="21"/>
      <c r="H75" s="21"/>
      <c r="I75" s="21"/>
      <c r="J75" s="21"/>
      <c r="K75" s="21"/>
      <c r="L75" s="21"/>
    </row>
    <row r="76" spans="1:12" ht="43.5" x14ac:dyDescent="0.35">
      <c r="A76" s="21" t="s">
        <v>1059</v>
      </c>
      <c r="B76" s="21" t="s">
        <v>1062</v>
      </c>
      <c r="C76" s="21" t="s">
        <v>1063</v>
      </c>
      <c r="D76" s="21"/>
      <c r="E76" s="21" t="s">
        <v>996</v>
      </c>
      <c r="F76" s="21"/>
      <c r="G76" s="21"/>
      <c r="H76" s="21"/>
      <c r="I76" s="21"/>
      <c r="J76" s="21"/>
      <c r="K76" s="21"/>
      <c r="L76" s="21"/>
    </row>
    <row r="77" spans="1:12" ht="29" x14ac:dyDescent="0.35">
      <c r="A77" s="21" t="s">
        <v>1059</v>
      </c>
      <c r="B77" s="21" t="s">
        <v>1064</v>
      </c>
      <c r="C77" s="21" t="s">
        <v>1065</v>
      </c>
      <c r="D77" s="21"/>
      <c r="E77" s="21" t="s">
        <v>996</v>
      </c>
      <c r="F77" s="21"/>
      <c r="G77" s="21"/>
      <c r="H77" s="21"/>
      <c r="I77" s="21"/>
      <c r="J77" s="21"/>
      <c r="K77" s="21"/>
      <c r="L77" s="21"/>
    </row>
    <row r="78" spans="1:12" ht="29" x14ac:dyDescent="0.35">
      <c r="A78" s="21" t="s">
        <v>1059</v>
      </c>
      <c r="B78" s="21" t="s">
        <v>1066</v>
      </c>
      <c r="C78" s="21" t="s">
        <v>1067</v>
      </c>
      <c r="D78" s="21"/>
      <c r="E78" s="21" t="s">
        <v>996</v>
      </c>
      <c r="F78" s="21"/>
      <c r="G78" s="21"/>
      <c r="H78" s="21"/>
      <c r="I78" s="21"/>
      <c r="J78" s="21"/>
      <c r="K78" s="21"/>
      <c r="L78" s="21"/>
    </row>
    <row r="79" spans="1:12" ht="29" x14ac:dyDescent="0.35">
      <c r="A79" s="21" t="s">
        <v>1059</v>
      </c>
      <c r="B79" s="21" t="s">
        <v>1068</v>
      </c>
      <c r="C79" s="21" t="s">
        <v>1069</v>
      </c>
      <c r="D79" s="21"/>
      <c r="E79" s="21" t="s">
        <v>996</v>
      </c>
      <c r="F79" s="21"/>
      <c r="G79" s="21"/>
      <c r="H79" s="21"/>
      <c r="I79" s="21"/>
      <c r="J79" s="21"/>
      <c r="K79" s="21"/>
      <c r="L79" s="21"/>
    </row>
    <row r="80" spans="1:12" ht="29" x14ac:dyDescent="0.35">
      <c r="A80" s="21" t="s">
        <v>1059</v>
      </c>
      <c r="B80" s="21" t="s">
        <v>1070</v>
      </c>
      <c r="C80" s="21" t="s">
        <v>1071</v>
      </c>
      <c r="D80" s="21"/>
      <c r="E80" s="21" t="s">
        <v>996</v>
      </c>
      <c r="F80" s="21"/>
      <c r="G80" s="21"/>
      <c r="H80" s="21"/>
      <c r="I80" s="21"/>
      <c r="J80" s="21"/>
      <c r="K80" s="21"/>
      <c r="L80" s="21"/>
    </row>
    <row r="81" spans="1:12" ht="29" x14ac:dyDescent="0.35">
      <c r="A81" s="21" t="s">
        <v>1072</v>
      </c>
      <c r="B81" s="21" t="s">
        <v>1073</v>
      </c>
      <c r="C81" s="21" t="s">
        <v>1074</v>
      </c>
      <c r="D81" s="21"/>
      <c r="E81" s="21" t="s">
        <v>996</v>
      </c>
      <c r="F81" s="21"/>
      <c r="G81" s="21"/>
      <c r="H81" s="21"/>
      <c r="I81" s="21"/>
      <c r="J81" s="21"/>
      <c r="K81" s="21"/>
      <c r="L81" s="21"/>
    </row>
    <row r="82" spans="1:12" ht="29" x14ac:dyDescent="0.35">
      <c r="A82" s="21" t="s">
        <v>1072</v>
      </c>
      <c r="B82" s="21" t="s">
        <v>1075</v>
      </c>
      <c r="C82" s="21" t="s">
        <v>1076</v>
      </c>
      <c r="D82" s="21"/>
      <c r="E82" s="21" t="s">
        <v>996</v>
      </c>
      <c r="F82" s="21"/>
      <c r="G82" s="21"/>
      <c r="H82" s="21"/>
      <c r="I82" s="21"/>
      <c r="J82" s="21"/>
      <c r="K82" s="21"/>
      <c r="L82" s="21"/>
    </row>
    <row r="83" spans="1:12" ht="29" x14ac:dyDescent="0.35">
      <c r="A83" s="21" t="s">
        <v>1072</v>
      </c>
      <c r="B83" s="21" t="s">
        <v>1077</v>
      </c>
      <c r="C83" s="21" t="s">
        <v>1078</v>
      </c>
      <c r="D83" s="21"/>
      <c r="E83" s="21" t="s">
        <v>996</v>
      </c>
      <c r="F83" s="21"/>
      <c r="G83" s="21"/>
      <c r="H83" s="21"/>
      <c r="I83" s="21"/>
      <c r="J83" s="21"/>
      <c r="K83" s="21"/>
      <c r="L83" s="21"/>
    </row>
    <row r="84" spans="1:12" ht="29" x14ac:dyDescent="0.35">
      <c r="A84" s="21" t="s">
        <v>1072</v>
      </c>
      <c r="B84" s="21" t="s">
        <v>1079</v>
      </c>
      <c r="C84" s="21" t="s">
        <v>1080</v>
      </c>
      <c r="D84" s="21"/>
      <c r="E84" s="21" t="s">
        <v>996</v>
      </c>
      <c r="F84" s="21"/>
      <c r="G84" s="21"/>
      <c r="H84" s="21"/>
      <c r="I84" s="21"/>
      <c r="J84" s="21"/>
      <c r="K84" s="21"/>
      <c r="L84" s="21"/>
    </row>
    <row r="85" spans="1:12" ht="29" x14ac:dyDescent="0.35">
      <c r="A85" s="21" t="s">
        <v>1072</v>
      </c>
      <c r="B85" s="21" t="s">
        <v>1081</v>
      </c>
      <c r="C85" s="21" t="s">
        <v>1082</v>
      </c>
      <c r="D85" s="21"/>
      <c r="E85" s="21" t="s">
        <v>996</v>
      </c>
      <c r="F85" s="21"/>
      <c r="G85" s="21"/>
      <c r="H85" s="21"/>
      <c r="I85" s="21"/>
      <c r="J85" s="21"/>
      <c r="K85" s="21"/>
      <c r="L85" s="21"/>
    </row>
    <row r="86" spans="1:12" ht="29" x14ac:dyDescent="0.35">
      <c r="A86" s="21" t="s">
        <v>1072</v>
      </c>
      <c r="B86" s="21" t="s">
        <v>1083</v>
      </c>
      <c r="C86" s="21" t="s">
        <v>1084</v>
      </c>
      <c r="D86" s="21"/>
      <c r="E86" s="21" t="s">
        <v>996</v>
      </c>
      <c r="F86" s="21"/>
      <c r="G86" s="21"/>
      <c r="H86" s="21"/>
      <c r="I86" s="21"/>
      <c r="J86" s="21"/>
      <c r="K86" s="21"/>
      <c r="L86" s="21"/>
    </row>
    <row r="87" spans="1:12" ht="29" x14ac:dyDescent="0.35">
      <c r="A87" s="21" t="s">
        <v>1085</v>
      </c>
      <c r="B87" s="21" t="s">
        <v>1086</v>
      </c>
      <c r="C87" s="21" t="s">
        <v>1087</v>
      </c>
      <c r="D87" s="21"/>
      <c r="E87" s="21" t="s">
        <v>996</v>
      </c>
      <c r="F87" s="21"/>
      <c r="G87" s="21"/>
      <c r="H87" s="21"/>
      <c r="I87" s="21"/>
      <c r="J87" s="21"/>
      <c r="K87" s="21"/>
      <c r="L87" s="21"/>
    </row>
    <row r="88" spans="1:12" ht="29" x14ac:dyDescent="0.35">
      <c r="A88" s="21" t="s">
        <v>1085</v>
      </c>
      <c r="B88" s="21" t="s">
        <v>1088</v>
      </c>
      <c r="C88" s="21" t="s">
        <v>1089</v>
      </c>
      <c r="D88" s="21"/>
      <c r="E88" s="21" t="s">
        <v>996</v>
      </c>
      <c r="F88" s="21"/>
      <c r="G88" s="21"/>
      <c r="H88" s="21"/>
      <c r="I88" s="21"/>
      <c r="J88" s="21"/>
      <c r="K88" s="21"/>
      <c r="L88" s="21"/>
    </row>
    <row r="89" spans="1:12" ht="29" x14ac:dyDescent="0.35">
      <c r="A89" s="21" t="s">
        <v>1085</v>
      </c>
      <c r="B89" s="21" t="s">
        <v>1090</v>
      </c>
      <c r="C89" s="21" t="s">
        <v>1091</v>
      </c>
      <c r="D89" s="21"/>
      <c r="E89" s="21" t="s">
        <v>996</v>
      </c>
      <c r="F89" s="21"/>
      <c r="G89" s="21"/>
      <c r="H89" s="21"/>
      <c r="I89" s="21"/>
      <c r="J89" s="21"/>
      <c r="K89" s="21"/>
      <c r="L89" s="21"/>
    </row>
    <row r="90" spans="1:12" ht="29" x14ac:dyDescent="0.35">
      <c r="A90" s="21" t="s">
        <v>1085</v>
      </c>
      <c r="B90" s="21" t="s">
        <v>1092</v>
      </c>
      <c r="C90" s="21" t="s">
        <v>1093</v>
      </c>
      <c r="D90" s="21"/>
      <c r="E90" s="21" t="s">
        <v>996</v>
      </c>
      <c r="F90" s="21"/>
      <c r="G90" s="21"/>
      <c r="H90" s="21"/>
      <c r="I90" s="21"/>
      <c r="J90" s="21"/>
      <c r="K90" s="21"/>
      <c r="L90" s="21"/>
    </row>
    <row r="91" spans="1:12" ht="29" x14ac:dyDescent="0.35">
      <c r="A91" s="21" t="s">
        <v>1085</v>
      </c>
      <c r="B91" s="21" t="s">
        <v>1094</v>
      </c>
      <c r="C91" s="21" t="s">
        <v>1095</v>
      </c>
      <c r="D91" s="21"/>
      <c r="E91" s="21" t="s">
        <v>996</v>
      </c>
      <c r="F91" s="21"/>
      <c r="G91" s="21"/>
      <c r="H91" s="21"/>
      <c r="I91" s="21"/>
      <c r="J91" s="21"/>
      <c r="K91" s="21"/>
      <c r="L91" s="21"/>
    </row>
    <row r="92" spans="1:12" ht="29" x14ac:dyDescent="0.35">
      <c r="A92" s="21" t="s">
        <v>1085</v>
      </c>
      <c r="B92" s="21" t="s">
        <v>1096</v>
      </c>
      <c r="C92" s="21" t="s">
        <v>1097</v>
      </c>
      <c r="D92" s="21"/>
      <c r="E92" s="21" t="s">
        <v>996</v>
      </c>
      <c r="F92" s="21"/>
      <c r="G92" s="21"/>
      <c r="H92" s="21"/>
      <c r="I92" s="21"/>
      <c r="J92" s="21"/>
      <c r="K92" s="21"/>
      <c r="L92" s="21"/>
    </row>
    <row r="93" spans="1:12" ht="29" x14ac:dyDescent="0.35">
      <c r="A93" s="21" t="s">
        <v>1098</v>
      </c>
      <c r="B93" s="21" t="s">
        <v>1099</v>
      </c>
      <c r="C93" s="21" t="s">
        <v>1100</v>
      </c>
      <c r="D93" s="21"/>
      <c r="E93" s="21" t="s">
        <v>996</v>
      </c>
      <c r="F93" s="21"/>
      <c r="G93" s="21"/>
      <c r="H93" s="21"/>
      <c r="I93" s="21"/>
      <c r="J93" s="21"/>
      <c r="K93" s="21"/>
      <c r="L93" s="21"/>
    </row>
    <row r="94" spans="1:12" ht="29" x14ac:dyDescent="0.35">
      <c r="A94" s="21" t="s">
        <v>1098</v>
      </c>
      <c r="B94" s="21" t="s">
        <v>1101</v>
      </c>
      <c r="C94" s="21" t="s">
        <v>1102</v>
      </c>
      <c r="D94" s="21"/>
      <c r="E94" s="21" t="s">
        <v>996</v>
      </c>
      <c r="F94" s="21"/>
      <c r="G94" s="21"/>
      <c r="H94" s="21"/>
      <c r="I94" s="21"/>
      <c r="J94" s="21"/>
      <c r="K94" s="21"/>
      <c r="L94" s="21"/>
    </row>
    <row r="95" spans="1:12" ht="29" x14ac:dyDescent="0.35">
      <c r="A95" s="21" t="s">
        <v>1098</v>
      </c>
      <c r="B95" s="21" t="s">
        <v>1103</v>
      </c>
      <c r="C95" s="21" t="s">
        <v>1104</v>
      </c>
      <c r="D95" s="21"/>
      <c r="E95" s="21" t="s">
        <v>996</v>
      </c>
      <c r="F95" s="21"/>
      <c r="G95" s="21"/>
      <c r="H95" s="21"/>
      <c r="I95" s="21"/>
      <c r="J95" s="21"/>
      <c r="K95" s="21"/>
      <c r="L95" s="21"/>
    </row>
    <row r="96" spans="1:12" ht="29" x14ac:dyDescent="0.35">
      <c r="A96" s="21" t="s">
        <v>1098</v>
      </c>
      <c r="B96" s="21" t="s">
        <v>1105</v>
      </c>
      <c r="C96" s="21" t="s">
        <v>1106</v>
      </c>
      <c r="D96" s="21"/>
      <c r="E96" s="21" t="s">
        <v>996</v>
      </c>
      <c r="F96" s="21"/>
      <c r="G96" s="21"/>
      <c r="H96" s="21"/>
      <c r="I96" s="21"/>
      <c r="J96" s="21"/>
      <c r="K96" s="21"/>
      <c r="L96" s="21"/>
    </row>
    <row r="97" spans="1:12" ht="29" x14ac:dyDescent="0.35">
      <c r="A97" s="21" t="s">
        <v>1098</v>
      </c>
      <c r="B97" s="21" t="s">
        <v>1107</v>
      </c>
      <c r="C97" s="21" t="s">
        <v>1108</v>
      </c>
      <c r="D97" s="21"/>
      <c r="E97" s="21" t="s">
        <v>996</v>
      </c>
      <c r="F97" s="21"/>
      <c r="G97" s="21"/>
      <c r="H97" s="21"/>
      <c r="I97" s="21"/>
      <c r="J97" s="21"/>
      <c r="K97" s="21"/>
      <c r="L97" s="21"/>
    </row>
    <row r="98" spans="1:12" ht="29" x14ac:dyDescent="0.35">
      <c r="A98" s="21" t="s">
        <v>1098</v>
      </c>
      <c r="B98" s="21" t="s">
        <v>1109</v>
      </c>
      <c r="C98" s="21" t="s">
        <v>1110</v>
      </c>
      <c r="D98" s="21"/>
      <c r="E98" s="21" t="s">
        <v>996</v>
      </c>
      <c r="F98" s="21"/>
      <c r="G98" s="21"/>
      <c r="H98" s="21"/>
      <c r="I98" s="21"/>
      <c r="J98" s="21"/>
      <c r="K98" s="21"/>
      <c r="L98" s="21"/>
    </row>
    <row r="99" spans="1:12" ht="29" x14ac:dyDescent="0.35">
      <c r="A99" s="21" t="s">
        <v>1111</v>
      </c>
      <c r="B99" s="21" t="s">
        <v>1112</v>
      </c>
      <c r="C99" s="21" t="s">
        <v>1113</v>
      </c>
      <c r="D99" s="21"/>
      <c r="E99" s="21" t="s">
        <v>1114</v>
      </c>
      <c r="F99" s="21"/>
      <c r="G99" s="21"/>
      <c r="H99" s="21"/>
      <c r="I99" s="21"/>
      <c r="J99" s="21"/>
      <c r="K99" s="21"/>
      <c r="L99" s="21"/>
    </row>
    <row r="100" spans="1:12" ht="29" x14ac:dyDescent="0.35">
      <c r="A100" s="21" t="s">
        <v>1111</v>
      </c>
      <c r="B100" s="21" t="s">
        <v>1115</v>
      </c>
      <c r="C100" s="21" t="s">
        <v>1116</v>
      </c>
      <c r="D100" s="21"/>
      <c r="E100" s="21" t="s">
        <v>1114</v>
      </c>
      <c r="F100" s="21"/>
      <c r="G100" s="21"/>
      <c r="H100" s="21"/>
      <c r="I100" s="21"/>
      <c r="J100" s="21"/>
      <c r="K100" s="21"/>
      <c r="L100" s="21"/>
    </row>
    <row r="101" spans="1:12" ht="29" x14ac:dyDescent="0.35">
      <c r="A101" s="21" t="s">
        <v>1111</v>
      </c>
      <c r="B101" s="21" t="s">
        <v>1117</v>
      </c>
      <c r="C101" s="21" t="s">
        <v>1118</v>
      </c>
      <c r="D101" s="21"/>
      <c r="E101" s="21" t="s">
        <v>1114</v>
      </c>
      <c r="F101" s="21"/>
      <c r="G101" s="21"/>
      <c r="H101" s="21"/>
      <c r="I101" s="21"/>
      <c r="J101" s="21"/>
      <c r="K101" s="21"/>
      <c r="L101" s="21"/>
    </row>
    <row r="102" spans="1:12" ht="29" x14ac:dyDescent="0.35">
      <c r="A102" s="21" t="s">
        <v>1111</v>
      </c>
      <c r="B102" s="21" t="s">
        <v>1119</v>
      </c>
      <c r="C102" s="21" t="s">
        <v>1120</v>
      </c>
      <c r="D102" s="21"/>
      <c r="E102" s="21" t="s">
        <v>1114</v>
      </c>
      <c r="F102" s="21"/>
      <c r="G102" s="21"/>
      <c r="H102" s="21"/>
      <c r="I102" s="21"/>
      <c r="J102" s="21"/>
      <c r="K102" s="21"/>
      <c r="L102" s="21"/>
    </row>
    <row r="103" spans="1:12" ht="29" x14ac:dyDescent="0.35">
      <c r="A103" s="21" t="s">
        <v>1111</v>
      </c>
      <c r="B103" s="21" t="s">
        <v>1121</v>
      </c>
      <c r="C103" s="21" t="s">
        <v>1122</v>
      </c>
      <c r="D103" s="21"/>
      <c r="E103" s="21" t="s">
        <v>1114</v>
      </c>
      <c r="F103" s="21"/>
      <c r="G103" s="21"/>
      <c r="H103" s="21"/>
      <c r="I103" s="21"/>
      <c r="J103" s="21"/>
      <c r="K103" s="21"/>
      <c r="L103" s="21"/>
    </row>
    <row r="104" spans="1:12" ht="29" x14ac:dyDescent="0.35">
      <c r="A104" s="21" t="s">
        <v>1111</v>
      </c>
      <c r="B104" s="21" t="s">
        <v>1123</v>
      </c>
      <c r="C104" s="21" t="s">
        <v>1124</v>
      </c>
      <c r="D104" s="21"/>
      <c r="E104" s="21" t="s">
        <v>1114</v>
      </c>
      <c r="F104" s="21"/>
      <c r="G104" s="21"/>
      <c r="H104" s="21"/>
      <c r="I104" s="21"/>
      <c r="J104" s="21"/>
      <c r="K104" s="21"/>
      <c r="L104" s="21"/>
    </row>
    <row r="105" spans="1:12" ht="29" x14ac:dyDescent="0.35">
      <c r="A105" s="21" t="s">
        <v>1125</v>
      </c>
      <c r="B105" s="21" t="s">
        <v>1126</v>
      </c>
      <c r="C105" s="21" t="s">
        <v>1127</v>
      </c>
      <c r="D105" s="21"/>
      <c r="E105" s="21" t="s">
        <v>1114</v>
      </c>
      <c r="F105" s="21"/>
      <c r="G105" s="21"/>
      <c r="H105" s="21"/>
      <c r="I105" s="21"/>
      <c r="J105" s="21"/>
      <c r="K105" s="21"/>
      <c r="L105" s="21"/>
    </row>
    <row r="106" spans="1:12" ht="29" x14ac:dyDescent="0.35">
      <c r="A106" s="21" t="s">
        <v>1125</v>
      </c>
      <c r="B106" s="21" t="s">
        <v>1128</v>
      </c>
      <c r="C106" s="21" t="s">
        <v>1129</v>
      </c>
      <c r="D106" s="21"/>
      <c r="E106" s="21" t="s">
        <v>1114</v>
      </c>
      <c r="F106" s="21"/>
      <c r="G106" s="21"/>
      <c r="H106" s="21"/>
      <c r="I106" s="21"/>
      <c r="J106" s="21"/>
      <c r="K106" s="21"/>
      <c r="L106" s="21"/>
    </row>
    <row r="107" spans="1:12" ht="43.5" x14ac:dyDescent="0.35">
      <c r="A107" s="21" t="s">
        <v>1125</v>
      </c>
      <c r="B107" s="21" t="s">
        <v>1130</v>
      </c>
      <c r="C107" s="21" t="s">
        <v>1131</v>
      </c>
      <c r="D107" s="21"/>
      <c r="E107" s="21" t="s">
        <v>1114</v>
      </c>
      <c r="F107" s="21"/>
      <c r="G107" s="21"/>
      <c r="H107" s="21"/>
      <c r="I107" s="21"/>
      <c r="J107" s="21"/>
      <c r="K107" s="21"/>
      <c r="L107" s="21"/>
    </row>
    <row r="108" spans="1:12" ht="29" x14ac:dyDescent="0.35">
      <c r="A108" s="21" t="s">
        <v>1125</v>
      </c>
      <c r="B108" s="21" t="s">
        <v>1132</v>
      </c>
      <c r="C108" s="21" t="s">
        <v>1133</v>
      </c>
      <c r="D108" s="21"/>
      <c r="E108" s="21" t="s">
        <v>1114</v>
      </c>
      <c r="F108" s="21"/>
      <c r="G108" s="21"/>
      <c r="H108" s="21"/>
      <c r="I108" s="21"/>
      <c r="J108" s="21"/>
      <c r="K108" s="21"/>
      <c r="L108" s="21"/>
    </row>
    <row r="109" spans="1:12" ht="29" x14ac:dyDescent="0.35">
      <c r="A109" s="21" t="s">
        <v>1125</v>
      </c>
      <c r="B109" s="21" t="s">
        <v>1134</v>
      </c>
      <c r="C109" s="21" t="s">
        <v>1135</v>
      </c>
      <c r="D109" s="21"/>
      <c r="E109" s="21" t="s">
        <v>1114</v>
      </c>
      <c r="F109" s="21"/>
      <c r="G109" s="21"/>
      <c r="H109" s="21"/>
      <c r="I109" s="21"/>
      <c r="J109" s="21"/>
      <c r="K109" s="21"/>
      <c r="L109" s="21"/>
    </row>
    <row r="110" spans="1:12" ht="29" x14ac:dyDescent="0.35">
      <c r="A110" s="21" t="s">
        <v>1125</v>
      </c>
      <c r="B110" s="21" t="s">
        <v>1136</v>
      </c>
      <c r="C110" s="21" t="s">
        <v>1137</v>
      </c>
      <c r="D110" s="21"/>
      <c r="E110" s="21" t="s">
        <v>1114</v>
      </c>
      <c r="F110" s="21"/>
      <c r="G110" s="21"/>
      <c r="H110" s="21"/>
      <c r="I110" s="21"/>
      <c r="J110" s="21"/>
      <c r="K110" s="21"/>
      <c r="L110" s="21"/>
    </row>
    <row r="111" spans="1:12" ht="29" x14ac:dyDescent="0.35">
      <c r="A111" s="21" t="s">
        <v>1138</v>
      </c>
      <c r="B111" s="21" t="s">
        <v>1139</v>
      </c>
      <c r="C111" s="21" t="s">
        <v>1140</v>
      </c>
      <c r="D111" s="21"/>
      <c r="E111" s="21" t="s">
        <v>996</v>
      </c>
      <c r="F111" s="21"/>
      <c r="G111" s="21"/>
      <c r="H111" s="21"/>
      <c r="I111" s="21"/>
      <c r="J111" s="21"/>
      <c r="K111" s="21"/>
      <c r="L111" s="21"/>
    </row>
    <row r="112" spans="1:12" ht="29" x14ac:dyDescent="0.35">
      <c r="A112" s="21" t="s">
        <v>1138</v>
      </c>
      <c r="B112" s="21" t="s">
        <v>1141</v>
      </c>
      <c r="C112" s="21" t="s">
        <v>1142</v>
      </c>
      <c r="D112" s="21"/>
      <c r="E112" s="21" t="s">
        <v>996</v>
      </c>
      <c r="F112" s="21"/>
      <c r="G112" s="21"/>
      <c r="H112" s="21"/>
      <c r="I112" s="21"/>
      <c r="J112" s="21"/>
      <c r="K112" s="21"/>
      <c r="L112" s="21"/>
    </row>
    <row r="113" spans="1:12" ht="29" x14ac:dyDescent="0.35">
      <c r="A113" s="21" t="s">
        <v>1138</v>
      </c>
      <c r="B113" s="21" t="s">
        <v>1143</v>
      </c>
      <c r="C113" s="21" t="s">
        <v>1144</v>
      </c>
      <c r="D113" s="21"/>
      <c r="E113" s="21" t="s">
        <v>996</v>
      </c>
      <c r="F113" s="21"/>
      <c r="G113" s="21"/>
      <c r="H113" s="21"/>
      <c r="I113" s="21"/>
      <c r="J113" s="21"/>
      <c r="K113" s="21"/>
      <c r="L113" s="21"/>
    </row>
    <row r="114" spans="1:12" ht="29" x14ac:dyDescent="0.35">
      <c r="A114" s="21" t="s">
        <v>1138</v>
      </c>
      <c r="B114" s="21" t="s">
        <v>1145</v>
      </c>
      <c r="C114" s="21" t="s">
        <v>1146</v>
      </c>
      <c r="D114" s="21"/>
      <c r="E114" s="21" t="s">
        <v>996</v>
      </c>
      <c r="F114" s="21"/>
      <c r="G114" s="21"/>
      <c r="H114" s="21"/>
      <c r="I114" s="21"/>
      <c r="J114" s="21"/>
      <c r="K114" s="21"/>
      <c r="L114" s="21"/>
    </row>
    <row r="115" spans="1:12" ht="29" x14ac:dyDescent="0.35">
      <c r="A115" s="21" t="s">
        <v>1138</v>
      </c>
      <c r="B115" s="21" t="s">
        <v>1147</v>
      </c>
      <c r="C115" s="21" t="s">
        <v>1148</v>
      </c>
      <c r="D115" s="21"/>
      <c r="E115" s="21" t="s">
        <v>996</v>
      </c>
      <c r="F115" s="21"/>
      <c r="G115" s="21"/>
      <c r="H115" s="21"/>
      <c r="I115" s="21"/>
      <c r="J115" s="21"/>
      <c r="K115" s="21"/>
      <c r="L115" s="21"/>
    </row>
    <row r="116" spans="1:12" ht="29" x14ac:dyDescent="0.35">
      <c r="A116" s="21" t="s">
        <v>1138</v>
      </c>
      <c r="B116" s="21" t="s">
        <v>1149</v>
      </c>
      <c r="C116" s="21" t="s">
        <v>1150</v>
      </c>
      <c r="D116" s="21"/>
      <c r="E116" s="21" t="s">
        <v>996</v>
      </c>
      <c r="F116" s="21"/>
      <c r="G116" s="21"/>
      <c r="H116" s="21"/>
      <c r="I116" s="21"/>
      <c r="J116" s="21"/>
      <c r="K116" s="21"/>
      <c r="L116" s="21"/>
    </row>
    <row r="117" spans="1:12" ht="29" x14ac:dyDescent="0.35">
      <c r="A117" s="21" t="s">
        <v>1151</v>
      </c>
      <c r="B117" s="21" t="s">
        <v>1152</v>
      </c>
      <c r="C117" s="21" t="s">
        <v>1153</v>
      </c>
      <c r="D117" s="21"/>
      <c r="E117" s="21" t="s">
        <v>996</v>
      </c>
      <c r="F117" s="21"/>
      <c r="G117" s="21"/>
      <c r="H117" s="21"/>
      <c r="I117" s="21"/>
      <c r="J117" s="21"/>
      <c r="K117" s="21"/>
      <c r="L117" s="21"/>
    </row>
    <row r="118" spans="1:12" ht="29" x14ac:dyDescent="0.35">
      <c r="A118" s="21" t="s">
        <v>1151</v>
      </c>
      <c r="B118" s="21" t="s">
        <v>1154</v>
      </c>
      <c r="C118" s="21" t="s">
        <v>1155</v>
      </c>
      <c r="D118" s="21"/>
      <c r="E118" s="21" t="s">
        <v>996</v>
      </c>
      <c r="F118" s="21"/>
      <c r="G118" s="21"/>
      <c r="H118" s="21"/>
      <c r="I118" s="21"/>
      <c r="J118" s="21"/>
      <c r="K118" s="21"/>
      <c r="L118" s="21"/>
    </row>
    <row r="119" spans="1:12" ht="29" x14ac:dyDescent="0.35">
      <c r="A119" s="21" t="s">
        <v>1151</v>
      </c>
      <c r="B119" s="21" t="s">
        <v>1156</v>
      </c>
      <c r="C119" s="21" t="s">
        <v>1157</v>
      </c>
      <c r="D119" s="21"/>
      <c r="E119" s="21" t="s">
        <v>996</v>
      </c>
      <c r="F119" s="21"/>
      <c r="G119" s="21"/>
      <c r="H119" s="21"/>
      <c r="I119" s="21"/>
      <c r="J119" s="21"/>
      <c r="K119" s="21"/>
      <c r="L119" s="21"/>
    </row>
    <row r="120" spans="1:12" ht="29" x14ac:dyDescent="0.35">
      <c r="A120" s="21" t="s">
        <v>1151</v>
      </c>
      <c r="B120" s="21" t="s">
        <v>1158</v>
      </c>
      <c r="C120" s="21" t="s">
        <v>1159</v>
      </c>
      <c r="D120" s="21"/>
      <c r="E120" s="21" t="s">
        <v>996</v>
      </c>
      <c r="F120" s="21"/>
      <c r="G120" s="21"/>
      <c r="H120" s="21"/>
      <c r="I120" s="21"/>
      <c r="J120" s="21"/>
      <c r="K120" s="21"/>
      <c r="L120" s="21"/>
    </row>
    <row r="121" spans="1:12" ht="29" x14ac:dyDescent="0.35">
      <c r="A121" s="21" t="s">
        <v>1151</v>
      </c>
      <c r="B121" s="21" t="s">
        <v>1160</v>
      </c>
      <c r="C121" s="21" t="s">
        <v>1161</v>
      </c>
      <c r="D121" s="21"/>
      <c r="E121" s="21" t="s">
        <v>996</v>
      </c>
      <c r="F121" s="21"/>
      <c r="G121" s="21"/>
      <c r="H121" s="21"/>
      <c r="I121" s="21"/>
      <c r="J121" s="21"/>
      <c r="K121" s="21"/>
      <c r="L121" s="21"/>
    </row>
    <row r="122" spans="1:12" ht="29" x14ac:dyDescent="0.35">
      <c r="A122" s="21" t="s">
        <v>1151</v>
      </c>
      <c r="B122" s="21" t="s">
        <v>1162</v>
      </c>
      <c r="C122" s="21" t="s">
        <v>1163</v>
      </c>
      <c r="D122" s="21"/>
      <c r="E122" s="21" t="s">
        <v>996</v>
      </c>
      <c r="F122" s="21"/>
      <c r="G122" s="21"/>
      <c r="H122" s="21"/>
      <c r="I122" s="21"/>
      <c r="J122" s="21"/>
      <c r="K122" s="21"/>
      <c r="L122" s="21"/>
    </row>
    <row r="123" spans="1:12" ht="29" x14ac:dyDescent="0.35">
      <c r="A123" s="21" t="s">
        <v>432</v>
      </c>
      <c r="B123" s="21" t="s">
        <v>1164</v>
      </c>
      <c r="C123" s="21" t="s">
        <v>1165</v>
      </c>
      <c r="D123" s="21"/>
      <c r="E123" s="21" t="s">
        <v>1114</v>
      </c>
      <c r="F123" s="21"/>
      <c r="G123" s="21"/>
      <c r="H123" s="21"/>
      <c r="I123" s="21"/>
      <c r="J123" s="21"/>
      <c r="K123" s="21"/>
      <c r="L123" s="21"/>
    </row>
    <row r="124" spans="1:12" ht="29" x14ac:dyDescent="0.35">
      <c r="A124" s="21" t="s">
        <v>432</v>
      </c>
      <c r="B124" s="21" t="s">
        <v>1166</v>
      </c>
      <c r="C124" s="21" t="s">
        <v>1167</v>
      </c>
      <c r="D124" s="21"/>
      <c r="E124" s="21" t="s">
        <v>1114</v>
      </c>
      <c r="F124" s="21"/>
      <c r="G124" s="21"/>
      <c r="H124" s="21"/>
      <c r="I124" s="21"/>
      <c r="J124" s="21"/>
      <c r="K124" s="21"/>
      <c r="L124" s="21"/>
    </row>
    <row r="125" spans="1:12" ht="29" x14ac:dyDescent="0.35">
      <c r="A125" s="21" t="s">
        <v>432</v>
      </c>
      <c r="B125" s="21" t="s">
        <v>1168</v>
      </c>
      <c r="C125" s="21" t="s">
        <v>1169</v>
      </c>
      <c r="D125" s="21"/>
      <c r="E125" s="21" t="s">
        <v>1114</v>
      </c>
      <c r="F125" s="21"/>
      <c r="G125" s="21"/>
      <c r="H125" s="21"/>
      <c r="I125" s="21"/>
      <c r="J125" s="21"/>
      <c r="K125" s="21"/>
      <c r="L125" s="21"/>
    </row>
    <row r="126" spans="1:12" ht="29" x14ac:dyDescent="0.35">
      <c r="A126" s="21" t="s">
        <v>432</v>
      </c>
      <c r="B126" s="21" t="s">
        <v>1170</v>
      </c>
      <c r="C126" s="21" t="s">
        <v>1171</v>
      </c>
      <c r="D126" s="21"/>
      <c r="E126" s="21" t="s">
        <v>1114</v>
      </c>
      <c r="F126" s="21"/>
      <c r="G126" s="21"/>
      <c r="H126" s="21"/>
      <c r="I126" s="21"/>
      <c r="J126" s="21"/>
      <c r="K126" s="21"/>
      <c r="L126" s="21"/>
    </row>
    <row r="127" spans="1:12" ht="29" x14ac:dyDescent="0.35">
      <c r="A127" s="21" t="s">
        <v>432</v>
      </c>
      <c r="B127" s="21" t="s">
        <v>1172</v>
      </c>
      <c r="C127" s="21" t="s">
        <v>1173</v>
      </c>
      <c r="D127" s="21"/>
      <c r="E127" s="21" t="s">
        <v>1114</v>
      </c>
      <c r="F127" s="21"/>
      <c r="G127" s="21"/>
      <c r="H127" s="21"/>
      <c r="I127" s="21"/>
      <c r="J127" s="21"/>
      <c r="K127" s="21"/>
      <c r="L127" s="21"/>
    </row>
    <row r="128" spans="1:12" ht="29" x14ac:dyDescent="0.35">
      <c r="A128" s="21" t="s">
        <v>432</v>
      </c>
      <c r="B128" s="21" t="s">
        <v>1174</v>
      </c>
      <c r="C128" s="21" t="s">
        <v>1175</v>
      </c>
      <c r="D128" s="21"/>
      <c r="E128" s="21" t="s">
        <v>1114</v>
      </c>
      <c r="F128" s="21"/>
      <c r="G128" s="21"/>
      <c r="H128" s="21"/>
      <c r="I128" s="21"/>
      <c r="J128" s="21"/>
      <c r="K128" s="21"/>
      <c r="L128" s="21"/>
    </row>
    <row r="129" spans="1:12" ht="29" x14ac:dyDescent="0.35">
      <c r="A129" s="21" t="s">
        <v>1176</v>
      </c>
      <c r="B129" s="21" t="s">
        <v>1177</v>
      </c>
      <c r="C129" s="21" t="s">
        <v>1178</v>
      </c>
      <c r="D129" s="21"/>
      <c r="E129" s="21" t="s">
        <v>996</v>
      </c>
      <c r="F129" s="21"/>
      <c r="G129" s="21"/>
      <c r="H129" s="21"/>
      <c r="I129" s="21"/>
      <c r="J129" s="21"/>
      <c r="K129" s="21"/>
      <c r="L129" s="21"/>
    </row>
    <row r="130" spans="1:12" ht="29" x14ac:dyDescent="0.35">
      <c r="A130" s="21" t="s">
        <v>1176</v>
      </c>
      <c r="B130" s="21" t="s">
        <v>1179</v>
      </c>
      <c r="C130" s="21" t="s">
        <v>1180</v>
      </c>
      <c r="D130" s="21"/>
      <c r="E130" s="21" t="s">
        <v>996</v>
      </c>
      <c r="F130" s="21"/>
      <c r="G130" s="21"/>
      <c r="H130" s="21"/>
      <c r="I130" s="21"/>
      <c r="J130" s="21"/>
      <c r="K130" s="21"/>
      <c r="L130" s="21"/>
    </row>
    <row r="131" spans="1:12" ht="29" x14ac:dyDescent="0.35">
      <c r="A131" s="21" t="s">
        <v>1176</v>
      </c>
      <c r="B131" s="21" t="s">
        <v>1181</v>
      </c>
      <c r="C131" s="21" t="s">
        <v>1182</v>
      </c>
      <c r="D131" s="21"/>
      <c r="E131" s="21" t="s">
        <v>996</v>
      </c>
      <c r="F131" s="21"/>
      <c r="G131" s="21"/>
      <c r="H131" s="21"/>
      <c r="I131" s="21"/>
      <c r="J131" s="21"/>
      <c r="K131" s="21"/>
      <c r="L131" s="21"/>
    </row>
    <row r="132" spans="1:12" ht="29" x14ac:dyDescent="0.35">
      <c r="A132" s="21" t="s">
        <v>1176</v>
      </c>
      <c r="B132" s="21" t="s">
        <v>1183</v>
      </c>
      <c r="C132" s="21" t="s">
        <v>1184</v>
      </c>
      <c r="D132" s="21"/>
      <c r="E132" s="21" t="s">
        <v>996</v>
      </c>
      <c r="F132" s="21"/>
      <c r="G132" s="21"/>
      <c r="H132" s="21"/>
      <c r="I132" s="21"/>
      <c r="J132" s="21"/>
      <c r="K132" s="21"/>
      <c r="L132" s="21"/>
    </row>
    <row r="133" spans="1:12" ht="29" x14ac:dyDescent="0.35">
      <c r="A133" s="21" t="s">
        <v>1176</v>
      </c>
      <c r="B133" s="21" t="s">
        <v>1185</v>
      </c>
      <c r="C133" s="21" t="s">
        <v>1186</v>
      </c>
      <c r="D133" s="21"/>
      <c r="E133" s="21" t="s">
        <v>996</v>
      </c>
      <c r="F133" s="21"/>
      <c r="G133" s="21"/>
      <c r="H133" s="21"/>
      <c r="I133" s="21"/>
      <c r="J133" s="21"/>
      <c r="K133" s="21"/>
      <c r="L133" s="21"/>
    </row>
    <row r="134" spans="1:12" ht="29" x14ac:dyDescent="0.35">
      <c r="A134" s="21" t="s">
        <v>1176</v>
      </c>
      <c r="B134" s="21" t="s">
        <v>1187</v>
      </c>
      <c r="C134" s="21" t="s">
        <v>1188</v>
      </c>
      <c r="D134" s="21"/>
      <c r="E134" s="21" t="s">
        <v>996</v>
      </c>
      <c r="F134" s="21"/>
      <c r="G134" s="21"/>
      <c r="H134" s="21"/>
      <c r="I134" s="21"/>
      <c r="J134" s="21"/>
      <c r="K134" s="21"/>
      <c r="L134" s="21"/>
    </row>
    <row r="135" spans="1:12" ht="29" x14ac:dyDescent="0.35">
      <c r="A135" s="21" t="s">
        <v>1189</v>
      </c>
      <c r="B135" s="21" t="s">
        <v>1190</v>
      </c>
      <c r="C135" s="21" t="s">
        <v>1191</v>
      </c>
      <c r="D135" s="21"/>
      <c r="E135" s="21" t="s">
        <v>996</v>
      </c>
      <c r="F135" s="21"/>
      <c r="G135" s="21"/>
      <c r="H135" s="21"/>
      <c r="I135" s="21"/>
      <c r="J135" s="21"/>
      <c r="K135" s="21"/>
      <c r="L135" s="21"/>
    </row>
    <row r="136" spans="1:12" ht="29" x14ac:dyDescent="0.35">
      <c r="A136" s="21" t="s">
        <v>1189</v>
      </c>
      <c r="B136" s="21" t="s">
        <v>1192</v>
      </c>
      <c r="C136" s="21" t="s">
        <v>1193</v>
      </c>
      <c r="D136" s="21"/>
      <c r="E136" s="21" t="s">
        <v>996</v>
      </c>
      <c r="F136" s="21"/>
      <c r="G136" s="21"/>
      <c r="H136" s="21"/>
      <c r="I136" s="21"/>
      <c r="J136" s="21"/>
      <c r="K136" s="21"/>
      <c r="L136" s="21"/>
    </row>
    <row r="137" spans="1:12" ht="29" x14ac:dyDescent="0.35">
      <c r="A137" s="21" t="s">
        <v>1189</v>
      </c>
      <c r="B137" s="21" t="s">
        <v>1194</v>
      </c>
      <c r="C137" s="21" t="s">
        <v>1195</v>
      </c>
      <c r="D137" s="21"/>
      <c r="E137" s="21" t="s">
        <v>996</v>
      </c>
      <c r="F137" s="21"/>
      <c r="G137" s="21"/>
      <c r="H137" s="21"/>
      <c r="I137" s="21"/>
      <c r="J137" s="21"/>
      <c r="K137" s="21"/>
      <c r="L137" s="21"/>
    </row>
    <row r="138" spans="1:12" ht="29" x14ac:dyDescent="0.35">
      <c r="A138" s="21" t="s">
        <v>1189</v>
      </c>
      <c r="B138" s="21" t="s">
        <v>1196</v>
      </c>
      <c r="C138" s="21" t="s">
        <v>1197</v>
      </c>
      <c r="D138" s="21"/>
      <c r="E138" s="21" t="s">
        <v>996</v>
      </c>
      <c r="F138" s="21"/>
      <c r="G138" s="21"/>
      <c r="H138" s="21"/>
      <c r="I138" s="21"/>
      <c r="J138" s="21"/>
      <c r="K138" s="21"/>
      <c r="L138" s="21"/>
    </row>
    <row r="139" spans="1:12" ht="29" x14ac:dyDescent="0.35">
      <c r="A139" s="21" t="s">
        <v>1189</v>
      </c>
      <c r="B139" s="21" t="s">
        <v>1198</v>
      </c>
      <c r="C139" s="21" t="s">
        <v>1199</v>
      </c>
      <c r="D139" s="21"/>
      <c r="E139" s="21" t="s">
        <v>996</v>
      </c>
      <c r="F139" s="21"/>
      <c r="G139" s="21"/>
      <c r="H139" s="21"/>
      <c r="I139" s="21"/>
      <c r="J139" s="21"/>
      <c r="K139" s="21"/>
      <c r="L139" s="21"/>
    </row>
    <row r="140" spans="1:12" ht="29" x14ac:dyDescent="0.35">
      <c r="A140" s="21" t="s">
        <v>1189</v>
      </c>
      <c r="B140" s="21" t="s">
        <v>1200</v>
      </c>
      <c r="C140" s="21" t="s">
        <v>1201</v>
      </c>
      <c r="D140" s="21"/>
      <c r="E140" s="21" t="s">
        <v>996</v>
      </c>
      <c r="F140" s="21"/>
      <c r="G140" s="21"/>
      <c r="H140" s="21"/>
      <c r="I140" s="21"/>
      <c r="J140" s="21"/>
      <c r="K140" s="21"/>
      <c r="L140" s="21"/>
    </row>
    <row r="141" spans="1:12" ht="29" x14ac:dyDescent="0.35">
      <c r="A141" s="21" t="s">
        <v>1202</v>
      </c>
      <c r="B141" s="21" t="s">
        <v>1203</v>
      </c>
      <c r="C141" s="21" t="s">
        <v>1204</v>
      </c>
      <c r="D141" s="21"/>
      <c r="E141" s="21" t="s">
        <v>996</v>
      </c>
      <c r="F141" s="21"/>
      <c r="G141" s="21"/>
      <c r="H141" s="21"/>
      <c r="I141" s="21"/>
      <c r="J141" s="21"/>
      <c r="K141" s="21"/>
      <c r="L141" s="21"/>
    </row>
    <row r="142" spans="1:12" ht="29" x14ac:dyDescent="0.35">
      <c r="A142" s="21" t="s">
        <v>1202</v>
      </c>
      <c r="B142" s="21" t="s">
        <v>1205</v>
      </c>
      <c r="C142" s="21" t="s">
        <v>1206</v>
      </c>
      <c r="D142" s="21"/>
      <c r="E142" s="21" t="s">
        <v>996</v>
      </c>
      <c r="F142" s="21"/>
      <c r="G142" s="21"/>
      <c r="H142" s="21"/>
      <c r="I142" s="21"/>
      <c r="J142" s="21"/>
      <c r="K142" s="21"/>
      <c r="L142" s="21"/>
    </row>
    <row r="143" spans="1:12" ht="29" x14ac:dyDescent="0.35">
      <c r="A143" s="21" t="s">
        <v>1202</v>
      </c>
      <c r="B143" s="21" t="s">
        <v>1207</v>
      </c>
      <c r="C143" s="21" t="s">
        <v>1208</v>
      </c>
      <c r="D143" s="21"/>
      <c r="E143" s="21" t="s">
        <v>996</v>
      </c>
      <c r="F143" s="21"/>
      <c r="G143" s="21"/>
      <c r="H143" s="21"/>
      <c r="I143" s="21"/>
      <c r="J143" s="21"/>
      <c r="K143" s="21"/>
      <c r="L143" s="21"/>
    </row>
    <row r="144" spans="1:12" ht="29" x14ac:dyDescent="0.35">
      <c r="A144" s="21" t="s">
        <v>1202</v>
      </c>
      <c r="B144" s="21" t="s">
        <v>1209</v>
      </c>
      <c r="C144" s="21" t="s">
        <v>1210</v>
      </c>
      <c r="D144" s="21"/>
      <c r="E144" s="21" t="s">
        <v>996</v>
      </c>
      <c r="F144" s="21"/>
      <c r="G144" s="21"/>
      <c r="H144" s="21"/>
      <c r="I144" s="21"/>
      <c r="J144" s="21"/>
      <c r="K144" s="21"/>
      <c r="L144" s="21"/>
    </row>
    <row r="145" spans="1:12" ht="29" x14ac:dyDescent="0.35">
      <c r="A145" s="21" t="s">
        <v>1202</v>
      </c>
      <c r="B145" s="21" t="s">
        <v>1211</v>
      </c>
      <c r="C145" s="21" t="s">
        <v>1212</v>
      </c>
      <c r="D145" s="21"/>
      <c r="E145" s="21" t="s">
        <v>996</v>
      </c>
      <c r="F145" s="21"/>
      <c r="G145" s="21"/>
      <c r="H145" s="21"/>
      <c r="I145" s="21"/>
      <c r="J145" s="21"/>
      <c r="K145" s="21"/>
      <c r="L145" s="21"/>
    </row>
    <row r="146" spans="1:12" ht="29" x14ac:dyDescent="0.35">
      <c r="A146" s="21" t="s">
        <v>1202</v>
      </c>
      <c r="B146" s="21" t="s">
        <v>1213</v>
      </c>
      <c r="C146" s="21" t="s">
        <v>1214</v>
      </c>
      <c r="D146" s="21"/>
      <c r="E146" s="21" t="s">
        <v>996</v>
      </c>
      <c r="F146" s="21"/>
      <c r="G146" s="21"/>
      <c r="H146" s="21"/>
      <c r="I146" s="21"/>
      <c r="J146" s="21"/>
      <c r="K146" s="21"/>
      <c r="L146" s="21"/>
    </row>
    <row r="147" spans="1:12" ht="29" x14ac:dyDescent="0.35">
      <c r="A147" s="21" t="s">
        <v>1215</v>
      </c>
      <c r="B147" s="21" t="s">
        <v>1216</v>
      </c>
      <c r="C147" s="21" t="s">
        <v>1217</v>
      </c>
      <c r="D147" s="21"/>
      <c r="E147" s="21" t="s">
        <v>996</v>
      </c>
      <c r="F147" s="21"/>
      <c r="G147" s="21"/>
      <c r="H147" s="21"/>
      <c r="I147" s="21"/>
      <c r="J147" s="21"/>
      <c r="K147" s="21"/>
      <c r="L147" s="21"/>
    </row>
    <row r="148" spans="1:12" ht="29" x14ac:dyDescent="0.35">
      <c r="A148" s="21" t="s">
        <v>1215</v>
      </c>
      <c r="B148" s="21" t="s">
        <v>1218</v>
      </c>
      <c r="C148" s="21" t="s">
        <v>1219</v>
      </c>
      <c r="D148" s="21"/>
      <c r="E148" s="21" t="s">
        <v>996</v>
      </c>
      <c r="F148" s="21"/>
      <c r="G148" s="21"/>
      <c r="H148" s="21"/>
      <c r="I148" s="21"/>
      <c r="J148" s="21"/>
      <c r="K148" s="21"/>
      <c r="L148" s="21"/>
    </row>
    <row r="149" spans="1:12" ht="29" x14ac:dyDescent="0.35">
      <c r="A149" s="21" t="s">
        <v>1215</v>
      </c>
      <c r="B149" s="21" t="s">
        <v>1220</v>
      </c>
      <c r="C149" s="21" t="s">
        <v>1221</v>
      </c>
      <c r="D149" s="21"/>
      <c r="E149" s="21" t="s">
        <v>996</v>
      </c>
      <c r="F149" s="21"/>
      <c r="G149" s="21"/>
      <c r="H149" s="21"/>
      <c r="I149" s="21"/>
      <c r="J149" s="21"/>
      <c r="K149" s="21"/>
      <c r="L149" s="21"/>
    </row>
    <row r="150" spans="1:12" ht="29" x14ac:dyDescent="0.35">
      <c r="A150" s="21" t="s">
        <v>1215</v>
      </c>
      <c r="B150" s="21" t="s">
        <v>1222</v>
      </c>
      <c r="C150" s="21" t="s">
        <v>1223</v>
      </c>
      <c r="D150" s="21"/>
      <c r="E150" s="21" t="s">
        <v>996</v>
      </c>
      <c r="F150" s="21"/>
      <c r="G150" s="21"/>
      <c r="H150" s="21"/>
      <c r="I150" s="21"/>
      <c r="J150" s="21"/>
      <c r="K150" s="21"/>
      <c r="L150" s="21"/>
    </row>
    <row r="151" spans="1:12" ht="24" customHeight="1" x14ac:dyDescent="0.35">
      <c r="A151" s="133" t="s">
        <v>1215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</row>
    <row r="152" spans="1:12" x14ac:dyDescent="0.35">
      <c r="A152" s="21" t="s">
        <v>1215</v>
      </c>
      <c r="B152" s="21" t="s">
        <v>1224</v>
      </c>
      <c r="C152" s="21" t="s">
        <v>1225</v>
      </c>
      <c r="D152" s="21"/>
      <c r="E152" s="21" t="s">
        <v>996</v>
      </c>
      <c r="F152" s="21"/>
      <c r="G152" s="21"/>
      <c r="H152" s="21"/>
      <c r="I152" s="21"/>
      <c r="J152" s="21"/>
      <c r="K152" s="21"/>
      <c r="L152" s="21"/>
    </row>
    <row r="158" spans="1:12" x14ac:dyDescent="0.35">
      <c r="A158" s="98" t="s">
        <v>1226</v>
      </c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</row>
    <row r="160" spans="1:12" ht="29" x14ac:dyDescent="0.35">
      <c r="A160" s="100" t="s">
        <v>1227</v>
      </c>
      <c r="B160" s="100" t="s">
        <v>1228</v>
      </c>
      <c r="C160" s="100" t="s">
        <v>1229</v>
      </c>
      <c r="D160" s="100" t="s">
        <v>389</v>
      </c>
      <c r="E160" s="100" t="s">
        <v>870</v>
      </c>
      <c r="F160" s="100" t="s">
        <v>390</v>
      </c>
      <c r="G160" s="100" t="s">
        <v>990</v>
      </c>
      <c r="H160" s="100" t="s">
        <v>1230</v>
      </c>
      <c r="I160" s="100"/>
      <c r="J160" s="100"/>
      <c r="K160" s="100"/>
      <c r="L160" s="100"/>
    </row>
    <row r="161" spans="1:8" x14ac:dyDescent="0.35">
      <c r="A161" s="21" t="s">
        <v>1231</v>
      </c>
      <c r="B161" s="21"/>
      <c r="C161" s="21"/>
      <c r="D161" s="21"/>
      <c r="E161" s="21"/>
      <c r="F161" s="21"/>
      <c r="G161" s="21"/>
      <c r="H161" s="21"/>
    </row>
    <row r="162" spans="1:8" x14ac:dyDescent="0.35">
      <c r="A162" s="21" t="s">
        <v>1232</v>
      </c>
      <c r="B162" s="21"/>
      <c r="C162" s="21"/>
      <c r="D162" s="21"/>
      <c r="E162" s="21"/>
      <c r="F162" s="21"/>
      <c r="G162" s="21"/>
      <c r="H162" s="21"/>
    </row>
    <row r="163" spans="1:8" x14ac:dyDescent="0.35">
      <c r="A163" s="21" t="s">
        <v>509</v>
      </c>
      <c r="B163" s="21"/>
      <c r="C163" s="21"/>
      <c r="D163" s="21"/>
      <c r="E163" s="21"/>
      <c r="F163" s="21"/>
      <c r="G163" s="21"/>
      <c r="H163" s="21"/>
    </row>
    <row r="164" spans="1:8" x14ac:dyDescent="0.35">
      <c r="A164" s="21" t="s">
        <v>1233</v>
      </c>
      <c r="B164" s="21"/>
      <c r="C164" s="21"/>
      <c r="D164" s="21"/>
      <c r="E164" s="21"/>
      <c r="F164" s="21"/>
      <c r="G164" s="21"/>
      <c r="H164" s="21"/>
    </row>
    <row r="165" spans="1:8" x14ac:dyDescent="0.35">
      <c r="A165" s="21" t="s">
        <v>1234</v>
      </c>
      <c r="B165" s="21"/>
      <c r="C165" s="21"/>
      <c r="D165" s="21"/>
      <c r="E165" s="21"/>
      <c r="F165" s="21"/>
      <c r="G165" s="21"/>
      <c r="H165" s="21"/>
    </row>
    <row r="166" spans="1:8" x14ac:dyDescent="0.35">
      <c r="A166" s="21" t="s">
        <v>1235</v>
      </c>
      <c r="B166" s="21"/>
      <c r="C166" s="21"/>
      <c r="D166" s="21"/>
      <c r="E166" s="21"/>
      <c r="F166" s="21"/>
      <c r="G166" s="21"/>
      <c r="H166" s="21"/>
    </row>
    <row r="167" spans="1:8" x14ac:dyDescent="0.35">
      <c r="A167" s="21" t="s">
        <v>1236</v>
      </c>
      <c r="B167" s="21"/>
      <c r="C167" s="21"/>
      <c r="D167" s="21"/>
      <c r="E167" s="21"/>
      <c r="F167" s="21"/>
      <c r="G167" s="21"/>
      <c r="H167" s="21"/>
    </row>
    <row r="168" spans="1:8" x14ac:dyDescent="0.35">
      <c r="A168" s="21" t="s">
        <v>1237</v>
      </c>
      <c r="B168" s="21"/>
      <c r="C168" s="21"/>
      <c r="D168" s="21"/>
      <c r="E168" s="21"/>
      <c r="F168" s="21"/>
      <c r="G168" s="21"/>
      <c r="H168" s="21"/>
    </row>
    <row r="169" spans="1:8" x14ac:dyDescent="0.35">
      <c r="A169" s="21" t="s">
        <v>1238</v>
      </c>
      <c r="B169" s="21"/>
      <c r="C169" s="21"/>
      <c r="D169" s="21"/>
      <c r="E169" s="21"/>
      <c r="F169" s="21"/>
      <c r="G169" s="21"/>
      <c r="H169" s="21"/>
    </row>
    <row r="170" spans="1:8" x14ac:dyDescent="0.35">
      <c r="A170" s="21" t="s">
        <v>1239</v>
      </c>
      <c r="B170" s="21"/>
      <c r="C170" s="21"/>
      <c r="D170" s="21"/>
      <c r="E170" s="21"/>
      <c r="F170" s="21"/>
      <c r="G170" s="21"/>
      <c r="H170" s="21"/>
    </row>
    <row r="171" spans="1:8" x14ac:dyDescent="0.35">
      <c r="A171" s="21" t="s">
        <v>1240</v>
      </c>
      <c r="B171" s="21"/>
      <c r="C171" s="21"/>
      <c r="D171" s="21"/>
      <c r="E171" s="21"/>
      <c r="F171" s="21"/>
      <c r="G171" s="21"/>
      <c r="H171" s="21"/>
    </row>
    <row r="172" spans="1:8" x14ac:dyDescent="0.35">
      <c r="A172" s="21" t="s">
        <v>1241</v>
      </c>
      <c r="B172" s="21"/>
      <c r="C172" s="21"/>
      <c r="D172" s="21"/>
      <c r="E172" s="21"/>
      <c r="F172" s="21"/>
      <c r="G172" s="21"/>
      <c r="H172" s="21"/>
    </row>
    <row r="173" spans="1:8" x14ac:dyDescent="0.35">
      <c r="A173" s="21" t="s">
        <v>1242</v>
      </c>
      <c r="B173" s="21"/>
      <c r="C173" s="21"/>
      <c r="D173" s="21"/>
      <c r="E173" s="21"/>
      <c r="F173" s="21"/>
      <c r="G173" s="21"/>
      <c r="H173" s="21"/>
    </row>
    <row r="174" spans="1:8" x14ac:dyDescent="0.35">
      <c r="A174" s="21" t="s">
        <v>1243</v>
      </c>
      <c r="B174" s="21"/>
      <c r="C174" s="21"/>
      <c r="D174" s="21"/>
      <c r="E174" s="21"/>
      <c r="F174" s="21"/>
      <c r="G174" s="21"/>
      <c r="H174" s="21"/>
    </row>
    <row r="175" spans="1:8" x14ac:dyDescent="0.35">
      <c r="A175" s="21" t="s">
        <v>1244</v>
      </c>
      <c r="B175" s="21"/>
      <c r="C175" s="21"/>
      <c r="D175" s="21"/>
      <c r="E175" s="21"/>
      <c r="F175" s="21"/>
      <c r="G175" s="21"/>
      <c r="H175" s="21"/>
    </row>
    <row r="176" spans="1:8" x14ac:dyDescent="0.35">
      <c r="A176" s="21" t="s">
        <v>1245</v>
      </c>
      <c r="B176" s="21"/>
      <c r="C176" s="21"/>
      <c r="D176" s="21"/>
      <c r="E176" s="21"/>
      <c r="F176" s="21"/>
      <c r="G176" s="21"/>
      <c r="H176" s="21"/>
    </row>
    <row r="177" spans="1:12" x14ac:dyDescent="0.35">
      <c r="A177" s="21" t="s">
        <v>1246</v>
      </c>
      <c r="B177" s="21"/>
      <c r="C177" s="21"/>
      <c r="D177" s="21"/>
      <c r="E177" s="21"/>
      <c r="F177" s="21"/>
      <c r="G177" s="21"/>
      <c r="H177" s="21"/>
    </row>
    <row r="178" spans="1:12" x14ac:dyDescent="0.35">
      <c r="A178" s="21" t="s">
        <v>1247</v>
      </c>
      <c r="B178" s="21"/>
      <c r="C178" s="21"/>
      <c r="D178" s="21"/>
      <c r="E178" s="21"/>
      <c r="F178" s="21"/>
      <c r="G178" s="21"/>
      <c r="H178" s="21"/>
    </row>
    <row r="179" spans="1:12" ht="24" customHeight="1" x14ac:dyDescent="0.35">
      <c r="A179" s="133" t="s">
        <v>1248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</row>
    <row r="180" spans="1:12" x14ac:dyDescent="0.35">
      <c r="A180" s="21" t="s">
        <v>1249</v>
      </c>
      <c r="B180" s="21"/>
      <c r="C180" s="21"/>
      <c r="D180" s="21"/>
      <c r="E180" s="21"/>
      <c r="F180" s="21"/>
      <c r="G180" s="21"/>
      <c r="H180" s="21"/>
    </row>
    <row r="186" spans="1:12" x14ac:dyDescent="0.35">
      <c r="A186" s="98" t="s">
        <v>1250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</row>
    <row r="188" spans="1:12" ht="29" x14ac:dyDescent="0.35">
      <c r="A188" s="100" t="s">
        <v>1251</v>
      </c>
      <c r="B188" s="100" t="s">
        <v>1252</v>
      </c>
      <c r="C188" s="100" t="s">
        <v>1253</v>
      </c>
      <c r="D188" s="100" t="s">
        <v>1254</v>
      </c>
      <c r="E188" s="100" t="s">
        <v>870</v>
      </c>
      <c r="F188" s="100" t="s">
        <v>1255</v>
      </c>
      <c r="G188" s="100" t="s">
        <v>338</v>
      </c>
    </row>
    <row r="189" spans="1:12" x14ac:dyDescent="0.35">
      <c r="A189" s="21" t="s">
        <v>428</v>
      </c>
      <c r="B189" s="21"/>
      <c r="C189" s="21"/>
      <c r="D189" s="21"/>
      <c r="E189" s="21"/>
      <c r="F189" s="21"/>
      <c r="G189" s="21"/>
    </row>
    <row r="190" spans="1:12" x14ac:dyDescent="0.35">
      <c r="A190" s="21" t="s">
        <v>582</v>
      </c>
      <c r="B190" s="21"/>
      <c r="C190" s="21"/>
      <c r="D190" s="21"/>
      <c r="E190" s="21"/>
      <c r="F190" s="21"/>
      <c r="G190" s="21"/>
    </row>
    <row r="191" spans="1:12" x14ac:dyDescent="0.35">
      <c r="A191" s="21" t="s">
        <v>435</v>
      </c>
      <c r="B191" s="21"/>
      <c r="C191" s="21"/>
      <c r="D191" s="21"/>
      <c r="E191" s="21"/>
      <c r="F191" s="21"/>
      <c r="G191" s="21"/>
    </row>
    <row r="192" spans="1:12" x14ac:dyDescent="0.35">
      <c r="A192" s="21" t="s">
        <v>93</v>
      </c>
      <c r="B192" s="21"/>
      <c r="C192" s="21"/>
      <c r="D192" s="21"/>
      <c r="E192" s="21"/>
      <c r="F192" s="21"/>
      <c r="G192" s="21"/>
    </row>
    <row r="193" spans="1:12" x14ac:dyDescent="0.35">
      <c r="A193" s="21" t="s">
        <v>431</v>
      </c>
      <c r="B193" s="21"/>
      <c r="C193" s="21"/>
      <c r="D193" s="21"/>
      <c r="E193" s="21"/>
      <c r="F193" s="21"/>
      <c r="G193" s="21"/>
    </row>
    <row r="194" spans="1:12" x14ac:dyDescent="0.35">
      <c r="A194" s="21" t="s">
        <v>97</v>
      </c>
      <c r="B194" s="21"/>
      <c r="C194" s="21"/>
      <c r="D194" s="21"/>
      <c r="E194" s="21"/>
      <c r="F194" s="21"/>
      <c r="G194" s="21"/>
    </row>
    <row r="195" spans="1:12" x14ac:dyDescent="0.35">
      <c r="A195" s="21" t="s">
        <v>100</v>
      </c>
      <c r="B195" s="21"/>
      <c r="C195" s="21"/>
      <c r="D195" s="21"/>
      <c r="E195" s="21"/>
      <c r="F195" s="21"/>
      <c r="G195" s="21"/>
    </row>
    <row r="196" spans="1:12" x14ac:dyDescent="0.35">
      <c r="A196" s="21" t="s">
        <v>1176</v>
      </c>
      <c r="B196" s="21"/>
      <c r="C196" s="21"/>
      <c r="D196" s="21"/>
      <c r="E196" s="21"/>
      <c r="F196" s="21"/>
      <c r="G196" s="21"/>
    </row>
    <row r="197" spans="1:12" x14ac:dyDescent="0.35">
      <c r="A197" s="21" t="s">
        <v>160</v>
      </c>
      <c r="B197" s="21"/>
      <c r="C197" s="21"/>
      <c r="D197" s="21"/>
      <c r="E197" s="21"/>
      <c r="F197" s="21"/>
      <c r="G197" s="21"/>
    </row>
    <row r="198" spans="1:12" x14ac:dyDescent="0.35">
      <c r="A198" s="21" t="s">
        <v>1256</v>
      </c>
      <c r="B198" s="21"/>
      <c r="C198" s="21"/>
      <c r="D198" s="21"/>
      <c r="E198" s="21"/>
      <c r="F198" s="21"/>
      <c r="G198" s="21"/>
    </row>
    <row r="199" spans="1:12" x14ac:dyDescent="0.35">
      <c r="A199" s="21" t="s">
        <v>1257</v>
      </c>
      <c r="B199" s="21"/>
      <c r="C199" s="21"/>
      <c r="D199" s="21"/>
      <c r="E199" s="21"/>
      <c r="F199" s="21"/>
      <c r="G199" s="21"/>
    </row>
    <row r="200" spans="1:12" x14ac:dyDescent="0.35">
      <c r="A200" s="21" t="s">
        <v>1258</v>
      </c>
      <c r="B200" s="21"/>
      <c r="C200" s="21"/>
      <c r="D200" s="21"/>
      <c r="E200" s="21"/>
      <c r="F200" s="21"/>
      <c r="G200" s="21"/>
    </row>
    <row r="201" spans="1:12" x14ac:dyDescent="0.35">
      <c r="A201" s="21" t="s">
        <v>116</v>
      </c>
      <c r="B201" s="21"/>
      <c r="C201" s="21"/>
      <c r="D201" s="21"/>
      <c r="E201" s="21"/>
      <c r="F201" s="21"/>
      <c r="G201" s="21"/>
    </row>
    <row r="202" spans="1:12" x14ac:dyDescent="0.35">
      <c r="A202" s="21" t="s">
        <v>129</v>
      </c>
      <c r="B202" s="21"/>
      <c r="C202" s="21"/>
      <c r="D202" s="21"/>
      <c r="E202" s="21"/>
      <c r="F202" s="21"/>
      <c r="G202" s="21"/>
    </row>
    <row r="203" spans="1:12" x14ac:dyDescent="0.35">
      <c r="A203" s="21" t="s">
        <v>437</v>
      </c>
      <c r="B203" s="21"/>
      <c r="C203" s="21"/>
      <c r="D203" s="21"/>
      <c r="E203" s="21"/>
      <c r="F203" s="21"/>
      <c r="G203" s="21"/>
    </row>
    <row r="204" spans="1:12" x14ac:dyDescent="0.35">
      <c r="A204" s="21" t="s">
        <v>125</v>
      </c>
      <c r="B204" s="21"/>
      <c r="C204" s="21"/>
      <c r="D204" s="21"/>
      <c r="E204" s="21"/>
      <c r="F204" s="21"/>
      <c r="G204" s="21"/>
    </row>
    <row r="205" spans="1:12" x14ac:dyDescent="0.35">
      <c r="A205" s="21" t="s">
        <v>442</v>
      </c>
      <c r="B205" s="21"/>
      <c r="C205" s="21"/>
      <c r="D205" s="21"/>
      <c r="E205" s="21"/>
      <c r="F205" s="21"/>
      <c r="G205" s="21"/>
    </row>
    <row r="206" spans="1:12" x14ac:dyDescent="0.35">
      <c r="A206" s="21" t="s">
        <v>1259</v>
      </c>
      <c r="B206" s="21"/>
      <c r="C206" s="21"/>
      <c r="D206" s="21"/>
      <c r="E206" s="21"/>
      <c r="F206" s="21"/>
      <c r="G206" s="21"/>
    </row>
    <row r="207" spans="1:12" ht="24" customHeight="1" x14ac:dyDescent="0.35">
      <c r="A207" s="133" t="s">
        <v>1260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</row>
    <row r="208" spans="1:12" x14ac:dyDescent="0.35">
      <c r="A208" s="21" t="s">
        <v>439</v>
      </c>
      <c r="B208" s="21"/>
      <c r="C208" s="21"/>
      <c r="D208" s="21"/>
      <c r="E208" s="21"/>
      <c r="F208" s="21"/>
      <c r="G208" s="21"/>
    </row>
    <row r="214" spans="1:12" x14ac:dyDescent="0.35">
      <c r="A214" s="98" t="s">
        <v>1261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</row>
    <row r="216" spans="1:12" x14ac:dyDescent="0.35">
      <c r="A216" s="100" t="s">
        <v>1262</v>
      </c>
      <c r="B216" s="100" t="s">
        <v>1263</v>
      </c>
      <c r="C216" s="100" t="s">
        <v>292</v>
      </c>
      <c r="D216" s="100" t="s">
        <v>371</v>
      </c>
      <c r="E216" s="100" t="s">
        <v>360</v>
      </c>
      <c r="F216" s="100" t="s">
        <v>1264</v>
      </c>
      <c r="G216" s="100" t="s">
        <v>990</v>
      </c>
      <c r="H216" s="100" t="s">
        <v>338</v>
      </c>
    </row>
    <row r="217" spans="1:12" x14ac:dyDescent="0.35">
      <c r="A217" t="s">
        <v>1265</v>
      </c>
    </row>
    <row r="218" spans="1:12" x14ac:dyDescent="0.35">
      <c r="A218" t="s">
        <v>1266</v>
      </c>
    </row>
    <row r="219" spans="1:12" x14ac:dyDescent="0.35">
      <c r="A219" t="s">
        <v>1267</v>
      </c>
    </row>
    <row r="220" spans="1:12" x14ac:dyDescent="0.35">
      <c r="A220" t="s">
        <v>1268</v>
      </c>
    </row>
    <row r="221" spans="1:12" x14ac:dyDescent="0.35">
      <c r="A221" t="s">
        <v>1269</v>
      </c>
    </row>
    <row r="222" spans="1:12" x14ac:dyDescent="0.35">
      <c r="A222" t="s">
        <v>1270</v>
      </c>
    </row>
    <row r="223" spans="1:12" ht="24" customHeight="1" x14ac:dyDescent="0.35">
      <c r="A223" s="129" t="s">
        <v>1271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</row>
    <row r="224" spans="1:12" x14ac:dyDescent="0.35">
      <c r="A224" t="s">
        <v>1272</v>
      </c>
    </row>
    <row r="230" spans="1:12" x14ac:dyDescent="0.35">
      <c r="A230" s="98" t="s">
        <v>1273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2" spans="1:12" ht="29" x14ac:dyDescent="0.35">
      <c r="A232" s="100" t="s">
        <v>1229</v>
      </c>
      <c r="B232" s="100" t="s">
        <v>1274</v>
      </c>
      <c r="C232" s="100" t="s">
        <v>390</v>
      </c>
      <c r="D232" s="100" t="s">
        <v>351</v>
      </c>
      <c r="E232" s="100" t="s">
        <v>352</v>
      </c>
      <c r="F232" s="100" t="s">
        <v>292</v>
      </c>
      <c r="G232" s="100" t="s">
        <v>353</v>
      </c>
      <c r="H232" s="100" t="s">
        <v>338</v>
      </c>
    </row>
    <row r="240" spans="1:12" x14ac:dyDescent="0.3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</row>
    <row r="241" spans="1:12" x14ac:dyDescent="0.3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</row>
    <row r="247" spans="1:12" ht="29" x14ac:dyDescent="0.35">
      <c r="A247" s="106" t="s">
        <v>1275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3"/>
    </row>
    <row r="248" spans="1:12" ht="43.5" x14ac:dyDescent="0.35">
      <c r="A248" s="111" t="s">
        <v>1276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3"/>
    </row>
    <row r="249" spans="1:12" ht="29" x14ac:dyDescent="0.35">
      <c r="A249" s="110" t="s">
        <v>1277</v>
      </c>
      <c r="B249" s="110" t="s">
        <v>1278</v>
      </c>
      <c r="C249" s="110" t="s">
        <v>81</v>
      </c>
      <c r="D249" s="110" t="s">
        <v>615</v>
      </c>
      <c r="E249" s="110" t="s">
        <v>616</v>
      </c>
      <c r="F249" s="110" t="s">
        <v>990</v>
      </c>
      <c r="G249" s="110" t="s">
        <v>1279</v>
      </c>
      <c r="H249" s="110" t="s">
        <v>390</v>
      </c>
      <c r="I249" s="110" t="s">
        <v>351</v>
      </c>
      <c r="J249" s="110" t="s">
        <v>292</v>
      </c>
      <c r="K249" s="110" t="s">
        <v>353</v>
      </c>
      <c r="L249" s="110" t="s">
        <v>619</v>
      </c>
    </row>
    <row r="250" spans="1:12" x14ac:dyDescent="0.35">
      <c r="A250" s="105" t="s">
        <v>1280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x14ac:dyDescent="0.35">
      <c r="A251" s="105" t="s">
        <v>1281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x14ac:dyDescent="0.35">
      <c r="A252" s="105" t="s">
        <v>1282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29" x14ac:dyDescent="0.35">
      <c r="A253" s="105" t="s">
        <v>1283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29" x14ac:dyDescent="0.35">
      <c r="A254" s="105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29" x14ac:dyDescent="0.35">
      <c r="A255" s="105" t="s">
        <v>1285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29" x14ac:dyDescent="0.35">
      <c r="A256" s="105" t="s">
        <v>1286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29" x14ac:dyDescent="0.35">
      <c r="A257" s="105" t="s">
        <v>1287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29" x14ac:dyDescent="0.35">
      <c r="A258" s="105" t="s">
        <v>1288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29" x14ac:dyDescent="0.35">
      <c r="A259" s="105" t="s">
        <v>1289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29" x14ac:dyDescent="0.35">
      <c r="A260" s="105" t="s">
        <v>1290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29" x14ac:dyDescent="0.35">
      <c r="A261" s="105" t="s">
        <v>1291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29" x14ac:dyDescent="0.35">
      <c r="A262" s="105" t="s">
        <v>1292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43.5" x14ac:dyDescent="0.35">
      <c r="A263" s="105" t="s">
        <v>1293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29" x14ac:dyDescent="0.35">
      <c r="A264" s="105" t="s">
        <v>1294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x14ac:dyDescent="0.35">
      <c r="A265" s="105" t="s">
        <v>1295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</sheetData>
  <mergeCells count="9">
    <mergeCell ref="A1:L1"/>
    <mergeCell ref="A17:L17"/>
    <mergeCell ref="A241:L241"/>
    <mergeCell ref="A223:L223"/>
    <mergeCell ref="A35:L35"/>
    <mergeCell ref="A240:L240"/>
    <mergeCell ref="A179:L179"/>
    <mergeCell ref="A151:L151"/>
    <mergeCell ref="A207:L207"/>
  </mergeCells>
  <conditionalFormatting sqref="B12">
    <cfRule type="expression" dxfId="153" priority="12">
      <formula>B12="Green"</formula>
    </cfRule>
    <cfRule type="expression" dxfId="152" priority="13">
      <formula>B12="Amber"</formula>
    </cfRule>
    <cfRule type="expression" dxfId="151" priority="14">
      <formula>B12="Red"</formula>
    </cfRule>
  </conditionalFormatting>
  <conditionalFormatting sqref="B182:B201">
    <cfRule type="expression" dxfId="150" priority="3">
      <formula>B182="Pass"</formula>
    </cfRule>
  </conditionalFormatting>
  <conditionalFormatting sqref="C20:C43">
    <cfRule type="expression" dxfId="149" priority="8">
      <formula>C20="Green"</formula>
    </cfRule>
    <cfRule type="expression" dxfId="148" priority="9">
      <formula>C20="Amber"</formula>
    </cfRule>
    <cfRule type="expression" dxfId="147" priority="10">
      <formula>C20="Red"</formula>
    </cfRule>
    <cfRule type="expression" dxfId="146" priority="11">
      <formula>C20="N/A"</formula>
    </cfRule>
  </conditionalFormatting>
  <conditionalFormatting sqref="C20:C45">
    <cfRule type="expression" dxfId="145" priority="4">
      <formula>ISNUMBER(SEARCH("Green",C20))</formula>
    </cfRule>
    <cfRule type="expression" dxfId="144" priority="5">
      <formula>ISNUMBER(SEARCH("Amber",C20))</formula>
    </cfRule>
    <cfRule type="expression" dxfId="143" priority="6">
      <formula>ISNUMBER(SEARCH("Red",C20))</formula>
    </cfRule>
    <cfRule type="expression" dxfId="142" priority="7">
      <formula>C20="N/A"</formula>
    </cfRule>
  </conditionalFormatting>
  <conditionalFormatting sqref="E154:E173">
    <cfRule type="expression" dxfId="141" priority="2">
      <formula>E154="Pass"</formula>
    </cfRule>
  </conditionalFormatting>
  <conditionalFormatting sqref="H38:H145">
    <cfRule type="expression" dxfId="140" priority="1">
      <formula>H38="Pass"</formula>
    </cfRule>
  </conditionalFormatting>
  <dataValidations count="8">
    <dataValidation type="list" sqref="H38:H145 E154:E173" xr:uid="{00000000-0002-0000-3500-000000000000}">
      <formula1>"Pass,Developing,Fail,N/A"</formula1>
    </dataValidation>
    <dataValidation type="list" sqref="F38:F145" xr:uid="{00000000-0002-0000-3500-000001000000}">
      <formula1>"1,2,3,4,5"</formula1>
    </dataValidation>
    <dataValidation type="list" sqref="B182:B201" xr:uid="{00000000-0002-0000-3500-000003000000}">
      <formula1>"Complete,In Progress,Not Started,N/A"</formula1>
    </dataValidation>
    <dataValidation type="list" allowBlank="1" sqref="C243:E258" xr:uid="{00000000-0002-0000-3500-000004000000}">
      <formula1>"Yes,No,N/A"</formula1>
    </dataValidation>
    <dataValidation type="list" allowBlank="1" sqref="C20:C45" xr:uid="{00000000-0002-0000-3500-000005000000}">
      <formula1>"Green - Received,Amber - Awaiting,Red - Missing,N/A"</formula1>
    </dataValidation>
    <dataValidation type="list" sqref="C20:C43" xr:uid="{00000000-0002-0000-3500-000006000000}">
      <formula1>"Green,Amber,Red,N/A"</formula1>
    </dataValidation>
    <dataValidation type="list" sqref="F42:F230" xr:uid="{00000000-0002-0000-3500-000007000000}">
      <formula1>"1,2,3,4,5,N/A"</formula1>
    </dataValidation>
    <dataValidation type="list" sqref="H42:H230 H235:H255" xr:uid="{00000000-0002-0000-3500-000008000000}">
      <formula1>"Pass,Fail,Not Assessed,N/A"</formula1>
    </dataValidation>
  </dataValidation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L265"/>
  <sheetViews>
    <sheetView workbookViewId="0"/>
  </sheetViews>
  <sheetFormatPr defaultRowHeight="14.5" x14ac:dyDescent="0.35"/>
  <cols>
    <col min="1" max="1" width="42" customWidth="1"/>
    <col min="2" max="2" width="36" customWidth="1"/>
    <col min="3" max="3" width="52" customWidth="1"/>
    <col min="4" max="4" width="34" customWidth="1"/>
    <col min="5" max="5" width="30" customWidth="1"/>
    <col min="6" max="6" width="12" customWidth="1"/>
    <col min="7" max="7" width="16" customWidth="1"/>
    <col min="8" max="8" width="14" customWidth="1"/>
    <col min="9" max="9" width="28" customWidth="1"/>
    <col min="10" max="12" width="14" customWidth="1"/>
  </cols>
  <sheetData>
    <row r="1" spans="1:12" ht="30" customHeight="1" x14ac:dyDescent="0.35">
      <c r="A1" s="134" t="s">
        <v>1310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x14ac:dyDescent="0.35">
      <c r="A2" t="s">
        <v>928</v>
      </c>
      <c r="D2" t="s">
        <v>929</v>
      </c>
    </row>
    <row r="4" spans="1:12" x14ac:dyDescent="0.35">
      <c r="A4" s="101" t="s">
        <v>882</v>
      </c>
      <c r="B4" s="101" t="str">
        <f>IF('Induction Employee Register'!A19="","",'Induction Employee Register'!A19)</f>
        <v>SW016</v>
      </c>
      <c r="D4" t="s">
        <v>930</v>
      </c>
      <c r="E4" t="s">
        <v>931</v>
      </c>
      <c r="F4" t="s">
        <v>932</v>
      </c>
      <c r="G4" t="s">
        <v>933</v>
      </c>
      <c r="H4" t="s">
        <v>58</v>
      </c>
      <c r="I4" t="s">
        <v>934</v>
      </c>
      <c r="J4" t="s">
        <v>54</v>
      </c>
      <c r="K4" t="s">
        <v>935</v>
      </c>
      <c r="L4" t="s">
        <v>43</v>
      </c>
    </row>
    <row r="5" spans="1:12" x14ac:dyDescent="0.35">
      <c r="A5" s="101" t="s">
        <v>883</v>
      </c>
      <c r="B5" s="101" t="str">
        <f>IF('Induction Employee Register'!B19="","",'Induction Employee Register'!B19)</f>
        <v/>
      </c>
      <c r="D5" t="s">
        <v>936</v>
      </c>
    </row>
    <row r="6" spans="1:12" x14ac:dyDescent="0.35">
      <c r="A6" s="101" t="s">
        <v>322</v>
      </c>
      <c r="B6" s="101" t="str">
        <f>IF('Induction Employee Register'!C19="","",'Induction Employee Register'!C19)</f>
        <v/>
      </c>
      <c r="D6" t="s">
        <v>937</v>
      </c>
      <c r="E6" t="s">
        <v>938</v>
      </c>
    </row>
    <row r="7" spans="1:12" x14ac:dyDescent="0.35">
      <c r="A7" s="101" t="s">
        <v>323</v>
      </c>
      <c r="B7" s="126" t="str">
        <f>IF('Induction Employee Register'!D19="","",'Induction Employee Register'!D19)</f>
        <v/>
      </c>
      <c r="D7" t="s">
        <v>939</v>
      </c>
      <c r="E7" t="s">
        <v>940</v>
      </c>
    </row>
    <row r="8" spans="1:12" x14ac:dyDescent="0.35">
      <c r="A8" s="101" t="s">
        <v>886</v>
      </c>
      <c r="B8" s="125">
        <f>IFERROR(COUNTIF($H$42:$H$230,"Pass")/(COUNTIF($H$42:$H$230,"Pass")+COUNTIF($H$42:$H$230,"Fail")+COUNTIF($H$42:$H$230,"Not Assessed")),0)</f>
        <v>0</v>
      </c>
      <c r="D8" t="s">
        <v>6</v>
      </c>
      <c r="E8" t="s">
        <v>941</v>
      </c>
    </row>
    <row r="9" spans="1:12" x14ac:dyDescent="0.35">
      <c r="A9" s="101" t="s">
        <v>887</v>
      </c>
      <c r="B9" s="125">
        <f>IFERROR(COUNTIF($H$235:$H$255,"Pass")/(COUNTIF($H$235:$H$255,"Pass")+COUNTIF($H$235:$H$255,"Fail")+COUNTIF($H$235:$H$255,"Not Assessed")),0)</f>
        <v>0</v>
      </c>
      <c r="D9" t="s">
        <v>942</v>
      </c>
      <c r="E9" t="s">
        <v>943</v>
      </c>
    </row>
    <row r="10" spans="1:12" x14ac:dyDescent="0.35">
      <c r="A10" s="101" t="s">
        <v>888</v>
      </c>
      <c r="B10" s="125" t="str">
        <f>IFERROR(IF($B$5="","",IF(INDEX('Mandatory Training Dashboard'!$D$5:$D$53,MATCH($B$5,'Mandatory Training Dashboard'!$A$5:$A$53,0))&gt;1,INDEX('Mandatory Training Dashboard'!$D$5:$D$53,MATCH($B$5,'Mandatory Training Dashboard'!$A$5:$A$53,0))/100,INDEX('Mandatory Training Dashboard'!$D$5:$D$53,MATCH($B$5,'Mandatory Training Dashboard'!$A$5:$A$53,0)))),0)</f>
        <v/>
      </c>
      <c r="D10" t="s">
        <v>944</v>
      </c>
      <c r="E10" t="s">
        <v>945</v>
      </c>
    </row>
    <row r="11" spans="1:12" x14ac:dyDescent="0.35">
      <c r="A11" s="101" t="s">
        <v>893</v>
      </c>
      <c r="B11" s="125">
        <f>IFERROR(AVERAGE(B8:B10),0)</f>
        <v>0</v>
      </c>
      <c r="D11" t="s">
        <v>946</v>
      </c>
      <c r="E11" t="s">
        <v>947</v>
      </c>
    </row>
    <row r="12" spans="1:12" x14ac:dyDescent="0.35">
      <c r="A12" s="101" t="s">
        <v>948</v>
      </c>
      <c r="B12" s="101" t="str">
        <f>IF(B11&gt;=0.9,"Green",IF(B11&gt;=0.75,"Amber","Red"))</f>
        <v>Red</v>
      </c>
      <c r="D12" t="s">
        <v>949</v>
      </c>
      <c r="E12" t="s">
        <v>950</v>
      </c>
    </row>
    <row r="13" spans="1:12" x14ac:dyDescent="0.35">
      <c r="A13" s="101" t="s">
        <v>891</v>
      </c>
      <c r="B13" s="101">
        <f>IF('Induction Employee Register'!N19="","",'Induction Employee Register'!N19)</f>
        <v>0</v>
      </c>
      <c r="D13" t="s">
        <v>951</v>
      </c>
      <c r="E13" t="s">
        <v>952</v>
      </c>
    </row>
    <row r="14" spans="1:12" x14ac:dyDescent="0.35">
      <c r="A14" s="101" t="s">
        <v>892</v>
      </c>
      <c r="B14" s="101" t="str">
        <f>IF('Induction Employee Register'!O19="","",'Induction Employee Register'!O19)</f>
        <v/>
      </c>
    </row>
    <row r="17" spans="1:12" ht="24" customHeight="1" x14ac:dyDescent="0.35">
      <c r="A17" s="135" t="s">
        <v>953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9" spans="1:12" ht="29" x14ac:dyDescent="0.35">
      <c r="A19" s="116" t="s">
        <v>954</v>
      </c>
      <c r="B19" s="116" t="s">
        <v>955</v>
      </c>
      <c r="C19" s="116" t="s">
        <v>956</v>
      </c>
      <c r="D19" s="116" t="s">
        <v>957</v>
      </c>
      <c r="E19" s="116" t="s">
        <v>958</v>
      </c>
      <c r="F19" s="116" t="s">
        <v>353</v>
      </c>
      <c r="G19" s="116" t="s">
        <v>335</v>
      </c>
      <c r="H19" s="116" t="s">
        <v>338</v>
      </c>
      <c r="I19" s="117" t="s">
        <v>959</v>
      </c>
      <c r="J19" t="s">
        <v>960</v>
      </c>
      <c r="K19" t="s">
        <v>300</v>
      </c>
      <c r="L19" t="s">
        <v>961</v>
      </c>
    </row>
    <row r="20" spans="1:12" x14ac:dyDescent="0.35">
      <c r="A20" s="118" t="s">
        <v>962</v>
      </c>
      <c r="B20" s="118" t="s">
        <v>81</v>
      </c>
      <c r="C20" s="118"/>
      <c r="D20" s="127"/>
      <c r="E20" s="127"/>
      <c r="F20" s="118"/>
      <c r="G20" s="118"/>
      <c r="H20" s="118"/>
      <c r="J20" t="s">
        <v>310</v>
      </c>
      <c r="K20" t="str">
        <f>IF('Induction Employee Register'!W19="","",'Induction Employee Register'!W19)</f>
        <v/>
      </c>
      <c r="L20" t="s">
        <v>963</v>
      </c>
    </row>
    <row r="21" spans="1:12" x14ac:dyDescent="0.35">
      <c r="A21" s="118" t="s">
        <v>964</v>
      </c>
      <c r="B21" s="118" t="s">
        <v>81</v>
      </c>
      <c r="C21" s="118"/>
      <c r="D21" s="127"/>
      <c r="E21" s="127"/>
      <c r="F21" s="118"/>
      <c r="G21" s="118"/>
      <c r="H21" s="118"/>
      <c r="J21" t="s">
        <v>311</v>
      </c>
      <c r="K21" t="str">
        <f>IF('Induction Employee Register'!X19="","",'Induction Employee Register'!X19)</f>
        <v/>
      </c>
      <c r="L21" t="s">
        <v>965</v>
      </c>
    </row>
    <row r="22" spans="1:12" x14ac:dyDescent="0.35">
      <c r="A22" s="118" t="s">
        <v>966</v>
      </c>
      <c r="B22" s="118" t="s">
        <v>81</v>
      </c>
      <c r="C22" s="118"/>
      <c r="D22" s="127"/>
      <c r="E22" s="127"/>
      <c r="F22" s="118"/>
      <c r="G22" s="118"/>
      <c r="H22" s="118"/>
      <c r="J22" t="s">
        <v>312</v>
      </c>
      <c r="K22" t="str">
        <f>IF('Induction Employee Register'!Y19="","",'Induction Employee Register'!Y19)</f>
        <v/>
      </c>
      <c r="L22" t="s">
        <v>967</v>
      </c>
    </row>
    <row r="23" spans="1:12" x14ac:dyDescent="0.35">
      <c r="A23" s="118" t="s">
        <v>52</v>
      </c>
      <c r="B23" s="118" t="s">
        <v>81</v>
      </c>
      <c r="C23" s="118"/>
      <c r="D23" s="127"/>
      <c r="E23" s="127"/>
      <c r="F23" s="118"/>
      <c r="G23" s="118"/>
      <c r="H23" s="118"/>
      <c r="J23" t="s">
        <v>313</v>
      </c>
      <c r="K23" t="str">
        <f>IF('Induction Employee Register'!Z19="","",'Induction Employee Register'!Z19)</f>
        <v/>
      </c>
      <c r="L23" t="s">
        <v>968</v>
      </c>
    </row>
    <row r="24" spans="1:12" x14ac:dyDescent="0.35">
      <c r="A24" s="118" t="s">
        <v>50</v>
      </c>
      <c r="B24" s="118" t="s">
        <v>81</v>
      </c>
      <c r="C24" s="118"/>
      <c r="D24" s="127"/>
      <c r="E24" s="127"/>
      <c r="F24" s="118"/>
      <c r="G24" s="118"/>
      <c r="H24" s="118"/>
      <c r="J24" t="s">
        <v>314</v>
      </c>
      <c r="K24" t="str">
        <f>IF('Induction Employee Register'!AA19="","",'Induction Employee Register'!AA19)</f>
        <v/>
      </c>
      <c r="L24" t="s">
        <v>968</v>
      </c>
    </row>
    <row r="25" spans="1:12" x14ac:dyDescent="0.35">
      <c r="A25" s="118" t="s">
        <v>329</v>
      </c>
      <c r="B25" s="118" t="s">
        <v>81</v>
      </c>
      <c r="C25" s="118"/>
      <c r="D25" s="127"/>
      <c r="E25" s="127"/>
      <c r="F25" s="118"/>
      <c r="G25" s="118"/>
      <c r="H25" s="118"/>
      <c r="J25" t="s">
        <v>315</v>
      </c>
      <c r="K25" t="str">
        <f>IF('Induction Employee Register'!AB19="","",'Induction Employee Register'!AB19)</f>
        <v/>
      </c>
      <c r="L25" t="s">
        <v>967</v>
      </c>
    </row>
    <row r="26" spans="1:12" x14ac:dyDescent="0.35">
      <c r="A26" s="118" t="s">
        <v>969</v>
      </c>
      <c r="B26" s="118" t="s">
        <v>81</v>
      </c>
      <c r="C26" s="118"/>
      <c r="D26" s="127"/>
      <c r="E26" s="127"/>
      <c r="F26" s="118"/>
      <c r="G26" s="118"/>
      <c r="H26" s="118"/>
      <c r="J26" t="s">
        <v>316</v>
      </c>
      <c r="K26" t="str">
        <f>IF('Induction Employee Register'!AC19="","",'Induction Employee Register'!AC19)</f>
        <v/>
      </c>
      <c r="L26" t="s">
        <v>967</v>
      </c>
    </row>
    <row r="27" spans="1:12" x14ac:dyDescent="0.35">
      <c r="A27" s="118" t="s">
        <v>970</v>
      </c>
      <c r="B27" s="118" t="s">
        <v>81</v>
      </c>
      <c r="C27" s="118"/>
      <c r="D27" s="127"/>
      <c r="E27" s="127"/>
      <c r="F27" s="118"/>
      <c r="G27" s="118"/>
      <c r="H27" s="118"/>
    </row>
    <row r="28" spans="1:12" x14ac:dyDescent="0.35">
      <c r="A28" s="118" t="s">
        <v>971</v>
      </c>
      <c r="B28" s="118" t="s">
        <v>81</v>
      </c>
      <c r="C28" s="118"/>
      <c r="D28" s="127"/>
      <c r="E28" s="127"/>
      <c r="F28" s="118"/>
      <c r="G28" s="118"/>
      <c r="H28" s="118"/>
    </row>
    <row r="29" spans="1:12" x14ac:dyDescent="0.35">
      <c r="A29" s="118" t="s">
        <v>972</v>
      </c>
      <c r="B29" s="118" t="s">
        <v>81</v>
      </c>
      <c r="C29" s="118"/>
      <c r="D29" s="127"/>
      <c r="E29" s="127"/>
      <c r="F29" s="118"/>
      <c r="G29" s="118"/>
      <c r="H29" s="118"/>
    </row>
    <row r="30" spans="1:12" x14ac:dyDescent="0.35">
      <c r="A30" s="118" t="s">
        <v>973</v>
      </c>
      <c r="B30" s="118" t="s">
        <v>81</v>
      </c>
      <c r="C30" s="118"/>
      <c r="D30" s="127"/>
      <c r="E30" s="127"/>
      <c r="F30" s="118"/>
      <c r="G30" s="118"/>
      <c r="H30" s="118"/>
    </row>
    <row r="31" spans="1:12" x14ac:dyDescent="0.35">
      <c r="A31" s="118" t="s">
        <v>974</v>
      </c>
      <c r="B31" s="118" t="s">
        <v>81</v>
      </c>
      <c r="C31" s="118"/>
      <c r="D31" s="127"/>
      <c r="E31" s="127"/>
      <c r="F31" s="118"/>
      <c r="G31" s="118"/>
      <c r="H31" s="118"/>
    </row>
    <row r="32" spans="1:12" x14ac:dyDescent="0.35">
      <c r="A32" s="118" t="s">
        <v>975</v>
      </c>
      <c r="B32" s="118" t="s">
        <v>81</v>
      </c>
      <c r="C32" s="118"/>
      <c r="D32" s="127"/>
      <c r="E32" s="127"/>
      <c r="F32" s="118"/>
      <c r="G32" s="118"/>
      <c r="H32" s="118"/>
    </row>
    <row r="33" spans="1:12" x14ac:dyDescent="0.35">
      <c r="A33" s="118" t="s">
        <v>54</v>
      </c>
      <c r="B33" s="118" t="s">
        <v>81</v>
      </c>
      <c r="C33" s="118"/>
      <c r="D33" s="127"/>
      <c r="E33" s="127"/>
      <c r="F33" s="118"/>
      <c r="G33" s="118"/>
      <c r="H33" s="118"/>
    </row>
    <row r="34" spans="1:12" x14ac:dyDescent="0.35">
      <c r="A34" s="119" t="s">
        <v>976</v>
      </c>
      <c r="B34" s="119" t="s">
        <v>81</v>
      </c>
      <c r="C34" s="119"/>
      <c r="D34" s="127"/>
      <c r="E34" s="127"/>
      <c r="F34" s="119"/>
      <c r="G34" s="119"/>
      <c r="H34" s="119"/>
    </row>
    <row r="35" spans="1:12" ht="24" customHeight="1" x14ac:dyDescent="0.35">
      <c r="A35" s="130" t="s">
        <v>977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</row>
    <row r="36" spans="1:12" x14ac:dyDescent="0.35">
      <c r="A36" s="119" t="s">
        <v>978</v>
      </c>
      <c r="B36" s="119" t="s">
        <v>81</v>
      </c>
      <c r="C36" s="119"/>
      <c r="D36" s="127"/>
      <c r="E36" s="127"/>
      <c r="F36" s="119"/>
      <c r="G36" s="119"/>
      <c r="H36" s="119"/>
    </row>
    <row r="37" spans="1:12" x14ac:dyDescent="0.35">
      <c r="A37" s="119" t="s">
        <v>979</v>
      </c>
      <c r="B37" s="119" t="s">
        <v>81</v>
      </c>
      <c r="C37" s="119"/>
      <c r="D37" s="127"/>
      <c r="E37" s="127"/>
      <c r="F37" s="119"/>
      <c r="G37" s="119"/>
      <c r="H37" s="119"/>
    </row>
    <row r="38" spans="1:12" x14ac:dyDescent="0.35">
      <c r="A38" s="119" t="s">
        <v>980</v>
      </c>
      <c r="B38" s="119" t="s">
        <v>81</v>
      </c>
      <c r="C38" s="119"/>
      <c r="D38" s="127"/>
      <c r="E38" s="127"/>
      <c r="F38" s="119"/>
      <c r="G38" s="119"/>
      <c r="H38" s="119"/>
    </row>
    <row r="39" spans="1:12" x14ac:dyDescent="0.35">
      <c r="A39" s="119" t="s">
        <v>981</v>
      </c>
      <c r="B39" s="119" t="s">
        <v>81</v>
      </c>
      <c r="C39" s="119"/>
      <c r="D39" s="127"/>
      <c r="E39" s="127"/>
      <c r="F39" s="119"/>
      <c r="G39" s="119"/>
      <c r="H39" s="119"/>
    </row>
    <row r="40" spans="1:12" x14ac:dyDescent="0.35">
      <c r="A40" s="119" t="s">
        <v>982</v>
      </c>
      <c r="B40" s="119" t="s">
        <v>81</v>
      </c>
      <c r="C40" s="119"/>
      <c r="D40" s="127"/>
      <c r="E40" s="127"/>
      <c r="F40" s="119"/>
      <c r="G40" s="119"/>
      <c r="H40" s="119"/>
    </row>
    <row r="41" spans="1:12" x14ac:dyDescent="0.35">
      <c r="A41" s="118"/>
      <c r="B41" s="118"/>
      <c r="C41" s="118"/>
      <c r="D41" s="127"/>
      <c r="E41" s="127"/>
      <c r="F41" s="118"/>
      <c r="G41" s="118"/>
      <c r="H41" s="118"/>
    </row>
    <row r="42" spans="1:12" x14ac:dyDescent="0.35">
      <c r="A42" s="120" t="s">
        <v>983</v>
      </c>
      <c r="B42" s="118"/>
      <c r="C42" s="118"/>
      <c r="D42" s="127"/>
      <c r="E42" s="127"/>
      <c r="F42" s="118"/>
      <c r="G42" s="118"/>
      <c r="H42" s="118"/>
      <c r="I42" s="96"/>
      <c r="J42" s="96"/>
      <c r="K42" s="96"/>
      <c r="L42" s="96"/>
    </row>
    <row r="43" spans="1:12" x14ac:dyDescent="0.35">
      <c r="A43" s="118"/>
      <c r="B43" s="118"/>
      <c r="C43" s="118"/>
      <c r="D43" s="127"/>
      <c r="E43" s="127"/>
      <c r="F43" s="118"/>
      <c r="G43" s="118"/>
      <c r="H43" s="118"/>
    </row>
    <row r="44" spans="1:12" ht="29" x14ac:dyDescent="0.35">
      <c r="A44" s="116" t="s">
        <v>984</v>
      </c>
      <c r="B44" s="116" t="s">
        <v>985</v>
      </c>
      <c r="C44" s="116" t="s">
        <v>986</v>
      </c>
      <c r="D44" s="116" t="s">
        <v>987</v>
      </c>
      <c r="E44" s="116" t="s">
        <v>988</v>
      </c>
      <c r="F44" s="116" t="s">
        <v>989</v>
      </c>
      <c r="G44" s="116" t="s">
        <v>389</v>
      </c>
      <c r="H44" s="116" t="s">
        <v>870</v>
      </c>
      <c r="I44" s="100" t="s">
        <v>390</v>
      </c>
      <c r="J44" s="100" t="s">
        <v>990</v>
      </c>
      <c r="K44" s="100" t="s">
        <v>991</v>
      </c>
      <c r="L44" s="100" t="s">
        <v>992</v>
      </c>
    </row>
    <row r="45" spans="1:12" ht="29" x14ac:dyDescent="0.35">
      <c r="A45" s="121" t="s">
        <v>993</v>
      </c>
      <c r="B45" s="121" t="s">
        <v>994</v>
      </c>
      <c r="C45" s="121" t="s">
        <v>995</v>
      </c>
      <c r="D45" s="121"/>
      <c r="E45" s="121" t="s">
        <v>996</v>
      </c>
      <c r="F45" s="121"/>
      <c r="G45" s="121"/>
      <c r="H45" s="121"/>
      <c r="I45" s="21"/>
      <c r="J45" s="21"/>
      <c r="K45" s="21"/>
      <c r="L45" s="21"/>
    </row>
    <row r="46" spans="1:12" ht="29" x14ac:dyDescent="0.35">
      <c r="A46" s="21" t="s">
        <v>993</v>
      </c>
      <c r="B46" s="21" t="s">
        <v>997</v>
      </c>
      <c r="C46" s="21" t="s">
        <v>998</v>
      </c>
      <c r="D46" s="21"/>
      <c r="E46" s="21" t="s">
        <v>996</v>
      </c>
      <c r="F46" s="21"/>
      <c r="G46" s="21"/>
      <c r="H46" s="21"/>
      <c r="I46" s="21"/>
      <c r="J46" s="21"/>
      <c r="K46" s="21"/>
      <c r="L46" s="21"/>
    </row>
    <row r="47" spans="1:12" ht="29" x14ac:dyDescent="0.35">
      <c r="A47" s="21" t="s">
        <v>993</v>
      </c>
      <c r="B47" s="21" t="s">
        <v>999</v>
      </c>
      <c r="C47" s="21" t="s">
        <v>1000</v>
      </c>
      <c r="D47" s="21"/>
      <c r="E47" s="21" t="s">
        <v>996</v>
      </c>
      <c r="F47" s="21"/>
      <c r="G47" s="21"/>
      <c r="H47" s="21"/>
      <c r="I47" s="21"/>
      <c r="J47" s="21"/>
      <c r="K47" s="21"/>
      <c r="L47" s="21"/>
    </row>
    <row r="48" spans="1:12" ht="29" x14ac:dyDescent="0.35">
      <c r="A48" s="21" t="s">
        <v>993</v>
      </c>
      <c r="B48" s="21" t="s">
        <v>1001</v>
      </c>
      <c r="C48" s="21" t="s">
        <v>1002</v>
      </c>
      <c r="D48" s="21"/>
      <c r="E48" s="21" t="s">
        <v>996</v>
      </c>
      <c r="F48" s="21"/>
      <c r="G48" s="21"/>
      <c r="H48" s="21"/>
      <c r="I48" s="21"/>
      <c r="J48" s="21"/>
      <c r="K48" s="21"/>
      <c r="L48" s="21"/>
    </row>
    <row r="49" spans="1:12" ht="43.5" x14ac:dyDescent="0.35">
      <c r="A49" s="21" t="s">
        <v>993</v>
      </c>
      <c r="B49" s="21" t="s">
        <v>1003</v>
      </c>
      <c r="C49" s="21" t="s">
        <v>1004</v>
      </c>
      <c r="D49" s="21"/>
      <c r="E49" s="21" t="s">
        <v>996</v>
      </c>
      <c r="F49" s="21"/>
      <c r="G49" s="21"/>
      <c r="H49" s="21"/>
      <c r="I49" s="21"/>
      <c r="J49" s="21"/>
      <c r="K49" s="21"/>
      <c r="L49" s="21"/>
    </row>
    <row r="50" spans="1:12" ht="29" x14ac:dyDescent="0.35">
      <c r="A50" s="21" t="s">
        <v>993</v>
      </c>
      <c r="B50" s="21" t="s">
        <v>1005</v>
      </c>
      <c r="C50" s="21" t="s">
        <v>1006</v>
      </c>
      <c r="D50" s="21"/>
      <c r="E50" s="21" t="s">
        <v>996</v>
      </c>
      <c r="F50" s="21"/>
      <c r="G50" s="21"/>
      <c r="H50" s="21"/>
      <c r="I50" s="21"/>
      <c r="J50" s="21"/>
      <c r="K50" s="21"/>
      <c r="L50" s="21"/>
    </row>
    <row r="51" spans="1:12" ht="43.5" x14ac:dyDescent="0.35">
      <c r="A51" s="21" t="s">
        <v>1007</v>
      </c>
      <c r="B51" s="21" t="s">
        <v>1008</v>
      </c>
      <c r="C51" s="21" t="s">
        <v>1009</v>
      </c>
      <c r="D51" s="21"/>
      <c r="E51" s="21" t="s">
        <v>996</v>
      </c>
      <c r="F51" s="21"/>
      <c r="G51" s="21"/>
      <c r="H51" s="21"/>
      <c r="I51" s="21"/>
      <c r="J51" s="21"/>
      <c r="K51" s="21"/>
      <c r="L51" s="21"/>
    </row>
    <row r="52" spans="1:12" ht="29" x14ac:dyDescent="0.35">
      <c r="A52" s="21" t="s">
        <v>1007</v>
      </c>
      <c r="B52" s="21" t="s">
        <v>1010</v>
      </c>
      <c r="C52" s="21" t="s">
        <v>1011</v>
      </c>
      <c r="D52" s="21"/>
      <c r="E52" s="21" t="s">
        <v>996</v>
      </c>
      <c r="F52" s="21"/>
      <c r="G52" s="21"/>
      <c r="H52" s="21"/>
      <c r="I52" s="21"/>
      <c r="J52" s="21"/>
      <c r="K52" s="21"/>
      <c r="L52" s="21"/>
    </row>
    <row r="53" spans="1:12" ht="29" x14ac:dyDescent="0.35">
      <c r="A53" s="21" t="s">
        <v>1007</v>
      </c>
      <c r="B53" s="21" t="s">
        <v>1012</v>
      </c>
      <c r="C53" s="21" t="s">
        <v>1013</v>
      </c>
      <c r="D53" s="21"/>
      <c r="E53" s="21" t="s">
        <v>996</v>
      </c>
      <c r="F53" s="21"/>
      <c r="G53" s="21"/>
      <c r="H53" s="21"/>
      <c r="I53" s="21"/>
      <c r="J53" s="21"/>
      <c r="K53" s="21"/>
      <c r="L53" s="21"/>
    </row>
    <row r="54" spans="1:12" ht="29" x14ac:dyDescent="0.35">
      <c r="A54" s="21" t="s">
        <v>1007</v>
      </c>
      <c r="B54" s="21" t="s">
        <v>1014</v>
      </c>
      <c r="C54" s="21" t="s">
        <v>1015</v>
      </c>
      <c r="D54" s="21"/>
      <c r="E54" s="21" t="s">
        <v>996</v>
      </c>
      <c r="F54" s="21"/>
      <c r="G54" s="21"/>
      <c r="H54" s="21"/>
      <c r="I54" s="21"/>
      <c r="J54" s="21"/>
      <c r="K54" s="21"/>
      <c r="L54" s="21"/>
    </row>
    <row r="55" spans="1:12" ht="29" x14ac:dyDescent="0.35">
      <c r="A55" s="21" t="s">
        <v>1007</v>
      </c>
      <c r="B55" s="21" t="s">
        <v>1016</v>
      </c>
      <c r="C55" s="21" t="s">
        <v>1017</v>
      </c>
      <c r="D55" s="21"/>
      <c r="E55" s="21" t="s">
        <v>996</v>
      </c>
      <c r="F55" s="21"/>
      <c r="G55" s="21"/>
      <c r="H55" s="21"/>
      <c r="I55" s="21"/>
      <c r="J55" s="21"/>
      <c r="K55" s="21"/>
      <c r="L55" s="21"/>
    </row>
    <row r="56" spans="1:12" ht="29" x14ac:dyDescent="0.35">
      <c r="A56" s="21" t="s">
        <v>1007</v>
      </c>
      <c r="B56" s="21" t="s">
        <v>1018</v>
      </c>
      <c r="C56" s="21" t="s">
        <v>1019</v>
      </c>
      <c r="D56" s="21"/>
      <c r="E56" s="21" t="s">
        <v>996</v>
      </c>
      <c r="F56" s="21"/>
      <c r="G56" s="21"/>
      <c r="H56" s="21"/>
      <c r="I56" s="21"/>
      <c r="J56" s="21"/>
      <c r="K56" s="21"/>
      <c r="L56" s="21"/>
    </row>
    <row r="57" spans="1:12" ht="43.5" x14ac:dyDescent="0.35">
      <c r="A57" s="21" t="s">
        <v>1020</v>
      </c>
      <c r="B57" s="21" t="s">
        <v>1021</v>
      </c>
      <c r="C57" s="21" t="s">
        <v>1022</v>
      </c>
      <c r="D57" s="21"/>
      <c r="E57" s="21" t="s">
        <v>1023</v>
      </c>
      <c r="F57" s="21"/>
      <c r="G57" s="21"/>
      <c r="H57" s="21"/>
      <c r="I57" s="21"/>
      <c r="J57" s="21"/>
      <c r="K57" s="21"/>
      <c r="L57" s="21"/>
    </row>
    <row r="58" spans="1:12" ht="43.5" x14ac:dyDescent="0.35">
      <c r="A58" s="21" t="s">
        <v>1020</v>
      </c>
      <c r="B58" s="21" t="s">
        <v>1024</v>
      </c>
      <c r="C58" s="21" t="s">
        <v>1025</v>
      </c>
      <c r="D58" s="21"/>
      <c r="E58" s="21" t="s">
        <v>1023</v>
      </c>
      <c r="F58" s="21"/>
      <c r="G58" s="21"/>
      <c r="H58" s="21"/>
      <c r="I58" s="21"/>
      <c r="J58" s="21"/>
      <c r="K58" s="21"/>
      <c r="L58" s="21"/>
    </row>
    <row r="59" spans="1:12" ht="43.5" x14ac:dyDescent="0.35">
      <c r="A59" s="21" t="s">
        <v>1020</v>
      </c>
      <c r="B59" s="21" t="s">
        <v>1026</v>
      </c>
      <c r="C59" s="21" t="s">
        <v>1027</v>
      </c>
      <c r="D59" s="21"/>
      <c r="E59" s="21" t="s">
        <v>1023</v>
      </c>
      <c r="F59" s="21"/>
      <c r="G59" s="21"/>
      <c r="H59" s="21"/>
      <c r="I59" s="21"/>
      <c r="J59" s="21"/>
      <c r="K59" s="21"/>
      <c r="L59" s="21"/>
    </row>
    <row r="60" spans="1:12" ht="43.5" x14ac:dyDescent="0.35">
      <c r="A60" s="21" t="s">
        <v>1020</v>
      </c>
      <c r="B60" s="21" t="s">
        <v>1028</v>
      </c>
      <c r="C60" s="21" t="s">
        <v>1029</v>
      </c>
      <c r="D60" s="21"/>
      <c r="E60" s="21" t="s">
        <v>1023</v>
      </c>
      <c r="F60" s="21"/>
      <c r="G60" s="21"/>
      <c r="H60" s="21"/>
      <c r="I60" s="21"/>
      <c r="J60" s="21"/>
      <c r="K60" s="21"/>
      <c r="L60" s="21"/>
    </row>
    <row r="61" spans="1:12" ht="43.5" x14ac:dyDescent="0.35">
      <c r="A61" s="21" t="s">
        <v>1020</v>
      </c>
      <c r="B61" s="21" t="s">
        <v>1030</v>
      </c>
      <c r="C61" s="21" t="s">
        <v>1031</v>
      </c>
      <c r="D61" s="21"/>
      <c r="E61" s="21" t="s">
        <v>1023</v>
      </c>
      <c r="F61" s="21"/>
      <c r="G61" s="21"/>
      <c r="H61" s="21"/>
      <c r="I61" s="21"/>
      <c r="J61" s="21"/>
      <c r="K61" s="21"/>
      <c r="L61" s="21"/>
    </row>
    <row r="62" spans="1:12" ht="43.5" x14ac:dyDescent="0.35">
      <c r="A62" s="21" t="s">
        <v>1020</v>
      </c>
      <c r="B62" s="21" t="s">
        <v>1032</v>
      </c>
      <c r="C62" s="21" t="s">
        <v>1033</v>
      </c>
      <c r="D62" s="21"/>
      <c r="E62" s="21" t="s">
        <v>1023</v>
      </c>
      <c r="F62" s="21"/>
      <c r="G62" s="21"/>
      <c r="H62" s="21"/>
      <c r="I62" s="21"/>
      <c r="J62" s="21"/>
      <c r="K62" s="21"/>
      <c r="L62" s="21"/>
    </row>
    <row r="63" spans="1:12" ht="29" x14ac:dyDescent="0.35">
      <c r="A63" s="21" t="s">
        <v>428</v>
      </c>
      <c r="B63" s="21" t="s">
        <v>1034</v>
      </c>
      <c r="C63" s="21" t="s">
        <v>1035</v>
      </c>
      <c r="D63" s="21"/>
      <c r="E63" s="21" t="s">
        <v>996</v>
      </c>
      <c r="F63" s="21"/>
      <c r="G63" s="21"/>
      <c r="H63" s="21"/>
      <c r="I63" s="21"/>
      <c r="J63" s="21"/>
      <c r="K63" s="21"/>
      <c r="L63" s="21"/>
    </row>
    <row r="64" spans="1:12" ht="43.5" x14ac:dyDescent="0.35">
      <c r="A64" s="21" t="s">
        <v>428</v>
      </c>
      <c r="B64" s="21" t="s">
        <v>1036</v>
      </c>
      <c r="C64" s="21" t="s">
        <v>1037</v>
      </c>
      <c r="D64" s="21"/>
      <c r="E64" s="21" t="s">
        <v>996</v>
      </c>
      <c r="F64" s="21"/>
      <c r="G64" s="21"/>
      <c r="H64" s="21"/>
      <c r="I64" s="21"/>
      <c r="J64" s="21"/>
      <c r="K64" s="21"/>
      <c r="L64" s="21"/>
    </row>
    <row r="65" spans="1:12" ht="29" x14ac:dyDescent="0.35">
      <c r="A65" s="21" t="s">
        <v>428</v>
      </c>
      <c r="B65" s="21" t="s">
        <v>1038</v>
      </c>
      <c r="C65" s="21" t="s">
        <v>1039</v>
      </c>
      <c r="D65" s="21"/>
      <c r="E65" s="21" t="s">
        <v>996</v>
      </c>
      <c r="F65" s="21"/>
      <c r="G65" s="21"/>
      <c r="H65" s="21"/>
      <c r="I65" s="21"/>
      <c r="J65" s="21"/>
      <c r="K65" s="21"/>
      <c r="L65" s="21"/>
    </row>
    <row r="66" spans="1:12" ht="43.5" x14ac:dyDescent="0.35">
      <c r="A66" s="21" t="s">
        <v>428</v>
      </c>
      <c r="B66" s="21" t="s">
        <v>1040</v>
      </c>
      <c r="C66" s="21" t="s">
        <v>1041</v>
      </c>
      <c r="D66" s="21"/>
      <c r="E66" s="21" t="s">
        <v>996</v>
      </c>
      <c r="F66" s="21"/>
      <c r="G66" s="21"/>
      <c r="H66" s="21"/>
      <c r="I66" s="21"/>
      <c r="J66" s="21"/>
      <c r="K66" s="21"/>
      <c r="L66" s="21"/>
    </row>
    <row r="67" spans="1:12" ht="29" x14ac:dyDescent="0.35">
      <c r="A67" s="21" t="s">
        <v>428</v>
      </c>
      <c r="B67" s="21" t="s">
        <v>1042</v>
      </c>
      <c r="C67" s="21" t="s">
        <v>1043</v>
      </c>
      <c r="D67" s="21"/>
      <c r="E67" s="21" t="s">
        <v>996</v>
      </c>
      <c r="F67" s="21"/>
      <c r="G67" s="21"/>
      <c r="H67" s="21"/>
      <c r="I67" s="21"/>
      <c r="J67" s="21"/>
      <c r="K67" s="21"/>
      <c r="L67" s="21"/>
    </row>
    <row r="68" spans="1:12" ht="29" x14ac:dyDescent="0.35">
      <c r="A68" s="21" t="s">
        <v>428</v>
      </c>
      <c r="B68" s="21" t="s">
        <v>1044</v>
      </c>
      <c r="C68" s="21" t="s">
        <v>1045</v>
      </c>
      <c r="D68" s="21"/>
      <c r="E68" s="21" t="s">
        <v>996</v>
      </c>
      <c r="F68" s="21"/>
      <c r="G68" s="21"/>
      <c r="H68" s="21"/>
      <c r="I68" s="21"/>
      <c r="J68" s="21"/>
      <c r="K68" s="21"/>
      <c r="L68" s="21"/>
    </row>
    <row r="69" spans="1:12" ht="29" x14ac:dyDescent="0.35">
      <c r="A69" s="21" t="s">
        <v>1046</v>
      </c>
      <c r="B69" s="21" t="s">
        <v>1047</v>
      </c>
      <c r="C69" s="21" t="s">
        <v>1048</v>
      </c>
      <c r="D69" s="21"/>
      <c r="E69" s="21" t="s">
        <v>996</v>
      </c>
      <c r="F69" s="21"/>
      <c r="G69" s="21"/>
      <c r="H69" s="21"/>
      <c r="I69" s="21"/>
      <c r="J69" s="21"/>
      <c r="K69" s="21"/>
      <c r="L69" s="21"/>
    </row>
    <row r="70" spans="1:12" ht="29" x14ac:dyDescent="0.35">
      <c r="A70" s="21" t="s">
        <v>1046</v>
      </c>
      <c r="B70" s="21" t="s">
        <v>1049</v>
      </c>
      <c r="C70" s="21" t="s">
        <v>1050</v>
      </c>
      <c r="D70" s="21"/>
      <c r="E70" s="21" t="s">
        <v>996</v>
      </c>
      <c r="F70" s="21"/>
      <c r="G70" s="21"/>
      <c r="H70" s="21"/>
      <c r="I70" s="21"/>
      <c r="J70" s="21"/>
      <c r="K70" s="21"/>
      <c r="L70" s="21"/>
    </row>
    <row r="71" spans="1:12" ht="29" x14ac:dyDescent="0.35">
      <c r="A71" s="21" t="s">
        <v>1046</v>
      </c>
      <c r="B71" s="21" t="s">
        <v>1051</v>
      </c>
      <c r="C71" s="21" t="s">
        <v>1052</v>
      </c>
      <c r="D71" s="21"/>
      <c r="E71" s="21" t="s">
        <v>996</v>
      </c>
      <c r="F71" s="21"/>
      <c r="G71" s="21"/>
      <c r="H71" s="21"/>
      <c r="I71" s="21"/>
      <c r="J71" s="21"/>
      <c r="K71" s="21"/>
      <c r="L71" s="21"/>
    </row>
    <row r="72" spans="1:12" ht="29" x14ac:dyDescent="0.35">
      <c r="A72" s="21" t="s">
        <v>1046</v>
      </c>
      <c r="B72" s="21" t="s">
        <v>1053</v>
      </c>
      <c r="C72" s="21" t="s">
        <v>1054</v>
      </c>
      <c r="D72" s="21"/>
      <c r="E72" s="21" t="s">
        <v>996</v>
      </c>
      <c r="F72" s="21"/>
      <c r="G72" s="21"/>
      <c r="H72" s="21"/>
      <c r="I72" s="21"/>
      <c r="J72" s="21"/>
      <c r="K72" s="21"/>
      <c r="L72" s="21"/>
    </row>
    <row r="73" spans="1:12" ht="29" x14ac:dyDescent="0.35">
      <c r="A73" s="21" t="s">
        <v>1046</v>
      </c>
      <c r="B73" s="21" t="s">
        <v>1055</v>
      </c>
      <c r="C73" s="21" t="s">
        <v>1056</v>
      </c>
      <c r="D73" s="21"/>
      <c r="E73" s="21" t="s">
        <v>996</v>
      </c>
      <c r="F73" s="21"/>
      <c r="G73" s="21"/>
      <c r="H73" s="21"/>
      <c r="I73" s="21"/>
      <c r="J73" s="21"/>
      <c r="K73" s="21"/>
      <c r="L73" s="21"/>
    </row>
    <row r="74" spans="1:12" ht="29" x14ac:dyDescent="0.35">
      <c r="A74" s="21" t="s">
        <v>1046</v>
      </c>
      <c r="B74" s="21" t="s">
        <v>1057</v>
      </c>
      <c r="C74" s="21" t="s">
        <v>1058</v>
      </c>
      <c r="D74" s="21"/>
      <c r="E74" s="21" t="s">
        <v>996</v>
      </c>
      <c r="F74" s="21"/>
      <c r="G74" s="21"/>
      <c r="H74" s="21"/>
      <c r="I74" s="21"/>
      <c r="J74" s="21"/>
      <c r="K74" s="21"/>
      <c r="L74" s="21"/>
    </row>
    <row r="75" spans="1:12" ht="29" x14ac:dyDescent="0.35">
      <c r="A75" s="21" t="s">
        <v>1059</v>
      </c>
      <c r="B75" s="21" t="s">
        <v>1060</v>
      </c>
      <c r="C75" s="21" t="s">
        <v>1061</v>
      </c>
      <c r="D75" s="21"/>
      <c r="E75" s="21" t="s">
        <v>996</v>
      </c>
      <c r="F75" s="21"/>
      <c r="G75" s="21"/>
      <c r="H75" s="21"/>
      <c r="I75" s="21"/>
      <c r="J75" s="21"/>
      <c r="K75" s="21"/>
      <c r="L75" s="21"/>
    </row>
    <row r="76" spans="1:12" ht="43.5" x14ac:dyDescent="0.35">
      <c r="A76" s="21" t="s">
        <v>1059</v>
      </c>
      <c r="B76" s="21" t="s">
        <v>1062</v>
      </c>
      <c r="C76" s="21" t="s">
        <v>1063</v>
      </c>
      <c r="D76" s="21"/>
      <c r="E76" s="21" t="s">
        <v>996</v>
      </c>
      <c r="F76" s="21"/>
      <c r="G76" s="21"/>
      <c r="H76" s="21"/>
      <c r="I76" s="21"/>
      <c r="J76" s="21"/>
      <c r="K76" s="21"/>
      <c r="L76" s="21"/>
    </row>
    <row r="77" spans="1:12" ht="29" x14ac:dyDescent="0.35">
      <c r="A77" s="21" t="s">
        <v>1059</v>
      </c>
      <c r="B77" s="21" t="s">
        <v>1064</v>
      </c>
      <c r="C77" s="21" t="s">
        <v>1065</v>
      </c>
      <c r="D77" s="21"/>
      <c r="E77" s="21" t="s">
        <v>996</v>
      </c>
      <c r="F77" s="21"/>
      <c r="G77" s="21"/>
      <c r="H77" s="21"/>
      <c r="I77" s="21"/>
      <c r="J77" s="21"/>
      <c r="K77" s="21"/>
      <c r="L77" s="21"/>
    </row>
    <row r="78" spans="1:12" ht="29" x14ac:dyDescent="0.35">
      <c r="A78" s="21" t="s">
        <v>1059</v>
      </c>
      <c r="B78" s="21" t="s">
        <v>1066</v>
      </c>
      <c r="C78" s="21" t="s">
        <v>1067</v>
      </c>
      <c r="D78" s="21"/>
      <c r="E78" s="21" t="s">
        <v>996</v>
      </c>
      <c r="F78" s="21"/>
      <c r="G78" s="21"/>
      <c r="H78" s="21"/>
      <c r="I78" s="21"/>
      <c r="J78" s="21"/>
      <c r="K78" s="21"/>
      <c r="L78" s="21"/>
    </row>
    <row r="79" spans="1:12" ht="29" x14ac:dyDescent="0.35">
      <c r="A79" s="21" t="s">
        <v>1059</v>
      </c>
      <c r="B79" s="21" t="s">
        <v>1068</v>
      </c>
      <c r="C79" s="21" t="s">
        <v>1069</v>
      </c>
      <c r="D79" s="21"/>
      <c r="E79" s="21" t="s">
        <v>996</v>
      </c>
      <c r="F79" s="21"/>
      <c r="G79" s="21"/>
      <c r="H79" s="21"/>
      <c r="I79" s="21"/>
      <c r="J79" s="21"/>
      <c r="K79" s="21"/>
      <c r="L79" s="21"/>
    </row>
    <row r="80" spans="1:12" ht="29" x14ac:dyDescent="0.35">
      <c r="A80" s="21" t="s">
        <v>1059</v>
      </c>
      <c r="B80" s="21" t="s">
        <v>1070</v>
      </c>
      <c r="C80" s="21" t="s">
        <v>1071</v>
      </c>
      <c r="D80" s="21"/>
      <c r="E80" s="21" t="s">
        <v>996</v>
      </c>
      <c r="F80" s="21"/>
      <c r="G80" s="21"/>
      <c r="H80" s="21"/>
      <c r="I80" s="21"/>
      <c r="J80" s="21"/>
      <c r="K80" s="21"/>
      <c r="L80" s="21"/>
    </row>
    <row r="81" spans="1:12" ht="29" x14ac:dyDescent="0.35">
      <c r="A81" s="21" t="s">
        <v>1072</v>
      </c>
      <c r="B81" s="21" t="s">
        <v>1073</v>
      </c>
      <c r="C81" s="21" t="s">
        <v>1074</v>
      </c>
      <c r="D81" s="21"/>
      <c r="E81" s="21" t="s">
        <v>996</v>
      </c>
      <c r="F81" s="21"/>
      <c r="G81" s="21"/>
      <c r="H81" s="21"/>
      <c r="I81" s="21"/>
      <c r="J81" s="21"/>
      <c r="K81" s="21"/>
      <c r="L81" s="21"/>
    </row>
    <row r="82" spans="1:12" ht="29" x14ac:dyDescent="0.35">
      <c r="A82" s="21" t="s">
        <v>1072</v>
      </c>
      <c r="B82" s="21" t="s">
        <v>1075</v>
      </c>
      <c r="C82" s="21" t="s">
        <v>1076</v>
      </c>
      <c r="D82" s="21"/>
      <c r="E82" s="21" t="s">
        <v>996</v>
      </c>
      <c r="F82" s="21"/>
      <c r="G82" s="21"/>
      <c r="H82" s="21"/>
      <c r="I82" s="21"/>
      <c r="J82" s="21"/>
      <c r="K82" s="21"/>
      <c r="L82" s="21"/>
    </row>
    <row r="83" spans="1:12" ht="29" x14ac:dyDescent="0.35">
      <c r="A83" s="21" t="s">
        <v>1072</v>
      </c>
      <c r="B83" s="21" t="s">
        <v>1077</v>
      </c>
      <c r="C83" s="21" t="s">
        <v>1078</v>
      </c>
      <c r="D83" s="21"/>
      <c r="E83" s="21" t="s">
        <v>996</v>
      </c>
      <c r="F83" s="21"/>
      <c r="G83" s="21"/>
      <c r="H83" s="21"/>
      <c r="I83" s="21"/>
      <c r="J83" s="21"/>
      <c r="K83" s="21"/>
      <c r="L83" s="21"/>
    </row>
    <row r="84" spans="1:12" ht="29" x14ac:dyDescent="0.35">
      <c r="A84" s="21" t="s">
        <v>1072</v>
      </c>
      <c r="B84" s="21" t="s">
        <v>1079</v>
      </c>
      <c r="C84" s="21" t="s">
        <v>1080</v>
      </c>
      <c r="D84" s="21"/>
      <c r="E84" s="21" t="s">
        <v>996</v>
      </c>
      <c r="F84" s="21"/>
      <c r="G84" s="21"/>
      <c r="H84" s="21"/>
      <c r="I84" s="21"/>
      <c r="J84" s="21"/>
      <c r="K84" s="21"/>
      <c r="L84" s="21"/>
    </row>
    <row r="85" spans="1:12" ht="29" x14ac:dyDescent="0.35">
      <c r="A85" s="21" t="s">
        <v>1072</v>
      </c>
      <c r="B85" s="21" t="s">
        <v>1081</v>
      </c>
      <c r="C85" s="21" t="s">
        <v>1082</v>
      </c>
      <c r="D85" s="21"/>
      <c r="E85" s="21" t="s">
        <v>996</v>
      </c>
      <c r="F85" s="21"/>
      <c r="G85" s="21"/>
      <c r="H85" s="21"/>
      <c r="I85" s="21"/>
      <c r="J85" s="21"/>
      <c r="K85" s="21"/>
      <c r="L85" s="21"/>
    </row>
    <row r="86" spans="1:12" ht="29" x14ac:dyDescent="0.35">
      <c r="A86" s="21" t="s">
        <v>1072</v>
      </c>
      <c r="B86" s="21" t="s">
        <v>1083</v>
      </c>
      <c r="C86" s="21" t="s">
        <v>1084</v>
      </c>
      <c r="D86" s="21"/>
      <c r="E86" s="21" t="s">
        <v>996</v>
      </c>
      <c r="F86" s="21"/>
      <c r="G86" s="21"/>
      <c r="H86" s="21"/>
      <c r="I86" s="21"/>
      <c r="J86" s="21"/>
      <c r="K86" s="21"/>
      <c r="L86" s="21"/>
    </row>
    <row r="87" spans="1:12" ht="29" x14ac:dyDescent="0.35">
      <c r="A87" s="21" t="s">
        <v>1085</v>
      </c>
      <c r="B87" s="21" t="s">
        <v>1086</v>
      </c>
      <c r="C87" s="21" t="s">
        <v>1087</v>
      </c>
      <c r="D87" s="21"/>
      <c r="E87" s="21" t="s">
        <v>996</v>
      </c>
      <c r="F87" s="21"/>
      <c r="G87" s="21"/>
      <c r="H87" s="21"/>
      <c r="I87" s="21"/>
      <c r="J87" s="21"/>
      <c r="K87" s="21"/>
      <c r="L87" s="21"/>
    </row>
    <row r="88" spans="1:12" ht="29" x14ac:dyDescent="0.35">
      <c r="A88" s="21" t="s">
        <v>1085</v>
      </c>
      <c r="B88" s="21" t="s">
        <v>1088</v>
      </c>
      <c r="C88" s="21" t="s">
        <v>1089</v>
      </c>
      <c r="D88" s="21"/>
      <c r="E88" s="21" t="s">
        <v>996</v>
      </c>
      <c r="F88" s="21"/>
      <c r="G88" s="21"/>
      <c r="H88" s="21"/>
      <c r="I88" s="21"/>
      <c r="J88" s="21"/>
      <c r="K88" s="21"/>
      <c r="L88" s="21"/>
    </row>
    <row r="89" spans="1:12" ht="29" x14ac:dyDescent="0.35">
      <c r="A89" s="21" t="s">
        <v>1085</v>
      </c>
      <c r="B89" s="21" t="s">
        <v>1090</v>
      </c>
      <c r="C89" s="21" t="s">
        <v>1091</v>
      </c>
      <c r="D89" s="21"/>
      <c r="E89" s="21" t="s">
        <v>996</v>
      </c>
      <c r="F89" s="21"/>
      <c r="G89" s="21"/>
      <c r="H89" s="21"/>
      <c r="I89" s="21"/>
      <c r="J89" s="21"/>
      <c r="K89" s="21"/>
      <c r="L89" s="21"/>
    </row>
    <row r="90" spans="1:12" ht="29" x14ac:dyDescent="0.35">
      <c r="A90" s="21" t="s">
        <v>1085</v>
      </c>
      <c r="B90" s="21" t="s">
        <v>1092</v>
      </c>
      <c r="C90" s="21" t="s">
        <v>1093</v>
      </c>
      <c r="D90" s="21"/>
      <c r="E90" s="21" t="s">
        <v>996</v>
      </c>
      <c r="F90" s="21"/>
      <c r="G90" s="21"/>
      <c r="H90" s="21"/>
      <c r="I90" s="21"/>
      <c r="J90" s="21"/>
      <c r="K90" s="21"/>
      <c r="L90" s="21"/>
    </row>
    <row r="91" spans="1:12" ht="29" x14ac:dyDescent="0.35">
      <c r="A91" s="21" t="s">
        <v>1085</v>
      </c>
      <c r="B91" s="21" t="s">
        <v>1094</v>
      </c>
      <c r="C91" s="21" t="s">
        <v>1095</v>
      </c>
      <c r="D91" s="21"/>
      <c r="E91" s="21" t="s">
        <v>996</v>
      </c>
      <c r="F91" s="21"/>
      <c r="G91" s="21"/>
      <c r="H91" s="21"/>
      <c r="I91" s="21"/>
      <c r="J91" s="21"/>
      <c r="K91" s="21"/>
      <c r="L91" s="21"/>
    </row>
    <row r="92" spans="1:12" ht="29" x14ac:dyDescent="0.35">
      <c r="A92" s="21" t="s">
        <v>1085</v>
      </c>
      <c r="B92" s="21" t="s">
        <v>1096</v>
      </c>
      <c r="C92" s="21" t="s">
        <v>1097</v>
      </c>
      <c r="D92" s="21"/>
      <c r="E92" s="21" t="s">
        <v>996</v>
      </c>
      <c r="F92" s="21"/>
      <c r="G92" s="21"/>
      <c r="H92" s="21"/>
      <c r="I92" s="21"/>
      <c r="J92" s="21"/>
      <c r="K92" s="21"/>
      <c r="L92" s="21"/>
    </row>
    <row r="93" spans="1:12" ht="29" x14ac:dyDescent="0.35">
      <c r="A93" s="21" t="s">
        <v>1098</v>
      </c>
      <c r="B93" s="21" t="s">
        <v>1099</v>
      </c>
      <c r="C93" s="21" t="s">
        <v>1100</v>
      </c>
      <c r="D93" s="21"/>
      <c r="E93" s="21" t="s">
        <v>996</v>
      </c>
      <c r="F93" s="21"/>
      <c r="G93" s="21"/>
      <c r="H93" s="21"/>
      <c r="I93" s="21"/>
      <c r="J93" s="21"/>
      <c r="K93" s="21"/>
      <c r="L93" s="21"/>
    </row>
    <row r="94" spans="1:12" ht="29" x14ac:dyDescent="0.35">
      <c r="A94" s="21" t="s">
        <v>1098</v>
      </c>
      <c r="B94" s="21" t="s">
        <v>1101</v>
      </c>
      <c r="C94" s="21" t="s">
        <v>1102</v>
      </c>
      <c r="D94" s="21"/>
      <c r="E94" s="21" t="s">
        <v>996</v>
      </c>
      <c r="F94" s="21"/>
      <c r="G94" s="21"/>
      <c r="H94" s="21"/>
      <c r="I94" s="21"/>
      <c r="J94" s="21"/>
      <c r="K94" s="21"/>
      <c r="L94" s="21"/>
    </row>
    <row r="95" spans="1:12" ht="29" x14ac:dyDescent="0.35">
      <c r="A95" s="21" t="s">
        <v>1098</v>
      </c>
      <c r="B95" s="21" t="s">
        <v>1103</v>
      </c>
      <c r="C95" s="21" t="s">
        <v>1104</v>
      </c>
      <c r="D95" s="21"/>
      <c r="E95" s="21" t="s">
        <v>996</v>
      </c>
      <c r="F95" s="21"/>
      <c r="G95" s="21"/>
      <c r="H95" s="21"/>
      <c r="I95" s="21"/>
      <c r="J95" s="21"/>
      <c r="K95" s="21"/>
      <c r="L95" s="21"/>
    </row>
    <row r="96" spans="1:12" ht="29" x14ac:dyDescent="0.35">
      <c r="A96" s="21" t="s">
        <v>1098</v>
      </c>
      <c r="B96" s="21" t="s">
        <v>1105</v>
      </c>
      <c r="C96" s="21" t="s">
        <v>1106</v>
      </c>
      <c r="D96" s="21"/>
      <c r="E96" s="21" t="s">
        <v>996</v>
      </c>
      <c r="F96" s="21"/>
      <c r="G96" s="21"/>
      <c r="H96" s="21"/>
      <c r="I96" s="21"/>
      <c r="J96" s="21"/>
      <c r="K96" s="21"/>
      <c r="L96" s="21"/>
    </row>
    <row r="97" spans="1:12" ht="29" x14ac:dyDescent="0.35">
      <c r="A97" s="21" t="s">
        <v>1098</v>
      </c>
      <c r="B97" s="21" t="s">
        <v>1107</v>
      </c>
      <c r="C97" s="21" t="s">
        <v>1108</v>
      </c>
      <c r="D97" s="21"/>
      <c r="E97" s="21" t="s">
        <v>996</v>
      </c>
      <c r="F97" s="21"/>
      <c r="G97" s="21"/>
      <c r="H97" s="21"/>
      <c r="I97" s="21"/>
      <c r="J97" s="21"/>
      <c r="K97" s="21"/>
      <c r="L97" s="21"/>
    </row>
    <row r="98" spans="1:12" ht="29" x14ac:dyDescent="0.35">
      <c r="A98" s="21" t="s">
        <v>1098</v>
      </c>
      <c r="B98" s="21" t="s">
        <v>1109</v>
      </c>
      <c r="C98" s="21" t="s">
        <v>1110</v>
      </c>
      <c r="D98" s="21"/>
      <c r="E98" s="21" t="s">
        <v>996</v>
      </c>
      <c r="F98" s="21"/>
      <c r="G98" s="21"/>
      <c r="H98" s="21"/>
      <c r="I98" s="21"/>
      <c r="J98" s="21"/>
      <c r="K98" s="21"/>
      <c r="L98" s="21"/>
    </row>
    <row r="99" spans="1:12" ht="29" x14ac:dyDescent="0.35">
      <c r="A99" s="21" t="s">
        <v>1111</v>
      </c>
      <c r="B99" s="21" t="s">
        <v>1112</v>
      </c>
      <c r="C99" s="21" t="s">
        <v>1113</v>
      </c>
      <c r="D99" s="21"/>
      <c r="E99" s="21" t="s">
        <v>1114</v>
      </c>
      <c r="F99" s="21"/>
      <c r="G99" s="21"/>
      <c r="H99" s="21"/>
      <c r="I99" s="21"/>
      <c r="J99" s="21"/>
      <c r="K99" s="21"/>
      <c r="L99" s="21"/>
    </row>
    <row r="100" spans="1:12" ht="29" x14ac:dyDescent="0.35">
      <c r="A100" s="21" t="s">
        <v>1111</v>
      </c>
      <c r="B100" s="21" t="s">
        <v>1115</v>
      </c>
      <c r="C100" s="21" t="s">
        <v>1116</v>
      </c>
      <c r="D100" s="21"/>
      <c r="E100" s="21" t="s">
        <v>1114</v>
      </c>
      <c r="F100" s="21"/>
      <c r="G100" s="21"/>
      <c r="H100" s="21"/>
      <c r="I100" s="21"/>
      <c r="J100" s="21"/>
      <c r="K100" s="21"/>
      <c r="L100" s="21"/>
    </row>
    <row r="101" spans="1:12" ht="29" x14ac:dyDescent="0.35">
      <c r="A101" s="21" t="s">
        <v>1111</v>
      </c>
      <c r="B101" s="21" t="s">
        <v>1117</v>
      </c>
      <c r="C101" s="21" t="s">
        <v>1118</v>
      </c>
      <c r="D101" s="21"/>
      <c r="E101" s="21" t="s">
        <v>1114</v>
      </c>
      <c r="F101" s="21"/>
      <c r="G101" s="21"/>
      <c r="H101" s="21"/>
      <c r="I101" s="21"/>
      <c r="J101" s="21"/>
      <c r="K101" s="21"/>
      <c r="L101" s="21"/>
    </row>
    <row r="102" spans="1:12" ht="29" x14ac:dyDescent="0.35">
      <c r="A102" s="21" t="s">
        <v>1111</v>
      </c>
      <c r="B102" s="21" t="s">
        <v>1119</v>
      </c>
      <c r="C102" s="21" t="s">
        <v>1120</v>
      </c>
      <c r="D102" s="21"/>
      <c r="E102" s="21" t="s">
        <v>1114</v>
      </c>
      <c r="F102" s="21"/>
      <c r="G102" s="21"/>
      <c r="H102" s="21"/>
      <c r="I102" s="21"/>
      <c r="J102" s="21"/>
      <c r="K102" s="21"/>
      <c r="L102" s="21"/>
    </row>
    <row r="103" spans="1:12" ht="29" x14ac:dyDescent="0.35">
      <c r="A103" s="21" t="s">
        <v>1111</v>
      </c>
      <c r="B103" s="21" t="s">
        <v>1121</v>
      </c>
      <c r="C103" s="21" t="s">
        <v>1122</v>
      </c>
      <c r="D103" s="21"/>
      <c r="E103" s="21" t="s">
        <v>1114</v>
      </c>
      <c r="F103" s="21"/>
      <c r="G103" s="21"/>
      <c r="H103" s="21"/>
      <c r="I103" s="21"/>
      <c r="J103" s="21"/>
      <c r="K103" s="21"/>
      <c r="L103" s="21"/>
    </row>
    <row r="104" spans="1:12" ht="29" x14ac:dyDescent="0.35">
      <c r="A104" s="21" t="s">
        <v>1111</v>
      </c>
      <c r="B104" s="21" t="s">
        <v>1123</v>
      </c>
      <c r="C104" s="21" t="s">
        <v>1124</v>
      </c>
      <c r="D104" s="21"/>
      <c r="E104" s="21" t="s">
        <v>1114</v>
      </c>
      <c r="F104" s="21"/>
      <c r="G104" s="21"/>
      <c r="H104" s="21"/>
      <c r="I104" s="21"/>
      <c r="J104" s="21"/>
      <c r="K104" s="21"/>
      <c r="L104" s="21"/>
    </row>
    <row r="105" spans="1:12" ht="29" x14ac:dyDescent="0.35">
      <c r="A105" s="21" t="s">
        <v>1125</v>
      </c>
      <c r="B105" s="21" t="s">
        <v>1126</v>
      </c>
      <c r="C105" s="21" t="s">
        <v>1127</v>
      </c>
      <c r="D105" s="21"/>
      <c r="E105" s="21" t="s">
        <v>1114</v>
      </c>
      <c r="F105" s="21"/>
      <c r="G105" s="21"/>
      <c r="H105" s="21"/>
      <c r="I105" s="21"/>
      <c r="J105" s="21"/>
      <c r="K105" s="21"/>
      <c r="L105" s="21"/>
    </row>
    <row r="106" spans="1:12" ht="29" x14ac:dyDescent="0.35">
      <c r="A106" s="21" t="s">
        <v>1125</v>
      </c>
      <c r="B106" s="21" t="s">
        <v>1128</v>
      </c>
      <c r="C106" s="21" t="s">
        <v>1129</v>
      </c>
      <c r="D106" s="21"/>
      <c r="E106" s="21" t="s">
        <v>1114</v>
      </c>
      <c r="F106" s="21"/>
      <c r="G106" s="21"/>
      <c r="H106" s="21"/>
      <c r="I106" s="21"/>
      <c r="J106" s="21"/>
      <c r="K106" s="21"/>
      <c r="L106" s="21"/>
    </row>
    <row r="107" spans="1:12" ht="43.5" x14ac:dyDescent="0.35">
      <c r="A107" s="21" t="s">
        <v>1125</v>
      </c>
      <c r="B107" s="21" t="s">
        <v>1130</v>
      </c>
      <c r="C107" s="21" t="s">
        <v>1131</v>
      </c>
      <c r="D107" s="21"/>
      <c r="E107" s="21" t="s">
        <v>1114</v>
      </c>
      <c r="F107" s="21"/>
      <c r="G107" s="21"/>
      <c r="H107" s="21"/>
      <c r="I107" s="21"/>
      <c r="J107" s="21"/>
      <c r="K107" s="21"/>
      <c r="L107" s="21"/>
    </row>
    <row r="108" spans="1:12" ht="29" x14ac:dyDescent="0.35">
      <c r="A108" s="21" t="s">
        <v>1125</v>
      </c>
      <c r="B108" s="21" t="s">
        <v>1132</v>
      </c>
      <c r="C108" s="21" t="s">
        <v>1133</v>
      </c>
      <c r="D108" s="21"/>
      <c r="E108" s="21" t="s">
        <v>1114</v>
      </c>
      <c r="F108" s="21"/>
      <c r="G108" s="21"/>
      <c r="H108" s="21"/>
      <c r="I108" s="21"/>
      <c r="J108" s="21"/>
      <c r="K108" s="21"/>
      <c r="L108" s="21"/>
    </row>
    <row r="109" spans="1:12" ht="29" x14ac:dyDescent="0.35">
      <c r="A109" s="21" t="s">
        <v>1125</v>
      </c>
      <c r="B109" s="21" t="s">
        <v>1134</v>
      </c>
      <c r="C109" s="21" t="s">
        <v>1135</v>
      </c>
      <c r="D109" s="21"/>
      <c r="E109" s="21" t="s">
        <v>1114</v>
      </c>
      <c r="F109" s="21"/>
      <c r="G109" s="21"/>
      <c r="H109" s="21"/>
      <c r="I109" s="21"/>
      <c r="J109" s="21"/>
      <c r="K109" s="21"/>
      <c r="L109" s="21"/>
    </row>
    <row r="110" spans="1:12" ht="29" x14ac:dyDescent="0.35">
      <c r="A110" s="21" t="s">
        <v>1125</v>
      </c>
      <c r="B110" s="21" t="s">
        <v>1136</v>
      </c>
      <c r="C110" s="21" t="s">
        <v>1137</v>
      </c>
      <c r="D110" s="21"/>
      <c r="E110" s="21" t="s">
        <v>1114</v>
      </c>
      <c r="F110" s="21"/>
      <c r="G110" s="21"/>
      <c r="H110" s="21"/>
      <c r="I110" s="21"/>
      <c r="J110" s="21"/>
      <c r="K110" s="21"/>
      <c r="L110" s="21"/>
    </row>
    <row r="111" spans="1:12" ht="29" x14ac:dyDescent="0.35">
      <c r="A111" s="21" t="s">
        <v>1138</v>
      </c>
      <c r="B111" s="21" t="s">
        <v>1139</v>
      </c>
      <c r="C111" s="21" t="s">
        <v>1140</v>
      </c>
      <c r="D111" s="21"/>
      <c r="E111" s="21" t="s">
        <v>996</v>
      </c>
      <c r="F111" s="21"/>
      <c r="G111" s="21"/>
      <c r="H111" s="21"/>
      <c r="I111" s="21"/>
      <c r="J111" s="21"/>
      <c r="K111" s="21"/>
      <c r="L111" s="21"/>
    </row>
    <row r="112" spans="1:12" ht="29" x14ac:dyDescent="0.35">
      <c r="A112" s="21" t="s">
        <v>1138</v>
      </c>
      <c r="B112" s="21" t="s">
        <v>1141</v>
      </c>
      <c r="C112" s="21" t="s">
        <v>1142</v>
      </c>
      <c r="D112" s="21"/>
      <c r="E112" s="21" t="s">
        <v>996</v>
      </c>
      <c r="F112" s="21"/>
      <c r="G112" s="21"/>
      <c r="H112" s="21"/>
      <c r="I112" s="21"/>
      <c r="J112" s="21"/>
      <c r="K112" s="21"/>
      <c r="L112" s="21"/>
    </row>
    <row r="113" spans="1:12" ht="29" x14ac:dyDescent="0.35">
      <c r="A113" s="21" t="s">
        <v>1138</v>
      </c>
      <c r="B113" s="21" t="s">
        <v>1143</v>
      </c>
      <c r="C113" s="21" t="s">
        <v>1144</v>
      </c>
      <c r="D113" s="21"/>
      <c r="E113" s="21" t="s">
        <v>996</v>
      </c>
      <c r="F113" s="21"/>
      <c r="G113" s="21"/>
      <c r="H113" s="21"/>
      <c r="I113" s="21"/>
      <c r="J113" s="21"/>
      <c r="K113" s="21"/>
      <c r="L113" s="21"/>
    </row>
    <row r="114" spans="1:12" ht="29" x14ac:dyDescent="0.35">
      <c r="A114" s="21" t="s">
        <v>1138</v>
      </c>
      <c r="B114" s="21" t="s">
        <v>1145</v>
      </c>
      <c r="C114" s="21" t="s">
        <v>1146</v>
      </c>
      <c r="D114" s="21"/>
      <c r="E114" s="21" t="s">
        <v>996</v>
      </c>
      <c r="F114" s="21"/>
      <c r="G114" s="21"/>
      <c r="H114" s="21"/>
      <c r="I114" s="21"/>
      <c r="J114" s="21"/>
      <c r="K114" s="21"/>
      <c r="L114" s="21"/>
    </row>
    <row r="115" spans="1:12" ht="29" x14ac:dyDescent="0.35">
      <c r="A115" s="21" t="s">
        <v>1138</v>
      </c>
      <c r="B115" s="21" t="s">
        <v>1147</v>
      </c>
      <c r="C115" s="21" t="s">
        <v>1148</v>
      </c>
      <c r="D115" s="21"/>
      <c r="E115" s="21" t="s">
        <v>996</v>
      </c>
      <c r="F115" s="21"/>
      <c r="G115" s="21"/>
      <c r="H115" s="21"/>
      <c r="I115" s="21"/>
      <c r="J115" s="21"/>
      <c r="K115" s="21"/>
      <c r="L115" s="21"/>
    </row>
    <row r="116" spans="1:12" ht="29" x14ac:dyDescent="0.35">
      <c r="A116" s="21" t="s">
        <v>1138</v>
      </c>
      <c r="B116" s="21" t="s">
        <v>1149</v>
      </c>
      <c r="C116" s="21" t="s">
        <v>1150</v>
      </c>
      <c r="D116" s="21"/>
      <c r="E116" s="21" t="s">
        <v>996</v>
      </c>
      <c r="F116" s="21"/>
      <c r="G116" s="21"/>
      <c r="H116" s="21"/>
      <c r="I116" s="21"/>
      <c r="J116" s="21"/>
      <c r="K116" s="21"/>
      <c r="L116" s="21"/>
    </row>
    <row r="117" spans="1:12" ht="29" x14ac:dyDescent="0.35">
      <c r="A117" s="21" t="s">
        <v>1151</v>
      </c>
      <c r="B117" s="21" t="s">
        <v>1152</v>
      </c>
      <c r="C117" s="21" t="s">
        <v>1153</v>
      </c>
      <c r="D117" s="21"/>
      <c r="E117" s="21" t="s">
        <v>996</v>
      </c>
      <c r="F117" s="21"/>
      <c r="G117" s="21"/>
      <c r="H117" s="21"/>
      <c r="I117" s="21"/>
      <c r="J117" s="21"/>
      <c r="K117" s="21"/>
      <c r="L117" s="21"/>
    </row>
    <row r="118" spans="1:12" ht="29" x14ac:dyDescent="0.35">
      <c r="A118" s="21" t="s">
        <v>1151</v>
      </c>
      <c r="B118" s="21" t="s">
        <v>1154</v>
      </c>
      <c r="C118" s="21" t="s">
        <v>1155</v>
      </c>
      <c r="D118" s="21"/>
      <c r="E118" s="21" t="s">
        <v>996</v>
      </c>
      <c r="F118" s="21"/>
      <c r="G118" s="21"/>
      <c r="H118" s="21"/>
      <c r="I118" s="21"/>
      <c r="J118" s="21"/>
      <c r="K118" s="21"/>
      <c r="L118" s="21"/>
    </row>
    <row r="119" spans="1:12" ht="29" x14ac:dyDescent="0.35">
      <c r="A119" s="21" t="s">
        <v>1151</v>
      </c>
      <c r="B119" s="21" t="s">
        <v>1156</v>
      </c>
      <c r="C119" s="21" t="s">
        <v>1157</v>
      </c>
      <c r="D119" s="21"/>
      <c r="E119" s="21" t="s">
        <v>996</v>
      </c>
      <c r="F119" s="21"/>
      <c r="G119" s="21"/>
      <c r="H119" s="21"/>
      <c r="I119" s="21"/>
      <c r="J119" s="21"/>
      <c r="K119" s="21"/>
      <c r="L119" s="21"/>
    </row>
    <row r="120" spans="1:12" ht="29" x14ac:dyDescent="0.35">
      <c r="A120" s="21" t="s">
        <v>1151</v>
      </c>
      <c r="B120" s="21" t="s">
        <v>1158</v>
      </c>
      <c r="C120" s="21" t="s">
        <v>1159</v>
      </c>
      <c r="D120" s="21"/>
      <c r="E120" s="21" t="s">
        <v>996</v>
      </c>
      <c r="F120" s="21"/>
      <c r="G120" s="21"/>
      <c r="H120" s="21"/>
      <c r="I120" s="21"/>
      <c r="J120" s="21"/>
      <c r="K120" s="21"/>
      <c r="L120" s="21"/>
    </row>
    <row r="121" spans="1:12" ht="29" x14ac:dyDescent="0.35">
      <c r="A121" s="21" t="s">
        <v>1151</v>
      </c>
      <c r="B121" s="21" t="s">
        <v>1160</v>
      </c>
      <c r="C121" s="21" t="s">
        <v>1161</v>
      </c>
      <c r="D121" s="21"/>
      <c r="E121" s="21" t="s">
        <v>996</v>
      </c>
      <c r="F121" s="21"/>
      <c r="G121" s="21"/>
      <c r="H121" s="21"/>
      <c r="I121" s="21"/>
      <c r="J121" s="21"/>
      <c r="K121" s="21"/>
      <c r="L121" s="21"/>
    </row>
    <row r="122" spans="1:12" ht="29" x14ac:dyDescent="0.35">
      <c r="A122" s="21" t="s">
        <v>1151</v>
      </c>
      <c r="B122" s="21" t="s">
        <v>1162</v>
      </c>
      <c r="C122" s="21" t="s">
        <v>1163</v>
      </c>
      <c r="D122" s="21"/>
      <c r="E122" s="21" t="s">
        <v>996</v>
      </c>
      <c r="F122" s="21"/>
      <c r="G122" s="21"/>
      <c r="H122" s="21"/>
      <c r="I122" s="21"/>
      <c r="J122" s="21"/>
      <c r="K122" s="21"/>
      <c r="L122" s="21"/>
    </row>
    <row r="123" spans="1:12" ht="29" x14ac:dyDescent="0.35">
      <c r="A123" s="21" t="s">
        <v>432</v>
      </c>
      <c r="B123" s="21" t="s">
        <v>1164</v>
      </c>
      <c r="C123" s="21" t="s">
        <v>1165</v>
      </c>
      <c r="D123" s="21"/>
      <c r="E123" s="21" t="s">
        <v>1114</v>
      </c>
      <c r="F123" s="21"/>
      <c r="G123" s="21"/>
      <c r="H123" s="21"/>
      <c r="I123" s="21"/>
      <c r="J123" s="21"/>
      <c r="K123" s="21"/>
      <c r="L123" s="21"/>
    </row>
    <row r="124" spans="1:12" ht="29" x14ac:dyDescent="0.35">
      <c r="A124" s="21" t="s">
        <v>432</v>
      </c>
      <c r="B124" s="21" t="s">
        <v>1166</v>
      </c>
      <c r="C124" s="21" t="s">
        <v>1167</v>
      </c>
      <c r="D124" s="21"/>
      <c r="E124" s="21" t="s">
        <v>1114</v>
      </c>
      <c r="F124" s="21"/>
      <c r="G124" s="21"/>
      <c r="H124" s="21"/>
      <c r="I124" s="21"/>
      <c r="J124" s="21"/>
      <c r="K124" s="21"/>
      <c r="L124" s="21"/>
    </row>
    <row r="125" spans="1:12" ht="29" x14ac:dyDescent="0.35">
      <c r="A125" s="21" t="s">
        <v>432</v>
      </c>
      <c r="B125" s="21" t="s">
        <v>1168</v>
      </c>
      <c r="C125" s="21" t="s">
        <v>1169</v>
      </c>
      <c r="D125" s="21"/>
      <c r="E125" s="21" t="s">
        <v>1114</v>
      </c>
      <c r="F125" s="21"/>
      <c r="G125" s="21"/>
      <c r="H125" s="21"/>
      <c r="I125" s="21"/>
      <c r="J125" s="21"/>
      <c r="K125" s="21"/>
      <c r="L125" s="21"/>
    </row>
    <row r="126" spans="1:12" ht="29" x14ac:dyDescent="0.35">
      <c r="A126" s="21" t="s">
        <v>432</v>
      </c>
      <c r="B126" s="21" t="s">
        <v>1170</v>
      </c>
      <c r="C126" s="21" t="s">
        <v>1171</v>
      </c>
      <c r="D126" s="21"/>
      <c r="E126" s="21" t="s">
        <v>1114</v>
      </c>
      <c r="F126" s="21"/>
      <c r="G126" s="21"/>
      <c r="H126" s="21"/>
      <c r="I126" s="21"/>
      <c r="J126" s="21"/>
      <c r="K126" s="21"/>
      <c r="L126" s="21"/>
    </row>
    <row r="127" spans="1:12" ht="29" x14ac:dyDescent="0.35">
      <c r="A127" s="21" t="s">
        <v>432</v>
      </c>
      <c r="B127" s="21" t="s">
        <v>1172</v>
      </c>
      <c r="C127" s="21" t="s">
        <v>1173</v>
      </c>
      <c r="D127" s="21"/>
      <c r="E127" s="21" t="s">
        <v>1114</v>
      </c>
      <c r="F127" s="21"/>
      <c r="G127" s="21"/>
      <c r="H127" s="21"/>
      <c r="I127" s="21"/>
      <c r="J127" s="21"/>
      <c r="K127" s="21"/>
      <c r="L127" s="21"/>
    </row>
    <row r="128" spans="1:12" ht="29" x14ac:dyDescent="0.35">
      <c r="A128" s="21" t="s">
        <v>432</v>
      </c>
      <c r="B128" s="21" t="s">
        <v>1174</v>
      </c>
      <c r="C128" s="21" t="s">
        <v>1175</v>
      </c>
      <c r="D128" s="21"/>
      <c r="E128" s="21" t="s">
        <v>1114</v>
      </c>
      <c r="F128" s="21"/>
      <c r="G128" s="21"/>
      <c r="H128" s="21"/>
      <c r="I128" s="21"/>
      <c r="J128" s="21"/>
      <c r="K128" s="21"/>
      <c r="L128" s="21"/>
    </row>
    <row r="129" spans="1:12" ht="29" x14ac:dyDescent="0.35">
      <c r="A129" s="21" t="s">
        <v>1176</v>
      </c>
      <c r="B129" s="21" t="s">
        <v>1177</v>
      </c>
      <c r="C129" s="21" t="s">
        <v>1178</v>
      </c>
      <c r="D129" s="21"/>
      <c r="E129" s="21" t="s">
        <v>996</v>
      </c>
      <c r="F129" s="21"/>
      <c r="G129" s="21"/>
      <c r="H129" s="21"/>
      <c r="I129" s="21"/>
      <c r="J129" s="21"/>
      <c r="K129" s="21"/>
      <c r="L129" s="21"/>
    </row>
    <row r="130" spans="1:12" ht="29" x14ac:dyDescent="0.35">
      <c r="A130" s="21" t="s">
        <v>1176</v>
      </c>
      <c r="B130" s="21" t="s">
        <v>1179</v>
      </c>
      <c r="C130" s="21" t="s">
        <v>1180</v>
      </c>
      <c r="D130" s="21"/>
      <c r="E130" s="21" t="s">
        <v>996</v>
      </c>
      <c r="F130" s="21"/>
      <c r="G130" s="21"/>
      <c r="H130" s="21"/>
      <c r="I130" s="21"/>
      <c r="J130" s="21"/>
      <c r="K130" s="21"/>
      <c r="L130" s="21"/>
    </row>
    <row r="131" spans="1:12" ht="29" x14ac:dyDescent="0.35">
      <c r="A131" s="21" t="s">
        <v>1176</v>
      </c>
      <c r="B131" s="21" t="s">
        <v>1181</v>
      </c>
      <c r="C131" s="21" t="s">
        <v>1182</v>
      </c>
      <c r="D131" s="21"/>
      <c r="E131" s="21" t="s">
        <v>996</v>
      </c>
      <c r="F131" s="21"/>
      <c r="G131" s="21"/>
      <c r="H131" s="21"/>
      <c r="I131" s="21"/>
      <c r="J131" s="21"/>
      <c r="K131" s="21"/>
      <c r="L131" s="21"/>
    </row>
    <row r="132" spans="1:12" ht="29" x14ac:dyDescent="0.35">
      <c r="A132" s="21" t="s">
        <v>1176</v>
      </c>
      <c r="B132" s="21" t="s">
        <v>1183</v>
      </c>
      <c r="C132" s="21" t="s">
        <v>1184</v>
      </c>
      <c r="D132" s="21"/>
      <c r="E132" s="21" t="s">
        <v>996</v>
      </c>
      <c r="F132" s="21"/>
      <c r="G132" s="21"/>
      <c r="H132" s="21"/>
      <c r="I132" s="21"/>
      <c r="J132" s="21"/>
      <c r="K132" s="21"/>
      <c r="L132" s="21"/>
    </row>
    <row r="133" spans="1:12" ht="29" x14ac:dyDescent="0.35">
      <c r="A133" s="21" t="s">
        <v>1176</v>
      </c>
      <c r="B133" s="21" t="s">
        <v>1185</v>
      </c>
      <c r="C133" s="21" t="s">
        <v>1186</v>
      </c>
      <c r="D133" s="21"/>
      <c r="E133" s="21" t="s">
        <v>996</v>
      </c>
      <c r="F133" s="21"/>
      <c r="G133" s="21"/>
      <c r="H133" s="21"/>
      <c r="I133" s="21"/>
      <c r="J133" s="21"/>
      <c r="K133" s="21"/>
      <c r="L133" s="21"/>
    </row>
    <row r="134" spans="1:12" ht="29" x14ac:dyDescent="0.35">
      <c r="A134" s="21" t="s">
        <v>1176</v>
      </c>
      <c r="B134" s="21" t="s">
        <v>1187</v>
      </c>
      <c r="C134" s="21" t="s">
        <v>1188</v>
      </c>
      <c r="D134" s="21"/>
      <c r="E134" s="21" t="s">
        <v>996</v>
      </c>
      <c r="F134" s="21"/>
      <c r="G134" s="21"/>
      <c r="H134" s="21"/>
      <c r="I134" s="21"/>
      <c r="J134" s="21"/>
      <c r="K134" s="21"/>
      <c r="L134" s="21"/>
    </row>
    <row r="135" spans="1:12" ht="29" x14ac:dyDescent="0.35">
      <c r="A135" s="21" t="s">
        <v>1189</v>
      </c>
      <c r="B135" s="21" t="s">
        <v>1190</v>
      </c>
      <c r="C135" s="21" t="s">
        <v>1191</v>
      </c>
      <c r="D135" s="21"/>
      <c r="E135" s="21" t="s">
        <v>996</v>
      </c>
      <c r="F135" s="21"/>
      <c r="G135" s="21"/>
      <c r="H135" s="21"/>
      <c r="I135" s="21"/>
      <c r="J135" s="21"/>
      <c r="K135" s="21"/>
      <c r="L135" s="21"/>
    </row>
    <row r="136" spans="1:12" ht="29" x14ac:dyDescent="0.35">
      <c r="A136" s="21" t="s">
        <v>1189</v>
      </c>
      <c r="B136" s="21" t="s">
        <v>1192</v>
      </c>
      <c r="C136" s="21" t="s">
        <v>1193</v>
      </c>
      <c r="D136" s="21"/>
      <c r="E136" s="21" t="s">
        <v>996</v>
      </c>
      <c r="F136" s="21"/>
      <c r="G136" s="21"/>
      <c r="H136" s="21"/>
      <c r="I136" s="21"/>
      <c r="J136" s="21"/>
      <c r="K136" s="21"/>
      <c r="L136" s="21"/>
    </row>
    <row r="137" spans="1:12" ht="29" x14ac:dyDescent="0.35">
      <c r="A137" s="21" t="s">
        <v>1189</v>
      </c>
      <c r="B137" s="21" t="s">
        <v>1194</v>
      </c>
      <c r="C137" s="21" t="s">
        <v>1195</v>
      </c>
      <c r="D137" s="21"/>
      <c r="E137" s="21" t="s">
        <v>996</v>
      </c>
      <c r="F137" s="21"/>
      <c r="G137" s="21"/>
      <c r="H137" s="21"/>
      <c r="I137" s="21"/>
      <c r="J137" s="21"/>
      <c r="K137" s="21"/>
      <c r="L137" s="21"/>
    </row>
    <row r="138" spans="1:12" ht="29" x14ac:dyDescent="0.35">
      <c r="A138" s="21" t="s">
        <v>1189</v>
      </c>
      <c r="B138" s="21" t="s">
        <v>1196</v>
      </c>
      <c r="C138" s="21" t="s">
        <v>1197</v>
      </c>
      <c r="D138" s="21"/>
      <c r="E138" s="21" t="s">
        <v>996</v>
      </c>
      <c r="F138" s="21"/>
      <c r="G138" s="21"/>
      <c r="H138" s="21"/>
      <c r="I138" s="21"/>
      <c r="J138" s="21"/>
      <c r="K138" s="21"/>
      <c r="L138" s="21"/>
    </row>
    <row r="139" spans="1:12" ht="29" x14ac:dyDescent="0.35">
      <c r="A139" s="21" t="s">
        <v>1189</v>
      </c>
      <c r="B139" s="21" t="s">
        <v>1198</v>
      </c>
      <c r="C139" s="21" t="s">
        <v>1199</v>
      </c>
      <c r="D139" s="21"/>
      <c r="E139" s="21" t="s">
        <v>996</v>
      </c>
      <c r="F139" s="21"/>
      <c r="G139" s="21"/>
      <c r="H139" s="21"/>
      <c r="I139" s="21"/>
      <c r="J139" s="21"/>
      <c r="K139" s="21"/>
      <c r="L139" s="21"/>
    </row>
    <row r="140" spans="1:12" ht="29" x14ac:dyDescent="0.35">
      <c r="A140" s="21" t="s">
        <v>1189</v>
      </c>
      <c r="B140" s="21" t="s">
        <v>1200</v>
      </c>
      <c r="C140" s="21" t="s">
        <v>1201</v>
      </c>
      <c r="D140" s="21"/>
      <c r="E140" s="21" t="s">
        <v>996</v>
      </c>
      <c r="F140" s="21"/>
      <c r="G140" s="21"/>
      <c r="H140" s="21"/>
      <c r="I140" s="21"/>
      <c r="J140" s="21"/>
      <c r="K140" s="21"/>
      <c r="L140" s="21"/>
    </row>
    <row r="141" spans="1:12" ht="29" x14ac:dyDescent="0.35">
      <c r="A141" s="21" t="s">
        <v>1202</v>
      </c>
      <c r="B141" s="21" t="s">
        <v>1203</v>
      </c>
      <c r="C141" s="21" t="s">
        <v>1204</v>
      </c>
      <c r="D141" s="21"/>
      <c r="E141" s="21" t="s">
        <v>996</v>
      </c>
      <c r="F141" s="21"/>
      <c r="G141" s="21"/>
      <c r="H141" s="21"/>
      <c r="I141" s="21"/>
      <c r="J141" s="21"/>
      <c r="K141" s="21"/>
      <c r="L141" s="21"/>
    </row>
    <row r="142" spans="1:12" ht="29" x14ac:dyDescent="0.35">
      <c r="A142" s="21" t="s">
        <v>1202</v>
      </c>
      <c r="B142" s="21" t="s">
        <v>1205</v>
      </c>
      <c r="C142" s="21" t="s">
        <v>1206</v>
      </c>
      <c r="D142" s="21"/>
      <c r="E142" s="21" t="s">
        <v>996</v>
      </c>
      <c r="F142" s="21"/>
      <c r="G142" s="21"/>
      <c r="H142" s="21"/>
      <c r="I142" s="21"/>
      <c r="J142" s="21"/>
      <c r="K142" s="21"/>
      <c r="L142" s="21"/>
    </row>
    <row r="143" spans="1:12" ht="29" x14ac:dyDescent="0.35">
      <c r="A143" s="21" t="s">
        <v>1202</v>
      </c>
      <c r="B143" s="21" t="s">
        <v>1207</v>
      </c>
      <c r="C143" s="21" t="s">
        <v>1208</v>
      </c>
      <c r="D143" s="21"/>
      <c r="E143" s="21" t="s">
        <v>996</v>
      </c>
      <c r="F143" s="21"/>
      <c r="G143" s="21"/>
      <c r="H143" s="21"/>
      <c r="I143" s="21"/>
      <c r="J143" s="21"/>
      <c r="K143" s="21"/>
      <c r="L143" s="21"/>
    </row>
    <row r="144" spans="1:12" ht="29" x14ac:dyDescent="0.35">
      <c r="A144" s="21" t="s">
        <v>1202</v>
      </c>
      <c r="B144" s="21" t="s">
        <v>1209</v>
      </c>
      <c r="C144" s="21" t="s">
        <v>1210</v>
      </c>
      <c r="D144" s="21"/>
      <c r="E144" s="21" t="s">
        <v>996</v>
      </c>
      <c r="F144" s="21"/>
      <c r="G144" s="21"/>
      <c r="H144" s="21"/>
      <c r="I144" s="21"/>
      <c r="J144" s="21"/>
      <c r="K144" s="21"/>
      <c r="L144" s="21"/>
    </row>
    <row r="145" spans="1:12" ht="29" x14ac:dyDescent="0.35">
      <c r="A145" s="21" t="s">
        <v>1202</v>
      </c>
      <c r="B145" s="21" t="s">
        <v>1211</v>
      </c>
      <c r="C145" s="21" t="s">
        <v>1212</v>
      </c>
      <c r="D145" s="21"/>
      <c r="E145" s="21" t="s">
        <v>996</v>
      </c>
      <c r="F145" s="21"/>
      <c r="G145" s="21"/>
      <c r="H145" s="21"/>
      <c r="I145" s="21"/>
      <c r="J145" s="21"/>
      <c r="K145" s="21"/>
      <c r="L145" s="21"/>
    </row>
    <row r="146" spans="1:12" ht="29" x14ac:dyDescent="0.35">
      <c r="A146" s="21" t="s">
        <v>1202</v>
      </c>
      <c r="B146" s="21" t="s">
        <v>1213</v>
      </c>
      <c r="C146" s="21" t="s">
        <v>1214</v>
      </c>
      <c r="D146" s="21"/>
      <c r="E146" s="21" t="s">
        <v>996</v>
      </c>
      <c r="F146" s="21"/>
      <c r="G146" s="21"/>
      <c r="H146" s="21"/>
      <c r="I146" s="21"/>
      <c r="J146" s="21"/>
      <c r="K146" s="21"/>
      <c r="L146" s="21"/>
    </row>
    <row r="147" spans="1:12" ht="29" x14ac:dyDescent="0.35">
      <c r="A147" s="21" t="s">
        <v>1215</v>
      </c>
      <c r="B147" s="21" t="s">
        <v>1216</v>
      </c>
      <c r="C147" s="21" t="s">
        <v>1217</v>
      </c>
      <c r="D147" s="21"/>
      <c r="E147" s="21" t="s">
        <v>996</v>
      </c>
      <c r="F147" s="21"/>
      <c r="G147" s="21"/>
      <c r="H147" s="21"/>
      <c r="I147" s="21"/>
      <c r="J147" s="21"/>
      <c r="K147" s="21"/>
      <c r="L147" s="21"/>
    </row>
    <row r="148" spans="1:12" ht="29" x14ac:dyDescent="0.35">
      <c r="A148" s="21" t="s">
        <v>1215</v>
      </c>
      <c r="B148" s="21" t="s">
        <v>1218</v>
      </c>
      <c r="C148" s="21" t="s">
        <v>1219</v>
      </c>
      <c r="D148" s="21"/>
      <c r="E148" s="21" t="s">
        <v>996</v>
      </c>
      <c r="F148" s="21"/>
      <c r="G148" s="21"/>
      <c r="H148" s="21"/>
      <c r="I148" s="21"/>
      <c r="J148" s="21"/>
      <c r="K148" s="21"/>
      <c r="L148" s="21"/>
    </row>
    <row r="149" spans="1:12" ht="29" x14ac:dyDescent="0.35">
      <c r="A149" s="21" t="s">
        <v>1215</v>
      </c>
      <c r="B149" s="21" t="s">
        <v>1220</v>
      </c>
      <c r="C149" s="21" t="s">
        <v>1221</v>
      </c>
      <c r="D149" s="21"/>
      <c r="E149" s="21" t="s">
        <v>996</v>
      </c>
      <c r="F149" s="21"/>
      <c r="G149" s="21"/>
      <c r="H149" s="21"/>
      <c r="I149" s="21"/>
      <c r="J149" s="21"/>
      <c r="K149" s="21"/>
      <c r="L149" s="21"/>
    </row>
    <row r="150" spans="1:12" ht="29" x14ac:dyDescent="0.35">
      <c r="A150" s="21" t="s">
        <v>1215</v>
      </c>
      <c r="B150" s="21" t="s">
        <v>1222</v>
      </c>
      <c r="C150" s="21" t="s">
        <v>1223</v>
      </c>
      <c r="D150" s="21"/>
      <c r="E150" s="21" t="s">
        <v>996</v>
      </c>
      <c r="F150" s="21"/>
      <c r="G150" s="21"/>
      <c r="H150" s="21"/>
      <c r="I150" s="21"/>
      <c r="J150" s="21"/>
      <c r="K150" s="21"/>
      <c r="L150" s="21"/>
    </row>
    <row r="151" spans="1:12" ht="24" customHeight="1" x14ac:dyDescent="0.35">
      <c r="A151" s="133" t="s">
        <v>1215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</row>
    <row r="152" spans="1:12" x14ac:dyDescent="0.35">
      <c r="A152" s="21" t="s">
        <v>1215</v>
      </c>
      <c r="B152" s="21" t="s">
        <v>1224</v>
      </c>
      <c r="C152" s="21" t="s">
        <v>1225</v>
      </c>
      <c r="D152" s="21"/>
      <c r="E152" s="21" t="s">
        <v>996</v>
      </c>
      <c r="F152" s="21"/>
      <c r="G152" s="21"/>
      <c r="H152" s="21"/>
      <c r="I152" s="21"/>
      <c r="J152" s="21"/>
      <c r="K152" s="21"/>
      <c r="L152" s="21"/>
    </row>
    <row r="158" spans="1:12" x14ac:dyDescent="0.35">
      <c r="A158" s="98" t="s">
        <v>1226</v>
      </c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</row>
    <row r="160" spans="1:12" ht="29" x14ac:dyDescent="0.35">
      <c r="A160" s="100" t="s">
        <v>1227</v>
      </c>
      <c r="B160" s="100" t="s">
        <v>1228</v>
      </c>
      <c r="C160" s="100" t="s">
        <v>1229</v>
      </c>
      <c r="D160" s="100" t="s">
        <v>389</v>
      </c>
      <c r="E160" s="100" t="s">
        <v>870</v>
      </c>
      <c r="F160" s="100" t="s">
        <v>390</v>
      </c>
      <c r="G160" s="100" t="s">
        <v>990</v>
      </c>
      <c r="H160" s="100" t="s">
        <v>1230</v>
      </c>
      <c r="I160" s="100"/>
      <c r="J160" s="100"/>
      <c r="K160" s="100"/>
      <c r="L160" s="100"/>
    </row>
    <row r="161" spans="1:8" x14ac:dyDescent="0.35">
      <c r="A161" s="21" t="s">
        <v>1231</v>
      </c>
      <c r="B161" s="21"/>
      <c r="C161" s="21"/>
      <c r="D161" s="21"/>
      <c r="E161" s="21"/>
      <c r="F161" s="21"/>
      <c r="G161" s="21"/>
      <c r="H161" s="21"/>
    </row>
    <row r="162" spans="1:8" x14ac:dyDescent="0.35">
      <c r="A162" s="21" t="s">
        <v>1232</v>
      </c>
      <c r="B162" s="21"/>
      <c r="C162" s="21"/>
      <c r="D162" s="21"/>
      <c r="E162" s="21"/>
      <c r="F162" s="21"/>
      <c r="G162" s="21"/>
      <c r="H162" s="21"/>
    </row>
    <row r="163" spans="1:8" x14ac:dyDescent="0.35">
      <c r="A163" s="21" t="s">
        <v>509</v>
      </c>
      <c r="B163" s="21"/>
      <c r="C163" s="21"/>
      <c r="D163" s="21"/>
      <c r="E163" s="21"/>
      <c r="F163" s="21"/>
      <c r="G163" s="21"/>
      <c r="H163" s="21"/>
    </row>
    <row r="164" spans="1:8" x14ac:dyDescent="0.35">
      <c r="A164" s="21" t="s">
        <v>1233</v>
      </c>
      <c r="B164" s="21"/>
      <c r="C164" s="21"/>
      <c r="D164" s="21"/>
      <c r="E164" s="21"/>
      <c r="F164" s="21"/>
      <c r="G164" s="21"/>
      <c r="H164" s="21"/>
    </row>
    <row r="165" spans="1:8" x14ac:dyDescent="0.35">
      <c r="A165" s="21" t="s">
        <v>1234</v>
      </c>
      <c r="B165" s="21"/>
      <c r="C165" s="21"/>
      <c r="D165" s="21"/>
      <c r="E165" s="21"/>
      <c r="F165" s="21"/>
      <c r="G165" s="21"/>
      <c r="H165" s="21"/>
    </row>
    <row r="166" spans="1:8" x14ac:dyDescent="0.35">
      <c r="A166" s="21" t="s">
        <v>1235</v>
      </c>
      <c r="B166" s="21"/>
      <c r="C166" s="21"/>
      <c r="D166" s="21"/>
      <c r="E166" s="21"/>
      <c r="F166" s="21"/>
      <c r="G166" s="21"/>
      <c r="H166" s="21"/>
    </row>
    <row r="167" spans="1:8" x14ac:dyDescent="0.35">
      <c r="A167" s="21" t="s">
        <v>1236</v>
      </c>
      <c r="B167" s="21"/>
      <c r="C167" s="21"/>
      <c r="D167" s="21"/>
      <c r="E167" s="21"/>
      <c r="F167" s="21"/>
      <c r="G167" s="21"/>
      <c r="H167" s="21"/>
    </row>
    <row r="168" spans="1:8" x14ac:dyDescent="0.35">
      <c r="A168" s="21" t="s">
        <v>1237</v>
      </c>
      <c r="B168" s="21"/>
      <c r="C168" s="21"/>
      <c r="D168" s="21"/>
      <c r="E168" s="21"/>
      <c r="F168" s="21"/>
      <c r="G168" s="21"/>
      <c r="H168" s="21"/>
    </row>
    <row r="169" spans="1:8" x14ac:dyDescent="0.35">
      <c r="A169" s="21" t="s">
        <v>1238</v>
      </c>
      <c r="B169" s="21"/>
      <c r="C169" s="21"/>
      <c r="D169" s="21"/>
      <c r="E169" s="21"/>
      <c r="F169" s="21"/>
      <c r="G169" s="21"/>
      <c r="H169" s="21"/>
    </row>
    <row r="170" spans="1:8" x14ac:dyDescent="0.35">
      <c r="A170" s="21" t="s">
        <v>1239</v>
      </c>
      <c r="B170" s="21"/>
      <c r="C170" s="21"/>
      <c r="D170" s="21"/>
      <c r="E170" s="21"/>
      <c r="F170" s="21"/>
      <c r="G170" s="21"/>
      <c r="H170" s="21"/>
    </row>
    <row r="171" spans="1:8" x14ac:dyDescent="0.35">
      <c r="A171" s="21" t="s">
        <v>1240</v>
      </c>
      <c r="B171" s="21"/>
      <c r="C171" s="21"/>
      <c r="D171" s="21"/>
      <c r="E171" s="21"/>
      <c r="F171" s="21"/>
      <c r="G171" s="21"/>
      <c r="H171" s="21"/>
    </row>
    <row r="172" spans="1:8" x14ac:dyDescent="0.35">
      <c r="A172" s="21" t="s">
        <v>1241</v>
      </c>
      <c r="B172" s="21"/>
      <c r="C172" s="21"/>
      <c r="D172" s="21"/>
      <c r="E172" s="21"/>
      <c r="F172" s="21"/>
      <c r="G172" s="21"/>
      <c r="H172" s="21"/>
    </row>
    <row r="173" spans="1:8" x14ac:dyDescent="0.35">
      <c r="A173" s="21" t="s">
        <v>1242</v>
      </c>
      <c r="B173" s="21"/>
      <c r="C173" s="21"/>
      <c r="D173" s="21"/>
      <c r="E173" s="21"/>
      <c r="F173" s="21"/>
      <c r="G173" s="21"/>
      <c r="H173" s="21"/>
    </row>
    <row r="174" spans="1:8" x14ac:dyDescent="0.35">
      <c r="A174" s="21" t="s">
        <v>1243</v>
      </c>
      <c r="B174" s="21"/>
      <c r="C174" s="21"/>
      <c r="D174" s="21"/>
      <c r="E174" s="21"/>
      <c r="F174" s="21"/>
      <c r="G174" s="21"/>
      <c r="H174" s="21"/>
    </row>
    <row r="175" spans="1:8" x14ac:dyDescent="0.35">
      <c r="A175" s="21" t="s">
        <v>1244</v>
      </c>
      <c r="B175" s="21"/>
      <c r="C175" s="21"/>
      <c r="D175" s="21"/>
      <c r="E175" s="21"/>
      <c r="F175" s="21"/>
      <c r="G175" s="21"/>
      <c r="H175" s="21"/>
    </row>
    <row r="176" spans="1:8" x14ac:dyDescent="0.35">
      <c r="A176" s="21" t="s">
        <v>1245</v>
      </c>
      <c r="B176" s="21"/>
      <c r="C176" s="21"/>
      <c r="D176" s="21"/>
      <c r="E176" s="21"/>
      <c r="F176" s="21"/>
      <c r="G176" s="21"/>
      <c r="H176" s="21"/>
    </row>
    <row r="177" spans="1:12" x14ac:dyDescent="0.35">
      <c r="A177" s="21" t="s">
        <v>1246</v>
      </c>
      <c r="B177" s="21"/>
      <c r="C177" s="21"/>
      <c r="D177" s="21"/>
      <c r="E177" s="21"/>
      <c r="F177" s="21"/>
      <c r="G177" s="21"/>
      <c r="H177" s="21"/>
    </row>
    <row r="178" spans="1:12" x14ac:dyDescent="0.35">
      <c r="A178" s="21" t="s">
        <v>1247</v>
      </c>
      <c r="B178" s="21"/>
      <c r="C178" s="21"/>
      <c r="D178" s="21"/>
      <c r="E178" s="21"/>
      <c r="F178" s="21"/>
      <c r="G178" s="21"/>
      <c r="H178" s="21"/>
    </row>
    <row r="179" spans="1:12" ht="24" customHeight="1" x14ac:dyDescent="0.35">
      <c r="A179" s="133" t="s">
        <v>1248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</row>
    <row r="180" spans="1:12" x14ac:dyDescent="0.35">
      <c r="A180" s="21" t="s">
        <v>1249</v>
      </c>
      <c r="B180" s="21"/>
      <c r="C180" s="21"/>
      <c r="D180" s="21"/>
      <c r="E180" s="21"/>
      <c r="F180" s="21"/>
      <c r="G180" s="21"/>
      <c r="H180" s="21"/>
    </row>
    <row r="186" spans="1:12" x14ac:dyDescent="0.35">
      <c r="A186" s="98" t="s">
        <v>1250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</row>
    <row r="188" spans="1:12" ht="29" x14ac:dyDescent="0.35">
      <c r="A188" s="100" t="s">
        <v>1251</v>
      </c>
      <c r="B188" s="100" t="s">
        <v>1252</v>
      </c>
      <c r="C188" s="100" t="s">
        <v>1253</v>
      </c>
      <c r="D188" s="100" t="s">
        <v>1254</v>
      </c>
      <c r="E188" s="100" t="s">
        <v>870</v>
      </c>
      <c r="F188" s="100" t="s">
        <v>1255</v>
      </c>
      <c r="G188" s="100" t="s">
        <v>338</v>
      </c>
    </row>
    <row r="189" spans="1:12" x14ac:dyDescent="0.35">
      <c r="A189" s="21" t="s">
        <v>428</v>
      </c>
      <c r="B189" s="21"/>
      <c r="C189" s="21"/>
      <c r="D189" s="21"/>
      <c r="E189" s="21"/>
      <c r="F189" s="21"/>
      <c r="G189" s="21"/>
    </row>
    <row r="190" spans="1:12" x14ac:dyDescent="0.35">
      <c r="A190" s="21" t="s">
        <v>582</v>
      </c>
      <c r="B190" s="21"/>
      <c r="C190" s="21"/>
      <c r="D190" s="21"/>
      <c r="E190" s="21"/>
      <c r="F190" s="21"/>
      <c r="G190" s="21"/>
    </row>
    <row r="191" spans="1:12" x14ac:dyDescent="0.35">
      <c r="A191" s="21" t="s">
        <v>435</v>
      </c>
      <c r="B191" s="21"/>
      <c r="C191" s="21"/>
      <c r="D191" s="21"/>
      <c r="E191" s="21"/>
      <c r="F191" s="21"/>
      <c r="G191" s="21"/>
    </row>
    <row r="192" spans="1:12" x14ac:dyDescent="0.35">
      <c r="A192" s="21" t="s">
        <v>93</v>
      </c>
      <c r="B192" s="21"/>
      <c r="C192" s="21"/>
      <c r="D192" s="21"/>
      <c r="E192" s="21"/>
      <c r="F192" s="21"/>
      <c r="G192" s="21"/>
    </row>
    <row r="193" spans="1:12" x14ac:dyDescent="0.35">
      <c r="A193" s="21" t="s">
        <v>431</v>
      </c>
      <c r="B193" s="21"/>
      <c r="C193" s="21"/>
      <c r="D193" s="21"/>
      <c r="E193" s="21"/>
      <c r="F193" s="21"/>
      <c r="G193" s="21"/>
    </row>
    <row r="194" spans="1:12" x14ac:dyDescent="0.35">
      <c r="A194" s="21" t="s">
        <v>97</v>
      </c>
      <c r="B194" s="21"/>
      <c r="C194" s="21"/>
      <c r="D194" s="21"/>
      <c r="E194" s="21"/>
      <c r="F194" s="21"/>
      <c r="G194" s="21"/>
    </row>
    <row r="195" spans="1:12" x14ac:dyDescent="0.35">
      <c r="A195" s="21" t="s">
        <v>100</v>
      </c>
      <c r="B195" s="21"/>
      <c r="C195" s="21"/>
      <c r="D195" s="21"/>
      <c r="E195" s="21"/>
      <c r="F195" s="21"/>
      <c r="G195" s="21"/>
    </row>
    <row r="196" spans="1:12" x14ac:dyDescent="0.35">
      <c r="A196" s="21" t="s">
        <v>1176</v>
      </c>
      <c r="B196" s="21"/>
      <c r="C196" s="21"/>
      <c r="D196" s="21"/>
      <c r="E196" s="21"/>
      <c r="F196" s="21"/>
      <c r="G196" s="21"/>
    </row>
    <row r="197" spans="1:12" x14ac:dyDescent="0.35">
      <c r="A197" s="21" t="s">
        <v>160</v>
      </c>
      <c r="B197" s="21"/>
      <c r="C197" s="21"/>
      <c r="D197" s="21"/>
      <c r="E197" s="21"/>
      <c r="F197" s="21"/>
      <c r="G197" s="21"/>
    </row>
    <row r="198" spans="1:12" x14ac:dyDescent="0.35">
      <c r="A198" s="21" t="s">
        <v>1256</v>
      </c>
      <c r="B198" s="21"/>
      <c r="C198" s="21"/>
      <c r="D198" s="21"/>
      <c r="E198" s="21"/>
      <c r="F198" s="21"/>
      <c r="G198" s="21"/>
    </row>
    <row r="199" spans="1:12" x14ac:dyDescent="0.35">
      <c r="A199" s="21" t="s">
        <v>1257</v>
      </c>
      <c r="B199" s="21"/>
      <c r="C199" s="21"/>
      <c r="D199" s="21"/>
      <c r="E199" s="21"/>
      <c r="F199" s="21"/>
      <c r="G199" s="21"/>
    </row>
    <row r="200" spans="1:12" x14ac:dyDescent="0.35">
      <c r="A200" s="21" t="s">
        <v>1258</v>
      </c>
      <c r="B200" s="21"/>
      <c r="C200" s="21"/>
      <c r="D200" s="21"/>
      <c r="E200" s="21"/>
      <c r="F200" s="21"/>
      <c r="G200" s="21"/>
    </row>
    <row r="201" spans="1:12" x14ac:dyDescent="0.35">
      <c r="A201" s="21" t="s">
        <v>116</v>
      </c>
      <c r="B201" s="21"/>
      <c r="C201" s="21"/>
      <c r="D201" s="21"/>
      <c r="E201" s="21"/>
      <c r="F201" s="21"/>
      <c r="G201" s="21"/>
    </row>
    <row r="202" spans="1:12" x14ac:dyDescent="0.35">
      <c r="A202" s="21" t="s">
        <v>129</v>
      </c>
      <c r="B202" s="21"/>
      <c r="C202" s="21"/>
      <c r="D202" s="21"/>
      <c r="E202" s="21"/>
      <c r="F202" s="21"/>
      <c r="G202" s="21"/>
    </row>
    <row r="203" spans="1:12" x14ac:dyDescent="0.35">
      <c r="A203" s="21" t="s">
        <v>437</v>
      </c>
      <c r="B203" s="21"/>
      <c r="C203" s="21"/>
      <c r="D203" s="21"/>
      <c r="E203" s="21"/>
      <c r="F203" s="21"/>
      <c r="G203" s="21"/>
    </row>
    <row r="204" spans="1:12" x14ac:dyDescent="0.35">
      <c r="A204" s="21" t="s">
        <v>125</v>
      </c>
      <c r="B204" s="21"/>
      <c r="C204" s="21"/>
      <c r="D204" s="21"/>
      <c r="E204" s="21"/>
      <c r="F204" s="21"/>
      <c r="G204" s="21"/>
    </row>
    <row r="205" spans="1:12" x14ac:dyDescent="0.35">
      <c r="A205" s="21" t="s">
        <v>442</v>
      </c>
      <c r="B205" s="21"/>
      <c r="C205" s="21"/>
      <c r="D205" s="21"/>
      <c r="E205" s="21"/>
      <c r="F205" s="21"/>
      <c r="G205" s="21"/>
    </row>
    <row r="206" spans="1:12" x14ac:dyDescent="0.35">
      <c r="A206" s="21" t="s">
        <v>1259</v>
      </c>
      <c r="B206" s="21"/>
      <c r="C206" s="21"/>
      <c r="D206" s="21"/>
      <c r="E206" s="21"/>
      <c r="F206" s="21"/>
      <c r="G206" s="21"/>
    </row>
    <row r="207" spans="1:12" ht="24" customHeight="1" x14ac:dyDescent="0.35">
      <c r="A207" s="133" t="s">
        <v>1260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</row>
    <row r="208" spans="1:12" x14ac:dyDescent="0.35">
      <c r="A208" s="21" t="s">
        <v>439</v>
      </c>
      <c r="B208" s="21"/>
      <c r="C208" s="21"/>
      <c r="D208" s="21"/>
      <c r="E208" s="21"/>
      <c r="F208" s="21"/>
      <c r="G208" s="21"/>
    </row>
    <row r="214" spans="1:12" x14ac:dyDescent="0.35">
      <c r="A214" s="98" t="s">
        <v>1261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</row>
    <row r="216" spans="1:12" x14ac:dyDescent="0.35">
      <c r="A216" s="100" t="s">
        <v>1262</v>
      </c>
      <c r="B216" s="100" t="s">
        <v>1263</v>
      </c>
      <c r="C216" s="100" t="s">
        <v>292</v>
      </c>
      <c r="D216" s="100" t="s">
        <v>371</v>
      </c>
      <c r="E216" s="100" t="s">
        <v>360</v>
      </c>
      <c r="F216" s="100" t="s">
        <v>1264</v>
      </c>
      <c r="G216" s="100" t="s">
        <v>990</v>
      </c>
      <c r="H216" s="100" t="s">
        <v>338</v>
      </c>
    </row>
    <row r="217" spans="1:12" x14ac:dyDescent="0.35">
      <c r="A217" t="s">
        <v>1265</v>
      </c>
    </row>
    <row r="218" spans="1:12" x14ac:dyDescent="0.35">
      <c r="A218" t="s">
        <v>1266</v>
      </c>
    </row>
    <row r="219" spans="1:12" x14ac:dyDescent="0.35">
      <c r="A219" t="s">
        <v>1267</v>
      </c>
    </row>
    <row r="220" spans="1:12" x14ac:dyDescent="0.35">
      <c r="A220" t="s">
        <v>1268</v>
      </c>
    </row>
    <row r="221" spans="1:12" x14ac:dyDescent="0.35">
      <c r="A221" t="s">
        <v>1269</v>
      </c>
    </row>
    <row r="222" spans="1:12" x14ac:dyDescent="0.35">
      <c r="A222" t="s">
        <v>1270</v>
      </c>
    </row>
    <row r="223" spans="1:12" ht="24" customHeight="1" x14ac:dyDescent="0.35">
      <c r="A223" s="129" t="s">
        <v>1271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</row>
    <row r="224" spans="1:12" x14ac:dyDescent="0.35">
      <c r="A224" t="s">
        <v>1272</v>
      </c>
    </row>
    <row r="230" spans="1:12" x14ac:dyDescent="0.35">
      <c r="A230" s="98" t="s">
        <v>1273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2" spans="1:12" ht="29" x14ac:dyDescent="0.35">
      <c r="A232" s="100" t="s">
        <v>1229</v>
      </c>
      <c r="B232" s="100" t="s">
        <v>1274</v>
      </c>
      <c r="C232" s="100" t="s">
        <v>390</v>
      </c>
      <c r="D232" s="100" t="s">
        <v>351</v>
      </c>
      <c r="E232" s="100" t="s">
        <v>352</v>
      </c>
      <c r="F232" s="100" t="s">
        <v>292</v>
      </c>
      <c r="G232" s="100" t="s">
        <v>353</v>
      </c>
      <c r="H232" s="100" t="s">
        <v>338</v>
      </c>
    </row>
    <row r="240" spans="1:12" x14ac:dyDescent="0.3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</row>
    <row r="241" spans="1:12" x14ac:dyDescent="0.3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</row>
    <row r="247" spans="1:12" ht="29" x14ac:dyDescent="0.35">
      <c r="A247" s="106" t="s">
        <v>1275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3"/>
    </row>
    <row r="248" spans="1:12" ht="43.5" x14ac:dyDescent="0.35">
      <c r="A248" s="111" t="s">
        <v>1276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3"/>
    </row>
    <row r="249" spans="1:12" ht="29" x14ac:dyDescent="0.35">
      <c r="A249" s="110" t="s">
        <v>1277</v>
      </c>
      <c r="B249" s="110" t="s">
        <v>1278</v>
      </c>
      <c r="C249" s="110" t="s">
        <v>81</v>
      </c>
      <c r="D249" s="110" t="s">
        <v>615</v>
      </c>
      <c r="E249" s="110" t="s">
        <v>616</v>
      </c>
      <c r="F249" s="110" t="s">
        <v>990</v>
      </c>
      <c r="G249" s="110" t="s">
        <v>1279</v>
      </c>
      <c r="H249" s="110" t="s">
        <v>390</v>
      </c>
      <c r="I249" s="110" t="s">
        <v>351</v>
      </c>
      <c r="J249" s="110" t="s">
        <v>292</v>
      </c>
      <c r="K249" s="110" t="s">
        <v>353</v>
      </c>
      <c r="L249" s="110" t="s">
        <v>619</v>
      </c>
    </row>
    <row r="250" spans="1:12" x14ac:dyDescent="0.35">
      <c r="A250" s="105" t="s">
        <v>1280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x14ac:dyDescent="0.35">
      <c r="A251" s="105" t="s">
        <v>1281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x14ac:dyDescent="0.35">
      <c r="A252" s="105" t="s">
        <v>1282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29" x14ac:dyDescent="0.35">
      <c r="A253" s="105" t="s">
        <v>1283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29" x14ac:dyDescent="0.35">
      <c r="A254" s="105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29" x14ac:dyDescent="0.35">
      <c r="A255" s="105" t="s">
        <v>1285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29" x14ac:dyDescent="0.35">
      <c r="A256" s="105" t="s">
        <v>1286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29" x14ac:dyDescent="0.35">
      <c r="A257" s="105" t="s">
        <v>1287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29" x14ac:dyDescent="0.35">
      <c r="A258" s="105" t="s">
        <v>1288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29" x14ac:dyDescent="0.35">
      <c r="A259" s="105" t="s">
        <v>1289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29" x14ac:dyDescent="0.35">
      <c r="A260" s="105" t="s">
        <v>1290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29" x14ac:dyDescent="0.35">
      <c r="A261" s="105" t="s">
        <v>1291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29" x14ac:dyDescent="0.35">
      <c r="A262" s="105" t="s">
        <v>1292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43.5" x14ac:dyDescent="0.35">
      <c r="A263" s="105" t="s">
        <v>1293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29" x14ac:dyDescent="0.35">
      <c r="A264" s="105" t="s">
        <v>1294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x14ac:dyDescent="0.35">
      <c r="A265" s="105" t="s">
        <v>1295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</sheetData>
  <mergeCells count="9">
    <mergeCell ref="A1:L1"/>
    <mergeCell ref="A17:L17"/>
    <mergeCell ref="A241:L241"/>
    <mergeCell ref="A223:L223"/>
    <mergeCell ref="A35:L35"/>
    <mergeCell ref="A240:L240"/>
    <mergeCell ref="A179:L179"/>
    <mergeCell ref="A151:L151"/>
    <mergeCell ref="A207:L207"/>
  </mergeCells>
  <conditionalFormatting sqref="B12">
    <cfRule type="expression" dxfId="139" priority="12">
      <formula>B12="Green"</formula>
    </cfRule>
    <cfRule type="expression" dxfId="138" priority="13">
      <formula>B12="Amber"</formula>
    </cfRule>
    <cfRule type="expression" dxfId="137" priority="14">
      <formula>B12="Red"</formula>
    </cfRule>
  </conditionalFormatting>
  <conditionalFormatting sqref="B182:B201">
    <cfRule type="expression" dxfId="136" priority="3">
      <formula>B182="Pass"</formula>
    </cfRule>
  </conditionalFormatting>
  <conditionalFormatting sqref="C20:C43">
    <cfRule type="expression" dxfId="135" priority="8">
      <formula>C20="Green"</formula>
    </cfRule>
    <cfRule type="expression" dxfId="134" priority="9">
      <formula>C20="Amber"</formula>
    </cfRule>
    <cfRule type="expression" dxfId="133" priority="10">
      <formula>C20="Red"</formula>
    </cfRule>
    <cfRule type="expression" dxfId="132" priority="11">
      <formula>C20="N/A"</formula>
    </cfRule>
  </conditionalFormatting>
  <conditionalFormatting sqref="C20:C45">
    <cfRule type="expression" dxfId="131" priority="4">
      <formula>ISNUMBER(SEARCH("Green",C20))</formula>
    </cfRule>
    <cfRule type="expression" dxfId="130" priority="5">
      <formula>ISNUMBER(SEARCH("Amber",C20))</formula>
    </cfRule>
    <cfRule type="expression" dxfId="129" priority="6">
      <formula>ISNUMBER(SEARCH("Red",C20))</formula>
    </cfRule>
    <cfRule type="expression" dxfId="128" priority="7">
      <formula>C20="N/A"</formula>
    </cfRule>
  </conditionalFormatting>
  <conditionalFormatting sqref="E154:E173">
    <cfRule type="expression" dxfId="127" priority="2">
      <formula>E154="Pass"</formula>
    </cfRule>
  </conditionalFormatting>
  <conditionalFormatting sqref="H38:H145">
    <cfRule type="expression" dxfId="126" priority="1">
      <formula>H38="Pass"</formula>
    </cfRule>
  </conditionalFormatting>
  <dataValidations count="8">
    <dataValidation type="list" sqref="H38:H145 E154:E173" xr:uid="{00000000-0002-0000-3600-000000000000}">
      <formula1>"Pass,Developing,Fail,N/A"</formula1>
    </dataValidation>
    <dataValidation type="list" sqref="F38:F145" xr:uid="{00000000-0002-0000-3600-000001000000}">
      <formula1>"1,2,3,4,5"</formula1>
    </dataValidation>
    <dataValidation type="list" sqref="B182:B201" xr:uid="{00000000-0002-0000-3600-000003000000}">
      <formula1>"Complete,In Progress,Not Started,N/A"</formula1>
    </dataValidation>
    <dataValidation type="list" allowBlank="1" sqref="C243:E258" xr:uid="{00000000-0002-0000-3600-000004000000}">
      <formula1>"Yes,No,N/A"</formula1>
    </dataValidation>
    <dataValidation type="list" allowBlank="1" sqref="C20:C45" xr:uid="{00000000-0002-0000-3600-000005000000}">
      <formula1>"Green - Received,Amber - Awaiting,Red - Missing,N/A"</formula1>
    </dataValidation>
    <dataValidation type="list" sqref="C20:C43" xr:uid="{00000000-0002-0000-3600-000006000000}">
      <formula1>"Green,Amber,Red,N/A"</formula1>
    </dataValidation>
    <dataValidation type="list" sqref="F42:F230" xr:uid="{00000000-0002-0000-3600-000007000000}">
      <formula1>"1,2,3,4,5,N/A"</formula1>
    </dataValidation>
    <dataValidation type="list" sqref="H42:H230 H235:H255" xr:uid="{00000000-0002-0000-3600-000008000000}">
      <formula1>"Pass,Fail,Not Assessed,N/A"</formula1>
    </dataValidation>
  </dataValidation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L265"/>
  <sheetViews>
    <sheetView workbookViewId="0"/>
  </sheetViews>
  <sheetFormatPr defaultRowHeight="14.5" x14ac:dyDescent="0.35"/>
  <cols>
    <col min="1" max="1" width="42" customWidth="1"/>
    <col min="2" max="2" width="36" customWidth="1"/>
    <col min="3" max="3" width="52" customWidth="1"/>
    <col min="4" max="4" width="34" customWidth="1"/>
    <col min="5" max="5" width="30" customWidth="1"/>
    <col min="6" max="6" width="12" customWidth="1"/>
    <col min="7" max="7" width="16" customWidth="1"/>
    <col min="8" max="8" width="14" customWidth="1"/>
    <col min="9" max="9" width="28" customWidth="1"/>
    <col min="10" max="12" width="14" customWidth="1"/>
  </cols>
  <sheetData>
    <row r="1" spans="1:12" ht="30" customHeight="1" x14ac:dyDescent="0.35">
      <c r="A1" s="134" t="s">
        <v>1311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x14ac:dyDescent="0.35">
      <c r="A2" t="s">
        <v>928</v>
      </c>
      <c r="D2" t="s">
        <v>929</v>
      </c>
    </row>
    <row r="4" spans="1:12" x14ac:dyDescent="0.35">
      <c r="A4" s="101" t="s">
        <v>882</v>
      </c>
      <c r="B4" s="101" t="str">
        <f>IF('Induction Employee Register'!A20="","",'Induction Employee Register'!A20)</f>
        <v>SW017</v>
      </c>
      <c r="D4" t="s">
        <v>930</v>
      </c>
      <c r="E4" t="s">
        <v>931</v>
      </c>
      <c r="F4" t="s">
        <v>932</v>
      </c>
      <c r="G4" t="s">
        <v>933</v>
      </c>
      <c r="H4" t="s">
        <v>58</v>
      </c>
      <c r="I4" t="s">
        <v>934</v>
      </c>
      <c r="J4" t="s">
        <v>54</v>
      </c>
      <c r="K4" t="s">
        <v>935</v>
      </c>
      <c r="L4" t="s">
        <v>43</v>
      </c>
    </row>
    <row r="5" spans="1:12" x14ac:dyDescent="0.35">
      <c r="A5" s="101" t="s">
        <v>883</v>
      </c>
      <c r="B5" s="101" t="str">
        <f>IF('Induction Employee Register'!B20="","",'Induction Employee Register'!B20)</f>
        <v/>
      </c>
      <c r="D5" t="s">
        <v>936</v>
      </c>
    </row>
    <row r="6" spans="1:12" x14ac:dyDescent="0.35">
      <c r="A6" s="101" t="s">
        <v>322</v>
      </c>
      <c r="B6" s="101" t="str">
        <f>IF('Induction Employee Register'!C20="","",'Induction Employee Register'!C20)</f>
        <v/>
      </c>
      <c r="D6" t="s">
        <v>937</v>
      </c>
      <c r="E6" t="s">
        <v>938</v>
      </c>
    </row>
    <row r="7" spans="1:12" x14ac:dyDescent="0.35">
      <c r="A7" s="101" t="s">
        <v>323</v>
      </c>
      <c r="B7" s="126" t="str">
        <f>IF('Induction Employee Register'!D20="","",'Induction Employee Register'!D20)</f>
        <v/>
      </c>
      <c r="D7" t="s">
        <v>939</v>
      </c>
      <c r="E7" t="s">
        <v>940</v>
      </c>
    </row>
    <row r="8" spans="1:12" x14ac:dyDescent="0.35">
      <c r="A8" s="101" t="s">
        <v>886</v>
      </c>
      <c r="B8" s="125">
        <f>IFERROR(COUNTIF($H$42:$H$230,"Pass")/(COUNTIF($H$42:$H$230,"Pass")+COUNTIF($H$42:$H$230,"Fail")+COUNTIF($H$42:$H$230,"Not Assessed")),0)</f>
        <v>0</v>
      </c>
      <c r="D8" t="s">
        <v>6</v>
      </c>
      <c r="E8" t="s">
        <v>941</v>
      </c>
    </row>
    <row r="9" spans="1:12" x14ac:dyDescent="0.35">
      <c r="A9" s="101" t="s">
        <v>887</v>
      </c>
      <c r="B9" s="125">
        <f>IFERROR(COUNTIF($H$235:$H$255,"Pass")/(COUNTIF($H$235:$H$255,"Pass")+COUNTIF($H$235:$H$255,"Fail")+COUNTIF($H$235:$H$255,"Not Assessed")),0)</f>
        <v>0</v>
      </c>
      <c r="D9" t="s">
        <v>942</v>
      </c>
      <c r="E9" t="s">
        <v>943</v>
      </c>
    </row>
    <row r="10" spans="1:12" x14ac:dyDescent="0.35">
      <c r="A10" s="101" t="s">
        <v>888</v>
      </c>
      <c r="B10" s="125" t="str">
        <f>IFERROR(IF($B$5="","",IF(INDEX('Mandatory Training Dashboard'!$D$5:$D$53,MATCH($B$5,'Mandatory Training Dashboard'!$A$5:$A$53,0))&gt;1,INDEX('Mandatory Training Dashboard'!$D$5:$D$53,MATCH($B$5,'Mandatory Training Dashboard'!$A$5:$A$53,0))/100,INDEX('Mandatory Training Dashboard'!$D$5:$D$53,MATCH($B$5,'Mandatory Training Dashboard'!$A$5:$A$53,0)))),0)</f>
        <v/>
      </c>
      <c r="D10" t="s">
        <v>944</v>
      </c>
      <c r="E10" t="s">
        <v>945</v>
      </c>
    </row>
    <row r="11" spans="1:12" x14ac:dyDescent="0.35">
      <c r="A11" s="101" t="s">
        <v>893</v>
      </c>
      <c r="B11" s="125">
        <f>IFERROR(AVERAGE(B8:B10),0)</f>
        <v>0</v>
      </c>
      <c r="D11" t="s">
        <v>946</v>
      </c>
      <c r="E11" t="s">
        <v>947</v>
      </c>
    </row>
    <row r="12" spans="1:12" x14ac:dyDescent="0.35">
      <c r="A12" s="101" t="s">
        <v>948</v>
      </c>
      <c r="B12" s="101" t="str">
        <f>IF(B11&gt;=0.9,"Green",IF(B11&gt;=0.75,"Amber","Red"))</f>
        <v>Red</v>
      </c>
      <c r="D12" t="s">
        <v>949</v>
      </c>
      <c r="E12" t="s">
        <v>950</v>
      </c>
    </row>
    <row r="13" spans="1:12" x14ac:dyDescent="0.35">
      <c r="A13" s="101" t="s">
        <v>891</v>
      </c>
      <c r="B13" s="101">
        <f>IF('Induction Employee Register'!N20="","",'Induction Employee Register'!N20)</f>
        <v>0</v>
      </c>
      <c r="D13" t="s">
        <v>951</v>
      </c>
      <c r="E13" t="s">
        <v>952</v>
      </c>
    </row>
    <row r="14" spans="1:12" x14ac:dyDescent="0.35">
      <c r="A14" s="101" t="s">
        <v>892</v>
      </c>
      <c r="B14" s="101" t="str">
        <f>IF('Induction Employee Register'!O20="","",'Induction Employee Register'!O20)</f>
        <v/>
      </c>
    </row>
    <row r="17" spans="1:12" ht="24" customHeight="1" x14ac:dyDescent="0.35">
      <c r="A17" s="135" t="s">
        <v>953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9" spans="1:12" ht="29" x14ac:dyDescent="0.35">
      <c r="A19" s="116" t="s">
        <v>954</v>
      </c>
      <c r="B19" s="116" t="s">
        <v>955</v>
      </c>
      <c r="C19" s="116" t="s">
        <v>956</v>
      </c>
      <c r="D19" s="116" t="s">
        <v>957</v>
      </c>
      <c r="E19" s="116" t="s">
        <v>958</v>
      </c>
      <c r="F19" s="116" t="s">
        <v>353</v>
      </c>
      <c r="G19" s="116" t="s">
        <v>335</v>
      </c>
      <c r="H19" s="116" t="s">
        <v>338</v>
      </c>
      <c r="I19" s="117" t="s">
        <v>959</v>
      </c>
      <c r="J19" t="s">
        <v>960</v>
      </c>
      <c r="K19" t="s">
        <v>300</v>
      </c>
      <c r="L19" t="s">
        <v>961</v>
      </c>
    </row>
    <row r="20" spans="1:12" x14ac:dyDescent="0.35">
      <c r="A20" s="118" t="s">
        <v>962</v>
      </c>
      <c r="B20" s="118" t="s">
        <v>81</v>
      </c>
      <c r="C20" s="118"/>
      <c r="D20" s="127"/>
      <c r="E20" s="127"/>
      <c r="F20" s="118"/>
      <c r="G20" s="118"/>
      <c r="H20" s="118"/>
      <c r="J20" t="s">
        <v>310</v>
      </c>
      <c r="K20" t="str">
        <f>IF('Induction Employee Register'!W20="","",'Induction Employee Register'!W20)</f>
        <v/>
      </c>
      <c r="L20" t="s">
        <v>963</v>
      </c>
    </row>
    <row r="21" spans="1:12" x14ac:dyDescent="0.35">
      <c r="A21" s="118" t="s">
        <v>964</v>
      </c>
      <c r="B21" s="118" t="s">
        <v>81</v>
      </c>
      <c r="C21" s="118"/>
      <c r="D21" s="127"/>
      <c r="E21" s="127"/>
      <c r="F21" s="118"/>
      <c r="G21" s="118"/>
      <c r="H21" s="118"/>
      <c r="J21" t="s">
        <v>311</v>
      </c>
      <c r="K21" t="str">
        <f>IF('Induction Employee Register'!X20="","",'Induction Employee Register'!X20)</f>
        <v/>
      </c>
      <c r="L21" t="s">
        <v>965</v>
      </c>
    </row>
    <row r="22" spans="1:12" x14ac:dyDescent="0.35">
      <c r="A22" s="118" t="s">
        <v>966</v>
      </c>
      <c r="B22" s="118" t="s">
        <v>81</v>
      </c>
      <c r="C22" s="118"/>
      <c r="D22" s="127"/>
      <c r="E22" s="127"/>
      <c r="F22" s="118"/>
      <c r="G22" s="118"/>
      <c r="H22" s="118"/>
      <c r="J22" t="s">
        <v>312</v>
      </c>
      <c r="K22" t="str">
        <f>IF('Induction Employee Register'!Y20="","",'Induction Employee Register'!Y20)</f>
        <v/>
      </c>
      <c r="L22" t="s">
        <v>967</v>
      </c>
    </row>
    <row r="23" spans="1:12" x14ac:dyDescent="0.35">
      <c r="A23" s="118" t="s">
        <v>52</v>
      </c>
      <c r="B23" s="118" t="s">
        <v>81</v>
      </c>
      <c r="C23" s="118"/>
      <c r="D23" s="127"/>
      <c r="E23" s="127"/>
      <c r="F23" s="118"/>
      <c r="G23" s="118"/>
      <c r="H23" s="118"/>
      <c r="J23" t="s">
        <v>313</v>
      </c>
      <c r="K23" t="str">
        <f>IF('Induction Employee Register'!Z20="","",'Induction Employee Register'!Z20)</f>
        <v/>
      </c>
      <c r="L23" t="s">
        <v>968</v>
      </c>
    </row>
    <row r="24" spans="1:12" x14ac:dyDescent="0.35">
      <c r="A24" s="118" t="s">
        <v>50</v>
      </c>
      <c r="B24" s="118" t="s">
        <v>81</v>
      </c>
      <c r="C24" s="118"/>
      <c r="D24" s="127"/>
      <c r="E24" s="127"/>
      <c r="F24" s="118"/>
      <c r="G24" s="118"/>
      <c r="H24" s="118"/>
      <c r="J24" t="s">
        <v>314</v>
      </c>
      <c r="K24" t="str">
        <f>IF('Induction Employee Register'!AA20="","",'Induction Employee Register'!AA20)</f>
        <v/>
      </c>
      <c r="L24" t="s">
        <v>968</v>
      </c>
    </row>
    <row r="25" spans="1:12" x14ac:dyDescent="0.35">
      <c r="A25" s="118" t="s">
        <v>329</v>
      </c>
      <c r="B25" s="118" t="s">
        <v>81</v>
      </c>
      <c r="C25" s="118"/>
      <c r="D25" s="127"/>
      <c r="E25" s="127"/>
      <c r="F25" s="118"/>
      <c r="G25" s="118"/>
      <c r="H25" s="118"/>
      <c r="J25" t="s">
        <v>315</v>
      </c>
      <c r="K25" t="str">
        <f>IF('Induction Employee Register'!AB20="","",'Induction Employee Register'!AB20)</f>
        <v/>
      </c>
      <c r="L25" t="s">
        <v>967</v>
      </c>
    </row>
    <row r="26" spans="1:12" x14ac:dyDescent="0.35">
      <c r="A26" s="118" t="s">
        <v>969</v>
      </c>
      <c r="B26" s="118" t="s">
        <v>81</v>
      </c>
      <c r="C26" s="118"/>
      <c r="D26" s="127"/>
      <c r="E26" s="127"/>
      <c r="F26" s="118"/>
      <c r="G26" s="118"/>
      <c r="H26" s="118"/>
      <c r="J26" t="s">
        <v>316</v>
      </c>
      <c r="K26" t="str">
        <f>IF('Induction Employee Register'!AC20="","",'Induction Employee Register'!AC20)</f>
        <v/>
      </c>
      <c r="L26" t="s">
        <v>967</v>
      </c>
    </row>
    <row r="27" spans="1:12" x14ac:dyDescent="0.35">
      <c r="A27" s="118" t="s">
        <v>970</v>
      </c>
      <c r="B27" s="118" t="s">
        <v>81</v>
      </c>
      <c r="C27" s="118"/>
      <c r="D27" s="127"/>
      <c r="E27" s="127"/>
      <c r="F27" s="118"/>
      <c r="G27" s="118"/>
      <c r="H27" s="118"/>
    </row>
    <row r="28" spans="1:12" x14ac:dyDescent="0.35">
      <c r="A28" s="118" t="s">
        <v>971</v>
      </c>
      <c r="B28" s="118" t="s">
        <v>81</v>
      </c>
      <c r="C28" s="118"/>
      <c r="D28" s="127"/>
      <c r="E28" s="127"/>
      <c r="F28" s="118"/>
      <c r="G28" s="118"/>
      <c r="H28" s="118"/>
    </row>
    <row r="29" spans="1:12" x14ac:dyDescent="0.35">
      <c r="A29" s="118" t="s">
        <v>972</v>
      </c>
      <c r="B29" s="118" t="s">
        <v>81</v>
      </c>
      <c r="C29" s="118"/>
      <c r="D29" s="127"/>
      <c r="E29" s="127"/>
      <c r="F29" s="118"/>
      <c r="G29" s="118"/>
      <c r="H29" s="118"/>
    </row>
    <row r="30" spans="1:12" x14ac:dyDescent="0.35">
      <c r="A30" s="118" t="s">
        <v>973</v>
      </c>
      <c r="B30" s="118" t="s">
        <v>81</v>
      </c>
      <c r="C30" s="118"/>
      <c r="D30" s="127"/>
      <c r="E30" s="127"/>
      <c r="F30" s="118"/>
      <c r="G30" s="118"/>
      <c r="H30" s="118"/>
    </row>
    <row r="31" spans="1:12" x14ac:dyDescent="0.35">
      <c r="A31" s="118" t="s">
        <v>974</v>
      </c>
      <c r="B31" s="118" t="s">
        <v>81</v>
      </c>
      <c r="C31" s="118"/>
      <c r="D31" s="127"/>
      <c r="E31" s="127"/>
      <c r="F31" s="118"/>
      <c r="G31" s="118"/>
      <c r="H31" s="118"/>
    </row>
    <row r="32" spans="1:12" x14ac:dyDescent="0.35">
      <c r="A32" s="118" t="s">
        <v>975</v>
      </c>
      <c r="B32" s="118" t="s">
        <v>81</v>
      </c>
      <c r="C32" s="118"/>
      <c r="D32" s="127"/>
      <c r="E32" s="127"/>
      <c r="F32" s="118"/>
      <c r="G32" s="118"/>
      <c r="H32" s="118"/>
    </row>
    <row r="33" spans="1:12" x14ac:dyDescent="0.35">
      <c r="A33" s="118" t="s">
        <v>54</v>
      </c>
      <c r="B33" s="118" t="s">
        <v>81</v>
      </c>
      <c r="C33" s="118"/>
      <c r="D33" s="127"/>
      <c r="E33" s="127"/>
      <c r="F33" s="118"/>
      <c r="G33" s="118"/>
      <c r="H33" s="118"/>
    </row>
    <row r="34" spans="1:12" x14ac:dyDescent="0.35">
      <c r="A34" s="119" t="s">
        <v>976</v>
      </c>
      <c r="B34" s="119" t="s">
        <v>81</v>
      </c>
      <c r="C34" s="119"/>
      <c r="D34" s="127"/>
      <c r="E34" s="127"/>
      <c r="F34" s="119"/>
      <c r="G34" s="119"/>
      <c r="H34" s="119"/>
    </row>
    <row r="35" spans="1:12" ht="24" customHeight="1" x14ac:dyDescent="0.35">
      <c r="A35" s="130" t="s">
        <v>977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</row>
    <row r="36" spans="1:12" x14ac:dyDescent="0.35">
      <c r="A36" s="119" t="s">
        <v>978</v>
      </c>
      <c r="B36" s="119" t="s">
        <v>81</v>
      </c>
      <c r="C36" s="119"/>
      <c r="D36" s="127"/>
      <c r="E36" s="127"/>
      <c r="F36" s="119"/>
      <c r="G36" s="119"/>
      <c r="H36" s="119"/>
    </row>
    <row r="37" spans="1:12" x14ac:dyDescent="0.35">
      <c r="A37" s="119" t="s">
        <v>979</v>
      </c>
      <c r="B37" s="119" t="s">
        <v>81</v>
      </c>
      <c r="C37" s="119"/>
      <c r="D37" s="127"/>
      <c r="E37" s="127"/>
      <c r="F37" s="119"/>
      <c r="G37" s="119"/>
      <c r="H37" s="119"/>
    </row>
    <row r="38" spans="1:12" x14ac:dyDescent="0.35">
      <c r="A38" s="119" t="s">
        <v>980</v>
      </c>
      <c r="B38" s="119" t="s">
        <v>81</v>
      </c>
      <c r="C38" s="119"/>
      <c r="D38" s="127"/>
      <c r="E38" s="127"/>
      <c r="F38" s="119"/>
      <c r="G38" s="119"/>
      <c r="H38" s="119"/>
    </row>
    <row r="39" spans="1:12" x14ac:dyDescent="0.35">
      <c r="A39" s="119" t="s">
        <v>981</v>
      </c>
      <c r="B39" s="119" t="s">
        <v>81</v>
      </c>
      <c r="C39" s="119"/>
      <c r="D39" s="127"/>
      <c r="E39" s="127"/>
      <c r="F39" s="119"/>
      <c r="G39" s="119"/>
      <c r="H39" s="119"/>
    </row>
    <row r="40" spans="1:12" x14ac:dyDescent="0.35">
      <c r="A40" s="119" t="s">
        <v>982</v>
      </c>
      <c r="B40" s="119" t="s">
        <v>81</v>
      </c>
      <c r="C40" s="119"/>
      <c r="D40" s="127"/>
      <c r="E40" s="127"/>
      <c r="F40" s="119"/>
      <c r="G40" s="119"/>
      <c r="H40" s="119"/>
    </row>
    <row r="41" spans="1:12" x14ac:dyDescent="0.35">
      <c r="A41" s="118"/>
      <c r="B41" s="118"/>
      <c r="C41" s="118"/>
      <c r="D41" s="127"/>
      <c r="E41" s="127"/>
      <c r="F41" s="118"/>
      <c r="G41" s="118"/>
      <c r="H41" s="118"/>
    </row>
    <row r="42" spans="1:12" x14ac:dyDescent="0.35">
      <c r="A42" s="120" t="s">
        <v>983</v>
      </c>
      <c r="B42" s="118"/>
      <c r="C42" s="118"/>
      <c r="D42" s="127"/>
      <c r="E42" s="127"/>
      <c r="F42" s="118"/>
      <c r="G42" s="118"/>
      <c r="H42" s="118"/>
      <c r="I42" s="96"/>
      <c r="J42" s="96"/>
      <c r="K42" s="96"/>
      <c r="L42" s="96"/>
    </row>
    <row r="43" spans="1:12" x14ac:dyDescent="0.35">
      <c r="A43" s="118"/>
      <c r="B43" s="118"/>
      <c r="C43" s="118"/>
      <c r="D43" s="127"/>
      <c r="E43" s="127"/>
      <c r="F43" s="118"/>
      <c r="G43" s="118"/>
      <c r="H43" s="118"/>
    </row>
    <row r="44" spans="1:12" ht="29" x14ac:dyDescent="0.35">
      <c r="A44" s="116" t="s">
        <v>984</v>
      </c>
      <c r="B44" s="116" t="s">
        <v>985</v>
      </c>
      <c r="C44" s="116" t="s">
        <v>986</v>
      </c>
      <c r="D44" s="116" t="s">
        <v>987</v>
      </c>
      <c r="E44" s="116" t="s">
        <v>988</v>
      </c>
      <c r="F44" s="116" t="s">
        <v>989</v>
      </c>
      <c r="G44" s="116" t="s">
        <v>389</v>
      </c>
      <c r="H44" s="116" t="s">
        <v>870</v>
      </c>
      <c r="I44" s="100" t="s">
        <v>390</v>
      </c>
      <c r="J44" s="100" t="s">
        <v>990</v>
      </c>
      <c r="K44" s="100" t="s">
        <v>991</v>
      </c>
      <c r="L44" s="100" t="s">
        <v>992</v>
      </c>
    </row>
    <row r="45" spans="1:12" ht="29" x14ac:dyDescent="0.35">
      <c r="A45" s="121" t="s">
        <v>993</v>
      </c>
      <c r="B45" s="121" t="s">
        <v>994</v>
      </c>
      <c r="C45" s="121" t="s">
        <v>995</v>
      </c>
      <c r="D45" s="121"/>
      <c r="E45" s="121" t="s">
        <v>996</v>
      </c>
      <c r="F45" s="121"/>
      <c r="G45" s="121"/>
      <c r="H45" s="121"/>
      <c r="I45" s="21"/>
      <c r="J45" s="21"/>
      <c r="K45" s="21"/>
      <c r="L45" s="21"/>
    </row>
    <row r="46" spans="1:12" ht="29" x14ac:dyDescent="0.35">
      <c r="A46" s="21" t="s">
        <v>993</v>
      </c>
      <c r="B46" s="21" t="s">
        <v>997</v>
      </c>
      <c r="C46" s="21" t="s">
        <v>998</v>
      </c>
      <c r="D46" s="21"/>
      <c r="E46" s="21" t="s">
        <v>996</v>
      </c>
      <c r="F46" s="21"/>
      <c r="G46" s="21"/>
      <c r="H46" s="21"/>
      <c r="I46" s="21"/>
      <c r="J46" s="21"/>
      <c r="K46" s="21"/>
      <c r="L46" s="21"/>
    </row>
    <row r="47" spans="1:12" ht="29" x14ac:dyDescent="0.35">
      <c r="A47" s="21" t="s">
        <v>993</v>
      </c>
      <c r="B47" s="21" t="s">
        <v>999</v>
      </c>
      <c r="C47" s="21" t="s">
        <v>1000</v>
      </c>
      <c r="D47" s="21"/>
      <c r="E47" s="21" t="s">
        <v>996</v>
      </c>
      <c r="F47" s="21"/>
      <c r="G47" s="21"/>
      <c r="H47" s="21"/>
      <c r="I47" s="21"/>
      <c r="J47" s="21"/>
      <c r="K47" s="21"/>
      <c r="L47" s="21"/>
    </row>
    <row r="48" spans="1:12" ht="29" x14ac:dyDescent="0.35">
      <c r="A48" s="21" t="s">
        <v>993</v>
      </c>
      <c r="B48" s="21" t="s">
        <v>1001</v>
      </c>
      <c r="C48" s="21" t="s">
        <v>1002</v>
      </c>
      <c r="D48" s="21"/>
      <c r="E48" s="21" t="s">
        <v>996</v>
      </c>
      <c r="F48" s="21"/>
      <c r="G48" s="21"/>
      <c r="H48" s="21"/>
      <c r="I48" s="21"/>
      <c r="J48" s="21"/>
      <c r="K48" s="21"/>
      <c r="L48" s="21"/>
    </row>
    <row r="49" spans="1:12" ht="43.5" x14ac:dyDescent="0.35">
      <c r="A49" s="21" t="s">
        <v>993</v>
      </c>
      <c r="B49" s="21" t="s">
        <v>1003</v>
      </c>
      <c r="C49" s="21" t="s">
        <v>1004</v>
      </c>
      <c r="D49" s="21"/>
      <c r="E49" s="21" t="s">
        <v>996</v>
      </c>
      <c r="F49" s="21"/>
      <c r="G49" s="21"/>
      <c r="H49" s="21"/>
      <c r="I49" s="21"/>
      <c r="J49" s="21"/>
      <c r="K49" s="21"/>
      <c r="L49" s="21"/>
    </row>
    <row r="50" spans="1:12" ht="29" x14ac:dyDescent="0.35">
      <c r="A50" s="21" t="s">
        <v>993</v>
      </c>
      <c r="B50" s="21" t="s">
        <v>1005</v>
      </c>
      <c r="C50" s="21" t="s">
        <v>1006</v>
      </c>
      <c r="D50" s="21"/>
      <c r="E50" s="21" t="s">
        <v>996</v>
      </c>
      <c r="F50" s="21"/>
      <c r="G50" s="21"/>
      <c r="H50" s="21"/>
      <c r="I50" s="21"/>
      <c r="J50" s="21"/>
      <c r="K50" s="21"/>
      <c r="L50" s="21"/>
    </row>
    <row r="51" spans="1:12" ht="43.5" x14ac:dyDescent="0.35">
      <c r="A51" s="21" t="s">
        <v>1007</v>
      </c>
      <c r="B51" s="21" t="s">
        <v>1008</v>
      </c>
      <c r="C51" s="21" t="s">
        <v>1009</v>
      </c>
      <c r="D51" s="21"/>
      <c r="E51" s="21" t="s">
        <v>996</v>
      </c>
      <c r="F51" s="21"/>
      <c r="G51" s="21"/>
      <c r="H51" s="21"/>
      <c r="I51" s="21"/>
      <c r="J51" s="21"/>
      <c r="K51" s="21"/>
      <c r="L51" s="21"/>
    </row>
    <row r="52" spans="1:12" ht="29" x14ac:dyDescent="0.35">
      <c r="A52" s="21" t="s">
        <v>1007</v>
      </c>
      <c r="B52" s="21" t="s">
        <v>1010</v>
      </c>
      <c r="C52" s="21" t="s">
        <v>1011</v>
      </c>
      <c r="D52" s="21"/>
      <c r="E52" s="21" t="s">
        <v>996</v>
      </c>
      <c r="F52" s="21"/>
      <c r="G52" s="21"/>
      <c r="H52" s="21"/>
      <c r="I52" s="21"/>
      <c r="J52" s="21"/>
      <c r="K52" s="21"/>
      <c r="L52" s="21"/>
    </row>
    <row r="53" spans="1:12" ht="29" x14ac:dyDescent="0.35">
      <c r="A53" s="21" t="s">
        <v>1007</v>
      </c>
      <c r="B53" s="21" t="s">
        <v>1012</v>
      </c>
      <c r="C53" s="21" t="s">
        <v>1013</v>
      </c>
      <c r="D53" s="21"/>
      <c r="E53" s="21" t="s">
        <v>996</v>
      </c>
      <c r="F53" s="21"/>
      <c r="G53" s="21"/>
      <c r="H53" s="21"/>
      <c r="I53" s="21"/>
      <c r="J53" s="21"/>
      <c r="K53" s="21"/>
      <c r="L53" s="21"/>
    </row>
    <row r="54" spans="1:12" ht="29" x14ac:dyDescent="0.35">
      <c r="A54" s="21" t="s">
        <v>1007</v>
      </c>
      <c r="B54" s="21" t="s">
        <v>1014</v>
      </c>
      <c r="C54" s="21" t="s">
        <v>1015</v>
      </c>
      <c r="D54" s="21"/>
      <c r="E54" s="21" t="s">
        <v>996</v>
      </c>
      <c r="F54" s="21"/>
      <c r="G54" s="21"/>
      <c r="H54" s="21"/>
      <c r="I54" s="21"/>
      <c r="J54" s="21"/>
      <c r="K54" s="21"/>
      <c r="L54" s="21"/>
    </row>
    <row r="55" spans="1:12" ht="29" x14ac:dyDescent="0.35">
      <c r="A55" s="21" t="s">
        <v>1007</v>
      </c>
      <c r="B55" s="21" t="s">
        <v>1016</v>
      </c>
      <c r="C55" s="21" t="s">
        <v>1017</v>
      </c>
      <c r="D55" s="21"/>
      <c r="E55" s="21" t="s">
        <v>996</v>
      </c>
      <c r="F55" s="21"/>
      <c r="G55" s="21"/>
      <c r="H55" s="21"/>
      <c r="I55" s="21"/>
      <c r="J55" s="21"/>
      <c r="K55" s="21"/>
      <c r="L55" s="21"/>
    </row>
    <row r="56" spans="1:12" ht="29" x14ac:dyDescent="0.35">
      <c r="A56" s="21" t="s">
        <v>1007</v>
      </c>
      <c r="B56" s="21" t="s">
        <v>1018</v>
      </c>
      <c r="C56" s="21" t="s">
        <v>1019</v>
      </c>
      <c r="D56" s="21"/>
      <c r="E56" s="21" t="s">
        <v>996</v>
      </c>
      <c r="F56" s="21"/>
      <c r="G56" s="21"/>
      <c r="H56" s="21"/>
      <c r="I56" s="21"/>
      <c r="J56" s="21"/>
      <c r="K56" s="21"/>
      <c r="L56" s="21"/>
    </row>
    <row r="57" spans="1:12" ht="43.5" x14ac:dyDescent="0.35">
      <c r="A57" s="21" t="s">
        <v>1020</v>
      </c>
      <c r="B57" s="21" t="s">
        <v>1021</v>
      </c>
      <c r="C57" s="21" t="s">
        <v>1022</v>
      </c>
      <c r="D57" s="21"/>
      <c r="E57" s="21" t="s">
        <v>1023</v>
      </c>
      <c r="F57" s="21"/>
      <c r="G57" s="21"/>
      <c r="H57" s="21"/>
      <c r="I57" s="21"/>
      <c r="J57" s="21"/>
      <c r="K57" s="21"/>
      <c r="L57" s="21"/>
    </row>
    <row r="58" spans="1:12" ht="43.5" x14ac:dyDescent="0.35">
      <c r="A58" s="21" t="s">
        <v>1020</v>
      </c>
      <c r="B58" s="21" t="s">
        <v>1024</v>
      </c>
      <c r="C58" s="21" t="s">
        <v>1025</v>
      </c>
      <c r="D58" s="21"/>
      <c r="E58" s="21" t="s">
        <v>1023</v>
      </c>
      <c r="F58" s="21"/>
      <c r="G58" s="21"/>
      <c r="H58" s="21"/>
      <c r="I58" s="21"/>
      <c r="J58" s="21"/>
      <c r="K58" s="21"/>
      <c r="L58" s="21"/>
    </row>
    <row r="59" spans="1:12" ht="43.5" x14ac:dyDescent="0.35">
      <c r="A59" s="21" t="s">
        <v>1020</v>
      </c>
      <c r="B59" s="21" t="s">
        <v>1026</v>
      </c>
      <c r="C59" s="21" t="s">
        <v>1027</v>
      </c>
      <c r="D59" s="21"/>
      <c r="E59" s="21" t="s">
        <v>1023</v>
      </c>
      <c r="F59" s="21"/>
      <c r="G59" s="21"/>
      <c r="H59" s="21"/>
      <c r="I59" s="21"/>
      <c r="J59" s="21"/>
      <c r="K59" s="21"/>
      <c r="L59" s="21"/>
    </row>
    <row r="60" spans="1:12" ht="43.5" x14ac:dyDescent="0.35">
      <c r="A60" s="21" t="s">
        <v>1020</v>
      </c>
      <c r="B60" s="21" t="s">
        <v>1028</v>
      </c>
      <c r="C60" s="21" t="s">
        <v>1029</v>
      </c>
      <c r="D60" s="21"/>
      <c r="E60" s="21" t="s">
        <v>1023</v>
      </c>
      <c r="F60" s="21"/>
      <c r="G60" s="21"/>
      <c r="H60" s="21"/>
      <c r="I60" s="21"/>
      <c r="J60" s="21"/>
      <c r="K60" s="21"/>
      <c r="L60" s="21"/>
    </row>
    <row r="61" spans="1:12" ht="43.5" x14ac:dyDescent="0.35">
      <c r="A61" s="21" t="s">
        <v>1020</v>
      </c>
      <c r="B61" s="21" t="s">
        <v>1030</v>
      </c>
      <c r="C61" s="21" t="s">
        <v>1031</v>
      </c>
      <c r="D61" s="21"/>
      <c r="E61" s="21" t="s">
        <v>1023</v>
      </c>
      <c r="F61" s="21"/>
      <c r="G61" s="21"/>
      <c r="H61" s="21"/>
      <c r="I61" s="21"/>
      <c r="J61" s="21"/>
      <c r="K61" s="21"/>
      <c r="L61" s="21"/>
    </row>
    <row r="62" spans="1:12" ht="43.5" x14ac:dyDescent="0.35">
      <c r="A62" s="21" t="s">
        <v>1020</v>
      </c>
      <c r="B62" s="21" t="s">
        <v>1032</v>
      </c>
      <c r="C62" s="21" t="s">
        <v>1033</v>
      </c>
      <c r="D62" s="21"/>
      <c r="E62" s="21" t="s">
        <v>1023</v>
      </c>
      <c r="F62" s="21"/>
      <c r="G62" s="21"/>
      <c r="H62" s="21"/>
      <c r="I62" s="21"/>
      <c r="J62" s="21"/>
      <c r="K62" s="21"/>
      <c r="L62" s="21"/>
    </row>
    <row r="63" spans="1:12" ht="29" x14ac:dyDescent="0.35">
      <c r="A63" s="21" t="s">
        <v>428</v>
      </c>
      <c r="B63" s="21" t="s">
        <v>1034</v>
      </c>
      <c r="C63" s="21" t="s">
        <v>1035</v>
      </c>
      <c r="D63" s="21"/>
      <c r="E63" s="21" t="s">
        <v>996</v>
      </c>
      <c r="F63" s="21"/>
      <c r="G63" s="21"/>
      <c r="H63" s="21"/>
      <c r="I63" s="21"/>
      <c r="J63" s="21"/>
      <c r="K63" s="21"/>
      <c r="L63" s="21"/>
    </row>
    <row r="64" spans="1:12" ht="43.5" x14ac:dyDescent="0.35">
      <c r="A64" s="21" t="s">
        <v>428</v>
      </c>
      <c r="B64" s="21" t="s">
        <v>1036</v>
      </c>
      <c r="C64" s="21" t="s">
        <v>1037</v>
      </c>
      <c r="D64" s="21"/>
      <c r="E64" s="21" t="s">
        <v>996</v>
      </c>
      <c r="F64" s="21"/>
      <c r="G64" s="21"/>
      <c r="H64" s="21"/>
      <c r="I64" s="21"/>
      <c r="J64" s="21"/>
      <c r="K64" s="21"/>
      <c r="L64" s="21"/>
    </row>
    <row r="65" spans="1:12" ht="29" x14ac:dyDescent="0.35">
      <c r="A65" s="21" t="s">
        <v>428</v>
      </c>
      <c r="B65" s="21" t="s">
        <v>1038</v>
      </c>
      <c r="C65" s="21" t="s">
        <v>1039</v>
      </c>
      <c r="D65" s="21"/>
      <c r="E65" s="21" t="s">
        <v>996</v>
      </c>
      <c r="F65" s="21"/>
      <c r="G65" s="21"/>
      <c r="H65" s="21"/>
      <c r="I65" s="21"/>
      <c r="J65" s="21"/>
      <c r="K65" s="21"/>
      <c r="L65" s="21"/>
    </row>
    <row r="66" spans="1:12" ht="43.5" x14ac:dyDescent="0.35">
      <c r="A66" s="21" t="s">
        <v>428</v>
      </c>
      <c r="B66" s="21" t="s">
        <v>1040</v>
      </c>
      <c r="C66" s="21" t="s">
        <v>1041</v>
      </c>
      <c r="D66" s="21"/>
      <c r="E66" s="21" t="s">
        <v>996</v>
      </c>
      <c r="F66" s="21"/>
      <c r="G66" s="21"/>
      <c r="H66" s="21"/>
      <c r="I66" s="21"/>
      <c r="J66" s="21"/>
      <c r="K66" s="21"/>
      <c r="L66" s="21"/>
    </row>
    <row r="67" spans="1:12" ht="29" x14ac:dyDescent="0.35">
      <c r="A67" s="21" t="s">
        <v>428</v>
      </c>
      <c r="B67" s="21" t="s">
        <v>1042</v>
      </c>
      <c r="C67" s="21" t="s">
        <v>1043</v>
      </c>
      <c r="D67" s="21"/>
      <c r="E67" s="21" t="s">
        <v>996</v>
      </c>
      <c r="F67" s="21"/>
      <c r="G67" s="21"/>
      <c r="H67" s="21"/>
      <c r="I67" s="21"/>
      <c r="J67" s="21"/>
      <c r="K67" s="21"/>
      <c r="L67" s="21"/>
    </row>
    <row r="68" spans="1:12" ht="29" x14ac:dyDescent="0.35">
      <c r="A68" s="21" t="s">
        <v>428</v>
      </c>
      <c r="B68" s="21" t="s">
        <v>1044</v>
      </c>
      <c r="C68" s="21" t="s">
        <v>1045</v>
      </c>
      <c r="D68" s="21"/>
      <c r="E68" s="21" t="s">
        <v>996</v>
      </c>
      <c r="F68" s="21"/>
      <c r="G68" s="21"/>
      <c r="H68" s="21"/>
      <c r="I68" s="21"/>
      <c r="J68" s="21"/>
      <c r="K68" s="21"/>
      <c r="L68" s="21"/>
    </row>
    <row r="69" spans="1:12" ht="29" x14ac:dyDescent="0.35">
      <c r="A69" s="21" t="s">
        <v>1046</v>
      </c>
      <c r="B69" s="21" t="s">
        <v>1047</v>
      </c>
      <c r="C69" s="21" t="s">
        <v>1048</v>
      </c>
      <c r="D69" s="21"/>
      <c r="E69" s="21" t="s">
        <v>996</v>
      </c>
      <c r="F69" s="21"/>
      <c r="G69" s="21"/>
      <c r="H69" s="21"/>
      <c r="I69" s="21"/>
      <c r="J69" s="21"/>
      <c r="K69" s="21"/>
      <c r="L69" s="21"/>
    </row>
    <row r="70" spans="1:12" ht="29" x14ac:dyDescent="0.35">
      <c r="A70" s="21" t="s">
        <v>1046</v>
      </c>
      <c r="B70" s="21" t="s">
        <v>1049</v>
      </c>
      <c r="C70" s="21" t="s">
        <v>1050</v>
      </c>
      <c r="D70" s="21"/>
      <c r="E70" s="21" t="s">
        <v>996</v>
      </c>
      <c r="F70" s="21"/>
      <c r="G70" s="21"/>
      <c r="H70" s="21"/>
      <c r="I70" s="21"/>
      <c r="J70" s="21"/>
      <c r="K70" s="21"/>
      <c r="L70" s="21"/>
    </row>
    <row r="71" spans="1:12" ht="29" x14ac:dyDescent="0.35">
      <c r="A71" s="21" t="s">
        <v>1046</v>
      </c>
      <c r="B71" s="21" t="s">
        <v>1051</v>
      </c>
      <c r="C71" s="21" t="s">
        <v>1052</v>
      </c>
      <c r="D71" s="21"/>
      <c r="E71" s="21" t="s">
        <v>996</v>
      </c>
      <c r="F71" s="21"/>
      <c r="G71" s="21"/>
      <c r="H71" s="21"/>
      <c r="I71" s="21"/>
      <c r="J71" s="21"/>
      <c r="K71" s="21"/>
      <c r="L71" s="21"/>
    </row>
    <row r="72" spans="1:12" ht="29" x14ac:dyDescent="0.35">
      <c r="A72" s="21" t="s">
        <v>1046</v>
      </c>
      <c r="B72" s="21" t="s">
        <v>1053</v>
      </c>
      <c r="C72" s="21" t="s">
        <v>1054</v>
      </c>
      <c r="D72" s="21"/>
      <c r="E72" s="21" t="s">
        <v>996</v>
      </c>
      <c r="F72" s="21"/>
      <c r="G72" s="21"/>
      <c r="H72" s="21"/>
      <c r="I72" s="21"/>
      <c r="J72" s="21"/>
      <c r="K72" s="21"/>
      <c r="L72" s="21"/>
    </row>
    <row r="73" spans="1:12" ht="29" x14ac:dyDescent="0.35">
      <c r="A73" s="21" t="s">
        <v>1046</v>
      </c>
      <c r="B73" s="21" t="s">
        <v>1055</v>
      </c>
      <c r="C73" s="21" t="s">
        <v>1056</v>
      </c>
      <c r="D73" s="21"/>
      <c r="E73" s="21" t="s">
        <v>996</v>
      </c>
      <c r="F73" s="21"/>
      <c r="G73" s="21"/>
      <c r="H73" s="21"/>
      <c r="I73" s="21"/>
      <c r="J73" s="21"/>
      <c r="K73" s="21"/>
      <c r="L73" s="21"/>
    </row>
    <row r="74" spans="1:12" ht="29" x14ac:dyDescent="0.35">
      <c r="A74" s="21" t="s">
        <v>1046</v>
      </c>
      <c r="B74" s="21" t="s">
        <v>1057</v>
      </c>
      <c r="C74" s="21" t="s">
        <v>1058</v>
      </c>
      <c r="D74" s="21"/>
      <c r="E74" s="21" t="s">
        <v>996</v>
      </c>
      <c r="F74" s="21"/>
      <c r="G74" s="21"/>
      <c r="H74" s="21"/>
      <c r="I74" s="21"/>
      <c r="J74" s="21"/>
      <c r="K74" s="21"/>
      <c r="L74" s="21"/>
    </row>
    <row r="75" spans="1:12" ht="29" x14ac:dyDescent="0.35">
      <c r="A75" s="21" t="s">
        <v>1059</v>
      </c>
      <c r="B75" s="21" t="s">
        <v>1060</v>
      </c>
      <c r="C75" s="21" t="s">
        <v>1061</v>
      </c>
      <c r="D75" s="21"/>
      <c r="E75" s="21" t="s">
        <v>996</v>
      </c>
      <c r="F75" s="21"/>
      <c r="G75" s="21"/>
      <c r="H75" s="21"/>
      <c r="I75" s="21"/>
      <c r="J75" s="21"/>
      <c r="K75" s="21"/>
      <c r="L75" s="21"/>
    </row>
    <row r="76" spans="1:12" ht="43.5" x14ac:dyDescent="0.35">
      <c r="A76" s="21" t="s">
        <v>1059</v>
      </c>
      <c r="B76" s="21" t="s">
        <v>1062</v>
      </c>
      <c r="C76" s="21" t="s">
        <v>1063</v>
      </c>
      <c r="D76" s="21"/>
      <c r="E76" s="21" t="s">
        <v>996</v>
      </c>
      <c r="F76" s="21"/>
      <c r="G76" s="21"/>
      <c r="H76" s="21"/>
      <c r="I76" s="21"/>
      <c r="J76" s="21"/>
      <c r="K76" s="21"/>
      <c r="L76" s="21"/>
    </row>
    <row r="77" spans="1:12" ht="29" x14ac:dyDescent="0.35">
      <c r="A77" s="21" t="s">
        <v>1059</v>
      </c>
      <c r="B77" s="21" t="s">
        <v>1064</v>
      </c>
      <c r="C77" s="21" t="s">
        <v>1065</v>
      </c>
      <c r="D77" s="21"/>
      <c r="E77" s="21" t="s">
        <v>996</v>
      </c>
      <c r="F77" s="21"/>
      <c r="G77" s="21"/>
      <c r="H77" s="21"/>
      <c r="I77" s="21"/>
      <c r="J77" s="21"/>
      <c r="K77" s="21"/>
      <c r="L77" s="21"/>
    </row>
    <row r="78" spans="1:12" ht="29" x14ac:dyDescent="0.35">
      <c r="A78" s="21" t="s">
        <v>1059</v>
      </c>
      <c r="B78" s="21" t="s">
        <v>1066</v>
      </c>
      <c r="C78" s="21" t="s">
        <v>1067</v>
      </c>
      <c r="D78" s="21"/>
      <c r="E78" s="21" t="s">
        <v>996</v>
      </c>
      <c r="F78" s="21"/>
      <c r="G78" s="21"/>
      <c r="H78" s="21"/>
      <c r="I78" s="21"/>
      <c r="J78" s="21"/>
      <c r="K78" s="21"/>
      <c r="L78" s="21"/>
    </row>
    <row r="79" spans="1:12" ht="29" x14ac:dyDescent="0.35">
      <c r="A79" s="21" t="s">
        <v>1059</v>
      </c>
      <c r="B79" s="21" t="s">
        <v>1068</v>
      </c>
      <c r="C79" s="21" t="s">
        <v>1069</v>
      </c>
      <c r="D79" s="21"/>
      <c r="E79" s="21" t="s">
        <v>996</v>
      </c>
      <c r="F79" s="21"/>
      <c r="G79" s="21"/>
      <c r="H79" s="21"/>
      <c r="I79" s="21"/>
      <c r="J79" s="21"/>
      <c r="K79" s="21"/>
      <c r="L79" s="21"/>
    </row>
    <row r="80" spans="1:12" ht="29" x14ac:dyDescent="0.35">
      <c r="A80" s="21" t="s">
        <v>1059</v>
      </c>
      <c r="B80" s="21" t="s">
        <v>1070</v>
      </c>
      <c r="C80" s="21" t="s">
        <v>1071</v>
      </c>
      <c r="D80" s="21"/>
      <c r="E80" s="21" t="s">
        <v>996</v>
      </c>
      <c r="F80" s="21"/>
      <c r="G80" s="21"/>
      <c r="H80" s="21"/>
      <c r="I80" s="21"/>
      <c r="J80" s="21"/>
      <c r="K80" s="21"/>
      <c r="L80" s="21"/>
    </row>
    <row r="81" spans="1:12" ht="29" x14ac:dyDescent="0.35">
      <c r="A81" s="21" t="s">
        <v>1072</v>
      </c>
      <c r="B81" s="21" t="s">
        <v>1073</v>
      </c>
      <c r="C81" s="21" t="s">
        <v>1074</v>
      </c>
      <c r="D81" s="21"/>
      <c r="E81" s="21" t="s">
        <v>996</v>
      </c>
      <c r="F81" s="21"/>
      <c r="G81" s="21"/>
      <c r="H81" s="21"/>
      <c r="I81" s="21"/>
      <c r="J81" s="21"/>
      <c r="K81" s="21"/>
      <c r="L81" s="21"/>
    </row>
    <row r="82" spans="1:12" ht="29" x14ac:dyDescent="0.35">
      <c r="A82" s="21" t="s">
        <v>1072</v>
      </c>
      <c r="B82" s="21" t="s">
        <v>1075</v>
      </c>
      <c r="C82" s="21" t="s">
        <v>1076</v>
      </c>
      <c r="D82" s="21"/>
      <c r="E82" s="21" t="s">
        <v>996</v>
      </c>
      <c r="F82" s="21"/>
      <c r="G82" s="21"/>
      <c r="H82" s="21"/>
      <c r="I82" s="21"/>
      <c r="J82" s="21"/>
      <c r="K82" s="21"/>
      <c r="L82" s="21"/>
    </row>
    <row r="83" spans="1:12" ht="29" x14ac:dyDescent="0.35">
      <c r="A83" s="21" t="s">
        <v>1072</v>
      </c>
      <c r="B83" s="21" t="s">
        <v>1077</v>
      </c>
      <c r="C83" s="21" t="s">
        <v>1078</v>
      </c>
      <c r="D83" s="21"/>
      <c r="E83" s="21" t="s">
        <v>996</v>
      </c>
      <c r="F83" s="21"/>
      <c r="G83" s="21"/>
      <c r="H83" s="21"/>
      <c r="I83" s="21"/>
      <c r="J83" s="21"/>
      <c r="K83" s="21"/>
      <c r="L83" s="21"/>
    </row>
    <row r="84" spans="1:12" ht="29" x14ac:dyDescent="0.35">
      <c r="A84" s="21" t="s">
        <v>1072</v>
      </c>
      <c r="B84" s="21" t="s">
        <v>1079</v>
      </c>
      <c r="C84" s="21" t="s">
        <v>1080</v>
      </c>
      <c r="D84" s="21"/>
      <c r="E84" s="21" t="s">
        <v>996</v>
      </c>
      <c r="F84" s="21"/>
      <c r="G84" s="21"/>
      <c r="H84" s="21"/>
      <c r="I84" s="21"/>
      <c r="J84" s="21"/>
      <c r="K84" s="21"/>
      <c r="L84" s="21"/>
    </row>
    <row r="85" spans="1:12" ht="29" x14ac:dyDescent="0.35">
      <c r="A85" s="21" t="s">
        <v>1072</v>
      </c>
      <c r="B85" s="21" t="s">
        <v>1081</v>
      </c>
      <c r="C85" s="21" t="s">
        <v>1082</v>
      </c>
      <c r="D85" s="21"/>
      <c r="E85" s="21" t="s">
        <v>996</v>
      </c>
      <c r="F85" s="21"/>
      <c r="G85" s="21"/>
      <c r="H85" s="21"/>
      <c r="I85" s="21"/>
      <c r="J85" s="21"/>
      <c r="K85" s="21"/>
      <c r="L85" s="21"/>
    </row>
    <row r="86" spans="1:12" ht="29" x14ac:dyDescent="0.35">
      <c r="A86" s="21" t="s">
        <v>1072</v>
      </c>
      <c r="B86" s="21" t="s">
        <v>1083</v>
      </c>
      <c r="C86" s="21" t="s">
        <v>1084</v>
      </c>
      <c r="D86" s="21"/>
      <c r="E86" s="21" t="s">
        <v>996</v>
      </c>
      <c r="F86" s="21"/>
      <c r="G86" s="21"/>
      <c r="H86" s="21"/>
      <c r="I86" s="21"/>
      <c r="J86" s="21"/>
      <c r="K86" s="21"/>
      <c r="L86" s="21"/>
    </row>
    <row r="87" spans="1:12" ht="29" x14ac:dyDescent="0.35">
      <c r="A87" s="21" t="s">
        <v>1085</v>
      </c>
      <c r="B87" s="21" t="s">
        <v>1086</v>
      </c>
      <c r="C87" s="21" t="s">
        <v>1087</v>
      </c>
      <c r="D87" s="21"/>
      <c r="E87" s="21" t="s">
        <v>996</v>
      </c>
      <c r="F87" s="21"/>
      <c r="G87" s="21"/>
      <c r="H87" s="21"/>
      <c r="I87" s="21"/>
      <c r="J87" s="21"/>
      <c r="K87" s="21"/>
      <c r="L87" s="21"/>
    </row>
    <row r="88" spans="1:12" ht="29" x14ac:dyDescent="0.35">
      <c r="A88" s="21" t="s">
        <v>1085</v>
      </c>
      <c r="B88" s="21" t="s">
        <v>1088</v>
      </c>
      <c r="C88" s="21" t="s">
        <v>1089</v>
      </c>
      <c r="D88" s="21"/>
      <c r="E88" s="21" t="s">
        <v>996</v>
      </c>
      <c r="F88" s="21"/>
      <c r="G88" s="21"/>
      <c r="H88" s="21"/>
      <c r="I88" s="21"/>
      <c r="J88" s="21"/>
      <c r="K88" s="21"/>
      <c r="L88" s="21"/>
    </row>
    <row r="89" spans="1:12" ht="29" x14ac:dyDescent="0.35">
      <c r="A89" s="21" t="s">
        <v>1085</v>
      </c>
      <c r="B89" s="21" t="s">
        <v>1090</v>
      </c>
      <c r="C89" s="21" t="s">
        <v>1091</v>
      </c>
      <c r="D89" s="21"/>
      <c r="E89" s="21" t="s">
        <v>996</v>
      </c>
      <c r="F89" s="21"/>
      <c r="G89" s="21"/>
      <c r="H89" s="21"/>
      <c r="I89" s="21"/>
      <c r="J89" s="21"/>
      <c r="K89" s="21"/>
      <c r="L89" s="21"/>
    </row>
    <row r="90" spans="1:12" ht="29" x14ac:dyDescent="0.35">
      <c r="A90" s="21" t="s">
        <v>1085</v>
      </c>
      <c r="B90" s="21" t="s">
        <v>1092</v>
      </c>
      <c r="C90" s="21" t="s">
        <v>1093</v>
      </c>
      <c r="D90" s="21"/>
      <c r="E90" s="21" t="s">
        <v>996</v>
      </c>
      <c r="F90" s="21"/>
      <c r="G90" s="21"/>
      <c r="H90" s="21"/>
      <c r="I90" s="21"/>
      <c r="J90" s="21"/>
      <c r="K90" s="21"/>
      <c r="L90" s="21"/>
    </row>
    <row r="91" spans="1:12" ht="29" x14ac:dyDescent="0.35">
      <c r="A91" s="21" t="s">
        <v>1085</v>
      </c>
      <c r="B91" s="21" t="s">
        <v>1094</v>
      </c>
      <c r="C91" s="21" t="s">
        <v>1095</v>
      </c>
      <c r="D91" s="21"/>
      <c r="E91" s="21" t="s">
        <v>996</v>
      </c>
      <c r="F91" s="21"/>
      <c r="G91" s="21"/>
      <c r="H91" s="21"/>
      <c r="I91" s="21"/>
      <c r="J91" s="21"/>
      <c r="K91" s="21"/>
      <c r="L91" s="21"/>
    </row>
    <row r="92" spans="1:12" ht="29" x14ac:dyDescent="0.35">
      <c r="A92" s="21" t="s">
        <v>1085</v>
      </c>
      <c r="B92" s="21" t="s">
        <v>1096</v>
      </c>
      <c r="C92" s="21" t="s">
        <v>1097</v>
      </c>
      <c r="D92" s="21"/>
      <c r="E92" s="21" t="s">
        <v>996</v>
      </c>
      <c r="F92" s="21"/>
      <c r="G92" s="21"/>
      <c r="H92" s="21"/>
      <c r="I92" s="21"/>
      <c r="J92" s="21"/>
      <c r="K92" s="21"/>
      <c r="L92" s="21"/>
    </row>
    <row r="93" spans="1:12" ht="29" x14ac:dyDescent="0.35">
      <c r="A93" s="21" t="s">
        <v>1098</v>
      </c>
      <c r="B93" s="21" t="s">
        <v>1099</v>
      </c>
      <c r="C93" s="21" t="s">
        <v>1100</v>
      </c>
      <c r="D93" s="21"/>
      <c r="E93" s="21" t="s">
        <v>996</v>
      </c>
      <c r="F93" s="21"/>
      <c r="G93" s="21"/>
      <c r="H93" s="21"/>
      <c r="I93" s="21"/>
      <c r="J93" s="21"/>
      <c r="K93" s="21"/>
      <c r="L93" s="21"/>
    </row>
    <row r="94" spans="1:12" ht="29" x14ac:dyDescent="0.35">
      <c r="A94" s="21" t="s">
        <v>1098</v>
      </c>
      <c r="B94" s="21" t="s">
        <v>1101</v>
      </c>
      <c r="C94" s="21" t="s">
        <v>1102</v>
      </c>
      <c r="D94" s="21"/>
      <c r="E94" s="21" t="s">
        <v>996</v>
      </c>
      <c r="F94" s="21"/>
      <c r="G94" s="21"/>
      <c r="H94" s="21"/>
      <c r="I94" s="21"/>
      <c r="J94" s="21"/>
      <c r="K94" s="21"/>
      <c r="L94" s="21"/>
    </row>
    <row r="95" spans="1:12" ht="29" x14ac:dyDescent="0.35">
      <c r="A95" s="21" t="s">
        <v>1098</v>
      </c>
      <c r="B95" s="21" t="s">
        <v>1103</v>
      </c>
      <c r="C95" s="21" t="s">
        <v>1104</v>
      </c>
      <c r="D95" s="21"/>
      <c r="E95" s="21" t="s">
        <v>996</v>
      </c>
      <c r="F95" s="21"/>
      <c r="G95" s="21"/>
      <c r="H95" s="21"/>
      <c r="I95" s="21"/>
      <c r="J95" s="21"/>
      <c r="K95" s="21"/>
      <c r="L95" s="21"/>
    </row>
    <row r="96" spans="1:12" ht="29" x14ac:dyDescent="0.35">
      <c r="A96" s="21" t="s">
        <v>1098</v>
      </c>
      <c r="B96" s="21" t="s">
        <v>1105</v>
      </c>
      <c r="C96" s="21" t="s">
        <v>1106</v>
      </c>
      <c r="D96" s="21"/>
      <c r="E96" s="21" t="s">
        <v>996</v>
      </c>
      <c r="F96" s="21"/>
      <c r="G96" s="21"/>
      <c r="H96" s="21"/>
      <c r="I96" s="21"/>
      <c r="J96" s="21"/>
      <c r="K96" s="21"/>
      <c r="L96" s="21"/>
    </row>
    <row r="97" spans="1:12" ht="29" x14ac:dyDescent="0.35">
      <c r="A97" s="21" t="s">
        <v>1098</v>
      </c>
      <c r="B97" s="21" t="s">
        <v>1107</v>
      </c>
      <c r="C97" s="21" t="s">
        <v>1108</v>
      </c>
      <c r="D97" s="21"/>
      <c r="E97" s="21" t="s">
        <v>996</v>
      </c>
      <c r="F97" s="21"/>
      <c r="G97" s="21"/>
      <c r="H97" s="21"/>
      <c r="I97" s="21"/>
      <c r="J97" s="21"/>
      <c r="K97" s="21"/>
      <c r="L97" s="21"/>
    </row>
    <row r="98" spans="1:12" ht="29" x14ac:dyDescent="0.35">
      <c r="A98" s="21" t="s">
        <v>1098</v>
      </c>
      <c r="B98" s="21" t="s">
        <v>1109</v>
      </c>
      <c r="C98" s="21" t="s">
        <v>1110</v>
      </c>
      <c r="D98" s="21"/>
      <c r="E98" s="21" t="s">
        <v>996</v>
      </c>
      <c r="F98" s="21"/>
      <c r="G98" s="21"/>
      <c r="H98" s="21"/>
      <c r="I98" s="21"/>
      <c r="J98" s="21"/>
      <c r="K98" s="21"/>
      <c r="L98" s="21"/>
    </row>
    <row r="99" spans="1:12" ht="29" x14ac:dyDescent="0.35">
      <c r="A99" s="21" t="s">
        <v>1111</v>
      </c>
      <c r="B99" s="21" t="s">
        <v>1112</v>
      </c>
      <c r="C99" s="21" t="s">
        <v>1113</v>
      </c>
      <c r="D99" s="21"/>
      <c r="E99" s="21" t="s">
        <v>1114</v>
      </c>
      <c r="F99" s="21"/>
      <c r="G99" s="21"/>
      <c r="H99" s="21"/>
      <c r="I99" s="21"/>
      <c r="J99" s="21"/>
      <c r="K99" s="21"/>
      <c r="L99" s="21"/>
    </row>
    <row r="100" spans="1:12" ht="29" x14ac:dyDescent="0.35">
      <c r="A100" s="21" t="s">
        <v>1111</v>
      </c>
      <c r="B100" s="21" t="s">
        <v>1115</v>
      </c>
      <c r="C100" s="21" t="s">
        <v>1116</v>
      </c>
      <c r="D100" s="21"/>
      <c r="E100" s="21" t="s">
        <v>1114</v>
      </c>
      <c r="F100" s="21"/>
      <c r="G100" s="21"/>
      <c r="H100" s="21"/>
      <c r="I100" s="21"/>
      <c r="J100" s="21"/>
      <c r="K100" s="21"/>
      <c r="L100" s="21"/>
    </row>
    <row r="101" spans="1:12" ht="29" x14ac:dyDescent="0.35">
      <c r="A101" s="21" t="s">
        <v>1111</v>
      </c>
      <c r="B101" s="21" t="s">
        <v>1117</v>
      </c>
      <c r="C101" s="21" t="s">
        <v>1118</v>
      </c>
      <c r="D101" s="21"/>
      <c r="E101" s="21" t="s">
        <v>1114</v>
      </c>
      <c r="F101" s="21"/>
      <c r="G101" s="21"/>
      <c r="H101" s="21"/>
      <c r="I101" s="21"/>
      <c r="J101" s="21"/>
      <c r="K101" s="21"/>
      <c r="L101" s="21"/>
    </row>
    <row r="102" spans="1:12" ht="29" x14ac:dyDescent="0.35">
      <c r="A102" s="21" t="s">
        <v>1111</v>
      </c>
      <c r="B102" s="21" t="s">
        <v>1119</v>
      </c>
      <c r="C102" s="21" t="s">
        <v>1120</v>
      </c>
      <c r="D102" s="21"/>
      <c r="E102" s="21" t="s">
        <v>1114</v>
      </c>
      <c r="F102" s="21"/>
      <c r="G102" s="21"/>
      <c r="H102" s="21"/>
      <c r="I102" s="21"/>
      <c r="J102" s="21"/>
      <c r="K102" s="21"/>
      <c r="L102" s="21"/>
    </row>
    <row r="103" spans="1:12" ht="29" x14ac:dyDescent="0.35">
      <c r="A103" s="21" t="s">
        <v>1111</v>
      </c>
      <c r="B103" s="21" t="s">
        <v>1121</v>
      </c>
      <c r="C103" s="21" t="s">
        <v>1122</v>
      </c>
      <c r="D103" s="21"/>
      <c r="E103" s="21" t="s">
        <v>1114</v>
      </c>
      <c r="F103" s="21"/>
      <c r="G103" s="21"/>
      <c r="H103" s="21"/>
      <c r="I103" s="21"/>
      <c r="J103" s="21"/>
      <c r="K103" s="21"/>
      <c r="L103" s="21"/>
    </row>
    <row r="104" spans="1:12" ht="29" x14ac:dyDescent="0.35">
      <c r="A104" s="21" t="s">
        <v>1111</v>
      </c>
      <c r="B104" s="21" t="s">
        <v>1123</v>
      </c>
      <c r="C104" s="21" t="s">
        <v>1124</v>
      </c>
      <c r="D104" s="21"/>
      <c r="E104" s="21" t="s">
        <v>1114</v>
      </c>
      <c r="F104" s="21"/>
      <c r="G104" s="21"/>
      <c r="H104" s="21"/>
      <c r="I104" s="21"/>
      <c r="J104" s="21"/>
      <c r="K104" s="21"/>
      <c r="L104" s="21"/>
    </row>
    <row r="105" spans="1:12" ht="29" x14ac:dyDescent="0.35">
      <c r="A105" s="21" t="s">
        <v>1125</v>
      </c>
      <c r="B105" s="21" t="s">
        <v>1126</v>
      </c>
      <c r="C105" s="21" t="s">
        <v>1127</v>
      </c>
      <c r="D105" s="21"/>
      <c r="E105" s="21" t="s">
        <v>1114</v>
      </c>
      <c r="F105" s="21"/>
      <c r="G105" s="21"/>
      <c r="H105" s="21"/>
      <c r="I105" s="21"/>
      <c r="J105" s="21"/>
      <c r="K105" s="21"/>
      <c r="L105" s="21"/>
    </row>
    <row r="106" spans="1:12" ht="29" x14ac:dyDescent="0.35">
      <c r="A106" s="21" t="s">
        <v>1125</v>
      </c>
      <c r="B106" s="21" t="s">
        <v>1128</v>
      </c>
      <c r="C106" s="21" t="s">
        <v>1129</v>
      </c>
      <c r="D106" s="21"/>
      <c r="E106" s="21" t="s">
        <v>1114</v>
      </c>
      <c r="F106" s="21"/>
      <c r="G106" s="21"/>
      <c r="H106" s="21"/>
      <c r="I106" s="21"/>
      <c r="J106" s="21"/>
      <c r="K106" s="21"/>
      <c r="L106" s="21"/>
    </row>
    <row r="107" spans="1:12" ht="43.5" x14ac:dyDescent="0.35">
      <c r="A107" s="21" t="s">
        <v>1125</v>
      </c>
      <c r="B107" s="21" t="s">
        <v>1130</v>
      </c>
      <c r="C107" s="21" t="s">
        <v>1131</v>
      </c>
      <c r="D107" s="21"/>
      <c r="E107" s="21" t="s">
        <v>1114</v>
      </c>
      <c r="F107" s="21"/>
      <c r="G107" s="21"/>
      <c r="H107" s="21"/>
      <c r="I107" s="21"/>
      <c r="J107" s="21"/>
      <c r="K107" s="21"/>
      <c r="L107" s="21"/>
    </row>
    <row r="108" spans="1:12" ht="29" x14ac:dyDescent="0.35">
      <c r="A108" s="21" t="s">
        <v>1125</v>
      </c>
      <c r="B108" s="21" t="s">
        <v>1132</v>
      </c>
      <c r="C108" s="21" t="s">
        <v>1133</v>
      </c>
      <c r="D108" s="21"/>
      <c r="E108" s="21" t="s">
        <v>1114</v>
      </c>
      <c r="F108" s="21"/>
      <c r="G108" s="21"/>
      <c r="H108" s="21"/>
      <c r="I108" s="21"/>
      <c r="J108" s="21"/>
      <c r="K108" s="21"/>
      <c r="L108" s="21"/>
    </row>
    <row r="109" spans="1:12" ht="29" x14ac:dyDescent="0.35">
      <c r="A109" s="21" t="s">
        <v>1125</v>
      </c>
      <c r="B109" s="21" t="s">
        <v>1134</v>
      </c>
      <c r="C109" s="21" t="s">
        <v>1135</v>
      </c>
      <c r="D109" s="21"/>
      <c r="E109" s="21" t="s">
        <v>1114</v>
      </c>
      <c r="F109" s="21"/>
      <c r="G109" s="21"/>
      <c r="H109" s="21"/>
      <c r="I109" s="21"/>
      <c r="J109" s="21"/>
      <c r="K109" s="21"/>
      <c r="L109" s="21"/>
    </row>
    <row r="110" spans="1:12" ht="29" x14ac:dyDescent="0.35">
      <c r="A110" s="21" t="s">
        <v>1125</v>
      </c>
      <c r="B110" s="21" t="s">
        <v>1136</v>
      </c>
      <c r="C110" s="21" t="s">
        <v>1137</v>
      </c>
      <c r="D110" s="21"/>
      <c r="E110" s="21" t="s">
        <v>1114</v>
      </c>
      <c r="F110" s="21"/>
      <c r="G110" s="21"/>
      <c r="H110" s="21"/>
      <c r="I110" s="21"/>
      <c r="J110" s="21"/>
      <c r="K110" s="21"/>
      <c r="L110" s="21"/>
    </row>
    <row r="111" spans="1:12" ht="29" x14ac:dyDescent="0.35">
      <c r="A111" s="21" t="s">
        <v>1138</v>
      </c>
      <c r="B111" s="21" t="s">
        <v>1139</v>
      </c>
      <c r="C111" s="21" t="s">
        <v>1140</v>
      </c>
      <c r="D111" s="21"/>
      <c r="E111" s="21" t="s">
        <v>996</v>
      </c>
      <c r="F111" s="21"/>
      <c r="G111" s="21"/>
      <c r="H111" s="21"/>
      <c r="I111" s="21"/>
      <c r="J111" s="21"/>
      <c r="K111" s="21"/>
      <c r="L111" s="21"/>
    </row>
    <row r="112" spans="1:12" ht="29" x14ac:dyDescent="0.35">
      <c r="A112" s="21" t="s">
        <v>1138</v>
      </c>
      <c r="B112" s="21" t="s">
        <v>1141</v>
      </c>
      <c r="C112" s="21" t="s">
        <v>1142</v>
      </c>
      <c r="D112" s="21"/>
      <c r="E112" s="21" t="s">
        <v>996</v>
      </c>
      <c r="F112" s="21"/>
      <c r="G112" s="21"/>
      <c r="H112" s="21"/>
      <c r="I112" s="21"/>
      <c r="J112" s="21"/>
      <c r="K112" s="21"/>
      <c r="L112" s="21"/>
    </row>
    <row r="113" spans="1:12" ht="29" x14ac:dyDescent="0.35">
      <c r="A113" s="21" t="s">
        <v>1138</v>
      </c>
      <c r="B113" s="21" t="s">
        <v>1143</v>
      </c>
      <c r="C113" s="21" t="s">
        <v>1144</v>
      </c>
      <c r="D113" s="21"/>
      <c r="E113" s="21" t="s">
        <v>996</v>
      </c>
      <c r="F113" s="21"/>
      <c r="G113" s="21"/>
      <c r="H113" s="21"/>
      <c r="I113" s="21"/>
      <c r="J113" s="21"/>
      <c r="K113" s="21"/>
      <c r="L113" s="21"/>
    </row>
    <row r="114" spans="1:12" ht="29" x14ac:dyDescent="0.35">
      <c r="A114" s="21" t="s">
        <v>1138</v>
      </c>
      <c r="B114" s="21" t="s">
        <v>1145</v>
      </c>
      <c r="C114" s="21" t="s">
        <v>1146</v>
      </c>
      <c r="D114" s="21"/>
      <c r="E114" s="21" t="s">
        <v>996</v>
      </c>
      <c r="F114" s="21"/>
      <c r="G114" s="21"/>
      <c r="H114" s="21"/>
      <c r="I114" s="21"/>
      <c r="J114" s="21"/>
      <c r="K114" s="21"/>
      <c r="L114" s="21"/>
    </row>
    <row r="115" spans="1:12" ht="29" x14ac:dyDescent="0.35">
      <c r="A115" s="21" t="s">
        <v>1138</v>
      </c>
      <c r="B115" s="21" t="s">
        <v>1147</v>
      </c>
      <c r="C115" s="21" t="s">
        <v>1148</v>
      </c>
      <c r="D115" s="21"/>
      <c r="E115" s="21" t="s">
        <v>996</v>
      </c>
      <c r="F115" s="21"/>
      <c r="G115" s="21"/>
      <c r="H115" s="21"/>
      <c r="I115" s="21"/>
      <c r="J115" s="21"/>
      <c r="K115" s="21"/>
      <c r="L115" s="21"/>
    </row>
    <row r="116" spans="1:12" ht="29" x14ac:dyDescent="0.35">
      <c r="A116" s="21" t="s">
        <v>1138</v>
      </c>
      <c r="B116" s="21" t="s">
        <v>1149</v>
      </c>
      <c r="C116" s="21" t="s">
        <v>1150</v>
      </c>
      <c r="D116" s="21"/>
      <c r="E116" s="21" t="s">
        <v>996</v>
      </c>
      <c r="F116" s="21"/>
      <c r="G116" s="21"/>
      <c r="H116" s="21"/>
      <c r="I116" s="21"/>
      <c r="J116" s="21"/>
      <c r="K116" s="21"/>
      <c r="L116" s="21"/>
    </row>
    <row r="117" spans="1:12" ht="29" x14ac:dyDescent="0.35">
      <c r="A117" s="21" t="s">
        <v>1151</v>
      </c>
      <c r="B117" s="21" t="s">
        <v>1152</v>
      </c>
      <c r="C117" s="21" t="s">
        <v>1153</v>
      </c>
      <c r="D117" s="21"/>
      <c r="E117" s="21" t="s">
        <v>996</v>
      </c>
      <c r="F117" s="21"/>
      <c r="G117" s="21"/>
      <c r="H117" s="21"/>
      <c r="I117" s="21"/>
      <c r="J117" s="21"/>
      <c r="K117" s="21"/>
      <c r="L117" s="21"/>
    </row>
    <row r="118" spans="1:12" ht="29" x14ac:dyDescent="0.35">
      <c r="A118" s="21" t="s">
        <v>1151</v>
      </c>
      <c r="B118" s="21" t="s">
        <v>1154</v>
      </c>
      <c r="C118" s="21" t="s">
        <v>1155</v>
      </c>
      <c r="D118" s="21"/>
      <c r="E118" s="21" t="s">
        <v>996</v>
      </c>
      <c r="F118" s="21"/>
      <c r="G118" s="21"/>
      <c r="H118" s="21"/>
      <c r="I118" s="21"/>
      <c r="J118" s="21"/>
      <c r="K118" s="21"/>
      <c r="L118" s="21"/>
    </row>
    <row r="119" spans="1:12" ht="29" x14ac:dyDescent="0.35">
      <c r="A119" s="21" t="s">
        <v>1151</v>
      </c>
      <c r="B119" s="21" t="s">
        <v>1156</v>
      </c>
      <c r="C119" s="21" t="s">
        <v>1157</v>
      </c>
      <c r="D119" s="21"/>
      <c r="E119" s="21" t="s">
        <v>996</v>
      </c>
      <c r="F119" s="21"/>
      <c r="G119" s="21"/>
      <c r="H119" s="21"/>
      <c r="I119" s="21"/>
      <c r="J119" s="21"/>
      <c r="K119" s="21"/>
      <c r="L119" s="21"/>
    </row>
    <row r="120" spans="1:12" ht="29" x14ac:dyDescent="0.35">
      <c r="A120" s="21" t="s">
        <v>1151</v>
      </c>
      <c r="B120" s="21" t="s">
        <v>1158</v>
      </c>
      <c r="C120" s="21" t="s">
        <v>1159</v>
      </c>
      <c r="D120" s="21"/>
      <c r="E120" s="21" t="s">
        <v>996</v>
      </c>
      <c r="F120" s="21"/>
      <c r="G120" s="21"/>
      <c r="H120" s="21"/>
      <c r="I120" s="21"/>
      <c r="J120" s="21"/>
      <c r="K120" s="21"/>
      <c r="L120" s="21"/>
    </row>
    <row r="121" spans="1:12" ht="29" x14ac:dyDescent="0.35">
      <c r="A121" s="21" t="s">
        <v>1151</v>
      </c>
      <c r="B121" s="21" t="s">
        <v>1160</v>
      </c>
      <c r="C121" s="21" t="s">
        <v>1161</v>
      </c>
      <c r="D121" s="21"/>
      <c r="E121" s="21" t="s">
        <v>996</v>
      </c>
      <c r="F121" s="21"/>
      <c r="G121" s="21"/>
      <c r="H121" s="21"/>
      <c r="I121" s="21"/>
      <c r="J121" s="21"/>
      <c r="K121" s="21"/>
      <c r="L121" s="21"/>
    </row>
    <row r="122" spans="1:12" ht="29" x14ac:dyDescent="0.35">
      <c r="A122" s="21" t="s">
        <v>1151</v>
      </c>
      <c r="B122" s="21" t="s">
        <v>1162</v>
      </c>
      <c r="C122" s="21" t="s">
        <v>1163</v>
      </c>
      <c r="D122" s="21"/>
      <c r="E122" s="21" t="s">
        <v>996</v>
      </c>
      <c r="F122" s="21"/>
      <c r="G122" s="21"/>
      <c r="H122" s="21"/>
      <c r="I122" s="21"/>
      <c r="J122" s="21"/>
      <c r="K122" s="21"/>
      <c r="L122" s="21"/>
    </row>
    <row r="123" spans="1:12" ht="29" x14ac:dyDescent="0.35">
      <c r="A123" s="21" t="s">
        <v>432</v>
      </c>
      <c r="B123" s="21" t="s">
        <v>1164</v>
      </c>
      <c r="C123" s="21" t="s">
        <v>1165</v>
      </c>
      <c r="D123" s="21"/>
      <c r="E123" s="21" t="s">
        <v>1114</v>
      </c>
      <c r="F123" s="21"/>
      <c r="G123" s="21"/>
      <c r="H123" s="21"/>
      <c r="I123" s="21"/>
      <c r="J123" s="21"/>
      <c r="K123" s="21"/>
      <c r="L123" s="21"/>
    </row>
    <row r="124" spans="1:12" ht="29" x14ac:dyDescent="0.35">
      <c r="A124" s="21" t="s">
        <v>432</v>
      </c>
      <c r="B124" s="21" t="s">
        <v>1166</v>
      </c>
      <c r="C124" s="21" t="s">
        <v>1167</v>
      </c>
      <c r="D124" s="21"/>
      <c r="E124" s="21" t="s">
        <v>1114</v>
      </c>
      <c r="F124" s="21"/>
      <c r="G124" s="21"/>
      <c r="H124" s="21"/>
      <c r="I124" s="21"/>
      <c r="J124" s="21"/>
      <c r="K124" s="21"/>
      <c r="L124" s="21"/>
    </row>
    <row r="125" spans="1:12" ht="29" x14ac:dyDescent="0.35">
      <c r="A125" s="21" t="s">
        <v>432</v>
      </c>
      <c r="B125" s="21" t="s">
        <v>1168</v>
      </c>
      <c r="C125" s="21" t="s">
        <v>1169</v>
      </c>
      <c r="D125" s="21"/>
      <c r="E125" s="21" t="s">
        <v>1114</v>
      </c>
      <c r="F125" s="21"/>
      <c r="G125" s="21"/>
      <c r="H125" s="21"/>
      <c r="I125" s="21"/>
      <c r="J125" s="21"/>
      <c r="K125" s="21"/>
      <c r="L125" s="21"/>
    </row>
    <row r="126" spans="1:12" ht="29" x14ac:dyDescent="0.35">
      <c r="A126" s="21" t="s">
        <v>432</v>
      </c>
      <c r="B126" s="21" t="s">
        <v>1170</v>
      </c>
      <c r="C126" s="21" t="s">
        <v>1171</v>
      </c>
      <c r="D126" s="21"/>
      <c r="E126" s="21" t="s">
        <v>1114</v>
      </c>
      <c r="F126" s="21"/>
      <c r="G126" s="21"/>
      <c r="H126" s="21"/>
      <c r="I126" s="21"/>
      <c r="J126" s="21"/>
      <c r="K126" s="21"/>
      <c r="L126" s="21"/>
    </row>
    <row r="127" spans="1:12" ht="29" x14ac:dyDescent="0.35">
      <c r="A127" s="21" t="s">
        <v>432</v>
      </c>
      <c r="B127" s="21" t="s">
        <v>1172</v>
      </c>
      <c r="C127" s="21" t="s">
        <v>1173</v>
      </c>
      <c r="D127" s="21"/>
      <c r="E127" s="21" t="s">
        <v>1114</v>
      </c>
      <c r="F127" s="21"/>
      <c r="G127" s="21"/>
      <c r="H127" s="21"/>
      <c r="I127" s="21"/>
      <c r="J127" s="21"/>
      <c r="K127" s="21"/>
      <c r="L127" s="21"/>
    </row>
    <row r="128" spans="1:12" ht="29" x14ac:dyDescent="0.35">
      <c r="A128" s="21" t="s">
        <v>432</v>
      </c>
      <c r="B128" s="21" t="s">
        <v>1174</v>
      </c>
      <c r="C128" s="21" t="s">
        <v>1175</v>
      </c>
      <c r="D128" s="21"/>
      <c r="E128" s="21" t="s">
        <v>1114</v>
      </c>
      <c r="F128" s="21"/>
      <c r="G128" s="21"/>
      <c r="H128" s="21"/>
      <c r="I128" s="21"/>
      <c r="J128" s="21"/>
      <c r="K128" s="21"/>
      <c r="L128" s="21"/>
    </row>
    <row r="129" spans="1:12" ht="29" x14ac:dyDescent="0.35">
      <c r="A129" s="21" t="s">
        <v>1176</v>
      </c>
      <c r="B129" s="21" t="s">
        <v>1177</v>
      </c>
      <c r="C129" s="21" t="s">
        <v>1178</v>
      </c>
      <c r="D129" s="21"/>
      <c r="E129" s="21" t="s">
        <v>996</v>
      </c>
      <c r="F129" s="21"/>
      <c r="G129" s="21"/>
      <c r="H129" s="21"/>
      <c r="I129" s="21"/>
      <c r="J129" s="21"/>
      <c r="K129" s="21"/>
      <c r="L129" s="21"/>
    </row>
    <row r="130" spans="1:12" ht="29" x14ac:dyDescent="0.35">
      <c r="A130" s="21" t="s">
        <v>1176</v>
      </c>
      <c r="B130" s="21" t="s">
        <v>1179</v>
      </c>
      <c r="C130" s="21" t="s">
        <v>1180</v>
      </c>
      <c r="D130" s="21"/>
      <c r="E130" s="21" t="s">
        <v>996</v>
      </c>
      <c r="F130" s="21"/>
      <c r="G130" s="21"/>
      <c r="H130" s="21"/>
      <c r="I130" s="21"/>
      <c r="J130" s="21"/>
      <c r="K130" s="21"/>
      <c r="L130" s="21"/>
    </row>
    <row r="131" spans="1:12" ht="29" x14ac:dyDescent="0.35">
      <c r="A131" s="21" t="s">
        <v>1176</v>
      </c>
      <c r="B131" s="21" t="s">
        <v>1181</v>
      </c>
      <c r="C131" s="21" t="s">
        <v>1182</v>
      </c>
      <c r="D131" s="21"/>
      <c r="E131" s="21" t="s">
        <v>996</v>
      </c>
      <c r="F131" s="21"/>
      <c r="G131" s="21"/>
      <c r="H131" s="21"/>
      <c r="I131" s="21"/>
      <c r="J131" s="21"/>
      <c r="K131" s="21"/>
      <c r="L131" s="21"/>
    </row>
    <row r="132" spans="1:12" ht="29" x14ac:dyDescent="0.35">
      <c r="A132" s="21" t="s">
        <v>1176</v>
      </c>
      <c r="B132" s="21" t="s">
        <v>1183</v>
      </c>
      <c r="C132" s="21" t="s">
        <v>1184</v>
      </c>
      <c r="D132" s="21"/>
      <c r="E132" s="21" t="s">
        <v>996</v>
      </c>
      <c r="F132" s="21"/>
      <c r="G132" s="21"/>
      <c r="H132" s="21"/>
      <c r="I132" s="21"/>
      <c r="J132" s="21"/>
      <c r="K132" s="21"/>
      <c r="L132" s="21"/>
    </row>
    <row r="133" spans="1:12" ht="29" x14ac:dyDescent="0.35">
      <c r="A133" s="21" t="s">
        <v>1176</v>
      </c>
      <c r="B133" s="21" t="s">
        <v>1185</v>
      </c>
      <c r="C133" s="21" t="s">
        <v>1186</v>
      </c>
      <c r="D133" s="21"/>
      <c r="E133" s="21" t="s">
        <v>996</v>
      </c>
      <c r="F133" s="21"/>
      <c r="G133" s="21"/>
      <c r="H133" s="21"/>
      <c r="I133" s="21"/>
      <c r="J133" s="21"/>
      <c r="K133" s="21"/>
      <c r="L133" s="21"/>
    </row>
    <row r="134" spans="1:12" ht="29" x14ac:dyDescent="0.35">
      <c r="A134" s="21" t="s">
        <v>1176</v>
      </c>
      <c r="B134" s="21" t="s">
        <v>1187</v>
      </c>
      <c r="C134" s="21" t="s">
        <v>1188</v>
      </c>
      <c r="D134" s="21"/>
      <c r="E134" s="21" t="s">
        <v>996</v>
      </c>
      <c r="F134" s="21"/>
      <c r="G134" s="21"/>
      <c r="H134" s="21"/>
      <c r="I134" s="21"/>
      <c r="J134" s="21"/>
      <c r="K134" s="21"/>
      <c r="L134" s="21"/>
    </row>
    <row r="135" spans="1:12" ht="29" x14ac:dyDescent="0.35">
      <c r="A135" s="21" t="s">
        <v>1189</v>
      </c>
      <c r="B135" s="21" t="s">
        <v>1190</v>
      </c>
      <c r="C135" s="21" t="s">
        <v>1191</v>
      </c>
      <c r="D135" s="21"/>
      <c r="E135" s="21" t="s">
        <v>996</v>
      </c>
      <c r="F135" s="21"/>
      <c r="G135" s="21"/>
      <c r="H135" s="21"/>
      <c r="I135" s="21"/>
      <c r="J135" s="21"/>
      <c r="K135" s="21"/>
      <c r="L135" s="21"/>
    </row>
    <row r="136" spans="1:12" ht="29" x14ac:dyDescent="0.35">
      <c r="A136" s="21" t="s">
        <v>1189</v>
      </c>
      <c r="B136" s="21" t="s">
        <v>1192</v>
      </c>
      <c r="C136" s="21" t="s">
        <v>1193</v>
      </c>
      <c r="D136" s="21"/>
      <c r="E136" s="21" t="s">
        <v>996</v>
      </c>
      <c r="F136" s="21"/>
      <c r="G136" s="21"/>
      <c r="H136" s="21"/>
      <c r="I136" s="21"/>
      <c r="J136" s="21"/>
      <c r="K136" s="21"/>
      <c r="L136" s="21"/>
    </row>
    <row r="137" spans="1:12" ht="29" x14ac:dyDescent="0.35">
      <c r="A137" s="21" t="s">
        <v>1189</v>
      </c>
      <c r="B137" s="21" t="s">
        <v>1194</v>
      </c>
      <c r="C137" s="21" t="s">
        <v>1195</v>
      </c>
      <c r="D137" s="21"/>
      <c r="E137" s="21" t="s">
        <v>996</v>
      </c>
      <c r="F137" s="21"/>
      <c r="G137" s="21"/>
      <c r="H137" s="21"/>
      <c r="I137" s="21"/>
      <c r="J137" s="21"/>
      <c r="K137" s="21"/>
      <c r="L137" s="21"/>
    </row>
    <row r="138" spans="1:12" ht="29" x14ac:dyDescent="0.35">
      <c r="A138" s="21" t="s">
        <v>1189</v>
      </c>
      <c r="B138" s="21" t="s">
        <v>1196</v>
      </c>
      <c r="C138" s="21" t="s">
        <v>1197</v>
      </c>
      <c r="D138" s="21"/>
      <c r="E138" s="21" t="s">
        <v>996</v>
      </c>
      <c r="F138" s="21"/>
      <c r="G138" s="21"/>
      <c r="H138" s="21"/>
      <c r="I138" s="21"/>
      <c r="J138" s="21"/>
      <c r="K138" s="21"/>
      <c r="L138" s="21"/>
    </row>
    <row r="139" spans="1:12" ht="29" x14ac:dyDescent="0.35">
      <c r="A139" s="21" t="s">
        <v>1189</v>
      </c>
      <c r="B139" s="21" t="s">
        <v>1198</v>
      </c>
      <c r="C139" s="21" t="s">
        <v>1199</v>
      </c>
      <c r="D139" s="21"/>
      <c r="E139" s="21" t="s">
        <v>996</v>
      </c>
      <c r="F139" s="21"/>
      <c r="G139" s="21"/>
      <c r="H139" s="21"/>
      <c r="I139" s="21"/>
      <c r="J139" s="21"/>
      <c r="K139" s="21"/>
      <c r="L139" s="21"/>
    </row>
    <row r="140" spans="1:12" ht="29" x14ac:dyDescent="0.35">
      <c r="A140" s="21" t="s">
        <v>1189</v>
      </c>
      <c r="B140" s="21" t="s">
        <v>1200</v>
      </c>
      <c r="C140" s="21" t="s">
        <v>1201</v>
      </c>
      <c r="D140" s="21"/>
      <c r="E140" s="21" t="s">
        <v>996</v>
      </c>
      <c r="F140" s="21"/>
      <c r="G140" s="21"/>
      <c r="H140" s="21"/>
      <c r="I140" s="21"/>
      <c r="J140" s="21"/>
      <c r="K140" s="21"/>
      <c r="L140" s="21"/>
    </row>
    <row r="141" spans="1:12" ht="29" x14ac:dyDescent="0.35">
      <c r="A141" s="21" t="s">
        <v>1202</v>
      </c>
      <c r="B141" s="21" t="s">
        <v>1203</v>
      </c>
      <c r="C141" s="21" t="s">
        <v>1204</v>
      </c>
      <c r="D141" s="21"/>
      <c r="E141" s="21" t="s">
        <v>996</v>
      </c>
      <c r="F141" s="21"/>
      <c r="G141" s="21"/>
      <c r="H141" s="21"/>
      <c r="I141" s="21"/>
      <c r="J141" s="21"/>
      <c r="K141" s="21"/>
      <c r="L141" s="21"/>
    </row>
    <row r="142" spans="1:12" ht="29" x14ac:dyDescent="0.35">
      <c r="A142" s="21" t="s">
        <v>1202</v>
      </c>
      <c r="B142" s="21" t="s">
        <v>1205</v>
      </c>
      <c r="C142" s="21" t="s">
        <v>1206</v>
      </c>
      <c r="D142" s="21"/>
      <c r="E142" s="21" t="s">
        <v>996</v>
      </c>
      <c r="F142" s="21"/>
      <c r="G142" s="21"/>
      <c r="H142" s="21"/>
      <c r="I142" s="21"/>
      <c r="J142" s="21"/>
      <c r="K142" s="21"/>
      <c r="L142" s="21"/>
    </row>
    <row r="143" spans="1:12" ht="29" x14ac:dyDescent="0.35">
      <c r="A143" s="21" t="s">
        <v>1202</v>
      </c>
      <c r="B143" s="21" t="s">
        <v>1207</v>
      </c>
      <c r="C143" s="21" t="s">
        <v>1208</v>
      </c>
      <c r="D143" s="21"/>
      <c r="E143" s="21" t="s">
        <v>996</v>
      </c>
      <c r="F143" s="21"/>
      <c r="G143" s="21"/>
      <c r="H143" s="21"/>
      <c r="I143" s="21"/>
      <c r="J143" s="21"/>
      <c r="K143" s="21"/>
      <c r="L143" s="21"/>
    </row>
    <row r="144" spans="1:12" ht="29" x14ac:dyDescent="0.35">
      <c r="A144" s="21" t="s">
        <v>1202</v>
      </c>
      <c r="B144" s="21" t="s">
        <v>1209</v>
      </c>
      <c r="C144" s="21" t="s">
        <v>1210</v>
      </c>
      <c r="D144" s="21"/>
      <c r="E144" s="21" t="s">
        <v>996</v>
      </c>
      <c r="F144" s="21"/>
      <c r="G144" s="21"/>
      <c r="H144" s="21"/>
      <c r="I144" s="21"/>
      <c r="J144" s="21"/>
      <c r="K144" s="21"/>
      <c r="L144" s="21"/>
    </row>
    <row r="145" spans="1:12" ht="29" x14ac:dyDescent="0.35">
      <c r="A145" s="21" t="s">
        <v>1202</v>
      </c>
      <c r="B145" s="21" t="s">
        <v>1211</v>
      </c>
      <c r="C145" s="21" t="s">
        <v>1212</v>
      </c>
      <c r="D145" s="21"/>
      <c r="E145" s="21" t="s">
        <v>996</v>
      </c>
      <c r="F145" s="21"/>
      <c r="G145" s="21"/>
      <c r="H145" s="21"/>
      <c r="I145" s="21"/>
      <c r="J145" s="21"/>
      <c r="K145" s="21"/>
      <c r="L145" s="21"/>
    </row>
    <row r="146" spans="1:12" ht="29" x14ac:dyDescent="0.35">
      <c r="A146" s="21" t="s">
        <v>1202</v>
      </c>
      <c r="B146" s="21" t="s">
        <v>1213</v>
      </c>
      <c r="C146" s="21" t="s">
        <v>1214</v>
      </c>
      <c r="D146" s="21"/>
      <c r="E146" s="21" t="s">
        <v>996</v>
      </c>
      <c r="F146" s="21"/>
      <c r="G146" s="21"/>
      <c r="H146" s="21"/>
      <c r="I146" s="21"/>
      <c r="J146" s="21"/>
      <c r="K146" s="21"/>
      <c r="L146" s="21"/>
    </row>
    <row r="147" spans="1:12" ht="29" x14ac:dyDescent="0.35">
      <c r="A147" s="21" t="s">
        <v>1215</v>
      </c>
      <c r="B147" s="21" t="s">
        <v>1216</v>
      </c>
      <c r="C147" s="21" t="s">
        <v>1217</v>
      </c>
      <c r="D147" s="21"/>
      <c r="E147" s="21" t="s">
        <v>996</v>
      </c>
      <c r="F147" s="21"/>
      <c r="G147" s="21"/>
      <c r="H147" s="21"/>
      <c r="I147" s="21"/>
      <c r="J147" s="21"/>
      <c r="K147" s="21"/>
      <c r="L147" s="21"/>
    </row>
    <row r="148" spans="1:12" ht="29" x14ac:dyDescent="0.35">
      <c r="A148" s="21" t="s">
        <v>1215</v>
      </c>
      <c r="B148" s="21" t="s">
        <v>1218</v>
      </c>
      <c r="C148" s="21" t="s">
        <v>1219</v>
      </c>
      <c r="D148" s="21"/>
      <c r="E148" s="21" t="s">
        <v>996</v>
      </c>
      <c r="F148" s="21"/>
      <c r="G148" s="21"/>
      <c r="H148" s="21"/>
      <c r="I148" s="21"/>
      <c r="J148" s="21"/>
      <c r="K148" s="21"/>
      <c r="L148" s="21"/>
    </row>
    <row r="149" spans="1:12" ht="29" x14ac:dyDescent="0.35">
      <c r="A149" s="21" t="s">
        <v>1215</v>
      </c>
      <c r="B149" s="21" t="s">
        <v>1220</v>
      </c>
      <c r="C149" s="21" t="s">
        <v>1221</v>
      </c>
      <c r="D149" s="21"/>
      <c r="E149" s="21" t="s">
        <v>996</v>
      </c>
      <c r="F149" s="21"/>
      <c r="G149" s="21"/>
      <c r="H149" s="21"/>
      <c r="I149" s="21"/>
      <c r="J149" s="21"/>
      <c r="K149" s="21"/>
      <c r="L149" s="21"/>
    </row>
    <row r="150" spans="1:12" ht="29" x14ac:dyDescent="0.35">
      <c r="A150" s="21" t="s">
        <v>1215</v>
      </c>
      <c r="B150" s="21" t="s">
        <v>1222</v>
      </c>
      <c r="C150" s="21" t="s">
        <v>1223</v>
      </c>
      <c r="D150" s="21"/>
      <c r="E150" s="21" t="s">
        <v>996</v>
      </c>
      <c r="F150" s="21"/>
      <c r="G150" s="21"/>
      <c r="H150" s="21"/>
      <c r="I150" s="21"/>
      <c r="J150" s="21"/>
      <c r="K150" s="21"/>
      <c r="L150" s="21"/>
    </row>
    <row r="151" spans="1:12" ht="24" customHeight="1" x14ac:dyDescent="0.35">
      <c r="A151" s="133" t="s">
        <v>1215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</row>
    <row r="152" spans="1:12" x14ac:dyDescent="0.35">
      <c r="A152" s="21" t="s">
        <v>1215</v>
      </c>
      <c r="B152" s="21" t="s">
        <v>1224</v>
      </c>
      <c r="C152" s="21" t="s">
        <v>1225</v>
      </c>
      <c r="D152" s="21"/>
      <c r="E152" s="21" t="s">
        <v>996</v>
      </c>
      <c r="F152" s="21"/>
      <c r="G152" s="21"/>
      <c r="H152" s="21"/>
      <c r="I152" s="21"/>
      <c r="J152" s="21"/>
      <c r="K152" s="21"/>
      <c r="L152" s="21"/>
    </row>
    <row r="158" spans="1:12" x14ac:dyDescent="0.35">
      <c r="A158" s="98" t="s">
        <v>1226</v>
      </c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</row>
    <row r="160" spans="1:12" ht="29" x14ac:dyDescent="0.35">
      <c r="A160" s="100" t="s">
        <v>1227</v>
      </c>
      <c r="B160" s="100" t="s">
        <v>1228</v>
      </c>
      <c r="C160" s="100" t="s">
        <v>1229</v>
      </c>
      <c r="D160" s="100" t="s">
        <v>389</v>
      </c>
      <c r="E160" s="100" t="s">
        <v>870</v>
      </c>
      <c r="F160" s="100" t="s">
        <v>390</v>
      </c>
      <c r="G160" s="100" t="s">
        <v>990</v>
      </c>
      <c r="H160" s="100" t="s">
        <v>1230</v>
      </c>
      <c r="I160" s="100"/>
      <c r="J160" s="100"/>
      <c r="K160" s="100"/>
      <c r="L160" s="100"/>
    </row>
    <row r="161" spans="1:8" x14ac:dyDescent="0.35">
      <c r="A161" s="21" t="s">
        <v>1231</v>
      </c>
      <c r="B161" s="21"/>
      <c r="C161" s="21"/>
      <c r="D161" s="21"/>
      <c r="E161" s="21"/>
      <c r="F161" s="21"/>
      <c r="G161" s="21"/>
      <c r="H161" s="21"/>
    </row>
    <row r="162" spans="1:8" x14ac:dyDescent="0.35">
      <c r="A162" s="21" t="s">
        <v>1232</v>
      </c>
      <c r="B162" s="21"/>
      <c r="C162" s="21"/>
      <c r="D162" s="21"/>
      <c r="E162" s="21"/>
      <c r="F162" s="21"/>
      <c r="G162" s="21"/>
      <c r="H162" s="21"/>
    </row>
    <row r="163" spans="1:8" x14ac:dyDescent="0.35">
      <c r="A163" s="21" t="s">
        <v>509</v>
      </c>
      <c r="B163" s="21"/>
      <c r="C163" s="21"/>
      <c r="D163" s="21"/>
      <c r="E163" s="21"/>
      <c r="F163" s="21"/>
      <c r="G163" s="21"/>
      <c r="H163" s="21"/>
    </row>
    <row r="164" spans="1:8" x14ac:dyDescent="0.35">
      <c r="A164" s="21" t="s">
        <v>1233</v>
      </c>
      <c r="B164" s="21"/>
      <c r="C164" s="21"/>
      <c r="D164" s="21"/>
      <c r="E164" s="21"/>
      <c r="F164" s="21"/>
      <c r="G164" s="21"/>
      <c r="H164" s="21"/>
    </row>
    <row r="165" spans="1:8" x14ac:dyDescent="0.35">
      <c r="A165" s="21" t="s">
        <v>1234</v>
      </c>
      <c r="B165" s="21"/>
      <c r="C165" s="21"/>
      <c r="D165" s="21"/>
      <c r="E165" s="21"/>
      <c r="F165" s="21"/>
      <c r="G165" s="21"/>
      <c r="H165" s="21"/>
    </row>
    <row r="166" spans="1:8" x14ac:dyDescent="0.35">
      <c r="A166" s="21" t="s">
        <v>1235</v>
      </c>
      <c r="B166" s="21"/>
      <c r="C166" s="21"/>
      <c r="D166" s="21"/>
      <c r="E166" s="21"/>
      <c r="F166" s="21"/>
      <c r="G166" s="21"/>
      <c r="H166" s="21"/>
    </row>
    <row r="167" spans="1:8" x14ac:dyDescent="0.35">
      <c r="A167" s="21" t="s">
        <v>1236</v>
      </c>
      <c r="B167" s="21"/>
      <c r="C167" s="21"/>
      <c r="D167" s="21"/>
      <c r="E167" s="21"/>
      <c r="F167" s="21"/>
      <c r="G167" s="21"/>
      <c r="H167" s="21"/>
    </row>
    <row r="168" spans="1:8" x14ac:dyDescent="0.35">
      <c r="A168" s="21" t="s">
        <v>1237</v>
      </c>
      <c r="B168" s="21"/>
      <c r="C168" s="21"/>
      <c r="D168" s="21"/>
      <c r="E168" s="21"/>
      <c r="F168" s="21"/>
      <c r="G168" s="21"/>
      <c r="H168" s="21"/>
    </row>
    <row r="169" spans="1:8" x14ac:dyDescent="0.35">
      <c r="A169" s="21" t="s">
        <v>1238</v>
      </c>
      <c r="B169" s="21"/>
      <c r="C169" s="21"/>
      <c r="D169" s="21"/>
      <c r="E169" s="21"/>
      <c r="F169" s="21"/>
      <c r="G169" s="21"/>
      <c r="H169" s="21"/>
    </row>
    <row r="170" spans="1:8" x14ac:dyDescent="0.35">
      <c r="A170" s="21" t="s">
        <v>1239</v>
      </c>
      <c r="B170" s="21"/>
      <c r="C170" s="21"/>
      <c r="D170" s="21"/>
      <c r="E170" s="21"/>
      <c r="F170" s="21"/>
      <c r="G170" s="21"/>
      <c r="H170" s="21"/>
    </row>
    <row r="171" spans="1:8" x14ac:dyDescent="0.35">
      <c r="A171" s="21" t="s">
        <v>1240</v>
      </c>
      <c r="B171" s="21"/>
      <c r="C171" s="21"/>
      <c r="D171" s="21"/>
      <c r="E171" s="21"/>
      <c r="F171" s="21"/>
      <c r="G171" s="21"/>
      <c r="H171" s="21"/>
    </row>
    <row r="172" spans="1:8" x14ac:dyDescent="0.35">
      <c r="A172" s="21" t="s">
        <v>1241</v>
      </c>
      <c r="B172" s="21"/>
      <c r="C172" s="21"/>
      <c r="D172" s="21"/>
      <c r="E172" s="21"/>
      <c r="F172" s="21"/>
      <c r="G172" s="21"/>
      <c r="H172" s="21"/>
    </row>
    <row r="173" spans="1:8" x14ac:dyDescent="0.35">
      <c r="A173" s="21" t="s">
        <v>1242</v>
      </c>
      <c r="B173" s="21"/>
      <c r="C173" s="21"/>
      <c r="D173" s="21"/>
      <c r="E173" s="21"/>
      <c r="F173" s="21"/>
      <c r="G173" s="21"/>
      <c r="H173" s="21"/>
    </row>
    <row r="174" spans="1:8" x14ac:dyDescent="0.35">
      <c r="A174" s="21" t="s">
        <v>1243</v>
      </c>
      <c r="B174" s="21"/>
      <c r="C174" s="21"/>
      <c r="D174" s="21"/>
      <c r="E174" s="21"/>
      <c r="F174" s="21"/>
      <c r="G174" s="21"/>
      <c r="H174" s="21"/>
    </row>
    <row r="175" spans="1:8" x14ac:dyDescent="0.35">
      <c r="A175" s="21" t="s">
        <v>1244</v>
      </c>
      <c r="B175" s="21"/>
      <c r="C175" s="21"/>
      <c r="D175" s="21"/>
      <c r="E175" s="21"/>
      <c r="F175" s="21"/>
      <c r="G175" s="21"/>
      <c r="H175" s="21"/>
    </row>
    <row r="176" spans="1:8" x14ac:dyDescent="0.35">
      <c r="A176" s="21" t="s">
        <v>1245</v>
      </c>
      <c r="B176" s="21"/>
      <c r="C176" s="21"/>
      <c r="D176" s="21"/>
      <c r="E176" s="21"/>
      <c r="F176" s="21"/>
      <c r="G176" s="21"/>
      <c r="H176" s="21"/>
    </row>
    <row r="177" spans="1:12" x14ac:dyDescent="0.35">
      <c r="A177" s="21" t="s">
        <v>1246</v>
      </c>
      <c r="B177" s="21"/>
      <c r="C177" s="21"/>
      <c r="D177" s="21"/>
      <c r="E177" s="21"/>
      <c r="F177" s="21"/>
      <c r="G177" s="21"/>
      <c r="H177" s="21"/>
    </row>
    <row r="178" spans="1:12" x14ac:dyDescent="0.35">
      <c r="A178" s="21" t="s">
        <v>1247</v>
      </c>
      <c r="B178" s="21"/>
      <c r="C178" s="21"/>
      <c r="D178" s="21"/>
      <c r="E178" s="21"/>
      <c r="F178" s="21"/>
      <c r="G178" s="21"/>
      <c r="H178" s="21"/>
    </row>
    <row r="179" spans="1:12" ht="24" customHeight="1" x14ac:dyDescent="0.35">
      <c r="A179" s="133" t="s">
        <v>1248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</row>
    <row r="180" spans="1:12" x14ac:dyDescent="0.35">
      <c r="A180" s="21" t="s">
        <v>1249</v>
      </c>
      <c r="B180" s="21"/>
      <c r="C180" s="21"/>
      <c r="D180" s="21"/>
      <c r="E180" s="21"/>
      <c r="F180" s="21"/>
      <c r="G180" s="21"/>
      <c r="H180" s="21"/>
    </row>
    <row r="186" spans="1:12" x14ac:dyDescent="0.35">
      <c r="A186" s="98" t="s">
        <v>1250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</row>
    <row r="188" spans="1:12" ht="29" x14ac:dyDescent="0.35">
      <c r="A188" s="100" t="s">
        <v>1251</v>
      </c>
      <c r="B188" s="100" t="s">
        <v>1252</v>
      </c>
      <c r="C188" s="100" t="s">
        <v>1253</v>
      </c>
      <c r="D188" s="100" t="s">
        <v>1254</v>
      </c>
      <c r="E188" s="100" t="s">
        <v>870</v>
      </c>
      <c r="F188" s="100" t="s">
        <v>1255</v>
      </c>
      <c r="G188" s="100" t="s">
        <v>338</v>
      </c>
    </row>
    <row r="189" spans="1:12" x14ac:dyDescent="0.35">
      <c r="A189" s="21" t="s">
        <v>428</v>
      </c>
      <c r="B189" s="21"/>
      <c r="C189" s="21"/>
      <c r="D189" s="21"/>
      <c r="E189" s="21"/>
      <c r="F189" s="21"/>
      <c r="G189" s="21"/>
    </row>
    <row r="190" spans="1:12" x14ac:dyDescent="0.35">
      <c r="A190" s="21" t="s">
        <v>582</v>
      </c>
      <c r="B190" s="21"/>
      <c r="C190" s="21"/>
      <c r="D190" s="21"/>
      <c r="E190" s="21"/>
      <c r="F190" s="21"/>
      <c r="G190" s="21"/>
    </row>
    <row r="191" spans="1:12" x14ac:dyDescent="0.35">
      <c r="A191" s="21" t="s">
        <v>435</v>
      </c>
      <c r="B191" s="21"/>
      <c r="C191" s="21"/>
      <c r="D191" s="21"/>
      <c r="E191" s="21"/>
      <c r="F191" s="21"/>
      <c r="G191" s="21"/>
    </row>
    <row r="192" spans="1:12" x14ac:dyDescent="0.35">
      <c r="A192" s="21" t="s">
        <v>93</v>
      </c>
      <c r="B192" s="21"/>
      <c r="C192" s="21"/>
      <c r="D192" s="21"/>
      <c r="E192" s="21"/>
      <c r="F192" s="21"/>
      <c r="G192" s="21"/>
    </row>
    <row r="193" spans="1:12" x14ac:dyDescent="0.35">
      <c r="A193" s="21" t="s">
        <v>431</v>
      </c>
      <c r="B193" s="21"/>
      <c r="C193" s="21"/>
      <c r="D193" s="21"/>
      <c r="E193" s="21"/>
      <c r="F193" s="21"/>
      <c r="G193" s="21"/>
    </row>
    <row r="194" spans="1:12" x14ac:dyDescent="0.35">
      <c r="A194" s="21" t="s">
        <v>97</v>
      </c>
      <c r="B194" s="21"/>
      <c r="C194" s="21"/>
      <c r="D194" s="21"/>
      <c r="E194" s="21"/>
      <c r="F194" s="21"/>
      <c r="G194" s="21"/>
    </row>
    <row r="195" spans="1:12" x14ac:dyDescent="0.35">
      <c r="A195" s="21" t="s">
        <v>100</v>
      </c>
      <c r="B195" s="21"/>
      <c r="C195" s="21"/>
      <c r="D195" s="21"/>
      <c r="E195" s="21"/>
      <c r="F195" s="21"/>
      <c r="G195" s="21"/>
    </row>
    <row r="196" spans="1:12" x14ac:dyDescent="0.35">
      <c r="A196" s="21" t="s">
        <v>1176</v>
      </c>
      <c r="B196" s="21"/>
      <c r="C196" s="21"/>
      <c r="D196" s="21"/>
      <c r="E196" s="21"/>
      <c r="F196" s="21"/>
      <c r="G196" s="21"/>
    </row>
    <row r="197" spans="1:12" x14ac:dyDescent="0.35">
      <c r="A197" s="21" t="s">
        <v>160</v>
      </c>
      <c r="B197" s="21"/>
      <c r="C197" s="21"/>
      <c r="D197" s="21"/>
      <c r="E197" s="21"/>
      <c r="F197" s="21"/>
      <c r="G197" s="21"/>
    </row>
    <row r="198" spans="1:12" x14ac:dyDescent="0.35">
      <c r="A198" s="21" t="s">
        <v>1256</v>
      </c>
      <c r="B198" s="21"/>
      <c r="C198" s="21"/>
      <c r="D198" s="21"/>
      <c r="E198" s="21"/>
      <c r="F198" s="21"/>
      <c r="G198" s="21"/>
    </row>
    <row r="199" spans="1:12" x14ac:dyDescent="0.35">
      <c r="A199" s="21" t="s">
        <v>1257</v>
      </c>
      <c r="B199" s="21"/>
      <c r="C199" s="21"/>
      <c r="D199" s="21"/>
      <c r="E199" s="21"/>
      <c r="F199" s="21"/>
      <c r="G199" s="21"/>
    </row>
    <row r="200" spans="1:12" x14ac:dyDescent="0.35">
      <c r="A200" s="21" t="s">
        <v>1258</v>
      </c>
      <c r="B200" s="21"/>
      <c r="C200" s="21"/>
      <c r="D200" s="21"/>
      <c r="E200" s="21"/>
      <c r="F200" s="21"/>
      <c r="G200" s="21"/>
    </row>
    <row r="201" spans="1:12" x14ac:dyDescent="0.35">
      <c r="A201" s="21" t="s">
        <v>116</v>
      </c>
      <c r="B201" s="21"/>
      <c r="C201" s="21"/>
      <c r="D201" s="21"/>
      <c r="E201" s="21"/>
      <c r="F201" s="21"/>
      <c r="G201" s="21"/>
    </row>
    <row r="202" spans="1:12" x14ac:dyDescent="0.35">
      <c r="A202" s="21" t="s">
        <v>129</v>
      </c>
      <c r="B202" s="21"/>
      <c r="C202" s="21"/>
      <c r="D202" s="21"/>
      <c r="E202" s="21"/>
      <c r="F202" s="21"/>
      <c r="G202" s="21"/>
    </row>
    <row r="203" spans="1:12" x14ac:dyDescent="0.35">
      <c r="A203" s="21" t="s">
        <v>437</v>
      </c>
      <c r="B203" s="21"/>
      <c r="C203" s="21"/>
      <c r="D203" s="21"/>
      <c r="E203" s="21"/>
      <c r="F203" s="21"/>
      <c r="G203" s="21"/>
    </row>
    <row r="204" spans="1:12" x14ac:dyDescent="0.35">
      <c r="A204" s="21" t="s">
        <v>125</v>
      </c>
      <c r="B204" s="21"/>
      <c r="C204" s="21"/>
      <c r="D204" s="21"/>
      <c r="E204" s="21"/>
      <c r="F204" s="21"/>
      <c r="G204" s="21"/>
    </row>
    <row r="205" spans="1:12" x14ac:dyDescent="0.35">
      <c r="A205" s="21" t="s">
        <v>442</v>
      </c>
      <c r="B205" s="21"/>
      <c r="C205" s="21"/>
      <c r="D205" s="21"/>
      <c r="E205" s="21"/>
      <c r="F205" s="21"/>
      <c r="G205" s="21"/>
    </row>
    <row r="206" spans="1:12" x14ac:dyDescent="0.35">
      <c r="A206" s="21" t="s">
        <v>1259</v>
      </c>
      <c r="B206" s="21"/>
      <c r="C206" s="21"/>
      <c r="D206" s="21"/>
      <c r="E206" s="21"/>
      <c r="F206" s="21"/>
      <c r="G206" s="21"/>
    </row>
    <row r="207" spans="1:12" ht="24" customHeight="1" x14ac:dyDescent="0.35">
      <c r="A207" s="133" t="s">
        <v>1260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</row>
    <row r="208" spans="1:12" x14ac:dyDescent="0.35">
      <c r="A208" s="21" t="s">
        <v>439</v>
      </c>
      <c r="B208" s="21"/>
      <c r="C208" s="21"/>
      <c r="D208" s="21"/>
      <c r="E208" s="21"/>
      <c r="F208" s="21"/>
      <c r="G208" s="21"/>
    </row>
    <row r="214" spans="1:12" x14ac:dyDescent="0.35">
      <c r="A214" s="98" t="s">
        <v>1261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</row>
    <row r="216" spans="1:12" x14ac:dyDescent="0.35">
      <c r="A216" s="100" t="s">
        <v>1262</v>
      </c>
      <c r="B216" s="100" t="s">
        <v>1263</v>
      </c>
      <c r="C216" s="100" t="s">
        <v>292</v>
      </c>
      <c r="D216" s="100" t="s">
        <v>371</v>
      </c>
      <c r="E216" s="100" t="s">
        <v>360</v>
      </c>
      <c r="F216" s="100" t="s">
        <v>1264</v>
      </c>
      <c r="G216" s="100" t="s">
        <v>990</v>
      </c>
      <c r="H216" s="100" t="s">
        <v>338</v>
      </c>
    </row>
    <row r="217" spans="1:12" x14ac:dyDescent="0.35">
      <c r="A217" t="s">
        <v>1265</v>
      </c>
    </row>
    <row r="218" spans="1:12" x14ac:dyDescent="0.35">
      <c r="A218" t="s">
        <v>1266</v>
      </c>
    </row>
    <row r="219" spans="1:12" x14ac:dyDescent="0.35">
      <c r="A219" t="s">
        <v>1267</v>
      </c>
    </row>
    <row r="220" spans="1:12" x14ac:dyDescent="0.35">
      <c r="A220" t="s">
        <v>1268</v>
      </c>
    </row>
    <row r="221" spans="1:12" x14ac:dyDescent="0.35">
      <c r="A221" t="s">
        <v>1269</v>
      </c>
    </row>
    <row r="222" spans="1:12" x14ac:dyDescent="0.35">
      <c r="A222" t="s">
        <v>1270</v>
      </c>
    </row>
    <row r="223" spans="1:12" ht="24" customHeight="1" x14ac:dyDescent="0.35">
      <c r="A223" s="129" t="s">
        <v>1271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</row>
    <row r="224" spans="1:12" x14ac:dyDescent="0.35">
      <c r="A224" t="s">
        <v>1272</v>
      </c>
    </row>
    <row r="230" spans="1:12" x14ac:dyDescent="0.35">
      <c r="A230" s="98" t="s">
        <v>1273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2" spans="1:12" ht="29" x14ac:dyDescent="0.35">
      <c r="A232" s="100" t="s">
        <v>1229</v>
      </c>
      <c r="B232" s="100" t="s">
        <v>1274</v>
      </c>
      <c r="C232" s="100" t="s">
        <v>390</v>
      </c>
      <c r="D232" s="100" t="s">
        <v>351</v>
      </c>
      <c r="E232" s="100" t="s">
        <v>352</v>
      </c>
      <c r="F232" s="100" t="s">
        <v>292</v>
      </c>
      <c r="G232" s="100" t="s">
        <v>353</v>
      </c>
      <c r="H232" s="100" t="s">
        <v>338</v>
      </c>
    </row>
    <row r="240" spans="1:12" x14ac:dyDescent="0.3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</row>
    <row r="241" spans="1:12" x14ac:dyDescent="0.3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</row>
    <row r="247" spans="1:12" ht="29" x14ac:dyDescent="0.35">
      <c r="A247" s="106" t="s">
        <v>1275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3"/>
    </row>
    <row r="248" spans="1:12" ht="43.5" x14ac:dyDescent="0.35">
      <c r="A248" s="111" t="s">
        <v>1276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3"/>
    </row>
    <row r="249" spans="1:12" ht="29" x14ac:dyDescent="0.35">
      <c r="A249" s="110" t="s">
        <v>1277</v>
      </c>
      <c r="B249" s="110" t="s">
        <v>1278</v>
      </c>
      <c r="C249" s="110" t="s">
        <v>81</v>
      </c>
      <c r="D249" s="110" t="s">
        <v>615</v>
      </c>
      <c r="E249" s="110" t="s">
        <v>616</v>
      </c>
      <c r="F249" s="110" t="s">
        <v>990</v>
      </c>
      <c r="G249" s="110" t="s">
        <v>1279</v>
      </c>
      <c r="H249" s="110" t="s">
        <v>390</v>
      </c>
      <c r="I249" s="110" t="s">
        <v>351</v>
      </c>
      <c r="J249" s="110" t="s">
        <v>292</v>
      </c>
      <c r="K249" s="110" t="s">
        <v>353</v>
      </c>
      <c r="L249" s="110" t="s">
        <v>619</v>
      </c>
    </row>
    <row r="250" spans="1:12" x14ac:dyDescent="0.35">
      <c r="A250" s="105" t="s">
        <v>1280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x14ac:dyDescent="0.35">
      <c r="A251" s="105" t="s">
        <v>1281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x14ac:dyDescent="0.35">
      <c r="A252" s="105" t="s">
        <v>1282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29" x14ac:dyDescent="0.35">
      <c r="A253" s="105" t="s">
        <v>1283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29" x14ac:dyDescent="0.35">
      <c r="A254" s="105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29" x14ac:dyDescent="0.35">
      <c r="A255" s="105" t="s">
        <v>1285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29" x14ac:dyDescent="0.35">
      <c r="A256" s="105" t="s">
        <v>1286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29" x14ac:dyDescent="0.35">
      <c r="A257" s="105" t="s">
        <v>1287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29" x14ac:dyDescent="0.35">
      <c r="A258" s="105" t="s">
        <v>1288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29" x14ac:dyDescent="0.35">
      <c r="A259" s="105" t="s">
        <v>1289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29" x14ac:dyDescent="0.35">
      <c r="A260" s="105" t="s">
        <v>1290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29" x14ac:dyDescent="0.35">
      <c r="A261" s="105" t="s">
        <v>1291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29" x14ac:dyDescent="0.35">
      <c r="A262" s="105" t="s">
        <v>1292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43.5" x14ac:dyDescent="0.35">
      <c r="A263" s="105" t="s">
        <v>1293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29" x14ac:dyDescent="0.35">
      <c r="A264" s="105" t="s">
        <v>1294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x14ac:dyDescent="0.35">
      <c r="A265" s="105" t="s">
        <v>1295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</sheetData>
  <mergeCells count="9">
    <mergeCell ref="A1:L1"/>
    <mergeCell ref="A17:L17"/>
    <mergeCell ref="A241:L241"/>
    <mergeCell ref="A223:L223"/>
    <mergeCell ref="A35:L35"/>
    <mergeCell ref="A240:L240"/>
    <mergeCell ref="A179:L179"/>
    <mergeCell ref="A151:L151"/>
    <mergeCell ref="A207:L207"/>
  </mergeCells>
  <conditionalFormatting sqref="B12">
    <cfRule type="expression" dxfId="125" priority="12">
      <formula>B12="Green"</formula>
    </cfRule>
    <cfRule type="expression" dxfId="124" priority="13">
      <formula>B12="Amber"</formula>
    </cfRule>
    <cfRule type="expression" dxfId="123" priority="14">
      <formula>B12="Red"</formula>
    </cfRule>
  </conditionalFormatting>
  <conditionalFormatting sqref="B182:B201">
    <cfRule type="expression" dxfId="122" priority="3">
      <formula>B182="Pass"</formula>
    </cfRule>
  </conditionalFormatting>
  <conditionalFormatting sqref="C20:C43">
    <cfRule type="expression" dxfId="121" priority="8">
      <formula>C20="Green"</formula>
    </cfRule>
    <cfRule type="expression" dxfId="120" priority="9">
      <formula>C20="Amber"</formula>
    </cfRule>
    <cfRule type="expression" dxfId="119" priority="10">
      <formula>C20="Red"</formula>
    </cfRule>
    <cfRule type="expression" dxfId="118" priority="11">
      <formula>C20="N/A"</formula>
    </cfRule>
  </conditionalFormatting>
  <conditionalFormatting sqref="C20:C45">
    <cfRule type="expression" dxfId="117" priority="4">
      <formula>ISNUMBER(SEARCH("Green",C20))</formula>
    </cfRule>
    <cfRule type="expression" dxfId="116" priority="5">
      <formula>ISNUMBER(SEARCH("Amber",C20))</formula>
    </cfRule>
    <cfRule type="expression" dxfId="115" priority="6">
      <formula>ISNUMBER(SEARCH("Red",C20))</formula>
    </cfRule>
    <cfRule type="expression" dxfId="114" priority="7">
      <formula>C20="N/A"</formula>
    </cfRule>
  </conditionalFormatting>
  <conditionalFormatting sqref="E154:E173">
    <cfRule type="expression" dxfId="113" priority="2">
      <formula>E154="Pass"</formula>
    </cfRule>
  </conditionalFormatting>
  <conditionalFormatting sqref="H38:H145">
    <cfRule type="expression" dxfId="112" priority="1">
      <formula>H38="Pass"</formula>
    </cfRule>
  </conditionalFormatting>
  <dataValidations count="8">
    <dataValidation type="list" sqref="H38:H145 E154:E173" xr:uid="{00000000-0002-0000-3700-000000000000}">
      <formula1>"Pass,Developing,Fail,N/A"</formula1>
    </dataValidation>
    <dataValidation type="list" sqref="F38:F145" xr:uid="{00000000-0002-0000-3700-000001000000}">
      <formula1>"1,2,3,4,5"</formula1>
    </dataValidation>
    <dataValidation type="list" sqref="B182:B201" xr:uid="{00000000-0002-0000-3700-000003000000}">
      <formula1>"Complete,In Progress,Not Started,N/A"</formula1>
    </dataValidation>
    <dataValidation type="list" allowBlank="1" sqref="C243:E258" xr:uid="{00000000-0002-0000-3700-000004000000}">
      <formula1>"Yes,No,N/A"</formula1>
    </dataValidation>
    <dataValidation type="list" allowBlank="1" sqref="C20:C45" xr:uid="{00000000-0002-0000-3700-000005000000}">
      <formula1>"Green - Received,Amber - Awaiting,Red - Missing,N/A"</formula1>
    </dataValidation>
    <dataValidation type="list" sqref="C20:C43" xr:uid="{00000000-0002-0000-3700-000006000000}">
      <formula1>"Green,Amber,Red,N/A"</formula1>
    </dataValidation>
    <dataValidation type="list" sqref="F42:F230" xr:uid="{00000000-0002-0000-3700-000007000000}">
      <formula1>"1,2,3,4,5,N/A"</formula1>
    </dataValidation>
    <dataValidation type="list" sqref="H42:H230 H235:H255" xr:uid="{00000000-0002-0000-3700-000008000000}">
      <formula1>"Pass,Fail,Not Assessed,N/A"</formula1>
    </dataValidation>
  </dataValidation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L265"/>
  <sheetViews>
    <sheetView workbookViewId="0"/>
  </sheetViews>
  <sheetFormatPr defaultRowHeight="14.5" x14ac:dyDescent="0.35"/>
  <cols>
    <col min="1" max="1" width="42" customWidth="1"/>
    <col min="2" max="2" width="36" customWidth="1"/>
    <col min="3" max="3" width="52" customWidth="1"/>
    <col min="4" max="4" width="34" customWidth="1"/>
    <col min="5" max="5" width="30" customWidth="1"/>
    <col min="6" max="6" width="12" customWidth="1"/>
    <col min="7" max="7" width="16" customWidth="1"/>
    <col min="8" max="8" width="14" customWidth="1"/>
    <col min="9" max="9" width="28" customWidth="1"/>
    <col min="10" max="12" width="14" customWidth="1"/>
  </cols>
  <sheetData>
    <row r="1" spans="1:12" ht="30" customHeight="1" x14ac:dyDescent="0.35">
      <c r="A1" s="134" t="s">
        <v>1312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x14ac:dyDescent="0.35">
      <c r="A2" t="s">
        <v>928</v>
      </c>
      <c r="D2" t="s">
        <v>929</v>
      </c>
    </row>
    <row r="4" spans="1:12" x14ac:dyDescent="0.35">
      <c r="A4" s="101" t="s">
        <v>882</v>
      </c>
      <c r="B4" s="101" t="str">
        <f>IF('Induction Employee Register'!A21="","",'Induction Employee Register'!A21)</f>
        <v>SW018</v>
      </c>
      <c r="D4" t="s">
        <v>930</v>
      </c>
      <c r="E4" t="s">
        <v>931</v>
      </c>
      <c r="F4" t="s">
        <v>932</v>
      </c>
      <c r="G4" t="s">
        <v>933</v>
      </c>
      <c r="H4" t="s">
        <v>58</v>
      </c>
      <c r="I4" t="s">
        <v>934</v>
      </c>
      <c r="J4" t="s">
        <v>54</v>
      </c>
      <c r="K4" t="s">
        <v>935</v>
      </c>
      <c r="L4" t="s">
        <v>43</v>
      </c>
    </row>
    <row r="5" spans="1:12" x14ac:dyDescent="0.35">
      <c r="A5" s="101" t="s">
        <v>883</v>
      </c>
      <c r="B5" s="101" t="str">
        <f>IF('Induction Employee Register'!B21="","",'Induction Employee Register'!B21)</f>
        <v/>
      </c>
      <c r="D5" t="s">
        <v>936</v>
      </c>
    </row>
    <row r="6" spans="1:12" x14ac:dyDescent="0.35">
      <c r="A6" s="101" t="s">
        <v>322</v>
      </c>
      <c r="B6" s="101" t="str">
        <f>IF('Induction Employee Register'!C21="","",'Induction Employee Register'!C21)</f>
        <v/>
      </c>
      <c r="D6" t="s">
        <v>937</v>
      </c>
      <c r="E6" t="s">
        <v>938</v>
      </c>
    </row>
    <row r="7" spans="1:12" x14ac:dyDescent="0.35">
      <c r="A7" s="101" t="s">
        <v>323</v>
      </c>
      <c r="B7" s="126" t="str">
        <f>IF('Induction Employee Register'!D21="","",'Induction Employee Register'!D21)</f>
        <v/>
      </c>
      <c r="D7" t="s">
        <v>939</v>
      </c>
      <c r="E7" t="s">
        <v>940</v>
      </c>
    </row>
    <row r="8" spans="1:12" x14ac:dyDescent="0.35">
      <c r="A8" s="101" t="s">
        <v>886</v>
      </c>
      <c r="B8" s="125">
        <f>IFERROR(COUNTIF($H$42:$H$230,"Pass")/(COUNTIF($H$42:$H$230,"Pass")+COUNTIF($H$42:$H$230,"Fail")+COUNTIF($H$42:$H$230,"Not Assessed")),0)</f>
        <v>0</v>
      </c>
      <c r="D8" t="s">
        <v>6</v>
      </c>
      <c r="E8" t="s">
        <v>941</v>
      </c>
    </row>
    <row r="9" spans="1:12" x14ac:dyDescent="0.35">
      <c r="A9" s="101" t="s">
        <v>887</v>
      </c>
      <c r="B9" s="125">
        <f>IFERROR(COUNTIF($H$235:$H$255,"Pass")/(COUNTIF($H$235:$H$255,"Pass")+COUNTIF($H$235:$H$255,"Fail")+COUNTIF($H$235:$H$255,"Not Assessed")),0)</f>
        <v>0</v>
      </c>
      <c r="D9" t="s">
        <v>942</v>
      </c>
      <c r="E9" t="s">
        <v>943</v>
      </c>
    </row>
    <row r="10" spans="1:12" x14ac:dyDescent="0.35">
      <c r="A10" s="101" t="s">
        <v>888</v>
      </c>
      <c r="B10" s="125" t="str">
        <f>IFERROR(IF($B$5="","",IF(INDEX('Mandatory Training Dashboard'!$D$5:$D$53,MATCH($B$5,'Mandatory Training Dashboard'!$A$5:$A$53,0))&gt;1,INDEX('Mandatory Training Dashboard'!$D$5:$D$53,MATCH($B$5,'Mandatory Training Dashboard'!$A$5:$A$53,0))/100,INDEX('Mandatory Training Dashboard'!$D$5:$D$53,MATCH($B$5,'Mandatory Training Dashboard'!$A$5:$A$53,0)))),0)</f>
        <v/>
      </c>
      <c r="D10" t="s">
        <v>944</v>
      </c>
      <c r="E10" t="s">
        <v>945</v>
      </c>
    </row>
    <row r="11" spans="1:12" x14ac:dyDescent="0.35">
      <c r="A11" s="101" t="s">
        <v>893</v>
      </c>
      <c r="B11" s="125">
        <f>IFERROR(AVERAGE(B8:B10),0)</f>
        <v>0</v>
      </c>
      <c r="D11" t="s">
        <v>946</v>
      </c>
      <c r="E11" t="s">
        <v>947</v>
      </c>
    </row>
    <row r="12" spans="1:12" x14ac:dyDescent="0.35">
      <c r="A12" s="101" t="s">
        <v>948</v>
      </c>
      <c r="B12" s="101" t="str">
        <f>IF(B11&gt;=0.9,"Green",IF(B11&gt;=0.75,"Amber","Red"))</f>
        <v>Red</v>
      </c>
      <c r="D12" t="s">
        <v>949</v>
      </c>
      <c r="E12" t="s">
        <v>950</v>
      </c>
    </row>
    <row r="13" spans="1:12" x14ac:dyDescent="0.35">
      <c r="A13" s="101" t="s">
        <v>891</v>
      </c>
      <c r="B13" s="101">
        <f>IF('Induction Employee Register'!N21="","",'Induction Employee Register'!N21)</f>
        <v>0</v>
      </c>
      <c r="D13" t="s">
        <v>951</v>
      </c>
      <c r="E13" t="s">
        <v>952</v>
      </c>
    </row>
    <row r="14" spans="1:12" x14ac:dyDescent="0.35">
      <c r="A14" s="101" t="s">
        <v>892</v>
      </c>
      <c r="B14" s="101" t="str">
        <f>IF('Induction Employee Register'!O21="","",'Induction Employee Register'!O21)</f>
        <v/>
      </c>
    </row>
    <row r="17" spans="1:12" ht="24" customHeight="1" x14ac:dyDescent="0.35">
      <c r="A17" s="135" t="s">
        <v>953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9" spans="1:12" ht="29" x14ac:dyDescent="0.35">
      <c r="A19" s="116" t="s">
        <v>954</v>
      </c>
      <c r="B19" s="116" t="s">
        <v>955</v>
      </c>
      <c r="C19" s="116" t="s">
        <v>956</v>
      </c>
      <c r="D19" s="116" t="s">
        <v>957</v>
      </c>
      <c r="E19" s="116" t="s">
        <v>958</v>
      </c>
      <c r="F19" s="116" t="s">
        <v>353</v>
      </c>
      <c r="G19" s="116" t="s">
        <v>335</v>
      </c>
      <c r="H19" s="116" t="s">
        <v>338</v>
      </c>
      <c r="I19" s="117" t="s">
        <v>959</v>
      </c>
      <c r="J19" t="s">
        <v>960</v>
      </c>
      <c r="K19" t="s">
        <v>300</v>
      </c>
      <c r="L19" t="s">
        <v>961</v>
      </c>
    </row>
    <row r="20" spans="1:12" x14ac:dyDescent="0.35">
      <c r="A20" s="118" t="s">
        <v>962</v>
      </c>
      <c r="B20" s="118" t="s">
        <v>81</v>
      </c>
      <c r="C20" s="118"/>
      <c r="D20" s="127"/>
      <c r="E20" s="127"/>
      <c r="F20" s="118"/>
      <c r="G20" s="118"/>
      <c r="H20" s="118"/>
      <c r="J20" t="s">
        <v>310</v>
      </c>
      <c r="K20" t="str">
        <f>IF('Induction Employee Register'!W21="","",'Induction Employee Register'!W21)</f>
        <v/>
      </c>
      <c r="L20" t="s">
        <v>963</v>
      </c>
    </row>
    <row r="21" spans="1:12" x14ac:dyDescent="0.35">
      <c r="A21" s="118" t="s">
        <v>964</v>
      </c>
      <c r="B21" s="118" t="s">
        <v>81</v>
      </c>
      <c r="C21" s="118"/>
      <c r="D21" s="127"/>
      <c r="E21" s="127"/>
      <c r="F21" s="118"/>
      <c r="G21" s="118"/>
      <c r="H21" s="118"/>
      <c r="J21" t="s">
        <v>311</v>
      </c>
      <c r="K21" t="str">
        <f>IF('Induction Employee Register'!X21="","",'Induction Employee Register'!X21)</f>
        <v/>
      </c>
      <c r="L21" t="s">
        <v>965</v>
      </c>
    </row>
    <row r="22" spans="1:12" x14ac:dyDescent="0.35">
      <c r="A22" s="118" t="s">
        <v>966</v>
      </c>
      <c r="B22" s="118" t="s">
        <v>81</v>
      </c>
      <c r="C22" s="118"/>
      <c r="D22" s="127"/>
      <c r="E22" s="127"/>
      <c r="F22" s="118"/>
      <c r="G22" s="118"/>
      <c r="H22" s="118"/>
      <c r="J22" t="s">
        <v>312</v>
      </c>
      <c r="K22" t="str">
        <f>IF('Induction Employee Register'!Y21="","",'Induction Employee Register'!Y21)</f>
        <v/>
      </c>
      <c r="L22" t="s">
        <v>967</v>
      </c>
    </row>
    <row r="23" spans="1:12" x14ac:dyDescent="0.35">
      <c r="A23" s="118" t="s">
        <v>52</v>
      </c>
      <c r="B23" s="118" t="s">
        <v>81</v>
      </c>
      <c r="C23" s="118"/>
      <c r="D23" s="127"/>
      <c r="E23" s="127"/>
      <c r="F23" s="118"/>
      <c r="G23" s="118"/>
      <c r="H23" s="118"/>
      <c r="J23" t="s">
        <v>313</v>
      </c>
      <c r="K23" t="str">
        <f>IF('Induction Employee Register'!Z21="","",'Induction Employee Register'!Z21)</f>
        <v/>
      </c>
      <c r="L23" t="s">
        <v>968</v>
      </c>
    </row>
    <row r="24" spans="1:12" x14ac:dyDescent="0.35">
      <c r="A24" s="118" t="s">
        <v>50</v>
      </c>
      <c r="B24" s="118" t="s">
        <v>81</v>
      </c>
      <c r="C24" s="118"/>
      <c r="D24" s="127"/>
      <c r="E24" s="127"/>
      <c r="F24" s="118"/>
      <c r="G24" s="118"/>
      <c r="H24" s="118"/>
      <c r="J24" t="s">
        <v>314</v>
      </c>
      <c r="K24" t="str">
        <f>IF('Induction Employee Register'!AA21="","",'Induction Employee Register'!AA21)</f>
        <v/>
      </c>
      <c r="L24" t="s">
        <v>968</v>
      </c>
    </row>
    <row r="25" spans="1:12" x14ac:dyDescent="0.35">
      <c r="A25" s="118" t="s">
        <v>329</v>
      </c>
      <c r="B25" s="118" t="s">
        <v>81</v>
      </c>
      <c r="C25" s="118"/>
      <c r="D25" s="127"/>
      <c r="E25" s="127"/>
      <c r="F25" s="118"/>
      <c r="G25" s="118"/>
      <c r="H25" s="118"/>
      <c r="J25" t="s">
        <v>315</v>
      </c>
      <c r="K25" t="str">
        <f>IF('Induction Employee Register'!AB21="","",'Induction Employee Register'!AB21)</f>
        <v/>
      </c>
      <c r="L25" t="s">
        <v>967</v>
      </c>
    </row>
    <row r="26" spans="1:12" x14ac:dyDescent="0.35">
      <c r="A26" s="118" t="s">
        <v>969</v>
      </c>
      <c r="B26" s="118" t="s">
        <v>81</v>
      </c>
      <c r="C26" s="118"/>
      <c r="D26" s="127"/>
      <c r="E26" s="127"/>
      <c r="F26" s="118"/>
      <c r="G26" s="118"/>
      <c r="H26" s="118"/>
      <c r="J26" t="s">
        <v>316</v>
      </c>
      <c r="K26" t="str">
        <f>IF('Induction Employee Register'!AC21="","",'Induction Employee Register'!AC21)</f>
        <v/>
      </c>
      <c r="L26" t="s">
        <v>967</v>
      </c>
    </row>
    <row r="27" spans="1:12" x14ac:dyDescent="0.35">
      <c r="A27" s="118" t="s">
        <v>970</v>
      </c>
      <c r="B27" s="118" t="s">
        <v>81</v>
      </c>
      <c r="C27" s="118"/>
      <c r="D27" s="127"/>
      <c r="E27" s="127"/>
      <c r="F27" s="118"/>
      <c r="G27" s="118"/>
      <c r="H27" s="118"/>
    </row>
    <row r="28" spans="1:12" x14ac:dyDescent="0.35">
      <c r="A28" s="118" t="s">
        <v>971</v>
      </c>
      <c r="B28" s="118" t="s">
        <v>81</v>
      </c>
      <c r="C28" s="118"/>
      <c r="D28" s="127"/>
      <c r="E28" s="127"/>
      <c r="F28" s="118"/>
      <c r="G28" s="118"/>
      <c r="H28" s="118"/>
    </row>
    <row r="29" spans="1:12" x14ac:dyDescent="0.35">
      <c r="A29" s="118" t="s">
        <v>972</v>
      </c>
      <c r="B29" s="118" t="s">
        <v>81</v>
      </c>
      <c r="C29" s="118"/>
      <c r="D29" s="127"/>
      <c r="E29" s="127"/>
      <c r="F29" s="118"/>
      <c r="G29" s="118"/>
      <c r="H29" s="118"/>
    </row>
    <row r="30" spans="1:12" x14ac:dyDescent="0.35">
      <c r="A30" s="118" t="s">
        <v>973</v>
      </c>
      <c r="B30" s="118" t="s">
        <v>81</v>
      </c>
      <c r="C30" s="118"/>
      <c r="D30" s="127"/>
      <c r="E30" s="127"/>
      <c r="F30" s="118"/>
      <c r="G30" s="118"/>
      <c r="H30" s="118"/>
    </row>
    <row r="31" spans="1:12" x14ac:dyDescent="0.35">
      <c r="A31" s="118" t="s">
        <v>974</v>
      </c>
      <c r="B31" s="118" t="s">
        <v>81</v>
      </c>
      <c r="C31" s="118"/>
      <c r="D31" s="127"/>
      <c r="E31" s="127"/>
      <c r="F31" s="118"/>
      <c r="G31" s="118"/>
      <c r="H31" s="118"/>
    </row>
    <row r="32" spans="1:12" x14ac:dyDescent="0.35">
      <c r="A32" s="118" t="s">
        <v>975</v>
      </c>
      <c r="B32" s="118" t="s">
        <v>81</v>
      </c>
      <c r="C32" s="118"/>
      <c r="D32" s="127"/>
      <c r="E32" s="127"/>
      <c r="F32" s="118"/>
      <c r="G32" s="118"/>
      <c r="H32" s="118"/>
    </row>
    <row r="33" spans="1:12" x14ac:dyDescent="0.35">
      <c r="A33" s="118" t="s">
        <v>54</v>
      </c>
      <c r="B33" s="118" t="s">
        <v>81</v>
      </c>
      <c r="C33" s="118"/>
      <c r="D33" s="127"/>
      <c r="E33" s="127"/>
      <c r="F33" s="118"/>
      <c r="G33" s="118"/>
      <c r="H33" s="118"/>
    </row>
    <row r="34" spans="1:12" x14ac:dyDescent="0.35">
      <c r="A34" s="119" t="s">
        <v>976</v>
      </c>
      <c r="B34" s="119" t="s">
        <v>81</v>
      </c>
      <c r="C34" s="119"/>
      <c r="D34" s="127"/>
      <c r="E34" s="127"/>
      <c r="F34" s="119"/>
      <c r="G34" s="119"/>
      <c r="H34" s="119"/>
    </row>
    <row r="35" spans="1:12" ht="24" customHeight="1" x14ac:dyDescent="0.35">
      <c r="A35" s="130" t="s">
        <v>977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</row>
    <row r="36" spans="1:12" x14ac:dyDescent="0.35">
      <c r="A36" s="119" t="s">
        <v>978</v>
      </c>
      <c r="B36" s="119" t="s">
        <v>81</v>
      </c>
      <c r="C36" s="119"/>
      <c r="D36" s="127"/>
      <c r="E36" s="127"/>
      <c r="F36" s="119"/>
      <c r="G36" s="119"/>
      <c r="H36" s="119"/>
    </row>
    <row r="37" spans="1:12" x14ac:dyDescent="0.35">
      <c r="A37" s="119" t="s">
        <v>979</v>
      </c>
      <c r="B37" s="119" t="s">
        <v>81</v>
      </c>
      <c r="C37" s="119"/>
      <c r="D37" s="127"/>
      <c r="E37" s="127"/>
      <c r="F37" s="119"/>
      <c r="G37" s="119"/>
      <c r="H37" s="119"/>
    </row>
    <row r="38" spans="1:12" x14ac:dyDescent="0.35">
      <c r="A38" s="119" t="s">
        <v>980</v>
      </c>
      <c r="B38" s="119" t="s">
        <v>81</v>
      </c>
      <c r="C38" s="119"/>
      <c r="D38" s="127"/>
      <c r="E38" s="127"/>
      <c r="F38" s="119"/>
      <c r="G38" s="119"/>
      <c r="H38" s="119"/>
    </row>
    <row r="39" spans="1:12" x14ac:dyDescent="0.35">
      <c r="A39" s="119" t="s">
        <v>981</v>
      </c>
      <c r="B39" s="119" t="s">
        <v>81</v>
      </c>
      <c r="C39" s="119"/>
      <c r="D39" s="127"/>
      <c r="E39" s="127"/>
      <c r="F39" s="119"/>
      <c r="G39" s="119"/>
      <c r="H39" s="119"/>
    </row>
    <row r="40" spans="1:12" x14ac:dyDescent="0.35">
      <c r="A40" s="119" t="s">
        <v>982</v>
      </c>
      <c r="B40" s="119" t="s">
        <v>81</v>
      </c>
      <c r="C40" s="119"/>
      <c r="D40" s="127"/>
      <c r="E40" s="127"/>
      <c r="F40" s="119"/>
      <c r="G40" s="119"/>
      <c r="H40" s="119"/>
    </row>
    <row r="41" spans="1:12" x14ac:dyDescent="0.35">
      <c r="A41" s="118"/>
      <c r="B41" s="118"/>
      <c r="C41" s="118"/>
      <c r="D41" s="127"/>
      <c r="E41" s="127"/>
      <c r="F41" s="118"/>
      <c r="G41" s="118"/>
      <c r="H41" s="118"/>
    </row>
    <row r="42" spans="1:12" x14ac:dyDescent="0.35">
      <c r="A42" s="120" t="s">
        <v>983</v>
      </c>
      <c r="B42" s="118"/>
      <c r="C42" s="118"/>
      <c r="D42" s="127"/>
      <c r="E42" s="127"/>
      <c r="F42" s="118"/>
      <c r="G42" s="118"/>
      <c r="H42" s="118"/>
      <c r="I42" s="96"/>
      <c r="J42" s="96"/>
      <c r="K42" s="96"/>
      <c r="L42" s="96"/>
    </row>
    <row r="43" spans="1:12" x14ac:dyDescent="0.35">
      <c r="A43" s="118"/>
      <c r="B43" s="118"/>
      <c r="C43" s="118"/>
      <c r="D43" s="127"/>
      <c r="E43" s="127"/>
      <c r="F43" s="118"/>
      <c r="G43" s="118"/>
      <c r="H43" s="118"/>
    </row>
    <row r="44" spans="1:12" ht="29" x14ac:dyDescent="0.35">
      <c r="A44" s="116" t="s">
        <v>984</v>
      </c>
      <c r="B44" s="116" t="s">
        <v>985</v>
      </c>
      <c r="C44" s="116" t="s">
        <v>986</v>
      </c>
      <c r="D44" s="116" t="s">
        <v>987</v>
      </c>
      <c r="E44" s="116" t="s">
        <v>988</v>
      </c>
      <c r="F44" s="116" t="s">
        <v>989</v>
      </c>
      <c r="G44" s="116" t="s">
        <v>389</v>
      </c>
      <c r="H44" s="116" t="s">
        <v>870</v>
      </c>
      <c r="I44" s="100" t="s">
        <v>390</v>
      </c>
      <c r="J44" s="100" t="s">
        <v>990</v>
      </c>
      <c r="K44" s="100" t="s">
        <v>991</v>
      </c>
      <c r="L44" s="100" t="s">
        <v>992</v>
      </c>
    </row>
    <row r="45" spans="1:12" ht="29" x14ac:dyDescent="0.35">
      <c r="A45" s="121" t="s">
        <v>993</v>
      </c>
      <c r="B45" s="121" t="s">
        <v>994</v>
      </c>
      <c r="C45" s="121" t="s">
        <v>995</v>
      </c>
      <c r="D45" s="121"/>
      <c r="E45" s="121" t="s">
        <v>996</v>
      </c>
      <c r="F45" s="121"/>
      <c r="G45" s="121"/>
      <c r="H45" s="121"/>
      <c r="I45" s="21"/>
      <c r="J45" s="21"/>
      <c r="K45" s="21"/>
      <c r="L45" s="21"/>
    </row>
    <row r="46" spans="1:12" ht="29" x14ac:dyDescent="0.35">
      <c r="A46" s="21" t="s">
        <v>993</v>
      </c>
      <c r="B46" s="21" t="s">
        <v>997</v>
      </c>
      <c r="C46" s="21" t="s">
        <v>998</v>
      </c>
      <c r="D46" s="21"/>
      <c r="E46" s="21" t="s">
        <v>996</v>
      </c>
      <c r="F46" s="21"/>
      <c r="G46" s="21"/>
      <c r="H46" s="21"/>
      <c r="I46" s="21"/>
      <c r="J46" s="21"/>
      <c r="K46" s="21"/>
      <c r="L46" s="21"/>
    </row>
    <row r="47" spans="1:12" ht="29" x14ac:dyDescent="0.35">
      <c r="A47" s="21" t="s">
        <v>993</v>
      </c>
      <c r="B47" s="21" t="s">
        <v>999</v>
      </c>
      <c r="C47" s="21" t="s">
        <v>1000</v>
      </c>
      <c r="D47" s="21"/>
      <c r="E47" s="21" t="s">
        <v>996</v>
      </c>
      <c r="F47" s="21"/>
      <c r="G47" s="21"/>
      <c r="H47" s="21"/>
      <c r="I47" s="21"/>
      <c r="J47" s="21"/>
      <c r="K47" s="21"/>
      <c r="L47" s="21"/>
    </row>
    <row r="48" spans="1:12" ht="29" x14ac:dyDescent="0.35">
      <c r="A48" s="21" t="s">
        <v>993</v>
      </c>
      <c r="B48" s="21" t="s">
        <v>1001</v>
      </c>
      <c r="C48" s="21" t="s">
        <v>1002</v>
      </c>
      <c r="D48" s="21"/>
      <c r="E48" s="21" t="s">
        <v>996</v>
      </c>
      <c r="F48" s="21"/>
      <c r="G48" s="21"/>
      <c r="H48" s="21"/>
      <c r="I48" s="21"/>
      <c r="J48" s="21"/>
      <c r="K48" s="21"/>
      <c r="L48" s="21"/>
    </row>
    <row r="49" spans="1:12" ht="43.5" x14ac:dyDescent="0.35">
      <c r="A49" s="21" t="s">
        <v>993</v>
      </c>
      <c r="B49" s="21" t="s">
        <v>1003</v>
      </c>
      <c r="C49" s="21" t="s">
        <v>1004</v>
      </c>
      <c r="D49" s="21"/>
      <c r="E49" s="21" t="s">
        <v>996</v>
      </c>
      <c r="F49" s="21"/>
      <c r="G49" s="21"/>
      <c r="H49" s="21"/>
      <c r="I49" s="21"/>
      <c r="J49" s="21"/>
      <c r="K49" s="21"/>
      <c r="L49" s="21"/>
    </row>
    <row r="50" spans="1:12" ht="29" x14ac:dyDescent="0.35">
      <c r="A50" s="21" t="s">
        <v>993</v>
      </c>
      <c r="B50" s="21" t="s">
        <v>1005</v>
      </c>
      <c r="C50" s="21" t="s">
        <v>1006</v>
      </c>
      <c r="D50" s="21"/>
      <c r="E50" s="21" t="s">
        <v>996</v>
      </c>
      <c r="F50" s="21"/>
      <c r="G50" s="21"/>
      <c r="H50" s="21"/>
      <c r="I50" s="21"/>
      <c r="J50" s="21"/>
      <c r="K50" s="21"/>
      <c r="L50" s="21"/>
    </row>
    <row r="51" spans="1:12" ht="43.5" x14ac:dyDescent="0.35">
      <c r="A51" s="21" t="s">
        <v>1007</v>
      </c>
      <c r="B51" s="21" t="s">
        <v>1008</v>
      </c>
      <c r="C51" s="21" t="s">
        <v>1009</v>
      </c>
      <c r="D51" s="21"/>
      <c r="E51" s="21" t="s">
        <v>996</v>
      </c>
      <c r="F51" s="21"/>
      <c r="G51" s="21"/>
      <c r="H51" s="21"/>
      <c r="I51" s="21"/>
      <c r="J51" s="21"/>
      <c r="K51" s="21"/>
      <c r="L51" s="21"/>
    </row>
    <row r="52" spans="1:12" ht="29" x14ac:dyDescent="0.35">
      <c r="A52" s="21" t="s">
        <v>1007</v>
      </c>
      <c r="B52" s="21" t="s">
        <v>1010</v>
      </c>
      <c r="C52" s="21" t="s">
        <v>1011</v>
      </c>
      <c r="D52" s="21"/>
      <c r="E52" s="21" t="s">
        <v>996</v>
      </c>
      <c r="F52" s="21"/>
      <c r="G52" s="21"/>
      <c r="H52" s="21"/>
      <c r="I52" s="21"/>
      <c r="J52" s="21"/>
      <c r="K52" s="21"/>
      <c r="L52" s="21"/>
    </row>
    <row r="53" spans="1:12" ht="29" x14ac:dyDescent="0.35">
      <c r="A53" s="21" t="s">
        <v>1007</v>
      </c>
      <c r="B53" s="21" t="s">
        <v>1012</v>
      </c>
      <c r="C53" s="21" t="s">
        <v>1013</v>
      </c>
      <c r="D53" s="21"/>
      <c r="E53" s="21" t="s">
        <v>996</v>
      </c>
      <c r="F53" s="21"/>
      <c r="G53" s="21"/>
      <c r="H53" s="21"/>
      <c r="I53" s="21"/>
      <c r="J53" s="21"/>
      <c r="K53" s="21"/>
      <c r="L53" s="21"/>
    </row>
    <row r="54" spans="1:12" ht="29" x14ac:dyDescent="0.35">
      <c r="A54" s="21" t="s">
        <v>1007</v>
      </c>
      <c r="B54" s="21" t="s">
        <v>1014</v>
      </c>
      <c r="C54" s="21" t="s">
        <v>1015</v>
      </c>
      <c r="D54" s="21"/>
      <c r="E54" s="21" t="s">
        <v>996</v>
      </c>
      <c r="F54" s="21"/>
      <c r="G54" s="21"/>
      <c r="H54" s="21"/>
      <c r="I54" s="21"/>
      <c r="J54" s="21"/>
      <c r="K54" s="21"/>
      <c r="L54" s="21"/>
    </row>
    <row r="55" spans="1:12" ht="29" x14ac:dyDescent="0.35">
      <c r="A55" s="21" t="s">
        <v>1007</v>
      </c>
      <c r="B55" s="21" t="s">
        <v>1016</v>
      </c>
      <c r="C55" s="21" t="s">
        <v>1017</v>
      </c>
      <c r="D55" s="21"/>
      <c r="E55" s="21" t="s">
        <v>996</v>
      </c>
      <c r="F55" s="21"/>
      <c r="G55" s="21"/>
      <c r="H55" s="21"/>
      <c r="I55" s="21"/>
      <c r="J55" s="21"/>
      <c r="K55" s="21"/>
      <c r="L55" s="21"/>
    </row>
    <row r="56" spans="1:12" ht="29" x14ac:dyDescent="0.35">
      <c r="A56" s="21" t="s">
        <v>1007</v>
      </c>
      <c r="B56" s="21" t="s">
        <v>1018</v>
      </c>
      <c r="C56" s="21" t="s">
        <v>1019</v>
      </c>
      <c r="D56" s="21"/>
      <c r="E56" s="21" t="s">
        <v>996</v>
      </c>
      <c r="F56" s="21"/>
      <c r="G56" s="21"/>
      <c r="H56" s="21"/>
      <c r="I56" s="21"/>
      <c r="J56" s="21"/>
      <c r="K56" s="21"/>
      <c r="L56" s="21"/>
    </row>
    <row r="57" spans="1:12" ht="43.5" x14ac:dyDescent="0.35">
      <c r="A57" s="21" t="s">
        <v>1020</v>
      </c>
      <c r="B57" s="21" t="s">
        <v>1021</v>
      </c>
      <c r="C57" s="21" t="s">
        <v>1022</v>
      </c>
      <c r="D57" s="21"/>
      <c r="E57" s="21" t="s">
        <v>1023</v>
      </c>
      <c r="F57" s="21"/>
      <c r="G57" s="21"/>
      <c r="H57" s="21"/>
      <c r="I57" s="21"/>
      <c r="J57" s="21"/>
      <c r="K57" s="21"/>
      <c r="L57" s="21"/>
    </row>
    <row r="58" spans="1:12" ht="43.5" x14ac:dyDescent="0.35">
      <c r="A58" s="21" t="s">
        <v>1020</v>
      </c>
      <c r="B58" s="21" t="s">
        <v>1024</v>
      </c>
      <c r="C58" s="21" t="s">
        <v>1025</v>
      </c>
      <c r="D58" s="21"/>
      <c r="E58" s="21" t="s">
        <v>1023</v>
      </c>
      <c r="F58" s="21"/>
      <c r="G58" s="21"/>
      <c r="H58" s="21"/>
      <c r="I58" s="21"/>
      <c r="J58" s="21"/>
      <c r="K58" s="21"/>
      <c r="L58" s="21"/>
    </row>
    <row r="59" spans="1:12" ht="43.5" x14ac:dyDescent="0.35">
      <c r="A59" s="21" t="s">
        <v>1020</v>
      </c>
      <c r="B59" s="21" t="s">
        <v>1026</v>
      </c>
      <c r="C59" s="21" t="s">
        <v>1027</v>
      </c>
      <c r="D59" s="21"/>
      <c r="E59" s="21" t="s">
        <v>1023</v>
      </c>
      <c r="F59" s="21"/>
      <c r="G59" s="21"/>
      <c r="H59" s="21"/>
      <c r="I59" s="21"/>
      <c r="J59" s="21"/>
      <c r="K59" s="21"/>
      <c r="L59" s="21"/>
    </row>
    <row r="60" spans="1:12" ht="43.5" x14ac:dyDescent="0.35">
      <c r="A60" s="21" t="s">
        <v>1020</v>
      </c>
      <c r="B60" s="21" t="s">
        <v>1028</v>
      </c>
      <c r="C60" s="21" t="s">
        <v>1029</v>
      </c>
      <c r="D60" s="21"/>
      <c r="E60" s="21" t="s">
        <v>1023</v>
      </c>
      <c r="F60" s="21"/>
      <c r="G60" s="21"/>
      <c r="H60" s="21"/>
      <c r="I60" s="21"/>
      <c r="J60" s="21"/>
      <c r="K60" s="21"/>
      <c r="L60" s="21"/>
    </row>
    <row r="61" spans="1:12" ht="43.5" x14ac:dyDescent="0.35">
      <c r="A61" s="21" t="s">
        <v>1020</v>
      </c>
      <c r="B61" s="21" t="s">
        <v>1030</v>
      </c>
      <c r="C61" s="21" t="s">
        <v>1031</v>
      </c>
      <c r="D61" s="21"/>
      <c r="E61" s="21" t="s">
        <v>1023</v>
      </c>
      <c r="F61" s="21"/>
      <c r="G61" s="21"/>
      <c r="H61" s="21"/>
      <c r="I61" s="21"/>
      <c r="J61" s="21"/>
      <c r="K61" s="21"/>
      <c r="L61" s="21"/>
    </row>
    <row r="62" spans="1:12" ht="43.5" x14ac:dyDescent="0.35">
      <c r="A62" s="21" t="s">
        <v>1020</v>
      </c>
      <c r="B62" s="21" t="s">
        <v>1032</v>
      </c>
      <c r="C62" s="21" t="s">
        <v>1033</v>
      </c>
      <c r="D62" s="21"/>
      <c r="E62" s="21" t="s">
        <v>1023</v>
      </c>
      <c r="F62" s="21"/>
      <c r="G62" s="21"/>
      <c r="H62" s="21"/>
      <c r="I62" s="21"/>
      <c r="J62" s="21"/>
      <c r="K62" s="21"/>
      <c r="L62" s="21"/>
    </row>
    <row r="63" spans="1:12" ht="29" x14ac:dyDescent="0.35">
      <c r="A63" s="21" t="s">
        <v>428</v>
      </c>
      <c r="B63" s="21" t="s">
        <v>1034</v>
      </c>
      <c r="C63" s="21" t="s">
        <v>1035</v>
      </c>
      <c r="D63" s="21"/>
      <c r="E63" s="21" t="s">
        <v>996</v>
      </c>
      <c r="F63" s="21"/>
      <c r="G63" s="21"/>
      <c r="H63" s="21"/>
      <c r="I63" s="21"/>
      <c r="J63" s="21"/>
      <c r="K63" s="21"/>
      <c r="L63" s="21"/>
    </row>
    <row r="64" spans="1:12" ht="43.5" x14ac:dyDescent="0.35">
      <c r="A64" s="21" t="s">
        <v>428</v>
      </c>
      <c r="B64" s="21" t="s">
        <v>1036</v>
      </c>
      <c r="C64" s="21" t="s">
        <v>1037</v>
      </c>
      <c r="D64" s="21"/>
      <c r="E64" s="21" t="s">
        <v>996</v>
      </c>
      <c r="F64" s="21"/>
      <c r="G64" s="21"/>
      <c r="H64" s="21"/>
      <c r="I64" s="21"/>
      <c r="J64" s="21"/>
      <c r="K64" s="21"/>
      <c r="L64" s="21"/>
    </row>
    <row r="65" spans="1:12" ht="29" x14ac:dyDescent="0.35">
      <c r="A65" s="21" t="s">
        <v>428</v>
      </c>
      <c r="B65" s="21" t="s">
        <v>1038</v>
      </c>
      <c r="C65" s="21" t="s">
        <v>1039</v>
      </c>
      <c r="D65" s="21"/>
      <c r="E65" s="21" t="s">
        <v>996</v>
      </c>
      <c r="F65" s="21"/>
      <c r="G65" s="21"/>
      <c r="H65" s="21"/>
      <c r="I65" s="21"/>
      <c r="J65" s="21"/>
      <c r="K65" s="21"/>
      <c r="L65" s="21"/>
    </row>
    <row r="66" spans="1:12" ht="43.5" x14ac:dyDescent="0.35">
      <c r="A66" s="21" t="s">
        <v>428</v>
      </c>
      <c r="B66" s="21" t="s">
        <v>1040</v>
      </c>
      <c r="C66" s="21" t="s">
        <v>1041</v>
      </c>
      <c r="D66" s="21"/>
      <c r="E66" s="21" t="s">
        <v>996</v>
      </c>
      <c r="F66" s="21"/>
      <c r="G66" s="21"/>
      <c r="H66" s="21"/>
      <c r="I66" s="21"/>
      <c r="J66" s="21"/>
      <c r="K66" s="21"/>
      <c r="L66" s="21"/>
    </row>
    <row r="67" spans="1:12" ht="29" x14ac:dyDescent="0.35">
      <c r="A67" s="21" t="s">
        <v>428</v>
      </c>
      <c r="B67" s="21" t="s">
        <v>1042</v>
      </c>
      <c r="C67" s="21" t="s">
        <v>1043</v>
      </c>
      <c r="D67" s="21"/>
      <c r="E67" s="21" t="s">
        <v>996</v>
      </c>
      <c r="F67" s="21"/>
      <c r="G67" s="21"/>
      <c r="H67" s="21"/>
      <c r="I67" s="21"/>
      <c r="J67" s="21"/>
      <c r="K67" s="21"/>
      <c r="L67" s="21"/>
    </row>
    <row r="68" spans="1:12" ht="29" x14ac:dyDescent="0.35">
      <c r="A68" s="21" t="s">
        <v>428</v>
      </c>
      <c r="B68" s="21" t="s">
        <v>1044</v>
      </c>
      <c r="C68" s="21" t="s">
        <v>1045</v>
      </c>
      <c r="D68" s="21"/>
      <c r="E68" s="21" t="s">
        <v>996</v>
      </c>
      <c r="F68" s="21"/>
      <c r="G68" s="21"/>
      <c r="H68" s="21"/>
      <c r="I68" s="21"/>
      <c r="J68" s="21"/>
      <c r="K68" s="21"/>
      <c r="L68" s="21"/>
    </row>
    <row r="69" spans="1:12" ht="29" x14ac:dyDescent="0.35">
      <c r="A69" s="21" t="s">
        <v>1046</v>
      </c>
      <c r="B69" s="21" t="s">
        <v>1047</v>
      </c>
      <c r="C69" s="21" t="s">
        <v>1048</v>
      </c>
      <c r="D69" s="21"/>
      <c r="E69" s="21" t="s">
        <v>996</v>
      </c>
      <c r="F69" s="21"/>
      <c r="G69" s="21"/>
      <c r="H69" s="21"/>
      <c r="I69" s="21"/>
      <c r="J69" s="21"/>
      <c r="K69" s="21"/>
      <c r="L69" s="21"/>
    </row>
    <row r="70" spans="1:12" ht="29" x14ac:dyDescent="0.35">
      <c r="A70" s="21" t="s">
        <v>1046</v>
      </c>
      <c r="B70" s="21" t="s">
        <v>1049</v>
      </c>
      <c r="C70" s="21" t="s">
        <v>1050</v>
      </c>
      <c r="D70" s="21"/>
      <c r="E70" s="21" t="s">
        <v>996</v>
      </c>
      <c r="F70" s="21"/>
      <c r="G70" s="21"/>
      <c r="H70" s="21"/>
      <c r="I70" s="21"/>
      <c r="J70" s="21"/>
      <c r="K70" s="21"/>
      <c r="L70" s="21"/>
    </row>
    <row r="71" spans="1:12" ht="29" x14ac:dyDescent="0.35">
      <c r="A71" s="21" t="s">
        <v>1046</v>
      </c>
      <c r="B71" s="21" t="s">
        <v>1051</v>
      </c>
      <c r="C71" s="21" t="s">
        <v>1052</v>
      </c>
      <c r="D71" s="21"/>
      <c r="E71" s="21" t="s">
        <v>996</v>
      </c>
      <c r="F71" s="21"/>
      <c r="G71" s="21"/>
      <c r="H71" s="21"/>
      <c r="I71" s="21"/>
      <c r="J71" s="21"/>
      <c r="K71" s="21"/>
      <c r="L71" s="21"/>
    </row>
    <row r="72" spans="1:12" ht="29" x14ac:dyDescent="0.35">
      <c r="A72" s="21" t="s">
        <v>1046</v>
      </c>
      <c r="B72" s="21" t="s">
        <v>1053</v>
      </c>
      <c r="C72" s="21" t="s">
        <v>1054</v>
      </c>
      <c r="D72" s="21"/>
      <c r="E72" s="21" t="s">
        <v>996</v>
      </c>
      <c r="F72" s="21"/>
      <c r="G72" s="21"/>
      <c r="H72" s="21"/>
      <c r="I72" s="21"/>
      <c r="J72" s="21"/>
      <c r="K72" s="21"/>
      <c r="L72" s="21"/>
    </row>
    <row r="73" spans="1:12" ht="29" x14ac:dyDescent="0.35">
      <c r="A73" s="21" t="s">
        <v>1046</v>
      </c>
      <c r="B73" s="21" t="s">
        <v>1055</v>
      </c>
      <c r="C73" s="21" t="s">
        <v>1056</v>
      </c>
      <c r="D73" s="21"/>
      <c r="E73" s="21" t="s">
        <v>996</v>
      </c>
      <c r="F73" s="21"/>
      <c r="G73" s="21"/>
      <c r="H73" s="21"/>
      <c r="I73" s="21"/>
      <c r="J73" s="21"/>
      <c r="K73" s="21"/>
      <c r="L73" s="21"/>
    </row>
    <row r="74" spans="1:12" ht="29" x14ac:dyDescent="0.35">
      <c r="A74" s="21" t="s">
        <v>1046</v>
      </c>
      <c r="B74" s="21" t="s">
        <v>1057</v>
      </c>
      <c r="C74" s="21" t="s">
        <v>1058</v>
      </c>
      <c r="D74" s="21"/>
      <c r="E74" s="21" t="s">
        <v>996</v>
      </c>
      <c r="F74" s="21"/>
      <c r="G74" s="21"/>
      <c r="H74" s="21"/>
      <c r="I74" s="21"/>
      <c r="J74" s="21"/>
      <c r="K74" s="21"/>
      <c r="L74" s="21"/>
    </row>
    <row r="75" spans="1:12" ht="29" x14ac:dyDescent="0.35">
      <c r="A75" s="21" t="s">
        <v>1059</v>
      </c>
      <c r="B75" s="21" t="s">
        <v>1060</v>
      </c>
      <c r="C75" s="21" t="s">
        <v>1061</v>
      </c>
      <c r="D75" s="21"/>
      <c r="E75" s="21" t="s">
        <v>996</v>
      </c>
      <c r="F75" s="21"/>
      <c r="G75" s="21"/>
      <c r="H75" s="21"/>
      <c r="I75" s="21"/>
      <c r="J75" s="21"/>
      <c r="K75" s="21"/>
      <c r="L75" s="21"/>
    </row>
    <row r="76" spans="1:12" ht="43.5" x14ac:dyDescent="0.35">
      <c r="A76" s="21" t="s">
        <v>1059</v>
      </c>
      <c r="B76" s="21" t="s">
        <v>1062</v>
      </c>
      <c r="C76" s="21" t="s">
        <v>1063</v>
      </c>
      <c r="D76" s="21"/>
      <c r="E76" s="21" t="s">
        <v>996</v>
      </c>
      <c r="F76" s="21"/>
      <c r="G76" s="21"/>
      <c r="H76" s="21"/>
      <c r="I76" s="21"/>
      <c r="J76" s="21"/>
      <c r="K76" s="21"/>
      <c r="L76" s="21"/>
    </row>
    <row r="77" spans="1:12" ht="29" x14ac:dyDescent="0.35">
      <c r="A77" s="21" t="s">
        <v>1059</v>
      </c>
      <c r="B77" s="21" t="s">
        <v>1064</v>
      </c>
      <c r="C77" s="21" t="s">
        <v>1065</v>
      </c>
      <c r="D77" s="21"/>
      <c r="E77" s="21" t="s">
        <v>996</v>
      </c>
      <c r="F77" s="21"/>
      <c r="G77" s="21"/>
      <c r="H77" s="21"/>
      <c r="I77" s="21"/>
      <c r="J77" s="21"/>
      <c r="K77" s="21"/>
      <c r="L77" s="21"/>
    </row>
    <row r="78" spans="1:12" ht="29" x14ac:dyDescent="0.35">
      <c r="A78" s="21" t="s">
        <v>1059</v>
      </c>
      <c r="B78" s="21" t="s">
        <v>1066</v>
      </c>
      <c r="C78" s="21" t="s">
        <v>1067</v>
      </c>
      <c r="D78" s="21"/>
      <c r="E78" s="21" t="s">
        <v>996</v>
      </c>
      <c r="F78" s="21"/>
      <c r="G78" s="21"/>
      <c r="H78" s="21"/>
      <c r="I78" s="21"/>
      <c r="J78" s="21"/>
      <c r="K78" s="21"/>
      <c r="L78" s="21"/>
    </row>
    <row r="79" spans="1:12" ht="29" x14ac:dyDescent="0.35">
      <c r="A79" s="21" t="s">
        <v>1059</v>
      </c>
      <c r="B79" s="21" t="s">
        <v>1068</v>
      </c>
      <c r="C79" s="21" t="s">
        <v>1069</v>
      </c>
      <c r="D79" s="21"/>
      <c r="E79" s="21" t="s">
        <v>996</v>
      </c>
      <c r="F79" s="21"/>
      <c r="G79" s="21"/>
      <c r="H79" s="21"/>
      <c r="I79" s="21"/>
      <c r="J79" s="21"/>
      <c r="K79" s="21"/>
      <c r="L79" s="21"/>
    </row>
    <row r="80" spans="1:12" ht="29" x14ac:dyDescent="0.35">
      <c r="A80" s="21" t="s">
        <v>1059</v>
      </c>
      <c r="B80" s="21" t="s">
        <v>1070</v>
      </c>
      <c r="C80" s="21" t="s">
        <v>1071</v>
      </c>
      <c r="D80" s="21"/>
      <c r="E80" s="21" t="s">
        <v>996</v>
      </c>
      <c r="F80" s="21"/>
      <c r="G80" s="21"/>
      <c r="H80" s="21"/>
      <c r="I80" s="21"/>
      <c r="J80" s="21"/>
      <c r="K80" s="21"/>
      <c r="L80" s="21"/>
    </row>
    <row r="81" spans="1:12" ht="29" x14ac:dyDescent="0.35">
      <c r="A81" s="21" t="s">
        <v>1072</v>
      </c>
      <c r="B81" s="21" t="s">
        <v>1073</v>
      </c>
      <c r="C81" s="21" t="s">
        <v>1074</v>
      </c>
      <c r="D81" s="21"/>
      <c r="E81" s="21" t="s">
        <v>996</v>
      </c>
      <c r="F81" s="21"/>
      <c r="G81" s="21"/>
      <c r="H81" s="21"/>
      <c r="I81" s="21"/>
      <c r="J81" s="21"/>
      <c r="K81" s="21"/>
      <c r="L81" s="21"/>
    </row>
    <row r="82" spans="1:12" ht="29" x14ac:dyDescent="0.35">
      <c r="A82" s="21" t="s">
        <v>1072</v>
      </c>
      <c r="B82" s="21" t="s">
        <v>1075</v>
      </c>
      <c r="C82" s="21" t="s">
        <v>1076</v>
      </c>
      <c r="D82" s="21"/>
      <c r="E82" s="21" t="s">
        <v>996</v>
      </c>
      <c r="F82" s="21"/>
      <c r="G82" s="21"/>
      <c r="H82" s="21"/>
      <c r="I82" s="21"/>
      <c r="J82" s="21"/>
      <c r="K82" s="21"/>
      <c r="L82" s="21"/>
    </row>
    <row r="83" spans="1:12" ht="29" x14ac:dyDescent="0.35">
      <c r="A83" s="21" t="s">
        <v>1072</v>
      </c>
      <c r="B83" s="21" t="s">
        <v>1077</v>
      </c>
      <c r="C83" s="21" t="s">
        <v>1078</v>
      </c>
      <c r="D83" s="21"/>
      <c r="E83" s="21" t="s">
        <v>996</v>
      </c>
      <c r="F83" s="21"/>
      <c r="G83" s="21"/>
      <c r="H83" s="21"/>
      <c r="I83" s="21"/>
      <c r="J83" s="21"/>
      <c r="K83" s="21"/>
      <c r="L83" s="21"/>
    </row>
    <row r="84" spans="1:12" ht="29" x14ac:dyDescent="0.35">
      <c r="A84" s="21" t="s">
        <v>1072</v>
      </c>
      <c r="B84" s="21" t="s">
        <v>1079</v>
      </c>
      <c r="C84" s="21" t="s">
        <v>1080</v>
      </c>
      <c r="D84" s="21"/>
      <c r="E84" s="21" t="s">
        <v>996</v>
      </c>
      <c r="F84" s="21"/>
      <c r="G84" s="21"/>
      <c r="H84" s="21"/>
      <c r="I84" s="21"/>
      <c r="J84" s="21"/>
      <c r="K84" s="21"/>
      <c r="L84" s="21"/>
    </row>
    <row r="85" spans="1:12" ht="29" x14ac:dyDescent="0.35">
      <c r="A85" s="21" t="s">
        <v>1072</v>
      </c>
      <c r="B85" s="21" t="s">
        <v>1081</v>
      </c>
      <c r="C85" s="21" t="s">
        <v>1082</v>
      </c>
      <c r="D85" s="21"/>
      <c r="E85" s="21" t="s">
        <v>996</v>
      </c>
      <c r="F85" s="21"/>
      <c r="G85" s="21"/>
      <c r="H85" s="21"/>
      <c r="I85" s="21"/>
      <c r="J85" s="21"/>
      <c r="K85" s="21"/>
      <c r="L85" s="21"/>
    </row>
    <row r="86" spans="1:12" ht="29" x14ac:dyDescent="0.35">
      <c r="A86" s="21" t="s">
        <v>1072</v>
      </c>
      <c r="B86" s="21" t="s">
        <v>1083</v>
      </c>
      <c r="C86" s="21" t="s">
        <v>1084</v>
      </c>
      <c r="D86" s="21"/>
      <c r="E86" s="21" t="s">
        <v>996</v>
      </c>
      <c r="F86" s="21"/>
      <c r="G86" s="21"/>
      <c r="H86" s="21"/>
      <c r="I86" s="21"/>
      <c r="J86" s="21"/>
      <c r="K86" s="21"/>
      <c r="L86" s="21"/>
    </row>
    <row r="87" spans="1:12" ht="29" x14ac:dyDescent="0.35">
      <c r="A87" s="21" t="s">
        <v>1085</v>
      </c>
      <c r="B87" s="21" t="s">
        <v>1086</v>
      </c>
      <c r="C87" s="21" t="s">
        <v>1087</v>
      </c>
      <c r="D87" s="21"/>
      <c r="E87" s="21" t="s">
        <v>996</v>
      </c>
      <c r="F87" s="21"/>
      <c r="G87" s="21"/>
      <c r="H87" s="21"/>
      <c r="I87" s="21"/>
      <c r="J87" s="21"/>
      <c r="K87" s="21"/>
      <c r="L87" s="21"/>
    </row>
    <row r="88" spans="1:12" ht="29" x14ac:dyDescent="0.35">
      <c r="A88" s="21" t="s">
        <v>1085</v>
      </c>
      <c r="B88" s="21" t="s">
        <v>1088</v>
      </c>
      <c r="C88" s="21" t="s">
        <v>1089</v>
      </c>
      <c r="D88" s="21"/>
      <c r="E88" s="21" t="s">
        <v>996</v>
      </c>
      <c r="F88" s="21"/>
      <c r="G88" s="21"/>
      <c r="H88" s="21"/>
      <c r="I88" s="21"/>
      <c r="J88" s="21"/>
      <c r="K88" s="21"/>
      <c r="L88" s="21"/>
    </row>
    <row r="89" spans="1:12" ht="29" x14ac:dyDescent="0.35">
      <c r="A89" s="21" t="s">
        <v>1085</v>
      </c>
      <c r="B89" s="21" t="s">
        <v>1090</v>
      </c>
      <c r="C89" s="21" t="s">
        <v>1091</v>
      </c>
      <c r="D89" s="21"/>
      <c r="E89" s="21" t="s">
        <v>996</v>
      </c>
      <c r="F89" s="21"/>
      <c r="G89" s="21"/>
      <c r="H89" s="21"/>
      <c r="I89" s="21"/>
      <c r="J89" s="21"/>
      <c r="K89" s="21"/>
      <c r="L89" s="21"/>
    </row>
    <row r="90" spans="1:12" ht="29" x14ac:dyDescent="0.35">
      <c r="A90" s="21" t="s">
        <v>1085</v>
      </c>
      <c r="B90" s="21" t="s">
        <v>1092</v>
      </c>
      <c r="C90" s="21" t="s">
        <v>1093</v>
      </c>
      <c r="D90" s="21"/>
      <c r="E90" s="21" t="s">
        <v>996</v>
      </c>
      <c r="F90" s="21"/>
      <c r="G90" s="21"/>
      <c r="H90" s="21"/>
      <c r="I90" s="21"/>
      <c r="J90" s="21"/>
      <c r="K90" s="21"/>
      <c r="L90" s="21"/>
    </row>
    <row r="91" spans="1:12" ht="29" x14ac:dyDescent="0.35">
      <c r="A91" s="21" t="s">
        <v>1085</v>
      </c>
      <c r="B91" s="21" t="s">
        <v>1094</v>
      </c>
      <c r="C91" s="21" t="s">
        <v>1095</v>
      </c>
      <c r="D91" s="21"/>
      <c r="E91" s="21" t="s">
        <v>996</v>
      </c>
      <c r="F91" s="21"/>
      <c r="G91" s="21"/>
      <c r="H91" s="21"/>
      <c r="I91" s="21"/>
      <c r="J91" s="21"/>
      <c r="K91" s="21"/>
      <c r="L91" s="21"/>
    </row>
    <row r="92" spans="1:12" ht="29" x14ac:dyDescent="0.35">
      <c r="A92" s="21" t="s">
        <v>1085</v>
      </c>
      <c r="B92" s="21" t="s">
        <v>1096</v>
      </c>
      <c r="C92" s="21" t="s">
        <v>1097</v>
      </c>
      <c r="D92" s="21"/>
      <c r="E92" s="21" t="s">
        <v>996</v>
      </c>
      <c r="F92" s="21"/>
      <c r="G92" s="21"/>
      <c r="H92" s="21"/>
      <c r="I92" s="21"/>
      <c r="J92" s="21"/>
      <c r="K92" s="21"/>
      <c r="L92" s="21"/>
    </row>
    <row r="93" spans="1:12" ht="29" x14ac:dyDescent="0.35">
      <c r="A93" s="21" t="s">
        <v>1098</v>
      </c>
      <c r="B93" s="21" t="s">
        <v>1099</v>
      </c>
      <c r="C93" s="21" t="s">
        <v>1100</v>
      </c>
      <c r="D93" s="21"/>
      <c r="E93" s="21" t="s">
        <v>996</v>
      </c>
      <c r="F93" s="21"/>
      <c r="G93" s="21"/>
      <c r="H93" s="21"/>
      <c r="I93" s="21"/>
      <c r="J93" s="21"/>
      <c r="K93" s="21"/>
      <c r="L93" s="21"/>
    </row>
    <row r="94" spans="1:12" ht="29" x14ac:dyDescent="0.35">
      <c r="A94" s="21" t="s">
        <v>1098</v>
      </c>
      <c r="B94" s="21" t="s">
        <v>1101</v>
      </c>
      <c r="C94" s="21" t="s">
        <v>1102</v>
      </c>
      <c r="D94" s="21"/>
      <c r="E94" s="21" t="s">
        <v>996</v>
      </c>
      <c r="F94" s="21"/>
      <c r="G94" s="21"/>
      <c r="H94" s="21"/>
      <c r="I94" s="21"/>
      <c r="J94" s="21"/>
      <c r="K94" s="21"/>
      <c r="L94" s="21"/>
    </row>
    <row r="95" spans="1:12" ht="29" x14ac:dyDescent="0.35">
      <c r="A95" s="21" t="s">
        <v>1098</v>
      </c>
      <c r="B95" s="21" t="s">
        <v>1103</v>
      </c>
      <c r="C95" s="21" t="s">
        <v>1104</v>
      </c>
      <c r="D95" s="21"/>
      <c r="E95" s="21" t="s">
        <v>996</v>
      </c>
      <c r="F95" s="21"/>
      <c r="G95" s="21"/>
      <c r="H95" s="21"/>
      <c r="I95" s="21"/>
      <c r="J95" s="21"/>
      <c r="K95" s="21"/>
      <c r="L95" s="21"/>
    </row>
    <row r="96" spans="1:12" ht="29" x14ac:dyDescent="0.35">
      <c r="A96" s="21" t="s">
        <v>1098</v>
      </c>
      <c r="B96" s="21" t="s">
        <v>1105</v>
      </c>
      <c r="C96" s="21" t="s">
        <v>1106</v>
      </c>
      <c r="D96" s="21"/>
      <c r="E96" s="21" t="s">
        <v>996</v>
      </c>
      <c r="F96" s="21"/>
      <c r="G96" s="21"/>
      <c r="H96" s="21"/>
      <c r="I96" s="21"/>
      <c r="J96" s="21"/>
      <c r="K96" s="21"/>
      <c r="L96" s="21"/>
    </row>
    <row r="97" spans="1:12" ht="29" x14ac:dyDescent="0.35">
      <c r="A97" s="21" t="s">
        <v>1098</v>
      </c>
      <c r="B97" s="21" t="s">
        <v>1107</v>
      </c>
      <c r="C97" s="21" t="s">
        <v>1108</v>
      </c>
      <c r="D97" s="21"/>
      <c r="E97" s="21" t="s">
        <v>996</v>
      </c>
      <c r="F97" s="21"/>
      <c r="G97" s="21"/>
      <c r="H97" s="21"/>
      <c r="I97" s="21"/>
      <c r="J97" s="21"/>
      <c r="K97" s="21"/>
      <c r="L97" s="21"/>
    </row>
    <row r="98" spans="1:12" ht="29" x14ac:dyDescent="0.35">
      <c r="A98" s="21" t="s">
        <v>1098</v>
      </c>
      <c r="B98" s="21" t="s">
        <v>1109</v>
      </c>
      <c r="C98" s="21" t="s">
        <v>1110</v>
      </c>
      <c r="D98" s="21"/>
      <c r="E98" s="21" t="s">
        <v>996</v>
      </c>
      <c r="F98" s="21"/>
      <c r="G98" s="21"/>
      <c r="H98" s="21"/>
      <c r="I98" s="21"/>
      <c r="J98" s="21"/>
      <c r="K98" s="21"/>
      <c r="L98" s="21"/>
    </row>
    <row r="99" spans="1:12" ht="29" x14ac:dyDescent="0.35">
      <c r="A99" s="21" t="s">
        <v>1111</v>
      </c>
      <c r="B99" s="21" t="s">
        <v>1112</v>
      </c>
      <c r="C99" s="21" t="s">
        <v>1113</v>
      </c>
      <c r="D99" s="21"/>
      <c r="E99" s="21" t="s">
        <v>1114</v>
      </c>
      <c r="F99" s="21"/>
      <c r="G99" s="21"/>
      <c r="H99" s="21"/>
      <c r="I99" s="21"/>
      <c r="J99" s="21"/>
      <c r="K99" s="21"/>
      <c r="L99" s="21"/>
    </row>
    <row r="100" spans="1:12" ht="29" x14ac:dyDescent="0.35">
      <c r="A100" s="21" t="s">
        <v>1111</v>
      </c>
      <c r="B100" s="21" t="s">
        <v>1115</v>
      </c>
      <c r="C100" s="21" t="s">
        <v>1116</v>
      </c>
      <c r="D100" s="21"/>
      <c r="E100" s="21" t="s">
        <v>1114</v>
      </c>
      <c r="F100" s="21"/>
      <c r="G100" s="21"/>
      <c r="H100" s="21"/>
      <c r="I100" s="21"/>
      <c r="J100" s="21"/>
      <c r="K100" s="21"/>
      <c r="L100" s="21"/>
    </row>
    <row r="101" spans="1:12" ht="29" x14ac:dyDescent="0.35">
      <c r="A101" s="21" t="s">
        <v>1111</v>
      </c>
      <c r="B101" s="21" t="s">
        <v>1117</v>
      </c>
      <c r="C101" s="21" t="s">
        <v>1118</v>
      </c>
      <c r="D101" s="21"/>
      <c r="E101" s="21" t="s">
        <v>1114</v>
      </c>
      <c r="F101" s="21"/>
      <c r="G101" s="21"/>
      <c r="H101" s="21"/>
      <c r="I101" s="21"/>
      <c r="J101" s="21"/>
      <c r="K101" s="21"/>
      <c r="L101" s="21"/>
    </row>
    <row r="102" spans="1:12" ht="29" x14ac:dyDescent="0.35">
      <c r="A102" s="21" t="s">
        <v>1111</v>
      </c>
      <c r="B102" s="21" t="s">
        <v>1119</v>
      </c>
      <c r="C102" s="21" t="s">
        <v>1120</v>
      </c>
      <c r="D102" s="21"/>
      <c r="E102" s="21" t="s">
        <v>1114</v>
      </c>
      <c r="F102" s="21"/>
      <c r="G102" s="21"/>
      <c r="H102" s="21"/>
      <c r="I102" s="21"/>
      <c r="J102" s="21"/>
      <c r="K102" s="21"/>
      <c r="L102" s="21"/>
    </row>
    <row r="103" spans="1:12" ht="29" x14ac:dyDescent="0.35">
      <c r="A103" s="21" t="s">
        <v>1111</v>
      </c>
      <c r="B103" s="21" t="s">
        <v>1121</v>
      </c>
      <c r="C103" s="21" t="s">
        <v>1122</v>
      </c>
      <c r="D103" s="21"/>
      <c r="E103" s="21" t="s">
        <v>1114</v>
      </c>
      <c r="F103" s="21"/>
      <c r="G103" s="21"/>
      <c r="H103" s="21"/>
      <c r="I103" s="21"/>
      <c r="J103" s="21"/>
      <c r="K103" s="21"/>
      <c r="L103" s="21"/>
    </row>
    <row r="104" spans="1:12" ht="29" x14ac:dyDescent="0.35">
      <c r="A104" s="21" t="s">
        <v>1111</v>
      </c>
      <c r="B104" s="21" t="s">
        <v>1123</v>
      </c>
      <c r="C104" s="21" t="s">
        <v>1124</v>
      </c>
      <c r="D104" s="21"/>
      <c r="E104" s="21" t="s">
        <v>1114</v>
      </c>
      <c r="F104" s="21"/>
      <c r="G104" s="21"/>
      <c r="H104" s="21"/>
      <c r="I104" s="21"/>
      <c r="J104" s="21"/>
      <c r="K104" s="21"/>
      <c r="L104" s="21"/>
    </row>
    <row r="105" spans="1:12" ht="29" x14ac:dyDescent="0.35">
      <c r="A105" s="21" t="s">
        <v>1125</v>
      </c>
      <c r="B105" s="21" t="s">
        <v>1126</v>
      </c>
      <c r="C105" s="21" t="s">
        <v>1127</v>
      </c>
      <c r="D105" s="21"/>
      <c r="E105" s="21" t="s">
        <v>1114</v>
      </c>
      <c r="F105" s="21"/>
      <c r="G105" s="21"/>
      <c r="H105" s="21"/>
      <c r="I105" s="21"/>
      <c r="J105" s="21"/>
      <c r="K105" s="21"/>
      <c r="L105" s="21"/>
    </row>
    <row r="106" spans="1:12" ht="29" x14ac:dyDescent="0.35">
      <c r="A106" s="21" t="s">
        <v>1125</v>
      </c>
      <c r="B106" s="21" t="s">
        <v>1128</v>
      </c>
      <c r="C106" s="21" t="s">
        <v>1129</v>
      </c>
      <c r="D106" s="21"/>
      <c r="E106" s="21" t="s">
        <v>1114</v>
      </c>
      <c r="F106" s="21"/>
      <c r="G106" s="21"/>
      <c r="H106" s="21"/>
      <c r="I106" s="21"/>
      <c r="J106" s="21"/>
      <c r="K106" s="21"/>
      <c r="L106" s="21"/>
    </row>
    <row r="107" spans="1:12" ht="43.5" x14ac:dyDescent="0.35">
      <c r="A107" s="21" t="s">
        <v>1125</v>
      </c>
      <c r="B107" s="21" t="s">
        <v>1130</v>
      </c>
      <c r="C107" s="21" t="s">
        <v>1131</v>
      </c>
      <c r="D107" s="21"/>
      <c r="E107" s="21" t="s">
        <v>1114</v>
      </c>
      <c r="F107" s="21"/>
      <c r="G107" s="21"/>
      <c r="H107" s="21"/>
      <c r="I107" s="21"/>
      <c r="J107" s="21"/>
      <c r="K107" s="21"/>
      <c r="L107" s="21"/>
    </row>
    <row r="108" spans="1:12" ht="29" x14ac:dyDescent="0.35">
      <c r="A108" s="21" t="s">
        <v>1125</v>
      </c>
      <c r="B108" s="21" t="s">
        <v>1132</v>
      </c>
      <c r="C108" s="21" t="s">
        <v>1133</v>
      </c>
      <c r="D108" s="21"/>
      <c r="E108" s="21" t="s">
        <v>1114</v>
      </c>
      <c r="F108" s="21"/>
      <c r="G108" s="21"/>
      <c r="H108" s="21"/>
      <c r="I108" s="21"/>
      <c r="J108" s="21"/>
      <c r="K108" s="21"/>
      <c r="L108" s="21"/>
    </row>
    <row r="109" spans="1:12" ht="29" x14ac:dyDescent="0.35">
      <c r="A109" s="21" t="s">
        <v>1125</v>
      </c>
      <c r="B109" s="21" t="s">
        <v>1134</v>
      </c>
      <c r="C109" s="21" t="s">
        <v>1135</v>
      </c>
      <c r="D109" s="21"/>
      <c r="E109" s="21" t="s">
        <v>1114</v>
      </c>
      <c r="F109" s="21"/>
      <c r="G109" s="21"/>
      <c r="H109" s="21"/>
      <c r="I109" s="21"/>
      <c r="J109" s="21"/>
      <c r="K109" s="21"/>
      <c r="L109" s="21"/>
    </row>
    <row r="110" spans="1:12" ht="29" x14ac:dyDescent="0.35">
      <c r="A110" s="21" t="s">
        <v>1125</v>
      </c>
      <c r="B110" s="21" t="s">
        <v>1136</v>
      </c>
      <c r="C110" s="21" t="s">
        <v>1137</v>
      </c>
      <c r="D110" s="21"/>
      <c r="E110" s="21" t="s">
        <v>1114</v>
      </c>
      <c r="F110" s="21"/>
      <c r="G110" s="21"/>
      <c r="H110" s="21"/>
      <c r="I110" s="21"/>
      <c r="J110" s="21"/>
      <c r="K110" s="21"/>
      <c r="L110" s="21"/>
    </row>
    <row r="111" spans="1:12" ht="29" x14ac:dyDescent="0.35">
      <c r="A111" s="21" t="s">
        <v>1138</v>
      </c>
      <c r="B111" s="21" t="s">
        <v>1139</v>
      </c>
      <c r="C111" s="21" t="s">
        <v>1140</v>
      </c>
      <c r="D111" s="21"/>
      <c r="E111" s="21" t="s">
        <v>996</v>
      </c>
      <c r="F111" s="21"/>
      <c r="G111" s="21"/>
      <c r="H111" s="21"/>
      <c r="I111" s="21"/>
      <c r="J111" s="21"/>
      <c r="K111" s="21"/>
      <c r="L111" s="21"/>
    </row>
    <row r="112" spans="1:12" ht="29" x14ac:dyDescent="0.35">
      <c r="A112" s="21" t="s">
        <v>1138</v>
      </c>
      <c r="B112" s="21" t="s">
        <v>1141</v>
      </c>
      <c r="C112" s="21" t="s">
        <v>1142</v>
      </c>
      <c r="D112" s="21"/>
      <c r="E112" s="21" t="s">
        <v>996</v>
      </c>
      <c r="F112" s="21"/>
      <c r="G112" s="21"/>
      <c r="H112" s="21"/>
      <c r="I112" s="21"/>
      <c r="J112" s="21"/>
      <c r="K112" s="21"/>
      <c r="L112" s="21"/>
    </row>
    <row r="113" spans="1:12" ht="29" x14ac:dyDescent="0.35">
      <c r="A113" s="21" t="s">
        <v>1138</v>
      </c>
      <c r="B113" s="21" t="s">
        <v>1143</v>
      </c>
      <c r="C113" s="21" t="s">
        <v>1144</v>
      </c>
      <c r="D113" s="21"/>
      <c r="E113" s="21" t="s">
        <v>996</v>
      </c>
      <c r="F113" s="21"/>
      <c r="G113" s="21"/>
      <c r="H113" s="21"/>
      <c r="I113" s="21"/>
      <c r="J113" s="21"/>
      <c r="K113" s="21"/>
      <c r="L113" s="21"/>
    </row>
    <row r="114" spans="1:12" ht="29" x14ac:dyDescent="0.35">
      <c r="A114" s="21" t="s">
        <v>1138</v>
      </c>
      <c r="B114" s="21" t="s">
        <v>1145</v>
      </c>
      <c r="C114" s="21" t="s">
        <v>1146</v>
      </c>
      <c r="D114" s="21"/>
      <c r="E114" s="21" t="s">
        <v>996</v>
      </c>
      <c r="F114" s="21"/>
      <c r="G114" s="21"/>
      <c r="H114" s="21"/>
      <c r="I114" s="21"/>
      <c r="J114" s="21"/>
      <c r="K114" s="21"/>
      <c r="L114" s="21"/>
    </row>
    <row r="115" spans="1:12" ht="29" x14ac:dyDescent="0.35">
      <c r="A115" s="21" t="s">
        <v>1138</v>
      </c>
      <c r="B115" s="21" t="s">
        <v>1147</v>
      </c>
      <c r="C115" s="21" t="s">
        <v>1148</v>
      </c>
      <c r="D115" s="21"/>
      <c r="E115" s="21" t="s">
        <v>996</v>
      </c>
      <c r="F115" s="21"/>
      <c r="G115" s="21"/>
      <c r="H115" s="21"/>
      <c r="I115" s="21"/>
      <c r="J115" s="21"/>
      <c r="K115" s="21"/>
      <c r="L115" s="21"/>
    </row>
    <row r="116" spans="1:12" ht="29" x14ac:dyDescent="0.35">
      <c r="A116" s="21" t="s">
        <v>1138</v>
      </c>
      <c r="B116" s="21" t="s">
        <v>1149</v>
      </c>
      <c r="C116" s="21" t="s">
        <v>1150</v>
      </c>
      <c r="D116" s="21"/>
      <c r="E116" s="21" t="s">
        <v>996</v>
      </c>
      <c r="F116" s="21"/>
      <c r="G116" s="21"/>
      <c r="H116" s="21"/>
      <c r="I116" s="21"/>
      <c r="J116" s="21"/>
      <c r="K116" s="21"/>
      <c r="L116" s="21"/>
    </row>
    <row r="117" spans="1:12" ht="29" x14ac:dyDescent="0.35">
      <c r="A117" s="21" t="s">
        <v>1151</v>
      </c>
      <c r="B117" s="21" t="s">
        <v>1152</v>
      </c>
      <c r="C117" s="21" t="s">
        <v>1153</v>
      </c>
      <c r="D117" s="21"/>
      <c r="E117" s="21" t="s">
        <v>996</v>
      </c>
      <c r="F117" s="21"/>
      <c r="G117" s="21"/>
      <c r="H117" s="21"/>
      <c r="I117" s="21"/>
      <c r="J117" s="21"/>
      <c r="K117" s="21"/>
      <c r="L117" s="21"/>
    </row>
    <row r="118" spans="1:12" ht="29" x14ac:dyDescent="0.35">
      <c r="A118" s="21" t="s">
        <v>1151</v>
      </c>
      <c r="B118" s="21" t="s">
        <v>1154</v>
      </c>
      <c r="C118" s="21" t="s">
        <v>1155</v>
      </c>
      <c r="D118" s="21"/>
      <c r="E118" s="21" t="s">
        <v>996</v>
      </c>
      <c r="F118" s="21"/>
      <c r="G118" s="21"/>
      <c r="H118" s="21"/>
      <c r="I118" s="21"/>
      <c r="J118" s="21"/>
      <c r="K118" s="21"/>
      <c r="L118" s="21"/>
    </row>
    <row r="119" spans="1:12" ht="29" x14ac:dyDescent="0.35">
      <c r="A119" s="21" t="s">
        <v>1151</v>
      </c>
      <c r="B119" s="21" t="s">
        <v>1156</v>
      </c>
      <c r="C119" s="21" t="s">
        <v>1157</v>
      </c>
      <c r="D119" s="21"/>
      <c r="E119" s="21" t="s">
        <v>996</v>
      </c>
      <c r="F119" s="21"/>
      <c r="G119" s="21"/>
      <c r="H119" s="21"/>
      <c r="I119" s="21"/>
      <c r="J119" s="21"/>
      <c r="K119" s="21"/>
      <c r="L119" s="21"/>
    </row>
    <row r="120" spans="1:12" ht="29" x14ac:dyDescent="0.35">
      <c r="A120" s="21" t="s">
        <v>1151</v>
      </c>
      <c r="B120" s="21" t="s">
        <v>1158</v>
      </c>
      <c r="C120" s="21" t="s">
        <v>1159</v>
      </c>
      <c r="D120" s="21"/>
      <c r="E120" s="21" t="s">
        <v>996</v>
      </c>
      <c r="F120" s="21"/>
      <c r="G120" s="21"/>
      <c r="H120" s="21"/>
      <c r="I120" s="21"/>
      <c r="J120" s="21"/>
      <c r="K120" s="21"/>
      <c r="L120" s="21"/>
    </row>
    <row r="121" spans="1:12" ht="29" x14ac:dyDescent="0.35">
      <c r="A121" s="21" t="s">
        <v>1151</v>
      </c>
      <c r="B121" s="21" t="s">
        <v>1160</v>
      </c>
      <c r="C121" s="21" t="s">
        <v>1161</v>
      </c>
      <c r="D121" s="21"/>
      <c r="E121" s="21" t="s">
        <v>996</v>
      </c>
      <c r="F121" s="21"/>
      <c r="G121" s="21"/>
      <c r="H121" s="21"/>
      <c r="I121" s="21"/>
      <c r="J121" s="21"/>
      <c r="K121" s="21"/>
      <c r="L121" s="21"/>
    </row>
    <row r="122" spans="1:12" ht="29" x14ac:dyDescent="0.35">
      <c r="A122" s="21" t="s">
        <v>1151</v>
      </c>
      <c r="B122" s="21" t="s">
        <v>1162</v>
      </c>
      <c r="C122" s="21" t="s">
        <v>1163</v>
      </c>
      <c r="D122" s="21"/>
      <c r="E122" s="21" t="s">
        <v>996</v>
      </c>
      <c r="F122" s="21"/>
      <c r="G122" s="21"/>
      <c r="H122" s="21"/>
      <c r="I122" s="21"/>
      <c r="J122" s="21"/>
      <c r="K122" s="21"/>
      <c r="L122" s="21"/>
    </row>
    <row r="123" spans="1:12" ht="29" x14ac:dyDescent="0.35">
      <c r="A123" s="21" t="s">
        <v>432</v>
      </c>
      <c r="B123" s="21" t="s">
        <v>1164</v>
      </c>
      <c r="C123" s="21" t="s">
        <v>1165</v>
      </c>
      <c r="D123" s="21"/>
      <c r="E123" s="21" t="s">
        <v>1114</v>
      </c>
      <c r="F123" s="21"/>
      <c r="G123" s="21"/>
      <c r="H123" s="21"/>
      <c r="I123" s="21"/>
      <c r="J123" s="21"/>
      <c r="K123" s="21"/>
      <c r="L123" s="21"/>
    </row>
    <row r="124" spans="1:12" ht="29" x14ac:dyDescent="0.35">
      <c r="A124" s="21" t="s">
        <v>432</v>
      </c>
      <c r="B124" s="21" t="s">
        <v>1166</v>
      </c>
      <c r="C124" s="21" t="s">
        <v>1167</v>
      </c>
      <c r="D124" s="21"/>
      <c r="E124" s="21" t="s">
        <v>1114</v>
      </c>
      <c r="F124" s="21"/>
      <c r="G124" s="21"/>
      <c r="H124" s="21"/>
      <c r="I124" s="21"/>
      <c r="J124" s="21"/>
      <c r="K124" s="21"/>
      <c r="L124" s="21"/>
    </row>
    <row r="125" spans="1:12" ht="29" x14ac:dyDescent="0.35">
      <c r="A125" s="21" t="s">
        <v>432</v>
      </c>
      <c r="B125" s="21" t="s">
        <v>1168</v>
      </c>
      <c r="C125" s="21" t="s">
        <v>1169</v>
      </c>
      <c r="D125" s="21"/>
      <c r="E125" s="21" t="s">
        <v>1114</v>
      </c>
      <c r="F125" s="21"/>
      <c r="G125" s="21"/>
      <c r="H125" s="21"/>
      <c r="I125" s="21"/>
      <c r="J125" s="21"/>
      <c r="K125" s="21"/>
      <c r="L125" s="21"/>
    </row>
    <row r="126" spans="1:12" ht="29" x14ac:dyDescent="0.35">
      <c r="A126" s="21" t="s">
        <v>432</v>
      </c>
      <c r="B126" s="21" t="s">
        <v>1170</v>
      </c>
      <c r="C126" s="21" t="s">
        <v>1171</v>
      </c>
      <c r="D126" s="21"/>
      <c r="E126" s="21" t="s">
        <v>1114</v>
      </c>
      <c r="F126" s="21"/>
      <c r="G126" s="21"/>
      <c r="H126" s="21"/>
      <c r="I126" s="21"/>
      <c r="J126" s="21"/>
      <c r="K126" s="21"/>
      <c r="L126" s="21"/>
    </row>
    <row r="127" spans="1:12" ht="29" x14ac:dyDescent="0.35">
      <c r="A127" s="21" t="s">
        <v>432</v>
      </c>
      <c r="B127" s="21" t="s">
        <v>1172</v>
      </c>
      <c r="C127" s="21" t="s">
        <v>1173</v>
      </c>
      <c r="D127" s="21"/>
      <c r="E127" s="21" t="s">
        <v>1114</v>
      </c>
      <c r="F127" s="21"/>
      <c r="G127" s="21"/>
      <c r="H127" s="21"/>
      <c r="I127" s="21"/>
      <c r="J127" s="21"/>
      <c r="K127" s="21"/>
      <c r="L127" s="21"/>
    </row>
    <row r="128" spans="1:12" ht="29" x14ac:dyDescent="0.35">
      <c r="A128" s="21" t="s">
        <v>432</v>
      </c>
      <c r="B128" s="21" t="s">
        <v>1174</v>
      </c>
      <c r="C128" s="21" t="s">
        <v>1175</v>
      </c>
      <c r="D128" s="21"/>
      <c r="E128" s="21" t="s">
        <v>1114</v>
      </c>
      <c r="F128" s="21"/>
      <c r="G128" s="21"/>
      <c r="H128" s="21"/>
      <c r="I128" s="21"/>
      <c r="J128" s="21"/>
      <c r="K128" s="21"/>
      <c r="L128" s="21"/>
    </row>
    <row r="129" spans="1:12" ht="29" x14ac:dyDescent="0.35">
      <c r="A129" s="21" t="s">
        <v>1176</v>
      </c>
      <c r="B129" s="21" t="s">
        <v>1177</v>
      </c>
      <c r="C129" s="21" t="s">
        <v>1178</v>
      </c>
      <c r="D129" s="21"/>
      <c r="E129" s="21" t="s">
        <v>996</v>
      </c>
      <c r="F129" s="21"/>
      <c r="G129" s="21"/>
      <c r="H129" s="21"/>
      <c r="I129" s="21"/>
      <c r="J129" s="21"/>
      <c r="K129" s="21"/>
      <c r="L129" s="21"/>
    </row>
    <row r="130" spans="1:12" ht="29" x14ac:dyDescent="0.35">
      <c r="A130" s="21" t="s">
        <v>1176</v>
      </c>
      <c r="B130" s="21" t="s">
        <v>1179</v>
      </c>
      <c r="C130" s="21" t="s">
        <v>1180</v>
      </c>
      <c r="D130" s="21"/>
      <c r="E130" s="21" t="s">
        <v>996</v>
      </c>
      <c r="F130" s="21"/>
      <c r="G130" s="21"/>
      <c r="H130" s="21"/>
      <c r="I130" s="21"/>
      <c r="J130" s="21"/>
      <c r="K130" s="21"/>
      <c r="L130" s="21"/>
    </row>
    <row r="131" spans="1:12" ht="29" x14ac:dyDescent="0.35">
      <c r="A131" s="21" t="s">
        <v>1176</v>
      </c>
      <c r="B131" s="21" t="s">
        <v>1181</v>
      </c>
      <c r="C131" s="21" t="s">
        <v>1182</v>
      </c>
      <c r="D131" s="21"/>
      <c r="E131" s="21" t="s">
        <v>996</v>
      </c>
      <c r="F131" s="21"/>
      <c r="G131" s="21"/>
      <c r="H131" s="21"/>
      <c r="I131" s="21"/>
      <c r="J131" s="21"/>
      <c r="K131" s="21"/>
      <c r="L131" s="21"/>
    </row>
    <row r="132" spans="1:12" ht="29" x14ac:dyDescent="0.35">
      <c r="A132" s="21" t="s">
        <v>1176</v>
      </c>
      <c r="B132" s="21" t="s">
        <v>1183</v>
      </c>
      <c r="C132" s="21" t="s">
        <v>1184</v>
      </c>
      <c r="D132" s="21"/>
      <c r="E132" s="21" t="s">
        <v>996</v>
      </c>
      <c r="F132" s="21"/>
      <c r="G132" s="21"/>
      <c r="H132" s="21"/>
      <c r="I132" s="21"/>
      <c r="J132" s="21"/>
      <c r="K132" s="21"/>
      <c r="L132" s="21"/>
    </row>
    <row r="133" spans="1:12" ht="29" x14ac:dyDescent="0.35">
      <c r="A133" s="21" t="s">
        <v>1176</v>
      </c>
      <c r="B133" s="21" t="s">
        <v>1185</v>
      </c>
      <c r="C133" s="21" t="s">
        <v>1186</v>
      </c>
      <c r="D133" s="21"/>
      <c r="E133" s="21" t="s">
        <v>996</v>
      </c>
      <c r="F133" s="21"/>
      <c r="G133" s="21"/>
      <c r="H133" s="21"/>
      <c r="I133" s="21"/>
      <c r="J133" s="21"/>
      <c r="K133" s="21"/>
      <c r="L133" s="21"/>
    </row>
    <row r="134" spans="1:12" ht="29" x14ac:dyDescent="0.35">
      <c r="A134" s="21" t="s">
        <v>1176</v>
      </c>
      <c r="B134" s="21" t="s">
        <v>1187</v>
      </c>
      <c r="C134" s="21" t="s">
        <v>1188</v>
      </c>
      <c r="D134" s="21"/>
      <c r="E134" s="21" t="s">
        <v>996</v>
      </c>
      <c r="F134" s="21"/>
      <c r="G134" s="21"/>
      <c r="H134" s="21"/>
      <c r="I134" s="21"/>
      <c r="J134" s="21"/>
      <c r="K134" s="21"/>
      <c r="L134" s="21"/>
    </row>
    <row r="135" spans="1:12" ht="29" x14ac:dyDescent="0.35">
      <c r="A135" s="21" t="s">
        <v>1189</v>
      </c>
      <c r="B135" s="21" t="s">
        <v>1190</v>
      </c>
      <c r="C135" s="21" t="s">
        <v>1191</v>
      </c>
      <c r="D135" s="21"/>
      <c r="E135" s="21" t="s">
        <v>996</v>
      </c>
      <c r="F135" s="21"/>
      <c r="G135" s="21"/>
      <c r="H135" s="21"/>
      <c r="I135" s="21"/>
      <c r="J135" s="21"/>
      <c r="K135" s="21"/>
      <c r="L135" s="21"/>
    </row>
    <row r="136" spans="1:12" ht="29" x14ac:dyDescent="0.35">
      <c r="A136" s="21" t="s">
        <v>1189</v>
      </c>
      <c r="B136" s="21" t="s">
        <v>1192</v>
      </c>
      <c r="C136" s="21" t="s">
        <v>1193</v>
      </c>
      <c r="D136" s="21"/>
      <c r="E136" s="21" t="s">
        <v>996</v>
      </c>
      <c r="F136" s="21"/>
      <c r="G136" s="21"/>
      <c r="H136" s="21"/>
      <c r="I136" s="21"/>
      <c r="J136" s="21"/>
      <c r="K136" s="21"/>
      <c r="L136" s="21"/>
    </row>
    <row r="137" spans="1:12" ht="29" x14ac:dyDescent="0.35">
      <c r="A137" s="21" t="s">
        <v>1189</v>
      </c>
      <c r="B137" s="21" t="s">
        <v>1194</v>
      </c>
      <c r="C137" s="21" t="s">
        <v>1195</v>
      </c>
      <c r="D137" s="21"/>
      <c r="E137" s="21" t="s">
        <v>996</v>
      </c>
      <c r="F137" s="21"/>
      <c r="G137" s="21"/>
      <c r="H137" s="21"/>
      <c r="I137" s="21"/>
      <c r="J137" s="21"/>
      <c r="K137" s="21"/>
      <c r="L137" s="21"/>
    </row>
    <row r="138" spans="1:12" ht="29" x14ac:dyDescent="0.35">
      <c r="A138" s="21" t="s">
        <v>1189</v>
      </c>
      <c r="B138" s="21" t="s">
        <v>1196</v>
      </c>
      <c r="C138" s="21" t="s">
        <v>1197</v>
      </c>
      <c r="D138" s="21"/>
      <c r="E138" s="21" t="s">
        <v>996</v>
      </c>
      <c r="F138" s="21"/>
      <c r="G138" s="21"/>
      <c r="H138" s="21"/>
      <c r="I138" s="21"/>
      <c r="J138" s="21"/>
      <c r="K138" s="21"/>
      <c r="L138" s="21"/>
    </row>
    <row r="139" spans="1:12" ht="29" x14ac:dyDescent="0.35">
      <c r="A139" s="21" t="s">
        <v>1189</v>
      </c>
      <c r="B139" s="21" t="s">
        <v>1198</v>
      </c>
      <c r="C139" s="21" t="s">
        <v>1199</v>
      </c>
      <c r="D139" s="21"/>
      <c r="E139" s="21" t="s">
        <v>996</v>
      </c>
      <c r="F139" s="21"/>
      <c r="G139" s="21"/>
      <c r="H139" s="21"/>
      <c r="I139" s="21"/>
      <c r="J139" s="21"/>
      <c r="K139" s="21"/>
      <c r="L139" s="21"/>
    </row>
    <row r="140" spans="1:12" ht="29" x14ac:dyDescent="0.35">
      <c r="A140" s="21" t="s">
        <v>1189</v>
      </c>
      <c r="B140" s="21" t="s">
        <v>1200</v>
      </c>
      <c r="C140" s="21" t="s">
        <v>1201</v>
      </c>
      <c r="D140" s="21"/>
      <c r="E140" s="21" t="s">
        <v>996</v>
      </c>
      <c r="F140" s="21"/>
      <c r="G140" s="21"/>
      <c r="H140" s="21"/>
      <c r="I140" s="21"/>
      <c r="J140" s="21"/>
      <c r="K140" s="21"/>
      <c r="L140" s="21"/>
    </row>
    <row r="141" spans="1:12" ht="29" x14ac:dyDescent="0.35">
      <c r="A141" s="21" t="s">
        <v>1202</v>
      </c>
      <c r="B141" s="21" t="s">
        <v>1203</v>
      </c>
      <c r="C141" s="21" t="s">
        <v>1204</v>
      </c>
      <c r="D141" s="21"/>
      <c r="E141" s="21" t="s">
        <v>996</v>
      </c>
      <c r="F141" s="21"/>
      <c r="G141" s="21"/>
      <c r="H141" s="21"/>
      <c r="I141" s="21"/>
      <c r="J141" s="21"/>
      <c r="K141" s="21"/>
      <c r="L141" s="21"/>
    </row>
    <row r="142" spans="1:12" ht="29" x14ac:dyDescent="0.35">
      <c r="A142" s="21" t="s">
        <v>1202</v>
      </c>
      <c r="B142" s="21" t="s">
        <v>1205</v>
      </c>
      <c r="C142" s="21" t="s">
        <v>1206</v>
      </c>
      <c r="D142" s="21"/>
      <c r="E142" s="21" t="s">
        <v>996</v>
      </c>
      <c r="F142" s="21"/>
      <c r="G142" s="21"/>
      <c r="H142" s="21"/>
      <c r="I142" s="21"/>
      <c r="J142" s="21"/>
      <c r="K142" s="21"/>
      <c r="L142" s="21"/>
    </row>
    <row r="143" spans="1:12" ht="29" x14ac:dyDescent="0.35">
      <c r="A143" s="21" t="s">
        <v>1202</v>
      </c>
      <c r="B143" s="21" t="s">
        <v>1207</v>
      </c>
      <c r="C143" s="21" t="s">
        <v>1208</v>
      </c>
      <c r="D143" s="21"/>
      <c r="E143" s="21" t="s">
        <v>996</v>
      </c>
      <c r="F143" s="21"/>
      <c r="G143" s="21"/>
      <c r="H143" s="21"/>
      <c r="I143" s="21"/>
      <c r="J143" s="21"/>
      <c r="K143" s="21"/>
      <c r="L143" s="21"/>
    </row>
    <row r="144" spans="1:12" ht="29" x14ac:dyDescent="0.35">
      <c r="A144" s="21" t="s">
        <v>1202</v>
      </c>
      <c r="B144" s="21" t="s">
        <v>1209</v>
      </c>
      <c r="C144" s="21" t="s">
        <v>1210</v>
      </c>
      <c r="D144" s="21"/>
      <c r="E144" s="21" t="s">
        <v>996</v>
      </c>
      <c r="F144" s="21"/>
      <c r="G144" s="21"/>
      <c r="H144" s="21"/>
      <c r="I144" s="21"/>
      <c r="J144" s="21"/>
      <c r="K144" s="21"/>
      <c r="L144" s="21"/>
    </row>
    <row r="145" spans="1:12" ht="29" x14ac:dyDescent="0.35">
      <c r="A145" s="21" t="s">
        <v>1202</v>
      </c>
      <c r="B145" s="21" t="s">
        <v>1211</v>
      </c>
      <c r="C145" s="21" t="s">
        <v>1212</v>
      </c>
      <c r="D145" s="21"/>
      <c r="E145" s="21" t="s">
        <v>996</v>
      </c>
      <c r="F145" s="21"/>
      <c r="G145" s="21"/>
      <c r="H145" s="21"/>
      <c r="I145" s="21"/>
      <c r="J145" s="21"/>
      <c r="K145" s="21"/>
      <c r="L145" s="21"/>
    </row>
    <row r="146" spans="1:12" ht="29" x14ac:dyDescent="0.35">
      <c r="A146" s="21" t="s">
        <v>1202</v>
      </c>
      <c r="B146" s="21" t="s">
        <v>1213</v>
      </c>
      <c r="C146" s="21" t="s">
        <v>1214</v>
      </c>
      <c r="D146" s="21"/>
      <c r="E146" s="21" t="s">
        <v>996</v>
      </c>
      <c r="F146" s="21"/>
      <c r="G146" s="21"/>
      <c r="H146" s="21"/>
      <c r="I146" s="21"/>
      <c r="J146" s="21"/>
      <c r="K146" s="21"/>
      <c r="L146" s="21"/>
    </row>
    <row r="147" spans="1:12" ht="29" x14ac:dyDescent="0.35">
      <c r="A147" s="21" t="s">
        <v>1215</v>
      </c>
      <c r="B147" s="21" t="s">
        <v>1216</v>
      </c>
      <c r="C147" s="21" t="s">
        <v>1217</v>
      </c>
      <c r="D147" s="21"/>
      <c r="E147" s="21" t="s">
        <v>996</v>
      </c>
      <c r="F147" s="21"/>
      <c r="G147" s="21"/>
      <c r="H147" s="21"/>
      <c r="I147" s="21"/>
      <c r="J147" s="21"/>
      <c r="K147" s="21"/>
      <c r="L147" s="21"/>
    </row>
    <row r="148" spans="1:12" ht="29" x14ac:dyDescent="0.35">
      <c r="A148" s="21" t="s">
        <v>1215</v>
      </c>
      <c r="B148" s="21" t="s">
        <v>1218</v>
      </c>
      <c r="C148" s="21" t="s">
        <v>1219</v>
      </c>
      <c r="D148" s="21"/>
      <c r="E148" s="21" t="s">
        <v>996</v>
      </c>
      <c r="F148" s="21"/>
      <c r="G148" s="21"/>
      <c r="H148" s="21"/>
      <c r="I148" s="21"/>
      <c r="J148" s="21"/>
      <c r="K148" s="21"/>
      <c r="L148" s="21"/>
    </row>
    <row r="149" spans="1:12" ht="29" x14ac:dyDescent="0.35">
      <c r="A149" s="21" t="s">
        <v>1215</v>
      </c>
      <c r="B149" s="21" t="s">
        <v>1220</v>
      </c>
      <c r="C149" s="21" t="s">
        <v>1221</v>
      </c>
      <c r="D149" s="21"/>
      <c r="E149" s="21" t="s">
        <v>996</v>
      </c>
      <c r="F149" s="21"/>
      <c r="G149" s="21"/>
      <c r="H149" s="21"/>
      <c r="I149" s="21"/>
      <c r="J149" s="21"/>
      <c r="K149" s="21"/>
      <c r="L149" s="21"/>
    </row>
    <row r="150" spans="1:12" ht="29" x14ac:dyDescent="0.35">
      <c r="A150" s="21" t="s">
        <v>1215</v>
      </c>
      <c r="B150" s="21" t="s">
        <v>1222</v>
      </c>
      <c r="C150" s="21" t="s">
        <v>1223</v>
      </c>
      <c r="D150" s="21"/>
      <c r="E150" s="21" t="s">
        <v>996</v>
      </c>
      <c r="F150" s="21"/>
      <c r="G150" s="21"/>
      <c r="H150" s="21"/>
      <c r="I150" s="21"/>
      <c r="J150" s="21"/>
      <c r="K150" s="21"/>
      <c r="L150" s="21"/>
    </row>
    <row r="151" spans="1:12" ht="24" customHeight="1" x14ac:dyDescent="0.35">
      <c r="A151" s="133" t="s">
        <v>1215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</row>
    <row r="152" spans="1:12" x14ac:dyDescent="0.35">
      <c r="A152" s="21" t="s">
        <v>1215</v>
      </c>
      <c r="B152" s="21" t="s">
        <v>1224</v>
      </c>
      <c r="C152" s="21" t="s">
        <v>1225</v>
      </c>
      <c r="D152" s="21"/>
      <c r="E152" s="21" t="s">
        <v>996</v>
      </c>
      <c r="F152" s="21"/>
      <c r="G152" s="21"/>
      <c r="H152" s="21"/>
      <c r="I152" s="21"/>
      <c r="J152" s="21"/>
      <c r="K152" s="21"/>
      <c r="L152" s="21"/>
    </row>
    <row r="158" spans="1:12" x14ac:dyDescent="0.35">
      <c r="A158" s="98" t="s">
        <v>1226</v>
      </c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</row>
    <row r="160" spans="1:12" ht="29" x14ac:dyDescent="0.35">
      <c r="A160" s="100" t="s">
        <v>1227</v>
      </c>
      <c r="B160" s="100" t="s">
        <v>1228</v>
      </c>
      <c r="C160" s="100" t="s">
        <v>1229</v>
      </c>
      <c r="D160" s="100" t="s">
        <v>389</v>
      </c>
      <c r="E160" s="100" t="s">
        <v>870</v>
      </c>
      <c r="F160" s="100" t="s">
        <v>390</v>
      </c>
      <c r="G160" s="100" t="s">
        <v>990</v>
      </c>
      <c r="H160" s="100" t="s">
        <v>1230</v>
      </c>
      <c r="I160" s="100"/>
      <c r="J160" s="100"/>
      <c r="K160" s="100"/>
      <c r="L160" s="100"/>
    </row>
    <row r="161" spans="1:8" x14ac:dyDescent="0.35">
      <c r="A161" s="21" t="s">
        <v>1231</v>
      </c>
      <c r="B161" s="21"/>
      <c r="C161" s="21"/>
      <c r="D161" s="21"/>
      <c r="E161" s="21"/>
      <c r="F161" s="21"/>
      <c r="G161" s="21"/>
      <c r="H161" s="21"/>
    </row>
    <row r="162" spans="1:8" x14ac:dyDescent="0.35">
      <c r="A162" s="21" t="s">
        <v>1232</v>
      </c>
      <c r="B162" s="21"/>
      <c r="C162" s="21"/>
      <c r="D162" s="21"/>
      <c r="E162" s="21"/>
      <c r="F162" s="21"/>
      <c r="G162" s="21"/>
      <c r="H162" s="21"/>
    </row>
    <row r="163" spans="1:8" x14ac:dyDescent="0.35">
      <c r="A163" s="21" t="s">
        <v>509</v>
      </c>
      <c r="B163" s="21"/>
      <c r="C163" s="21"/>
      <c r="D163" s="21"/>
      <c r="E163" s="21"/>
      <c r="F163" s="21"/>
      <c r="G163" s="21"/>
      <c r="H163" s="21"/>
    </row>
    <row r="164" spans="1:8" x14ac:dyDescent="0.35">
      <c r="A164" s="21" t="s">
        <v>1233</v>
      </c>
      <c r="B164" s="21"/>
      <c r="C164" s="21"/>
      <c r="D164" s="21"/>
      <c r="E164" s="21"/>
      <c r="F164" s="21"/>
      <c r="G164" s="21"/>
      <c r="H164" s="21"/>
    </row>
    <row r="165" spans="1:8" x14ac:dyDescent="0.35">
      <c r="A165" s="21" t="s">
        <v>1234</v>
      </c>
      <c r="B165" s="21"/>
      <c r="C165" s="21"/>
      <c r="D165" s="21"/>
      <c r="E165" s="21"/>
      <c r="F165" s="21"/>
      <c r="G165" s="21"/>
      <c r="H165" s="21"/>
    </row>
    <row r="166" spans="1:8" x14ac:dyDescent="0.35">
      <c r="A166" s="21" t="s">
        <v>1235</v>
      </c>
      <c r="B166" s="21"/>
      <c r="C166" s="21"/>
      <c r="D166" s="21"/>
      <c r="E166" s="21"/>
      <c r="F166" s="21"/>
      <c r="G166" s="21"/>
      <c r="H166" s="21"/>
    </row>
    <row r="167" spans="1:8" x14ac:dyDescent="0.35">
      <c r="A167" s="21" t="s">
        <v>1236</v>
      </c>
      <c r="B167" s="21"/>
      <c r="C167" s="21"/>
      <c r="D167" s="21"/>
      <c r="E167" s="21"/>
      <c r="F167" s="21"/>
      <c r="G167" s="21"/>
      <c r="H167" s="21"/>
    </row>
    <row r="168" spans="1:8" x14ac:dyDescent="0.35">
      <c r="A168" s="21" t="s">
        <v>1237</v>
      </c>
      <c r="B168" s="21"/>
      <c r="C168" s="21"/>
      <c r="D168" s="21"/>
      <c r="E168" s="21"/>
      <c r="F168" s="21"/>
      <c r="G168" s="21"/>
      <c r="H168" s="21"/>
    </row>
    <row r="169" spans="1:8" x14ac:dyDescent="0.35">
      <c r="A169" s="21" t="s">
        <v>1238</v>
      </c>
      <c r="B169" s="21"/>
      <c r="C169" s="21"/>
      <c r="D169" s="21"/>
      <c r="E169" s="21"/>
      <c r="F169" s="21"/>
      <c r="G169" s="21"/>
      <c r="H169" s="21"/>
    </row>
    <row r="170" spans="1:8" x14ac:dyDescent="0.35">
      <c r="A170" s="21" t="s">
        <v>1239</v>
      </c>
      <c r="B170" s="21"/>
      <c r="C170" s="21"/>
      <c r="D170" s="21"/>
      <c r="E170" s="21"/>
      <c r="F170" s="21"/>
      <c r="G170" s="21"/>
      <c r="H170" s="21"/>
    </row>
    <row r="171" spans="1:8" x14ac:dyDescent="0.35">
      <c r="A171" s="21" t="s">
        <v>1240</v>
      </c>
      <c r="B171" s="21"/>
      <c r="C171" s="21"/>
      <c r="D171" s="21"/>
      <c r="E171" s="21"/>
      <c r="F171" s="21"/>
      <c r="G171" s="21"/>
      <c r="H171" s="21"/>
    </row>
    <row r="172" spans="1:8" x14ac:dyDescent="0.35">
      <c r="A172" s="21" t="s">
        <v>1241</v>
      </c>
      <c r="B172" s="21"/>
      <c r="C172" s="21"/>
      <c r="D172" s="21"/>
      <c r="E172" s="21"/>
      <c r="F172" s="21"/>
      <c r="G172" s="21"/>
      <c r="H172" s="21"/>
    </row>
    <row r="173" spans="1:8" x14ac:dyDescent="0.35">
      <c r="A173" s="21" t="s">
        <v>1242</v>
      </c>
      <c r="B173" s="21"/>
      <c r="C173" s="21"/>
      <c r="D173" s="21"/>
      <c r="E173" s="21"/>
      <c r="F173" s="21"/>
      <c r="G173" s="21"/>
      <c r="H173" s="21"/>
    </row>
    <row r="174" spans="1:8" x14ac:dyDescent="0.35">
      <c r="A174" s="21" t="s">
        <v>1243</v>
      </c>
      <c r="B174" s="21"/>
      <c r="C174" s="21"/>
      <c r="D174" s="21"/>
      <c r="E174" s="21"/>
      <c r="F174" s="21"/>
      <c r="G174" s="21"/>
      <c r="H174" s="21"/>
    </row>
    <row r="175" spans="1:8" x14ac:dyDescent="0.35">
      <c r="A175" s="21" t="s">
        <v>1244</v>
      </c>
      <c r="B175" s="21"/>
      <c r="C175" s="21"/>
      <c r="D175" s="21"/>
      <c r="E175" s="21"/>
      <c r="F175" s="21"/>
      <c r="G175" s="21"/>
      <c r="H175" s="21"/>
    </row>
    <row r="176" spans="1:8" x14ac:dyDescent="0.35">
      <c r="A176" s="21" t="s">
        <v>1245</v>
      </c>
      <c r="B176" s="21"/>
      <c r="C176" s="21"/>
      <c r="D176" s="21"/>
      <c r="E176" s="21"/>
      <c r="F176" s="21"/>
      <c r="G176" s="21"/>
      <c r="H176" s="21"/>
    </row>
    <row r="177" spans="1:12" x14ac:dyDescent="0.35">
      <c r="A177" s="21" t="s">
        <v>1246</v>
      </c>
      <c r="B177" s="21"/>
      <c r="C177" s="21"/>
      <c r="D177" s="21"/>
      <c r="E177" s="21"/>
      <c r="F177" s="21"/>
      <c r="G177" s="21"/>
      <c r="H177" s="21"/>
    </row>
    <row r="178" spans="1:12" x14ac:dyDescent="0.35">
      <c r="A178" s="21" t="s">
        <v>1247</v>
      </c>
      <c r="B178" s="21"/>
      <c r="C178" s="21"/>
      <c r="D178" s="21"/>
      <c r="E178" s="21"/>
      <c r="F178" s="21"/>
      <c r="G178" s="21"/>
      <c r="H178" s="21"/>
    </row>
    <row r="179" spans="1:12" ht="24" customHeight="1" x14ac:dyDescent="0.35">
      <c r="A179" s="133" t="s">
        <v>1248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</row>
    <row r="180" spans="1:12" x14ac:dyDescent="0.35">
      <c r="A180" s="21" t="s">
        <v>1249</v>
      </c>
      <c r="B180" s="21"/>
      <c r="C180" s="21"/>
      <c r="D180" s="21"/>
      <c r="E180" s="21"/>
      <c r="F180" s="21"/>
      <c r="G180" s="21"/>
      <c r="H180" s="21"/>
    </row>
    <row r="186" spans="1:12" x14ac:dyDescent="0.35">
      <c r="A186" s="98" t="s">
        <v>1250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</row>
    <row r="188" spans="1:12" ht="29" x14ac:dyDescent="0.35">
      <c r="A188" s="100" t="s">
        <v>1251</v>
      </c>
      <c r="B188" s="100" t="s">
        <v>1252</v>
      </c>
      <c r="C188" s="100" t="s">
        <v>1253</v>
      </c>
      <c r="D188" s="100" t="s">
        <v>1254</v>
      </c>
      <c r="E188" s="100" t="s">
        <v>870</v>
      </c>
      <c r="F188" s="100" t="s">
        <v>1255</v>
      </c>
      <c r="G188" s="100" t="s">
        <v>338</v>
      </c>
    </row>
    <row r="189" spans="1:12" x14ac:dyDescent="0.35">
      <c r="A189" s="21" t="s">
        <v>428</v>
      </c>
      <c r="B189" s="21"/>
      <c r="C189" s="21"/>
      <c r="D189" s="21"/>
      <c r="E189" s="21"/>
      <c r="F189" s="21"/>
      <c r="G189" s="21"/>
    </row>
    <row r="190" spans="1:12" x14ac:dyDescent="0.35">
      <c r="A190" s="21" t="s">
        <v>582</v>
      </c>
      <c r="B190" s="21"/>
      <c r="C190" s="21"/>
      <c r="D190" s="21"/>
      <c r="E190" s="21"/>
      <c r="F190" s="21"/>
      <c r="G190" s="21"/>
    </row>
    <row r="191" spans="1:12" x14ac:dyDescent="0.35">
      <c r="A191" s="21" t="s">
        <v>435</v>
      </c>
      <c r="B191" s="21"/>
      <c r="C191" s="21"/>
      <c r="D191" s="21"/>
      <c r="E191" s="21"/>
      <c r="F191" s="21"/>
      <c r="G191" s="21"/>
    </row>
    <row r="192" spans="1:12" x14ac:dyDescent="0.35">
      <c r="A192" s="21" t="s">
        <v>93</v>
      </c>
      <c r="B192" s="21"/>
      <c r="C192" s="21"/>
      <c r="D192" s="21"/>
      <c r="E192" s="21"/>
      <c r="F192" s="21"/>
      <c r="G192" s="21"/>
    </row>
    <row r="193" spans="1:12" x14ac:dyDescent="0.35">
      <c r="A193" s="21" t="s">
        <v>431</v>
      </c>
      <c r="B193" s="21"/>
      <c r="C193" s="21"/>
      <c r="D193" s="21"/>
      <c r="E193" s="21"/>
      <c r="F193" s="21"/>
      <c r="G193" s="21"/>
    </row>
    <row r="194" spans="1:12" x14ac:dyDescent="0.35">
      <c r="A194" s="21" t="s">
        <v>97</v>
      </c>
      <c r="B194" s="21"/>
      <c r="C194" s="21"/>
      <c r="D194" s="21"/>
      <c r="E194" s="21"/>
      <c r="F194" s="21"/>
      <c r="G194" s="21"/>
    </row>
    <row r="195" spans="1:12" x14ac:dyDescent="0.35">
      <c r="A195" s="21" t="s">
        <v>100</v>
      </c>
      <c r="B195" s="21"/>
      <c r="C195" s="21"/>
      <c r="D195" s="21"/>
      <c r="E195" s="21"/>
      <c r="F195" s="21"/>
      <c r="G195" s="21"/>
    </row>
    <row r="196" spans="1:12" x14ac:dyDescent="0.35">
      <c r="A196" s="21" t="s">
        <v>1176</v>
      </c>
      <c r="B196" s="21"/>
      <c r="C196" s="21"/>
      <c r="D196" s="21"/>
      <c r="E196" s="21"/>
      <c r="F196" s="21"/>
      <c r="G196" s="21"/>
    </row>
    <row r="197" spans="1:12" x14ac:dyDescent="0.35">
      <c r="A197" s="21" t="s">
        <v>160</v>
      </c>
      <c r="B197" s="21"/>
      <c r="C197" s="21"/>
      <c r="D197" s="21"/>
      <c r="E197" s="21"/>
      <c r="F197" s="21"/>
      <c r="G197" s="21"/>
    </row>
    <row r="198" spans="1:12" x14ac:dyDescent="0.35">
      <c r="A198" s="21" t="s">
        <v>1256</v>
      </c>
      <c r="B198" s="21"/>
      <c r="C198" s="21"/>
      <c r="D198" s="21"/>
      <c r="E198" s="21"/>
      <c r="F198" s="21"/>
      <c r="G198" s="21"/>
    </row>
    <row r="199" spans="1:12" x14ac:dyDescent="0.35">
      <c r="A199" s="21" t="s">
        <v>1257</v>
      </c>
      <c r="B199" s="21"/>
      <c r="C199" s="21"/>
      <c r="D199" s="21"/>
      <c r="E199" s="21"/>
      <c r="F199" s="21"/>
      <c r="G199" s="21"/>
    </row>
    <row r="200" spans="1:12" x14ac:dyDescent="0.35">
      <c r="A200" s="21" t="s">
        <v>1258</v>
      </c>
      <c r="B200" s="21"/>
      <c r="C200" s="21"/>
      <c r="D200" s="21"/>
      <c r="E200" s="21"/>
      <c r="F200" s="21"/>
      <c r="G200" s="21"/>
    </row>
    <row r="201" spans="1:12" x14ac:dyDescent="0.35">
      <c r="A201" s="21" t="s">
        <v>116</v>
      </c>
      <c r="B201" s="21"/>
      <c r="C201" s="21"/>
      <c r="D201" s="21"/>
      <c r="E201" s="21"/>
      <c r="F201" s="21"/>
      <c r="G201" s="21"/>
    </row>
    <row r="202" spans="1:12" x14ac:dyDescent="0.35">
      <c r="A202" s="21" t="s">
        <v>129</v>
      </c>
      <c r="B202" s="21"/>
      <c r="C202" s="21"/>
      <c r="D202" s="21"/>
      <c r="E202" s="21"/>
      <c r="F202" s="21"/>
      <c r="G202" s="21"/>
    </row>
    <row r="203" spans="1:12" x14ac:dyDescent="0.35">
      <c r="A203" s="21" t="s">
        <v>437</v>
      </c>
      <c r="B203" s="21"/>
      <c r="C203" s="21"/>
      <c r="D203" s="21"/>
      <c r="E203" s="21"/>
      <c r="F203" s="21"/>
      <c r="G203" s="21"/>
    </row>
    <row r="204" spans="1:12" x14ac:dyDescent="0.35">
      <c r="A204" s="21" t="s">
        <v>125</v>
      </c>
      <c r="B204" s="21"/>
      <c r="C204" s="21"/>
      <c r="D204" s="21"/>
      <c r="E204" s="21"/>
      <c r="F204" s="21"/>
      <c r="G204" s="21"/>
    </row>
    <row r="205" spans="1:12" x14ac:dyDescent="0.35">
      <c r="A205" s="21" t="s">
        <v>442</v>
      </c>
      <c r="B205" s="21"/>
      <c r="C205" s="21"/>
      <c r="D205" s="21"/>
      <c r="E205" s="21"/>
      <c r="F205" s="21"/>
      <c r="G205" s="21"/>
    </row>
    <row r="206" spans="1:12" x14ac:dyDescent="0.35">
      <c r="A206" s="21" t="s">
        <v>1259</v>
      </c>
      <c r="B206" s="21"/>
      <c r="C206" s="21"/>
      <c r="D206" s="21"/>
      <c r="E206" s="21"/>
      <c r="F206" s="21"/>
      <c r="G206" s="21"/>
    </row>
    <row r="207" spans="1:12" ht="24" customHeight="1" x14ac:dyDescent="0.35">
      <c r="A207" s="133" t="s">
        <v>1260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</row>
    <row r="208" spans="1:12" x14ac:dyDescent="0.35">
      <c r="A208" s="21" t="s">
        <v>439</v>
      </c>
      <c r="B208" s="21"/>
      <c r="C208" s="21"/>
      <c r="D208" s="21"/>
      <c r="E208" s="21"/>
      <c r="F208" s="21"/>
      <c r="G208" s="21"/>
    </row>
    <row r="214" spans="1:12" x14ac:dyDescent="0.35">
      <c r="A214" s="98" t="s">
        <v>1261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</row>
    <row r="216" spans="1:12" x14ac:dyDescent="0.35">
      <c r="A216" s="100" t="s">
        <v>1262</v>
      </c>
      <c r="B216" s="100" t="s">
        <v>1263</v>
      </c>
      <c r="C216" s="100" t="s">
        <v>292</v>
      </c>
      <c r="D216" s="100" t="s">
        <v>371</v>
      </c>
      <c r="E216" s="100" t="s">
        <v>360</v>
      </c>
      <c r="F216" s="100" t="s">
        <v>1264</v>
      </c>
      <c r="G216" s="100" t="s">
        <v>990</v>
      </c>
      <c r="H216" s="100" t="s">
        <v>338</v>
      </c>
    </row>
    <row r="217" spans="1:12" x14ac:dyDescent="0.35">
      <c r="A217" t="s">
        <v>1265</v>
      </c>
    </row>
    <row r="218" spans="1:12" x14ac:dyDescent="0.35">
      <c r="A218" t="s">
        <v>1266</v>
      </c>
    </row>
    <row r="219" spans="1:12" x14ac:dyDescent="0.35">
      <c r="A219" t="s">
        <v>1267</v>
      </c>
    </row>
    <row r="220" spans="1:12" x14ac:dyDescent="0.35">
      <c r="A220" t="s">
        <v>1268</v>
      </c>
    </row>
    <row r="221" spans="1:12" x14ac:dyDescent="0.35">
      <c r="A221" t="s">
        <v>1269</v>
      </c>
    </row>
    <row r="222" spans="1:12" x14ac:dyDescent="0.35">
      <c r="A222" t="s">
        <v>1270</v>
      </c>
    </row>
    <row r="223" spans="1:12" ht="24" customHeight="1" x14ac:dyDescent="0.35">
      <c r="A223" s="129" t="s">
        <v>1271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</row>
    <row r="224" spans="1:12" x14ac:dyDescent="0.35">
      <c r="A224" t="s">
        <v>1272</v>
      </c>
    </row>
    <row r="230" spans="1:12" x14ac:dyDescent="0.35">
      <c r="A230" s="98" t="s">
        <v>1273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2" spans="1:12" ht="29" x14ac:dyDescent="0.35">
      <c r="A232" s="100" t="s">
        <v>1229</v>
      </c>
      <c r="B232" s="100" t="s">
        <v>1274</v>
      </c>
      <c r="C232" s="100" t="s">
        <v>390</v>
      </c>
      <c r="D232" s="100" t="s">
        <v>351</v>
      </c>
      <c r="E232" s="100" t="s">
        <v>352</v>
      </c>
      <c r="F232" s="100" t="s">
        <v>292</v>
      </c>
      <c r="G232" s="100" t="s">
        <v>353</v>
      </c>
      <c r="H232" s="100" t="s">
        <v>338</v>
      </c>
    </row>
    <row r="240" spans="1:12" x14ac:dyDescent="0.3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</row>
    <row r="241" spans="1:12" x14ac:dyDescent="0.3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</row>
    <row r="247" spans="1:12" ht="29" x14ac:dyDescent="0.35">
      <c r="A247" s="106" t="s">
        <v>1275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3"/>
    </row>
    <row r="248" spans="1:12" ht="43.5" x14ac:dyDescent="0.35">
      <c r="A248" s="111" t="s">
        <v>1276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3"/>
    </row>
    <row r="249" spans="1:12" ht="29" x14ac:dyDescent="0.35">
      <c r="A249" s="110" t="s">
        <v>1277</v>
      </c>
      <c r="B249" s="110" t="s">
        <v>1278</v>
      </c>
      <c r="C249" s="110" t="s">
        <v>81</v>
      </c>
      <c r="D249" s="110" t="s">
        <v>615</v>
      </c>
      <c r="E249" s="110" t="s">
        <v>616</v>
      </c>
      <c r="F249" s="110" t="s">
        <v>990</v>
      </c>
      <c r="G249" s="110" t="s">
        <v>1279</v>
      </c>
      <c r="H249" s="110" t="s">
        <v>390</v>
      </c>
      <c r="I249" s="110" t="s">
        <v>351</v>
      </c>
      <c r="J249" s="110" t="s">
        <v>292</v>
      </c>
      <c r="K249" s="110" t="s">
        <v>353</v>
      </c>
      <c r="L249" s="110" t="s">
        <v>619</v>
      </c>
    </row>
    <row r="250" spans="1:12" x14ac:dyDescent="0.35">
      <c r="A250" s="105" t="s">
        <v>1280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x14ac:dyDescent="0.35">
      <c r="A251" s="105" t="s">
        <v>1281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x14ac:dyDescent="0.35">
      <c r="A252" s="105" t="s">
        <v>1282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29" x14ac:dyDescent="0.35">
      <c r="A253" s="105" t="s">
        <v>1283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29" x14ac:dyDescent="0.35">
      <c r="A254" s="105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29" x14ac:dyDescent="0.35">
      <c r="A255" s="105" t="s">
        <v>1285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29" x14ac:dyDescent="0.35">
      <c r="A256" s="105" t="s">
        <v>1286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29" x14ac:dyDescent="0.35">
      <c r="A257" s="105" t="s">
        <v>1287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29" x14ac:dyDescent="0.35">
      <c r="A258" s="105" t="s">
        <v>1288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29" x14ac:dyDescent="0.35">
      <c r="A259" s="105" t="s">
        <v>1289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29" x14ac:dyDescent="0.35">
      <c r="A260" s="105" t="s">
        <v>1290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29" x14ac:dyDescent="0.35">
      <c r="A261" s="105" t="s">
        <v>1291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29" x14ac:dyDescent="0.35">
      <c r="A262" s="105" t="s">
        <v>1292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43.5" x14ac:dyDescent="0.35">
      <c r="A263" s="105" t="s">
        <v>1293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29" x14ac:dyDescent="0.35">
      <c r="A264" s="105" t="s">
        <v>1294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x14ac:dyDescent="0.35">
      <c r="A265" s="105" t="s">
        <v>1295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</sheetData>
  <mergeCells count="9">
    <mergeCell ref="A1:L1"/>
    <mergeCell ref="A17:L17"/>
    <mergeCell ref="A241:L241"/>
    <mergeCell ref="A223:L223"/>
    <mergeCell ref="A35:L35"/>
    <mergeCell ref="A240:L240"/>
    <mergeCell ref="A179:L179"/>
    <mergeCell ref="A151:L151"/>
    <mergeCell ref="A207:L207"/>
  </mergeCells>
  <conditionalFormatting sqref="B12">
    <cfRule type="expression" dxfId="111" priority="12">
      <formula>B12="Green"</formula>
    </cfRule>
    <cfRule type="expression" dxfId="110" priority="13">
      <formula>B12="Amber"</formula>
    </cfRule>
    <cfRule type="expression" dxfId="109" priority="14">
      <formula>B12="Red"</formula>
    </cfRule>
  </conditionalFormatting>
  <conditionalFormatting sqref="B182:B201">
    <cfRule type="expression" dxfId="108" priority="3">
      <formula>B182="Pass"</formula>
    </cfRule>
  </conditionalFormatting>
  <conditionalFormatting sqref="C20:C43">
    <cfRule type="expression" dxfId="107" priority="8">
      <formula>C20="Green"</formula>
    </cfRule>
    <cfRule type="expression" dxfId="106" priority="9">
      <formula>C20="Amber"</formula>
    </cfRule>
    <cfRule type="expression" dxfId="105" priority="10">
      <formula>C20="Red"</formula>
    </cfRule>
    <cfRule type="expression" dxfId="104" priority="11">
      <formula>C20="N/A"</formula>
    </cfRule>
  </conditionalFormatting>
  <conditionalFormatting sqref="C20:C45">
    <cfRule type="expression" dxfId="103" priority="4">
      <formula>ISNUMBER(SEARCH("Green",C20))</formula>
    </cfRule>
    <cfRule type="expression" dxfId="102" priority="5">
      <formula>ISNUMBER(SEARCH("Amber",C20))</formula>
    </cfRule>
    <cfRule type="expression" dxfId="101" priority="6">
      <formula>ISNUMBER(SEARCH("Red",C20))</formula>
    </cfRule>
    <cfRule type="expression" dxfId="100" priority="7">
      <formula>C20="N/A"</formula>
    </cfRule>
  </conditionalFormatting>
  <conditionalFormatting sqref="E154:E173">
    <cfRule type="expression" dxfId="99" priority="2">
      <formula>E154="Pass"</formula>
    </cfRule>
  </conditionalFormatting>
  <conditionalFormatting sqref="H38:H145">
    <cfRule type="expression" dxfId="98" priority="1">
      <formula>H38="Pass"</formula>
    </cfRule>
  </conditionalFormatting>
  <dataValidations count="8">
    <dataValidation type="list" sqref="H38:H145 E154:E173" xr:uid="{00000000-0002-0000-3800-000000000000}">
      <formula1>"Pass,Developing,Fail,N/A"</formula1>
    </dataValidation>
    <dataValidation type="list" sqref="F38:F145" xr:uid="{00000000-0002-0000-3800-000001000000}">
      <formula1>"1,2,3,4,5"</formula1>
    </dataValidation>
    <dataValidation type="list" sqref="B182:B201" xr:uid="{00000000-0002-0000-3800-000003000000}">
      <formula1>"Complete,In Progress,Not Started,N/A"</formula1>
    </dataValidation>
    <dataValidation type="list" allowBlank="1" sqref="C243:E258" xr:uid="{00000000-0002-0000-3800-000004000000}">
      <formula1>"Yes,No,N/A"</formula1>
    </dataValidation>
    <dataValidation type="list" allowBlank="1" sqref="C20:C45" xr:uid="{00000000-0002-0000-3800-000005000000}">
      <formula1>"Green - Received,Amber - Awaiting,Red - Missing,N/A"</formula1>
    </dataValidation>
    <dataValidation type="list" sqref="C20:C43" xr:uid="{00000000-0002-0000-3800-000006000000}">
      <formula1>"Green,Amber,Red,N/A"</formula1>
    </dataValidation>
    <dataValidation type="list" sqref="F42:F230" xr:uid="{00000000-0002-0000-3800-000007000000}">
      <formula1>"1,2,3,4,5,N/A"</formula1>
    </dataValidation>
    <dataValidation type="list" sqref="H42:H230 H235:H255" xr:uid="{00000000-0002-0000-3800-000008000000}">
      <formula1>"Pass,Fail,Not Assessed,N/A"</formula1>
    </dataValidation>
  </dataValidation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L265"/>
  <sheetViews>
    <sheetView workbookViewId="0"/>
  </sheetViews>
  <sheetFormatPr defaultRowHeight="14.5" x14ac:dyDescent="0.35"/>
  <cols>
    <col min="1" max="1" width="42" customWidth="1"/>
    <col min="2" max="2" width="36" customWidth="1"/>
    <col min="3" max="3" width="52" customWidth="1"/>
    <col min="4" max="4" width="34" customWidth="1"/>
    <col min="5" max="5" width="30" customWidth="1"/>
    <col min="6" max="6" width="12" customWidth="1"/>
    <col min="7" max="7" width="16" customWidth="1"/>
    <col min="8" max="8" width="14" customWidth="1"/>
    <col min="9" max="9" width="28" customWidth="1"/>
    <col min="10" max="12" width="14" customWidth="1"/>
  </cols>
  <sheetData>
    <row r="1" spans="1:12" ht="30" customHeight="1" x14ac:dyDescent="0.35">
      <c r="A1" s="134" t="s">
        <v>1313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x14ac:dyDescent="0.35">
      <c r="A2" t="s">
        <v>928</v>
      </c>
      <c r="D2" t="s">
        <v>929</v>
      </c>
    </row>
    <row r="4" spans="1:12" x14ac:dyDescent="0.35">
      <c r="A4" s="101" t="s">
        <v>882</v>
      </c>
      <c r="B4" s="101" t="str">
        <f>IF('Induction Employee Register'!A22="","",'Induction Employee Register'!A22)</f>
        <v>SW019</v>
      </c>
      <c r="D4" t="s">
        <v>930</v>
      </c>
      <c r="E4" t="s">
        <v>931</v>
      </c>
      <c r="F4" t="s">
        <v>932</v>
      </c>
      <c r="G4" t="s">
        <v>933</v>
      </c>
      <c r="H4" t="s">
        <v>58</v>
      </c>
      <c r="I4" t="s">
        <v>934</v>
      </c>
      <c r="J4" t="s">
        <v>54</v>
      </c>
      <c r="K4" t="s">
        <v>935</v>
      </c>
      <c r="L4" t="s">
        <v>43</v>
      </c>
    </row>
    <row r="5" spans="1:12" x14ac:dyDescent="0.35">
      <c r="A5" s="101" t="s">
        <v>883</v>
      </c>
      <c r="B5" s="101" t="str">
        <f>IF('Induction Employee Register'!B22="","",'Induction Employee Register'!B22)</f>
        <v/>
      </c>
      <c r="D5" t="s">
        <v>936</v>
      </c>
    </row>
    <row r="6" spans="1:12" x14ac:dyDescent="0.35">
      <c r="A6" s="101" t="s">
        <v>322</v>
      </c>
      <c r="B6" s="101" t="str">
        <f>IF('Induction Employee Register'!C22="","",'Induction Employee Register'!C22)</f>
        <v/>
      </c>
      <c r="D6" t="s">
        <v>937</v>
      </c>
      <c r="E6" t="s">
        <v>938</v>
      </c>
    </row>
    <row r="7" spans="1:12" x14ac:dyDescent="0.35">
      <c r="A7" s="101" t="s">
        <v>323</v>
      </c>
      <c r="B7" s="126" t="str">
        <f>IF('Induction Employee Register'!D22="","",'Induction Employee Register'!D22)</f>
        <v/>
      </c>
      <c r="D7" t="s">
        <v>939</v>
      </c>
      <c r="E7" t="s">
        <v>940</v>
      </c>
    </row>
    <row r="8" spans="1:12" x14ac:dyDescent="0.35">
      <c r="A8" s="101" t="s">
        <v>886</v>
      </c>
      <c r="B8" s="125">
        <f>IFERROR(COUNTIF($H$42:$H$230,"Pass")/(COUNTIF($H$42:$H$230,"Pass")+COUNTIF($H$42:$H$230,"Fail")+COUNTIF($H$42:$H$230,"Not Assessed")),0)</f>
        <v>0</v>
      </c>
      <c r="D8" t="s">
        <v>6</v>
      </c>
      <c r="E8" t="s">
        <v>941</v>
      </c>
    </row>
    <row r="9" spans="1:12" x14ac:dyDescent="0.35">
      <c r="A9" s="101" t="s">
        <v>887</v>
      </c>
      <c r="B9" s="125">
        <f>IFERROR(COUNTIF($H$235:$H$255,"Pass")/(COUNTIF($H$235:$H$255,"Pass")+COUNTIF($H$235:$H$255,"Fail")+COUNTIF($H$235:$H$255,"Not Assessed")),0)</f>
        <v>0</v>
      </c>
      <c r="D9" t="s">
        <v>942</v>
      </c>
      <c r="E9" t="s">
        <v>943</v>
      </c>
    </row>
    <row r="10" spans="1:12" x14ac:dyDescent="0.35">
      <c r="A10" s="101" t="s">
        <v>888</v>
      </c>
      <c r="B10" s="125" t="str">
        <f>IFERROR(IF($B$5="","",IF(INDEX('Mandatory Training Dashboard'!$D$5:$D$53,MATCH($B$5,'Mandatory Training Dashboard'!$A$5:$A$53,0))&gt;1,INDEX('Mandatory Training Dashboard'!$D$5:$D$53,MATCH($B$5,'Mandatory Training Dashboard'!$A$5:$A$53,0))/100,INDEX('Mandatory Training Dashboard'!$D$5:$D$53,MATCH($B$5,'Mandatory Training Dashboard'!$A$5:$A$53,0)))),0)</f>
        <v/>
      </c>
      <c r="D10" t="s">
        <v>944</v>
      </c>
      <c r="E10" t="s">
        <v>945</v>
      </c>
    </row>
    <row r="11" spans="1:12" x14ac:dyDescent="0.35">
      <c r="A11" s="101" t="s">
        <v>893</v>
      </c>
      <c r="B11" s="125">
        <f>IFERROR(AVERAGE(B8:B10),0)</f>
        <v>0</v>
      </c>
      <c r="D11" t="s">
        <v>946</v>
      </c>
      <c r="E11" t="s">
        <v>947</v>
      </c>
    </row>
    <row r="12" spans="1:12" x14ac:dyDescent="0.35">
      <c r="A12" s="101" t="s">
        <v>948</v>
      </c>
      <c r="B12" s="101" t="str">
        <f>IF(B11&gt;=0.9,"Green",IF(B11&gt;=0.75,"Amber","Red"))</f>
        <v>Red</v>
      </c>
      <c r="D12" t="s">
        <v>949</v>
      </c>
      <c r="E12" t="s">
        <v>950</v>
      </c>
    </row>
    <row r="13" spans="1:12" x14ac:dyDescent="0.35">
      <c r="A13" s="101" t="s">
        <v>891</v>
      </c>
      <c r="B13" s="101">
        <f>IF('Induction Employee Register'!N22="","",'Induction Employee Register'!N22)</f>
        <v>0</v>
      </c>
      <c r="D13" t="s">
        <v>951</v>
      </c>
      <c r="E13" t="s">
        <v>952</v>
      </c>
    </row>
    <row r="14" spans="1:12" x14ac:dyDescent="0.35">
      <c r="A14" s="101" t="s">
        <v>892</v>
      </c>
      <c r="B14" s="101" t="str">
        <f>IF('Induction Employee Register'!O22="","",'Induction Employee Register'!O22)</f>
        <v/>
      </c>
    </row>
    <row r="17" spans="1:12" ht="24" customHeight="1" x14ac:dyDescent="0.35">
      <c r="A17" s="135" t="s">
        <v>953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9" spans="1:12" ht="29" x14ac:dyDescent="0.35">
      <c r="A19" s="116" t="s">
        <v>954</v>
      </c>
      <c r="B19" s="116" t="s">
        <v>955</v>
      </c>
      <c r="C19" s="116" t="s">
        <v>956</v>
      </c>
      <c r="D19" s="116" t="s">
        <v>957</v>
      </c>
      <c r="E19" s="116" t="s">
        <v>958</v>
      </c>
      <c r="F19" s="116" t="s">
        <v>353</v>
      </c>
      <c r="G19" s="116" t="s">
        <v>335</v>
      </c>
      <c r="H19" s="116" t="s">
        <v>338</v>
      </c>
      <c r="I19" s="117" t="s">
        <v>959</v>
      </c>
      <c r="J19" t="s">
        <v>960</v>
      </c>
      <c r="K19" t="s">
        <v>300</v>
      </c>
      <c r="L19" t="s">
        <v>961</v>
      </c>
    </row>
    <row r="20" spans="1:12" x14ac:dyDescent="0.35">
      <c r="A20" s="118" t="s">
        <v>962</v>
      </c>
      <c r="B20" s="118" t="s">
        <v>81</v>
      </c>
      <c r="C20" s="118"/>
      <c r="D20" s="127"/>
      <c r="E20" s="127"/>
      <c r="F20" s="118"/>
      <c r="G20" s="118"/>
      <c r="H20" s="118"/>
      <c r="J20" t="s">
        <v>310</v>
      </c>
      <c r="K20" t="str">
        <f>IF('Induction Employee Register'!W22="","",'Induction Employee Register'!W22)</f>
        <v/>
      </c>
      <c r="L20" t="s">
        <v>963</v>
      </c>
    </row>
    <row r="21" spans="1:12" x14ac:dyDescent="0.35">
      <c r="A21" s="118" t="s">
        <v>964</v>
      </c>
      <c r="B21" s="118" t="s">
        <v>81</v>
      </c>
      <c r="C21" s="118"/>
      <c r="D21" s="127"/>
      <c r="E21" s="127"/>
      <c r="F21" s="118"/>
      <c r="G21" s="118"/>
      <c r="H21" s="118"/>
      <c r="J21" t="s">
        <v>311</v>
      </c>
      <c r="K21" t="str">
        <f>IF('Induction Employee Register'!X22="","",'Induction Employee Register'!X22)</f>
        <v/>
      </c>
      <c r="L21" t="s">
        <v>965</v>
      </c>
    </row>
    <row r="22" spans="1:12" x14ac:dyDescent="0.35">
      <c r="A22" s="118" t="s">
        <v>966</v>
      </c>
      <c r="B22" s="118" t="s">
        <v>81</v>
      </c>
      <c r="C22" s="118"/>
      <c r="D22" s="127"/>
      <c r="E22" s="127"/>
      <c r="F22" s="118"/>
      <c r="G22" s="118"/>
      <c r="H22" s="118"/>
      <c r="J22" t="s">
        <v>312</v>
      </c>
      <c r="K22" t="str">
        <f>IF('Induction Employee Register'!Y22="","",'Induction Employee Register'!Y22)</f>
        <v/>
      </c>
      <c r="L22" t="s">
        <v>967</v>
      </c>
    </row>
    <row r="23" spans="1:12" x14ac:dyDescent="0.35">
      <c r="A23" s="118" t="s">
        <v>52</v>
      </c>
      <c r="B23" s="118" t="s">
        <v>81</v>
      </c>
      <c r="C23" s="118"/>
      <c r="D23" s="127"/>
      <c r="E23" s="127"/>
      <c r="F23" s="118"/>
      <c r="G23" s="118"/>
      <c r="H23" s="118"/>
      <c r="J23" t="s">
        <v>313</v>
      </c>
      <c r="K23" t="str">
        <f>IF('Induction Employee Register'!Z22="","",'Induction Employee Register'!Z22)</f>
        <v/>
      </c>
      <c r="L23" t="s">
        <v>968</v>
      </c>
    </row>
    <row r="24" spans="1:12" x14ac:dyDescent="0.35">
      <c r="A24" s="118" t="s">
        <v>50</v>
      </c>
      <c r="B24" s="118" t="s">
        <v>81</v>
      </c>
      <c r="C24" s="118"/>
      <c r="D24" s="127"/>
      <c r="E24" s="127"/>
      <c r="F24" s="118"/>
      <c r="G24" s="118"/>
      <c r="H24" s="118"/>
      <c r="J24" t="s">
        <v>314</v>
      </c>
      <c r="K24" t="str">
        <f>IF('Induction Employee Register'!AA22="","",'Induction Employee Register'!AA22)</f>
        <v/>
      </c>
      <c r="L24" t="s">
        <v>968</v>
      </c>
    </row>
    <row r="25" spans="1:12" x14ac:dyDescent="0.35">
      <c r="A25" s="118" t="s">
        <v>329</v>
      </c>
      <c r="B25" s="118" t="s">
        <v>81</v>
      </c>
      <c r="C25" s="118"/>
      <c r="D25" s="127"/>
      <c r="E25" s="127"/>
      <c r="F25" s="118"/>
      <c r="G25" s="118"/>
      <c r="H25" s="118"/>
      <c r="J25" t="s">
        <v>315</v>
      </c>
      <c r="K25" t="str">
        <f>IF('Induction Employee Register'!AB22="","",'Induction Employee Register'!AB22)</f>
        <v/>
      </c>
      <c r="L25" t="s">
        <v>967</v>
      </c>
    </row>
    <row r="26" spans="1:12" x14ac:dyDescent="0.35">
      <c r="A26" s="118" t="s">
        <v>969</v>
      </c>
      <c r="B26" s="118" t="s">
        <v>81</v>
      </c>
      <c r="C26" s="118"/>
      <c r="D26" s="127"/>
      <c r="E26" s="127"/>
      <c r="F26" s="118"/>
      <c r="G26" s="118"/>
      <c r="H26" s="118"/>
      <c r="J26" t="s">
        <v>316</v>
      </c>
      <c r="K26" t="str">
        <f>IF('Induction Employee Register'!AC22="","",'Induction Employee Register'!AC22)</f>
        <v/>
      </c>
      <c r="L26" t="s">
        <v>967</v>
      </c>
    </row>
    <row r="27" spans="1:12" x14ac:dyDescent="0.35">
      <c r="A27" s="118" t="s">
        <v>970</v>
      </c>
      <c r="B27" s="118" t="s">
        <v>81</v>
      </c>
      <c r="C27" s="118"/>
      <c r="D27" s="127"/>
      <c r="E27" s="127"/>
      <c r="F27" s="118"/>
      <c r="G27" s="118"/>
      <c r="H27" s="118"/>
    </row>
    <row r="28" spans="1:12" x14ac:dyDescent="0.35">
      <c r="A28" s="118" t="s">
        <v>971</v>
      </c>
      <c r="B28" s="118" t="s">
        <v>81</v>
      </c>
      <c r="C28" s="118"/>
      <c r="D28" s="127"/>
      <c r="E28" s="127"/>
      <c r="F28" s="118"/>
      <c r="G28" s="118"/>
      <c r="H28" s="118"/>
    </row>
    <row r="29" spans="1:12" x14ac:dyDescent="0.35">
      <c r="A29" s="118" t="s">
        <v>972</v>
      </c>
      <c r="B29" s="118" t="s">
        <v>81</v>
      </c>
      <c r="C29" s="118"/>
      <c r="D29" s="127"/>
      <c r="E29" s="127"/>
      <c r="F29" s="118"/>
      <c r="G29" s="118"/>
      <c r="H29" s="118"/>
    </row>
    <row r="30" spans="1:12" x14ac:dyDescent="0.35">
      <c r="A30" s="118" t="s">
        <v>973</v>
      </c>
      <c r="B30" s="118" t="s">
        <v>81</v>
      </c>
      <c r="C30" s="118"/>
      <c r="D30" s="127"/>
      <c r="E30" s="127"/>
      <c r="F30" s="118"/>
      <c r="G30" s="118"/>
      <c r="H30" s="118"/>
    </row>
    <row r="31" spans="1:12" x14ac:dyDescent="0.35">
      <c r="A31" s="118" t="s">
        <v>974</v>
      </c>
      <c r="B31" s="118" t="s">
        <v>81</v>
      </c>
      <c r="C31" s="118"/>
      <c r="D31" s="127"/>
      <c r="E31" s="127"/>
      <c r="F31" s="118"/>
      <c r="G31" s="118"/>
      <c r="H31" s="118"/>
    </row>
    <row r="32" spans="1:12" x14ac:dyDescent="0.35">
      <c r="A32" s="118" t="s">
        <v>975</v>
      </c>
      <c r="B32" s="118" t="s">
        <v>81</v>
      </c>
      <c r="C32" s="118"/>
      <c r="D32" s="127"/>
      <c r="E32" s="127"/>
      <c r="F32" s="118"/>
      <c r="G32" s="118"/>
      <c r="H32" s="118"/>
    </row>
    <row r="33" spans="1:12" x14ac:dyDescent="0.35">
      <c r="A33" s="118" t="s">
        <v>54</v>
      </c>
      <c r="B33" s="118" t="s">
        <v>81</v>
      </c>
      <c r="C33" s="118"/>
      <c r="D33" s="127"/>
      <c r="E33" s="127"/>
      <c r="F33" s="118"/>
      <c r="G33" s="118"/>
      <c r="H33" s="118"/>
    </row>
    <row r="34" spans="1:12" x14ac:dyDescent="0.35">
      <c r="A34" s="119" t="s">
        <v>976</v>
      </c>
      <c r="B34" s="119" t="s">
        <v>81</v>
      </c>
      <c r="C34" s="119"/>
      <c r="D34" s="127"/>
      <c r="E34" s="127"/>
      <c r="F34" s="119"/>
      <c r="G34" s="119"/>
      <c r="H34" s="119"/>
    </row>
    <row r="35" spans="1:12" ht="24" customHeight="1" x14ac:dyDescent="0.35">
      <c r="A35" s="130" t="s">
        <v>977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</row>
    <row r="36" spans="1:12" x14ac:dyDescent="0.35">
      <c r="A36" s="119" t="s">
        <v>978</v>
      </c>
      <c r="B36" s="119" t="s">
        <v>81</v>
      </c>
      <c r="C36" s="119"/>
      <c r="D36" s="127"/>
      <c r="E36" s="127"/>
      <c r="F36" s="119"/>
      <c r="G36" s="119"/>
      <c r="H36" s="119"/>
    </row>
    <row r="37" spans="1:12" x14ac:dyDescent="0.35">
      <c r="A37" s="119" t="s">
        <v>979</v>
      </c>
      <c r="B37" s="119" t="s">
        <v>81</v>
      </c>
      <c r="C37" s="119"/>
      <c r="D37" s="127"/>
      <c r="E37" s="127"/>
      <c r="F37" s="119"/>
      <c r="G37" s="119"/>
      <c r="H37" s="119"/>
    </row>
    <row r="38" spans="1:12" x14ac:dyDescent="0.35">
      <c r="A38" s="119" t="s">
        <v>980</v>
      </c>
      <c r="B38" s="119" t="s">
        <v>81</v>
      </c>
      <c r="C38" s="119"/>
      <c r="D38" s="127"/>
      <c r="E38" s="127"/>
      <c r="F38" s="119"/>
      <c r="G38" s="119"/>
      <c r="H38" s="119"/>
    </row>
    <row r="39" spans="1:12" x14ac:dyDescent="0.35">
      <c r="A39" s="119" t="s">
        <v>981</v>
      </c>
      <c r="B39" s="119" t="s">
        <v>81</v>
      </c>
      <c r="C39" s="119"/>
      <c r="D39" s="127"/>
      <c r="E39" s="127"/>
      <c r="F39" s="119"/>
      <c r="G39" s="119"/>
      <c r="H39" s="119"/>
    </row>
    <row r="40" spans="1:12" x14ac:dyDescent="0.35">
      <c r="A40" s="119" t="s">
        <v>982</v>
      </c>
      <c r="B40" s="119" t="s">
        <v>81</v>
      </c>
      <c r="C40" s="119"/>
      <c r="D40" s="127"/>
      <c r="E40" s="127"/>
      <c r="F40" s="119"/>
      <c r="G40" s="119"/>
      <c r="H40" s="119"/>
    </row>
    <row r="41" spans="1:12" x14ac:dyDescent="0.35">
      <c r="A41" s="118"/>
      <c r="B41" s="118"/>
      <c r="C41" s="118"/>
      <c r="D41" s="127"/>
      <c r="E41" s="127"/>
      <c r="F41" s="118"/>
      <c r="G41" s="118"/>
      <c r="H41" s="118"/>
    </row>
    <row r="42" spans="1:12" x14ac:dyDescent="0.35">
      <c r="A42" s="120" t="s">
        <v>983</v>
      </c>
      <c r="B42" s="118"/>
      <c r="C42" s="118"/>
      <c r="D42" s="127"/>
      <c r="E42" s="127"/>
      <c r="F42" s="118"/>
      <c r="G42" s="118"/>
      <c r="H42" s="118"/>
      <c r="I42" s="96"/>
      <c r="J42" s="96"/>
      <c r="K42" s="96"/>
      <c r="L42" s="96"/>
    </row>
    <row r="43" spans="1:12" x14ac:dyDescent="0.35">
      <c r="A43" s="118"/>
      <c r="B43" s="118"/>
      <c r="C43" s="118"/>
      <c r="D43" s="127"/>
      <c r="E43" s="127"/>
      <c r="F43" s="118"/>
      <c r="G43" s="118"/>
      <c r="H43" s="118"/>
    </row>
    <row r="44" spans="1:12" ht="29" x14ac:dyDescent="0.35">
      <c r="A44" s="116" t="s">
        <v>984</v>
      </c>
      <c r="B44" s="116" t="s">
        <v>985</v>
      </c>
      <c r="C44" s="116" t="s">
        <v>986</v>
      </c>
      <c r="D44" s="116" t="s">
        <v>987</v>
      </c>
      <c r="E44" s="116" t="s">
        <v>988</v>
      </c>
      <c r="F44" s="116" t="s">
        <v>989</v>
      </c>
      <c r="G44" s="116" t="s">
        <v>389</v>
      </c>
      <c r="H44" s="116" t="s">
        <v>870</v>
      </c>
      <c r="I44" s="100" t="s">
        <v>390</v>
      </c>
      <c r="J44" s="100" t="s">
        <v>990</v>
      </c>
      <c r="K44" s="100" t="s">
        <v>991</v>
      </c>
      <c r="L44" s="100" t="s">
        <v>992</v>
      </c>
    </row>
    <row r="45" spans="1:12" ht="29" x14ac:dyDescent="0.35">
      <c r="A45" s="121" t="s">
        <v>993</v>
      </c>
      <c r="B45" s="121" t="s">
        <v>994</v>
      </c>
      <c r="C45" s="121" t="s">
        <v>995</v>
      </c>
      <c r="D45" s="121"/>
      <c r="E45" s="121" t="s">
        <v>996</v>
      </c>
      <c r="F45" s="121"/>
      <c r="G45" s="121"/>
      <c r="H45" s="121"/>
      <c r="I45" s="21"/>
      <c r="J45" s="21"/>
      <c r="K45" s="21"/>
      <c r="L45" s="21"/>
    </row>
    <row r="46" spans="1:12" ht="29" x14ac:dyDescent="0.35">
      <c r="A46" s="21" t="s">
        <v>993</v>
      </c>
      <c r="B46" s="21" t="s">
        <v>997</v>
      </c>
      <c r="C46" s="21" t="s">
        <v>998</v>
      </c>
      <c r="D46" s="21"/>
      <c r="E46" s="21" t="s">
        <v>996</v>
      </c>
      <c r="F46" s="21"/>
      <c r="G46" s="21"/>
      <c r="H46" s="21"/>
      <c r="I46" s="21"/>
      <c r="J46" s="21"/>
      <c r="K46" s="21"/>
      <c r="L46" s="21"/>
    </row>
    <row r="47" spans="1:12" ht="29" x14ac:dyDescent="0.35">
      <c r="A47" s="21" t="s">
        <v>993</v>
      </c>
      <c r="B47" s="21" t="s">
        <v>999</v>
      </c>
      <c r="C47" s="21" t="s">
        <v>1000</v>
      </c>
      <c r="D47" s="21"/>
      <c r="E47" s="21" t="s">
        <v>996</v>
      </c>
      <c r="F47" s="21"/>
      <c r="G47" s="21"/>
      <c r="H47" s="21"/>
      <c r="I47" s="21"/>
      <c r="J47" s="21"/>
      <c r="K47" s="21"/>
      <c r="L47" s="21"/>
    </row>
    <row r="48" spans="1:12" ht="29" x14ac:dyDescent="0.35">
      <c r="A48" s="21" t="s">
        <v>993</v>
      </c>
      <c r="B48" s="21" t="s">
        <v>1001</v>
      </c>
      <c r="C48" s="21" t="s">
        <v>1002</v>
      </c>
      <c r="D48" s="21"/>
      <c r="E48" s="21" t="s">
        <v>996</v>
      </c>
      <c r="F48" s="21"/>
      <c r="G48" s="21"/>
      <c r="H48" s="21"/>
      <c r="I48" s="21"/>
      <c r="J48" s="21"/>
      <c r="K48" s="21"/>
      <c r="L48" s="21"/>
    </row>
    <row r="49" spans="1:12" ht="43.5" x14ac:dyDescent="0.35">
      <c r="A49" s="21" t="s">
        <v>993</v>
      </c>
      <c r="B49" s="21" t="s">
        <v>1003</v>
      </c>
      <c r="C49" s="21" t="s">
        <v>1004</v>
      </c>
      <c r="D49" s="21"/>
      <c r="E49" s="21" t="s">
        <v>996</v>
      </c>
      <c r="F49" s="21"/>
      <c r="G49" s="21"/>
      <c r="H49" s="21"/>
      <c r="I49" s="21"/>
      <c r="J49" s="21"/>
      <c r="K49" s="21"/>
      <c r="L49" s="21"/>
    </row>
    <row r="50" spans="1:12" ht="29" x14ac:dyDescent="0.35">
      <c r="A50" s="21" t="s">
        <v>993</v>
      </c>
      <c r="B50" s="21" t="s">
        <v>1005</v>
      </c>
      <c r="C50" s="21" t="s">
        <v>1006</v>
      </c>
      <c r="D50" s="21"/>
      <c r="E50" s="21" t="s">
        <v>996</v>
      </c>
      <c r="F50" s="21"/>
      <c r="G50" s="21"/>
      <c r="H50" s="21"/>
      <c r="I50" s="21"/>
      <c r="J50" s="21"/>
      <c r="K50" s="21"/>
      <c r="L50" s="21"/>
    </row>
    <row r="51" spans="1:12" ht="43.5" x14ac:dyDescent="0.35">
      <c r="A51" s="21" t="s">
        <v>1007</v>
      </c>
      <c r="B51" s="21" t="s">
        <v>1008</v>
      </c>
      <c r="C51" s="21" t="s">
        <v>1009</v>
      </c>
      <c r="D51" s="21"/>
      <c r="E51" s="21" t="s">
        <v>996</v>
      </c>
      <c r="F51" s="21"/>
      <c r="G51" s="21"/>
      <c r="H51" s="21"/>
      <c r="I51" s="21"/>
      <c r="J51" s="21"/>
      <c r="K51" s="21"/>
      <c r="L51" s="21"/>
    </row>
    <row r="52" spans="1:12" ht="29" x14ac:dyDescent="0.35">
      <c r="A52" s="21" t="s">
        <v>1007</v>
      </c>
      <c r="B52" s="21" t="s">
        <v>1010</v>
      </c>
      <c r="C52" s="21" t="s">
        <v>1011</v>
      </c>
      <c r="D52" s="21"/>
      <c r="E52" s="21" t="s">
        <v>996</v>
      </c>
      <c r="F52" s="21"/>
      <c r="G52" s="21"/>
      <c r="H52" s="21"/>
      <c r="I52" s="21"/>
      <c r="J52" s="21"/>
      <c r="K52" s="21"/>
      <c r="L52" s="21"/>
    </row>
    <row r="53" spans="1:12" ht="29" x14ac:dyDescent="0.35">
      <c r="A53" s="21" t="s">
        <v>1007</v>
      </c>
      <c r="B53" s="21" t="s">
        <v>1012</v>
      </c>
      <c r="C53" s="21" t="s">
        <v>1013</v>
      </c>
      <c r="D53" s="21"/>
      <c r="E53" s="21" t="s">
        <v>996</v>
      </c>
      <c r="F53" s="21"/>
      <c r="G53" s="21"/>
      <c r="H53" s="21"/>
      <c r="I53" s="21"/>
      <c r="J53" s="21"/>
      <c r="K53" s="21"/>
      <c r="L53" s="21"/>
    </row>
    <row r="54" spans="1:12" ht="29" x14ac:dyDescent="0.35">
      <c r="A54" s="21" t="s">
        <v>1007</v>
      </c>
      <c r="B54" s="21" t="s">
        <v>1014</v>
      </c>
      <c r="C54" s="21" t="s">
        <v>1015</v>
      </c>
      <c r="D54" s="21"/>
      <c r="E54" s="21" t="s">
        <v>996</v>
      </c>
      <c r="F54" s="21"/>
      <c r="G54" s="21"/>
      <c r="H54" s="21"/>
      <c r="I54" s="21"/>
      <c r="J54" s="21"/>
      <c r="K54" s="21"/>
      <c r="L54" s="21"/>
    </row>
    <row r="55" spans="1:12" ht="29" x14ac:dyDescent="0.35">
      <c r="A55" s="21" t="s">
        <v>1007</v>
      </c>
      <c r="B55" s="21" t="s">
        <v>1016</v>
      </c>
      <c r="C55" s="21" t="s">
        <v>1017</v>
      </c>
      <c r="D55" s="21"/>
      <c r="E55" s="21" t="s">
        <v>996</v>
      </c>
      <c r="F55" s="21"/>
      <c r="G55" s="21"/>
      <c r="H55" s="21"/>
      <c r="I55" s="21"/>
      <c r="J55" s="21"/>
      <c r="K55" s="21"/>
      <c r="L55" s="21"/>
    </row>
    <row r="56" spans="1:12" ht="29" x14ac:dyDescent="0.35">
      <c r="A56" s="21" t="s">
        <v>1007</v>
      </c>
      <c r="B56" s="21" t="s">
        <v>1018</v>
      </c>
      <c r="C56" s="21" t="s">
        <v>1019</v>
      </c>
      <c r="D56" s="21"/>
      <c r="E56" s="21" t="s">
        <v>996</v>
      </c>
      <c r="F56" s="21"/>
      <c r="G56" s="21"/>
      <c r="H56" s="21"/>
      <c r="I56" s="21"/>
      <c r="J56" s="21"/>
      <c r="K56" s="21"/>
      <c r="L56" s="21"/>
    </row>
    <row r="57" spans="1:12" ht="43.5" x14ac:dyDescent="0.35">
      <c r="A57" s="21" t="s">
        <v>1020</v>
      </c>
      <c r="B57" s="21" t="s">
        <v>1021</v>
      </c>
      <c r="C57" s="21" t="s">
        <v>1022</v>
      </c>
      <c r="D57" s="21"/>
      <c r="E57" s="21" t="s">
        <v>1023</v>
      </c>
      <c r="F57" s="21"/>
      <c r="G57" s="21"/>
      <c r="H57" s="21"/>
      <c r="I57" s="21"/>
      <c r="J57" s="21"/>
      <c r="K57" s="21"/>
      <c r="L57" s="21"/>
    </row>
    <row r="58" spans="1:12" ht="43.5" x14ac:dyDescent="0.35">
      <c r="A58" s="21" t="s">
        <v>1020</v>
      </c>
      <c r="B58" s="21" t="s">
        <v>1024</v>
      </c>
      <c r="C58" s="21" t="s">
        <v>1025</v>
      </c>
      <c r="D58" s="21"/>
      <c r="E58" s="21" t="s">
        <v>1023</v>
      </c>
      <c r="F58" s="21"/>
      <c r="G58" s="21"/>
      <c r="H58" s="21"/>
      <c r="I58" s="21"/>
      <c r="J58" s="21"/>
      <c r="K58" s="21"/>
      <c r="L58" s="21"/>
    </row>
    <row r="59" spans="1:12" ht="43.5" x14ac:dyDescent="0.35">
      <c r="A59" s="21" t="s">
        <v>1020</v>
      </c>
      <c r="B59" s="21" t="s">
        <v>1026</v>
      </c>
      <c r="C59" s="21" t="s">
        <v>1027</v>
      </c>
      <c r="D59" s="21"/>
      <c r="E59" s="21" t="s">
        <v>1023</v>
      </c>
      <c r="F59" s="21"/>
      <c r="G59" s="21"/>
      <c r="H59" s="21"/>
      <c r="I59" s="21"/>
      <c r="J59" s="21"/>
      <c r="K59" s="21"/>
      <c r="L59" s="21"/>
    </row>
    <row r="60" spans="1:12" ht="43.5" x14ac:dyDescent="0.35">
      <c r="A60" s="21" t="s">
        <v>1020</v>
      </c>
      <c r="B60" s="21" t="s">
        <v>1028</v>
      </c>
      <c r="C60" s="21" t="s">
        <v>1029</v>
      </c>
      <c r="D60" s="21"/>
      <c r="E60" s="21" t="s">
        <v>1023</v>
      </c>
      <c r="F60" s="21"/>
      <c r="G60" s="21"/>
      <c r="H60" s="21"/>
      <c r="I60" s="21"/>
      <c r="J60" s="21"/>
      <c r="K60" s="21"/>
      <c r="L60" s="21"/>
    </row>
    <row r="61" spans="1:12" ht="43.5" x14ac:dyDescent="0.35">
      <c r="A61" s="21" t="s">
        <v>1020</v>
      </c>
      <c r="B61" s="21" t="s">
        <v>1030</v>
      </c>
      <c r="C61" s="21" t="s">
        <v>1031</v>
      </c>
      <c r="D61" s="21"/>
      <c r="E61" s="21" t="s">
        <v>1023</v>
      </c>
      <c r="F61" s="21"/>
      <c r="G61" s="21"/>
      <c r="H61" s="21"/>
      <c r="I61" s="21"/>
      <c r="J61" s="21"/>
      <c r="K61" s="21"/>
      <c r="L61" s="21"/>
    </row>
    <row r="62" spans="1:12" ht="43.5" x14ac:dyDescent="0.35">
      <c r="A62" s="21" t="s">
        <v>1020</v>
      </c>
      <c r="B62" s="21" t="s">
        <v>1032</v>
      </c>
      <c r="C62" s="21" t="s">
        <v>1033</v>
      </c>
      <c r="D62" s="21"/>
      <c r="E62" s="21" t="s">
        <v>1023</v>
      </c>
      <c r="F62" s="21"/>
      <c r="G62" s="21"/>
      <c r="H62" s="21"/>
      <c r="I62" s="21"/>
      <c r="J62" s="21"/>
      <c r="K62" s="21"/>
      <c r="L62" s="21"/>
    </row>
    <row r="63" spans="1:12" ht="29" x14ac:dyDescent="0.35">
      <c r="A63" s="21" t="s">
        <v>428</v>
      </c>
      <c r="B63" s="21" t="s">
        <v>1034</v>
      </c>
      <c r="C63" s="21" t="s">
        <v>1035</v>
      </c>
      <c r="D63" s="21"/>
      <c r="E63" s="21" t="s">
        <v>996</v>
      </c>
      <c r="F63" s="21"/>
      <c r="G63" s="21"/>
      <c r="H63" s="21"/>
      <c r="I63" s="21"/>
      <c r="J63" s="21"/>
      <c r="K63" s="21"/>
      <c r="L63" s="21"/>
    </row>
    <row r="64" spans="1:12" ht="43.5" x14ac:dyDescent="0.35">
      <c r="A64" s="21" t="s">
        <v>428</v>
      </c>
      <c r="B64" s="21" t="s">
        <v>1036</v>
      </c>
      <c r="C64" s="21" t="s">
        <v>1037</v>
      </c>
      <c r="D64" s="21"/>
      <c r="E64" s="21" t="s">
        <v>996</v>
      </c>
      <c r="F64" s="21"/>
      <c r="G64" s="21"/>
      <c r="H64" s="21"/>
      <c r="I64" s="21"/>
      <c r="J64" s="21"/>
      <c r="K64" s="21"/>
      <c r="L64" s="21"/>
    </row>
    <row r="65" spans="1:12" ht="29" x14ac:dyDescent="0.35">
      <c r="A65" s="21" t="s">
        <v>428</v>
      </c>
      <c r="B65" s="21" t="s">
        <v>1038</v>
      </c>
      <c r="C65" s="21" t="s">
        <v>1039</v>
      </c>
      <c r="D65" s="21"/>
      <c r="E65" s="21" t="s">
        <v>996</v>
      </c>
      <c r="F65" s="21"/>
      <c r="G65" s="21"/>
      <c r="H65" s="21"/>
      <c r="I65" s="21"/>
      <c r="J65" s="21"/>
      <c r="K65" s="21"/>
      <c r="L65" s="21"/>
    </row>
    <row r="66" spans="1:12" ht="43.5" x14ac:dyDescent="0.35">
      <c r="A66" s="21" t="s">
        <v>428</v>
      </c>
      <c r="B66" s="21" t="s">
        <v>1040</v>
      </c>
      <c r="C66" s="21" t="s">
        <v>1041</v>
      </c>
      <c r="D66" s="21"/>
      <c r="E66" s="21" t="s">
        <v>996</v>
      </c>
      <c r="F66" s="21"/>
      <c r="G66" s="21"/>
      <c r="H66" s="21"/>
      <c r="I66" s="21"/>
      <c r="J66" s="21"/>
      <c r="K66" s="21"/>
      <c r="L66" s="21"/>
    </row>
    <row r="67" spans="1:12" ht="29" x14ac:dyDescent="0.35">
      <c r="A67" s="21" t="s">
        <v>428</v>
      </c>
      <c r="B67" s="21" t="s">
        <v>1042</v>
      </c>
      <c r="C67" s="21" t="s">
        <v>1043</v>
      </c>
      <c r="D67" s="21"/>
      <c r="E67" s="21" t="s">
        <v>996</v>
      </c>
      <c r="F67" s="21"/>
      <c r="G67" s="21"/>
      <c r="H67" s="21"/>
      <c r="I67" s="21"/>
      <c r="J67" s="21"/>
      <c r="K67" s="21"/>
      <c r="L67" s="21"/>
    </row>
    <row r="68" spans="1:12" ht="29" x14ac:dyDescent="0.35">
      <c r="A68" s="21" t="s">
        <v>428</v>
      </c>
      <c r="B68" s="21" t="s">
        <v>1044</v>
      </c>
      <c r="C68" s="21" t="s">
        <v>1045</v>
      </c>
      <c r="D68" s="21"/>
      <c r="E68" s="21" t="s">
        <v>996</v>
      </c>
      <c r="F68" s="21"/>
      <c r="G68" s="21"/>
      <c r="H68" s="21"/>
      <c r="I68" s="21"/>
      <c r="J68" s="21"/>
      <c r="K68" s="21"/>
      <c r="L68" s="21"/>
    </row>
    <row r="69" spans="1:12" ht="29" x14ac:dyDescent="0.35">
      <c r="A69" s="21" t="s">
        <v>1046</v>
      </c>
      <c r="B69" s="21" t="s">
        <v>1047</v>
      </c>
      <c r="C69" s="21" t="s">
        <v>1048</v>
      </c>
      <c r="D69" s="21"/>
      <c r="E69" s="21" t="s">
        <v>996</v>
      </c>
      <c r="F69" s="21"/>
      <c r="G69" s="21"/>
      <c r="H69" s="21"/>
      <c r="I69" s="21"/>
      <c r="J69" s="21"/>
      <c r="K69" s="21"/>
      <c r="L69" s="21"/>
    </row>
    <row r="70" spans="1:12" ht="29" x14ac:dyDescent="0.35">
      <c r="A70" s="21" t="s">
        <v>1046</v>
      </c>
      <c r="B70" s="21" t="s">
        <v>1049</v>
      </c>
      <c r="C70" s="21" t="s">
        <v>1050</v>
      </c>
      <c r="D70" s="21"/>
      <c r="E70" s="21" t="s">
        <v>996</v>
      </c>
      <c r="F70" s="21"/>
      <c r="G70" s="21"/>
      <c r="H70" s="21"/>
      <c r="I70" s="21"/>
      <c r="J70" s="21"/>
      <c r="K70" s="21"/>
      <c r="L70" s="21"/>
    </row>
    <row r="71" spans="1:12" ht="29" x14ac:dyDescent="0.35">
      <c r="A71" s="21" t="s">
        <v>1046</v>
      </c>
      <c r="B71" s="21" t="s">
        <v>1051</v>
      </c>
      <c r="C71" s="21" t="s">
        <v>1052</v>
      </c>
      <c r="D71" s="21"/>
      <c r="E71" s="21" t="s">
        <v>996</v>
      </c>
      <c r="F71" s="21"/>
      <c r="G71" s="21"/>
      <c r="H71" s="21"/>
      <c r="I71" s="21"/>
      <c r="J71" s="21"/>
      <c r="K71" s="21"/>
      <c r="L71" s="21"/>
    </row>
    <row r="72" spans="1:12" ht="29" x14ac:dyDescent="0.35">
      <c r="A72" s="21" t="s">
        <v>1046</v>
      </c>
      <c r="B72" s="21" t="s">
        <v>1053</v>
      </c>
      <c r="C72" s="21" t="s">
        <v>1054</v>
      </c>
      <c r="D72" s="21"/>
      <c r="E72" s="21" t="s">
        <v>996</v>
      </c>
      <c r="F72" s="21"/>
      <c r="G72" s="21"/>
      <c r="H72" s="21"/>
      <c r="I72" s="21"/>
      <c r="J72" s="21"/>
      <c r="K72" s="21"/>
      <c r="L72" s="21"/>
    </row>
    <row r="73" spans="1:12" ht="29" x14ac:dyDescent="0.35">
      <c r="A73" s="21" t="s">
        <v>1046</v>
      </c>
      <c r="B73" s="21" t="s">
        <v>1055</v>
      </c>
      <c r="C73" s="21" t="s">
        <v>1056</v>
      </c>
      <c r="D73" s="21"/>
      <c r="E73" s="21" t="s">
        <v>996</v>
      </c>
      <c r="F73" s="21"/>
      <c r="G73" s="21"/>
      <c r="H73" s="21"/>
      <c r="I73" s="21"/>
      <c r="J73" s="21"/>
      <c r="K73" s="21"/>
      <c r="L73" s="21"/>
    </row>
    <row r="74" spans="1:12" ht="29" x14ac:dyDescent="0.35">
      <c r="A74" s="21" t="s">
        <v>1046</v>
      </c>
      <c r="B74" s="21" t="s">
        <v>1057</v>
      </c>
      <c r="C74" s="21" t="s">
        <v>1058</v>
      </c>
      <c r="D74" s="21"/>
      <c r="E74" s="21" t="s">
        <v>996</v>
      </c>
      <c r="F74" s="21"/>
      <c r="G74" s="21"/>
      <c r="H74" s="21"/>
      <c r="I74" s="21"/>
      <c r="J74" s="21"/>
      <c r="K74" s="21"/>
      <c r="L74" s="21"/>
    </row>
    <row r="75" spans="1:12" ht="29" x14ac:dyDescent="0.35">
      <c r="A75" s="21" t="s">
        <v>1059</v>
      </c>
      <c r="B75" s="21" t="s">
        <v>1060</v>
      </c>
      <c r="C75" s="21" t="s">
        <v>1061</v>
      </c>
      <c r="D75" s="21"/>
      <c r="E75" s="21" t="s">
        <v>996</v>
      </c>
      <c r="F75" s="21"/>
      <c r="G75" s="21"/>
      <c r="H75" s="21"/>
      <c r="I75" s="21"/>
      <c r="J75" s="21"/>
      <c r="K75" s="21"/>
      <c r="L75" s="21"/>
    </row>
    <row r="76" spans="1:12" ht="43.5" x14ac:dyDescent="0.35">
      <c r="A76" s="21" t="s">
        <v>1059</v>
      </c>
      <c r="B76" s="21" t="s">
        <v>1062</v>
      </c>
      <c r="C76" s="21" t="s">
        <v>1063</v>
      </c>
      <c r="D76" s="21"/>
      <c r="E76" s="21" t="s">
        <v>996</v>
      </c>
      <c r="F76" s="21"/>
      <c r="G76" s="21"/>
      <c r="H76" s="21"/>
      <c r="I76" s="21"/>
      <c r="J76" s="21"/>
      <c r="K76" s="21"/>
      <c r="L76" s="21"/>
    </row>
    <row r="77" spans="1:12" ht="29" x14ac:dyDescent="0.35">
      <c r="A77" s="21" t="s">
        <v>1059</v>
      </c>
      <c r="B77" s="21" t="s">
        <v>1064</v>
      </c>
      <c r="C77" s="21" t="s">
        <v>1065</v>
      </c>
      <c r="D77" s="21"/>
      <c r="E77" s="21" t="s">
        <v>996</v>
      </c>
      <c r="F77" s="21"/>
      <c r="G77" s="21"/>
      <c r="H77" s="21"/>
      <c r="I77" s="21"/>
      <c r="J77" s="21"/>
      <c r="K77" s="21"/>
      <c r="L77" s="21"/>
    </row>
    <row r="78" spans="1:12" ht="29" x14ac:dyDescent="0.35">
      <c r="A78" s="21" t="s">
        <v>1059</v>
      </c>
      <c r="B78" s="21" t="s">
        <v>1066</v>
      </c>
      <c r="C78" s="21" t="s">
        <v>1067</v>
      </c>
      <c r="D78" s="21"/>
      <c r="E78" s="21" t="s">
        <v>996</v>
      </c>
      <c r="F78" s="21"/>
      <c r="G78" s="21"/>
      <c r="H78" s="21"/>
      <c r="I78" s="21"/>
      <c r="J78" s="21"/>
      <c r="K78" s="21"/>
      <c r="L78" s="21"/>
    </row>
    <row r="79" spans="1:12" ht="29" x14ac:dyDescent="0.35">
      <c r="A79" s="21" t="s">
        <v>1059</v>
      </c>
      <c r="B79" s="21" t="s">
        <v>1068</v>
      </c>
      <c r="C79" s="21" t="s">
        <v>1069</v>
      </c>
      <c r="D79" s="21"/>
      <c r="E79" s="21" t="s">
        <v>996</v>
      </c>
      <c r="F79" s="21"/>
      <c r="G79" s="21"/>
      <c r="H79" s="21"/>
      <c r="I79" s="21"/>
      <c r="J79" s="21"/>
      <c r="K79" s="21"/>
      <c r="L79" s="21"/>
    </row>
    <row r="80" spans="1:12" ht="29" x14ac:dyDescent="0.35">
      <c r="A80" s="21" t="s">
        <v>1059</v>
      </c>
      <c r="B80" s="21" t="s">
        <v>1070</v>
      </c>
      <c r="C80" s="21" t="s">
        <v>1071</v>
      </c>
      <c r="D80" s="21"/>
      <c r="E80" s="21" t="s">
        <v>996</v>
      </c>
      <c r="F80" s="21"/>
      <c r="G80" s="21"/>
      <c r="H80" s="21"/>
      <c r="I80" s="21"/>
      <c r="J80" s="21"/>
      <c r="K80" s="21"/>
      <c r="L80" s="21"/>
    </row>
    <row r="81" spans="1:12" ht="29" x14ac:dyDescent="0.35">
      <c r="A81" s="21" t="s">
        <v>1072</v>
      </c>
      <c r="B81" s="21" t="s">
        <v>1073</v>
      </c>
      <c r="C81" s="21" t="s">
        <v>1074</v>
      </c>
      <c r="D81" s="21"/>
      <c r="E81" s="21" t="s">
        <v>996</v>
      </c>
      <c r="F81" s="21"/>
      <c r="G81" s="21"/>
      <c r="H81" s="21"/>
      <c r="I81" s="21"/>
      <c r="J81" s="21"/>
      <c r="K81" s="21"/>
      <c r="L81" s="21"/>
    </row>
    <row r="82" spans="1:12" ht="29" x14ac:dyDescent="0.35">
      <c r="A82" s="21" t="s">
        <v>1072</v>
      </c>
      <c r="B82" s="21" t="s">
        <v>1075</v>
      </c>
      <c r="C82" s="21" t="s">
        <v>1076</v>
      </c>
      <c r="D82" s="21"/>
      <c r="E82" s="21" t="s">
        <v>996</v>
      </c>
      <c r="F82" s="21"/>
      <c r="G82" s="21"/>
      <c r="H82" s="21"/>
      <c r="I82" s="21"/>
      <c r="J82" s="21"/>
      <c r="K82" s="21"/>
      <c r="L82" s="21"/>
    </row>
    <row r="83" spans="1:12" ht="29" x14ac:dyDescent="0.35">
      <c r="A83" s="21" t="s">
        <v>1072</v>
      </c>
      <c r="B83" s="21" t="s">
        <v>1077</v>
      </c>
      <c r="C83" s="21" t="s">
        <v>1078</v>
      </c>
      <c r="D83" s="21"/>
      <c r="E83" s="21" t="s">
        <v>996</v>
      </c>
      <c r="F83" s="21"/>
      <c r="G83" s="21"/>
      <c r="H83" s="21"/>
      <c r="I83" s="21"/>
      <c r="J83" s="21"/>
      <c r="K83" s="21"/>
      <c r="L83" s="21"/>
    </row>
    <row r="84" spans="1:12" ht="29" x14ac:dyDescent="0.35">
      <c r="A84" s="21" t="s">
        <v>1072</v>
      </c>
      <c r="B84" s="21" t="s">
        <v>1079</v>
      </c>
      <c r="C84" s="21" t="s">
        <v>1080</v>
      </c>
      <c r="D84" s="21"/>
      <c r="E84" s="21" t="s">
        <v>996</v>
      </c>
      <c r="F84" s="21"/>
      <c r="G84" s="21"/>
      <c r="H84" s="21"/>
      <c r="I84" s="21"/>
      <c r="J84" s="21"/>
      <c r="K84" s="21"/>
      <c r="L84" s="21"/>
    </row>
    <row r="85" spans="1:12" ht="29" x14ac:dyDescent="0.35">
      <c r="A85" s="21" t="s">
        <v>1072</v>
      </c>
      <c r="B85" s="21" t="s">
        <v>1081</v>
      </c>
      <c r="C85" s="21" t="s">
        <v>1082</v>
      </c>
      <c r="D85" s="21"/>
      <c r="E85" s="21" t="s">
        <v>996</v>
      </c>
      <c r="F85" s="21"/>
      <c r="G85" s="21"/>
      <c r="H85" s="21"/>
      <c r="I85" s="21"/>
      <c r="J85" s="21"/>
      <c r="K85" s="21"/>
      <c r="L85" s="21"/>
    </row>
    <row r="86" spans="1:12" ht="29" x14ac:dyDescent="0.35">
      <c r="A86" s="21" t="s">
        <v>1072</v>
      </c>
      <c r="B86" s="21" t="s">
        <v>1083</v>
      </c>
      <c r="C86" s="21" t="s">
        <v>1084</v>
      </c>
      <c r="D86" s="21"/>
      <c r="E86" s="21" t="s">
        <v>996</v>
      </c>
      <c r="F86" s="21"/>
      <c r="G86" s="21"/>
      <c r="H86" s="21"/>
      <c r="I86" s="21"/>
      <c r="J86" s="21"/>
      <c r="K86" s="21"/>
      <c r="L86" s="21"/>
    </row>
    <row r="87" spans="1:12" ht="29" x14ac:dyDescent="0.35">
      <c r="A87" s="21" t="s">
        <v>1085</v>
      </c>
      <c r="B87" s="21" t="s">
        <v>1086</v>
      </c>
      <c r="C87" s="21" t="s">
        <v>1087</v>
      </c>
      <c r="D87" s="21"/>
      <c r="E87" s="21" t="s">
        <v>996</v>
      </c>
      <c r="F87" s="21"/>
      <c r="G87" s="21"/>
      <c r="H87" s="21"/>
      <c r="I87" s="21"/>
      <c r="J87" s="21"/>
      <c r="K87" s="21"/>
      <c r="L87" s="21"/>
    </row>
    <row r="88" spans="1:12" ht="29" x14ac:dyDescent="0.35">
      <c r="A88" s="21" t="s">
        <v>1085</v>
      </c>
      <c r="B88" s="21" t="s">
        <v>1088</v>
      </c>
      <c r="C88" s="21" t="s">
        <v>1089</v>
      </c>
      <c r="D88" s="21"/>
      <c r="E88" s="21" t="s">
        <v>996</v>
      </c>
      <c r="F88" s="21"/>
      <c r="G88" s="21"/>
      <c r="H88" s="21"/>
      <c r="I88" s="21"/>
      <c r="J88" s="21"/>
      <c r="K88" s="21"/>
      <c r="L88" s="21"/>
    </row>
    <row r="89" spans="1:12" ht="29" x14ac:dyDescent="0.35">
      <c r="A89" s="21" t="s">
        <v>1085</v>
      </c>
      <c r="B89" s="21" t="s">
        <v>1090</v>
      </c>
      <c r="C89" s="21" t="s">
        <v>1091</v>
      </c>
      <c r="D89" s="21"/>
      <c r="E89" s="21" t="s">
        <v>996</v>
      </c>
      <c r="F89" s="21"/>
      <c r="G89" s="21"/>
      <c r="H89" s="21"/>
      <c r="I89" s="21"/>
      <c r="J89" s="21"/>
      <c r="K89" s="21"/>
      <c r="L89" s="21"/>
    </row>
    <row r="90" spans="1:12" ht="29" x14ac:dyDescent="0.35">
      <c r="A90" s="21" t="s">
        <v>1085</v>
      </c>
      <c r="B90" s="21" t="s">
        <v>1092</v>
      </c>
      <c r="C90" s="21" t="s">
        <v>1093</v>
      </c>
      <c r="D90" s="21"/>
      <c r="E90" s="21" t="s">
        <v>996</v>
      </c>
      <c r="F90" s="21"/>
      <c r="G90" s="21"/>
      <c r="H90" s="21"/>
      <c r="I90" s="21"/>
      <c r="J90" s="21"/>
      <c r="K90" s="21"/>
      <c r="L90" s="21"/>
    </row>
    <row r="91" spans="1:12" ht="29" x14ac:dyDescent="0.35">
      <c r="A91" s="21" t="s">
        <v>1085</v>
      </c>
      <c r="B91" s="21" t="s">
        <v>1094</v>
      </c>
      <c r="C91" s="21" t="s">
        <v>1095</v>
      </c>
      <c r="D91" s="21"/>
      <c r="E91" s="21" t="s">
        <v>996</v>
      </c>
      <c r="F91" s="21"/>
      <c r="G91" s="21"/>
      <c r="H91" s="21"/>
      <c r="I91" s="21"/>
      <c r="J91" s="21"/>
      <c r="K91" s="21"/>
      <c r="L91" s="21"/>
    </row>
    <row r="92" spans="1:12" ht="29" x14ac:dyDescent="0.35">
      <c r="A92" s="21" t="s">
        <v>1085</v>
      </c>
      <c r="B92" s="21" t="s">
        <v>1096</v>
      </c>
      <c r="C92" s="21" t="s">
        <v>1097</v>
      </c>
      <c r="D92" s="21"/>
      <c r="E92" s="21" t="s">
        <v>996</v>
      </c>
      <c r="F92" s="21"/>
      <c r="G92" s="21"/>
      <c r="H92" s="21"/>
      <c r="I92" s="21"/>
      <c r="J92" s="21"/>
      <c r="K92" s="21"/>
      <c r="L92" s="21"/>
    </row>
    <row r="93" spans="1:12" ht="29" x14ac:dyDescent="0.35">
      <c r="A93" s="21" t="s">
        <v>1098</v>
      </c>
      <c r="B93" s="21" t="s">
        <v>1099</v>
      </c>
      <c r="C93" s="21" t="s">
        <v>1100</v>
      </c>
      <c r="D93" s="21"/>
      <c r="E93" s="21" t="s">
        <v>996</v>
      </c>
      <c r="F93" s="21"/>
      <c r="G93" s="21"/>
      <c r="H93" s="21"/>
      <c r="I93" s="21"/>
      <c r="J93" s="21"/>
      <c r="K93" s="21"/>
      <c r="L93" s="21"/>
    </row>
    <row r="94" spans="1:12" ht="29" x14ac:dyDescent="0.35">
      <c r="A94" s="21" t="s">
        <v>1098</v>
      </c>
      <c r="B94" s="21" t="s">
        <v>1101</v>
      </c>
      <c r="C94" s="21" t="s">
        <v>1102</v>
      </c>
      <c r="D94" s="21"/>
      <c r="E94" s="21" t="s">
        <v>996</v>
      </c>
      <c r="F94" s="21"/>
      <c r="G94" s="21"/>
      <c r="H94" s="21"/>
      <c r="I94" s="21"/>
      <c r="J94" s="21"/>
      <c r="K94" s="21"/>
      <c r="L94" s="21"/>
    </row>
    <row r="95" spans="1:12" ht="29" x14ac:dyDescent="0.35">
      <c r="A95" s="21" t="s">
        <v>1098</v>
      </c>
      <c r="B95" s="21" t="s">
        <v>1103</v>
      </c>
      <c r="C95" s="21" t="s">
        <v>1104</v>
      </c>
      <c r="D95" s="21"/>
      <c r="E95" s="21" t="s">
        <v>996</v>
      </c>
      <c r="F95" s="21"/>
      <c r="G95" s="21"/>
      <c r="H95" s="21"/>
      <c r="I95" s="21"/>
      <c r="J95" s="21"/>
      <c r="K95" s="21"/>
      <c r="L95" s="21"/>
    </row>
    <row r="96" spans="1:12" ht="29" x14ac:dyDescent="0.35">
      <c r="A96" s="21" t="s">
        <v>1098</v>
      </c>
      <c r="B96" s="21" t="s">
        <v>1105</v>
      </c>
      <c r="C96" s="21" t="s">
        <v>1106</v>
      </c>
      <c r="D96" s="21"/>
      <c r="E96" s="21" t="s">
        <v>996</v>
      </c>
      <c r="F96" s="21"/>
      <c r="G96" s="21"/>
      <c r="H96" s="21"/>
      <c r="I96" s="21"/>
      <c r="J96" s="21"/>
      <c r="K96" s="21"/>
      <c r="L96" s="21"/>
    </row>
    <row r="97" spans="1:12" ht="29" x14ac:dyDescent="0.35">
      <c r="A97" s="21" t="s">
        <v>1098</v>
      </c>
      <c r="B97" s="21" t="s">
        <v>1107</v>
      </c>
      <c r="C97" s="21" t="s">
        <v>1108</v>
      </c>
      <c r="D97" s="21"/>
      <c r="E97" s="21" t="s">
        <v>996</v>
      </c>
      <c r="F97" s="21"/>
      <c r="G97" s="21"/>
      <c r="H97" s="21"/>
      <c r="I97" s="21"/>
      <c r="J97" s="21"/>
      <c r="K97" s="21"/>
      <c r="L97" s="21"/>
    </row>
    <row r="98" spans="1:12" ht="29" x14ac:dyDescent="0.35">
      <c r="A98" s="21" t="s">
        <v>1098</v>
      </c>
      <c r="B98" s="21" t="s">
        <v>1109</v>
      </c>
      <c r="C98" s="21" t="s">
        <v>1110</v>
      </c>
      <c r="D98" s="21"/>
      <c r="E98" s="21" t="s">
        <v>996</v>
      </c>
      <c r="F98" s="21"/>
      <c r="G98" s="21"/>
      <c r="H98" s="21"/>
      <c r="I98" s="21"/>
      <c r="J98" s="21"/>
      <c r="K98" s="21"/>
      <c r="L98" s="21"/>
    </row>
    <row r="99" spans="1:12" ht="29" x14ac:dyDescent="0.35">
      <c r="A99" s="21" t="s">
        <v>1111</v>
      </c>
      <c r="B99" s="21" t="s">
        <v>1112</v>
      </c>
      <c r="C99" s="21" t="s">
        <v>1113</v>
      </c>
      <c r="D99" s="21"/>
      <c r="E99" s="21" t="s">
        <v>1114</v>
      </c>
      <c r="F99" s="21"/>
      <c r="G99" s="21"/>
      <c r="H99" s="21"/>
      <c r="I99" s="21"/>
      <c r="J99" s="21"/>
      <c r="K99" s="21"/>
      <c r="L99" s="21"/>
    </row>
    <row r="100" spans="1:12" ht="29" x14ac:dyDescent="0.35">
      <c r="A100" s="21" t="s">
        <v>1111</v>
      </c>
      <c r="B100" s="21" t="s">
        <v>1115</v>
      </c>
      <c r="C100" s="21" t="s">
        <v>1116</v>
      </c>
      <c r="D100" s="21"/>
      <c r="E100" s="21" t="s">
        <v>1114</v>
      </c>
      <c r="F100" s="21"/>
      <c r="G100" s="21"/>
      <c r="H100" s="21"/>
      <c r="I100" s="21"/>
      <c r="J100" s="21"/>
      <c r="K100" s="21"/>
      <c r="L100" s="21"/>
    </row>
    <row r="101" spans="1:12" ht="29" x14ac:dyDescent="0.35">
      <c r="A101" s="21" t="s">
        <v>1111</v>
      </c>
      <c r="B101" s="21" t="s">
        <v>1117</v>
      </c>
      <c r="C101" s="21" t="s">
        <v>1118</v>
      </c>
      <c r="D101" s="21"/>
      <c r="E101" s="21" t="s">
        <v>1114</v>
      </c>
      <c r="F101" s="21"/>
      <c r="G101" s="21"/>
      <c r="H101" s="21"/>
      <c r="I101" s="21"/>
      <c r="J101" s="21"/>
      <c r="K101" s="21"/>
      <c r="L101" s="21"/>
    </row>
    <row r="102" spans="1:12" ht="29" x14ac:dyDescent="0.35">
      <c r="A102" s="21" t="s">
        <v>1111</v>
      </c>
      <c r="B102" s="21" t="s">
        <v>1119</v>
      </c>
      <c r="C102" s="21" t="s">
        <v>1120</v>
      </c>
      <c r="D102" s="21"/>
      <c r="E102" s="21" t="s">
        <v>1114</v>
      </c>
      <c r="F102" s="21"/>
      <c r="G102" s="21"/>
      <c r="H102" s="21"/>
      <c r="I102" s="21"/>
      <c r="J102" s="21"/>
      <c r="K102" s="21"/>
      <c r="L102" s="21"/>
    </row>
    <row r="103" spans="1:12" ht="29" x14ac:dyDescent="0.35">
      <c r="A103" s="21" t="s">
        <v>1111</v>
      </c>
      <c r="B103" s="21" t="s">
        <v>1121</v>
      </c>
      <c r="C103" s="21" t="s">
        <v>1122</v>
      </c>
      <c r="D103" s="21"/>
      <c r="E103" s="21" t="s">
        <v>1114</v>
      </c>
      <c r="F103" s="21"/>
      <c r="G103" s="21"/>
      <c r="H103" s="21"/>
      <c r="I103" s="21"/>
      <c r="J103" s="21"/>
      <c r="K103" s="21"/>
      <c r="L103" s="21"/>
    </row>
    <row r="104" spans="1:12" ht="29" x14ac:dyDescent="0.35">
      <c r="A104" s="21" t="s">
        <v>1111</v>
      </c>
      <c r="B104" s="21" t="s">
        <v>1123</v>
      </c>
      <c r="C104" s="21" t="s">
        <v>1124</v>
      </c>
      <c r="D104" s="21"/>
      <c r="E104" s="21" t="s">
        <v>1114</v>
      </c>
      <c r="F104" s="21"/>
      <c r="G104" s="21"/>
      <c r="H104" s="21"/>
      <c r="I104" s="21"/>
      <c r="J104" s="21"/>
      <c r="K104" s="21"/>
      <c r="L104" s="21"/>
    </row>
    <row r="105" spans="1:12" ht="29" x14ac:dyDescent="0.35">
      <c r="A105" s="21" t="s">
        <v>1125</v>
      </c>
      <c r="B105" s="21" t="s">
        <v>1126</v>
      </c>
      <c r="C105" s="21" t="s">
        <v>1127</v>
      </c>
      <c r="D105" s="21"/>
      <c r="E105" s="21" t="s">
        <v>1114</v>
      </c>
      <c r="F105" s="21"/>
      <c r="G105" s="21"/>
      <c r="H105" s="21"/>
      <c r="I105" s="21"/>
      <c r="J105" s="21"/>
      <c r="K105" s="21"/>
      <c r="L105" s="21"/>
    </row>
    <row r="106" spans="1:12" ht="29" x14ac:dyDescent="0.35">
      <c r="A106" s="21" t="s">
        <v>1125</v>
      </c>
      <c r="B106" s="21" t="s">
        <v>1128</v>
      </c>
      <c r="C106" s="21" t="s">
        <v>1129</v>
      </c>
      <c r="D106" s="21"/>
      <c r="E106" s="21" t="s">
        <v>1114</v>
      </c>
      <c r="F106" s="21"/>
      <c r="G106" s="21"/>
      <c r="H106" s="21"/>
      <c r="I106" s="21"/>
      <c r="J106" s="21"/>
      <c r="K106" s="21"/>
      <c r="L106" s="21"/>
    </row>
    <row r="107" spans="1:12" ht="43.5" x14ac:dyDescent="0.35">
      <c r="A107" s="21" t="s">
        <v>1125</v>
      </c>
      <c r="B107" s="21" t="s">
        <v>1130</v>
      </c>
      <c r="C107" s="21" t="s">
        <v>1131</v>
      </c>
      <c r="D107" s="21"/>
      <c r="E107" s="21" t="s">
        <v>1114</v>
      </c>
      <c r="F107" s="21"/>
      <c r="G107" s="21"/>
      <c r="H107" s="21"/>
      <c r="I107" s="21"/>
      <c r="J107" s="21"/>
      <c r="K107" s="21"/>
      <c r="L107" s="21"/>
    </row>
    <row r="108" spans="1:12" ht="29" x14ac:dyDescent="0.35">
      <c r="A108" s="21" t="s">
        <v>1125</v>
      </c>
      <c r="B108" s="21" t="s">
        <v>1132</v>
      </c>
      <c r="C108" s="21" t="s">
        <v>1133</v>
      </c>
      <c r="D108" s="21"/>
      <c r="E108" s="21" t="s">
        <v>1114</v>
      </c>
      <c r="F108" s="21"/>
      <c r="G108" s="21"/>
      <c r="H108" s="21"/>
      <c r="I108" s="21"/>
      <c r="J108" s="21"/>
      <c r="K108" s="21"/>
      <c r="L108" s="21"/>
    </row>
    <row r="109" spans="1:12" ht="29" x14ac:dyDescent="0.35">
      <c r="A109" s="21" t="s">
        <v>1125</v>
      </c>
      <c r="B109" s="21" t="s">
        <v>1134</v>
      </c>
      <c r="C109" s="21" t="s">
        <v>1135</v>
      </c>
      <c r="D109" s="21"/>
      <c r="E109" s="21" t="s">
        <v>1114</v>
      </c>
      <c r="F109" s="21"/>
      <c r="G109" s="21"/>
      <c r="H109" s="21"/>
      <c r="I109" s="21"/>
      <c r="J109" s="21"/>
      <c r="K109" s="21"/>
      <c r="L109" s="21"/>
    </row>
    <row r="110" spans="1:12" ht="29" x14ac:dyDescent="0.35">
      <c r="A110" s="21" t="s">
        <v>1125</v>
      </c>
      <c r="B110" s="21" t="s">
        <v>1136</v>
      </c>
      <c r="C110" s="21" t="s">
        <v>1137</v>
      </c>
      <c r="D110" s="21"/>
      <c r="E110" s="21" t="s">
        <v>1114</v>
      </c>
      <c r="F110" s="21"/>
      <c r="G110" s="21"/>
      <c r="H110" s="21"/>
      <c r="I110" s="21"/>
      <c r="J110" s="21"/>
      <c r="K110" s="21"/>
      <c r="L110" s="21"/>
    </row>
    <row r="111" spans="1:12" ht="29" x14ac:dyDescent="0.35">
      <c r="A111" s="21" t="s">
        <v>1138</v>
      </c>
      <c r="B111" s="21" t="s">
        <v>1139</v>
      </c>
      <c r="C111" s="21" t="s">
        <v>1140</v>
      </c>
      <c r="D111" s="21"/>
      <c r="E111" s="21" t="s">
        <v>996</v>
      </c>
      <c r="F111" s="21"/>
      <c r="G111" s="21"/>
      <c r="H111" s="21"/>
      <c r="I111" s="21"/>
      <c r="J111" s="21"/>
      <c r="K111" s="21"/>
      <c r="L111" s="21"/>
    </row>
    <row r="112" spans="1:12" ht="29" x14ac:dyDescent="0.35">
      <c r="A112" s="21" t="s">
        <v>1138</v>
      </c>
      <c r="B112" s="21" t="s">
        <v>1141</v>
      </c>
      <c r="C112" s="21" t="s">
        <v>1142</v>
      </c>
      <c r="D112" s="21"/>
      <c r="E112" s="21" t="s">
        <v>996</v>
      </c>
      <c r="F112" s="21"/>
      <c r="G112" s="21"/>
      <c r="H112" s="21"/>
      <c r="I112" s="21"/>
      <c r="J112" s="21"/>
      <c r="K112" s="21"/>
      <c r="L112" s="21"/>
    </row>
    <row r="113" spans="1:12" ht="29" x14ac:dyDescent="0.35">
      <c r="A113" s="21" t="s">
        <v>1138</v>
      </c>
      <c r="B113" s="21" t="s">
        <v>1143</v>
      </c>
      <c r="C113" s="21" t="s">
        <v>1144</v>
      </c>
      <c r="D113" s="21"/>
      <c r="E113" s="21" t="s">
        <v>996</v>
      </c>
      <c r="F113" s="21"/>
      <c r="G113" s="21"/>
      <c r="H113" s="21"/>
      <c r="I113" s="21"/>
      <c r="J113" s="21"/>
      <c r="K113" s="21"/>
      <c r="L113" s="21"/>
    </row>
    <row r="114" spans="1:12" ht="29" x14ac:dyDescent="0.35">
      <c r="A114" s="21" t="s">
        <v>1138</v>
      </c>
      <c r="B114" s="21" t="s">
        <v>1145</v>
      </c>
      <c r="C114" s="21" t="s">
        <v>1146</v>
      </c>
      <c r="D114" s="21"/>
      <c r="E114" s="21" t="s">
        <v>996</v>
      </c>
      <c r="F114" s="21"/>
      <c r="G114" s="21"/>
      <c r="H114" s="21"/>
      <c r="I114" s="21"/>
      <c r="J114" s="21"/>
      <c r="K114" s="21"/>
      <c r="L114" s="21"/>
    </row>
    <row r="115" spans="1:12" ht="29" x14ac:dyDescent="0.35">
      <c r="A115" s="21" t="s">
        <v>1138</v>
      </c>
      <c r="B115" s="21" t="s">
        <v>1147</v>
      </c>
      <c r="C115" s="21" t="s">
        <v>1148</v>
      </c>
      <c r="D115" s="21"/>
      <c r="E115" s="21" t="s">
        <v>996</v>
      </c>
      <c r="F115" s="21"/>
      <c r="G115" s="21"/>
      <c r="H115" s="21"/>
      <c r="I115" s="21"/>
      <c r="J115" s="21"/>
      <c r="K115" s="21"/>
      <c r="L115" s="21"/>
    </row>
    <row r="116" spans="1:12" ht="29" x14ac:dyDescent="0.35">
      <c r="A116" s="21" t="s">
        <v>1138</v>
      </c>
      <c r="B116" s="21" t="s">
        <v>1149</v>
      </c>
      <c r="C116" s="21" t="s">
        <v>1150</v>
      </c>
      <c r="D116" s="21"/>
      <c r="E116" s="21" t="s">
        <v>996</v>
      </c>
      <c r="F116" s="21"/>
      <c r="G116" s="21"/>
      <c r="H116" s="21"/>
      <c r="I116" s="21"/>
      <c r="J116" s="21"/>
      <c r="K116" s="21"/>
      <c r="L116" s="21"/>
    </row>
    <row r="117" spans="1:12" ht="29" x14ac:dyDescent="0.35">
      <c r="A117" s="21" t="s">
        <v>1151</v>
      </c>
      <c r="B117" s="21" t="s">
        <v>1152</v>
      </c>
      <c r="C117" s="21" t="s">
        <v>1153</v>
      </c>
      <c r="D117" s="21"/>
      <c r="E117" s="21" t="s">
        <v>996</v>
      </c>
      <c r="F117" s="21"/>
      <c r="G117" s="21"/>
      <c r="H117" s="21"/>
      <c r="I117" s="21"/>
      <c r="J117" s="21"/>
      <c r="K117" s="21"/>
      <c r="L117" s="21"/>
    </row>
    <row r="118" spans="1:12" ht="29" x14ac:dyDescent="0.35">
      <c r="A118" s="21" t="s">
        <v>1151</v>
      </c>
      <c r="B118" s="21" t="s">
        <v>1154</v>
      </c>
      <c r="C118" s="21" t="s">
        <v>1155</v>
      </c>
      <c r="D118" s="21"/>
      <c r="E118" s="21" t="s">
        <v>996</v>
      </c>
      <c r="F118" s="21"/>
      <c r="G118" s="21"/>
      <c r="H118" s="21"/>
      <c r="I118" s="21"/>
      <c r="J118" s="21"/>
      <c r="K118" s="21"/>
      <c r="L118" s="21"/>
    </row>
    <row r="119" spans="1:12" ht="29" x14ac:dyDescent="0.35">
      <c r="A119" s="21" t="s">
        <v>1151</v>
      </c>
      <c r="B119" s="21" t="s">
        <v>1156</v>
      </c>
      <c r="C119" s="21" t="s">
        <v>1157</v>
      </c>
      <c r="D119" s="21"/>
      <c r="E119" s="21" t="s">
        <v>996</v>
      </c>
      <c r="F119" s="21"/>
      <c r="G119" s="21"/>
      <c r="H119" s="21"/>
      <c r="I119" s="21"/>
      <c r="J119" s="21"/>
      <c r="K119" s="21"/>
      <c r="L119" s="21"/>
    </row>
    <row r="120" spans="1:12" ht="29" x14ac:dyDescent="0.35">
      <c r="A120" s="21" t="s">
        <v>1151</v>
      </c>
      <c r="B120" s="21" t="s">
        <v>1158</v>
      </c>
      <c r="C120" s="21" t="s">
        <v>1159</v>
      </c>
      <c r="D120" s="21"/>
      <c r="E120" s="21" t="s">
        <v>996</v>
      </c>
      <c r="F120" s="21"/>
      <c r="G120" s="21"/>
      <c r="H120" s="21"/>
      <c r="I120" s="21"/>
      <c r="J120" s="21"/>
      <c r="K120" s="21"/>
      <c r="L120" s="21"/>
    </row>
    <row r="121" spans="1:12" ht="29" x14ac:dyDescent="0.35">
      <c r="A121" s="21" t="s">
        <v>1151</v>
      </c>
      <c r="B121" s="21" t="s">
        <v>1160</v>
      </c>
      <c r="C121" s="21" t="s">
        <v>1161</v>
      </c>
      <c r="D121" s="21"/>
      <c r="E121" s="21" t="s">
        <v>996</v>
      </c>
      <c r="F121" s="21"/>
      <c r="G121" s="21"/>
      <c r="H121" s="21"/>
      <c r="I121" s="21"/>
      <c r="J121" s="21"/>
      <c r="K121" s="21"/>
      <c r="L121" s="21"/>
    </row>
    <row r="122" spans="1:12" ht="29" x14ac:dyDescent="0.35">
      <c r="A122" s="21" t="s">
        <v>1151</v>
      </c>
      <c r="B122" s="21" t="s">
        <v>1162</v>
      </c>
      <c r="C122" s="21" t="s">
        <v>1163</v>
      </c>
      <c r="D122" s="21"/>
      <c r="E122" s="21" t="s">
        <v>996</v>
      </c>
      <c r="F122" s="21"/>
      <c r="G122" s="21"/>
      <c r="H122" s="21"/>
      <c r="I122" s="21"/>
      <c r="J122" s="21"/>
      <c r="K122" s="21"/>
      <c r="L122" s="21"/>
    </row>
    <row r="123" spans="1:12" ht="29" x14ac:dyDescent="0.35">
      <c r="A123" s="21" t="s">
        <v>432</v>
      </c>
      <c r="B123" s="21" t="s">
        <v>1164</v>
      </c>
      <c r="C123" s="21" t="s">
        <v>1165</v>
      </c>
      <c r="D123" s="21"/>
      <c r="E123" s="21" t="s">
        <v>1114</v>
      </c>
      <c r="F123" s="21"/>
      <c r="G123" s="21"/>
      <c r="H123" s="21"/>
      <c r="I123" s="21"/>
      <c r="J123" s="21"/>
      <c r="K123" s="21"/>
      <c r="L123" s="21"/>
    </row>
    <row r="124" spans="1:12" ht="29" x14ac:dyDescent="0.35">
      <c r="A124" s="21" t="s">
        <v>432</v>
      </c>
      <c r="B124" s="21" t="s">
        <v>1166</v>
      </c>
      <c r="C124" s="21" t="s">
        <v>1167</v>
      </c>
      <c r="D124" s="21"/>
      <c r="E124" s="21" t="s">
        <v>1114</v>
      </c>
      <c r="F124" s="21"/>
      <c r="G124" s="21"/>
      <c r="H124" s="21"/>
      <c r="I124" s="21"/>
      <c r="J124" s="21"/>
      <c r="K124" s="21"/>
      <c r="L124" s="21"/>
    </row>
    <row r="125" spans="1:12" ht="29" x14ac:dyDescent="0.35">
      <c r="A125" s="21" t="s">
        <v>432</v>
      </c>
      <c r="B125" s="21" t="s">
        <v>1168</v>
      </c>
      <c r="C125" s="21" t="s">
        <v>1169</v>
      </c>
      <c r="D125" s="21"/>
      <c r="E125" s="21" t="s">
        <v>1114</v>
      </c>
      <c r="F125" s="21"/>
      <c r="G125" s="21"/>
      <c r="H125" s="21"/>
      <c r="I125" s="21"/>
      <c r="J125" s="21"/>
      <c r="K125" s="21"/>
      <c r="L125" s="21"/>
    </row>
    <row r="126" spans="1:12" ht="29" x14ac:dyDescent="0.35">
      <c r="A126" s="21" t="s">
        <v>432</v>
      </c>
      <c r="B126" s="21" t="s">
        <v>1170</v>
      </c>
      <c r="C126" s="21" t="s">
        <v>1171</v>
      </c>
      <c r="D126" s="21"/>
      <c r="E126" s="21" t="s">
        <v>1114</v>
      </c>
      <c r="F126" s="21"/>
      <c r="G126" s="21"/>
      <c r="H126" s="21"/>
      <c r="I126" s="21"/>
      <c r="J126" s="21"/>
      <c r="K126" s="21"/>
      <c r="L126" s="21"/>
    </row>
    <row r="127" spans="1:12" ht="29" x14ac:dyDescent="0.35">
      <c r="A127" s="21" t="s">
        <v>432</v>
      </c>
      <c r="B127" s="21" t="s">
        <v>1172</v>
      </c>
      <c r="C127" s="21" t="s">
        <v>1173</v>
      </c>
      <c r="D127" s="21"/>
      <c r="E127" s="21" t="s">
        <v>1114</v>
      </c>
      <c r="F127" s="21"/>
      <c r="G127" s="21"/>
      <c r="H127" s="21"/>
      <c r="I127" s="21"/>
      <c r="J127" s="21"/>
      <c r="K127" s="21"/>
      <c r="L127" s="21"/>
    </row>
    <row r="128" spans="1:12" ht="29" x14ac:dyDescent="0.35">
      <c r="A128" s="21" t="s">
        <v>432</v>
      </c>
      <c r="B128" s="21" t="s">
        <v>1174</v>
      </c>
      <c r="C128" s="21" t="s">
        <v>1175</v>
      </c>
      <c r="D128" s="21"/>
      <c r="E128" s="21" t="s">
        <v>1114</v>
      </c>
      <c r="F128" s="21"/>
      <c r="G128" s="21"/>
      <c r="H128" s="21"/>
      <c r="I128" s="21"/>
      <c r="J128" s="21"/>
      <c r="K128" s="21"/>
      <c r="L128" s="21"/>
    </row>
    <row r="129" spans="1:12" ht="29" x14ac:dyDescent="0.35">
      <c r="A129" s="21" t="s">
        <v>1176</v>
      </c>
      <c r="B129" s="21" t="s">
        <v>1177</v>
      </c>
      <c r="C129" s="21" t="s">
        <v>1178</v>
      </c>
      <c r="D129" s="21"/>
      <c r="E129" s="21" t="s">
        <v>996</v>
      </c>
      <c r="F129" s="21"/>
      <c r="G129" s="21"/>
      <c r="H129" s="21"/>
      <c r="I129" s="21"/>
      <c r="J129" s="21"/>
      <c r="K129" s="21"/>
      <c r="L129" s="21"/>
    </row>
    <row r="130" spans="1:12" ht="29" x14ac:dyDescent="0.35">
      <c r="A130" s="21" t="s">
        <v>1176</v>
      </c>
      <c r="B130" s="21" t="s">
        <v>1179</v>
      </c>
      <c r="C130" s="21" t="s">
        <v>1180</v>
      </c>
      <c r="D130" s="21"/>
      <c r="E130" s="21" t="s">
        <v>996</v>
      </c>
      <c r="F130" s="21"/>
      <c r="G130" s="21"/>
      <c r="H130" s="21"/>
      <c r="I130" s="21"/>
      <c r="J130" s="21"/>
      <c r="K130" s="21"/>
      <c r="L130" s="21"/>
    </row>
    <row r="131" spans="1:12" ht="29" x14ac:dyDescent="0.35">
      <c r="A131" s="21" t="s">
        <v>1176</v>
      </c>
      <c r="B131" s="21" t="s">
        <v>1181</v>
      </c>
      <c r="C131" s="21" t="s">
        <v>1182</v>
      </c>
      <c r="D131" s="21"/>
      <c r="E131" s="21" t="s">
        <v>996</v>
      </c>
      <c r="F131" s="21"/>
      <c r="G131" s="21"/>
      <c r="H131" s="21"/>
      <c r="I131" s="21"/>
      <c r="J131" s="21"/>
      <c r="K131" s="21"/>
      <c r="L131" s="21"/>
    </row>
    <row r="132" spans="1:12" ht="29" x14ac:dyDescent="0.35">
      <c r="A132" s="21" t="s">
        <v>1176</v>
      </c>
      <c r="B132" s="21" t="s">
        <v>1183</v>
      </c>
      <c r="C132" s="21" t="s">
        <v>1184</v>
      </c>
      <c r="D132" s="21"/>
      <c r="E132" s="21" t="s">
        <v>996</v>
      </c>
      <c r="F132" s="21"/>
      <c r="G132" s="21"/>
      <c r="H132" s="21"/>
      <c r="I132" s="21"/>
      <c r="J132" s="21"/>
      <c r="K132" s="21"/>
      <c r="L132" s="21"/>
    </row>
    <row r="133" spans="1:12" ht="29" x14ac:dyDescent="0.35">
      <c r="A133" s="21" t="s">
        <v>1176</v>
      </c>
      <c r="B133" s="21" t="s">
        <v>1185</v>
      </c>
      <c r="C133" s="21" t="s">
        <v>1186</v>
      </c>
      <c r="D133" s="21"/>
      <c r="E133" s="21" t="s">
        <v>996</v>
      </c>
      <c r="F133" s="21"/>
      <c r="G133" s="21"/>
      <c r="H133" s="21"/>
      <c r="I133" s="21"/>
      <c r="J133" s="21"/>
      <c r="K133" s="21"/>
      <c r="L133" s="21"/>
    </row>
    <row r="134" spans="1:12" ht="29" x14ac:dyDescent="0.35">
      <c r="A134" s="21" t="s">
        <v>1176</v>
      </c>
      <c r="B134" s="21" t="s">
        <v>1187</v>
      </c>
      <c r="C134" s="21" t="s">
        <v>1188</v>
      </c>
      <c r="D134" s="21"/>
      <c r="E134" s="21" t="s">
        <v>996</v>
      </c>
      <c r="F134" s="21"/>
      <c r="G134" s="21"/>
      <c r="H134" s="21"/>
      <c r="I134" s="21"/>
      <c r="J134" s="21"/>
      <c r="K134" s="21"/>
      <c r="L134" s="21"/>
    </row>
    <row r="135" spans="1:12" ht="29" x14ac:dyDescent="0.35">
      <c r="A135" s="21" t="s">
        <v>1189</v>
      </c>
      <c r="B135" s="21" t="s">
        <v>1190</v>
      </c>
      <c r="C135" s="21" t="s">
        <v>1191</v>
      </c>
      <c r="D135" s="21"/>
      <c r="E135" s="21" t="s">
        <v>996</v>
      </c>
      <c r="F135" s="21"/>
      <c r="G135" s="21"/>
      <c r="H135" s="21"/>
      <c r="I135" s="21"/>
      <c r="J135" s="21"/>
      <c r="K135" s="21"/>
      <c r="L135" s="21"/>
    </row>
    <row r="136" spans="1:12" ht="29" x14ac:dyDescent="0.35">
      <c r="A136" s="21" t="s">
        <v>1189</v>
      </c>
      <c r="B136" s="21" t="s">
        <v>1192</v>
      </c>
      <c r="C136" s="21" t="s">
        <v>1193</v>
      </c>
      <c r="D136" s="21"/>
      <c r="E136" s="21" t="s">
        <v>996</v>
      </c>
      <c r="F136" s="21"/>
      <c r="G136" s="21"/>
      <c r="H136" s="21"/>
      <c r="I136" s="21"/>
      <c r="J136" s="21"/>
      <c r="K136" s="21"/>
      <c r="L136" s="21"/>
    </row>
    <row r="137" spans="1:12" ht="29" x14ac:dyDescent="0.35">
      <c r="A137" s="21" t="s">
        <v>1189</v>
      </c>
      <c r="B137" s="21" t="s">
        <v>1194</v>
      </c>
      <c r="C137" s="21" t="s">
        <v>1195</v>
      </c>
      <c r="D137" s="21"/>
      <c r="E137" s="21" t="s">
        <v>996</v>
      </c>
      <c r="F137" s="21"/>
      <c r="G137" s="21"/>
      <c r="H137" s="21"/>
      <c r="I137" s="21"/>
      <c r="J137" s="21"/>
      <c r="K137" s="21"/>
      <c r="L137" s="21"/>
    </row>
    <row r="138" spans="1:12" ht="29" x14ac:dyDescent="0.35">
      <c r="A138" s="21" t="s">
        <v>1189</v>
      </c>
      <c r="B138" s="21" t="s">
        <v>1196</v>
      </c>
      <c r="C138" s="21" t="s">
        <v>1197</v>
      </c>
      <c r="D138" s="21"/>
      <c r="E138" s="21" t="s">
        <v>996</v>
      </c>
      <c r="F138" s="21"/>
      <c r="G138" s="21"/>
      <c r="H138" s="21"/>
      <c r="I138" s="21"/>
      <c r="J138" s="21"/>
      <c r="K138" s="21"/>
      <c r="L138" s="21"/>
    </row>
    <row r="139" spans="1:12" ht="29" x14ac:dyDescent="0.35">
      <c r="A139" s="21" t="s">
        <v>1189</v>
      </c>
      <c r="B139" s="21" t="s">
        <v>1198</v>
      </c>
      <c r="C139" s="21" t="s">
        <v>1199</v>
      </c>
      <c r="D139" s="21"/>
      <c r="E139" s="21" t="s">
        <v>996</v>
      </c>
      <c r="F139" s="21"/>
      <c r="G139" s="21"/>
      <c r="H139" s="21"/>
      <c r="I139" s="21"/>
      <c r="J139" s="21"/>
      <c r="K139" s="21"/>
      <c r="L139" s="21"/>
    </row>
    <row r="140" spans="1:12" ht="29" x14ac:dyDescent="0.35">
      <c r="A140" s="21" t="s">
        <v>1189</v>
      </c>
      <c r="B140" s="21" t="s">
        <v>1200</v>
      </c>
      <c r="C140" s="21" t="s">
        <v>1201</v>
      </c>
      <c r="D140" s="21"/>
      <c r="E140" s="21" t="s">
        <v>996</v>
      </c>
      <c r="F140" s="21"/>
      <c r="G140" s="21"/>
      <c r="H140" s="21"/>
      <c r="I140" s="21"/>
      <c r="J140" s="21"/>
      <c r="K140" s="21"/>
      <c r="L140" s="21"/>
    </row>
    <row r="141" spans="1:12" ht="29" x14ac:dyDescent="0.35">
      <c r="A141" s="21" t="s">
        <v>1202</v>
      </c>
      <c r="B141" s="21" t="s">
        <v>1203</v>
      </c>
      <c r="C141" s="21" t="s">
        <v>1204</v>
      </c>
      <c r="D141" s="21"/>
      <c r="E141" s="21" t="s">
        <v>996</v>
      </c>
      <c r="F141" s="21"/>
      <c r="G141" s="21"/>
      <c r="H141" s="21"/>
      <c r="I141" s="21"/>
      <c r="J141" s="21"/>
      <c r="K141" s="21"/>
      <c r="L141" s="21"/>
    </row>
    <row r="142" spans="1:12" ht="29" x14ac:dyDescent="0.35">
      <c r="A142" s="21" t="s">
        <v>1202</v>
      </c>
      <c r="B142" s="21" t="s">
        <v>1205</v>
      </c>
      <c r="C142" s="21" t="s">
        <v>1206</v>
      </c>
      <c r="D142" s="21"/>
      <c r="E142" s="21" t="s">
        <v>996</v>
      </c>
      <c r="F142" s="21"/>
      <c r="G142" s="21"/>
      <c r="H142" s="21"/>
      <c r="I142" s="21"/>
      <c r="J142" s="21"/>
      <c r="K142" s="21"/>
      <c r="L142" s="21"/>
    </row>
    <row r="143" spans="1:12" ht="29" x14ac:dyDescent="0.35">
      <c r="A143" s="21" t="s">
        <v>1202</v>
      </c>
      <c r="B143" s="21" t="s">
        <v>1207</v>
      </c>
      <c r="C143" s="21" t="s">
        <v>1208</v>
      </c>
      <c r="D143" s="21"/>
      <c r="E143" s="21" t="s">
        <v>996</v>
      </c>
      <c r="F143" s="21"/>
      <c r="G143" s="21"/>
      <c r="H143" s="21"/>
      <c r="I143" s="21"/>
      <c r="J143" s="21"/>
      <c r="K143" s="21"/>
      <c r="L143" s="21"/>
    </row>
    <row r="144" spans="1:12" ht="29" x14ac:dyDescent="0.35">
      <c r="A144" s="21" t="s">
        <v>1202</v>
      </c>
      <c r="B144" s="21" t="s">
        <v>1209</v>
      </c>
      <c r="C144" s="21" t="s">
        <v>1210</v>
      </c>
      <c r="D144" s="21"/>
      <c r="E144" s="21" t="s">
        <v>996</v>
      </c>
      <c r="F144" s="21"/>
      <c r="G144" s="21"/>
      <c r="H144" s="21"/>
      <c r="I144" s="21"/>
      <c r="J144" s="21"/>
      <c r="K144" s="21"/>
      <c r="L144" s="21"/>
    </row>
    <row r="145" spans="1:12" ht="29" x14ac:dyDescent="0.35">
      <c r="A145" s="21" t="s">
        <v>1202</v>
      </c>
      <c r="B145" s="21" t="s">
        <v>1211</v>
      </c>
      <c r="C145" s="21" t="s">
        <v>1212</v>
      </c>
      <c r="D145" s="21"/>
      <c r="E145" s="21" t="s">
        <v>996</v>
      </c>
      <c r="F145" s="21"/>
      <c r="G145" s="21"/>
      <c r="H145" s="21"/>
      <c r="I145" s="21"/>
      <c r="J145" s="21"/>
      <c r="K145" s="21"/>
      <c r="L145" s="21"/>
    </row>
    <row r="146" spans="1:12" ht="29" x14ac:dyDescent="0.35">
      <c r="A146" s="21" t="s">
        <v>1202</v>
      </c>
      <c r="B146" s="21" t="s">
        <v>1213</v>
      </c>
      <c r="C146" s="21" t="s">
        <v>1214</v>
      </c>
      <c r="D146" s="21"/>
      <c r="E146" s="21" t="s">
        <v>996</v>
      </c>
      <c r="F146" s="21"/>
      <c r="G146" s="21"/>
      <c r="H146" s="21"/>
      <c r="I146" s="21"/>
      <c r="J146" s="21"/>
      <c r="K146" s="21"/>
      <c r="L146" s="21"/>
    </row>
    <row r="147" spans="1:12" ht="29" x14ac:dyDescent="0.35">
      <c r="A147" s="21" t="s">
        <v>1215</v>
      </c>
      <c r="B147" s="21" t="s">
        <v>1216</v>
      </c>
      <c r="C147" s="21" t="s">
        <v>1217</v>
      </c>
      <c r="D147" s="21"/>
      <c r="E147" s="21" t="s">
        <v>996</v>
      </c>
      <c r="F147" s="21"/>
      <c r="G147" s="21"/>
      <c r="H147" s="21"/>
      <c r="I147" s="21"/>
      <c r="J147" s="21"/>
      <c r="K147" s="21"/>
      <c r="L147" s="21"/>
    </row>
    <row r="148" spans="1:12" ht="29" x14ac:dyDescent="0.35">
      <c r="A148" s="21" t="s">
        <v>1215</v>
      </c>
      <c r="B148" s="21" t="s">
        <v>1218</v>
      </c>
      <c r="C148" s="21" t="s">
        <v>1219</v>
      </c>
      <c r="D148" s="21"/>
      <c r="E148" s="21" t="s">
        <v>996</v>
      </c>
      <c r="F148" s="21"/>
      <c r="G148" s="21"/>
      <c r="H148" s="21"/>
      <c r="I148" s="21"/>
      <c r="J148" s="21"/>
      <c r="K148" s="21"/>
      <c r="L148" s="21"/>
    </row>
    <row r="149" spans="1:12" ht="29" x14ac:dyDescent="0.35">
      <c r="A149" s="21" t="s">
        <v>1215</v>
      </c>
      <c r="B149" s="21" t="s">
        <v>1220</v>
      </c>
      <c r="C149" s="21" t="s">
        <v>1221</v>
      </c>
      <c r="D149" s="21"/>
      <c r="E149" s="21" t="s">
        <v>996</v>
      </c>
      <c r="F149" s="21"/>
      <c r="G149" s="21"/>
      <c r="H149" s="21"/>
      <c r="I149" s="21"/>
      <c r="J149" s="21"/>
      <c r="K149" s="21"/>
      <c r="L149" s="21"/>
    </row>
    <row r="150" spans="1:12" ht="29" x14ac:dyDescent="0.35">
      <c r="A150" s="21" t="s">
        <v>1215</v>
      </c>
      <c r="B150" s="21" t="s">
        <v>1222</v>
      </c>
      <c r="C150" s="21" t="s">
        <v>1223</v>
      </c>
      <c r="D150" s="21"/>
      <c r="E150" s="21" t="s">
        <v>996</v>
      </c>
      <c r="F150" s="21"/>
      <c r="G150" s="21"/>
      <c r="H150" s="21"/>
      <c r="I150" s="21"/>
      <c r="J150" s="21"/>
      <c r="K150" s="21"/>
      <c r="L150" s="21"/>
    </row>
    <row r="151" spans="1:12" ht="24" customHeight="1" x14ac:dyDescent="0.35">
      <c r="A151" s="133" t="s">
        <v>1215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</row>
    <row r="152" spans="1:12" x14ac:dyDescent="0.35">
      <c r="A152" s="21" t="s">
        <v>1215</v>
      </c>
      <c r="B152" s="21" t="s">
        <v>1224</v>
      </c>
      <c r="C152" s="21" t="s">
        <v>1225</v>
      </c>
      <c r="D152" s="21"/>
      <c r="E152" s="21" t="s">
        <v>996</v>
      </c>
      <c r="F152" s="21"/>
      <c r="G152" s="21"/>
      <c r="H152" s="21"/>
      <c r="I152" s="21"/>
      <c r="J152" s="21"/>
      <c r="K152" s="21"/>
      <c r="L152" s="21"/>
    </row>
    <row r="158" spans="1:12" x14ac:dyDescent="0.35">
      <c r="A158" s="98" t="s">
        <v>1226</v>
      </c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</row>
    <row r="160" spans="1:12" ht="29" x14ac:dyDescent="0.35">
      <c r="A160" s="100" t="s">
        <v>1227</v>
      </c>
      <c r="B160" s="100" t="s">
        <v>1228</v>
      </c>
      <c r="C160" s="100" t="s">
        <v>1229</v>
      </c>
      <c r="D160" s="100" t="s">
        <v>389</v>
      </c>
      <c r="E160" s="100" t="s">
        <v>870</v>
      </c>
      <c r="F160" s="100" t="s">
        <v>390</v>
      </c>
      <c r="G160" s="100" t="s">
        <v>990</v>
      </c>
      <c r="H160" s="100" t="s">
        <v>1230</v>
      </c>
      <c r="I160" s="100"/>
      <c r="J160" s="100"/>
      <c r="K160" s="100"/>
      <c r="L160" s="100"/>
    </row>
    <row r="161" spans="1:8" x14ac:dyDescent="0.35">
      <c r="A161" s="21" t="s">
        <v>1231</v>
      </c>
      <c r="B161" s="21"/>
      <c r="C161" s="21"/>
      <c r="D161" s="21"/>
      <c r="E161" s="21"/>
      <c r="F161" s="21"/>
      <c r="G161" s="21"/>
      <c r="H161" s="21"/>
    </row>
    <row r="162" spans="1:8" x14ac:dyDescent="0.35">
      <c r="A162" s="21" t="s">
        <v>1232</v>
      </c>
      <c r="B162" s="21"/>
      <c r="C162" s="21"/>
      <c r="D162" s="21"/>
      <c r="E162" s="21"/>
      <c r="F162" s="21"/>
      <c r="G162" s="21"/>
      <c r="H162" s="21"/>
    </row>
    <row r="163" spans="1:8" x14ac:dyDescent="0.35">
      <c r="A163" s="21" t="s">
        <v>509</v>
      </c>
      <c r="B163" s="21"/>
      <c r="C163" s="21"/>
      <c r="D163" s="21"/>
      <c r="E163" s="21"/>
      <c r="F163" s="21"/>
      <c r="G163" s="21"/>
      <c r="H163" s="21"/>
    </row>
    <row r="164" spans="1:8" x14ac:dyDescent="0.35">
      <c r="A164" s="21" t="s">
        <v>1233</v>
      </c>
      <c r="B164" s="21"/>
      <c r="C164" s="21"/>
      <c r="D164" s="21"/>
      <c r="E164" s="21"/>
      <c r="F164" s="21"/>
      <c r="G164" s="21"/>
      <c r="H164" s="21"/>
    </row>
    <row r="165" spans="1:8" x14ac:dyDescent="0.35">
      <c r="A165" s="21" t="s">
        <v>1234</v>
      </c>
      <c r="B165" s="21"/>
      <c r="C165" s="21"/>
      <c r="D165" s="21"/>
      <c r="E165" s="21"/>
      <c r="F165" s="21"/>
      <c r="G165" s="21"/>
      <c r="H165" s="21"/>
    </row>
    <row r="166" spans="1:8" x14ac:dyDescent="0.35">
      <c r="A166" s="21" t="s">
        <v>1235</v>
      </c>
      <c r="B166" s="21"/>
      <c r="C166" s="21"/>
      <c r="D166" s="21"/>
      <c r="E166" s="21"/>
      <c r="F166" s="21"/>
      <c r="G166" s="21"/>
      <c r="H166" s="21"/>
    </row>
    <row r="167" spans="1:8" x14ac:dyDescent="0.35">
      <c r="A167" s="21" t="s">
        <v>1236</v>
      </c>
      <c r="B167" s="21"/>
      <c r="C167" s="21"/>
      <c r="D167" s="21"/>
      <c r="E167" s="21"/>
      <c r="F167" s="21"/>
      <c r="G167" s="21"/>
      <c r="H167" s="21"/>
    </row>
    <row r="168" spans="1:8" x14ac:dyDescent="0.35">
      <c r="A168" s="21" t="s">
        <v>1237</v>
      </c>
      <c r="B168" s="21"/>
      <c r="C168" s="21"/>
      <c r="D168" s="21"/>
      <c r="E168" s="21"/>
      <c r="F168" s="21"/>
      <c r="G168" s="21"/>
      <c r="H168" s="21"/>
    </row>
    <row r="169" spans="1:8" x14ac:dyDescent="0.35">
      <c r="A169" s="21" t="s">
        <v>1238</v>
      </c>
      <c r="B169" s="21"/>
      <c r="C169" s="21"/>
      <c r="D169" s="21"/>
      <c r="E169" s="21"/>
      <c r="F169" s="21"/>
      <c r="G169" s="21"/>
      <c r="H169" s="21"/>
    </row>
    <row r="170" spans="1:8" x14ac:dyDescent="0.35">
      <c r="A170" s="21" t="s">
        <v>1239</v>
      </c>
      <c r="B170" s="21"/>
      <c r="C170" s="21"/>
      <c r="D170" s="21"/>
      <c r="E170" s="21"/>
      <c r="F170" s="21"/>
      <c r="G170" s="21"/>
      <c r="H170" s="21"/>
    </row>
    <row r="171" spans="1:8" x14ac:dyDescent="0.35">
      <c r="A171" s="21" t="s">
        <v>1240</v>
      </c>
      <c r="B171" s="21"/>
      <c r="C171" s="21"/>
      <c r="D171" s="21"/>
      <c r="E171" s="21"/>
      <c r="F171" s="21"/>
      <c r="G171" s="21"/>
      <c r="H171" s="21"/>
    </row>
    <row r="172" spans="1:8" x14ac:dyDescent="0.35">
      <c r="A172" s="21" t="s">
        <v>1241</v>
      </c>
      <c r="B172" s="21"/>
      <c r="C172" s="21"/>
      <c r="D172" s="21"/>
      <c r="E172" s="21"/>
      <c r="F172" s="21"/>
      <c r="G172" s="21"/>
      <c r="H172" s="21"/>
    </row>
    <row r="173" spans="1:8" x14ac:dyDescent="0.35">
      <c r="A173" s="21" t="s">
        <v>1242</v>
      </c>
      <c r="B173" s="21"/>
      <c r="C173" s="21"/>
      <c r="D173" s="21"/>
      <c r="E173" s="21"/>
      <c r="F173" s="21"/>
      <c r="G173" s="21"/>
      <c r="H173" s="21"/>
    </row>
    <row r="174" spans="1:8" x14ac:dyDescent="0.35">
      <c r="A174" s="21" t="s">
        <v>1243</v>
      </c>
      <c r="B174" s="21"/>
      <c r="C174" s="21"/>
      <c r="D174" s="21"/>
      <c r="E174" s="21"/>
      <c r="F174" s="21"/>
      <c r="G174" s="21"/>
      <c r="H174" s="21"/>
    </row>
    <row r="175" spans="1:8" x14ac:dyDescent="0.35">
      <c r="A175" s="21" t="s">
        <v>1244</v>
      </c>
      <c r="B175" s="21"/>
      <c r="C175" s="21"/>
      <c r="D175" s="21"/>
      <c r="E175" s="21"/>
      <c r="F175" s="21"/>
      <c r="G175" s="21"/>
      <c r="H175" s="21"/>
    </row>
    <row r="176" spans="1:8" x14ac:dyDescent="0.35">
      <c r="A176" s="21" t="s">
        <v>1245</v>
      </c>
      <c r="B176" s="21"/>
      <c r="C176" s="21"/>
      <c r="D176" s="21"/>
      <c r="E176" s="21"/>
      <c r="F176" s="21"/>
      <c r="G176" s="21"/>
      <c r="H176" s="21"/>
    </row>
    <row r="177" spans="1:12" x14ac:dyDescent="0.35">
      <c r="A177" s="21" t="s">
        <v>1246</v>
      </c>
      <c r="B177" s="21"/>
      <c r="C177" s="21"/>
      <c r="D177" s="21"/>
      <c r="E177" s="21"/>
      <c r="F177" s="21"/>
      <c r="G177" s="21"/>
      <c r="H177" s="21"/>
    </row>
    <row r="178" spans="1:12" x14ac:dyDescent="0.35">
      <c r="A178" s="21" t="s">
        <v>1247</v>
      </c>
      <c r="B178" s="21"/>
      <c r="C178" s="21"/>
      <c r="D178" s="21"/>
      <c r="E178" s="21"/>
      <c r="F178" s="21"/>
      <c r="G178" s="21"/>
      <c r="H178" s="21"/>
    </row>
    <row r="179" spans="1:12" ht="24" customHeight="1" x14ac:dyDescent="0.35">
      <c r="A179" s="133" t="s">
        <v>1248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</row>
    <row r="180" spans="1:12" x14ac:dyDescent="0.35">
      <c r="A180" s="21" t="s">
        <v>1249</v>
      </c>
      <c r="B180" s="21"/>
      <c r="C180" s="21"/>
      <c r="D180" s="21"/>
      <c r="E180" s="21"/>
      <c r="F180" s="21"/>
      <c r="G180" s="21"/>
      <c r="H180" s="21"/>
    </row>
    <row r="186" spans="1:12" x14ac:dyDescent="0.35">
      <c r="A186" s="98" t="s">
        <v>1250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</row>
    <row r="188" spans="1:12" ht="29" x14ac:dyDescent="0.35">
      <c r="A188" s="100" t="s">
        <v>1251</v>
      </c>
      <c r="B188" s="100" t="s">
        <v>1252</v>
      </c>
      <c r="C188" s="100" t="s">
        <v>1253</v>
      </c>
      <c r="D188" s="100" t="s">
        <v>1254</v>
      </c>
      <c r="E188" s="100" t="s">
        <v>870</v>
      </c>
      <c r="F188" s="100" t="s">
        <v>1255</v>
      </c>
      <c r="G188" s="100" t="s">
        <v>338</v>
      </c>
    </row>
    <row r="189" spans="1:12" x14ac:dyDescent="0.35">
      <c r="A189" s="21" t="s">
        <v>428</v>
      </c>
      <c r="B189" s="21"/>
      <c r="C189" s="21"/>
      <c r="D189" s="21"/>
      <c r="E189" s="21"/>
      <c r="F189" s="21"/>
      <c r="G189" s="21"/>
    </row>
    <row r="190" spans="1:12" x14ac:dyDescent="0.35">
      <c r="A190" s="21" t="s">
        <v>582</v>
      </c>
      <c r="B190" s="21"/>
      <c r="C190" s="21"/>
      <c r="D190" s="21"/>
      <c r="E190" s="21"/>
      <c r="F190" s="21"/>
      <c r="G190" s="21"/>
    </row>
    <row r="191" spans="1:12" x14ac:dyDescent="0.35">
      <c r="A191" s="21" t="s">
        <v>435</v>
      </c>
      <c r="B191" s="21"/>
      <c r="C191" s="21"/>
      <c r="D191" s="21"/>
      <c r="E191" s="21"/>
      <c r="F191" s="21"/>
      <c r="G191" s="21"/>
    </row>
    <row r="192" spans="1:12" x14ac:dyDescent="0.35">
      <c r="A192" s="21" t="s">
        <v>93</v>
      </c>
      <c r="B192" s="21"/>
      <c r="C192" s="21"/>
      <c r="D192" s="21"/>
      <c r="E192" s="21"/>
      <c r="F192" s="21"/>
      <c r="G192" s="21"/>
    </row>
    <row r="193" spans="1:12" x14ac:dyDescent="0.35">
      <c r="A193" s="21" t="s">
        <v>431</v>
      </c>
      <c r="B193" s="21"/>
      <c r="C193" s="21"/>
      <c r="D193" s="21"/>
      <c r="E193" s="21"/>
      <c r="F193" s="21"/>
      <c r="G193" s="21"/>
    </row>
    <row r="194" spans="1:12" x14ac:dyDescent="0.35">
      <c r="A194" s="21" t="s">
        <v>97</v>
      </c>
      <c r="B194" s="21"/>
      <c r="C194" s="21"/>
      <c r="D194" s="21"/>
      <c r="E194" s="21"/>
      <c r="F194" s="21"/>
      <c r="G194" s="21"/>
    </row>
    <row r="195" spans="1:12" x14ac:dyDescent="0.35">
      <c r="A195" s="21" t="s">
        <v>100</v>
      </c>
      <c r="B195" s="21"/>
      <c r="C195" s="21"/>
      <c r="D195" s="21"/>
      <c r="E195" s="21"/>
      <c r="F195" s="21"/>
      <c r="G195" s="21"/>
    </row>
    <row r="196" spans="1:12" x14ac:dyDescent="0.35">
      <c r="A196" s="21" t="s">
        <v>1176</v>
      </c>
      <c r="B196" s="21"/>
      <c r="C196" s="21"/>
      <c r="D196" s="21"/>
      <c r="E196" s="21"/>
      <c r="F196" s="21"/>
      <c r="G196" s="21"/>
    </row>
    <row r="197" spans="1:12" x14ac:dyDescent="0.35">
      <c r="A197" s="21" t="s">
        <v>160</v>
      </c>
      <c r="B197" s="21"/>
      <c r="C197" s="21"/>
      <c r="D197" s="21"/>
      <c r="E197" s="21"/>
      <c r="F197" s="21"/>
      <c r="G197" s="21"/>
    </row>
    <row r="198" spans="1:12" x14ac:dyDescent="0.35">
      <c r="A198" s="21" t="s">
        <v>1256</v>
      </c>
      <c r="B198" s="21"/>
      <c r="C198" s="21"/>
      <c r="D198" s="21"/>
      <c r="E198" s="21"/>
      <c r="F198" s="21"/>
      <c r="G198" s="21"/>
    </row>
    <row r="199" spans="1:12" x14ac:dyDescent="0.35">
      <c r="A199" s="21" t="s">
        <v>1257</v>
      </c>
      <c r="B199" s="21"/>
      <c r="C199" s="21"/>
      <c r="D199" s="21"/>
      <c r="E199" s="21"/>
      <c r="F199" s="21"/>
      <c r="G199" s="21"/>
    </row>
    <row r="200" spans="1:12" x14ac:dyDescent="0.35">
      <c r="A200" s="21" t="s">
        <v>1258</v>
      </c>
      <c r="B200" s="21"/>
      <c r="C200" s="21"/>
      <c r="D200" s="21"/>
      <c r="E200" s="21"/>
      <c r="F200" s="21"/>
      <c r="G200" s="21"/>
    </row>
    <row r="201" spans="1:12" x14ac:dyDescent="0.35">
      <c r="A201" s="21" t="s">
        <v>116</v>
      </c>
      <c r="B201" s="21"/>
      <c r="C201" s="21"/>
      <c r="D201" s="21"/>
      <c r="E201" s="21"/>
      <c r="F201" s="21"/>
      <c r="G201" s="21"/>
    </row>
    <row r="202" spans="1:12" x14ac:dyDescent="0.35">
      <c r="A202" s="21" t="s">
        <v>129</v>
      </c>
      <c r="B202" s="21"/>
      <c r="C202" s="21"/>
      <c r="D202" s="21"/>
      <c r="E202" s="21"/>
      <c r="F202" s="21"/>
      <c r="G202" s="21"/>
    </row>
    <row r="203" spans="1:12" x14ac:dyDescent="0.35">
      <c r="A203" s="21" t="s">
        <v>437</v>
      </c>
      <c r="B203" s="21"/>
      <c r="C203" s="21"/>
      <c r="D203" s="21"/>
      <c r="E203" s="21"/>
      <c r="F203" s="21"/>
      <c r="G203" s="21"/>
    </row>
    <row r="204" spans="1:12" x14ac:dyDescent="0.35">
      <c r="A204" s="21" t="s">
        <v>125</v>
      </c>
      <c r="B204" s="21"/>
      <c r="C204" s="21"/>
      <c r="D204" s="21"/>
      <c r="E204" s="21"/>
      <c r="F204" s="21"/>
      <c r="G204" s="21"/>
    </row>
    <row r="205" spans="1:12" x14ac:dyDescent="0.35">
      <c r="A205" s="21" t="s">
        <v>442</v>
      </c>
      <c r="B205" s="21"/>
      <c r="C205" s="21"/>
      <c r="D205" s="21"/>
      <c r="E205" s="21"/>
      <c r="F205" s="21"/>
      <c r="G205" s="21"/>
    </row>
    <row r="206" spans="1:12" x14ac:dyDescent="0.35">
      <c r="A206" s="21" t="s">
        <v>1259</v>
      </c>
      <c r="B206" s="21"/>
      <c r="C206" s="21"/>
      <c r="D206" s="21"/>
      <c r="E206" s="21"/>
      <c r="F206" s="21"/>
      <c r="G206" s="21"/>
    </row>
    <row r="207" spans="1:12" ht="24" customHeight="1" x14ac:dyDescent="0.35">
      <c r="A207" s="133" t="s">
        <v>1260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</row>
    <row r="208" spans="1:12" x14ac:dyDescent="0.35">
      <c r="A208" s="21" t="s">
        <v>439</v>
      </c>
      <c r="B208" s="21"/>
      <c r="C208" s="21"/>
      <c r="D208" s="21"/>
      <c r="E208" s="21"/>
      <c r="F208" s="21"/>
      <c r="G208" s="21"/>
    </row>
    <row r="214" spans="1:12" x14ac:dyDescent="0.35">
      <c r="A214" s="98" t="s">
        <v>1261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</row>
    <row r="216" spans="1:12" x14ac:dyDescent="0.35">
      <c r="A216" s="100" t="s">
        <v>1262</v>
      </c>
      <c r="B216" s="100" t="s">
        <v>1263</v>
      </c>
      <c r="C216" s="100" t="s">
        <v>292</v>
      </c>
      <c r="D216" s="100" t="s">
        <v>371</v>
      </c>
      <c r="E216" s="100" t="s">
        <v>360</v>
      </c>
      <c r="F216" s="100" t="s">
        <v>1264</v>
      </c>
      <c r="G216" s="100" t="s">
        <v>990</v>
      </c>
      <c r="H216" s="100" t="s">
        <v>338</v>
      </c>
    </row>
    <row r="217" spans="1:12" x14ac:dyDescent="0.35">
      <c r="A217" t="s">
        <v>1265</v>
      </c>
    </row>
    <row r="218" spans="1:12" x14ac:dyDescent="0.35">
      <c r="A218" t="s">
        <v>1266</v>
      </c>
    </row>
    <row r="219" spans="1:12" x14ac:dyDescent="0.35">
      <c r="A219" t="s">
        <v>1267</v>
      </c>
    </row>
    <row r="220" spans="1:12" x14ac:dyDescent="0.35">
      <c r="A220" t="s">
        <v>1268</v>
      </c>
    </row>
    <row r="221" spans="1:12" x14ac:dyDescent="0.35">
      <c r="A221" t="s">
        <v>1269</v>
      </c>
    </row>
    <row r="222" spans="1:12" x14ac:dyDescent="0.35">
      <c r="A222" t="s">
        <v>1270</v>
      </c>
    </row>
    <row r="223" spans="1:12" ht="24" customHeight="1" x14ac:dyDescent="0.35">
      <c r="A223" s="129" t="s">
        <v>1271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</row>
    <row r="224" spans="1:12" x14ac:dyDescent="0.35">
      <c r="A224" t="s">
        <v>1272</v>
      </c>
    </row>
    <row r="230" spans="1:12" x14ac:dyDescent="0.35">
      <c r="A230" s="98" t="s">
        <v>1273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2" spans="1:12" ht="29" x14ac:dyDescent="0.35">
      <c r="A232" s="100" t="s">
        <v>1229</v>
      </c>
      <c r="B232" s="100" t="s">
        <v>1274</v>
      </c>
      <c r="C232" s="100" t="s">
        <v>390</v>
      </c>
      <c r="D232" s="100" t="s">
        <v>351</v>
      </c>
      <c r="E232" s="100" t="s">
        <v>352</v>
      </c>
      <c r="F232" s="100" t="s">
        <v>292</v>
      </c>
      <c r="G232" s="100" t="s">
        <v>353</v>
      </c>
      <c r="H232" s="100" t="s">
        <v>338</v>
      </c>
    </row>
    <row r="240" spans="1:12" x14ac:dyDescent="0.3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</row>
    <row r="241" spans="1:12" x14ac:dyDescent="0.3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</row>
    <row r="247" spans="1:12" ht="29" x14ac:dyDescent="0.35">
      <c r="A247" s="106" t="s">
        <v>1275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3"/>
    </row>
    <row r="248" spans="1:12" ht="43.5" x14ac:dyDescent="0.35">
      <c r="A248" s="111" t="s">
        <v>1276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3"/>
    </row>
    <row r="249" spans="1:12" ht="29" x14ac:dyDescent="0.35">
      <c r="A249" s="110" t="s">
        <v>1277</v>
      </c>
      <c r="B249" s="110" t="s">
        <v>1278</v>
      </c>
      <c r="C249" s="110" t="s">
        <v>81</v>
      </c>
      <c r="D249" s="110" t="s">
        <v>615</v>
      </c>
      <c r="E249" s="110" t="s">
        <v>616</v>
      </c>
      <c r="F249" s="110" t="s">
        <v>990</v>
      </c>
      <c r="G249" s="110" t="s">
        <v>1279</v>
      </c>
      <c r="H249" s="110" t="s">
        <v>390</v>
      </c>
      <c r="I249" s="110" t="s">
        <v>351</v>
      </c>
      <c r="J249" s="110" t="s">
        <v>292</v>
      </c>
      <c r="K249" s="110" t="s">
        <v>353</v>
      </c>
      <c r="L249" s="110" t="s">
        <v>619</v>
      </c>
    </row>
    <row r="250" spans="1:12" x14ac:dyDescent="0.35">
      <c r="A250" s="105" t="s">
        <v>1280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x14ac:dyDescent="0.35">
      <c r="A251" s="105" t="s">
        <v>1281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x14ac:dyDescent="0.35">
      <c r="A252" s="105" t="s">
        <v>1282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29" x14ac:dyDescent="0.35">
      <c r="A253" s="105" t="s">
        <v>1283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29" x14ac:dyDescent="0.35">
      <c r="A254" s="105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29" x14ac:dyDescent="0.35">
      <c r="A255" s="105" t="s">
        <v>1285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29" x14ac:dyDescent="0.35">
      <c r="A256" s="105" t="s">
        <v>1286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29" x14ac:dyDescent="0.35">
      <c r="A257" s="105" t="s">
        <v>1287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29" x14ac:dyDescent="0.35">
      <c r="A258" s="105" t="s">
        <v>1288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29" x14ac:dyDescent="0.35">
      <c r="A259" s="105" t="s">
        <v>1289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29" x14ac:dyDescent="0.35">
      <c r="A260" s="105" t="s">
        <v>1290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29" x14ac:dyDescent="0.35">
      <c r="A261" s="105" t="s">
        <v>1291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29" x14ac:dyDescent="0.35">
      <c r="A262" s="105" t="s">
        <v>1292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43.5" x14ac:dyDescent="0.35">
      <c r="A263" s="105" t="s">
        <v>1293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29" x14ac:dyDescent="0.35">
      <c r="A264" s="105" t="s">
        <v>1294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x14ac:dyDescent="0.35">
      <c r="A265" s="105" t="s">
        <v>1295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</sheetData>
  <mergeCells count="9">
    <mergeCell ref="A1:L1"/>
    <mergeCell ref="A17:L17"/>
    <mergeCell ref="A241:L241"/>
    <mergeCell ref="A223:L223"/>
    <mergeCell ref="A35:L35"/>
    <mergeCell ref="A240:L240"/>
    <mergeCell ref="A179:L179"/>
    <mergeCell ref="A151:L151"/>
    <mergeCell ref="A207:L207"/>
  </mergeCells>
  <conditionalFormatting sqref="B12">
    <cfRule type="expression" dxfId="97" priority="12">
      <formula>B12="Green"</formula>
    </cfRule>
    <cfRule type="expression" dxfId="96" priority="13">
      <formula>B12="Amber"</formula>
    </cfRule>
    <cfRule type="expression" dxfId="95" priority="14">
      <formula>B12="Red"</formula>
    </cfRule>
  </conditionalFormatting>
  <conditionalFormatting sqref="B182:B201">
    <cfRule type="expression" dxfId="94" priority="3">
      <formula>B182="Pass"</formula>
    </cfRule>
  </conditionalFormatting>
  <conditionalFormatting sqref="C20:C43">
    <cfRule type="expression" dxfId="93" priority="8">
      <formula>C20="Green"</formula>
    </cfRule>
    <cfRule type="expression" dxfId="92" priority="9">
      <formula>C20="Amber"</formula>
    </cfRule>
    <cfRule type="expression" dxfId="91" priority="10">
      <formula>C20="Red"</formula>
    </cfRule>
    <cfRule type="expression" dxfId="90" priority="11">
      <formula>C20="N/A"</formula>
    </cfRule>
  </conditionalFormatting>
  <conditionalFormatting sqref="C20:C45">
    <cfRule type="expression" dxfId="89" priority="4">
      <formula>ISNUMBER(SEARCH("Green",C20))</formula>
    </cfRule>
    <cfRule type="expression" dxfId="88" priority="5">
      <formula>ISNUMBER(SEARCH("Amber",C20))</formula>
    </cfRule>
    <cfRule type="expression" dxfId="87" priority="6">
      <formula>ISNUMBER(SEARCH("Red",C20))</formula>
    </cfRule>
    <cfRule type="expression" dxfId="86" priority="7">
      <formula>C20="N/A"</formula>
    </cfRule>
  </conditionalFormatting>
  <conditionalFormatting sqref="E154:E173">
    <cfRule type="expression" dxfId="85" priority="2">
      <formula>E154="Pass"</formula>
    </cfRule>
  </conditionalFormatting>
  <conditionalFormatting sqref="H38:H145">
    <cfRule type="expression" dxfId="84" priority="1">
      <formula>H38="Pass"</formula>
    </cfRule>
  </conditionalFormatting>
  <dataValidations count="8">
    <dataValidation type="list" sqref="H38:H145 E154:E173" xr:uid="{00000000-0002-0000-3900-000000000000}">
      <formula1>"Pass,Developing,Fail,N/A"</formula1>
    </dataValidation>
    <dataValidation type="list" sqref="F38:F145" xr:uid="{00000000-0002-0000-3900-000001000000}">
      <formula1>"1,2,3,4,5"</formula1>
    </dataValidation>
    <dataValidation type="list" sqref="B182:B201" xr:uid="{00000000-0002-0000-3900-000003000000}">
      <formula1>"Complete,In Progress,Not Started,N/A"</formula1>
    </dataValidation>
    <dataValidation type="list" allowBlank="1" sqref="C243:E258" xr:uid="{00000000-0002-0000-3900-000004000000}">
      <formula1>"Yes,No,N/A"</formula1>
    </dataValidation>
    <dataValidation type="list" allowBlank="1" sqref="C20:C45" xr:uid="{00000000-0002-0000-3900-000005000000}">
      <formula1>"Green - Received,Amber - Awaiting,Red - Missing,N/A"</formula1>
    </dataValidation>
    <dataValidation type="list" sqref="C20:C43" xr:uid="{00000000-0002-0000-3900-000006000000}">
      <formula1>"Green,Amber,Red,N/A"</formula1>
    </dataValidation>
    <dataValidation type="list" sqref="F42:F230" xr:uid="{00000000-0002-0000-3900-000007000000}">
      <formula1>"1,2,3,4,5,N/A"</formula1>
    </dataValidation>
    <dataValidation type="list" sqref="H42:H230 H235:H255" xr:uid="{00000000-0002-0000-3900-000008000000}">
      <formula1>"Pass,Fail,Not Assessed,N/A"</formula1>
    </dataValidation>
  </dataValidation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L265"/>
  <sheetViews>
    <sheetView workbookViewId="0"/>
  </sheetViews>
  <sheetFormatPr defaultRowHeight="14.5" x14ac:dyDescent="0.35"/>
  <cols>
    <col min="1" max="1" width="42" customWidth="1"/>
    <col min="2" max="2" width="36" customWidth="1"/>
    <col min="3" max="3" width="52" customWidth="1"/>
    <col min="4" max="4" width="34" customWidth="1"/>
    <col min="5" max="5" width="30" customWidth="1"/>
    <col min="6" max="6" width="12" customWidth="1"/>
    <col min="7" max="7" width="16" customWidth="1"/>
    <col min="8" max="8" width="14" customWidth="1"/>
    <col min="9" max="9" width="28" customWidth="1"/>
    <col min="10" max="12" width="14" customWidth="1"/>
  </cols>
  <sheetData>
    <row r="1" spans="1:12" ht="30" customHeight="1" x14ac:dyDescent="0.35">
      <c r="A1" s="134" t="s">
        <v>1314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x14ac:dyDescent="0.35">
      <c r="A2" t="s">
        <v>928</v>
      </c>
      <c r="D2" t="s">
        <v>929</v>
      </c>
    </row>
    <row r="4" spans="1:12" x14ac:dyDescent="0.35">
      <c r="A4" s="101" t="s">
        <v>882</v>
      </c>
      <c r="B4" s="101" t="str">
        <f>IF('Induction Employee Register'!A23="","",'Induction Employee Register'!A23)</f>
        <v>SW020</v>
      </c>
      <c r="D4" t="s">
        <v>930</v>
      </c>
      <c r="E4" t="s">
        <v>931</v>
      </c>
      <c r="F4" t="s">
        <v>932</v>
      </c>
      <c r="G4" t="s">
        <v>933</v>
      </c>
      <c r="H4" t="s">
        <v>58</v>
      </c>
      <c r="I4" t="s">
        <v>934</v>
      </c>
      <c r="J4" t="s">
        <v>54</v>
      </c>
      <c r="K4" t="s">
        <v>935</v>
      </c>
      <c r="L4" t="s">
        <v>43</v>
      </c>
    </row>
    <row r="5" spans="1:12" x14ac:dyDescent="0.35">
      <c r="A5" s="101" t="s">
        <v>883</v>
      </c>
      <c r="B5" s="101" t="str">
        <f>IF('Induction Employee Register'!B23="","",'Induction Employee Register'!B23)</f>
        <v/>
      </c>
      <c r="D5" t="s">
        <v>936</v>
      </c>
    </row>
    <row r="6" spans="1:12" x14ac:dyDescent="0.35">
      <c r="A6" s="101" t="s">
        <v>322</v>
      </c>
      <c r="B6" s="101" t="str">
        <f>IF('Induction Employee Register'!C23="","",'Induction Employee Register'!C23)</f>
        <v/>
      </c>
      <c r="D6" t="s">
        <v>937</v>
      </c>
      <c r="E6" t="s">
        <v>938</v>
      </c>
    </row>
    <row r="7" spans="1:12" x14ac:dyDescent="0.35">
      <c r="A7" s="101" t="s">
        <v>323</v>
      </c>
      <c r="B7" s="126" t="str">
        <f>IF('Induction Employee Register'!D23="","",'Induction Employee Register'!D23)</f>
        <v/>
      </c>
      <c r="D7" t="s">
        <v>939</v>
      </c>
      <c r="E7" t="s">
        <v>940</v>
      </c>
    </row>
    <row r="8" spans="1:12" x14ac:dyDescent="0.35">
      <c r="A8" s="101" t="s">
        <v>886</v>
      </c>
      <c r="B8" s="125">
        <f>IFERROR(COUNTIF($H$42:$H$230,"Pass")/(COUNTIF($H$42:$H$230,"Pass")+COUNTIF($H$42:$H$230,"Fail")+COUNTIF($H$42:$H$230,"Not Assessed")),0)</f>
        <v>0</v>
      </c>
      <c r="D8" t="s">
        <v>6</v>
      </c>
      <c r="E8" t="s">
        <v>941</v>
      </c>
    </row>
    <row r="9" spans="1:12" x14ac:dyDescent="0.35">
      <c r="A9" s="101" t="s">
        <v>887</v>
      </c>
      <c r="B9" s="125">
        <f>IFERROR(COUNTIF($H$235:$H$255,"Pass")/(COUNTIF($H$235:$H$255,"Pass")+COUNTIF($H$235:$H$255,"Fail")+COUNTIF($H$235:$H$255,"Not Assessed")),0)</f>
        <v>0</v>
      </c>
      <c r="D9" t="s">
        <v>942</v>
      </c>
      <c r="E9" t="s">
        <v>943</v>
      </c>
    </row>
    <row r="10" spans="1:12" x14ac:dyDescent="0.35">
      <c r="A10" s="101" t="s">
        <v>888</v>
      </c>
      <c r="B10" s="125" t="str">
        <f>IFERROR(IF($B$5="","",IF(INDEX('Mandatory Training Dashboard'!$D$5:$D$53,MATCH($B$5,'Mandatory Training Dashboard'!$A$5:$A$53,0))&gt;1,INDEX('Mandatory Training Dashboard'!$D$5:$D$53,MATCH($B$5,'Mandatory Training Dashboard'!$A$5:$A$53,0))/100,INDEX('Mandatory Training Dashboard'!$D$5:$D$53,MATCH($B$5,'Mandatory Training Dashboard'!$A$5:$A$53,0)))),0)</f>
        <v/>
      </c>
      <c r="D10" t="s">
        <v>944</v>
      </c>
      <c r="E10" t="s">
        <v>945</v>
      </c>
    </row>
    <row r="11" spans="1:12" x14ac:dyDescent="0.35">
      <c r="A11" s="101" t="s">
        <v>893</v>
      </c>
      <c r="B11" s="125">
        <f>IFERROR(AVERAGE(B8:B10),0)</f>
        <v>0</v>
      </c>
      <c r="D11" t="s">
        <v>946</v>
      </c>
      <c r="E11" t="s">
        <v>947</v>
      </c>
    </row>
    <row r="12" spans="1:12" x14ac:dyDescent="0.35">
      <c r="A12" s="101" t="s">
        <v>948</v>
      </c>
      <c r="B12" s="101" t="str">
        <f>IF(B11&gt;=0.9,"Green",IF(B11&gt;=0.75,"Amber","Red"))</f>
        <v>Red</v>
      </c>
      <c r="D12" t="s">
        <v>949</v>
      </c>
      <c r="E12" t="s">
        <v>950</v>
      </c>
    </row>
    <row r="13" spans="1:12" x14ac:dyDescent="0.35">
      <c r="A13" s="101" t="s">
        <v>891</v>
      </c>
      <c r="B13" s="101">
        <f>IF('Induction Employee Register'!N23="","",'Induction Employee Register'!N23)</f>
        <v>0</v>
      </c>
      <c r="D13" t="s">
        <v>951</v>
      </c>
      <c r="E13" t="s">
        <v>952</v>
      </c>
    </row>
    <row r="14" spans="1:12" x14ac:dyDescent="0.35">
      <c r="A14" s="101" t="s">
        <v>892</v>
      </c>
      <c r="B14" s="101" t="str">
        <f>IF('Induction Employee Register'!O23="","",'Induction Employee Register'!O23)</f>
        <v/>
      </c>
    </row>
    <row r="17" spans="1:12" ht="24" customHeight="1" x14ac:dyDescent="0.35">
      <c r="A17" s="135" t="s">
        <v>953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9" spans="1:12" ht="29" x14ac:dyDescent="0.35">
      <c r="A19" s="116" t="s">
        <v>954</v>
      </c>
      <c r="B19" s="116" t="s">
        <v>955</v>
      </c>
      <c r="C19" s="116" t="s">
        <v>956</v>
      </c>
      <c r="D19" s="116" t="s">
        <v>957</v>
      </c>
      <c r="E19" s="116" t="s">
        <v>958</v>
      </c>
      <c r="F19" s="116" t="s">
        <v>353</v>
      </c>
      <c r="G19" s="116" t="s">
        <v>335</v>
      </c>
      <c r="H19" s="116" t="s">
        <v>338</v>
      </c>
      <c r="I19" s="117" t="s">
        <v>959</v>
      </c>
      <c r="J19" t="s">
        <v>960</v>
      </c>
      <c r="K19" t="s">
        <v>300</v>
      </c>
      <c r="L19" t="s">
        <v>961</v>
      </c>
    </row>
    <row r="20" spans="1:12" x14ac:dyDescent="0.35">
      <c r="A20" s="118" t="s">
        <v>962</v>
      </c>
      <c r="B20" s="118" t="s">
        <v>81</v>
      </c>
      <c r="C20" s="118"/>
      <c r="D20" s="127"/>
      <c r="E20" s="127"/>
      <c r="F20" s="118"/>
      <c r="G20" s="118"/>
      <c r="H20" s="118"/>
      <c r="J20" t="s">
        <v>310</v>
      </c>
      <c r="K20" t="str">
        <f>IF('Induction Employee Register'!W23="","",'Induction Employee Register'!W23)</f>
        <v/>
      </c>
      <c r="L20" t="s">
        <v>963</v>
      </c>
    </row>
    <row r="21" spans="1:12" x14ac:dyDescent="0.35">
      <c r="A21" s="118" t="s">
        <v>964</v>
      </c>
      <c r="B21" s="118" t="s">
        <v>81</v>
      </c>
      <c r="C21" s="118"/>
      <c r="D21" s="127"/>
      <c r="E21" s="127"/>
      <c r="F21" s="118"/>
      <c r="G21" s="118"/>
      <c r="H21" s="118"/>
      <c r="J21" t="s">
        <v>311</v>
      </c>
      <c r="K21" t="str">
        <f>IF('Induction Employee Register'!X23="","",'Induction Employee Register'!X23)</f>
        <v/>
      </c>
      <c r="L21" t="s">
        <v>965</v>
      </c>
    </row>
    <row r="22" spans="1:12" x14ac:dyDescent="0.35">
      <c r="A22" s="118" t="s">
        <v>966</v>
      </c>
      <c r="B22" s="118" t="s">
        <v>81</v>
      </c>
      <c r="C22" s="118"/>
      <c r="D22" s="127"/>
      <c r="E22" s="127"/>
      <c r="F22" s="118"/>
      <c r="G22" s="118"/>
      <c r="H22" s="118"/>
      <c r="J22" t="s">
        <v>312</v>
      </c>
      <c r="K22" t="str">
        <f>IF('Induction Employee Register'!Y23="","",'Induction Employee Register'!Y23)</f>
        <v/>
      </c>
      <c r="L22" t="s">
        <v>967</v>
      </c>
    </row>
    <row r="23" spans="1:12" x14ac:dyDescent="0.35">
      <c r="A23" s="118" t="s">
        <v>52</v>
      </c>
      <c r="B23" s="118" t="s">
        <v>81</v>
      </c>
      <c r="C23" s="118"/>
      <c r="D23" s="127"/>
      <c r="E23" s="127"/>
      <c r="F23" s="118"/>
      <c r="G23" s="118"/>
      <c r="H23" s="118"/>
      <c r="J23" t="s">
        <v>313</v>
      </c>
      <c r="K23" t="str">
        <f>IF('Induction Employee Register'!Z23="","",'Induction Employee Register'!Z23)</f>
        <v/>
      </c>
      <c r="L23" t="s">
        <v>968</v>
      </c>
    </row>
    <row r="24" spans="1:12" x14ac:dyDescent="0.35">
      <c r="A24" s="118" t="s">
        <v>50</v>
      </c>
      <c r="B24" s="118" t="s">
        <v>81</v>
      </c>
      <c r="C24" s="118"/>
      <c r="D24" s="127"/>
      <c r="E24" s="127"/>
      <c r="F24" s="118"/>
      <c r="G24" s="118"/>
      <c r="H24" s="118"/>
      <c r="J24" t="s">
        <v>314</v>
      </c>
      <c r="K24" t="str">
        <f>IF('Induction Employee Register'!AA23="","",'Induction Employee Register'!AA23)</f>
        <v/>
      </c>
      <c r="L24" t="s">
        <v>968</v>
      </c>
    </row>
    <row r="25" spans="1:12" x14ac:dyDescent="0.35">
      <c r="A25" s="118" t="s">
        <v>329</v>
      </c>
      <c r="B25" s="118" t="s">
        <v>81</v>
      </c>
      <c r="C25" s="118"/>
      <c r="D25" s="127"/>
      <c r="E25" s="127"/>
      <c r="F25" s="118"/>
      <c r="G25" s="118"/>
      <c r="H25" s="118"/>
      <c r="J25" t="s">
        <v>315</v>
      </c>
      <c r="K25" t="str">
        <f>IF('Induction Employee Register'!AB23="","",'Induction Employee Register'!AB23)</f>
        <v/>
      </c>
      <c r="L25" t="s">
        <v>967</v>
      </c>
    </row>
    <row r="26" spans="1:12" x14ac:dyDescent="0.35">
      <c r="A26" s="118" t="s">
        <v>969</v>
      </c>
      <c r="B26" s="118" t="s">
        <v>81</v>
      </c>
      <c r="C26" s="118"/>
      <c r="D26" s="127"/>
      <c r="E26" s="127"/>
      <c r="F26" s="118"/>
      <c r="G26" s="118"/>
      <c r="H26" s="118"/>
      <c r="J26" t="s">
        <v>316</v>
      </c>
      <c r="K26" t="str">
        <f>IF('Induction Employee Register'!AC23="","",'Induction Employee Register'!AC23)</f>
        <v/>
      </c>
      <c r="L26" t="s">
        <v>967</v>
      </c>
    </row>
    <row r="27" spans="1:12" x14ac:dyDescent="0.35">
      <c r="A27" s="118" t="s">
        <v>970</v>
      </c>
      <c r="B27" s="118" t="s">
        <v>81</v>
      </c>
      <c r="C27" s="118"/>
      <c r="D27" s="127"/>
      <c r="E27" s="127"/>
      <c r="F27" s="118"/>
      <c r="G27" s="118"/>
      <c r="H27" s="118"/>
    </row>
    <row r="28" spans="1:12" x14ac:dyDescent="0.35">
      <c r="A28" s="118" t="s">
        <v>971</v>
      </c>
      <c r="B28" s="118" t="s">
        <v>81</v>
      </c>
      <c r="C28" s="118"/>
      <c r="D28" s="127"/>
      <c r="E28" s="127"/>
      <c r="F28" s="118"/>
      <c r="G28" s="118"/>
      <c r="H28" s="118"/>
    </row>
    <row r="29" spans="1:12" x14ac:dyDescent="0.35">
      <c r="A29" s="118" t="s">
        <v>972</v>
      </c>
      <c r="B29" s="118" t="s">
        <v>81</v>
      </c>
      <c r="C29" s="118"/>
      <c r="D29" s="127"/>
      <c r="E29" s="127"/>
      <c r="F29" s="118"/>
      <c r="G29" s="118"/>
      <c r="H29" s="118"/>
    </row>
    <row r="30" spans="1:12" x14ac:dyDescent="0.35">
      <c r="A30" s="118" t="s">
        <v>973</v>
      </c>
      <c r="B30" s="118" t="s">
        <v>81</v>
      </c>
      <c r="C30" s="118"/>
      <c r="D30" s="127"/>
      <c r="E30" s="127"/>
      <c r="F30" s="118"/>
      <c r="G30" s="118"/>
      <c r="H30" s="118"/>
    </row>
    <row r="31" spans="1:12" x14ac:dyDescent="0.35">
      <c r="A31" s="118" t="s">
        <v>974</v>
      </c>
      <c r="B31" s="118" t="s">
        <v>81</v>
      </c>
      <c r="C31" s="118"/>
      <c r="D31" s="127"/>
      <c r="E31" s="127"/>
      <c r="F31" s="118"/>
      <c r="G31" s="118"/>
      <c r="H31" s="118"/>
    </row>
    <row r="32" spans="1:12" x14ac:dyDescent="0.35">
      <c r="A32" s="118" t="s">
        <v>975</v>
      </c>
      <c r="B32" s="118" t="s">
        <v>81</v>
      </c>
      <c r="C32" s="118"/>
      <c r="D32" s="127"/>
      <c r="E32" s="127"/>
      <c r="F32" s="118"/>
      <c r="G32" s="118"/>
      <c r="H32" s="118"/>
    </row>
    <row r="33" spans="1:12" x14ac:dyDescent="0.35">
      <c r="A33" s="118" t="s">
        <v>54</v>
      </c>
      <c r="B33" s="118" t="s">
        <v>81</v>
      </c>
      <c r="C33" s="118"/>
      <c r="D33" s="127"/>
      <c r="E33" s="127"/>
      <c r="F33" s="118"/>
      <c r="G33" s="118"/>
      <c r="H33" s="118"/>
    </row>
    <row r="34" spans="1:12" x14ac:dyDescent="0.35">
      <c r="A34" s="119" t="s">
        <v>976</v>
      </c>
      <c r="B34" s="119" t="s">
        <v>81</v>
      </c>
      <c r="C34" s="119"/>
      <c r="D34" s="127"/>
      <c r="E34" s="127"/>
      <c r="F34" s="119"/>
      <c r="G34" s="119"/>
      <c r="H34" s="119"/>
    </row>
    <row r="35" spans="1:12" ht="24" customHeight="1" x14ac:dyDescent="0.35">
      <c r="A35" s="130" t="s">
        <v>977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</row>
    <row r="36" spans="1:12" x14ac:dyDescent="0.35">
      <c r="A36" s="119" t="s">
        <v>978</v>
      </c>
      <c r="B36" s="119" t="s">
        <v>81</v>
      </c>
      <c r="C36" s="119"/>
      <c r="D36" s="127"/>
      <c r="E36" s="127"/>
      <c r="F36" s="119"/>
      <c r="G36" s="119"/>
      <c r="H36" s="119"/>
    </row>
    <row r="37" spans="1:12" x14ac:dyDescent="0.35">
      <c r="A37" s="119" t="s">
        <v>979</v>
      </c>
      <c r="B37" s="119" t="s">
        <v>81</v>
      </c>
      <c r="C37" s="119"/>
      <c r="D37" s="127"/>
      <c r="E37" s="127"/>
      <c r="F37" s="119"/>
      <c r="G37" s="119"/>
      <c r="H37" s="119"/>
    </row>
    <row r="38" spans="1:12" x14ac:dyDescent="0.35">
      <c r="A38" s="119" t="s">
        <v>980</v>
      </c>
      <c r="B38" s="119" t="s">
        <v>81</v>
      </c>
      <c r="C38" s="119"/>
      <c r="D38" s="127"/>
      <c r="E38" s="127"/>
      <c r="F38" s="119"/>
      <c r="G38" s="119"/>
      <c r="H38" s="119"/>
    </row>
    <row r="39" spans="1:12" x14ac:dyDescent="0.35">
      <c r="A39" s="119" t="s">
        <v>981</v>
      </c>
      <c r="B39" s="119" t="s">
        <v>81</v>
      </c>
      <c r="C39" s="119"/>
      <c r="D39" s="127"/>
      <c r="E39" s="127"/>
      <c r="F39" s="119"/>
      <c r="G39" s="119"/>
      <c r="H39" s="119"/>
    </row>
    <row r="40" spans="1:12" x14ac:dyDescent="0.35">
      <c r="A40" s="119" t="s">
        <v>982</v>
      </c>
      <c r="B40" s="119" t="s">
        <v>81</v>
      </c>
      <c r="C40" s="119"/>
      <c r="D40" s="127"/>
      <c r="E40" s="127"/>
      <c r="F40" s="119"/>
      <c r="G40" s="119"/>
      <c r="H40" s="119"/>
    </row>
    <row r="41" spans="1:12" x14ac:dyDescent="0.35">
      <c r="A41" s="118"/>
      <c r="B41" s="118"/>
      <c r="C41" s="118"/>
      <c r="D41" s="127"/>
      <c r="E41" s="127"/>
      <c r="F41" s="118"/>
      <c r="G41" s="118"/>
      <c r="H41" s="118"/>
    </row>
    <row r="42" spans="1:12" x14ac:dyDescent="0.35">
      <c r="A42" s="120" t="s">
        <v>983</v>
      </c>
      <c r="B42" s="118"/>
      <c r="C42" s="118"/>
      <c r="D42" s="127"/>
      <c r="E42" s="127"/>
      <c r="F42" s="118"/>
      <c r="G42" s="118"/>
      <c r="H42" s="118"/>
      <c r="I42" s="96"/>
      <c r="J42" s="96"/>
      <c r="K42" s="96"/>
      <c r="L42" s="96"/>
    </row>
    <row r="43" spans="1:12" x14ac:dyDescent="0.35">
      <c r="A43" s="118"/>
      <c r="B43" s="118"/>
      <c r="C43" s="118"/>
      <c r="D43" s="127"/>
      <c r="E43" s="127"/>
      <c r="F43" s="118"/>
      <c r="G43" s="118"/>
      <c r="H43" s="118"/>
    </row>
    <row r="44" spans="1:12" ht="29" x14ac:dyDescent="0.35">
      <c r="A44" s="116" t="s">
        <v>984</v>
      </c>
      <c r="B44" s="116" t="s">
        <v>985</v>
      </c>
      <c r="C44" s="116" t="s">
        <v>986</v>
      </c>
      <c r="D44" s="116" t="s">
        <v>987</v>
      </c>
      <c r="E44" s="116" t="s">
        <v>988</v>
      </c>
      <c r="F44" s="116" t="s">
        <v>989</v>
      </c>
      <c r="G44" s="116" t="s">
        <v>389</v>
      </c>
      <c r="H44" s="116" t="s">
        <v>870</v>
      </c>
      <c r="I44" s="100" t="s">
        <v>390</v>
      </c>
      <c r="J44" s="100" t="s">
        <v>990</v>
      </c>
      <c r="K44" s="100" t="s">
        <v>991</v>
      </c>
      <c r="L44" s="100" t="s">
        <v>992</v>
      </c>
    </row>
    <row r="45" spans="1:12" ht="29" x14ac:dyDescent="0.35">
      <c r="A45" s="121" t="s">
        <v>993</v>
      </c>
      <c r="B45" s="121" t="s">
        <v>994</v>
      </c>
      <c r="C45" s="121" t="s">
        <v>995</v>
      </c>
      <c r="D45" s="121"/>
      <c r="E45" s="121" t="s">
        <v>996</v>
      </c>
      <c r="F45" s="121"/>
      <c r="G45" s="121"/>
      <c r="H45" s="121"/>
      <c r="I45" s="21"/>
      <c r="J45" s="21"/>
      <c r="K45" s="21"/>
      <c r="L45" s="21"/>
    </row>
    <row r="46" spans="1:12" ht="29" x14ac:dyDescent="0.35">
      <c r="A46" s="21" t="s">
        <v>993</v>
      </c>
      <c r="B46" s="21" t="s">
        <v>997</v>
      </c>
      <c r="C46" s="21" t="s">
        <v>998</v>
      </c>
      <c r="D46" s="21"/>
      <c r="E46" s="21" t="s">
        <v>996</v>
      </c>
      <c r="F46" s="21"/>
      <c r="G46" s="21"/>
      <c r="H46" s="21"/>
      <c r="I46" s="21"/>
      <c r="J46" s="21"/>
      <c r="K46" s="21"/>
      <c r="L46" s="21"/>
    </row>
    <row r="47" spans="1:12" ht="29" x14ac:dyDescent="0.35">
      <c r="A47" s="21" t="s">
        <v>993</v>
      </c>
      <c r="B47" s="21" t="s">
        <v>999</v>
      </c>
      <c r="C47" s="21" t="s">
        <v>1000</v>
      </c>
      <c r="D47" s="21"/>
      <c r="E47" s="21" t="s">
        <v>996</v>
      </c>
      <c r="F47" s="21"/>
      <c r="G47" s="21"/>
      <c r="H47" s="21"/>
      <c r="I47" s="21"/>
      <c r="J47" s="21"/>
      <c r="K47" s="21"/>
      <c r="L47" s="21"/>
    </row>
    <row r="48" spans="1:12" ht="29" x14ac:dyDescent="0.35">
      <c r="A48" s="21" t="s">
        <v>993</v>
      </c>
      <c r="B48" s="21" t="s">
        <v>1001</v>
      </c>
      <c r="C48" s="21" t="s">
        <v>1002</v>
      </c>
      <c r="D48" s="21"/>
      <c r="E48" s="21" t="s">
        <v>996</v>
      </c>
      <c r="F48" s="21"/>
      <c r="G48" s="21"/>
      <c r="H48" s="21"/>
      <c r="I48" s="21"/>
      <c r="J48" s="21"/>
      <c r="K48" s="21"/>
      <c r="L48" s="21"/>
    </row>
    <row r="49" spans="1:12" ht="43.5" x14ac:dyDescent="0.35">
      <c r="A49" s="21" t="s">
        <v>993</v>
      </c>
      <c r="B49" s="21" t="s">
        <v>1003</v>
      </c>
      <c r="C49" s="21" t="s">
        <v>1004</v>
      </c>
      <c r="D49" s="21"/>
      <c r="E49" s="21" t="s">
        <v>996</v>
      </c>
      <c r="F49" s="21"/>
      <c r="G49" s="21"/>
      <c r="H49" s="21"/>
      <c r="I49" s="21"/>
      <c r="J49" s="21"/>
      <c r="K49" s="21"/>
      <c r="L49" s="21"/>
    </row>
    <row r="50" spans="1:12" ht="29" x14ac:dyDescent="0.35">
      <c r="A50" s="21" t="s">
        <v>993</v>
      </c>
      <c r="B50" s="21" t="s">
        <v>1005</v>
      </c>
      <c r="C50" s="21" t="s">
        <v>1006</v>
      </c>
      <c r="D50" s="21"/>
      <c r="E50" s="21" t="s">
        <v>996</v>
      </c>
      <c r="F50" s="21"/>
      <c r="G50" s="21"/>
      <c r="H50" s="21"/>
      <c r="I50" s="21"/>
      <c r="J50" s="21"/>
      <c r="K50" s="21"/>
      <c r="L50" s="21"/>
    </row>
    <row r="51" spans="1:12" ht="43.5" x14ac:dyDescent="0.35">
      <c r="A51" s="21" t="s">
        <v>1007</v>
      </c>
      <c r="B51" s="21" t="s">
        <v>1008</v>
      </c>
      <c r="C51" s="21" t="s">
        <v>1009</v>
      </c>
      <c r="D51" s="21"/>
      <c r="E51" s="21" t="s">
        <v>996</v>
      </c>
      <c r="F51" s="21"/>
      <c r="G51" s="21"/>
      <c r="H51" s="21"/>
      <c r="I51" s="21"/>
      <c r="J51" s="21"/>
      <c r="K51" s="21"/>
      <c r="L51" s="21"/>
    </row>
    <row r="52" spans="1:12" ht="29" x14ac:dyDescent="0.35">
      <c r="A52" s="21" t="s">
        <v>1007</v>
      </c>
      <c r="B52" s="21" t="s">
        <v>1010</v>
      </c>
      <c r="C52" s="21" t="s">
        <v>1011</v>
      </c>
      <c r="D52" s="21"/>
      <c r="E52" s="21" t="s">
        <v>996</v>
      </c>
      <c r="F52" s="21"/>
      <c r="G52" s="21"/>
      <c r="H52" s="21"/>
      <c r="I52" s="21"/>
      <c r="J52" s="21"/>
      <c r="K52" s="21"/>
      <c r="L52" s="21"/>
    </row>
    <row r="53" spans="1:12" ht="29" x14ac:dyDescent="0.35">
      <c r="A53" s="21" t="s">
        <v>1007</v>
      </c>
      <c r="B53" s="21" t="s">
        <v>1012</v>
      </c>
      <c r="C53" s="21" t="s">
        <v>1013</v>
      </c>
      <c r="D53" s="21"/>
      <c r="E53" s="21" t="s">
        <v>996</v>
      </c>
      <c r="F53" s="21"/>
      <c r="G53" s="21"/>
      <c r="H53" s="21"/>
      <c r="I53" s="21"/>
      <c r="J53" s="21"/>
      <c r="K53" s="21"/>
      <c r="L53" s="21"/>
    </row>
    <row r="54" spans="1:12" ht="29" x14ac:dyDescent="0.35">
      <c r="A54" s="21" t="s">
        <v>1007</v>
      </c>
      <c r="B54" s="21" t="s">
        <v>1014</v>
      </c>
      <c r="C54" s="21" t="s">
        <v>1015</v>
      </c>
      <c r="D54" s="21"/>
      <c r="E54" s="21" t="s">
        <v>996</v>
      </c>
      <c r="F54" s="21"/>
      <c r="G54" s="21"/>
      <c r="H54" s="21"/>
      <c r="I54" s="21"/>
      <c r="J54" s="21"/>
      <c r="K54" s="21"/>
      <c r="L54" s="21"/>
    </row>
    <row r="55" spans="1:12" ht="29" x14ac:dyDescent="0.35">
      <c r="A55" s="21" t="s">
        <v>1007</v>
      </c>
      <c r="B55" s="21" t="s">
        <v>1016</v>
      </c>
      <c r="C55" s="21" t="s">
        <v>1017</v>
      </c>
      <c r="D55" s="21"/>
      <c r="E55" s="21" t="s">
        <v>996</v>
      </c>
      <c r="F55" s="21"/>
      <c r="G55" s="21"/>
      <c r="H55" s="21"/>
      <c r="I55" s="21"/>
      <c r="J55" s="21"/>
      <c r="K55" s="21"/>
      <c r="L55" s="21"/>
    </row>
    <row r="56" spans="1:12" ht="29" x14ac:dyDescent="0.35">
      <c r="A56" s="21" t="s">
        <v>1007</v>
      </c>
      <c r="B56" s="21" t="s">
        <v>1018</v>
      </c>
      <c r="C56" s="21" t="s">
        <v>1019</v>
      </c>
      <c r="D56" s="21"/>
      <c r="E56" s="21" t="s">
        <v>996</v>
      </c>
      <c r="F56" s="21"/>
      <c r="G56" s="21"/>
      <c r="H56" s="21"/>
      <c r="I56" s="21"/>
      <c r="J56" s="21"/>
      <c r="K56" s="21"/>
      <c r="L56" s="21"/>
    </row>
    <row r="57" spans="1:12" ht="43.5" x14ac:dyDescent="0.35">
      <c r="A57" s="21" t="s">
        <v>1020</v>
      </c>
      <c r="B57" s="21" t="s">
        <v>1021</v>
      </c>
      <c r="C57" s="21" t="s">
        <v>1022</v>
      </c>
      <c r="D57" s="21"/>
      <c r="E57" s="21" t="s">
        <v>1023</v>
      </c>
      <c r="F57" s="21"/>
      <c r="G57" s="21"/>
      <c r="H57" s="21"/>
      <c r="I57" s="21"/>
      <c r="J57" s="21"/>
      <c r="K57" s="21"/>
      <c r="L57" s="21"/>
    </row>
    <row r="58" spans="1:12" ht="43.5" x14ac:dyDescent="0.35">
      <c r="A58" s="21" t="s">
        <v>1020</v>
      </c>
      <c r="B58" s="21" t="s">
        <v>1024</v>
      </c>
      <c r="C58" s="21" t="s">
        <v>1025</v>
      </c>
      <c r="D58" s="21"/>
      <c r="E58" s="21" t="s">
        <v>1023</v>
      </c>
      <c r="F58" s="21"/>
      <c r="G58" s="21"/>
      <c r="H58" s="21"/>
      <c r="I58" s="21"/>
      <c r="J58" s="21"/>
      <c r="K58" s="21"/>
      <c r="L58" s="21"/>
    </row>
    <row r="59" spans="1:12" ht="43.5" x14ac:dyDescent="0.35">
      <c r="A59" s="21" t="s">
        <v>1020</v>
      </c>
      <c r="B59" s="21" t="s">
        <v>1026</v>
      </c>
      <c r="C59" s="21" t="s">
        <v>1027</v>
      </c>
      <c r="D59" s="21"/>
      <c r="E59" s="21" t="s">
        <v>1023</v>
      </c>
      <c r="F59" s="21"/>
      <c r="G59" s="21"/>
      <c r="H59" s="21"/>
      <c r="I59" s="21"/>
      <c r="J59" s="21"/>
      <c r="K59" s="21"/>
      <c r="L59" s="21"/>
    </row>
    <row r="60" spans="1:12" ht="43.5" x14ac:dyDescent="0.35">
      <c r="A60" s="21" t="s">
        <v>1020</v>
      </c>
      <c r="B60" s="21" t="s">
        <v>1028</v>
      </c>
      <c r="C60" s="21" t="s">
        <v>1029</v>
      </c>
      <c r="D60" s="21"/>
      <c r="E60" s="21" t="s">
        <v>1023</v>
      </c>
      <c r="F60" s="21"/>
      <c r="G60" s="21"/>
      <c r="H60" s="21"/>
      <c r="I60" s="21"/>
      <c r="J60" s="21"/>
      <c r="K60" s="21"/>
      <c r="L60" s="21"/>
    </row>
    <row r="61" spans="1:12" ht="43.5" x14ac:dyDescent="0.35">
      <c r="A61" s="21" t="s">
        <v>1020</v>
      </c>
      <c r="B61" s="21" t="s">
        <v>1030</v>
      </c>
      <c r="C61" s="21" t="s">
        <v>1031</v>
      </c>
      <c r="D61" s="21"/>
      <c r="E61" s="21" t="s">
        <v>1023</v>
      </c>
      <c r="F61" s="21"/>
      <c r="G61" s="21"/>
      <c r="H61" s="21"/>
      <c r="I61" s="21"/>
      <c r="J61" s="21"/>
      <c r="K61" s="21"/>
      <c r="L61" s="21"/>
    </row>
    <row r="62" spans="1:12" ht="43.5" x14ac:dyDescent="0.35">
      <c r="A62" s="21" t="s">
        <v>1020</v>
      </c>
      <c r="B62" s="21" t="s">
        <v>1032</v>
      </c>
      <c r="C62" s="21" t="s">
        <v>1033</v>
      </c>
      <c r="D62" s="21"/>
      <c r="E62" s="21" t="s">
        <v>1023</v>
      </c>
      <c r="F62" s="21"/>
      <c r="G62" s="21"/>
      <c r="H62" s="21"/>
      <c r="I62" s="21"/>
      <c r="J62" s="21"/>
      <c r="K62" s="21"/>
      <c r="L62" s="21"/>
    </row>
    <row r="63" spans="1:12" ht="29" x14ac:dyDescent="0.35">
      <c r="A63" s="21" t="s">
        <v>428</v>
      </c>
      <c r="B63" s="21" t="s">
        <v>1034</v>
      </c>
      <c r="C63" s="21" t="s">
        <v>1035</v>
      </c>
      <c r="D63" s="21"/>
      <c r="E63" s="21" t="s">
        <v>996</v>
      </c>
      <c r="F63" s="21"/>
      <c r="G63" s="21"/>
      <c r="H63" s="21"/>
      <c r="I63" s="21"/>
      <c r="J63" s="21"/>
      <c r="K63" s="21"/>
      <c r="L63" s="21"/>
    </row>
    <row r="64" spans="1:12" ht="43.5" x14ac:dyDescent="0.35">
      <c r="A64" s="21" t="s">
        <v>428</v>
      </c>
      <c r="B64" s="21" t="s">
        <v>1036</v>
      </c>
      <c r="C64" s="21" t="s">
        <v>1037</v>
      </c>
      <c r="D64" s="21"/>
      <c r="E64" s="21" t="s">
        <v>996</v>
      </c>
      <c r="F64" s="21"/>
      <c r="G64" s="21"/>
      <c r="H64" s="21"/>
      <c r="I64" s="21"/>
      <c r="J64" s="21"/>
      <c r="K64" s="21"/>
      <c r="L64" s="21"/>
    </row>
    <row r="65" spans="1:12" ht="29" x14ac:dyDescent="0.35">
      <c r="A65" s="21" t="s">
        <v>428</v>
      </c>
      <c r="B65" s="21" t="s">
        <v>1038</v>
      </c>
      <c r="C65" s="21" t="s">
        <v>1039</v>
      </c>
      <c r="D65" s="21"/>
      <c r="E65" s="21" t="s">
        <v>996</v>
      </c>
      <c r="F65" s="21"/>
      <c r="G65" s="21"/>
      <c r="H65" s="21"/>
      <c r="I65" s="21"/>
      <c r="J65" s="21"/>
      <c r="K65" s="21"/>
      <c r="L65" s="21"/>
    </row>
    <row r="66" spans="1:12" ht="43.5" x14ac:dyDescent="0.35">
      <c r="A66" s="21" t="s">
        <v>428</v>
      </c>
      <c r="B66" s="21" t="s">
        <v>1040</v>
      </c>
      <c r="C66" s="21" t="s">
        <v>1041</v>
      </c>
      <c r="D66" s="21"/>
      <c r="E66" s="21" t="s">
        <v>996</v>
      </c>
      <c r="F66" s="21"/>
      <c r="G66" s="21"/>
      <c r="H66" s="21"/>
      <c r="I66" s="21"/>
      <c r="J66" s="21"/>
      <c r="K66" s="21"/>
      <c r="L66" s="21"/>
    </row>
    <row r="67" spans="1:12" ht="29" x14ac:dyDescent="0.35">
      <c r="A67" s="21" t="s">
        <v>428</v>
      </c>
      <c r="B67" s="21" t="s">
        <v>1042</v>
      </c>
      <c r="C67" s="21" t="s">
        <v>1043</v>
      </c>
      <c r="D67" s="21"/>
      <c r="E67" s="21" t="s">
        <v>996</v>
      </c>
      <c r="F67" s="21"/>
      <c r="G67" s="21"/>
      <c r="H67" s="21"/>
      <c r="I67" s="21"/>
      <c r="J67" s="21"/>
      <c r="K67" s="21"/>
      <c r="L67" s="21"/>
    </row>
    <row r="68" spans="1:12" ht="29" x14ac:dyDescent="0.35">
      <c r="A68" s="21" t="s">
        <v>428</v>
      </c>
      <c r="B68" s="21" t="s">
        <v>1044</v>
      </c>
      <c r="C68" s="21" t="s">
        <v>1045</v>
      </c>
      <c r="D68" s="21"/>
      <c r="E68" s="21" t="s">
        <v>996</v>
      </c>
      <c r="F68" s="21"/>
      <c r="G68" s="21"/>
      <c r="H68" s="21"/>
      <c r="I68" s="21"/>
      <c r="J68" s="21"/>
      <c r="K68" s="21"/>
      <c r="L68" s="21"/>
    </row>
    <row r="69" spans="1:12" ht="29" x14ac:dyDescent="0.35">
      <c r="A69" s="21" t="s">
        <v>1046</v>
      </c>
      <c r="B69" s="21" t="s">
        <v>1047</v>
      </c>
      <c r="C69" s="21" t="s">
        <v>1048</v>
      </c>
      <c r="D69" s="21"/>
      <c r="E69" s="21" t="s">
        <v>996</v>
      </c>
      <c r="F69" s="21"/>
      <c r="G69" s="21"/>
      <c r="H69" s="21"/>
      <c r="I69" s="21"/>
      <c r="J69" s="21"/>
      <c r="K69" s="21"/>
      <c r="L69" s="21"/>
    </row>
    <row r="70" spans="1:12" ht="29" x14ac:dyDescent="0.35">
      <c r="A70" s="21" t="s">
        <v>1046</v>
      </c>
      <c r="B70" s="21" t="s">
        <v>1049</v>
      </c>
      <c r="C70" s="21" t="s">
        <v>1050</v>
      </c>
      <c r="D70" s="21"/>
      <c r="E70" s="21" t="s">
        <v>996</v>
      </c>
      <c r="F70" s="21"/>
      <c r="G70" s="21"/>
      <c r="H70" s="21"/>
      <c r="I70" s="21"/>
      <c r="J70" s="21"/>
      <c r="K70" s="21"/>
      <c r="L70" s="21"/>
    </row>
    <row r="71" spans="1:12" ht="29" x14ac:dyDescent="0.35">
      <c r="A71" s="21" t="s">
        <v>1046</v>
      </c>
      <c r="B71" s="21" t="s">
        <v>1051</v>
      </c>
      <c r="C71" s="21" t="s">
        <v>1052</v>
      </c>
      <c r="D71" s="21"/>
      <c r="E71" s="21" t="s">
        <v>996</v>
      </c>
      <c r="F71" s="21"/>
      <c r="G71" s="21"/>
      <c r="H71" s="21"/>
      <c r="I71" s="21"/>
      <c r="J71" s="21"/>
      <c r="K71" s="21"/>
      <c r="L71" s="21"/>
    </row>
    <row r="72" spans="1:12" ht="29" x14ac:dyDescent="0.35">
      <c r="A72" s="21" t="s">
        <v>1046</v>
      </c>
      <c r="B72" s="21" t="s">
        <v>1053</v>
      </c>
      <c r="C72" s="21" t="s">
        <v>1054</v>
      </c>
      <c r="D72" s="21"/>
      <c r="E72" s="21" t="s">
        <v>996</v>
      </c>
      <c r="F72" s="21"/>
      <c r="G72" s="21"/>
      <c r="H72" s="21"/>
      <c r="I72" s="21"/>
      <c r="J72" s="21"/>
      <c r="K72" s="21"/>
      <c r="L72" s="21"/>
    </row>
    <row r="73" spans="1:12" ht="29" x14ac:dyDescent="0.35">
      <c r="A73" s="21" t="s">
        <v>1046</v>
      </c>
      <c r="B73" s="21" t="s">
        <v>1055</v>
      </c>
      <c r="C73" s="21" t="s">
        <v>1056</v>
      </c>
      <c r="D73" s="21"/>
      <c r="E73" s="21" t="s">
        <v>996</v>
      </c>
      <c r="F73" s="21"/>
      <c r="G73" s="21"/>
      <c r="H73" s="21"/>
      <c r="I73" s="21"/>
      <c r="J73" s="21"/>
      <c r="K73" s="21"/>
      <c r="L73" s="21"/>
    </row>
    <row r="74" spans="1:12" ht="29" x14ac:dyDescent="0.35">
      <c r="A74" s="21" t="s">
        <v>1046</v>
      </c>
      <c r="B74" s="21" t="s">
        <v>1057</v>
      </c>
      <c r="C74" s="21" t="s">
        <v>1058</v>
      </c>
      <c r="D74" s="21"/>
      <c r="E74" s="21" t="s">
        <v>996</v>
      </c>
      <c r="F74" s="21"/>
      <c r="G74" s="21"/>
      <c r="H74" s="21"/>
      <c r="I74" s="21"/>
      <c r="J74" s="21"/>
      <c r="K74" s="21"/>
      <c r="L74" s="21"/>
    </row>
    <row r="75" spans="1:12" ht="29" x14ac:dyDescent="0.35">
      <c r="A75" s="21" t="s">
        <v>1059</v>
      </c>
      <c r="B75" s="21" t="s">
        <v>1060</v>
      </c>
      <c r="C75" s="21" t="s">
        <v>1061</v>
      </c>
      <c r="D75" s="21"/>
      <c r="E75" s="21" t="s">
        <v>996</v>
      </c>
      <c r="F75" s="21"/>
      <c r="G75" s="21"/>
      <c r="H75" s="21"/>
      <c r="I75" s="21"/>
      <c r="J75" s="21"/>
      <c r="K75" s="21"/>
      <c r="L75" s="21"/>
    </row>
    <row r="76" spans="1:12" ht="43.5" x14ac:dyDescent="0.35">
      <c r="A76" s="21" t="s">
        <v>1059</v>
      </c>
      <c r="B76" s="21" t="s">
        <v>1062</v>
      </c>
      <c r="C76" s="21" t="s">
        <v>1063</v>
      </c>
      <c r="D76" s="21"/>
      <c r="E76" s="21" t="s">
        <v>996</v>
      </c>
      <c r="F76" s="21"/>
      <c r="G76" s="21"/>
      <c r="H76" s="21"/>
      <c r="I76" s="21"/>
      <c r="J76" s="21"/>
      <c r="K76" s="21"/>
      <c r="L76" s="21"/>
    </row>
    <row r="77" spans="1:12" ht="29" x14ac:dyDescent="0.35">
      <c r="A77" s="21" t="s">
        <v>1059</v>
      </c>
      <c r="B77" s="21" t="s">
        <v>1064</v>
      </c>
      <c r="C77" s="21" t="s">
        <v>1065</v>
      </c>
      <c r="D77" s="21"/>
      <c r="E77" s="21" t="s">
        <v>996</v>
      </c>
      <c r="F77" s="21"/>
      <c r="G77" s="21"/>
      <c r="H77" s="21"/>
      <c r="I77" s="21"/>
      <c r="J77" s="21"/>
      <c r="K77" s="21"/>
      <c r="L77" s="21"/>
    </row>
    <row r="78" spans="1:12" ht="29" x14ac:dyDescent="0.35">
      <c r="A78" s="21" t="s">
        <v>1059</v>
      </c>
      <c r="B78" s="21" t="s">
        <v>1066</v>
      </c>
      <c r="C78" s="21" t="s">
        <v>1067</v>
      </c>
      <c r="D78" s="21"/>
      <c r="E78" s="21" t="s">
        <v>996</v>
      </c>
      <c r="F78" s="21"/>
      <c r="G78" s="21"/>
      <c r="H78" s="21"/>
      <c r="I78" s="21"/>
      <c r="J78" s="21"/>
      <c r="K78" s="21"/>
      <c r="L78" s="21"/>
    </row>
    <row r="79" spans="1:12" ht="29" x14ac:dyDescent="0.35">
      <c r="A79" s="21" t="s">
        <v>1059</v>
      </c>
      <c r="B79" s="21" t="s">
        <v>1068</v>
      </c>
      <c r="C79" s="21" t="s">
        <v>1069</v>
      </c>
      <c r="D79" s="21"/>
      <c r="E79" s="21" t="s">
        <v>996</v>
      </c>
      <c r="F79" s="21"/>
      <c r="G79" s="21"/>
      <c r="H79" s="21"/>
      <c r="I79" s="21"/>
      <c r="J79" s="21"/>
      <c r="K79" s="21"/>
      <c r="L79" s="21"/>
    </row>
    <row r="80" spans="1:12" ht="29" x14ac:dyDescent="0.35">
      <c r="A80" s="21" t="s">
        <v>1059</v>
      </c>
      <c r="B80" s="21" t="s">
        <v>1070</v>
      </c>
      <c r="C80" s="21" t="s">
        <v>1071</v>
      </c>
      <c r="D80" s="21"/>
      <c r="E80" s="21" t="s">
        <v>996</v>
      </c>
      <c r="F80" s="21"/>
      <c r="G80" s="21"/>
      <c r="H80" s="21"/>
      <c r="I80" s="21"/>
      <c r="J80" s="21"/>
      <c r="K80" s="21"/>
      <c r="L80" s="21"/>
    </row>
    <row r="81" spans="1:12" ht="29" x14ac:dyDescent="0.35">
      <c r="A81" s="21" t="s">
        <v>1072</v>
      </c>
      <c r="B81" s="21" t="s">
        <v>1073</v>
      </c>
      <c r="C81" s="21" t="s">
        <v>1074</v>
      </c>
      <c r="D81" s="21"/>
      <c r="E81" s="21" t="s">
        <v>996</v>
      </c>
      <c r="F81" s="21"/>
      <c r="G81" s="21"/>
      <c r="H81" s="21"/>
      <c r="I81" s="21"/>
      <c r="J81" s="21"/>
      <c r="K81" s="21"/>
      <c r="L81" s="21"/>
    </row>
    <row r="82" spans="1:12" ht="29" x14ac:dyDescent="0.35">
      <c r="A82" s="21" t="s">
        <v>1072</v>
      </c>
      <c r="B82" s="21" t="s">
        <v>1075</v>
      </c>
      <c r="C82" s="21" t="s">
        <v>1076</v>
      </c>
      <c r="D82" s="21"/>
      <c r="E82" s="21" t="s">
        <v>996</v>
      </c>
      <c r="F82" s="21"/>
      <c r="G82" s="21"/>
      <c r="H82" s="21"/>
      <c r="I82" s="21"/>
      <c r="J82" s="21"/>
      <c r="K82" s="21"/>
      <c r="L82" s="21"/>
    </row>
    <row r="83" spans="1:12" ht="29" x14ac:dyDescent="0.35">
      <c r="A83" s="21" t="s">
        <v>1072</v>
      </c>
      <c r="B83" s="21" t="s">
        <v>1077</v>
      </c>
      <c r="C83" s="21" t="s">
        <v>1078</v>
      </c>
      <c r="D83" s="21"/>
      <c r="E83" s="21" t="s">
        <v>996</v>
      </c>
      <c r="F83" s="21"/>
      <c r="G83" s="21"/>
      <c r="H83" s="21"/>
      <c r="I83" s="21"/>
      <c r="J83" s="21"/>
      <c r="K83" s="21"/>
      <c r="L83" s="21"/>
    </row>
    <row r="84" spans="1:12" ht="29" x14ac:dyDescent="0.35">
      <c r="A84" s="21" t="s">
        <v>1072</v>
      </c>
      <c r="B84" s="21" t="s">
        <v>1079</v>
      </c>
      <c r="C84" s="21" t="s">
        <v>1080</v>
      </c>
      <c r="D84" s="21"/>
      <c r="E84" s="21" t="s">
        <v>996</v>
      </c>
      <c r="F84" s="21"/>
      <c r="G84" s="21"/>
      <c r="H84" s="21"/>
      <c r="I84" s="21"/>
      <c r="J84" s="21"/>
      <c r="K84" s="21"/>
      <c r="L84" s="21"/>
    </row>
    <row r="85" spans="1:12" ht="29" x14ac:dyDescent="0.35">
      <c r="A85" s="21" t="s">
        <v>1072</v>
      </c>
      <c r="B85" s="21" t="s">
        <v>1081</v>
      </c>
      <c r="C85" s="21" t="s">
        <v>1082</v>
      </c>
      <c r="D85" s="21"/>
      <c r="E85" s="21" t="s">
        <v>996</v>
      </c>
      <c r="F85" s="21"/>
      <c r="G85" s="21"/>
      <c r="H85" s="21"/>
      <c r="I85" s="21"/>
      <c r="J85" s="21"/>
      <c r="K85" s="21"/>
      <c r="L85" s="21"/>
    </row>
    <row r="86" spans="1:12" ht="29" x14ac:dyDescent="0.35">
      <c r="A86" s="21" t="s">
        <v>1072</v>
      </c>
      <c r="B86" s="21" t="s">
        <v>1083</v>
      </c>
      <c r="C86" s="21" t="s">
        <v>1084</v>
      </c>
      <c r="D86" s="21"/>
      <c r="E86" s="21" t="s">
        <v>996</v>
      </c>
      <c r="F86" s="21"/>
      <c r="G86" s="21"/>
      <c r="H86" s="21"/>
      <c r="I86" s="21"/>
      <c r="J86" s="21"/>
      <c r="K86" s="21"/>
      <c r="L86" s="21"/>
    </row>
    <row r="87" spans="1:12" ht="29" x14ac:dyDescent="0.35">
      <c r="A87" s="21" t="s">
        <v>1085</v>
      </c>
      <c r="B87" s="21" t="s">
        <v>1086</v>
      </c>
      <c r="C87" s="21" t="s">
        <v>1087</v>
      </c>
      <c r="D87" s="21"/>
      <c r="E87" s="21" t="s">
        <v>996</v>
      </c>
      <c r="F87" s="21"/>
      <c r="G87" s="21"/>
      <c r="H87" s="21"/>
      <c r="I87" s="21"/>
      <c r="J87" s="21"/>
      <c r="K87" s="21"/>
      <c r="L87" s="21"/>
    </row>
    <row r="88" spans="1:12" ht="29" x14ac:dyDescent="0.35">
      <c r="A88" s="21" t="s">
        <v>1085</v>
      </c>
      <c r="B88" s="21" t="s">
        <v>1088</v>
      </c>
      <c r="C88" s="21" t="s">
        <v>1089</v>
      </c>
      <c r="D88" s="21"/>
      <c r="E88" s="21" t="s">
        <v>996</v>
      </c>
      <c r="F88" s="21"/>
      <c r="G88" s="21"/>
      <c r="H88" s="21"/>
      <c r="I88" s="21"/>
      <c r="J88" s="21"/>
      <c r="K88" s="21"/>
      <c r="L88" s="21"/>
    </row>
    <row r="89" spans="1:12" ht="29" x14ac:dyDescent="0.35">
      <c r="A89" s="21" t="s">
        <v>1085</v>
      </c>
      <c r="B89" s="21" t="s">
        <v>1090</v>
      </c>
      <c r="C89" s="21" t="s">
        <v>1091</v>
      </c>
      <c r="D89" s="21"/>
      <c r="E89" s="21" t="s">
        <v>996</v>
      </c>
      <c r="F89" s="21"/>
      <c r="G89" s="21"/>
      <c r="H89" s="21"/>
      <c r="I89" s="21"/>
      <c r="J89" s="21"/>
      <c r="K89" s="21"/>
      <c r="L89" s="21"/>
    </row>
    <row r="90" spans="1:12" ht="29" x14ac:dyDescent="0.35">
      <c r="A90" s="21" t="s">
        <v>1085</v>
      </c>
      <c r="B90" s="21" t="s">
        <v>1092</v>
      </c>
      <c r="C90" s="21" t="s">
        <v>1093</v>
      </c>
      <c r="D90" s="21"/>
      <c r="E90" s="21" t="s">
        <v>996</v>
      </c>
      <c r="F90" s="21"/>
      <c r="G90" s="21"/>
      <c r="H90" s="21"/>
      <c r="I90" s="21"/>
      <c r="J90" s="21"/>
      <c r="K90" s="21"/>
      <c r="L90" s="21"/>
    </row>
    <row r="91" spans="1:12" ht="29" x14ac:dyDescent="0.35">
      <c r="A91" s="21" t="s">
        <v>1085</v>
      </c>
      <c r="B91" s="21" t="s">
        <v>1094</v>
      </c>
      <c r="C91" s="21" t="s">
        <v>1095</v>
      </c>
      <c r="D91" s="21"/>
      <c r="E91" s="21" t="s">
        <v>996</v>
      </c>
      <c r="F91" s="21"/>
      <c r="G91" s="21"/>
      <c r="H91" s="21"/>
      <c r="I91" s="21"/>
      <c r="J91" s="21"/>
      <c r="K91" s="21"/>
      <c r="L91" s="21"/>
    </row>
    <row r="92" spans="1:12" ht="29" x14ac:dyDescent="0.35">
      <c r="A92" s="21" t="s">
        <v>1085</v>
      </c>
      <c r="B92" s="21" t="s">
        <v>1096</v>
      </c>
      <c r="C92" s="21" t="s">
        <v>1097</v>
      </c>
      <c r="D92" s="21"/>
      <c r="E92" s="21" t="s">
        <v>996</v>
      </c>
      <c r="F92" s="21"/>
      <c r="G92" s="21"/>
      <c r="H92" s="21"/>
      <c r="I92" s="21"/>
      <c r="J92" s="21"/>
      <c r="K92" s="21"/>
      <c r="L92" s="21"/>
    </row>
    <row r="93" spans="1:12" ht="29" x14ac:dyDescent="0.35">
      <c r="A93" s="21" t="s">
        <v>1098</v>
      </c>
      <c r="B93" s="21" t="s">
        <v>1099</v>
      </c>
      <c r="C93" s="21" t="s">
        <v>1100</v>
      </c>
      <c r="D93" s="21"/>
      <c r="E93" s="21" t="s">
        <v>996</v>
      </c>
      <c r="F93" s="21"/>
      <c r="G93" s="21"/>
      <c r="H93" s="21"/>
      <c r="I93" s="21"/>
      <c r="J93" s="21"/>
      <c r="K93" s="21"/>
      <c r="L93" s="21"/>
    </row>
    <row r="94" spans="1:12" ht="29" x14ac:dyDescent="0.35">
      <c r="A94" s="21" t="s">
        <v>1098</v>
      </c>
      <c r="B94" s="21" t="s">
        <v>1101</v>
      </c>
      <c r="C94" s="21" t="s">
        <v>1102</v>
      </c>
      <c r="D94" s="21"/>
      <c r="E94" s="21" t="s">
        <v>996</v>
      </c>
      <c r="F94" s="21"/>
      <c r="G94" s="21"/>
      <c r="H94" s="21"/>
      <c r="I94" s="21"/>
      <c r="J94" s="21"/>
      <c r="K94" s="21"/>
      <c r="L94" s="21"/>
    </row>
    <row r="95" spans="1:12" ht="29" x14ac:dyDescent="0.35">
      <c r="A95" s="21" t="s">
        <v>1098</v>
      </c>
      <c r="B95" s="21" t="s">
        <v>1103</v>
      </c>
      <c r="C95" s="21" t="s">
        <v>1104</v>
      </c>
      <c r="D95" s="21"/>
      <c r="E95" s="21" t="s">
        <v>996</v>
      </c>
      <c r="F95" s="21"/>
      <c r="G95" s="21"/>
      <c r="H95" s="21"/>
      <c r="I95" s="21"/>
      <c r="J95" s="21"/>
      <c r="K95" s="21"/>
      <c r="L95" s="21"/>
    </row>
    <row r="96" spans="1:12" ht="29" x14ac:dyDescent="0.35">
      <c r="A96" s="21" t="s">
        <v>1098</v>
      </c>
      <c r="B96" s="21" t="s">
        <v>1105</v>
      </c>
      <c r="C96" s="21" t="s">
        <v>1106</v>
      </c>
      <c r="D96" s="21"/>
      <c r="E96" s="21" t="s">
        <v>996</v>
      </c>
      <c r="F96" s="21"/>
      <c r="G96" s="21"/>
      <c r="H96" s="21"/>
      <c r="I96" s="21"/>
      <c r="J96" s="21"/>
      <c r="K96" s="21"/>
      <c r="L96" s="21"/>
    </row>
    <row r="97" spans="1:12" ht="29" x14ac:dyDescent="0.35">
      <c r="A97" s="21" t="s">
        <v>1098</v>
      </c>
      <c r="B97" s="21" t="s">
        <v>1107</v>
      </c>
      <c r="C97" s="21" t="s">
        <v>1108</v>
      </c>
      <c r="D97" s="21"/>
      <c r="E97" s="21" t="s">
        <v>996</v>
      </c>
      <c r="F97" s="21"/>
      <c r="G97" s="21"/>
      <c r="H97" s="21"/>
      <c r="I97" s="21"/>
      <c r="J97" s="21"/>
      <c r="K97" s="21"/>
      <c r="L97" s="21"/>
    </row>
    <row r="98" spans="1:12" ht="29" x14ac:dyDescent="0.35">
      <c r="A98" s="21" t="s">
        <v>1098</v>
      </c>
      <c r="B98" s="21" t="s">
        <v>1109</v>
      </c>
      <c r="C98" s="21" t="s">
        <v>1110</v>
      </c>
      <c r="D98" s="21"/>
      <c r="E98" s="21" t="s">
        <v>996</v>
      </c>
      <c r="F98" s="21"/>
      <c r="G98" s="21"/>
      <c r="H98" s="21"/>
      <c r="I98" s="21"/>
      <c r="J98" s="21"/>
      <c r="K98" s="21"/>
      <c r="L98" s="21"/>
    </row>
    <row r="99" spans="1:12" ht="29" x14ac:dyDescent="0.35">
      <c r="A99" s="21" t="s">
        <v>1111</v>
      </c>
      <c r="B99" s="21" t="s">
        <v>1112</v>
      </c>
      <c r="C99" s="21" t="s">
        <v>1113</v>
      </c>
      <c r="D99" s="21"/>
      <c r="E99" s="21" t="s">
        <v>1114</v>
      </c>
      <c r="F99" s="21"/>
      <c r="G99" s="21"/>
      <c r="H99" s="21"/>
      <c r="I99" s="21"/>
      <c r="J99" s="21"/>
      <c r="K99" s="21"/>
      <c r="L99" s="21"/>
    </row>
    <row r="100" spans="1:12" ht="29" x14ac:dyDescent="0.35">
      <c r="A100" s="21" t="s">
        <v>1111</v>
      </c>
      <c r="B100" s="21" t="s">
        <v>1115</v>
      </c>
      <c r="C100" s="21" t="s">
        <v>1116</v>
      </c>
      <c r="D100" s="21"/>
      <c r="E100" s="21" t="s">
        <v>1114</v>
      </c>
      <c r="F100" s="21"/>
      <c r="G100" s="21"/>
      <c r="H100" s="21"/>
      <c r="I100" s="21"/>
      <c r="J100" s="21"/>
      <c r="K100" s="21"/>
      <c r="L100" s="21"/>
    </row>
    <row r="101" spans="1:12" ht="29" x14ac:dyDescent="0.35">
      <c r="A101" s="21" t="s">
        <v>1111</v>
      </c>
      <c r="B101" s="21" t="s">
        <v>1117</v>
      </c>
      <c r="C101" s="21" t="s">
        <v>1118</v>
      </c>
      <c r="D101" s="21"/>
      <c r="E101" s="21" t="s">
        <v>1114</v>
      </c>
      <c r="F101" s="21"/>
      <c r="G101" s="21"/>
      <c r="H101" s="21"/>
      <c r="I101" s="21"/>
      <c r="J101" s="21"/>
      <c r="K101" s="21"/>
      <c r="L101" s="21"/>
    </row>
    <row r="102" spans="1:12" ht="29" x14ac:dyDescent="0.35">
      <c r="A102" s="21" t="s">
        <v>1111</v>
      </c>
      <c r="B102" s="21" t="s">
        <v>1119</v>
      </c>
      <c r="C102" s="21" t="s">
        <v>1120</v>
      </c>
      <c r="D102" s="21"/>
      <c r="E102" s="21" t="s">
        <v>1114</v>
      </c>
      <c r="F102" s="21"/>
      <c r="G102" s="21"/>
      <c r="H102" s="21"/>
      <c r="I102" s="21"/>
      <c r="J102" s="21"/>
      <c r="K102" s="21"/>
      <c r="L102" s="21"/>
    </row>
    <row r="103" spans="1:12" ht="29" x14ac:dyDescent="0.35">
      <c r="A103" s="21" t="s">
        <v>1111</v>
      </c>
      <c r="B103" s="21" t="s">
        <v>1121</v>
      </c>
      <c r="C103" s="21" t="s">
        <v>1122</v>
      </c>
      <c r="D103" s="21"/>
      <c r="E103" s="21" t="s">
        <v>1114</v>
      </c>
      <c r="F103" s="21"/>
      <c r="G103" s="21"/>
      <c r="H103" s="21"/>
      <c r="I103" s="21"/>
      <c r="J103" s="21"/>
      <c r="K103" s="21"/>
      <c r="L103" s="21"/>
    </row>
    <row r="104" spans="1:12" ht="29" x14ac:dyDescent="0.35">
      <c r="A104" s="21" t="s">
        <v>1111</v>
      </c>
      <c r="B104" s="21" t="s">
        <v>1123</v>
      </c>
      <c r="C104" s="21" t="s">
        <v>1124</v>
      </c>
      <c r="D104" s="21"/>
      <c r="E104" s="21" t="s">
        <v>1114</v>
      </c>
      <c r="F104" s="21"/>
      <c r="G104" s="21"/>
      <c r="H104" s="21"/>
      <c r="I104" s="21"/>
      <c r="J104" s="21"/>
      <c r="K104" s="21"/>
      <c r="L104" s="21"/>
    </row>
    <row r="105" spans="1:12" ht="29" x14ac:dyDescent="0.35">
      <c r="A105" s="21" t="s">
        <v>1125</v>
      </c>
      <c r="B105" s="21" t="s">
        <v>1126</v>
      </c>
      <c r="C105" s="21" t="s">
        <v>1127</v>
      </c>
      <c r="D105" s="21"/>
      <c r="E105" s="21" t="s">
        <v>1114</v>
      </c>
      <c r="F105" s="21"/>
      <c r="G105" s="21"/>
      <c r="H105" s="21"/>
      <c r="I105" s="21"/>
      <c r="J105" s="21"/>
      <c r="K105" s="21"/>
      <c r="L105" s="21"/>
    </row>
    <row r="106" spans="1:12" ht="29" x14ac:dyDescent="0.35">
      <c r="A106" s="21" t="s">
        <v>1125</v>
      </c>
      <c r="B106" s="21" t="s">
        <v>1128</v>
      </c>
      <c r="C106" s="21" t="s">
        <v>1129</v>
      </c>
      <c r="D106" s="21"/>
      <c r="E106" s="21" t="s">
        <v>1114</v>
      </c>
      <c r="F106" s="21"/>
      <c r="G106" s="21"/>
      <c r="H106" s="21"/>
      <c r="I106" s="21"/>
      <c r="J106" s="21"/>
      <c r="K106" s="21"/>
      <c r="L106" s="21"/>
    </row>
    <row r="107" spans="1:12" ht="43.5" x14ac:dyDescent="0.35">
      <c r="A107" s="21" t="s">
        <v>1125</v>
      </c>
      <c r="B107" s="21" t="s">
        <v>1130</v>
      </c>
      <c r="C107" s="21" t="s">
        <v>1131</v>
      </c>
      <c r="D107" s="21"/>
      <c r="E107" s="21" t="s">
        <v>1114</v>
      </c>
      <c r="F107" s="21"/>
      <c r="G107" s="21"/>
      <c r="H107" s="21"/>
      <c r="I107" s="21"/>
      <c r="J107" s="21"/>
      <c r="K107" s="21"/>
      <c r="L107" s="21"/>
    </row>
    <row r="108" spans="1:12" ht="29" x14ac:dyDescent="0.35">
      <c r="A108" s="21" t="s">
        <v>1125</v>
      </c>
      <c r="B108" s="21" t="s">
        <v>1132</v>
      </c>
      <c r="C108" s="21" t="s">
        <v>1133</v>
      </c>
      <c r="D108" s="21"/>
      <c r="E108" s="21" t="s">
        <v>1114</v>
      </c>
      <c r="F108" s="21"/>
      <c r="G108" s="21"/>
      <c r="H108" s="21"/>
      <c r="I108" s="21"/>
      <c r="J108" s="21"/>
      <c r="K108" s="21"/>
      <c r="L108" s="21"/>
    </row>
    <row r="109" spans="1:12" ht="29" x14ac:dyDescent="0.35">
      <c r="A109" s="21" t="s">
        <v>1125</v>
      </c>
      <c r="B109" s="21" t="s">
        <v>1134</v>
      </c>
      <c r="C109" s="21" t="s">
        <v>1135</v>
      </c>
      <c r="D109" s="21"/>
      <c r="E109" s="21" t="s">
        <v>1114</v>
      </c>
      <c r="F109" s="21"/>
      <c r="G109" s="21"/>
      <c r="H109" s="21"/>
      <c r="I109" s="21"/>
      <c r="J109" s="21"/>
      <c r="K109" s="21"/>
      <c r="L109" s="21"/>
    </row>
    <row r="110" spans="1:12" ht="29" x14ac:dyDescent="0.35">
      <c r="A110" s="21" t="s">
        <v>1125</v>
      </c>
      <c r="B110" s="21" t="s">
        <v>1136</v>
      </c>
      <c r="C110" s="21" t="s">
        <v>1137</v>
      </c>
      <c r="D110" s="21"/>
      <c r="E110" s="21" t="s">
        <v>1114</v>
      </c>
      <c r="F110" s="21"/>
      <c r="G110" s="21"/>
      <c r="H110" s="21"/>
      <c r="I110" s="21"/>
      <c r="J110" s="21"/>
      <c r="K110" s="21"/>
      <c r="L110" s="21"/>
    </row>
    <row r="111" spans="1:12" ht="29" x14ac:dyDescent="0.35">
      <c r="A111" s="21" t="s">
        <v>1138</v>
      </c>
      <c r="B111" s="21" t="s">
        <v>1139</v>
      </c>
      <c r="C111" s="21" t="s">
        <v>1140</v>
      </c>
      <c r="D111" s="21"/>
      <c r="E111" s="21" t="s">
        <v>996</v>
      </c>
      <c r="F111" s="21"/>
      <c r="G111" s="21"/>
      <c r="H111" s="21"/>
      <c r="I111" s="21"/>
      <c r="J111" s="21"/>
      <c r="K111" s="21"/>
      <c r="L111" s="21"/>
    </row>
    <row r="112" spans="1:12" ht="29" x14ac:dyDescent="0.35">
      <c r="A112" s="21" t="s">
        <v>1138</v>
      </c>
      <c r="B112" s="21" t="s">
        <v>1141</v>
      </c>
      <c r="C112" s="21" t="s">
        <v>1142</v>
      </c>
      <c r="D112" s="21"/>
      <c r="E112" s="21" t="s">
        <v>996</v>
      </c>
      <c r="F112" s="21"/>
      <c r="G112" s="21"/>
      <c r="H112" s="21"/>
      <c r="I112" s="21"/>
      <c r="J112" s="21"/>
      <c r="K112" s="21"/>
      <c r="L112" s="21"/>
    </row>
    <row r="113" spans="1:12" ht="29" x14ac:dyDescent="0.35">
      <c r="A113" s="21" t="s">
        <v>1138</v>
      </c>
      <c r="B113" s="21" t="s">
        <v>1143</v>
      </c>
      <c r="C113" s="21" t="s">
        <v>1144</v>
      </c>
      <c r="D113" s="21"/>
      <c r="E113" s="21" t="s">
        <v>996</v>
      </c>
      <c r="F113" s="21"/>
      <c r="G113" s="21"/>
      <c r="H113" s="21"/>
      <c r="I113" s="21"/>
      <c r="J113" s="21"/>
      <c r="K113" s="21"/>
      <c r="L113" s="21"/>
    </row>
    <row r="114" spans="1:12" ht="29" x14ac:dyDescent="0.35">
      <c r="A114" s="21" t="s">
        <v>1138</v>
      </c>
      <c r="B114" s="21" t="s">
        <v>1145</v>
      </c>
      <c r="C114" s="21" t="s">
        <v>1146</v>
      </c>
      <c r="D114" s="21"/>
      <c r="E114" s="21" t="s">
        <v>996</v>
      </c>
      <c r="F114" s="21"/>
      <c r="G114" s="21"/>
      <c r="H114" s="21"/>
      <c r="I114" s="21"/>
      <c r="J114" s="21"/>
      <c r="K114" s="21"/>
      <c r="L114" s="21"/>
    </row>
    <row r="115" spans="1:12" ht="29" x14ac:dyDescent="0.35">
      <c r="A115" s="21" t="s">
        <v>1138</v>
      </c>
      <c r="B115" s="21" t="s">
        <v>1147</v>
      </c>
      <c r="C115" s="21" t="s">
        <v>1148</v>
      </c>
      <c r="D115" s="21"/>
      <c r="E115" s="21" t="s">
        <v>996</v>
      </c>
      <c r="F115" s="21"/>
      <c r="G115" s="21"/>
      <c r="H115" s="21"/>
      <c r="I115" s="21"/>
      <c r="J115" s="21"/>
      <c r="K115" s="21"/>
      <c r="L115" s="21"/>
    </row>
    <row r="116" spans="1:12" ht="29" x14ac:dyDescent="0.35">
      <c r="A116" s="21" t="s">
        <v>1138</v>
      </c>
      <c r="B116" s="21" t="s">
        <v>1149</v>
      </c>
      <c r="C116" s="21" t="s">
        <v>1150</v>
      </c>
      <c r="D116" s="21"/>
      <c r="E116" s="21" t="s">
        <v>996</v>
      </c>
      <c r="F116" s="21"/>
      <c r="G116" s="21"/>
      <c r="H116" s="21"/>
      <c r="I116" s="21"/>
      <c r="J116" s="21"/>
      <c r="K116" s="21"/>
      <c r="L116" s="21"/>
    </row>
    <row r="117" spans="1:12" ht="29" x14ac:dyDescent="0.35">
      <c r="A117" s="21" t="s">
        <v>1151</v>
      </c>
      <c r="B117" s="21" t="s">
        <v>1152</v>
      </c>
      <c r="C117" s="21" t="s">
        <v>1153</v>
      </c>
      <c r="D117" s="21"/>
      <c r="E117" s="21" t="s">
        <v>996</v>
      </c>
      <c r="F117" s="21"/>
      <c r="G117" s="21"/>
      <c r="H117" s="21"/>
      <c r="I117" s="21"/>
      <c r="J117" s="21"/>
      <c r="K117" s="21"/>
      <c r="L117" s="21"/>
    </row>
    <row r="118" spans="1:12" ht="29" x14ac:dyDescent="0.35">
      <c r="A118" s="21" t="s">
        <v>1151</v>
      </c>
      <c r="B118" s="21" t="s">
        <v>1154</v>
      </c>
      <c r="C118" s="21" t="s">
        <v>1155</v>
      </c>
      <c r="D118" s="21"/>
      <c r="E118" s="21" t="s">
        <v>996</v>
      </c>
      <c r="F118" s="21"/>
      <c r="G118" s="21"/>
      <c r="H118" s="21"/>
      <c r="I118" s="21"/>
      <c r="J118" s="21"/>
      <c r="K118" s="21"/>
      <c r="L118" s="21"/>
    </row>
    <row r="119" spans="1:12" ht="29" x14ac:dyDescent="0.35">
      <c r="A119" s="21" t="s">
        <v>1151</v>
      </c>
      <c r="B119" s="21" t="s">
        <v>1156</v>
      </c>
      <c r="C119" s="21" t="s">
        <v>1157</v>
      </c>
      <c r="D119" s="21"/>
      <c r="E119" s="21" t="s">
        <v>996</v>
      </c>
      <c r="F119" s="21"/>
      <c r="G119" s="21"/>
      <c r="H119" s="21"/>
      <c r="I119" s="21"/>
      <c r="J119" s="21"/>
      <c r="K119" s="21"/>
      <c r="L119" s="21"/>
    </row>
    <row r="120" spans="1:12" ht="29" x14ac:dyDescent="0.35">
      <c r="A120" s="21" t="s">
        <v>1151</v>
      </c>
      <c r="B120" s="21" t="s">
        <v>1158</v>
      </c>
      <c r="C120" s="21" t="s">
        <v>1159</v>
      </c>
      <c r="D120" s="21"/>
      <c r="E120" s="21" t="s">
        <v>996</v>
      </c>
      <c r="F120" s="21"/>
      <c r="G120" s="21"/>
      <c r="H120" s="21"/>
      <c r="I120" s="21"/>
      <c r="J120" s="21"/>
      <c r="K120" s="21"/>
      <c r="L120" s="21"/>
    </row>
    <row r="121" spans="1:12" ht="29" x14ac:dyDescent="0.35">
      <c r="A121" s="21" t="s">
        <v>1151</v>
      </c>
      <c r="B121" s="21" t="s">
        <v>1160</v>
      </c>
      <c r="C121" s="21" t="s">
        <v>1161</v>
      </c>
      <c r="D121" s="21"/>
      <c r="E121" s="21" t="s">
        <v>996</v>
      </c>
      <c r="F121" s="21"/>
      <c r="G121" s="21"/>
      <c r="H121" s="21"/>
      <c r="I121" s="21"/>
      <c r="J121" s="21"/>
      <c r="K121" s="21"/>
      <c r="L121" s="21"/>
    </row>
    <row r="122" spans="1:12" ht="29" x14ac:dyDescent="0.35">
      <c r="A122" s="21" t="s">
        <v>1151</v>
      </c>
      <c r="B122" s="21" t="s">
        <v>1162</v>
      </c>
      <c r="C122" s="21" t="s">
        <v>1163</v>
      </c>
      <c r="D122" s="21"/>
      <c r="E122" s="21" t="s">
        <v>996</v>
      </c>
      <c r="F122" s="21"/>
      <c r="G122" s="21"/>
      <c r="H122" s="21"/>
      <c r="I122" s="21"/>
      <c r="J122" s="21"/>
      <c r="K122" s="21"/>
      <c r="L122" s="21"/>
    </row>
    <row r="123" spans="1:12" ht="29" x14ac:dyDescent="0.35">
      <c r="A123" s="21" t="s">
        <v>432</v>
      </c>
      <c r="B123" s="21" t="s">
        <v>1164</v>
      </c>
      <c r="C123" s="21" t="s">
        <v>1165</v>
      </c>
      <c r="D123" s="21"/>
      <c r="E123" s="21" t="s">
        <v>1114</v>
      </c>
      <c r="F123" s="21"/>
      <c r="G123" s="21"/>
      <c r="H123" s="21"/>
      <c r="I123" s="21"/>
      <c r="J123" s="21"/>
      <c r="K123" s="21"/>
      <c r="L123" s="21"/>
    </row>
    <row r="124" spans="1:12" ht="29" x14ac:dyDescent="0.35">
      <c r="A124" s="21" t="s">
        <v>432</v>
      </c>
      <c r="B124" s="21" t="s">
        <v>1166</v>
      </c>
      <c r="C124" s="21" t="s">
        <v>1167</v>
      </c>
      <c r="D124" s="21"/>
      <c r="E124" s="21" t="s">
        <v>1114</v>
      </c>
      <c r="F124" s="21"/>
      <c r="G124" s="21"/>
      <c r="H124" s="21"/>
      <c r="I124" s="21"/>
      <c r="J124" s="21"/>
      <c r="K124" s="21"/>
      <c r="L124" s="21"/>
    </row>
    <row r="125" spans="1:12" ht="29" x14ac:dyDescent="0.35">
      <c r="A125" s="21" t="s">
        <v>432</v>
      </c>
      <c r="B125" s="21" t="s">
        <v>1168</v>
      </c>
      <c r="C125" s="21" t="s">
        <v>1169</v>
      </c>
      <c r="D125" s="21"/>
      <c r="E125" s="21" t="s">
        <v>1114</v>
      </c>
      <c r="F125" s="21"/>
      <c r="G125" s="21"/>
      <c r="H125" s="21"/>
      <c r="I125" s="21"/>
      <c r="J125" s="21"/>
      <c r="K125" s="21"/>
      <c r="L125" s="21"/>
    </row>
    <row r="126" spans="1:12" ht="29" x14ac:dyDescent="0.35">
      <c r="A126" s="21" t="s">
        <v>432</v>
      </c>
      <c r="B126" s="21" t="s">
        <v>1170</v>
      </c>
      <c r="C126" s="21" t="s">
        <v>1171</v>
      </c>
      <c r="D126" s="21"/>
      <c r="E126" s="21" t="s">
        <v>1114</v>
      </c>
      <c r="F126" s="21"/>
      <c r="G126" s="21"/>
      <c r="H126" s="21"/>
      <c r="I126" s="21"/>
      <c r="J126" s="21"/>
      <c r="K126" s="21"/>
      <c r="L126" s="21"/>
    </row>
    <row r="127" spans="1:12" ht="29" x14ac:dyDescent="0.35">
      <c r="A127" s="21" t="s">
        <v>432</v>
      </c>
      <c r="B127" s="21" t="s">
        <v>1172</v>
      </c>
      <c r="C127" s="21" t="s">
        <v>1173</v>
      </c>
      <c r="D127" s="21"/>
      <c r="E127" s="21" t="s">
        <v>1114</v>
      </c>
      <c r="F127" s="21"/>
      <c r="G127" s="21"/>
      <c r="H127" s="21"/>
      <c r="I127" s="21"/>
      <c r="J127" s="21"/>
      <c r="K127" s="21"/>
      <c r="L127" s="21"/>
    </row>
    <row r="128" spans="1:12" ht="29" x14ac:dyDescent="0.35">
      <c r="A128" s="21" t="s">
        <v>432</v>
      </c>
      <c r="B128" s="21" t="s">
        <v>1174</v>
      </c>
      <c r="C128" s="21" t="s">
        <v>1175</v>
      </c>
      <c r="D128" s="21"/>
      <c r="E128" s="21" t="s">
        <v>1114</v>
      </c>
      <c r="F128" s="21"/>
      <c r="G128" s="21"/>
      <c r="H128" s="21"/>
      <c r="I128" s="21"/>
      <c r="J128" s="21"/>
      <c r="K128" s="21"/>
      <c r="L128" s="21"/>
    </row>
    <row r="129" spans="1:12" ht="29" x14ac:dyDescent="0.35">
      <c r="A129" s="21" t="s">
        <v>1176</v>
      </c>
      <c r="B129" s="21" t="s">
        <v>1177</v>
      </c>
      <c r="C129" s="21" t="s">
        <v>1178</v>
      </c>
      <c r="D129" s="21"/>
      <c r="E129" s="21" t="s">
        <v>996</v>
      </c>
      <c r="F129" s="21"/>
      <c r="G129" s="21"/>
      <c r="H129" s="21"/>
      <c r="I129" s="21"/>
      <c r="J129" s="21"/>
      <c r="K129" s="21"/>
      <c r="L129" s="21"/>
    </row>
    <row r="130" spans="1:12" ht="29" x14ac:dyDescent="0.35">
      <c r="A130" s="21" t="s">
        <v>1176</v>
      </c>
      <c r="B130" s="21" t="s">
        <v>1179</v>
      </c>
      <c r="C130" s="21" t="s">
        <v>1180</v>
      </c>
      <c r="D130" s="21"/>
      <c r="E130" s="21" t="s">
        <v>996</v>
      </c>
      <c r="F130" s="21"/>
      <c r="G130" s="21"/>
      <c r="H130" s="21"/>
      <c r="I130" s="21"/>
      <c r="J130" s="21"/>
      <c r="K130" s="21"/>
      <c r="L130" s="21"/>
    </row>
    <row r="131" spans="1:12" ht="29" x14ac:dyDescent="0.35">
      <c r="A131" s="21" t="s">
        <v>1176</v>
      </c>
      <c r="B131" s="21" t="s">
        <v>1181</v>
      </c>
      <c r="C131" s="21" t="s">
        <v>1182</v>
      </c>
      <c r="D131" s="21"/>
      <c r="E131" s="21" t="s">
        <v>996</v>
      </c>
      <c r="F131" s="21"/>
      <c r="G131" s="21"/>
      <c r="H131" s="21"/>
      <c r="I131" s="21"/>
      <c r="J131" s="21"/>
      <c r="K131" s="21"/>
      <c r="L131" s="21"/>
    </row>
    <row r="132" spans="1:12" ht="29" x14ac:dyDescent="0.35">
      <c r="A132" s="21" t="s">
        <v>1176</v>
      </c>
      <c r="B132" s="21" t="s">
        <v>1183</v>
      </c>
      <c r="C132" s="21" t="s">
        <v>1184</v>
      </c>
      <c r="D132" s="21"/>
      <c r="E132" s="21" t="s">
        <v>996</v>
      </c>
      <c r="F132" s="21"/>
      <c r="G132" s="21"/>
      <c r="H132" s="21"/>
      <c r="I132" s="21"/>
      <c r="J132" s="21"/>
      <c r="K132" s="21"/>
      <c r="L132" s="21"/>
    </row>
    <row r="133" spans="1:12" ht="29" x14ac:dyDescent="0.35">
      <c r="A133" s="21" t="s">
        <v>1176</v>
      </c>
      <c r="B133" s="21" t="s">
        <v>1185</v>
      </c>
      <c r="C133" s="21" t="s">
        <v>1186</v>
      </c>
      <c r="D133" s="21"/>
      <c r="E133" s="21" t="s">
        <v>996</v>
      </c>
      <c r="F133" s="21"/>
      <c r="G133" s="21"/>
      <c r="H133" s="21"/>
      <c r="I133" s="21"/>
      <c r="J133" s="21"/>
      <c r="K133" s="21"/>
      <c r="L133" s="21"/>
    </row>
    <row r="134" spans="1:12" ht="29" x14ac:dyDescent="0.35">
      <c r="A134" s="21" t="s">
        <v>1176</v>
      </c>
      <c r="B134" s="21" t="s">
        <v>1187</v>
      </c>
      <c r="C134" s="21" t="s">
        <v>1188</v>
      </c>
      <c r="D134" s="21"/>
      <c r="E134" s="21" t="s">
        <v>996</v>
      </c>
      <c r="F134" s="21"/>
      <c r="G134" s="21"/>
      <c r="H134" s="21"/>
      <c r="I134" s="21"/>
      <c r="J134" s="21"/>
      <c r="K134" s="21"/>
      <c r="L134" s="21"/>
    </row>
    <row r="135" spans="1:12" ht="29" x14ac:dyDescent="0.35">
      <c r="A135" s="21" t="s">
        <v>1189</v>
      </c>
      <c r="B135" s="21" t="s">
        <v>1190</v>
      </c>
      <c r="C135" s="21" t="s">
        <v>1191</v>
      </c>
      <c r="D135" s="21"/>
      <c r="E135" s="21" t="s">
        <v>996</v>
      </c>
      <c r="F135" s="21"/>
      <c r="G135" s="21"/>
      <c r="H135" s="21"/>
      <c r="I135" s="21"/>
      <c r="J135" s="21"/>
      <c r="K135" s="21"/>
      <c r="L135" s="21"/>
    </row>
    <row r="136" spans="1:12" ht="29" x14ac:dyDescent="0.35">
      <c r="A136" s="21" t="s">
        <v>1189</v>
      </c>
      <c r="B136" s="21" t="s">
        <v>1192</v>
      </c>
      <c r="C136" s="21" t="s">
        <v>1193</v>
      </c>
      <c r="D136" s="21"/>
      <c r="E136" s="21" t="s">
        <v>996</v>
      </c>
      <c r="F136" s="21"/>
      <c r="G136" s="21"/>
      <c r="H136" s="21"/>
      <c r="I136" s="21"/>
      <c r="J136" s="21"/>
      <c r="K136" s="21"/>
      <c r="L136" s="21"/>
    </row>
    <row r="137" spans="1:12" ht="29" x14ac:dyDescent="0.35">
      <c r="A137" s="21" t="s">
        <v>1189</v>
      </c>
      <c r="B137" s="21" t="s">
        <v>1194</v>
      </c>
      <c r="C137" s="21" t="s">
        <v>1195</v>
      </c>
      <c r="D137" s="21"/>
      <c r="E137" s="21" t="s">
        <v>996</v>
      </c>
      <c r="F137" s="21"/>
      <c r="G137" s="21"/>
      <c r="H137" s="21"/>
      <c r="I137" s="21"/>
      <c r="J137" s="21"/>
      <c r="K137" s="21"/>
      <c r="L137" s="21"/>
    </row>
    <row r="138" spans="1:12" ht="29" x14ac:dyDescent="0.35">
      <c r="A138" s="21" t="s">
        <v>1189</v>
      </c>
      <c r="B138" s="21" t="s">
        <v>1196</v>
      </c>
      <c r="C138" s="21" t="s">
        <v>1197</v>
      </c>
      <c r="D138" s="21"/>
      <c r="E138" s="21" t="s">
        <v>996</v>
      </c>
      <c r="F138" s="21"/>
      <c r="G138" s="21"/>
      <c r="H138" s="21"/>
      <c r="I138" s="21"/>
      <c r="J138" s="21"/>
      <c r="K138" s="21"/>
      <c r="L138" s="21"/>
    </row>
    <row r="139" spans="1:12" ht="29" x14ac:dyDescent="0.35">
      <c r="A139" s="21" t="s">
        <v>1189</v>
      </c>
      <c r="B139" s="21" t="s">
        <v>1198</v>
      </c>
      <c r="C139" s="21" t="s">
        <v>1199</v>
      </c>
      <c r="D139" s="21"/>
      <c r="E139" s="21" t="s">
        <v>996</v>
      </c>
      <c r="F139" s="21"/>
      <c r="G139" s="21"/>
      <c r="H139" s="21"/>
      <c r="I139" s="21"/>
      <c r="J139" s="21"/>
      <c r="K139" s="21"/>
      <c r="L139" s="21"/>
    </row>
    <row r="140" spans="1:12" ht="29" x14ac:dyDescent="0.35">
      <c r="A140" s="21" t="s">
        <v>1189</v>
      </c>
      <c r="B140" s="21" t="s">
        <v>1200</v>
      </c>
      <c r="C140" s="21" t="s">
        <v>1201</v>
      </c>
      <c r="D140" s="21"/>
      <c r="E140" s="21" t="s">
        <v>996</v>
      </c>
      <c r="F140" s="21"/>
      <c r="G140" s="21"/>
      <c r="H140" s="21"/>
      <c r="I140" s="21"/>
      <c r="J140" s="21"/>
      <c r="K140" s="21"/>
      <c r="L140" s="21"/>
    </row>
    <row r="141" spans="1:12" ht="29" x14ac:dyDescent="0.35">
      <c r="A141" s="21" t="s">
        <v>1202</v>
      </c>
      <c r="B141" s="21" t="s">
        <v>1203</v>
      </c>
      <c r="C141" s="21" t="s">
        <v>1204</v>
      </c>
      <c r="D141" s="21"/>
      <c r="E141" s="21" t="s">
        <v>996</v>
      </c>
      <c r="F141" s="21"/>
      <c r="G141" s="21"/>
      <c r="H141" s="21"/>
      <c r="I141" s="21"/>
      <c r="J141" s="21"/>
      <c r="K141" s="21"/>
      <c r="L141" s="21"/>
    </row>
    <row r="142" spans="1:12" ht="29" x14ac:dyDescent="0.35">
      <c r="A142" s="21" t="s">
        <v>1202</v>
      </c>
      <c r="B142" s="21" t="s">
        <v>1205</v>
      </c>
      <c r="C142" s="21" t="s">
        <v>1206</v>
      </c>
      <c r="D142" s="21"/>
      <c r="E142" s="21" t="s">
        <v>996</v>
      </c>
      <c r="F142" s="21"/>
      <c r="G142" s="21"/>
      <c r="H142" s="21"/>
      <c r="I142" s="21"/>
      <c r="J142" s="21"/>
      <c r="K142" s="21"/>
      <c r="L142" s="21"/>
    </row>
    <row r="143" spans="1:12" ht="29" x14ac:dyDescent="0.35">
      <c r="A143" s="21" t="s">
        <v>1202</v>
      </c>
      <c r="B143" s="21" t="s">
        <v>1207</v>
      </c>
      <c r="C143" s="21" t="s">
        <v>1208</v>
      </c>
      <c r="D143" s="21"/>
      <c r="E143" s="21" t="s">
        <v>996</v>
      </c>
      <c r="F143" s="21"/>
      <c r="G143" s="21"/>
      <c r="H143" s="21"/>
      <c r="I143" s="21"/>
      <c r="J143" s="21"/>
      <c r="K143" s="21"/>
      <c r="L143" s="21"/>
    </row>
    <row r="144" spans="1:12" ht="29" x14ac:dyDescent="0.35">
      <c r="A144" s="21" t="s">
        <v>1202</v>
      </c>
      <c r="B144" s="21" t="s">
        <v>1209</v>
      </c>
      <c r="C144" s="21" t="s">
        <v>1210</v>
      </c>
      <c r="D144" s="21"/>
      <c r="E144" s="21" t="s">
        <v>996</v>
      </c>
      <c r="F144" s="21"/>
      <c r="G144" s="21"/>
      <c r="H144" s="21"/>
      <c r="I144" s="21"/>
      <c r="J144" s="21"/>
      <c r="K144" s="21"/>
      <c r="L144" s="21"/>
    </row>
    <row r="145" spans="1:12" ht="29" x14ac:dyDescent="0.35">
      <c r="A145" s="21" t="s">
        <v>1202</v>
      </c>
      <c r="B145" s="21" t="s">
        <v>1211</v>
      </c>
      <c r="C145" s="21" t="s">
        <v>1212</v>
      </c>
      <c r="D145" s="21"/>
      <c r="E145" s="21" t="s">
        <v>996</v>
      </c>
      <c r="F145" s="21"/>
      <c r="G145" s="21"/>
      <c r="H145" s="21"/>
      <c r="I145" s="21"/>
      <c r="J145" s="21"/>
      <c r="K145" s="21"/>
      <c r="L145" s="21"/>
    </row>
    <row r="146" spans="1:12" ht="29" x14ac:dyDescent="0.35">
      <c r="A146" s="21" t="s">
        <v>1202</v>
      </c>
      <c r="B146" s="21" t="s">
        <v>1213</v>
      </c>
      <c r="C146" s="21" t="s">
        <v>1214</v>
      </c>
      <c r="D146" s="21"/>
      <c r="E146" s="21" t="s">
        <v>996</v>
      </c>
      <c r="F146" s="21"/>
      <c r="G146" s="21"/>
      <c r="H146" s="21"/>
      <c r="I146" s="21"/>
      <c r="J146" s="21"/>
      <c r="K146" s="21"/>
      <c r="L146" s="21"/>
    </row>
    <row r="147" spans="1:12" ht="29" x14ac:dyDescent="0.35">
      <c r="A147" s="21" t="s">
        <v>1215</v>
      </c>
      <c r="B147" s="21" t="s">
        <v>1216</v>
      </c>
      <c r="C147" s="21" t="s">
        <v>1217</v>
      </c>
      <c r="D147" s="21"/>
      <c r="E147" s="21" t="s">
        <v>996</v>
      </c>
      <c r="F147" s="21"/>
      <c r="G147" s="21"/>
      <c r="H147" s="21"/>
      <c r="I147" s="21"/>
      <c r="J147" s="21"/>
      <c r="K147" s="21"/>
      <c r="L147" s="21"/>
    </row>
    <row r="148" spans="1:12" ht="29" x14ac:dyDescent="0.35">
      <c r="A148" s="21" t="s">
        <v>1215</v>
      </c>
      <c r="B148" s="21" t="s">
        <v>1218</v>
      </c>
      <c r="C148" s="21" t="s">
        <v>1219</v>
      </c>
      <c r="D148" s="21"/>
      <c r="E148" s="21" t="s">
        <v>996</v>
      </c>
      <c r="F148" s="21"/>
      <c r="G148" s="21"/>
      <c r="H148" s="21"/>
      <c r="I148" s="21"/>
      <c r="J148" s="21"/>
      <c r="K148" s="21"/>
      <c r="L148" s="21"/>
    </row>
    <row r="149" spans="1:12" ht="29" x14ac:dyDescent="0.35">
      <c r="A149" s="21" t="s">
        <v>1215</v>
      </c>
      <c r="B149" s="21" t="s">
        <v>1220</v>
      </c>
      <c r="C149" s="21" t="s">
        <v>1221</v>
      </c>
      <c r="D149" s="21"/>
      <c r="E149" s="21" t="s">
        <v>996</v>
      </c>
      <c r="F149" s="21"/>
      <c r="G149" s="21"/>
      <c r="H149" s="21"/>
      <c r="I149" s="21"/>
      <c r="J149" s="21"/>
      <c r="K149" s="21"/>
      <c r="L149" s="21"/>
    </row>
    <row r="150" spans="1:12" ht="29" x14ac:dyDescent="0.35">
      <c r="A150" s="21" t="s">
        <v>1215</v>
      </c>
      <c r="B150" s="21" t="s">
        <v>1222</v>
      </c>
      <c r="C150" s="21" t="s">
        <v>1223</v>
      </c>
      <c r="D150" s="21"/>
      <c r="E150" s="21" t="s">
        <v>996</v>
      </c>
      <c r="F150" s="21"/>
      <c r="G150" s="21"/>
      <c r="H150" s="21"/>
      <c r="I150" s="21"/>
      <c r="J150" s="21"/>
      <c r="K150" s="21"/>
      <c r="L150" s="21"/>
    </row>
    <row r="151" spans="1:12" ht="24" customHeight="1" x14ac:dyDescent="0.35">
      <c r="A151" s="133" t="s">
        <v>1215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</row>
    <row r="152" spans="1:12" x14ac:dyDescent="0.35">
      <c r="A152" s="21" t="s">
        <v>1215</v>
      </c>
      <c r="B152" s="21" t="s">
        <v>1224</v>
      </c>
      <c r="C152" s="21" t="s">
        <v>1225</v>
      </c>
      <c r="D152" s="21"/>
      <c r="E152" s="21" t="s">
        <v>996</v>
      </c>
      <c r="F152" s="21"/>
      <c r="G152" s="21"/>
      <c r="H152" s="21"/>
      <c r="I152" s="21"/>
      <c r="J152" s="21"/>
      <c r="K152" s="21"/>
      <c r="L152" s="21"/>
    </row>
    <row r="158" spans="1:12" x14ac:dyDescent="0.35">
      <c r="A158" s="98" t="s">
        <v>1226</v>
      </c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</row>
    <row r="160" spans="1:12" ht="29" x14ac:dyDescent="0.35">
      <c r="A160" s="100" t="s">
        <v>1227</v>
      </c>
      <c r="B160" s="100" t="s">
        <v>1228</v>
      </c>
      <c r="C160" s="100" t="s">
        <v>1229</v>
      </c>
      <c r="D160" s="100" t="s">
        <v>389</v>
      </c>
      <c r="E160" s="100" t="s">
        <v>870</v>
      </c>
      <c r="F160" s="100" t="s">
        <v>390</v>
      </c>
      <c r="G160" s="100" t="s">
        <v>990</v>
      </c>
      <c r="H160" s="100" t="s">
        <v>1230</v>
      </c>
      <c r="I160" s="100"/>
      <c r="J160" s="100"/>
      <c r="K160" s="100"/>
      <c r="L160" s="100"/>
    </row>
    <row r="161" spans="1:8" x14ac:dyDescent="0.35">
      <c r="A161" s="21" t="s">
        <v>1231</v>
      </c>
      <c r="B161" s="21"/>
      <c r="C161" s="21"/>
      <c r="D161" s="21"/>
      <c r="E161" s="21"/>
      <c r="F161" s="21"/>
      <c r="G161" s="21"/>
      <c r="H161" s="21"/>
    </row>
    <row r="162" spans="1:8" x14ac:dyDescent="0.35">
      <c r="A162" s="21" t="s">
        <v>1232</v>
      </c>
      <c r="B162" s="21"/>
      <c r="C162" s="21"/>
      <c r="D162" s="21"/>
      <c r="E162" s="21"/>
      <c r="F162" s="21"/>
      <c r="G162" s="21"/>
      <c r="H162" s="21"/>
    </row>
    <row r="163" spans="1:8" x14ac:dyDescent="0.35">
      <c r="A163" s="21" t="s">
        <v>509</v>
      </c>
      <c r="B163" s="21"/>
      <c r="C163" s="21"/>
      <c r="D163" s="21"/>
      <c r="E163" s="21"/>
      <c r="F163" s="21"/>
      <c r="G163" s="21"/>
      <c r="H163" s="21"/>
    </row>
    <row r="164" spans="1:8" x14ac:dyDescent="0.35">
      <c r="A164" s="21" t="s">
        <v>1233</v>
      </c>
      <c r="B164" s="21"/>
      <c r="C164" s="21"/>
      <c r="D164" s="21"/>
      <c r="E164" s="21"/>
      <c r="F164" s="21"/>
      <c r="G164" s="21"/>
      <c r="H164" s="21"/>
    </row>
    <row r="165" spans="1:8" x14ac:dyDescent="0.35">
      <c r="A165" s="21" t="s">
        <v>1234</v>
      </c>
      <c r="B165" s="21"/>
      <c r="C165" s="21"/>
      <c r="D165" s="21"/>
      <c r="E165" s="21"/>
      <c r="F165" s="21"/>
      <c r="G165" s="21"/>
      <c r="H165" s="21"/>
    </row>
    <row r="166" spans="1:8" x14ac:dyDescent="0.35">
      <c r="A166" s="21" t="s">
        <v>1235</v>
      </c>
      <c r="B166" s="21"/>
      <c r="C166" s="21"/>
      <c r="D166" s="21"/>
      <c r="E166" s="21"/>
      <c r="F166" s="21"/>
      <c r="G166" s="21"/>
      <c r="H166" s="21"/>
    </row>
    <row r="167" spans="1:8" x14ac:dyDescent="0.35">
      <c r="A167" s="21" t="s">
        <v>1236</v>
      </c>
      <c r="B167" s="21"/>
      <c r="C167" s="21"/>
      <c r="D167" s="21"/>
      <c r="E167" s="21"/>
      <c r="F167" s="21"/>
      <c r="G167" s="21"/>
      <c r="H167" s="21"/>
    </row>
    <row r="168" spans="1:8" x14ac:dyDescent="0.35">
      <c r="A168" s="21" t="s">
        <v>1237</v>
      </c>
      <c r="B168" s="21"/>
      <c r="C168" s="21"/>
      <c r="D168" s="21"/>
      <c r="E168" s="21"/>
      <c r="F168" s="21"/>
      <c r="G168" s="21"/>
      <c r="H168" s="21"/>
    </row>
    <row r="169" spans="1:8" x14ac:dyDescent="0.35">
      <c r="A169" s="21" t="s">
        <v>1238</v>
      </c>
      <c r="B169" s="21"/>
      <c r="C169" s="21"/>
      <c r="D169" s="21"/>
      <c r="E169" s="21"/>
      <c r="F169" s="21"/>
      <c r="G169" s="21"/>
      <c r="H169" s="21"/>
    </row>
    <row r="170" spans="1:8" x14ac:dyDescent="0.35">
      <c r="A170" s="21" t="s">
        <v>1239</v>
      </c>
      <c r="B170" s="21"/>
      <c r="C170" s="21"/>
      <c r="D170" s="21"/>
      <c r="E170" s="21"/>
      <c r="F170" s="21"/>
      <c r="G170" s="21"/>
      <c r="H170" s="21"/>
    </row>
    <row r="171" spans="1:8" x14ac:dyDescent="0.35">
      <c r="A171" s="21" t="s">
        <v>1240</v>
      </c>
      <c r="B171" s="21"/>
      <c r="C171" s="21"/>
      <c r="D171" s="21"/>
      <c r="E171" s="21"/>
      <c r="F171" s="21"/>
      <c r="G171" s="21"/>
      <c r="H171" s="21"/>
    </row>
    <row r="172" spans="1:8" x14ac:dyDescent="0.35">
      <c r="A172" s="21" t="s">
        <v>1241</v>
      </c>
      <c r="B172" s="21"/>
      <c r="C172" s="21"/>
      <c r="D172" s="21"/>
      <c r="E172" s="21"/>
      <c r="F172" s="21"/>
      <c r="G172" s="21"/>
      <c r="H172" s="21"/>
    </row>
    <row r="173" spans="1:8" x14ac:dyDescent="0.35">
      <c r="A173" s="21" t="s">
        <v>1242</v>
      </c>
      <c r="B173" s="21"/>
      <c r="C173" s="21"/>
      <c r="D173" s="21"/>
      <c r="E173" s="21"/>
      <c r="F173" s="21"/>
      <c r="G173" s="21"/>
      <c r="H173" s="21"/>
    </row>
    <row r="174" spans="1:8" x14ac:dyDescent="0.35">
      <c r="A174" s="21" t="s">
        <v>1243</v>
      </c>
      <c r="B174" s="21"/>
      <c r="C174" s="21"/>
      <c r="D174" s="21"/>
      <c r="E174" s="21"/>
      <c r="F174" s="21"/>
      <c r="G174" s="21"/>
      <c r="H174" s="21"/>
    </row>
    <row r="175" spans="1:8" x14ac:dyDescent="0.35">
      <c r="A175" s="21" t="s">
        <v>1244</v>
      </c>
      <c r="B175" s="21"/>
      <c r="C175" s="21"/>
      <c r="D175" s="21"/>
      <c r="E175" s="21"/>
      <c r="F175" s="21"/>
      <c r="G175" s="21"/>
      <c r="H175" s="21"/>
    </row>
    <row r="176" spans="1:8" x14ac:dyDescent="0.35">
      <c r="A176" s="21" t="s">
        <v>1245</v>
      </c>
      <c r="B176" s="21"/>
      <c r="C176" s="21"/>
      <c r="D176" s="21"/>
      <c r="E176" s="21"/>
      <c r="F176" s="21"/>
      <c r="G176" s="21"/>
      <c r="H176" s="21"/>
    </row>
    <row r="177" spans="1:12" x14ac:dyDescent="0.35">
      <c r="A177" s="21" t="s">
        <v>1246</v>
      </c>
      <c r="B177" s="21"/>
      <c r="C177" s="21"/>
      <c r="D177" s="21"/>
      <c r="E177" s="21"/>
      <c r="F177" s="21"/>
      <c r="G177" s="21"/>
      <c r="H177" s="21"/>
    </row>
    <row r="178" spans="1:12" x14ac:dyDescent="0.35">
      <c r="A178" s="21" t="s">
        <v>1247</v>
      </c>
      <c r="B178" s="21"/>
      <c r="C178" s="21"/>
      <c r="D178" s="21"/>
      <c r="E178" s="21"/>
      <c r="F178" s="21"/>
      <c r="G178" s="21"/>
      <c r="H178" s="21"/>
    </row>
    <row r="179" spans="1:12" ht="24" customHeight="1" x14ac:dyDescent="0.35">
      <c r="A179" s="133" t="s">
        <v>1248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</row>
    <row r="180" spans="1:12" x14ac:dyDescent="0.35">
      <c r="A180" s="21" t="s">
        <v>1249</v>
      </c>
      <c r="B180" s="21"/>
      <c r="C180" s="21"/>
      <c r="D180" s="21"/>
      <c r="E180" s="21"/>
      <c r="F180" s="21"/>
      <c r="G180" s="21"/>
      <c r="H180" s="21"/>
    </row>
    <row r="186" spans="1:12" x14ac:dyDescent="0.35">
      <c r="A186" s="98" t="s">
        <v>1250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</row>
    <row r="188" spans="1:12" ht="29" x14ac:dyDescent="0.35">
      <c r="A188" s="100" t="s">
        <v>1251</v>
      </c>
      <c r="B188" s="100" t="s">
        <v>1252</v>
      </c>
      <c r="C188" s="100" t="s">
        <v>1253</v>
      </c>
      <c r="D188" s="100" t="s">
        <v>1254</v>
      </c>
      <c r="E188" s="100" t="s">
        <v>870</v>
      </c>
      <c r="F188" s="100" t="s">
        <v>1255</v>
      </c>
      <c r="G188" s="100" t="s">
        <v>338</v>
      </c>
    </row>
    <row r="189" spans="1:12" x14ac:dyDescent="0.35">
      <c r="A189" s="21" t="s">
        <v>428</v>
      </c>
      <c r="B189" s="21"/>
      <c r="C189" s="21"/>
      <c r="D189" s="21"/>
      <c r="E189" s="21"/>
      <c r="F189" s="21"/>
      <c r="G189" s="21"/>
    </row>
    <row r="190" spans="1:12" x14ac:dyDescent="0.35">
      <c r="A190" s="21" t="s">
        <v>582</v>
      </c>
      <c r="B190" s="21"/>
      <c r="C190" s="21"/>
      <c r="D190" s="21"/>
      <c r="E190" s="21"/>
      <c r="F190" s="21"/>
      <c r="G190" s="21"/>
    </row>
    <row r="191" spans="1:12" x14ac:dyDescent="0.35">
      <c r="A191" s="21" t="s">
        <v>435</v>
      </c>
      <c r="B191" s="21"/>
      <c r="C191" s="21"/>
      <c r="D191" s="21"/>
      <c r="E191" s="21"/>
      <c r="F191" s="21"/>
      <c r="G191" s="21"/>
    </row>
    <row r="192" spans="1:12" x14ac:dyDescent="0.35">
      <c r="A192" s="21" t="s">
        <v>93</v>
      </c>
      <c r="B192" s="21"/>
      <c r="C192" s="21"/>
      <c r="D192" s="21"/>
      <c r="E192" s="21"/>
      <c r="F192" s="21"/>
      <c r="G192" s="21"/>
    </row>
    <row r="193" spans="1:12" x14ac:dyDescent="0.35">
      <c r="A193" s="21" t="s">
        <v>431</v>
      </c>
      <c r="B193" s="21"/>
      <c r="C193" s="21"/>
      <c r="D193" s="21"/>
      <c r="E193" s="21"/>
      <c r="F193" s="21"/>
      <c r="G193" s="21"/>
    </row>
    <row r="194" spans="1:12" x14ac:dyDescent="0.35">
      <c r="A194" s="21" t="s">
        <v>97</v>
      </c>
      <c r="B194" s="21"/>
      <c r="C194" s="21"/>
      <c r="D194" s="21"/>
      <c r="E194" s="21"/>
      <c r="F194" s="21"/>
      <c r="G194" s="21"/>
    </row>
    <row r="195" spans="1:12" x14ac:dyDescent="0.35">
      <c r="A195" s="21" t="s">
        <v>100</v>
      </c>
      <c r="B195" s="21"/>
      <c r="C195" s="21"/>
      <c r="D195" s="21"/>
      <c r="E195" s="21"/>
      <c r="F195" s="21"/>
      <c r="G195" s="21"/>
    </row>
    <row r="196" spans="1:12" x14ac:dyDescent="0.35">
      <c r="A196" s="21" t="s">
        <v>1176</v>
      </c>
      <c r="B196" s="21"/>
      <c r="C196" s="21"/>
      <c r="D196" s="21"/>
      <c r="E196" s="21"/>
      <c r="F196" s="21"/>
      <c r="G196" s="21"/>
    </row>
    <row r="197" spans="1:12" x14ac:dyDescent="0.35">
      <c r="A197" s="21" t="s">
        <v>160</v>
      </c>
      <c r="B197" s="21"/>
      <c r="C197" s="21"/>
      <c r="D197" s="21"/>
      <c r="E197" s="21"/>
      <c r="F197" s="21"/>
      <c r="G197" s="21"/>
    </row>
    <row r="198" spans="1:12" x14ac:dyDescent="0.35">
      <c r="A198" s="21" t="s">
        <v>1256</v>
      </c>
      <c r="B198" s="21"/>
      <c r="C198" s="21"/>
      <c r="D198" s="21"/>
      <c r="E198" s="21"/>
      <c r="F198" s="21"/>
      <c r="G198" s="21"/>
    </row>
    <row r="199" spans="1:12" x14ac:dyDescent="0.35">
      <c r="A199" s="21" t="s">
        <v>1257</v>
      </c>
      <c r="B199" s="21"/>
      <c r="C199" s="21"/>
      <c r="D199" s="21"/>
      <c r="E199" s="21"/>
      <c r="F199" s="21"/>
      <c r="G199" s="21"/>
    </row>
    <row r="200" spans="1:12" x14ac:dyDescent="0.35">
      <c r="A200" s="21" t="s">
        <v>1258</v>
      </c>
      <c r="B200" s="21"/>
      <c r="C200" s="21"/>
      <c r="D200" s="21"/>
      <c r="E200" s="21"/>
      <c r="F200" s="21"/>
      <c r="G200" s="21"/>
    </row>
    <row r="201" spans="1:12" x14ac:dyDescent="0.35">
      <c r="A201" s="21" t="s">
        <v>116</v>
      </c>
      <c r="B201" s="21"/>
      <c r="C201" s="21"/>
      <c r="D201" s="21"/>
      <c r="E201" s="21"/>
      <c r="F201" s="21"/>
      <c r="G201" s="21"/>
    </row>
    <row r="202" spans="1:12" x14ac:dyDescent="0.35">
      <c r="A202" s="21" t="s">
        <v>129</v>
      </c>
      <c r="B202" s="21"/>
      <c r="C202" s="21"/>
      <c r="D202" s="21"/>
      <c r="E202" s="21"/>
      <c r="F202" s="21"/>
      <c r="G202" s="21"/>
    </row>
    <row r="203" spans="1:12" x14ac:dyDescent="0.35">
      <c r="A203" s="21" t="s">
        <v>437</v>
      </c>
      <c r="B203" s="21"/>
      <c r="C203" s="21"/>
      <c r="D203" s="21"/>
      <c r="E203" s="21"/>
      <c r="F203" s="21"/>
      <c r="G203" s="21"/>
    </row>
    <row r="204" spans="1:12" x14ac:dyDescent="0.35">
      <c r="A204" s="21" t="s">
        <v>125</v>
      </c>
      <c r="B204" s="21"/>
      <c r="C204" s="21"/>
      <c r="D204" s="21"/>
      <c r="E204" s="21"/>
      <c r="F204" s="21"/>
      <c r="G204" s="21"/>
    </row>
    <row r="205" spans="1:12" x14ac:dyDescent="0.35">
      <c r="A205" s="21" t="s">
        <v>442</v>
      </c>
      <c r="B205" s="21"/>
      <c r="C205" s="21"/>
      <c r="D205" s="21"/>
      <c r="E205" s="21"/>
      <c r="F205" s="21"/>
      <c r="G205" s="21"/>
    </row>
    <row r="206" spans="1:12" x14ac:dyDescent="0.35">
      <c r="A206" s="21" t="s">
        <v>1259</v>
      </c>
      <c r="B206" s="21"/>
      <c r="C206" s="21"/>
      <c r="D206" s="21"/>
      <c r="E206" s="21"/>
      <c r="F206" s="21"/>
      <c r="G206" s="21"/>
    </row>
    <row r="207" spans="1:12" ht="24" customHeight="1" x14ac:dyDescent="0.35">
      <c r="A207" s="133" t="s">
        <v>1260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</row>
    <row r="208" spans="1:12" x14ac:dyDescent="0.35">
      <c r="A208" s="21" t="s">
        <v>439</v>
      </c>
      <c r="B208" s="21"/>
      <c r="C208" s="21"/>
      <c r="D208" s="21"/>
      <c r="E208" s="21"/>
      <c r="F208" s="21"/>
      <c r="G208" s="21"/>
    </row>
    <row r="214" spans="1:12" x14ac:dyDescent="0.35">
      <c r="A214" s="98" t="s">
        <v>1261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</row>
    <row r="216" spans="1:12" x14ac:dyDescent="0.35">
      <c r="A216" s="100" t="s">
        <v>1262</v>
      </c>
      <c r="B216" s="100" t="s">
        <v>1263</v>
      </c>
      <c r="C216" s="100" t="s">
        <v>292</v>
      </c>
      <c r="D216" s="100" t="s">
        <v>371</v>
      </c>
      <c r="E216" s="100" t="s">
        <v>360</v>
      </c>
      <c r="F216" s="100" t="s">
        <v>1264</v>
      </c>
      <c r="G216" s="100" t="s">
        <v>990</v>
      </c>
      <c r="H216" s="100" t="s">
        <v>338</v>
      </c>
    </row>
    <row r="217" spans="1:12" x14ac:dyDescent="0.35">
      <c r="A217" t="s">
        <v>1265</v>
      </c>
    </row>
    <row r="218" spans="1:12" x14ac:dyDescent="0.35">
      <c r="A218" t="s">
        <v>1266</v>
      </c>
    </row>
    <row r="219" spans="1:12" x14ac:dyDescent="0.35">
      <c r="A219" t="s">
        <v>1267</v>
      </c>
    </row>
    <row r="220" spans="1:12" x14ac:dyDescent="0.35">
      <c r="A220" t="s">
        <v>1268</v>
      </c>
    </row>
    <row r="221" spans="1:12" x14ac:dyDescent="0.35">
      <c r="A221" t="s">
        <v>1269</v>
      </c>
    </row>
    <row r="222" spans="1:12" x14ac:dyDescent="0.35">
      <c r="A222" t="s">
        <v>1270</v>
      </c>
    </row>
    <row r="223" spans="1:12" ht="24" customHeight="1" x14ac:dyDescent="0.35">
      <c r="A223" s="129" t="s">
        <v>1271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</row>
    <row r="224" spans="1:12" x14ac:dyDescent="0.35">
      <c r="A224" t="s">
        <v>1272</v>
      </c>
    </row>
    <row r="230" spans="1:12" x14ac:dyDescent="0.35">
      <c r="A230" s="98" t="s">
        <v>1273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2" spans="1:12" ht="29" x14ac:dyDescent="0.35">
      <c r="A232" s="100" t="s">
        <v>1229</v>
      </c>
      <c r="B232" s="100" t="s">
        <v>1274</v>
      </c>
      <c r="C232" s="100" t="s">
        <v>390</v>
      </c>
      <c r="D232" s="100" t="s">
        <v>351</v>
      </c>
      <c r="E232" s="100" t="s">
        <v>352</v>
      </c>
      <c r="F232" s="100" t="s">
        <v>292</v>
      </c>
      <c r="G232" s="100" t="s">
        <v>353</v>
      </c>
      <c r="H232" s="100" t="s">
        <v>338</v>
      </c>
    </row>
    <row r="240" spans="1:12" x14ac:dyDescent="0.3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</row>
    <row r="241" spans="1:12" x14ac:dyDescent="0.3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</row>
    <row r="247" spans="1:12" ht="29" x14ac:dyDescent="0.35">
      <c r="A247" s="106" t="s">
        <v>1275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3"/>
    </row>
    <row r="248" spans="1:12" ht="43.5" x14ac:dyDescent="0.35">
      <c r="A248" s="111" t="s">
        <v>1276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3"/>
    </row>
    <row r="249" spans="1:12" ht="29" x14ac:dyDescent="0.35">
      <c r="A249" s="110" t="s">
        <v>1277</v>
      </c>
      <c r="B249" s="110" t="s">
        <v>1278</v>
      </c>
      <c r="C249" s="110" t="s">
        <v>81</v>
      </c>
      <c r="D249" s="110" t="s">
        <v>615</v>
      </c>
      <c r="E249" s="110" t="s">
        <v>616</v>
      </c>
      <c r="F249" s="110" t="s">
        <v>990</v>
      </c>
      <c r="G249" s="110" t="s">
        <v>1279</v>
      </c>
      <c r="H249" s="110" t="s">
        <v>390</v>
      </c>
      <c r="I249" s="110" t="s">
        <v>351</v>
      </c>
      <c r="J249" s="110" t="s">
        <v>292</v>
      </c>
      <c r="K249" s="110" t="s">
        <v>353</v>
      </c>
      <c r="L249" s="110" t="s">
        <v>619</v>
      </c>
    </row>
    <row r="250" spans="1:12" x14ac:dyDescent="0.35">
      <c r="A250" s="105" t="s">
        <v>1280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x14ac:dyDescent="0.35">
      <c r="A251" s="105" t="s">
        <v>1281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x14ac:dyDescent="0.35">
      <c r="A252" s="105" t="s">
        <v>1282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29" x14ac:dyDescent="0.35">
      <c r="A253" s="105" t="s">
        <v>1283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29" x14ac:dyDescent="0.35">
      <c r="A254" s="105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29" x14ac:dyDescent="0.35">
      <c r="A255" s="105" t="s">
        <v>1285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29" x14ac:dyDescent="0.35">
      <c r="A256" s="105" t="s">
        <v>1286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29" x14ac:dyDescent="0.35">
      <c r="A257" s="105" t="s">
        <v>1287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29" x14ac:dyDescent="0.35">
      <c r="A258" s="105" t="s">
        <v>1288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29" x14ac:dyDescent="0.35">
      <c r="A259" s="105" t="s">
        <v>1289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29" x14ac:dyDescent="0.35">
      <c r="A260" s="105" t="s">
        <v>1290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29" x14ac:dyDescent="0.35">
      <c r="A261" s="105" t="s">
        <v>1291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29" x14ac:dyDescent="0.35">
      <c r="A262" s="105" t="s">
        <v>1292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43.5" x14ac:dyDescent="0.35">
      <c r="A263" s="105" t="s">
        <v>1293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29" x14ac:dyDescent="0.35">
      <c r="A264" s="105" t="s">
        <v>1294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x14ac:dyDescent="0.35">
      <c r="A265" s="105" t="s">
        <v>1295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</sheetData>
  <mergeCells count="9">
    <mergeCell ref="A1:L1"/>
    <mergeCell ref="A17:L17"/>
    <mergeCell ref="A241:L241"/>
    <mergeCell ref="A223:L223"/>
    <mergeCell ref="A35:L35"/>
    <mergeCell ref="A240:L240"/>
    <mergeCell ref="A179:L179"/>
    <mergeCell ref="A151:L151"/>
    <mergeCell ref="A207:L207"/>
  </mergeCells>
  <conditionalFormatting sqref="B12">
    <cfRule type="expression" dxfId="83" priority="12">
      <formula>B12="Green"</formula>
    </cfRule>
    <cfRule type="expression" dxfId="82" priority="13">
      <formula>B12="Amber"</formula>
    </cfRule>
    <cfRule type="expression" dxfId="81" priority="14">
      <formula>B12="Red"</formula>
    </cfRule>
  </conditionalFormatting>
  <conditionalFormatting sqref="B182:B201">
    <cfRule type="expression" dxfId="80" priority="3">
      <formula>B182="Pass"</formula>
    </cfRule>
  </conditionalFormatting>
  <conditionalFormatting sqref="C20:C43">
    <cfRule type="expression" dxfId="79" priority="8">
      <formula>C20="Green"</formula>
    </cfRule>
    <cfRule type="expression" dxfId="78" priority="9">
      <formula>C20="Amber"</formula>
    </cfRule>
    <cfRule type="expression" dxfId="77" priority="10">
      <formula>C20="Red"</formula>
    </cfRule>
    <cfRule type="expression" dxfId="76" priority="11">
      <formula>C20="N/A"</formula>
    </cfRule>
  </conditionalFormatting>
  <conditionalFormatting sqref="C20:C45">
    <cfRule type="expression" dxfId="75" priority="4">
      <formula>ISNUMBER(SEARCH("Green",C20))</formula>
    </cfRule>
    <cfRule type="expression" dxfId="74" priority="5">
      <formula>ISNUMBER(SEARCH("Amber",C20))</formula>
    </cfRule>
    <cfRule type="expression" dxfId="73" priority="6">
      <formula>ISNUMBER(SEARCH("Red",C20))</formula>
    </cfRule>
    <cfRule type="expression" dxfId="72" priority="7">
      <formula>C20="N/A"</formula>
    </cfRule>
  </conditionalFormatting>
  <conditionalFormatting sqref="E154:E173">
    <cfRule type="expression" dxfId="71" priority="2">
      <formula>E154="Pass"</formula>
    </cfRule>
  </conditionalFormatting>
  <conditionalFormatting sqref="H38:H145">
    <cfRule type="expression" dxfId="70" priority="1">
      <formula>H38="Pass"</formula>
    </cfRule>
  </conditionalFormatting>
  <dataValidations count="8">
    <dataValidation type="list" sqref="H38:H145 E154:E173" xr:uid="{00000000-0002-0000-3A00-000000000000}">
      <formula1>"Pass,Developing,Fail,N/A"</formula1>
    </dataValidation>
    <dataValidation type="list" sqref="F38:F145" xr:uid="{00000000-0002-0000-3A00-000001000000}">
      <formula1>"1,2,3,4,5"</formula1>
    </dataValidation>
    <dataValidation type="list" sqref="B182:B201" xr:uid="{00000000-0002-0000-3A00-000003000000}">
      <formula1>"Complete,In Progress,Not Started,N/A"</formula1>
    </dataValidation>
    <dataValidation type="list" allowBlank="1" sqref="C243:E258" xr:uid="{00000000-0002-0000-3A00-000004000000}">
      <formula1>"Yes,No,N/A"</formula1>
    </dataValidation>
    <dataValidation type="list" allowBlank="1" sqref="C20:C45" xr:uid="{00000000-0002-0000-3A00-000005000000}">
      <formula1>"Green - Received,Amber - Awaiting,Red - Missing,N/A"</formula1>
    </dataValidation>
    <dataValidation type="list" sqref="C20:C43" xr:uid="{00000000-0002-0000-3A00-000006000000}">
      <formula1>"Green,Amber,Red,N/A"</formula1>
    </dataValidation>
    <dataValidation type="list" sqref="F42:F230" xr:uid="{00000000-0002-0000-3A00-000007000000}">
      <formula1>"1,2,3,4,5,N/A"</formula1>
    </dataValidation>
    <dataValidation type="list" sqref="H42:H230 H235:H255" xr:uid="{00000000-0002-0000-3A00-000008000000}">
      <formula1>"Pass,Fail,Not Assessed,N/A"</formula1>
    </dataValidation>
  </dataValidation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L265"/>
  <sheetViews>
    <sheetView workbookViewId="0"/>
  </sheetViews>
  <sheetFormatPr defaultRowHeight="14.5" x14ac:dyDescent="0.35"/>
  <cols>
    <col min="1" max="1" width="42" customWidth="1"/>
    <col min="2" max="2" width="36" customWidth="1"/>
    <col min="3" max="3" width="52" customWidth="1"/>
    <col min="4" max="4" width="34" customWidth="1"/>
    <col min="5" max="5" width="30" customWidth="1"/>
    <col min="6" max="6" width="12" customWidth="1"/>
    <col min="7" max="7" width="16" customWidth="1"/>
    <col min="8" max="8" width="14" customWidth="1"/>
    <col min="9" max="9" width="28" customWidth="1"/>
    <col min="10" max="12" width="14" customWidth="1"/>
  </cols>
  <sheetData>
    <row r="1" spans="1:12" ht="30" customHeight="1" x14ac:dyDescent="0.35">
      <c r="A1" s="134" t="s">
        <v>1315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x14ac:dyDescent="0.35">
      <c r="A2" t="s">
        <v>928</v>
      </c>
      <c r="D2" t="s">
        <v>929</v>
      </c>
    </row>
    <row r="4" spans="1:12" x14ac:dyDescent="0.35">
      <c r="A4" s="101" t="s">
        <v>882</v>
      </c>
      <c r="B4" s="101" t="str">
        <f>IF('Induction Employee Register'!A24="","",'Induction Employee Register'!A24)</f>
        <v>SW021</v>
      </c>
      <c r="D4" t="s">
        <v>930</v>
      </c>
      <c r="E4" t="s">
        <v>931</v>
      </c>
      <c r="F4" t="s">
        <v>932</v>
      </c>
      <c r="G4" t="s">
        <v>933</v>
      </c>
      <c r="H4" t="s">
        <v>58</v>
      </c>
      <c r="I4" t="s">
        <v>934</v>
      </c>
      <c r="J4" t="s">
        <v>54</v>
      </c>
      <c r="K4" t="s">
        <v>935</v>
      </c>
      <c r="L4" t="s">
        <v>43</v>
      </c>
    </row>
    <row r="5" spans="1:12" x14ac:dyDescent="0.35">
      <c r="A5" s="101" t="s">
        <v>883</v>
      </c>
      <c r="B5" s="101" t="str">
        <f>IF('Induction Employee Register'!B24="","",'Induction Employee Register'!B24)</f>
        <v/>
      </c>
      <c r="D5" t="s">
        <v>936</v>
      </c>
    </row>
    <row r="6" spans="1:12" x14ac:dyDescent="0.35">
      <c r="A6" s="101" t="s">
        <v>322</v>
      </c>
      <c r="B6" s="101" t="str">
        <f>IF('Induction Employee Register'!C24="","",'Induction Employee Register'!C24)</f>
        <v/>
      </c>
      <c r="D6" t="s">
        <v>937</v>
      </c>
      <c r="E6" t="s">
        <v>938</v>
      </c>
    </row>
    <row r="7" spans="1:12" x14ac:dyDescent="0.35">
      <c r="A7" s="101" t="s">
        <v>323</v>
      </c>
      <c r="B7" s="126" t="str">
        <f>IF('Induction Employee Register'!D24="","",'Induction Employee Register'!D24)</f>
        <v/>
      </c>
      <c r="D7" t="s">
        <v>939</v>
      </c>
      <c r="E7" t="s">
        <v>940</v>
      </c>
    </row>
    <row r="8" spans="1:12" x14ac:dyDescent="0.35">
      <c r="A8" s="101" t="s">
        <v>886</v>
      </c>
      <c r="B8" s="125">
        <f>IFERROR(COUNTIF($H$42:$H$230,"Pass")/(COUNTIF($H$42:$H$230,"Pass")+COUNTIF($H$42:$H$230,"Fail")+COUNTIF($H$42:$H$230,"Not Assessed")),0)</f>
        <v>0</v>
      </c>
      <c r="D8" t="s">
        <v>6</v>
      </c>
      <c r="E8" t="s">
        <v>941</v>
      </c>
    </row>
    <row r="9" spans="1:12" x14ac:dyDescent="0.35">
      <c r="A9" s="101" t="s">
        <v>887</v>
      </c>
      <c r="B9" s="125">
        <f>IFERROR(COUNTIF($H$235:$H$255,"Pass")/(COUNTIF($H$235:$H$255,"Pass")+COUNTIF($H$235:$H$255,"Fail")+COUNTIF($H$235:$H$255,"Not Assessed")),0)</f>
        <v>0</v>
      </c>
      <c r="D9" t="s">
        <v>942</v>
      </c>
      <c r="E9" t="s">
        <v>943</v>
      </c>
    </row>
    <row r="10" spans="1:12" x14ac:dyDescent="0.35">
      <c r="A10" s="101" t="s">
        <v>888</v>
      </c>
      <c r="B10" s="125" t="str">
        <f>IFERROR(IF($B$5="","",IF(INDEX('Mandatory Training Dashboard'!$D$5:$D$53,MATCH($B$5,'Mandatory Training Dashboard'!$A$5:$A$53,0))&gt;1,INDEX('Mandatory Training Dashboard'!$D$5:$D$53,MATCH($B$5,'Mandatory Training Dashboard'!$A$5:$A$53,0))/100,INDEX('Mandatory Training Dashboard'!$D$5:$D$53,MATCH($B$5,'Mandatory Training Dashboard'!$A$5:$A$53,0)))),0)</f>
        <v/>
      </c>
      <c r="D10" t="s">
        <v>944</v>
      </c>
      <c r="E10" t="s">
        <v>945</v>
      </c>
    </row>
    <row r="11" spans="1:12" x14ac:dyDescent="0.35">
      <c r="A11" s="101" t="s">
        <v>893</v>
      </c>
      <c r="B11" s="125">
        <f>IFERROR(AVERAGE(B8:B10),0)</f>
        <v>0</v>
      </c>
      <c r="D11" t="s">
        <v>946</v>
      </c>
      <c r="E11" t="s">
        <v>947</v>
      </c>
    </row>
    <row r="12" spans="1:12" x14ac:dyDescent="0.35">
      <c r="A12" s="101" t="s">
        <v>948</v>
      </c>
      <c r="B12" s="101" t="str">
        <f>IF(B11&gt;=0.9,"Green",IF(B11&gt;=0.75,"Amber","Red"))</f>
        <v>Red</v>
      </c>
      <c r="D12" t="s">
        <v>949</v>
      </c>
      <c r="E12" t="s">
        <v>950</v>
      </c>
    </row>
    <row r="13" spans="1:12" x14ac:dyDescent="0.35">
      <c r="A13" s="101" t="s">
        <v>891</v>
      </c>
      <c r="B13" s="101">
        <f>IF('Induction Employee Register'!N24="","",'Induction Employee Register'!N24)</f>
        <v>0</v>
      </c>
      <c r="D13" t="s">
        <v>951</v>
      </c>
      <c r="E13" t="s">
        <v>952</v>
      </c>
    </row>
    <row r="14" spans="1:12" x14ac:dyDescent="0.35">
      <c r="A14" s="101" t="s">
        <v>892</v>
      </c>
      <c r="B14" s="101" t="str">
        <f>IF('Induction Employee Register'!O24="","",'Induction Employee Register'!O24)</f>
        <v/>
      </c>
    </row>
    <row r="17" spans="1:12" ht="24" customHeight="1" x14ac:dyDescent="0.35">
      <c r="A17" s="135" t="s">
        <v>953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9" spans="1:12" ht="29" x14ac:dyDescent="0.35">
      <c r="A19" s="116" t="s">
        <v>954</v>
      </c>
      <c r="B19" s="116" t="s">
        <v>955</v>
      </c>
      <c r="C19" s="116" t="s">
        <v>956</v>
      </c>
      <c r="D19" s="116" t="s">
        <v>957</v>
      </c>
      <c r="E19" s="116" t="s">
        <v>958</v>
      </c>
      <c r="F19" s="116" t="s">
        <v>353</v>
      </c>
      <c r="G19" s="116" t="s">
        <v>335</v>
      </c>
      <c r="H19" s="116" t="s">
        <v>338</v>
      </c>
      <c r="I19" s="117" t="s">
        <v>959</v>
      </c>
      <c r="J19" t="s">
        <v>960</v>
      </c>
      <c r="K19" t="s">
        <v>300</v>
      </c>
      <c r="L19" t="s">
        <v>961</v>
      </c>
    </row>
    <row r="20" spans="1:12" x14ac:dyDescent="0.35">
      <c r="A20" s="118" t="s">
        <v>962</v>
      </c>
      <c r="B20" s="118" t="s">
        <v>81</v>
      </c>
      <c r="C20" s="118"/>
      <c r="D20" s="127"/>
      <c r="E20" s="127"/>
      <c r="F20" s="118"/>
      <c r="G20" s="118"/>
      <c r="H20" s="118"/>
      <c r="J20" t="s">
        <v>310</v>
      </c>
      <c r="K20" t="str">
        <f>IF('Induction Employee Register'!W24="","",'Induction Employee Register'!W24)</f>
        <v/>
      </c>
      <c r="L20" t="s">
        <v>963</v>
      </c>
    </row>
    <row r="21" spans="1:12" x14ac:dyDescent="0.35">
      <c r="A21" s="118" t="s">
        <v>964</v>
      </c>
      <c r="B21" s="118" t="s">
        <v>81</v>
      </c>
      <c r="C21" s="118"/>
      <c r="D21" s="127"/>
      <c r="E21" s="127"/>
      <c r="F21" s="118"/>
      <c r="G21" s="118"/>
      <c r="H21" s="118"/>
      <c r="J21" t="s">
        <v>311</v>
      </c>
      <c r="K21" t="str">
        <f>IF('Induction Employee Register'!X24="","",'Induction Employee Register'!X24)</f>
        <v/>
      </c>
      <c r="L21" t="s">
        <v>965</v>
      </c>
    </row>
    <row r="22" spans="1:12" x14ac:dyDescent="0.35">
      <c r="A22" s="118" t="s">
        <v>966</v>
      </c>
      <c r="B22" s="118" t="s">
        <v>81</v>
      </c>
      <c r="C22" s="118"/>
      <c r="D22" s="127"/>
      <c r="E22" s="127"/>
      <c r="F22" s="118"/>
      <c r="G22" s="118"/>
      <c r="H22" s="118"/>
      <c r="J22" t="s">
        <v>312</v>
      </c>
      <c r="K22" t="str">
        <f>IF('Induction Employee Register'!Y24="","",'Induction Employee Register'!Y24)</f>
        <v/>
      </c>
      <c r="L22" t="s">
        <v>967</v>
      </c>
    </row>
    <row r="23" spans="1:12" x14ac:dyDescent="0.35">
      <c r="A23" s="118" t="s">
        <v>52</v>
      </c>
      <c r="B23" s="118" t="s">
        <v>81</v>
      </c>
      <c r="C23" s="118"/>
      <c r="D23" s="127"/>
      <c r="E23" s="127"/>
      <c r="F23" s="118"/>
      <c r="G23" s="118"/>
      <c r="H23" s="118"/>
      <c r="J23" t="s">
        <v>313</v>
      </c>
      <c r="K23" t="str">
        <f>IF('Induction Employee Register'!Z24="","",'Induction Employee Register'!Z24)</f>
        <v/>
      </c>
      <c r="L23" t="s">
        <v>968</v>
      </c>
    </row>
    <row r="24" spans="1:12" x14ac:dyDescent="0.35">
      <c r="A24" s="118" t="s">
        <v>50</v>
      </c>
      <c r="B24" s="118" t="s">
        <v>81</v>
      </c>
      <c r="C24" s="118"/>
      <c r="D24" s="127"/>
      <c r="E24" s="127"/>
      <c r="F24" s="118"/>
      <c r="G24" s="118"/>
      <c r="H24" s="118"/>
      <c r="J24" t="s">
        <v>314</v>
      </c>
      <c r="K24" t="str">
        <f>IF('Induction Employee Register'!AA24="","",'Induction Employee Register'!AA24)</f>
        <v/>
      </c>
      <c r="L24" t="s">
        <v>968</v>
      </c>
    </row>
    <row r="25" spans="1:12" x14ac:dyDescent="0.35">
      <c r="A25" s="118" t="s">
        <v>329</v>
      </c>
      <c r="B25" s="118" t="s">
        <v>81</v>
      </c>
      <c r="C25" s="118"/>
      <c r="D25" s="127"/>
      <c r="E25" s="127"/>
      <c r="F25" s="118"/>
      <c r="G25" s="118"/>
      <c r="H25" s="118"/>
      <c r="J25" t="s">
        <v>315</v>
      </c>
      <c r="K25" t="str">
        <f>IF('Induction Employee Register'!AB24="","",'Induction Employee Register'!AB24)</f>
        <v/>
      </c>
      <c r="L25" t="s">
        <v>967</v>
      </c>
    </row>
    <row r="26" spans="1:12" x14ac:dyDescent="0.35">
      <c r="A26" s="118" t="s">
        <v>969</v>
      </c>
      <c r="B26" s="118" t="s">
        <v>81</v>
      </c>
      <c r="C26" s="118"/>
      <c r="D26" s="127"/>
      <c r="E26" s="127"/>
      <c r="F26" s="118"/>
      <c r="G26" s="118"/>
      <c r="H26" s="118"/>
      <c r="J26" t="s">
        <v>316</v>
      </c>
      <c r="K26" t="str">
        <f>IF('Induction Employee Register'!AC24="","",'Induction Employee Register'!AC24)</f>
        <v/>
      </c>
      <c r="L26" t="s">
        <v>967</v>
      </c>
    </row>
    <row r="27" spans="1:12" x14ac:dyDescent="0.35">
      <c r="A27" s="118" t="s">
        <v>970</v>
      </c>
      <c r="B27" s="118" t="s">
        <v>81</v>
      </c>
      <c r="C27" s="118"/>
      <c r="D27" s="127"/>
      <c r="E27" s="127"/>
      <c r="F27" s="118"/>
      <c r="G27" s="118"/>
      <c r="H27" s="118"/>
    </row>
    <row r="28" spans="1:12" x14ac:dyDescent="0.35">
      <c r="A28" s="118" t="s">
        <v>971</v>
      </c>
      <c r="B28" s="118" t="s">
        <v>81</v>
      </c>
      <c r="C28" s="118"/>
      <c r="D28" s="127"/>
      <c r="E28" s="127"/>
      <c r="F28" s="118"/>
      <c r="G28" s="118"/>
      <c r="H28" s="118"/>
    </row>
    <row r="29" spans="1:12" x14ac:dyDescent="0.35">
      <c r="A29" s="118" t="s">
        <v>972</v>
      </c>
      <c r="B29" s="118" t="s">
        <v>81</v>
      </c>
      <c r="C29" s="118"/>
      <c r="D29" s="127"/>
      <c r="E29" s="127"/>
      <c r="F29" s="118"/>
      <c r="G29" s="118"/>
      <c r="H29" s="118"/>
    </row>
    <row r="30" spans="1:12" x14ac:dyDescent="0.35">
      <c r="A30" s="118" t="s">
        <v>973</v>
      </c>
      <c r="B30" s="118" t="s">
        <v>81</v>
      </c>
      <c r="C30" s="118"/>
      <c r="D30" s="127"/>
      <c r="E30" s="127"/>
      <c r="F30" s="118"/>
      <c r="G30" s="118"/>
      <c r="H30" s="118"/>
    </row>
    <row r="31" spans="1:12" x14ac:dyDescent="0.35">
      <c r="A31" s="118" t="s">
        <v>974</v>
      </c>
      <c r="B31" s="118" t="s">
        <v>81</v>
      </c>
      <c r="C31" s="118"/>
      <c r="D31" s="127"/>
      <c r="E31" s="127"/>
      <c r="F31" s="118"/>
      <c r="G31" s="118"/>
      <c r="H31" s="118"/>
    </row>
    <row r="32" spans="1:12" x14ac:dyDescent="0.35">
      <c r="A32" s="118" t="s">
        <v>975</v>
      </c>
      <c r="B32" s="118" t="s">
        <v>81</v>
      </c>
      <c r="C32" s="118"/>
      <c r="D32" s="127"/>
      <c r="E32" s="127"/>
      <c r="F32" s="118"/>
      <c r="G32" s="118"/>
      <c r="H32" s="118"/>
    </row>
    <row r="33" spans="1:12" x14ac:dyDescent="0.35">
      <c r="A33" s="118" t="s">
        <v>54</v>
      </c>
      <c r="B33" s="118" t="s">
        <v>81</v>
      </c>
      <c r="C33" s="118"/>
      <c r="D33" s="127"/>
      <c r="E33" s="127"/>
      <c r="F33" s="118"/>
      <c r="G33" s="118"/>
      <c r="H33" s="118"/>
    </row>
    <row r="34" spans="1:12" x14ac:dyDescent="0.35">
      <c r="A34" s="119" t="s">
        <v>976</v>
      </c>
      <c r="B34" s="119" t="s">
        <v>81</v>
      </c>
      <c r="C34" s="119"/>
      <c r="D34" s="127"/>
      <c r="E34" s="127"/>
      <c r="F34" s="119"/>
      <c r="G34" s="119"/>
      <c r="H34" s="119"/>
    </row>
    <row r="35" spans="1:12" ht="24" customHeight="1" x14ac:dyDescent="0.35">
      <c r="A35" s="130" t="s">
        <v>977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</row>
    <row r="36" spans="1:12" x14ac:dyDescent="0.35">
      <c r="A36" s="119" t="s">
        <v>978</v>
      </c>
      <c r="B36" s="119" t="s">
        <v>81</v>
      </c>
      <c r="C36" s="119"/>
      <c r="D36" s="127"/>
      <c r="E36" s="127"/>
      <c r="F36" s="119"/>
      <c r="G36" s="119"/>
      <c r="H36" s="119"/>
    </row>
    <row r="37" spans="1:12" x14ac:dyDescent="0.35">
      <c r="A37" s="119" t="s">
        <v>979</v>
      </c>
      <c r="B37" s="119" t="s">
        <v>81</v>
      </c>
      <c r="C37" s="119"/>
      <c r="D37" s="127"/>
      <c r="E37" s="127"/>
      <c r="F37" s="119"/>
      <c r="G37" s="119"/>
      <c r="H37" s="119"/>
    </row>
    <row r="38" spans="1:12" x14ac:dyDescent="0.35">
      <c r="A38" s="119" t="s">
        <v>980</v>
      </c>
      <c r="B38" s="119" t="s">
        <v>81</v>
      </c>
      <c r="C38" s="119"/>
      <c r="D38" s="127"/>
      <c r="E38" s="127"/>
      <c r="F38" s="119"/>
      <c r="G38" s="119"/>
      <c r="H38" s="119"/>
    </row>
    <row r="39" spans="1:12" x14ac:dyDescent="0.35">
      <c r="A39" s="119" t="s">
        <v>981</v>
      </c>
      <c r="B39" s="119" t="s">
        <v>81</v>
      </c>
      <c r="C39" s="119"/>
      <c r="D39" s="127"/>
      <c r="E39" s="127"/>
      <c r="F39" s="119"/>
      <c r="G39" s="119"/>
      <c r="H39" s="119"/>
    </row>
    <row r="40" spans="1:12" x14ac:dyDescent="0.35">
      <c r="A40" s="119" t="s">
        <v>982</v>
      </c>
      <c r="B40" s="119" t="s">
        <v>81</v>
      </c>
      <c r="C40" s="119"/>
      <c r="D40" s="127"/>
      <c r="E40" s="127"/>
      <c r="F40" s="119"/>
      <c r="G40" s="119"/>
      <c r="H40" s="119"/>
    </row>
    <row r="41" spans="1:12" x14ac:dyDescent="0.35">
      <c r="A41" s="118"/>
      <c r="B41" s="118"/>
      <c r="C41" s="118"/>
      <c r="D41" s="127"/>
      <c r="E41" s="127"/>
      <c r="F41" s="118"/>
      <c r="G41" s="118"/>
      <c r="H41" s="118"/>
    </row>
    <row r="42" spans="1:12" x14ac:dyDescent="0.35">
      <c r="A42" s="120" t="s">
        <v>983</v>
      </c>
      <c r="B42" s="118"/>
      <c r="C42" s="118"/>
      <c r="D42" s="127"/>
      <c r="E42" s="127"/>
      <c r="F42" s="118"/>
      <c r="G42" s="118"/>
      <c r="H42" s="118"/>
      <c r="I42" s="96"/>
      <c r="J42" s="96"/>
      <c r="K42" s="96"/>
      <c r="L42" s="96"/>
    </row>
    <row r="43" spans="1:12" x14ac:dyDescent="0.35">
      <c r="A43" s="118"/>
      <c r="B43" s="118"/>
      <c r="C43" s="118"/>
      <c r="D43" s="127"/>
      <c r="E43" s="127"/>
      <c r="F43" s="118"/>
      <c r="G43" s="118"/>
      <c r="H43" s="118"/>
    </row>
    <row r="44" spans="1:12" ht="29" x14ac:dyDescent="0.35">
      <c r="A44" s="116" t="s">
        <v>984</v>
      </c>
      <c r="B44" s="116" t="s">
        <v>985</v>
      </c>
      <c r="C44" s="116" t="s">
        <v>986</v>
      </c>
      <c r="D44" s="116" t="s">
        <v>987</v>
      </c>
      <c r="E44" s="116" t="s">
        <v>988</v>
      </c>
      <c r="F44" s="116" t="s">
        <v>989</v>
      </c>
      <c r="G44" s="116" t="s">
        <v>389</v>
      </c>
      <c r="H44" s="116" t="s">
        <v>870</v>
      </c>
      <c r="I44" s="100" t="s">
        <v>390</v>
      </c>
      <c r="J44" s="100" t="s">
        <v>990</v>
      </c>
      <c r="K44" s="100" t="s">
        <v>991</v>
      </c>
      <c r="L44" s="100" t="s">
        <v>992</v>
      </c>
    </row>
    <row r="45" spans="1:12" ht="29" x14ac:dyDescent="0.35">
      <c r="A45" s="121" t="s">
        <v>993</v>
      </c>
      <c r="B45" s="121" t="s">
        <v>994</v>
      </c>
      <c r="C45" s="121" t="s">
        <v>995</v>
      </c>
      <c r="D45" s="121"/>
      <c r="E45" s="121" t="s">
        <v>996</v>
      </c>
      <c r="F45" s="121"/>
      <c r="G45" s="121"/>
      <c r="H45" s="121"/>
      <c r="I45" s="21"/>
      <c r="J45" s="21"/>
      <c r="K45" s="21"/>
      <c r="L45" s="21"/>
    </row>
    <row r="46" spans="1:12" ht="29" x14ac:dyDescent="0.35">
      <c r="A46" s="21" t="s">
        <v>993</v>
      </c>
      <c r="B46" s="21" t="s">
        <v>997</v>
      </c>
      <c r="C46" s="21" t="s">
        <v>998</v>
      </c>
      <c r="D46" s="21"/>
      <c r="E46" s="21" t="s">
        <v>996</v>
      </c>
      <c r="F46" s="21"/>
      <c r="G46" s="21"/>
      <c r="H46" s="21"/>
      <c r="I46" s="21"/>
      <c r="J46" s="21"/>
      <c r="K46" s="21"/>
      <c r="L46" s="21"/>
    </row>
    <row r="47" spans="1:12" ht="29" x14ac:dyDescent="0.35">
      <c r="A47" s="21" t="s">
        <v>993</v>
      </c>
      <c r="B47" s="21" t="s">
        <v>999</v>
      </c>
      <c r="C47" s="21" t="s">
        <v>1000</v>
      </c>
      <c r="D47" s="21"/>
      <c r="E47" s="21" t="s">
        <v>996</v>
      </c>
      <c r="F47" s="21"/>
      <c r="G47" s="21"/>
      <c r="H47" s="21"/>
      <c r="I47" s="21"/>
      <c r="J47" s="21"/>
      <c r="K47" s="21"/>
      <c r="L47" s="21"/>
    </row>
    <row r="48" spans="1:12" ht="29" x14ac:dyDescent="0.35">
      <c r="A48" s="21" t="s">
        <v>993</v>
      </c>
      <c r="B48" s="21" t="s">
        <v>1001</v>
      </c>
      <c r="C48" s="21" t="s">
        <v>1002</v>
      </c>
      <c r="D48" s="21"/>
      <c r="E48" s="21" t="s">
        <v>996</v>
      </c>
      <c r="F48" s="21"/>
      <c r="G48" s="21"/>
      <c r="H48" s="21"/>
      <c r="I48" s="21"/>
      <c r="J48" s="21"/>
      <c r="K48" s="21"/>
      <c r="L48" s="21"/>
    </row>
    <row r="49" spans="1:12" ht="43.5" x14ac:dyDescent="0.35">
      <c r="A49" s="21" t="s">
        <v>993</v>
      </c>
      <c r="B49" s="21" t="s">
        <v>1003</v>
      </c>
      <c r="C49" s="21" t="s">
        <v>1004</v>
      </c>
      <c r="D49" s="21"/>
      <c r="E49" s="21" t="s">
        <v>996</v>
      </c>
      <c r="F49" s="21"/>
      <c r="G49" s="21"/>
      <c r="H49" s="21"/>
      <c r="I49" s="21"/>
      <c r="J49" s="21"/>
      <c r="K49" s="21"/>
      <c r="L49" s="21"/>
    </row>
    <row r="50" spans="1:12" ht="29" x14ac:dyDescent="0.35">
      <c r="A50" s="21" t="s">
        <v>993</v>
      </c>
      <c r="B50" s="21" t="s">
        <v>1005</v>
      </c>
      <c r="C50" s="21" t="s">
        <v>1006</v>
      </c>
      <c r="D50" s="21"/>
      <c r="E50" s="21" t="s">
        <v>996</v>
      </c>
      <c r="F50" s="21"/>
      <c r="G50" s="21"/>
      <c r="H50" s="21"/>
      <c r="I50" s="21"/>
      <c r="J50" s="21"/>
      <c r="K50" s="21"/>
      <c r="L50" s="21"/>
    </row>
    <row r="51" spans="1:12" ht="43.5" x14ac:dyDescent="0.35">
      <c r="A51" s="21" t="s">
        <v>1007</v>
      </c>
      <c r="B51" s="21" t="s">
        <v>1008</v>
      </c>
      <c r="C51" s="21" t="s">
        <v>1009</v>
      </c>
      <c r="D51" s="21"/>
      <c r="E51" s="21" t="s">
        <v>996</v>
      </c>
      <c r="F51" s="21"/>
      <c r="G51" s="21"/>
      <c r="H51" s="21"/>
      <c r="I51" s="21"/>
      <c r="J51" s="21"/>
      <c r="K51" s="21"/>
      <c r="L51" s="21"/>
    </row>
    <row r="52" spans="1:12" ht="29" x14ac:dyDescent="0.35">
      <c r="A52" s="21" t="s">
        <v>1007</v>
      </c>
      <c r="B52" s="21" t="s">
        <v>1010</v>
      </c>
      <c r="C52" s="21" t="s">
        <v>1011</v>
      </c>
      <c r="D52" s="21"/>
      <c r="E52" s="21" t="s">
        <v>996</v>
      </c>
      <c r="F52" s="21"/>
      <c r="G52" s="21"/>
      <c r="H52" s="21"/>
      <c r="I52" s="21"/>
      <c r="J52" s="21"/>
      <c r="K52" s="21"/>
      <c r="L52" s="21"/>
    </row>
    <row r="53" spans="1:12" ht="29" x14ac:dyDescent="0.35">
      <c r="A53" s="21" t="s">
        <v>1007</v>
      </c>
      <c r="B53" s="21" t="s">
        <v>1012</v>
      </c>
      <c r="C53" s="21" t="s">
        <v>1013</v>
      </c>
      <c r="D53" s="21"/>
      <c r="E53" s="21" t="s">
        <v>996</v>
      </c>
      <c r="F53" s="21"/>
      <c r="G53" s="21"/>
      <c r="H53" s="21"/>
      <c r="I53" s="21"/>
      <c r="J53" s="21"/>
      <c r="K53" s="21"/>
      <c r="L53" s="21"/>
    </row>
    <row r="54" spans="1:12" ht="29" x14ac:dyDescent="0.35">
      <c r="A54" s="21" t="s">
        <v>1007</v>
      </c>
      <c r="B54" s="21" t="s">
        <v>1014</v>
      </c>
      <c r="C54" s="21" t="s">
        <v>1015</v>
      </c>
      <c r="D54" s="21"/>
      <c r="E54" s="21" t="s">
        <v>996</v>
      </c>
      <c r="F54" s="21"/>
      <c r="G54" s="21"/>
      <c r="H54" s="21"/>
      <c r="I54" s="21"/>
      <c r="J54" s="21"/>
      <c r="K54" s="21"/>
      <c r="L54" s="21"/>
    </row>
    <row r="55" spans="1:12" ht="29" x14ac:dyDescent="0.35">
      <c r="A55" s="21" t="s">
        <v>1007</v>
      </c>
      <c r="B55" s="21" t="s">
        <v>1016</v>
      </c>
      <c r="C55" s="21" t="s">
        <v>1017</v>
      </c>
      <c r="D55" s="21"/>
      <c r="E55" s="21" t="s">
        <v>996</v>
      </c>
      <c r="F55" s="21"/>
      <c r="G55" s="21"/>
      <c r="H55" s="21"/>
      <c r="I55" s="21"/>
      <c r="J55" s="21"/>
      <c r="K55" s="21"/>
      <c r="L55" s="21"/>
    </row>
    <row r="56" spans="1:12" ht="29" x14ac:dyDescent="0.35">
      <c r="A56" s="21" t="s">
        <v>1007</v>
      </c>
      <c r="B56" s="21" t="s">
        <v>1018</v>
      </c>
      <c r="C56" s="21" t="s">
        <v>1019</v>
      </c>
      <c r="D56" s="21"/>
      <c r="E56" s="21" t="s">
        <v>996</v>
      </c>
      <c r="F56" s="21"/>
      <c r="G56" s="21"/>
      <c r="H56" s="21"/>
      <c r="I56" s="21"/>
      <c r="J56" s="21"/>
      <c r="K56" s="21"/>
      <c r="L56" s="21"/>
    </row>
    <row r="57" spans="1:12" ht="43.5" x14ac:dyDescent="0.35">
      <c r="A57" s="21" t="s">
        <v>1020</v>
      </c>
      <c r="B57" s="21" t="s">
        <v>1021</v>
      </c>
      <c r="C57" s="21" t="s">
        <v>1022</v>
      </c>
      <c r="D57" s="21"/>
      <c r="E57" s="21" t="s">
        <v>1023</v>
      </c>
      <c r="F57" s="21"/>
      <c r="G57" s="21"/>
      <c r="H57" s="21"/>
      <c r="I57" s="21"/>
      <c r="J57" s="21"/>
      <c r="K57" s="21"/>
      <c r="L57" s="21"/>
    </row>
    <row r="58" spans="1:12" ht="43.5" x14ac:dyDescent="0.35">
      <c r="A58" s="21" t="s">
        <v>1020</v>
      </c>
      <c r="B58" s="21" t="s">
        <v>1024</v>
      </c>
      <c r="C58" s="21" t="s">
        <v>1025</v>
      </c>
      <c r="D58" s="21"/>
      <c r="E58" s="21" t="s">
        <v>1023</v>
      </c>
      <c r="F58" s="21"/>
      <c r="G58" s="21"/>
      <c r="H58" s="21"/>
      <c r="I58" s="21"/>
      <c r="J58" s="21"/>
      <c r="K58" s="21"/>
      <c r="L58" s="21"/>
    </row>
    <row r="59" spans="1:12" ht="43.5" x14ac:dyDescent="0.35">
      <c r="A59" s="21" t="s">
        <v>1020</v>
      </c>
      <c r="B59" s="21" t="s">
        <v>1026</v>
      </c>
      <c r="C59" s="21" t="s">
        <v>1027</v>
      </c>
      <c r="D59" s="21"/>
      <c r="E59" s="21" t="s">
        <v>1023</v>
      </c>
      <c r="F59" s="21"/>
      <c r="G59" s="21"/>
      <c r="H59" s="21"/>
      <c r="I59" s="21"/>
      <c r="J59" s="21"/>
      <c r="K59" s="21"/>
      <c r="L59" s="21"/>
    </row>
    <row r="60" spans="1:12" ht="43.5" x14ac:dyDescent="0.35">
      <c r="A60" s="21" t="s">
        <v>1020</v>
      </c>
      <c r="B60" s="21" t="s">
        <v>1028</v>
      </c>
      <c r="C60" s="21" t="s">
        <v>1029</v>
      </c>
      <c r="D60" s="21"/>
      <c r="E60" s="21" t="s">
        <v>1023</v>
      </c>
      <c r="F60" s="21"/>
      <c r="G60" s="21"/>
      <c r="H60" s="21"/>
      <c r="I60" s="21"/>
      <c r="J60" s="21"/>
      <c r="K60" s="21"/>
      <c r="L60" s="21"/>
    </row>
    <row r="61" spans="1:12" ht="43.5" x14ac:dyDescent="0.35">
      <c r="A61" s="21" t="s">
        <v>1020</v>
      </c>
      <c r="B61" s="21" t="s">
        <v>1030</v>
      </c>
      <c r="C61" s="21" t="s">
        <v>1031</v>
      </c>
      <c r="D61" s="21"/>
      <c r="E61" s="21" t="s">
        <v>1023</v>
      </c>
      <c r="F61" s="21"/>
      <c r="G61" s="21"/>
      <c r="H61" s="21"/>
      <c r="I61" s="21"/>
      <c r="J61" s="21"/>
      <c r="K61" s="21"/>
      <c r="L61" s="21"/>
    </row>
    <row r="62" spans="1:12" ht="43.5" x14ac:dyDescent="0.35">
      <c r="A62" s="21" t="s">
        <v>1020</v>
      </c>
      <c r="B62" s="21" t="s">
        <v>1032</v>
      </c>
      <c r="C62" s="21" t="s">
        <v>1033</v>
      </c>
      <c r="D62" s="21"/>
      <c r="E62" s="21" t="s">
        <v>1023</v>
      </c>
      <c r="F62" s="21"/>
      <c r="G62" s="21"/>
      <c r="H62" s="21"/>
      <c r="I62" s="21"/>
      <c r="J62" s="21"/>
      <c r="K62" s="21"/>
      <c r="L62" s="21"/>
    </row>
    <row r="63" spans="1:12" ht="29" x14ac:dyDescent="0.35">
      <c r="A63" s="21" t="s">
        <v>428</v>
      </c>
      <c r="B63" s="21" t="s">
        <v>1034</v>
      </c>
      <c r="C63" s="21" t="s">
        <v>1035</v>
      </c>
      <c r="D63" s="21"/>
      <c r="E63" s="21" t="s">
        <v>996</v>
      </c>
      <c r="F63" s="21"/>
      <c r="G63" s="21"/>
      <c r="H63" s="21"/>
      <c r="I63" s="21"/>
      <c r="J63" s="21"/>
      <c r="K63" s="21"/>
      <c r="L63" s="21"/>
    </row>
    <row r="64" spans="1:12" ht="43.5" x14ac:dyDescent="0.35">
      <c r="A64" s="21" t="s">
        <v>428</v>
      </c>
      <c r="B64" s="21" t="s">
        <v>1036</v>
      </c>
      <c r="C64" s="21" t="s">
        <v>1037</v>
      </c>
      <c r="D64" s="21"/>
      <c r="E64" s="21" t="s">
        <v>996</v>
      </c>
      <c r="F64" s="21"/>
      <c r="G64" s="21"/>
      <c r="H64" s="21"/>
      <c r="I64" s="21"/>
      <c r="J64" s="21"/>
      <c r="K64" s="21"/>
      <c r="L64" s="21"/>
    </row>
    <row r="65" spans="1:12" ht="29" x14ac:dyDescent="0.35">
      <c r="A65" s="21" t="s">
        <v>428</v>
      </c>
      <c r="B65" s="21" t="s">
        <v>1038</v>
      </c>
      <c r="C65" s="21" t="s">
        <v>1039</v>
      </c>
      <c r="D65" s="21"/>
      <c r="E65" s="21" t="s">
        <v>996</v>
      </c>
      <c r="F65" s="21"/>
      <c r="G65" s="21"/>
      <c r="H65" s="21"/>
      <c r="I65" s="21"/>
      <c r="J65" s="21"/>
      <c r="K65" s="21"/>
      <c r="L65" s="21"/>
    </row>
    <row r="66" spans="1:12" ht="43.5" x14ac:dyDescent="0.35">
      <c r="A66" s="21" t="s">
        <v>428</v>
      </c>
      <c r="B66" s="21" t="s">
        <v>1040</v>
      </c>
      <c r="C66" s="21" t="s">
        <v>1041</v>
      </c>
      <c r="D66" s="21"/>
      <c r="E66" s="21" t="s">
        <v>996</v>
      </c>
      <c r="F66" s="21"/>
      <c r="G66" s="21"/>
      <c r="H66" s="21"/>
      <c r="I66" s="21"/>
      <c r="J66" s="21"/>
      <c r="K66" s="21"/>
      <c r="L66" s="21"/>
    </row>
    <row r="67" spans="1:12" ht="29" x14ac:dyDescent="0.35">
      <c r="A67" s="21" t="s">
        <v>428</v>
      </c>
      <c r="B67" s="21" t="s">
        <v>1042</v>
      </c>
      <c r="C67" s="21" t="s">
        <v>1043</v>
      </c>
      <c r="D67" s="21"/>
      <c r="E67" s="21" t="s">
        <v>996</v>
      </c>
      <c r="F67" s="21"/>
      <c r="G67" s="21"/>
      <c r="H67" s="21"/>
      <c r="I67" s="21"/>
      <c r="J67" s="21"/>
      <c r="K67" s="21"/>
      <c r="L67" s="21"/>
    </row>
    <row r="68" spans="1:12" ht="29" x14ac:dyDescent="0.35">
      <c r="A68" s="21" t="s">
        <v>428</v>
      </c>
      <c r="B68" s="21" t="s">
        <v>1044</v>
      </c>
      <c r="C68" s="21" t="s">
        <v>1045</v>
      </c>
      <c r="D68" s="21"/>
      <c r="E68" s="21" t="s">
        <v>996</v>
      </c>
      <c r="F68" s="21"/>
      <c r="G68" s="21"/>
      <c r="H68" s="21"/>
      <c r="I68" s="21"/>
      <c r="J68" s="21"/>
      <c r="K68" s="21"/>
      <c r="L68" s="21"/>
    </row>
    <row r="69" spans="1:12" ht="29" x14ac:dyDescent="0.35">
      <c r="A69" s="21" t="s">
        <v>1046</v>
      </c>
      <c r="B69" s="21" t="s">
        <v>1047</v>
      </c>
      <c r="C69" s="21" t="s">
        <v>1048</v>
      </c>
      <c r="D69" s="21"/>
      <c r="E69" s="21" t="s">
        <v>996</v>
      </c>
      <c r="F69" s="21"/>
      <c r="G69" s="21"/>
      <c r="H69" s="21"/>
      <c r="I69" s="21"/>
      <c r="J69" s="21"/>
      <c r="K69" s="21"/>
      <c r="L69" s="21"/>
    </row>
    <row r="70" spans="1:12" ht="29" x14ac:dyDescent="0.35">
      <c r="A70" s="21" t="s">
        <v>1046</v>
      </c>
      <c r="B70" s="21" t="s">
        <v>1049</v>
      </c>
      <c r="C70" s="21" t="s">
        <v>1050</v>
      </c>
      <c r="D70" s="21"/>
      <c r="E70" s="21" t="s">
        <v>996</v>
      </c>
      <c r="F70" s="21"/>
      <c r="G70" s="21"/>
      <c r="H70" s="21"/>
      <c r="I70" s="21"/>
      <c r="J70" s="21"/>
      <c r="K70" s="21"/>
      <c r="L70" s="21"/>
    </row>
    <row r="71" spans="1:12" ht="29" x14ac:dyDescent="0.35">
      <c r="A71" s="21" t="s">
        <v>1046</v>
      </c>
      <c r="B71" s="21" t="s">
        <v>1051</v>
      </c>
      <c r="C71" s="21" t="s">
        <v>1052</v>
      </c>
      <c r="D71" s="21"/>
      <c r="E71" s="21" t="s">
        <v>996</v>
      </c>
      <c r="F71" s="21"/>
      <c r="G71" s="21"/>
      <c r="H71" s="21"/>
      <c r="I71" s="21"/>
      <c r="J71" s="21"/>
      <c r="K71" s="21"/>
      <c r="L71" s="21"/>
    </row>
    <row r="72" spans="1:12" ht="29" x14ac:dyDescent="0.35">
      <c r="A72" s="21" t="s">
        <v>1046</v>
      </c>
      <c r="B72" s="21" t="s">
        <v>1053</v>
      </c>
      <c r="C72" s="21" t="s">
        <v>1054</v>
      </c>
      <c r="D72" s="21"/>
      <c r="E72" s="21" t="s">
        <v>996</v>
      </c>
      <c r="F72" s="21"/>
      <c r="G72" s="21"/>
      <c r="H72" s="21"/>
      <c r="I72" s="21"/>
      <c r="J72" s="21"/>
      <c r="K72" s="21"/>
      <c r="L72" s="21"/>
    </row>
    <row r="73" spans="1:12" ht="29" x14ac:dyDescent="0.35">
      <c r="A73" s="21" t="s">
        <v>1046</v>
      </c>
      <c r="B73" s="21" t="s">
        <v>1055</v>
      </c>
      <c r="C73" s="21" t="s">
        <v>1056</v>
      </c>
      <c r="D73" s="21"/>
      <c r="E73" s="21" t="s">
        <v>996</v>
      </c>
      <c r="F73" s="21"/>
      <c r="G73" s="21"/>
      <c r="H73" s="21"/>
      <c r="I73" s="21"/>
      <c r="J73" s="21"/>
      <c r="K73" s="21"/>
      <c r="L73" s="21"/>
    </row>
    <row r="74" spans="1:12" ht="29" x14ac:dyDescent="0.35">
      <c r="A74" s="21" t="s">
        <v>1046</v>
      </c>
      <c r="B74" s="21" t="s">
        <v>1057</v>
      </c>
      <c r="C74" s="21" t="s">
        <v>1058</v>
      </c>
      <c r="D74" s="21"/>
      <c r="E74" s="21" t="s">
        <v>996</v>
      </c>
      <c r="F74" s="21"/>
      <c r="G74" s="21"/>
      <c r="H74" s="21"/>
      <c r="I74" s="21"/>
      <c r="J74" s="21"/>
      <c r="K74" s="21"/>
      <c r="L74" s="21"/>
    </row>
    <row r="75" spans="1:12" ht="29" x14ac:dyDescent="0.35">
      <c r="A75" s="21" t="s">
        <v>1059</v>
      </c>
      <c r="B75" s="21" t="s">
        <v>1060</v>
      </c>
      <c r="C75" s="21" t="s">
        <v>1061</v>
      </c>
      <c r="D75" s="21"/>
      <c r="E75" s="21" t="s">
        <v>996</v>
      </c>
      <c r="F75" s="21"/>
      <c r="G75" s="21"/>
      <c r="H75" s="21"/>
      <c r="I75" s="21"/>
      <c r="J75" s="21"/>
      <c r="K75" s="21"/>
      <c r="L75" s="21"/>
    </row>
    <row r="76" spans="1:12" ht="43.5" x14ac:dyDescent="0.35">
      <c r="A76" s="21" t="s">
        <v>1059</v>
      </c>
      <c r="B76" s="21" t="s">
        <v>1062</v>
      </c>
      <c r="C76" s="21" t="s">
        <v>1063</v>
      </c>
      <c r="D76" s="21"/>
      <c r="E76" s="21" t="s">
        <v>996</v>
      </c>
      <c r="F76" s="21"/>
      <c r="G76" s="21"/>
      <c r="H76" s="21"/>
      <c r="I76" s="21"/>
      <c r="J76" s="21"/>
      <c r="K76" s="21"/>
      <c r="L76" s="21"/>
    </row>
    <row r="77" spans="1:12" ht="29" x14ac:dyDescent="0.35">
      <c r="A77" s="21" t="s">
        <v>1059</v>
      </c>
      <c r="B77" s="21" t="s">
        <v>1064</v>
      </c>
      <c r="C77" s="21" t="s">
        <v>1065</v>
      </c>
      <c r="D77" s="21"/>
      <c r="E77" s="21" t="s">
        <v>996</v>
      </c>
      <c r="F77" s="21"/>
      <c r="G77" s="21"/>
      <c r="H77" s="21"/>
      <c r="I77" s="21"/>
      <c r="J77" s="21"/>
      <c r="K77" s="21"/>
      <c r="L77" s="21"/>
    </row>
    <row r="78" spans="1:12" ht="29" x14ac:dyDescent="0.35">
      <c r="A78" s="21" t="s">
        <v>1059</v>
      </c>
      <c r="B78" s="21" t="s">
        <v>1066</v>
      </c>
      <c r="C78" s="21" t="s">
        <v>1067</v>
      </c>
      <c r="D78" s="21"/>
      <c r="E78" s="21" t="s">
        <v>996</v>
      </c>
      <c r="F78" s="21"/>
      <c r="G78" s="21"/>
      <c r="H78" s="21"/>
      <c r="I78" s="21"/>
      <c r="J78" s="21"/>
      <c r="K78" s="21"/>
      <c r="L78" s="21"/>
    </row>
    <row r="79" spans="1:12" ht="29" x14ac:dyDescent="0.35">
      <c r="A79" s="21" t="s">
        <v>1059</v>
      </c>
      <c r="B79" s="21" t="s">
        <v>1068</v>
      </c>
      <c r="C79" s="21" t="s">
        <v>1069</v>
      </c>
      <c r="D79" s="21"/>
      <c r="E79" s="21" t="s">
        <v>996</v>
      </c>
      <c r="F79" s="21"/>
      <c r="G79" s="21"/>
      <c r="H79" s="21"/>
      <c r="I79" s="21"/>
      <c r="J79" s="21"/>
      <c r="K79" s="21"/>
      <c r="L79" s="21"/>
    </row>
    <row r="80" spans="1:12" ht="29" x14ac:dyDescent="0.35">
      <c r="A80" s="21" t="s">
        <v>1059</v>
      </c>
      <c r="B80" s="21" t="s">
        <v>1070</v>
      </c>
      <c r="C80" s="21" t="s">
        <v>1071</v>
      </c>
      <c r="D80" s="21"/>
      <c r="E80" s="21" t="s">
        <v>996</v>
      </c>
      <c r="F80" s="21"/>
      <c r="G80" s="21"/>
      <c r="H80" s="21"/>
      <c r="I80" s="21"/>
      <c r="J80" s="21"/>
      <c r="K80" s="21"/>
      <c r="L80" s="21"/>
    </row>
    <row r="81" spans="1:12" ht="29" x14ac:dyDescent="0.35">
      <c r="A81" s="21" t="s">
        <v>1072</v>
      </c>
      <c r="B81" s="21" t="s">
        <v>1073</v>
      </c>
      <c r="C81" s="21" t="s">
        <v>1074</v>
      </c>
      <c r="D81" s="21"/>
      <c r="E81" s="21" t="s">
        <v>996</v>
      </c>
      <c r="F81" s="21"/>
      <c r="G81" s="21"/>
      <c r="H81" s="21"/>
      <c r="I81" s="21"/>
      <c r="J81" s="21"/>
      <c r="K81" s="21"/>
      <c r="L81" s="21"/>
    </row>
    <row r="82" spans="1:12" ht="29" x14ac:dyDescent="0.35">
      <c r="A82" s="21" t="s">
        <v>1072</v>
      </c>
      <c r="B82" s="21" t="s">
        <v>1075</v>
      </c>
      <c r="C82" s="21" t="s">
        <v>1076</v>
      </c>
      <c r="D82" s="21"/>
      <c r="E82" s="21" t="s">
        <v>996</v>
      </c>
      <c r="F82" s="21"/>
      <c r="G82" s="21"/>
      <c r="H82" s="21"/>
      <c r="I82" s="21"/>
      <c r="J82" s="21"/>
      <c r="K82" s="21"/>
      <c r="L82" s="21"/>
    </row>
    <row r="83" spans="1:12" ht="29" x14ac:dyDescent="0.35">
      <c r="A83" s="21" t="s">
        <v>1072</v>
      </c>
      <c r="B83" s="21" t="s">
        <v>1077</v>
      </c>
      <c r="C83" s="21" t="s">
        <v>1078</v>
      </c>
      <c r="D83" s="21"/>
      <c r="E83" s="21" t="s">
        <v>996</v>
      </c>
      <c r="F83" s="21"/>
      <c r="G83" s="21"/>
      <c r="H83" s="21"/>
      <c r="I83" s="21"/>
      <c r="J83" s="21"/>
      <c r="K83" s="21"/>
      <c r="L83" s="21"/>
    </row>
    <row r="84" spans="1:12" ht="29" x14ac:dyDescent="0.35">
      <c r="A84" s="21" t="s">
        <v>1072</v>
      </c>
      <c r="B84" s="21" t="s">
        <v>1079</v>
      </c>
      <c r="C84" s="21" t="s">
        <v>1080</v>
      </c>
      <c r="D84" s="21"/>
      <c r="E84" s="21" t="s">
        <v>996</v>
      </c>
      <c r="F84" s="21"/>
      <c r="G84" s="21"/>
      <c r="H84" s="21"/>
      <c r="I84" s="21"/>
      <c r="J84" s="21"/>
      <c r="K84" s="21"/>
      <c r="L84" s="21"/>
    </row>
    <row r="85" spans="1:12" ht="29" x14ac:dyDescent="0.35">
      <c r="A85" s="21" t="s">
        <v>1072</v>
      </c>
      <c r="B85" s="21" t="s">
        <v>1081</v>
      </c>
      <c r="C85" s="21" t="s">
        <v>1082</v>
      </c>
      <c r="D85" s="21"/>
      <c r="E85" s="21" t="s">
        <v>996</v>
      </c>
      <c r="F85" s="21"/>
      <c r="G85" s="21"/>
      <c r="H85" s="21"/>
      <c r="I85" s="21"/>
      <c r="J85" s="21"/>
      <c r="K85" s="21"/>
      <c r="L85" s="21"/>
    </row>
    <row r="86" spans="1:12" ht="29" x14ac:dyDescent="0.35">
      <c r="A86" s="21" t="s">
        <v>1072</v>
      </c>
      <c r="B86" s="21" t="s">
        <v>1083</v>
      </c>
      <c r="C86" s="21" t="s">
        <v>1084</v>
      </c>
      <c r="D86" s="21"/>
      <c r="E86" s="21" t="s">
        <v>996</v>
      </c>
      <c r="F86" s="21"/>
      <c r="G86" s="21"/>
      <c r="H86" s="21"/>
      <c r="I86" s="21"/>
      <c r="J86" s="21"/>
      <c r="K86" s="21"/>
      <c r="L86" s="21"/>
    </row>
    <row r="87" spans="1:12" ht="29" x14ac:dyDescent="0.35">
      <c r="A87" s="21" t="s">
        <v>1085</v>
      </c>
      <c r="B87" s="21" t="s">
        <v>1086</v>
      </c>
      <c r="C87" s="21" t="s">
        <v>1087</v>
      </c>
      <c r="D87" s="21"/>
      <c r="E87" s="21" t="s">
        <v>996</v>
      </c>
      <c r="F87" s="21"/>
      <c r="G87" s="21"/>
      <c r="H87" s="21"/>
      <c r="I87" s="21"/>
      <c r="J87" s="21"/>
      <c r="K87" s="21"/>
      <c r="L87" s="21"/>
    </row>
    <row r="88" spans="1:12" ht="29" x14ac:dyDescent="0.35">
      <c r="A88" s="21" t="s">
        <v>1085</v>
      </c>
      <c r="B88" s="21" t="s">
        <v>1088</v>
      </c>
      <c r="C88" s="21" t="s">
        <v>1089</v>
      </c>
      <c r="D88" s="21"/>
      <c r="E88" s="21" t="s">
        <v>996</v>
      </c>
      <c r="F88" s="21"/>
      <c r="G88" s="21"/>
      <c r="H88" s="21"/>
      <c r="I88" s="21"/>
      <c r="J88" s="21"/>
      <c r="K88" s="21"/>
      <c r="L88" s="21"/>
    </row>
    <row r="89" spans="1:12" ht="29" x14ac:dyDescent="0.35">
      <c r="A89" s="21" t="s">
        <v>1085</v>
      </c>
      <c r="B89" s="21" t="s">
        <v>1090</v>
      </c>
      <c r="C89" s="21" t="s">
        <v>1091</v>
      </c>
      <c r="D89" s="21"/>
      <c r="E89" s="21" t="s">
        <v>996</v>
      </c>
      <c r="F89" s="21"/>
      <c r="G89" s="21"/>
      <c r="H89" s="21"/>
      <c r="I89" s="21"/>
      <c r="J89" s="21"/>
      <c r="K89" s="21"/>
      <c r="L89" s="21"/>
    </row>
    <row r="90" spans="1:12" ht="29" x14ac:dyDescent="0.35">
      <c r="A90" s="21" t="s">
        <v>1085</v>
      </c>
      <c r="B90" s="21" t="s">
        <v>1092</v>
      </c>
      <c r="C90" s="21" t="s">
        <v>1093</v>
      </c>
      <c r="D90" s="21"/>
      <c r="E90" s="21" t="s">
        <v>996</v>
      </c>
      <c r="F90" s="21"/>
      <c r="G90" s="21"/>
      <c r="H90" s="21"/>
      <c r="I90" s="21"/>
      <c r="J90" s="21"/>
      <c r="K90" s="21"/>
      <c r="L90" s="21"/>
    </row>
    <row r="91" spans="1:12" ht="29" x14ac:dyDescent="0.35">
      <c r="A91" s="21" t="s">
        <v>1085</v>
      </c>
      <c r="B91" s="21" t="s">
        <v>1094</v>
      </c>
      <c r="C91" s="21" t="s">
        <v>1095</v>
      </c>
      <c r="D91" s="21"/>
      <c r="E91" s="21" t="s">
        <v>996</v>
      </c>
      <c r="F91" s="21"/>
      <c r="G91" s="21"/>
      <c r="H91" s="21"/>
      <c r="I91" s="21"/>
      <c r="J91" s="21"/>
      <c r="K91" s="21"/>
      <c r="L91" s="21"/>
    </row>
    <row r="92" spans="1:12" ht="29" x14ac:dyDescent="0.35">
      <c r="A92" s="21" t="s">
        <v>1085</v>
      </c>
      <c r="B92" s="21" t="s">
        <v>1096</v>
      </c>
      <c r="C92" s="21" t="s">
        <v>1097</v>
      </c>
      <c r="D92" s="21"/>
      <c r="E92" s="21" t="s">
        <v>996</v>
      </c>
      <c r="F92" s="21"/>
      <c r="G92" s="21"/>
      <c r="H92" s="21"/>
      <c r="I92" s="21"/>
      <c r="J92" s="21"/>
      <c r="K92" s="21"/>
      <c r="L92" s="21"/>
    </row>
    <row r="93" spans="1:12" ht="29" x14ac:dyDescent="0.35">
      <c r="A93" s="21" t="s">
        <v>1098</v>
      </c>
      <c r="B93" s="21" t="s">
        <v>1099</v>
      </c>
      <c r="C93" s="21" t="s">
        <v>1100</v>
      </c>
      <c r="D93" s="21"/>
      <c r="E93" s="21" t="s">
        <v>996</v>
      </c>
      <c r="F93" s="21"/>
      <c r="G93" s="21"/>
      <c r="H93" s="21"/>
      <c r="I93" s="21"/>
      <c r="J93" s="21"/>
      <c r="K93" s="21"/>
      <c r="L93" s="21"/>
    </row>
    <row r="94" spans="1:12" ht="29" x14ac:dyDescent="0.35">
      <c r="A94" s="21" t="s">
        <v>1098</v>
      </c>
      <c r="B94" s="21" t="s">
        <v>1101</v>
      </c>
      <c r="C94" s="21" t="s">
        <v>1102</v>
      </c>
      <c r="D94" s="21"/>
      <c r="E94" s="21" t="s">
        <v>996</v>
      </c>
      <c r="F94" s="21"/>
      <c r="G94" s="21"/>
      <c r="H94" s="21"/>
      <c r="I94" s="21"/>
      <c r="J94" s="21"/>
      <c r="K94" s="21"/>
      <c r="L94" s="21"/>
    </row>
    <row r="95" spans="1:12" ht="29" x14ac:dyDescent="0.35">
      <c r="A95" s="21" t="s">
        <v>1098</v>
      </c>
      <c r="B95" s="21" t="s">
        <v>1103</v>
      </c>
      <c r="C95" s="21" t="s">
        <v>1104</v>
      </c>
      <c r="D95" s="21"/>
      <c r="E95" s="21" t="s">
        <v>996</v>
      </c>
      <c r="F95" s="21"/>
      <c r="G95" s="21"/>
      <c r="H95" s="21"/>
      <c r="I95" s="21"/>
      <c r="J95" s="21"/>
      <c r="K95" s="21"/>
      <c r="L95" s="21"/>
    </row>
    <row r="96" spans="1:12" ht="29" x14ac:dyDescent="0.35">
      <c r="A96" s="21" t="s">
        <v>1098</v>
      </c>
      <c r="B96" s="21" t="s">
        <v>1105</v>
      </c>
      <c r="C96" s="21" t="s">
        <v>1106</v>
      </c>
      <c r="D96" s="21"/>
      <c r="E96" s="21" t="s">
        <v>996</v>
      </c>
      <c r="F96" s="21"/>
      <c r="G96" s="21"/>
      <c r="H96" s="21"/>
      <c r="I96" s="21"/>
      <c r="J96" s="21"/>
      <c r="K96" s="21"/>
      <c r="L96" s="21"/>
    </row>
    <row r="97" spans="1:12" ht="29" x14ac:dyDescent="0.35">
      <c r="A97" s="21" t="s">
        <v>1098</v>
      </c>
      <c r="B97" s="21" t="s">
        <v>1107</v>
      </c>
      <c r="C97" s="21" t="s">
        <v>1108</v>
      </c>
      <c r="D97" s="21"/>
      <c r="E97" s="21" t="s">
        <v>996</v>
      </c>
      <c r="F97" s="21"/>
      <c r="G97" s="21"/>
      <c r="H97" s="21"/>
      <c r="I97" s="21"/>
      <c r="J97" s="21"/>
      <c r="K97" s="21"/>
      <c r="L97" s="21"/>
    </row>
    <row r="98" spans="1:12" ht="29" x14ac:dyDescent="0.35">
      <c r="A98" s="21" t="s">
        <v>1098</v>
      </c>
      <c r="B98" s="21" t="s">
        <v>1109</v>
      </c>
      <c r="C98" s="21" t="s">
        <v>1110</v>
      </c>
      <c r="D98" s="21"/>
      <c r="E98" s="21" t="s">
        <v>996</v>
      </c>
      <c r="F98" s="21"/>
      <c r="G98" s="21"/>
      <c r="H98" s="21"/>
      <c r="I98" s="21"/>
      <c r="J98" s="21"/>
      <c r="K98" s="21"/>
      <c r="L98" s="21"/>
    </row>
    <row r="99" spans="1:12" ht="29" x14ac:dyDescent="0.35">
      <c r="A99" s="21" t="s">
        <v>1111</v>
      </c>
      <c r="B99" s="21" t="s">
        <v>1112</v>
      </c>
      <c r="C99" s="21" t="s">
        <v>1113</v>
      </c>
      <c r="D99" s="21"/>
      <c r="E99" s="21" t="s">
        <v>1114</v>
      </c>
      <c r="F99" s="21"/>
      <c r="G99" s="21"/>
      <c r="H99" s="21"/>
      <c r="I99" s="21"/>
      <c r="J99" s="21"/>
      <c r="K99" s="21"/>
      <c r="L99" s="21"/>
    </row>
    <row r="100" spans="1:12" ht="29" x14ac:dyDescent="0.35">
      <c r="A100" s="21" t="s">
        <v>1111</v>
      </c>
      <c r="B100" s="21" t="s">
        <v>1115</v>
      </c>
      <c r="C100" s="21" t="s">
        <v>1116</v>
      </c>
      <c r="D100" s="21"/>
      <c r="E100" s="21" t="s">
        <v>1114</v>
      </c>
      <c r="F100" s="21"/>
      <c r="G100" s="21"/>
      <c r="H100" s="21"/>
      <c r="I100" s="21"/>
      <c r="J100" s="21"/>
      <c r="K100" s="21"/>
      <c r="L100" s="21"/>
    </row>
    <row r="101" spans="1:12" ht="29" x14ac:dyDescent="0.35">
      <c r="A101" s="21" t="s">
        <v>1111</v>
      </c>
      <c r="B101" s="21" t="s">
        <v>1117</v>
      </c>
      <c r="C101" s="21" t="s">
        <v>1118</v>
      </c>
      <c r="D101" s="21"/>
      <c r="E101" s="21" t="s">
        <v>1114</v>
      </c>
      <c r="F101" s="21"/>
      <c r="G101" s="21"/>
      <c r="H101" s="21"/>
      <c r="I101" s="21"/>
      <c r="J101" s="21"/>
      <c r="K101" s="21"/>
      <c r="L101" s="21"/>
    </row>
    <row r="102" spans="1:12" ht="29" x14ac:dyDescent="0.35">
      <c r="A102" s="21" t="s">
        <v>1111</v>
      </c>
      <c r="B102" s="21" t="s">
        <v>1119</v>
      </c>
      <c r="C102" s="21" t="s">
        <v>1120</v>
      </c>
      <c r="D102" s="21"/>
      <c r="E102" s="21" t="s">
        <v>1114</v>
      </c>
      <c r="F102" s="21"/>
      <c r="G102" s="21"/>
      <c r="H102" s="21"/>
      <c r="I102" s="21"/>
      <c r="J102" s="21"/>
      <c r="K102" s="21"/>
      <c r="L102" s="21"/>
    </row>
    <row r="103" spans="1:12" ht="29" x14ac:dyDescent="0.35">
      <c r="A103" s="21" t="s">
        <v>1111</v>
      </c>
      <c r="B103" s="21" t="s">
        <v>1121</v>
      </c>
      <c r="C103" s="21" t="s">
        <v>1122</v>
      </c>
      <c r="D103" s="21"/>
      <c r="E103" s="21" t="s">
        <v>1114</v>
      </c>
      <c r="F103" s="21"/>
      <c r="G103" s="21"/>
      <c r="H103" s="21"/>
      <c r="I103" s="21"/>
      <c r="J103" s="21"/>
      <c r="K103" s="21"/>
      <c r="L103" s="21"/>
    </row>
    <row r="104" spans="1:12" ht="29" x14ac:dyDescent="0.35">
      <c r="A104" s="21" t="s">
        <v>1111</v>
      </c>
      <c r="B104" s="21" t="s">
        <v>1123</v>
      </c>
      <c r="C104" s="21" t="s">
        <v>1124</v>
      </c>
      <c r="D104" s="21"/>
      <c r="E104" s="21" t="s">
        <v>1114</v>
      </c>
      <c r="F104" s="21"/>
      <c r="G104" s="21"/>
      <c r="H104" s="21"/>
      <c r="I104" s="21"/>
      <c r="J104" s="21"/>
      <c r="K104" s="21"/>
      <c r="L104" s="21"/>
    </row>
    <row r="105" spans="1:12" ht="29" x14ac:dyDescent="0.35">
      <c r="A105" s="21" t="s">
        <v>1125</v>
      </c>
      <c r="B105" s="21" t="s">
        <v>1126</v>
      </c>
      <c r="C105" s="21" t="s">
        <v>1127</v>
      </c>
      <c r="D105" s="21"/>
      <c r="E105" s="21" t="s">
        <v>1114</v>
      </c>
      <c r="F105" s="21"/>
      <c r="G105" s="21"/>
      <c r="H105" s="21"/>
      <c r="I105" s="21"/>
      <c r="J105" s="21"/>
      <c r="K105" s="21"/>
      <c r="L105" s="21"/>
    </row>
    <row r="106" spans="1:12" ht="29" x14ac:dyDescent="0.35">
      <c r="A106" s="21" t="s">
        <v>1125</v>
      </c>
      <c r="B106" s="21" t="s">
        <v>1128</v>
      </c>
      <c r="C106" s="21" t="s">
        <v>1129</v>
      </c>
      <c r="D106" s="21"/>
      <c r="E106" s="21" t="s">
        <v>1114</v>
      </c>
      <c r="F106" s="21"/>
      <c r="G106" s="21"/>
      <c r="H106" s="21"/>
      <c r="I106" s="21"/>
      <c r="J106" s="21"/>
      <c r="K106" s="21"/>
      <c r="L106" s="21"/>
    </row>
    <row r="107" spans="1:12" ht="43.5" x14ac:dyDescent="0.35">
      <c r="A107" s="21" t="s">
        <v>1125</v>
      </c>
      <c r="B107" s="21" t="s">
        <v>1130</v>
      </c>
      <c r="C107" s="21" t="s">
        <v>1131</v>
      </c>
      <c r="D107" s="21"/>
      <c r="E107" s="21" t="s">
        <v>1114</v>
      </c>
      <c r="F107" s="21"/>
      <c r="G107" s="21"/>
      <c r="H107" s="21"/>
      <c r="I107" s="21"/>
      <c r="J107" s="21"/>
      <c r="K107" s="21"/>
      <c r="L107" s="21"/>
    </row>
    <row r="108" spans="1:12" ht="29" x14ac:dyDescent="0.35">
      <c r="A108" s="21" t="s">
        <v>1125</v>
      </c>
      <c r="B108" s="21" t="s">
        <v>1132</v>
      </c>
      <c r="C108" s="21" t="s">
        <v>1133</v>
      </c>
      <c r="D108" s="21"/>
      <c r="E108" s="21" t="s">
        <v>1114</v>
      </c>
      <c r="F108" s="21"/>
      <c r="G108" s="21"/>
      <c r="H108" s="21"/>
      <c r="I108" s="21"/>
      <c r="J108" s="21"/>
      <c r="K108" s="21"/>
      <c r="L108" s="21"/>
    </row>
    <row r="109" spans="1:12" ht="29" x14ac:dyDescent="0.35">
      <c r="A109" s="21" t="s">
        <v>1125</v>
      </c>
      <c r="B109" s="21" t="s">
        <v>1134</v>
      </c>
      <c r="C109" s="21" t="s">
        <v>1135</v>
      </c>
      <c r="D109" s="21"/>
      <c r="E109" s="21" t="s">
        <v>1114</v>
      </c>
      <c r="F109" s="21"/>
      <c r="G109" s="21"/>
      <c r="H109" s="21"/>
      <c r="I109" s="21"/>
      <c r="J109" s="21"/>
      <c r="K109" s="21"/>
      <c r="L109" s="21"/>
    </row>
    <row r="110" spans="1:12" ht="29" x14ac:dyDescent="0.35">
      <c r="A110" s="21" t="s">
        <v>1125</v>
      </c>
      <c r="B110" s="21" t="s">
        <v>1136</v>
      </c>
      <c r="C110" s="21" t="s">
        <v>1137</v>
      </c>
      <c r="D110" s="21"/>
      <c r="E110" s="21" t="s">
        <v>1114</v>
      </c>
      <c r="F110" s="21"/>
      <c r="G110" s="21"/>
      <c r="H110" s="21"/>
      <c r="I110" s="21"/>
      <c r="J110" s="21"/>
      <c r="K110" s="21"/>
      <c r="L110" s="21"/>
    </row>
    <row r="111" spans="1:12" ht="29" x14ac:dyDescent="0.35">
      <c r="A111" s="21" t="s">
        <v>1138</v>
      </c>
      <c r="B111" s="21" t="s">
        <v>1139</v>
      </c>
      <c r="C111" s="21" t="s">
        <v>1140</v>
      </c>
      <c r="D111" s="21"/>
      <c r="E111" s="21" t="s">
        <v>996</v>
      </c>
      <c r="F111" s="21"/>
      <c r="G111" s="21"/>
      <c r="H111" s="21"/>
      <c r="I111" s="21"/>
      <c r="J111" s="21"/>
      <c r="K111" s="21"/>
      <c r="L111" s="21"/>
    </row>
    <row r="112" spans="1:12" ht="29" x14ac:dyDescent="0.35">
      <c r="A112" s="21" t="s">
        <v>1138</v>
      </c>
      <c r="B112" s="21" t="s">
        <v>1141</v>
      </c>
      <c r="C112" s="21" t="s">
        <v>1142</v>
      </c>
      <c r="D112" s="21"/>
      <c r="E112" s="21" t="s">
        <v>996</v>
      </c>
      <c r="F112" s="21"/>
      <c r="G112" s="21"/>
      <c r="H112" s="21"/>
      <c r="I112" s="21"/>
      <c r="J112" s="21"/>
      <c r="K112" s="21"/>
      <c r="L112" s="21"/>
    </row>
    <row r="113" spans="1:12" ht="29" x14ac:dyDescent="0.35">
      <c r="A113" s="21" t="s">
        <v>1138</v>
      </c>
      <c r="B113" s="21" t="s">
        <v>1143</v>
      </c>
      <c r="C113" s="21" t="s">
        <v>1144</v>
      </c>
      <c r="D113" s="21"/>
      <c r="E113" s="21" t="s">
        <v>996</v>
      </c>
      <c r="F113" s="21"/>
      <c r="G113" s="21"/>
      <c r="H113" s="21"/>
      <c r="I113" s="21"/>
      <c r="J113" s="21"/>
      <c r="K113" s="21"/>
      <c r="L113" s="21"/>
    </row>
    <row r="114" spans="1:12" ht="29" x14ac:dyDescent="0.35">
      <c r="A114" s="21" t="s">
        <v>1138</v>
      </c>
      <c r="B114" s="21" t="s">
        <v>1145</v>
      </c>
      <c r="C114" s="21" t="s">
        <v>1146</v>
      </c>
      <c r="D114" s="21"/>
      <c r="E114" s="21" t="s">
        <v>996</v>
      </c>
      <c r="F114" s="21"/>
      <c r="G114" s="21"/>
      <c r="H114" s="21"/>
      <c r="I114" s="21"/>
      <c r="J114" s="21"/>
      <c r="K114" s="21"/>
      <c r="L114" s="21"/>
    </row>
    <row r="115" spans="1:12" ht="29" x14ac:dyDescent="0.35">
      <c r="A115" s="21" t="s">
        <v>1138</v>
      </c>
      <c r="B115" s="21" t="s">
        <v>1147</v>
      </c>
      <c r="C115" s="21" t="s">
        <v>1148</v>
      </c>
      <c r="D115" s="21"/>
      <c r="E115" s="21" t="s">
        <v>996</v>
      </c>
      <c r="F115" s="21"/>
      <c r="G115" s="21"/>
      <c r="H115" s="21"/>
      <c r="I115" s="21"/>
      <c r="J115" s="21"/>
      <c r="K115" s="21"/>
      <c r="L115" s="21"/>
    </row>
    <row r="116" spans="1:12" ht="29" x14ac:dyDescent="0.35">
      <c r="A116" s="21" t="s">
        <v>1138</v>
      </c>
      <c r="B116" s="21" t="s">
        <v>1149</v>
      </c>
      <c r="C116" s="21" t="s">
        <v>1150</v>
      </c>
      <c r="D116" s="21"/>
      <c r="E116" s="21" t="s">
        <v>996</v>
      </c>
      <c r="F116" s="21"/>
      <c r="G116" s="21"/>
      <c r="H116" s="21"/>
      <c r="I116" s="21"/>
      <c r="J116" s="21"/>
      <c r="K116" s="21"/>
      <c r="L116" s="21"/>
    </row>
    <row r="117" spans="1:12" ht="29" x14ac:dyDescent="0.35">
      <c r="A117" s="21" t="s">
        <v>1151</v>
      </c>
      <c r="B117" s="21" t="s">
        <v>1152</v>
      </c>
      <c r="C117" s="21" t="s">
        <v>1153</v>
      </c>
      <c r="D117" s="21"/>
      <c r="E117" s="21" t="s">
        <v>996</v>
      </c>
      <c r="F117" s="21"/>
      <c r="G117" s="21"/>
      <c r="H117" s="21"/>
      <c r="I117" s="21"/>
      <c r="J117" s="21"/>
      <c r="K117" s="21"/>
      <c r="L117" s="21"/>
    </row>
    <row r="118" spans="1:12" ht="29" x14ac:dyDescent="0.35">
      <c r="A118" s="21" t="s">
        <v>1151</v>
      </c>
      <c r="B118" s="21" t="s">
        <v>1154</v>
      </c>
      <c r="C118" s="21" t="s">
        <v>1155</v>
      </c>
      <c r="D118" s="21"/>
      <c r="E118" s="21" t="s">
        <v>996</v>
      </c>
      <c r="F118" s="21"/>
      <c r="G118" s="21"/>
      <c r="H118" s="21"/>
      <c r="I118" s="21"/>
      <c r="J118" s="21"/>
      <c r="K118" s="21"/>
      <c r="L118" s="21"/>
    </row>
    <row r="119" spans="1:12" ht="29" x14ac:dyDescent="0.35">
      <c r="A119" s="21" t="s">
        <v>1151</v>
      </c>
      <c r="B119" s="21" t="s">
        <v>1156</v>
      </c>
      <c r="C119" s="21" t="s">
        <v>1157</v>
      </c>
      <c r="D119" s="21"/>
      <c r="E119" s="21" t="s">
        <v>996</v>
      </c>
      <c r="F119" s="21"/>
      <c r="G119" s="21"/>
      <c r="H119" s="21"/>
      <c r="I119" s="21"/>
      <c r="J119" s="21"/>
      <c r="K119" s="21"/>
      <c r="L119" s="21"/>
    </row>
    <row r="120" spans="1:12" ht="29" x14ac:dyDescent="0.35">
      <c r="A120" s="21" t="s">
        <v>1151</v>
      </c>
      <c r="B120" s="21" t="s">
        <v>1158</v>
      </c>
      <c r="C120" s="21" t="s">
        <v>1159</v>
      </c>
      <c r="D120" s="21"/>
      <c r="E120" s="21" t="s">
        <v>996</v>
      </c>
      <c r="F120" s="21"/>
      <c r="G120" s="21"/>
      <c r="H120" s="21"/>
      <c r="I120" s="21"/>
      <c r="J120" s="21"/>
      <c r="K120" s="21"/>
      <c r="L120" s="21"/>
    </row>
    <row r="121" spans="1:12" ht="29" x14ac:dyDescent="0.35">
      <c r="A121" s="21" t="s">
        <v>1151</v>
      </c>
      <c r="B121" s="21" t="s">
        <v>1160</v>
      </c>
      <c r="C121" s="21" t="s">
        <v>1161</v>
      </c>
      <c r="D121" s="21"/>
      <c r="E121" s="21" t="s">
        <v>996</v>
      </c>
      <c r="F121" s="21"/>
      <c r="G121" s="21"/>
      <c r="H121" s="21"/>
      <c r="I121" s="21"/>
      <c r="J121" s="21"/>
      <c r="K121" s="21"/>
      <c r="L121" s="21"/>
    </row>
    <row r="122" spans="1:12" ht="29" x14ac:dyDescent="0.35">
      <c r="A122" s="21" t="s">
        <v>1151</v>
      </c>
      <c r="B122" s="21" t="s">
        <v>1162</v>
      </c>
      <c r="C122" s="21" t="s">
        <v>1163</v>
      </c>
      <c r="D122" s="21"/>
      <c r="E122" s="21" t="s">
        <v>996</v>
      </c>
      <c r="F122" s="21"/>
      <c r="G122" s="21"/>
      <c r="H122" s="21"/>
      <c r="I122" s="21"/>
      <c r="J122" s="21"/>
      <c r="K122" s="21"/>
      <c r="L122" s="21"/>
    </row>
    <row r="123" spans="1:12" ht="29" x14ac:dyDescent="0.35">
      <c r="A123" s="21" t="s">
        <v>432</v>
      </c>
      <c r="B123" s="21" t="s">
        <v>1164</v>
      </c>
      <c r="C123" s="21" t="s">
        <v>1165</v>
      </c>
      <c r="D123" s="21"/>
      <c r="E123" s="21" t="s">
        <v>1114</v>
      </c>
      <c r="F123" s="21"/>
      <c r="G123" s="21"/>
      <c r="H123" s="21"/>
      <c r="I123" s="21"/>
      <c r="J123" s="21"/>
      <c r="K123" s="21"/>
      <c r="L123" s="21"/>
    </row>
    <row r="124" spans="1:12" ht="29" x14ac:dyDescent="0.35">
      <c r="A124" s="21" t="s">
        <v>432</v>
      </c>
      <c r="B124" s="21" t="s">
        <v>1166</v>
      </c>
      <c r="C124" s="21" t="s">
        <v>1167</v>
      </c>
      <c r="D124" s="21"/>
      <c r="E124" s="21" t="s">
        <v>1114</v>
      </c>
      <c r="F124" s="21"/>
      <c r="G124" s="21"/>
      <c r="H124" s="21"/>
      <c r="I124" s="21"/>
      <c r="J124" s="21"/>
      <c r="K124" s="21"/>
      <c r="L124" s="21"/>
    </row>
    <row r="125" spans="1:12" ht="29" x14ac:dyDescent="0.35">
      <c r="A125" s="21" t="s">
        <v>432</v>
      </c>
      <c r="B125" s="21" t="s">
        <v>1168</v>
      </c>
      <c r="C125" s="21" t="s">
        <v>1169</v>
      </c>
      <c r="D125" s="21"/>
      <c r="E125" s="21" t="s">
        <v>1114</v>
      </c>
      <c r="F125" s="21"/>
      <c r="G125" s="21"/>
      <c r="H125" s="21"/>
      <c r="I125" s="21"/>
      <c r="J125" s="21"/>
      <c r="K125" s="21"/>
      <c r="L125" s="21"/>
    </row>
    <row r="126" spans="1:12" ht="29" x14ac:dyDescent="0.35">
      <c r="A126" s="21" t="s">
        <v>432</v>
      </c>
      <c r="B126" s="21" t="s">
        <v>1170</v>
      </c>
      <c r="C126" s="21" t="s">
        <v>1171</v>
      </c>
      <c r="D126" s="21"/>
      <c r="E126" s="21" t="s">
        <v>1114</v>
      </c>
      <c r="F126" s="21"/>
      <c r="G126" s="21"/>
      <c r="H126" s="21"/>
      <c r="I126" s="21"/>
      <c r="J126" s="21"/>
      <c r="K126" s="21"/>
      <c r="L126" s="21"/>
    </row>
    <row r="127" spans="1:12" ht="29" x14ac:dyDescent="0.35">
      <c r="A127" s="21" t="s">
        <v>432</v>
      </c>
      <c r="B127" s="21" t="s">
        <v>1172</v>
      </c>
      <c r="C127" s="21" t="s">
        <v>1173</v>
      </c>
      <c r="D127" s="21"/>
      <c r="E127" s="21" t="s">
        <v>1114</v>
      </c>
      <c r="F127" s="21"/>
      <c r="G127" s="21"/>
      <c r="H127" s="21"/>
      <c r="I127" s="21"/>
      <c r="J127" s="21"/>
      <c r="K127" s="21"/>
      <c r="L127" s="21"/>
    </row>
    <row r="128" spans="1:12" ht="29" x14ac:dyDescent="0.35">
      <c r="A128" s="21" t="s">
        <v>432</v>
      </c>
      <c r="B128" s="21" t="s">
        <v>1174</v>
      </c>
      <c r="C128" s="21" t="s">
        <v>1175</v>
      </c>
      <c r="D128" s="21"/>
      <c r="E128" s="21" t="s">
        <v>1114</v>
      </c>
      <c r="F128" s="21"/>
      <c r="G128" s="21"/>
      <c r="H128" s="21"/>
      <c r="I128" s="21"/>
      <c r="J128" s="21"/>
      <c r="K128" s="21"/>
      <c r="L128" s="21"/>
    </row>
    <row r="129" spans="1:12" ht="29" x14ac:dyDescent="0.35">
      <c r="A129" s="21" t="s">
        <v>1176</v>
      </c>
      <c r="B129" s="21" t="s">
        <v>1177</v>
      </c>
      <c r="C129" s="21" t="s">
        <v>1178</v>
      </c>
      <c r="D129" s="21"/>
      <c r="E129" s="21" t="s">
        <v>996</v>
      </c>
      <c r="F129" s="21"/>
      <c r="G129" s="21"/>
      <c r="H129" s="21"/>
      <c r="I129" s="21"/>
      <c r="J129" s="21"/>
      <c r="K129" s="21"/>
      <c r="L129" s="21"/>
    </row>
    <row r="130" spans="1:12" ht="29" x14ac:dyDescent="0.35">
      <c r="A130" s="21" t="s">
        <v>1176</v>
      </c>
      <c r="B130" s="21" t="s">
        <v>1179</v>
      </c>
      <c r="C130" s="21" t="s">
        <v>1180</v>
      </c>
      <c r="D130" s="21"/>
      <c r="E130" s="21" t="s">
        <v>996</v>
      </c>
      <c r="F130" s="21"/>
      <c r="G130" s="21"/>
      <c r="H130" s="21"/>
      <c r="I130" s="21"/>
      <c r="J130" s="21"/>
      <c r="K130" s="21"/>
      <c r="L130" s="21"/>
    </row>
    <row r="131" spans="1:12" ht="29" x14ac:dyDescent="0.35">
      <c r="A131" s="21" t="s">
        <v>1176</v>
      </c>
      <c r="B131" s="21" t="s">
        <v>1181</v>
      </c>
      <c r="C131" s="21" t="s">
        <v>1182</v>
      </c>
      <c r="D131" s="21"/>
      <c r="E131" s="21" t="s">
        <v>996</v>
      </c>
      <c r="F131" s="21"/>
      <c r="G131" s="21"/>
      <c r="H131" s="21"/>
      <c r="I131" s="21"/>
      <c r="J131" s="21"/>
      <c r="K131" s="21"/>
      <c r="L131" s="21"/>
    </row>
    <row r="132" spans="1:12" ht="29" x14ac:dyDescent="0.35">
      <c r="A132" s="21" t="s">
        <v>1176</v>
      </c>
      <c r="B132" s="21" t="s">
        <v>1183</v>
      </c>
      <c r="C132" s="21" t="s">
        <v>1184</v>
      </c>
      <c r="D132" s="21"/>
      <c r="E132" s="21" t="s">
        <v>996</v>
      </c>
      <c r="F132" s="21"/>
      <c r="G132" s="21"/>
      <c r="H132" s="21"/>
      <c r="I132" s="21"/>
      <c r="J132" s="21"/>
      <c r="K132" s="21"/>
      <c r="L132" s="21"/>
    </row>
    <row r="133" spans="1:12" ht="29" x14ac:dyDescent="0.35">
      <c r="A133" s="21" t="s">
        <v>1176</v>
      </c>
      <c r="B133" s="21" t="s">
        <v>1185</v>
      </c>
      <c r="C133" s="21" t="s">
        <v>1186</v>
      </c>
      <c r="D133" s="21"/>
      <c r="E133" s="21" t="s">
        <v>996</v>
      </c>
      <c r="F133" s="21"/>
      <c r="G133" s="21"/>
      <c r="H133" s="21"/>
      <c r="I133" s="21"/>
      <c r="J133" s="21"/>
      <c r="K133" s="21"/>
      <c r="L133" s="21"/>
    </row>
    <row r="134" spans="1:12" ht="29" x14ac:dyDescent="0.35">
      <c r="A134" s="21" t="s">
        <v>1176</v>
      </c>
      <c r="B134" s="21" t="s">
        <v>1187</v>
      </c>
      <c r="C134" s="21" t="s">
        <v>1188</v>
      </c>
      <c r="D134" s="21"/>
      <c r="E134" s="21" t="s">
        <v>996</v>
      </c>
      <c r="F134" s="21"/>
      <c r="G134" s="21"/>
      <c r="H134" s="21"/>
      <c r="I134" s="21"/>
      <c r="J134" s="21"/>
      <c r="K134" s="21"/>
      <c r="L134" s="21"/>
    </row>
    <row r="135" spans="1:12" ht="29" x14ac:dyDescent="0.35">
      <c r="A135" s="21" t="s">
        <v>1189</v>
      </c>
      <c r="B135" s="21" t="s">
        <v>1190</v>
      </c>
      <c r="C135" s="21" t="s">
        <v>1191</v>
      </c>
      <c r="D135" s="21"/>
      <c r="E135" s="21" t="s">
        <v>996</v>
      </c>
      <c r="F135" s="21"/>
      <c r="G135" s="21"/>
      <c r="H135" s="21"/>
      <c r="I135" s="21"/>
      <c r="J135" s="21"/>
      <c r="K135" s="21"/>
      <c r="L135" s="21"/>
    </row>
    <row r="136" spans="1:12" ht="29" x14ac:dyDescent="0.35">
      <c r="A136" s="21" t="s">
        <v>1189</v>
      </c>
      <c r="B136" s="21" t="s">
        <v>1192</v>
      </c>
      <c r="C136" s="21" t="s">
        <v>1193</v>
      </c>
      <c r="D136" s="21"/>
      <c r="E136" s="21" t="s">
        <v>996</v>
      </c>
      <c r="F136" s="21"/>
      <c r="G136" s="21"/>
      <c r="H136" s="21"/>
      <c r="I136" s="21"/>
      <c r="J136" s="21"/>
      <c r="K136" s="21"/>
      <c r="L136" s="21"/>
    </row>
    <row r="137" spans="1:12" ht="29" x14ac:dyDescent="0.35">
      <c r="A137" s="21" t="s">
        <v>1189</v>
      </c>
      <c r="B137" s="21" t="s">
        <v>1194</v>
      </c>
      <c r="C137" s="21" t="s">
        <v>1195</v>
      </c>
      <c r="D137" s="21"/>
      <c r="E137" s="21" t="s">
        <v>996</v>
      </c>
      <c r="F137" s="21"/>
      <c r="G137" s="21"/>
      <c r="H137" s="21"/>
      <c r="I137" s="21"/>
      <c r="J137" s="21"/>
      <c r="K137" s="21"/>
      <c r="L137" s="21"/>
    </row>
    <row r="138" spans="1:12" ht="29" x14ac:dyDescent="0.35">
      <c r="A138" s="21" t="s">
        <v>1189</v>
      </c>
      <c r="B138" s="21" t="s">
        <v>1196</v>
      </c>
      <c r="C138" s="21" t="s">
        <v>1197</v>
      </c>
      <c r="D138" s="21"/>
      <c r="E138" s="21" t="s">
        <v>996</v>
      </c>
      <c r="F138" s="21"/>
      <c r="G138" s="21"/>
      <c r="H138" s="21"/>
      <c r="I138" s="21"/>
      <c r="J138" s="21"/>
      <c r="K138" s="21"/>
      <c r="L138" s="21"/>
    </row>
    <row r="139" spans="1:12" ht="29" x14ac:dyDescent="0.35">
      <c r="A139" s="21" t="s">
        <v>1189</v>
      </c>
      <c r="B139" s="21" t="s">
        <v>1198</v>
      </c>
      <c r="C139" s="21" t="s">
        <v>1199</v>
      </c>
      <c r="D139" s="21"/>
      <c r="E139" s="21" t="s">
        <v>996</v>
      </c>
      <c r="F139" s="21"/>
      <c r="G139" s="21"/>
      <c r="H139" s="21"/>
      <c r="I139" s="21"/>
      <c r="J139" s="21"/>
      <c r="K139" s="21"/>
      <c r="L139" s="21"/>
    </row>
    <row r="140" spans="1:12" ht="29" x14ac:dyDescent="0.35">
      <c r="A140" s="21" t="s">
        <v>1189</v>
      </c>
      <c r="B140" s="21" t="s">
        <v>1200</v>
      </c>
      <c r="C140" s="21" t="s">
        <v>1201</v>
      </c>
      <c r="D140" s="21"/>
      <c r="E140" s="21" t="s">
        <v>996</v>
      </c>
      <c r="F140" s="21"/>
      <c r="G140" s="21"/>
      <c r="H140" s="21"/>
      <c r="I140" s="21"/>
      <c r="J140" s="21"/>
      <c r="K140" s="21"/>
      <c r="L140" s="21"/>
    </row>
    <row r="141" spans="1:12" ht="29" x14ac:dyDescent="0.35">
      <c r="A141" s="21" t="s">
        <v>1202</v>
      </c>
      <c r="B141" s="21" t="s">
        <v>1203</v>
      </c>
      <c r="C141" s="21" t="s">
        <v>1204</v>
      </c>
      <c r="D141" s="21"/>
      <c r="E141" s="21" t="s">
        <v>996</v>
      </c>
      <c r="F141" s="21"/>
      <c r="G141" s="21"/>
      <c r="H141" s="21"/>
      <c r="I141" s="21"/>
      <c r="J141" s="21"/>
      <c r="K141" s="21"/>
      <c r="L141" s="21"/>
    </row>
    <row r="142" spans="1:12" ht="29" x14ac:dyDescent="0.35">
      <c r="A142" s="21" t="s">
        <v>1202</v>
      </c>
      <c r="B142" s="21" t="s">
        <v>1205</v>
      </c>
      <c r="C142" s="21" t="s">
        <v>1206</v>
      </c>
      <c r="D142" s="21"/>
      <c r="E142" s="21" t="s">
        <v>996</v>
      </c>
      <c r="F142" s="21"/>
      <c r="G142" s="21"/>
      <c r="H142" s="21"/>
      <c r="I142" s="21"/>
      <c r="J142" s="21"/>
      <c r="K142" s="21"/>
      <c r="L142" s="21"/>
    </row>
    <row r="143" spans="1:12" ht="29" x14ac:dyDescent="0.35">
      <c r="A143" s="21" t="s">
        <v>1202</v>
      </c>
      <c r="B143" s="21" t="s">
        <v>1207</v>
      </c>
      <c r="C143" s="21" t="s">
        <v>1208</v>
      </c>
      <c r="D143" s="21"/>
      <c r="E143" s="21" t="s">
        <v>996</v>
      </c>
      <c r="F143" s="21"/>
      <c r="G143" s="21"/>
      <c r="H143" s="21"/>
      <c r="I143" s="21"/>
      <c r="J143" s="21"/>
      <c r="K143" s="21"/>
      <c r="L143" s="21"/>
    </row>
    <row r="144" spans="1:12" ht="29" x14ac:dyDescent="0.35">
      <c r="A144" s="21" t="s">
        <v>1202</v>
      </c>
      <c r="B144" s="21" t="s">
        <v>1209</v>
      </c>
      <c r="C144" s="21" t="s">
        <v>1210</v>
      </c>
      <c r="D144" s="21"/>
      <c r="E144" s="21" t="s">
        <v>996</v>
      </c>
      <c r="F144" s="21"/>
      <c r="G144" s="21"/>
      <c r="H144" s="21"/>
      <c r="I144" s="21"/>
      <c r="J144" s="21"/>
      <c r="K144" s="21"/>
      <c r="L144" s="21"/>
    </row>
    <row r="145" spans="1:12" ht="29" x14ac:dyDescent="0.35">
      <c r="A145" s="21" t="s">
        <v>1202</v>
      </c>
      <c r="B145" s="21" t="s">
        <v>1211</v>
      </c>
      <c r="C145" s="21" t="s">
        <v>1212</v>
      </c>
      <c r="D145" s="21"/>
      <c r="E145" s="21" t="s">
        <v>996</v>
      </c>
      <c r="F145" s="21"/>
      <c r="G145" s="21"/>
      <c r="H145" s="21"/>
      <c r="I145" s="21"/>
      <c r="J145" s="21"/>
      <c r="K145" s="21"/>
      <c r="L145" s="21"/>
    </row>
    <row r="146" spans="1:12" ht="29" x14ac:dyDescent="0.35">
      <c r="A146" s="21" t="s">
        <v>1202</v>
      </c>
      <c r="B146" s="21" t="s">
        <v>1213</v>
      </c>
      <c r="C146" s="21" t="s">
        <v>1214</v>
      </c>
      <c r="D146" s="21"/>
      <c r="E146" s="21" t="s">
        <v>996</v>
      </c>
      <c r="F146" s="21"/>
      <c r="G146" s="21"/>
      <c r="H146" s="21"/>
      <c r="I146" s="21"/>
      <c r="J146" s="21"/>
      <c r="K146" s="21"/>
      <c r="L146" s="21"/>
    </row>
    <row r="147" spans="1:12" ht="29" x14ac:dyDescent="0.35">
      <c r="A147" s="21" t="s">
        <v>1215</v>
      </c>
      <c r="B147" s="21" t="s">
        <v>1216</v>
      </c>
      <c r="C147" s="21" t="s">
        <v>1217</v>
      </c>
      <c r="D147" s="21"/>
      <c r="E147" s="21" t="s">
        <v>996</v>
      </c>
      <c r="F147" s="21"/>
      <c r="G147" s="21"/>
      <c r="H147" s="21"/>
      <c r="I147" s="21"/>
      <c r="J147" s="21"/>
      <c r="K147" s="21"/>
      <c r="L147" s="21"/>
    </row>
    <row r="148" spans="1:12" ht="29" x14ac:dyDescent="0.35">
      <c r="A148" s="21" t="s">
        <v>1215</v>
      </c>
      <c r="B148" s="21" t="s">
        <v>1218</v>
      </c>
      <c r="C148" s="21" t="s">
        <v>1219</v>
      </c>
      <c r="D148" s="21"/>
      <c r="E148" s="21" t="s">
        <v>996</v>
      </c>
      <c r="F148" s="21"/>
      <c r="G148" s="21"/>
      <c r="H148" s="21"/>
      <c r="I148" s="21"/>
      <c r="J148" s="21"/>
      <c r="K148" s="21"/>
      <c r="L148" s="21"/>
    </row>
    <row r="149" spans="1:12" ht="29" x14ac:dyDescent="0.35">
      <c r="A149" s="21" t="s">
        <v>1215</v>
      </c>
      <c r="B149" s="21" t="s">
        <v>1220</v>
      </c>
      <c r="C149" s="21" t="s">
        <v>1221</v>
      </c>
      <c r="D149" s="21"/>
      <c r="E149" s="21" t="s">
        <v>996</v>
      </c>
      <c r="F149" s="21"/>
      <c r="G149" s="21"/>
      <c r="H149" s="21"/>
      <c r="I149" s="21"/>
      <c r="J149" s="21"/>
      <c r="K149" s="21"/>
      <c r="L149" s="21"/>
    </row>
    <row r="150" spans="1:12" ht="29" x14ac:dyDescent="0.35">
      <c r="A150" s="21" t="s">
        <v>1215</v>
      </c>
      <c r="B150" s="21" t="s">
        <v>1222</v>
      </c>
      <c r="C150" s="21" t="s">
        <v>1223</v>
      </c>
      <c r="D150" s="21"/>
      <c r="E150" s="21" t="s">
        <v>996</v>
      </c>
      <c r="F150" s="21"/>
      <c r="G150" s="21"/>
      <c r="H150" s="21"/>
      <c r="I150" s="21"/>
      <c r="J150" s="21"/>
      <c r="K150" s="21"/>
      <c r="L150" s="21"/>
    </row>
    <row r="151" spans="1:12" ht="24" customHeight="1" x14ac:dyDescent="0.35">
      <c r="A151" s="133" t="s">
        <v>1215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</row>
    <row r="152" spans="1:12" x14ac:dyDescent="0.35">
      <c r="A152" s="21" t="s">
        <v>1215</v>
      </c>
      <c r="B152" s="21" t="s">
        <v>1224</v>
      </c>
      <c r="C152" s="21" t="s">
        <v>1225</v>
      </c>
      <c r="D152" s="21"/>
      <c r="E152" s="21" t="s">
        <v>996</v>
      </c>
      <c r="F152" s="21"/>
      <c r="G152" s="21"/>
      <c r="H152" s="21"/>
      <c r="I152" s="21"/>
      <c r="J152" s="21"/>
      <c r="K152" s="21"/>
      <c r="L152" s="21"/>
    </row>
    <row r="158" spans="1:12" x14ac:dyDescent="0.35">
      <c r="A158" s="98" t="s">
        <v>1226</v>
      </c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</row>
    <row r="160" spans="1:12" ht="29" x14ac:dyDescent="0.35">
      <c r="A160" s="100" t="s">
        <v>1227</v>
      </c>
      <c r="B160" s="100" t="s">
        <v>1228</v>
      </c>
      <c r="C160" s="100" t="s">
        <v>1229</v>
      </c>
      <c r="D160" s="100" t="s">
        <v>389</v>
      </c>
      <c r="E160" s="100" t="s">
        <v>870</v>
      </c>
      <c r="F160" s="100" t="s">
        <v>390</v>
      </c>
      <c r="G160" s="100" t="s">
        <v>990</v>
      </c>
      <c r="H160" s="100" t="s">
        <v>1230</v>
      </c>
      <c r="I160" s="100"/>
      <c r="J160" s="100"/>
      <c r="K160" s="100"/>
      <c r="L160" s="100"/>
    </row>
    <row r="161" spans="1:8" x14ac:dyDescent="0.35">
      <c r="A161" s="21" t="s">
        <v>1231</v>
      </c>
      <c r="B161" s="21"/>
      <c r="C161" s="21"/>
      <c r="D161" s="21"/>
      <c r="E161" s="21"/>
      <c r="F161" s="21"/>
      <c r="G161" s="21"/>
      <c r="H161" s="21"/>
    </row>
    <row r="162" spans="1:8" x14ac:dyDescent="0.35">
      <c r="A162" s="21" t="s">
        <v>1232</v>
      </c>
      <c r="B162" s="21"/>
      <c r="C162" s="21"/>
      <c r="D162" s="21"/>
      <c r="E162" s="21"/>
      <c r="F162" s="21"/>
      <c r="G162" s="21"/>
      <c r="H162" s="21"/>
    </row>
    <row r="163" spans="1:8" x14ac:dyDescent="0.35">
      <c r="A163" s="21" t="s">
        <v>509</v>
      </c>
      <c r="B163" s="21"/>
      <c r="C163" s="21"/>
      <c r="D163" s="21"/>
      <c r="E163" s="21"/>
      <c r="F163" s="21"/>
      <c r="G163" s="21"/>
      <c r="H163" s="21"/>
    </row>
    <row r="164" spans="1:8" x14ac:dyDescent="0.35">
      <c r="A164" s="21" t="s">
        <v>1233</v>
      </c>
      <c r="B164" s="21"/>
      <c r="C164" s="21"/>
      <c r="D164" s="21"/>
      <c r="E164" s="21"/>
      <c r="F164" s="21"/>
      <c r="G164" s="21"/>
      <c r="H164" s="21"/>
    </row>
    <row r="165" spans="1:8" x14ac:dyDescent="0.35">
      <c r="A165" s="21" t="s">
        <v>1234</v>
      </c>
      <c r="B165" s="21"/>
      <c r="C165" s="21"/>
      <c r="D165" s="21"/>
      <c r="E165" s="21"/>
      <c r="F165" s="21"/>
      <c r="G165" s="21"/>
      <c r="H165" s="21"/>
    </row>
    <row r="166" spans="1:8" x14ac:dyDescent="0.35">
      <c r="A166" s="21" t="s">
        <v>1235</v>
      </c>
      <c r="B166" s="21"/>
      <c r="C166" s="21"/>
      <c r="D166" s="21"/>
      <c r="E166" s="21"/>
      <c r="F166" s="21"/>
      <c r="G166" s="21"/>
      <c r="H166" s="21"/>
    </row>
    <row r="167" spans="1:8" x14ac:dyDescent="0.35">
      <c r="A167" s="21" t="s">
        <v>1236</v>
      </c>
      <c r="B167" s="21"/>
      <c r="C167" s="21"/>
      <c r="D167" s="21"/>
      <c r="E167" s="21"/>
      <c r="F167" s="21"/>
      <c r="G167" s="21"/>
      <c r="H167" s="21"/>
    </row>
    <row r="168" spans="1:8" x14ac:dyDescent="0.35">
      <c r="A168" s="21" t="s">
        <v>1237</v>
      </c>
      <c r="B168" s="21"/>
      <c r="C168" s="21"/>
      <c r="D168" s="21"/>
      <c r="E168" s="21"/>
      <c r="F168" s="21"/>
      <c r="G168" s="21"/>
      <c r="H168" s="21"/>
    </row>
    <row r="169" spans="1:8" x14ac:dyDescent="0.35">
      <c r="A169" s="21" t="s">
        <v>1238</v>
      </c>
      <c r="B169" s="21"/>
      <c r="C169" s="21"/>
      <c r="D169" s="21"/>
      <c r="E169" s="21"/>
      <c r="F169" s="21"/>
      <c r="G169" s="21"/>
      <c r="H169" s="21"/>
    </row>
    <row r="170" spans="1:8" x14ac:dyDescent="0.35">
      <c r="A170" s="21" t="s">
        <v>1239</v>
      </c>
      <c r="B170" s="21"/>
      <c r="C170" s="21"/>
      <c r="D170" s="21"/>
      <c r="E170" s="21"/>
      <c r="F170" s="21"/>
      <c r="G170" s="21"/>
      <c r="H170" s="21"/>
    </row>
    <row r="171" spans="1:8" x14ac:dyDescent="0.35">
      <c r="A171" s="21" t="s">
        <v>1240</v>
      </c>
      <c r="B171" s="21"/>
      <c r="C171" s="21"/>
      <c r="D171" s="21"/>
      <c r="E171" s="21"/>
      <c r="F171" s="21"/>
      <c r="G171" s="21"/>
      <c r="H171" s="21"/>
    </row>
    <row r="172" spans="1:8" x14ac:dyDescent="0.35">
      <c r="A172" s="21" t="s">
        <v>1241</v>
      </c>
      <c r="B172" s="21"/>
      <c r="C172" s="21"/>
      <c r="D172" s="21"/>
      <c r="E172" s="21"/>
      <c r="F172" s="21"/>
      <c r="G172" s="21"/>
      <c r="H172" s="21"/>
    </row>
    <row r="173" spans="1:8" x14ac:dyDescent="0.35">
      <c r="A173" s="21" t="s">
        <v>1242</v>
      </c>
      <c r="B173" s="21"/>
      <c r="C173" s="21"/>
      <c r="D173" s="21"/>
      <c r="E173" s="21"/>
      <c r="F173" s="21"/>
      <c r="G173" s="21"/>
      <c r="H173" s="21"/>
    </row>
    <row r="174" spans="1:8" x14ac:dyDescent="0.35">
      <c r="A174" s="21" t="s">
        <v>1243</v>
      </c>
      <c r="B174" s="21"/>
      <c r="C174" s="21"/>
      <c r="D174" s="21"/>
      <c r="E174" s="21"/>
      <c r="F174" s="21"/>
      <c r="G174" s="21"/>
      <c r="H174" s="21"/>
    </row>
    <row r="175" spans="1:8" x14ac:dyDescent="0.35">
      <c r="A175" s="21" t="s">
        <v>1244</v>
      </c>
      <c r="B175" s="21"/>
      <c r="C175" s="21"/>
      <c r="D175" s="21"/>
      <c r="E175" s="21"/>
      <c r="F175" s="21"/>
      <c r="G175" s="21"/>
      <c r="H175" s="21"/>
    </row>
    <row r="176" spans="1:8" x14ac:dyDescent="0.35">
      <c r="A176" s="21" t="s">
        <v>1245</v>
      </c>
      <c r="B176" s="21"/>
      <c r="C176" s="21"/>
      <c r="D176" s="21"/>
      <c r="E176" s="21"/>
      <c r="F176" s="21"/>
      <c r="G176" s="21"/>
      <c r="H176" s="21"/>
    </row>
    <row r="177" spans="1:12" x14ac:dyDescent="0.35">
      <c r="A177" s="21" t="s">
        <v>1246</v>
      </c>
      <c r="B177" s="21"/>
      <c r="C177" s="21"/>
      <c r="D177" s="21"/>
      <c r="E177" s="21"/>
      <c r="F177" s="21"/>
      <c r="G177" s="21"/>
      <c r="H177" s="21"/>
    </row>
    <row r="178" spans="1:12" x14ac:dyDescent="0.35">
      <c r="A178" s="21" t="s">
        <v>1247</v>
      </c>
      <c r="B178" s="21"/>
      <c r="C178" s="21"/>
      <c r="D178" s="21"/>
      <c r="E178" s="21"/>
      <c r="F178" s="21"/>
      <c r="G178" s="21"/>
      <c r="H178" s="21"/>
    </row>
    <row r="179" spans="1:12" ht="24" customHeight="1" x14ac:dyDescent="0.35">
      <c r="A179" s="133" t="s">
        <v>1248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</row>
    <row r="180" spans="1:12" x14ac:dyDescent="0.35">
      <c r="A180" s="21" t="s">
        <v>1249</v>
      </c>
      <c r="B180" s="21"/>
      <c r="C180" s="21"/>
      <c r="D180" s="21"/>
      <c r="E180" s="21"/>
      <c r="F180" s="21"/>
      <c r="G180" s="21"/>
      <c r="H180" s="21"/>
    </row>
    <row r="186" spans="1:12" x14ac:dyDescent="0.35">
      <c r="A186" s="98" t="s">
        <v>1250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</row>
    <row r="188" spans="1:12" ht="29" x14ac:dyDescent="0.35">
      <c r="A188" s="100" t="s">
        <v>1251</v>
      </c>
      <c r="B188" s="100" t="s">
        <v>1252</v>
      </c>
      <c r="C188" s="100" t="s">
        <v>1253</v>
      </c>
      <c r="D188" s="100" t="s">
        <v>1254</v>
      </c>
      <c r="E188" s="100" t="s">
        <v>870</v>
      </c>
      <c r="F188" s="100" t="s">
        <v>1255</v>
      </c>
      <c r="G188" s="100" t="s">
        <v>338</v>
      </c>
    </row>
    <row r="189" spans="1:12" x14ac:dyDescent="0.35">
      <c r="A189" s="21" t="s">
        <v>428</v>
      </c>
      <c r="B189" s="21"/>
      <c r="C189" s="21"/>
      <c r="D189" s="21"/>
      <c r="E189" s="21"/>
      <c r="F189" s="21"/>
      <c r="G189" s="21"/>
    </row>
    <row r="190" spans="1:12" x14ac:dyDescent="0.35">
      <c r="A190" s="21" t="s">
        <v>582</v>
      </c>
      <c r="B190" s="21"/>
      <c r="C190" s="21"/>
      <c r="D190" s="21"/>
      <c r="E190" s="21"/>
      <c r="F190" s="21"/>
      <c r="G190" s="21"/>
    </row>
    <row r="191" spans="1:12" x14ac:dyDescent="0.35">
      <c r="A191" s="21" t="s">
        <v>435</v>
      </c>
      <c r="B191" s="21"/>
      <c r="C191" s="21"/>
      <c r="D191" s="21"/>
      <c r="E191" s="21"/>
      <c r="F191" s="21"/>
      <c r="G191" s="21"/>
    </row>
    <row r="192" spans="1:12" x14ac:dyDescent="0.35">
      <c r="A192" s="21" t="s">
        <v>93</v>
      </c>
      <c r="B192" s="21"/>
      <c r="C192" s="21"/>
      <c r="D192" s="21"/>
      <c r="E192" s="21"/>
      <c r="F192" s="21"/>
      <c r="G192" s="21"/>
    </row>
    <row r="193" spans="1:12" x14ac:dyDescent="0.35">
      <c r="A193" s="21" t="s">
        <v>431</v>
      </c>
      <c r="B193" s="21"/>
      <c r="C193" s="21"/>
      <c r="D193" s="21"/>
      <c r="E193" s="21"/>
      <c r="F193" s="21"/>
      <c r="G193" s="21"/>
    </row>
    <row r="194" spans="1:12" x14ac:dyDescent="0.35">
      <c r="A194" s="21" t="s">
        <v>97</v>
      </c>
      <c r="B194" s="21"/>
      <c r="C194" s="21"/>
      <c r="D194" s="21"/>
      <c r="E194" s="21"/>
      <c r="F194" s="21"/>
      <c r="G194" s="21"/>
    </row>
    <row r="195" spans="1:12" x14ac:dyDescent="0.35">
      <c r="A195" s="21" t="s">
        <v>100</v>
      </c>
      <c r="B195" s="21"/>
      <c r="C195" s="21"/>
      <c r="D195" s="21"/>
      <c r="E195" s="21"/>
      <c r="F195" s="21"/>
      <c r="G195" s="21"/>
    </row>
    <row r="196" spans="1:12" x14ac:dyDescent="0.35">
      <c r="A196" s="21" t="s">
        <v>1176</v>
      </c>
      <c r="B196" s="21"/>
      <c r="C196" s="21"/>
      <c r="D196" s="21"/>
      <c r="E196" s="21"/>
      <c r="F196" s="21"/>
      <c r="G196" s="21"/>
    </row>
    <row r="197" spans="1:12" x14ac:dyDescent="0.35">
      <c r="A197" s="21" t="s">
        <v>160</v>
      </c>
      <c r="B197" s="21"/>
      <c r="C197" s="21"/>
      <c r="D197" s="21"/>
      <c r="E197" s="21"/>
      <c r="F197" s="21"/>
      <c r="G197" s="21"/>
    </row>
    <row r="198" spans="1:12" x14ac:dyDescent="0.35">
      <c r="A198" s="21" t="s">
        <v>1256</v>
      </c>
      <c r="B198" s="21"/>
      <c r="C198" s="21"/>
      <c r="D198" s="21"/>
      <c r="E198" s="21"/>
      <c r="F198" s="21"/>
      <c r="G198" s="21"/>
    </row>
    <row r="199" spans="1:12" x14ac:dyDescent="0.35">
      <c r="A199" s="21" t="s">
        <v>1257</v>
      </c>
      <c r="B199" s="21"/>
      <c r="C199" s="21"/>
      <c r="D199" s="21"/>
      <c r="E199" s="21"/>
      <c r="F199" s="21"/>
      <c r="G199" s="21"/>
    </row>
    <row r="200" spans="1:12" x14ac:dyDescent="0.35">
      <c r="A200" s="21" t="s">
        <v>1258</v>
      </c>
      <c r="B200" s="21"/>
      <c r="C200" s="21"/>
      <c r="D200" s="21"/>
      <c r="E200" s="21"/>
      <c r="F200" s="21"/>
      <c r="G200" s="21"/>
    </row>
    <row r="201" spans="1:12" x14ac:dyDescent="0.35">
      <c r="A201" s="21" t="s">
        <v>116</v>
      </c>
      <c r="B201" s="21"/>
      <c r="C201" s="21"/>
      <c r="D201" s="21"/>
      <c r="E201" s="21"/>
      <c r="F201" s="21"/>
      <c r="G201" s="21"/>
    </row>
    <row r="202" spans="1:12" x14ac:dyDescent="0.35">
      <c r="A202" s="21" t="s">
        <v>129</v>
      </c>
      <c r="B202" s="21"/>
      <c r="C202" s="21"/>
      <c r="D202" s="21"/>
      <c r="E202" s="21"/>
      <c r="F202" s="21"/>
      <c r="G202" s="21"/>
    </row>
    <row r="203" spans="1:12" x14ac:dyDescent="0.35">
      <c r="A203" s="21" t="s">
        <v>437</v>
      </c>
      <c r="B203" s="21"/>
      <c r="C203" s="21"/>
      <c r="D203" s="21"/>
      <c r="E203" s="21"/>
      <c r="F203" s="21"/>
      <c r="G203" s="21"/>
    </row>
    <row r="204" spans="1:12" x14ac:dyDescent="0.35">
      <c r="A204" s="21" t="s">
        <v>125</v>
      </c>
      <c r="B204" s="21"/>
      <c r="C204" s="21"/>
      <c r="D204" s="21"/>
      <c r="E204" s="21"/>
      <c r="F204" s="21"/>
      <c r="G204" s="21"/>
    </row>
    <row r="205" spans="1:12" x14ac:dyDescent="0.35">
      <c r="A205" s="21" t="s">
        <v>442</v>
      </c>
      <c r="B205" s="21"/>
      <c r="C205" s="21"/>
      <c r="D205" s="21"/>
      <c r="E205" s="21"/>
      <c r="F205" s="21"/>
      <c r="G205" s="21"/>
    </row>
    <row r="206" spans="1:12" x14ac:dyDescent="0.35">
      <c r="A206" s="21" t="s">
        <v>1259</v>
      </c>
      <c r="B206" s="21"/>
      <c r="C206" s="21"/>
      <c r="D206" s="21"/>
      <c r="E206" s="21"/>
      <c r="F206" s="21"/>
      <c r="G206" s="21"/>
    </row>
    <row r="207" spans="1:12" ht="24" customHeight="1" x14ac:dyDescent="0.35">
      <c r="A207" s="133" t="s">
        <v>1260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</row>
    <row r="208" spans="1:12" x14ac:dyDescent="0.35">
      <c r="A208" s="21" t="s">
        <v>439</v>
      </c>
      <c r="B208" s="21"/>
      <c r="C208" s="21"/>
      <c r="D208" s="21"/>
      <c r="E208" s="21"/>
      <c r="F208" s="21"/>
      <c r="G208" s="21"/>
    </row>
    <row r="214" spans="1:12" x14ac:dyDescent="0.35">
      <c r="A214" s="98" t="s">
        <v>1261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</row>
    <row r="216" spans="1:12" x14ac:dyDescent="0.35">
      <c r="A216" s="100" t="s">
        <v>1262</v>
      </c>
      <c r="B216" s="100" t="s">
        <v>1263</v>
      </c>
      <c r="C216" s="100" t="s">
        <v>292</v>
      </c>
      <c r="D216" s="100" t="s">
        <v>371</v>
      </c>
      <c r="E216" s="100" t="s">
        <v>360</v>
      </c>
      <c r="F216" s="100" t="s">
        <v>1264</v>
      </c>
      <c r="G216" s="100" t="s">
        <v>990</v>
      </c>
      <c r="H216" s="100" t="s">
        <v>338</v>
      </c>
    </row>
    <row r="217" spans="1:12" x14ac:dyDescent="0.35">
      <c r="A217" t="s">
        <v>1265</v>
      </c>
    </row>
    <row r="218" spans="1:12" x14ac:dyDescent="0.35">
      <c r="A218" t="s">
        <v>1266</v>
      </c>
    </row>
    <row r="219" spans="1:12" x14ac:dyDescent="0.35">
      <c r="A219" t="s">
        <v>1267</v>
      </c>
    </row>
    <row r="220" spans="1:12" x14ac:dyDescent="0.35">
      <c r="A220" t="s">
        <v>1268</v>
      </c>
    </row>
    <row r="221" spans="1:12" x14ac:dyDescent="0.35">
      <c r="A221" t="s">
        <v>1269</v>
      </c>
    </row>
    <row r="222" spans="1:12" x14ac:dyDescent="0.35">
      <c r="A222" t="s">
        <v>1270</v>
      </c>
    </row>
    <row r="223" spans="1:12" ht="24" customHeight="1" x14ac:dyDescent="0.35">
      <c r="A223" s="129" t="s">
        <v>1271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</row>
    <row r="224" spans="1:12" x14ac:dyDescent="0.35">
      <c r="A224" t="s">
        <v>1272</v>
      </c>
    </row>
    <row r="230" spans="1:12" x14ac:dyDescent="0.35">
      <c r="A230" s="98" t="s">
        <v>1273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2" spans="1:12" ht="29" x14ac:dyDescent="0.35">
      <c r="A232" s="100" t="s">
        <v>1229</v>
      </c>
      <c r="B232" s="100" t="s">
        <v>1274</v>
      </c>
      <c r="C232" s="100" t="s">
        <v>390</v>
      </c>
      <c r="D232" s="100" t="s">
        <v>351</v>
      </c>
      <c r="E232" s="100" t="s">
        <v>352</v>
      </c>
      <c r="F232" s="100" t="s">
        <v>292</v>
      </c>
      <c r="G232" s="100" t="s">
        <v>353</v>
      </c>
      <c r="H232" s="100" t="s">
        <v>338</v>
      </c>
    </row>
    <row r="240" spans="1:12" x14ac:dyDescent="0.3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</row>
    <row r="241" spans="1:12" x14ac:dyDescent="0.3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</row>
    <row r="247" spans="1:12" ht="29" x14ac:dyDescent="0.35">
      <c r="A247" s="106" t="s">
        <v>1275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3"/>
    </row>
    <row r="248" spans="1:12" ht="43.5" x14ac:dyDescent="0.35">
      <c r="A248" s="111" t="s">
        <v>1276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3"/>
    </row>
    <row r="249" spans="1:12" ht="29" x14ac:dyDescent="0.35">
      <c r="A249" s="110" t="s">
        <v>1277</v>
      </c>
      <c r="B249" s="110" t="s">
        <v>1278</v>
      </c>
      <c r="C249" s="110" t="s">
        <v>81</v>
      </c>
      <c r="D249" s="110" t="s">
        <v>615</v>
      </c>
      <c r="E249" s="110" t="s">
        <v>616</v>
      </c>
      <c r="F249" s="110" t="s">
        <v>990</v>
      </c>
      <c r="G249" s="110" t="s">
        <v>1279</v>
      </c>
      <c r="H249" s="110" t="s">
        <v>390</v>
      </c>
      <c r="I249" s="110" t="s">
        <v>351</v>
      </c>
      <c r="J249" s="110" t="s">
        <v>292</v>
      </c>
      <c r="K249" s="110" t="s">
        <v>353</v>
      </c>
      <c r="L249" s="110" t="s">
        <v>619</v>
      </c>
    </row>
    <row r="250" spans="1:12" x14ac:dyDescent="0.35">
      <c r="A250" s="105" t="s">
        <v>1280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x14ac:dyDescent="0.35">
      <c r="A251" s="105" t="s">
        <v>1281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x14ac:dyDescent="0.35">
      <c r="A252" s="105" t="s">
        <v>1282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29" x14ac:dyDescent="0.35">
      <c r="A253" s="105" t="s">
        <v>1283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29" x14ac:dyDescent="0.35">
      <c r="A254" s="105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29" x14ac:dyDescent="0.35">
      <c r="A255" s="105" t="s">
        <v>1285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29" x14ac:dyDescent="0.35">
      <c r="A256" s="105" t="s">
        <v>1286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29" x14ac:dyDescent="0.35">
      <c r="A257" s="105" t="s">
        <v>1287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29" x14ac:dyDescent="0.35">
      <c r="A258" s="105" t="s">
        <v>1288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29" x14ac:dyDescent="0.35">
      <c r="A259" s="105" t="s">
        <v>1289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29" x14ac:dyDescent="0.35">
      <c r="A260" s="105" t="s">
        <v>1290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29" x14ac:dyDescent="0.35">
      <c r="A261" s="105" t="s">
        <v>1291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29" x14ac:dyDescent="0.35">
      <c r="A262" s="105" t="s">
        <v>1292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43.5" x14ac:dyDescent="0.35">
      <c r="A263" s="105" t="s">
        <v>1293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29" x14ac:dyDescent="0.35">
      <c r="A264" s="105" t="s">
        <v>1294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x14ac:dyDescent="0.35">
      <c r="A265" s="105" t="s">
        <v>1295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</sheetData>
  <mergeCells count="9">
    <mergeCell ref="A1:L1"/>
    <mergeCell ref="A17:L17"/>
    <mergeCell ref="A241:L241"/>
    <mergeCell ref="A223:L223"/>
    <mergeCell ref="A35:L35"/>
    <mergeCell ref="A240:L240"/>
    <mergeCell ref="A179:L179"/>
    <mergeCell ref="A151:L151"/>
    <mergeCell ref="A207:L207"/>
  </mergeCells>
  <conditionalFormatting sqref="B12">
    <cfRule type="expression" dxfId="69" priority="12">
      <formula>B12="Green"</formula>
    </cfRule>
    <cfRule type="expression" dxfId="68" priority="13">
      <formula>B12="Amber"</formula>
    </cfRule>
    <cfRule type="expression" dxfId="67" priority="14">
      <formula>B12="Red"</formula>
    </cfRule>
  </conditionalFormatting>
  <conditionalFormatting sqref="B182:B201">
    <cfRule type="expression" dxfId="66" priority="3">
      <formula>B182="Pass"</formula>
    </cfRule>
  </conditionalFormatting>
  <conditionalFormatting sqref="C20:C43">
    <cfRule type="expression" dxfId="65" priority="8">
      <formula>C20="Green"</formula>
    </cfRule>
    <cfRule type="expression" dxfId="64" priority="9">
      <formula>C20="Amber"</formula>
    </cfRule>
    <cfRule type="expression" dxfId="63" priority="10">
      <formula>C20="Red"</formula>
    </cfRule>
    <cfRule type="expression" dxfId="62" priority="11">
      <formula>C20="N/A"</formula>
    </cfRule>
  </conditionalFormatting>
  <conditionalFormatting sqref="C20:C45">
    <cfRule type="expression" dxfId="61" priority="4">
      <formula>ISNUMBER(SEARCH("Green",C20))</formula>
    </cfRule>
    <cfRule type="expression" dxfId="60" priority="5">
      <formula>ISNUMBER(SEARCH("Amber",C20))</formula>
    </cfRule>
    <cfRule type="expression" dxfId="59" priority="6">
      <formula>ISNUMBER(SEARCH("Red",C20))</formula>
    </cfRule>
    <cfRule type="expression" dxfId="58" priority="7">
      <formula>C20="N/A"</formula>
    </cfRule>
  </conditionalFormatting>
  <conditionalFormatting sqref="E154:E173">
    <cfRule type="expression" dxfId="57" priority="2">
      <formula>E154="Pass"</formula>
    </cfRule>
  </conditionalFormatting>
  <conditionalFormatting sqref="H38:H145">
    <cfRule type="expression" dxfId="56" priority="1">
      <formula>H38="Pass"</formula>
    </cfRule>
  </conditionalFormatting>
  <dataValidations count="8">
    <dataValidation type="list" sqref="H38:H145 E154:E173" xr:uid="{00000000-0002-0000-3B00-000000000000}">
      <formula1>"Pass,Developing,Fail,N/A"</formula1>
    </dataValidation>
    <dataValidation type="list" sqref="F38:F145" xr:uid="{00000000-0002-0000-3B00-000001000000}">
      <formula1>"1,2,3,4,5"</formula1>
    </dataValidation>
    <dataValidation type="list" sqref="B182:B201" xr:uid="{00000000-0002-0000-3B00-000003000000}">
      <formula1>"Complete,In Progress,Not Started,N/A"</formula1>
    </dataValidation>
    <dataValidation type="list" allowBlank="1" sqref="C243:E258" xr:uid="{00000000-0002-0000-3B00-000004000000}">
      <formula1>"Yes,No,N/A"</formula1>
    </dataValidation>
    <dataValidation type="list" allowBlank="1" sqref="C20:C45" xr:uid="{00000000-0002-0000-3B00-000005000000}">
      <formula1>"Green - Received,Amber - Awaiting,Red - Missing,N/A"</formula1>
    </dataValidation>
    <dataValidation type="list" sqref="C20:C43" xr:uid="{00000000-0002-0000-3B00-000006000000}">
      <formula1>"Green,Amber,Red,N/A"</formula1>
    </dataValidation>
    <dataValidation type="list" sqref="F42:F230" xr:uid="{00000000-0002-0000-3B00-000007000000}">
      <formula1>"1,2,3,4,5,N/A"</formula1>
    </dataValidation>
    <dataValidation type="list" sqref="H42:H230 H235:H255" xr:uid="{00000000-0002-0000-3B00-000008000000}">
      <formula1>"Pass,Fail,Not Assessed,N/A"</formula1>
    </dataValidation>
  </dataValidation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L265"/>
  <sheetViews>
    <sheetView workbookViewId="0"/>
  </sheetViews>
  <sheetFormatPr defaultRowHeight="14.5" x14ac:dyDescent="0.35"/>
  <cols>
    <col min="1" max="1" width="42" customWidth="1"/>
    <col min="2" max="2" width="36" customWidth="1"/>
    <col min="3" max="3" width="52" customWidth="1"/>
    <col min="4" max="4" width="34" customWidth="1"/>
    <col min="5" max="5" width="30" customWidth="1"/>
    <col min="6" max="6" width="12" customWidth="1"/>
    <col min="7" max="7" width="16" customWidth="1"/>
    <col min="8" max="8" width="14" customWidth="1"/>
    <col min="9" max="9" width="28" customWidth="1"/>
    <col min="10" max="12" width="14" customWidth="1"/>
  </cols>
  <sheetData>
    <row r="1" spans="1:12" ht="30" customHeight="1" x14ac:dyDescent="0.35">
      <c r="A1" s="134" t="s">
        <v>1316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x14ac:dyDescent="0.35">
      <c r="A2" t="s">
        <v>928</v>
      </c>
      <c r="D2" t="s">
        <v>929</v>
      </c>
    </row>
    <row r="4" spans="1:12" x14ac:dyDescent="0.35">
      <c r="A4" s="101" t="s">
        <v>882</v>
      </c>
      <c r="B4" s="101" t="str">
        <f>IF('Induction Employee Register'!A25="","",'Induction Employee Register'!A25)</f>
        <v>SW022</v>
      </c>
      <c r="D4" t="s">
        <v>930</v>
      </c>
      <c r="E4" t="s">
        <v>931</v>
      </c>
      <c r="F4" t="s">
        <v>932</v>
      </c>
      <c r="G4" t="s">
        <v>933</v>
      </c>
      <c r="H4" t="s">
        <v>58</v>
      </c>
      <c r="I4" t="s">
        <v>934</v>
      </c>
      <c r="J4" t="s">
        <v>54</v>
      </c>
      <c r="K4" t="s">
        <v>935</v>
      </c>
      <c r="L4" t="s">
        <v>43</v>
      </c>
    </row>
    <row r="5" spans="1:12" x14ac:dyDescent="0.35">
      <c r="A5" s="101" t="s">
        <v>883</v>
      </c>
      <c r="B5" s="101" t="str">
        <f>IF('Induction Employee Register'!B25="","",'Induction Employee Register'!B25)</f>
        <v/>
      </c>
      <c r="D5" t="s">
        <v>936</v>
      </c>
    </row>
    <row r="6" spans="1:12" x14ac:dyDescent="0.35">
      <c r="A6" s="101" t="s">
        <v>322</v>
      </c>
      <c r="B6" s="101" t="str">
        <f>IF('Induction Employee Register'!C25="","",'Induction Employee Register'!C25)</f>
        <v/>
      </c>
      <c r="D6" t="s">
        <v>937</v>
      </c>
      <c r="E6" t="s">
        <v>938</v>
      </c>
    </row>
    <row r="7" spans="1:12" x14ac:dyDescent="0.35">
      <c r="A7" s="101" t="s">
        <v>323</v>
      </c>
      <c r="B7" s="126" t="str">
        <f>IF('Induction Employee Register'!D25="","",'Induction Employee Register'!D25)</f>
        <v/>
      </c>
      <c r="D7" t="s">
        <v>939</v>
      </c>
      <c r="E7" t="s">
        <v>940</v>
      </c>
    </row>
    <row r="8" spans="1:12" x14ac:dyDescent="0.35">
      <c r="A8" s="101" t="s">
        <v>886</v>
      </c>
      <c r="B8" s="125">
        <f>IFERROR(COUNTIF($H$42:$H$230,"Pass")/(COUNTIF($H$42:$H$230,"Pass")+COUNTIF($H$42:$H$230,"Fail")+COUNTIF($H$42:$H$230,"Not Assessed")),0)</f>
        <v>0</v>
      </c>
      <c r="D8" t="s">
        <v>6</v>
      </c>
      <c r="E8" t="s">
        <v>941</v>
      </c>
    </row>
    <row r="9" spans="1:12" x14ac:dyDescent="0.35">
      <c r="A9" s="101" t="s">
        <v>887</v>
      </c>
      <c r="B9" s="125">
        <f>IFERROR(COUNTIF($H$235:$H$255,"Pass")/(COUNTIF($H$235:$H$255,"Pass")+COUNTIF($H$235:$H$255,"Fail")+COUNTIF($H$235:$H$255,"Not Assessed")),0)</f>
        <v>0</v>
      </c>
      <c r="D9" t="s">
        <v>942</v>
      </c>
      <c r="E9" t="s">
        <v>943</v>
      </c>
    </row>
    <row r="10" spans="1:12" x14ac:dyDescent="0.35">
      <c r="A10" s="101" t="s">
        <v>888</v>
      </c>
      <c r="B10" s="125" t="str">
        <f>IFERROR(IF($B$5="","",IF(INDEX('Mandatory Training Dashboard'!$D$5:$D$53,MATCH($B$5,'Mandatory Training Dashboard'!$A$5:$A$53,0))&gt;1,INDEX('Mandatory Training Dashboard'!$D$5:$D$53,MATCH($B$5,'Mandatory Training Dashboard'!$A$5:$A$53,0))/100,INDEX('Mandatory Training Dashboard'!$D$5:$D$53,MATCH($B$5,'Mandatory Training Dashboard'!$A$5:$A$53,0)))),0)</f>
        <v/>
      </c>
      <c r="D10" t="s">
        <v>944</v>
      </c>
      <c r="E10" t="s">
        <v>945</v>
      </c>
    </row>
    <row r="11" spans="1:12" x14ac:dyDescent="0.35">
      <c r="A11" s="101" t="s">
        <v>893</v>
      </c>
      <c r="B11" s="125">
        <f>IFERROR(AVERAGE(B8:B10),0)</f>
        <v>0</v>
      </c>
      <c r="D11" t="s">
        <v>946</v>
      </c>
      <c r="E11" t="s">
        <v>947</v>
      </c>
    </row>
    <row r="12" spans="1:12" x14ac:dyDescent="0.35">
      <c r="A12" s="101" t="s">
        <v>948</v>
      </c>
      <c r="B12" s="101" t="str">
        <f>IF(B11&gt;=0.9,"Green",IF(B11&gt;=0.75,"Amber","Red"))</f>
        <v>Red</v>
      </c>
      <c r="D12" t="s">
        <v>949</v>
      </c>
      <c r="E12" t="s">
        <v>950</v>
      </c>
    </row>
    <row r="13" spans="1:12" x14ac:dyDescent="0.35">
      <c r="A13" s="101" t="s">
        <v>891</v>
      </c>
      <c r="B13" s="101">
        <f>IF('Induction Employee Register'!N25="","",'Induction Employee Register'!N25)</f>
        <v>0</v>
      </c>
      <c r="D13" t="s">
        <v>951</v>
      </c>
      <c r="E13" t="s">
        <v>952</v>
      </c>
    </row>
    <row r="14" spans="1:12" x14ac:dyDescent="0.35">
      <c r="A14" s="101" t="s">
        <v>892</v>
      </c>
      <c r="B14" s="101" t="str">
        <f>IF('Induction Employee Register'!O25="","",'Induction Employee Register'!O25)</f>
        <v/>
      </c>
    </row>
    <row r="17" spans="1:12" ht="24" customHeight="1" x14ac:dyDescent="0.35">
      <c r="A17" s="135" t="s">
        <v>953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9" spans="1:12" ht="29" x14ac:dyDescent="0.35">
      <c r="A19" s="116" t="s">
        <v>954</v>
      </c>
      <c r="B19" s="116" t="s">
        <v>955</v>
      </c>
      <c r="C19" s="116" t="s">
        <v>956</v>
      </c>
      <c r="D19" s="116" t="s">
        <v>957</v>
      </c>
      <c r="E19" s="116" t="s">
        <v>958</v>
      </c>
      <c r="F19" s="116" t="s">
        <v>353</v>
      </c>
      <c r="G19" s="116" t="s">
        <v>335</v>
      </c>
      <c r="H19" s="116" t="s">
        <v>338</v>
      </c>
      <c r="I19" s="117" t="s">
        <v>959</v>
      </c>
      <c r="J19" t="s">
        <v>960</v>
      </c>
      <c r="K19" t="s">
        <v>300</v>
      </c>
      <c r="L19" t="s">
        <v>961</v>
      </c>
    </row>
    <row r="20" spans="1:12" x14ac:dyDescent="0.35">
      <c r="A20" s="118" t="s">
        <v>962</v>
      </c>
      <c r="B20" s="118" t="s">
        <v>81</v>
      </c>
      <c r="C20" s="118"/>
      <c r="D20" s="127"/>
      <c r="E20" s="127"/>
      <c r="F20" s="118"/>
      <c r="G20" s="118"/>
      <c r="H20" s="118"/>
      <c r="J20" t="s">
        <v>310</v>
      </c>
      <c r="K20" t="str">
        <f>IF('Induction Employee Register'!W25="","",'Induction Employee Register'!W25)</f>
        <v/>
      </c>
      <c r="L20" t="s">
        <v>963</v>
      </c>
    </row>
    <row r="21" spans="1:12" x14ac:dyDescent="0.35">
      <c r="A21" s="118" t="s">
        <v>964</v>
      </c>
      <c r="B21" s="118" t="s">
        <v>81</v>
      </c>
      <c r="C21" s="118"/>
      <c r="D21" s="127"/>
      <c r="E21" s="127"/>
      <c r="F21" s="118"/>
      <c r="G21" s="118"/>
      <c r="H21" s="118"/>
      <c r="J21" t="s">
        <v>311</v>
      </c>
      <c r="K21" t="str">
        <f>IF('Induction Employee Register'!X25="","",'Induction Employee Register'!X25)</f>
        <v/>
      </c>
      <c r="L21" t="s">
        <v>965</v>
      </c>
    </row>
    <row r="22" spans="1:12" x14ac:dyDescent="0.35">
      <c r="A22" s="118" t="s">
        <v>966</v>
      </c>
      <c r="B22" s="118" t="s">
        <v>81</v>
      </c>
      <c r="C22" s="118"/>
      <c r="D22" s="127"/>
      <c r="E22" s="127"/>
      <c r="F22" s="118"/>
      <c r="G22" s="118"/>
      <c r="H22" s="118"/>
      <c r="J22" t="s">
        <v>312</v>
      </c>
      <c r="K22" t="str">
        <f>IF('Induction Employee Register'!Y25="","",'Induction Employee Register'!Y25)</f>
        <v/>
      </c>
      <c r="L22" t="s">
        <v>967</v>
      </c>
    </row>
    <row r="23" spans="1:12" x14ac:dyDescent="0.35">
      <c r="A23" s="118" t="s">
        <v>52</v>
      </c>
      <c r="B23" s="118" t="s">
        <v>81</v>
      </c>
      <c r="C23" s="118"/>
      <c r="D23" s="127"/>
      <c r="E23" s="127"/>
      <c r="F23" s="118"/>
      <c r="G23" s="118"/>
      <c r="H23" s="118"/>
      <c r="J23" t="s">
        <v>313</v>
      </c>
      <c r="K23" t="str">
        <f>IF('Induction Employee Register'!Z25="","",'Induction Employee Register'!Z25)</f>
        <v/>
      </c>
      <c r="L23" t="s">
        <v>968</v>
      </c>
    </row>
    <row r="24" spans="1:12" x14ac:dyDescent="0.35">
      <c r="A24" s="118" t="s">
        <v>50</v>
      </c>
      <c r="B24" s="118" t="s">
        <v>81</v>
      </c>
      <c r="C24" s="118"/>
      <c r="D24" s="127"/>
      <c r="E24" s="127"/>
      <c r="F24" s="118"/>
      <c r="G24" s="118"/>
      <c r="H24" s="118"/>
      <c r="J24" t="s">
        <v>314</v>
      </c>
      <c r="K24" t="str">
        <f>IF('Induction Employee Register'!AA25="","",'Induction Employee Register'!AA25)</f>
        <v/>
      </c>
      <c r="L24" t="s">
        <v>968</v>
      </c>
    </row>
    <row r="25" spans="1:12" x14ac:dyDescent="0.35">
      <c r="A25" s="118" t="s">
        <v>329</v>
      </c>
      <c r="B25" s="118" t="s">
        <v>81</v>
      </c>
      <c r="C25" s="118"/>
      <c r="D25" s="127"/>
      <c r="E25" s="127"/>
      <c r="F25" s="118"/>
      <c r="G25" s="118"/>
      <c r="H25" s="118"/>
      <c r="J25" t="s">
        <v>315</v>
      </c>
      <c r="K25" t="str">
        <f>IF('Induction Employee Register'!AB25="","",'Induction Employee Register'!AB25)</f>
        <v/>
      </c>
      <c r="L25" t="s">
        <v>967</v>
      </c>
    </row>
    <row r="26" spans="1:12" x14ac:dyDescent="0.35">
      <c r="A26" s="118" t="s">
        <v>969</v>
      </c>
      <c r="B26" s="118" t="s">
        <v>81</v>
      </c>
      <c r="C26" s="118"/>
      <c r="D26" s="127"/>
      <c r="E26" s="127"/>
      <c r="F26" s="118"/>
      <c r="G26" s="118"/>
      <c r="H26" s="118"/>
      <c r="J26" t="s">
        <v>316</v>
      </c>
      <c r="K26" t="str">
        <f>IF('Induction Employee Register'!AC25="","",'Induction Employee Register'!AC25)</f>
        <v/>
      </c>
      <c r="L26" t="s">
        <v>967</v>
      </c>
    </row>
    <row r="27" spans="1:12" x14ac:dyDescent="0.35">
      <c r="A27" s="118" t="s">
        <v>970</v>
      </c>
      <c r="B27" s="118" t="s">
        <v>81</v>
      </c>
      <c r="C27" s="118"/>
      <c r="D27" s="127"/>
      <c r="E27" s="127"/>
      <c r="F27" s="118"/>
      <c r="G27" s="118"/>
      <c r="H27" s="118"/>
    </row>
    <row r="28" spans="1:12" x14ac:dyDescent="0.35">
      <c r="A28" s="118" t="s">
        <v>971</v>
      </c>
      <c r="B28" s="118" t="s">
        <v>81</v>
      </c>
      <c r="C28" s="118"/>
      <c r="D28" s="127"/>
      <c r="E28" s="127"/>
      <c r="F28" s="118"/>
      <c r="G28" s="118"/>
      <c r="H28" s="118"/>
    </row>
    <row r="29" spans="1:12" x14ac:dyDescent="0.35">
      <c r="A29" s="118" t="s">
        <v>972</v>
      </c>
      <c r="B29" s="118" t="s">
        <v>81</v>
      </c>
      <c r="C29" s="118"/>
      <c r="D29" s="127"/>
      <c r="E29" s="127"/>
      <c r="F29" s="118"/>
      <c r="G29" s="118"/>
      <c r="H29" s="118"/>
    </row>
    <row r="30" spans="1:12" x14ac:dyDescent="0.35">
      <c r="A30" s="118" t="s">
        <v>973</v>
      </c>
      <c r="B30" s="118" t="s">
        <v>81</v>
      </c>
      <c r="C30" s="118"/>
      <c r="D30" s="127"/>
      <c r="E30" s="127"/>
      <c r="F30" s="118"/>
      <c r="G30" s="118"/>
      <c r="H30" s="118"/>
    </row>
    <row r="31" spans="1:12" x14ac:dyDescent="0.35">
      <c r="A31" s="118" t="s">
        <v>974</v>
      </c>
      <c r="B31" s="118" t="s">
        <v>81</v>
      </c>
      <c r="C31" s="118"/>
      <c r="D31" s="127"/>
      <c r="E31" s="127"/>
      <c r="F31" s="118"/>
      <c r="G31" s="118"/>
      <c r="H31" s="118"/>
    </row>
    <row r="32" spans="1:12" x14ac:dyDescent="0.35">
      <c r="A32" s="118" t="s">
        <v>975</v>
      </c>
      <c r="B32" s="118" t="s">
        <v>81</v>
      </c>
      <c r="C32" s="118"/>
      <c r="D32" s="127"/>
      <c r="E32" s="127"/>
      <c r="F32" s="118"/>
      <c r="G32" s="118"/>
      <c r="H32" s="118"/>
    </row>
    <row r="33" spans="1:12" x14ac:dyDescent="0.35">
      <c r="A33" s="118" t="s">
        <v>54</v>
      </c>
      <c r="B33" s="118" t="s">
        <v>81</v>
      </c>
      <c r="C33" s="118"/>
      <c r="D33" s="127"/>
      <c r="E33" s="127"/>
      <c r="F33" s="118"/>
      <c r="G33" s="118"/>
      <c r="H33" s="118"/>
    </row>
    <row r="34" spans="1:12" x14ac:dyDescent="0.35">
      <c r="A34" s="119" t="s">
        <v>976</v>
      </c>
      <c r="B34" s="119" t="s">
        <v>81</v>
      </c>
      <c r="C34" s="119"/>
      <c r="D34" s="127"/>
      <c r="E34" s="127"/>
      <c r="F34" s="119"/>
      <c r="G34" s="119"/>
      <c r="H34" s="119"/>
    </row>
    <row r="35" spans="1:12" ht="24" customHeight="1" x14ac:dyDescent="0.35">
      <c r="A35" s="130" t="s">
        <v>977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</row>
    <row r="36" spans="1:12" x14ac:dyDescent="0.35">
      <c r="A36" s="119" t="s">
        <v>978</v>
      </c>
      <c r="B36" s="119" t="s">
        <v>81</v>
      </c>
      <c r="C36" s="119"/>
      <c r="D36" s="127"/>
      <c r="E36" s="127"/>
      <c r="F36" s="119"/>
      <c r="G36" s="119"/>
      <c r="H36" s="119"/>
    </row>
    <row r="37" spans="1:12" x14ac:dyDescent="0.35">
      <c r="A37" s="119" t="s">
        <v>979</v>
      </c>
      <c r="B37" s="119" t="s">
        <v>81</v>
      </c>
      <c r="C37" s="119"/>
      <c r="D37" s="127"/>
      <c r="E37" s="127"/>
      <c r="F37" s="119"/>
      <c r="G37" s="119"/>
      <c r="H37" s="119"/>
    </row>
    <row r="38" spans="1:12" x14ac:dyDescent="0.35">
      <c r="A38" s="119" t="s">
        <v>980</v>
      </c>
      <c r="B38" s="119" t="s">
        <v>81</v>
      </c>
      <c r="C38" s="119"/>
      <c r="D38" s="127"/>
      <c r="E38" s="127"/>
      <c r="F38" s="119"/>
      <c r="G38" s="119"/>
      <c r="H38" s="119"/>
    </row>
    <row r="39" spans="1:12" x14ac:dyDescent="0.35">
      <c r="A39" s="119" t="s">
        <v>981</v>
      </c>
      <c r="B39" s="119" t="s">
        <v>81</v>
      </c>
      <c r="C39" s="119"/>
      <c r="D39" s="127"/>
      <c r="E39" s="127"/>
      <c r="F39" s="119"/>
      <c r="G39" s="119"/>
      <c r="H39" s="119"/>
    </row>
    <row r="40" spans="1:12" x14ac:dyDescent="0.35">
      <c r="A40" s="119" t="s">
        <v>982</v>
      </c>
      <c r="B40" s="119" t="s">
        <v>81</v>
      </c>
      <c r="C40" s="119"/>
      <c r="D40" s="127"/>
      <c r="E40" s="127"/>
      <c r="F40" s="119"/>
      <c r="G40" s="119"/>
      <c r="H40" s="119"/>
    </row>
    <row r="41" spans="1:12" x14ac:dyDescent="0.35">
      <c r="A41" s="118"/>
      <c r="B41" s="118"/>
      <c r="C41" s="118"/>
      <c r="D41" s="127"/>
      <c r="E41" s="127"/>
      <c r="F41" s="118"/>
      <c r="G41" s="118"/>
      <c r="H41" s="118"/>
    </row>
    <row r="42" spans="1:12" x14ac:dyDescent="0.35">
      <c r="A42" s="120" t="s">
        <v>983</v>
      </c>
      <c r="B42" s="118"/>
      <c r="C42" s="118"/>
      <c r="D42" s="127"/>
      <c r="E42" s="127"/>
      <c r="F42" s="118"/>
      <c r="G42" s="118"/>
      <c r="H42" s="118"/>
      <c r="I42" s="96"/>
      <c r="J42" s="96"/>
      <c r="K42" s="96"/>
      <c r="L42" s="96"/>
    </row>
    <row r="43" spans="1:12" x14ac:dyDescent="0.35">
      <c r="A43" s="118"/>
      <c r="B43" s="118"/>
      <c r="C43" s="118"/>
      <c r="D43" s="127"/>
      <c r="E43" s="127"/>
      <c r="F43" s="118"/>
      <c r="G43" s="118"/>
      <c r="H43" s="118"/>
    </row>
    <row r="44" spans="1:12" ht="29" x14ac:dyDescent="0.35">
      <c r="A44" s="116" t="s">
        <v>984</v>
      </c>
      <c r="B44" s="116" t="s">
        <v>985</v>
      </c>
      <c r="C44" s="116" t="s">
        <v>986</v>
      </c>
      <c r="D44" s="116" t="s">
        <v>987</v>
      </c>
      <c r="E44" s="116" t="s">
        <v>988</v>
      </c>
      <c r="F44" s="116" t="s">
        <v>989</v>
      </c>
      <c r="G44" s="116" t="s">
        <v>389</v>
      </c>
      <c r="H44" s="116" t="s">
        <v>870</v>
      </c>
      <c r="I44" s="100" t="s">
        <v>390</v>
      </c>
      <c r="J44" s="100" t="s">
        <v>990</v>
      </c>
      <c r="K44" s="100" t="s">
        <v>991</v>
      </c>
      <c r="L44" s="100" t="s">
        <v>992</v>
      </c>
    </row>
    <row r="45" spans="1:12" ht="29" x14ac:dyDescent="0.35">
      <c r="A45" s="121" t="s">
        <v>993</v>
      </c>
      <c r="B45" s="121" t="s">
        <v>994</v>
      </c>
      <c r="C45" s="121" t="s">
        <v>995</v>
      </c>
      <c r="D45" s="121"/>
      <c r="E45" s="121" t="s">
        <v>996</v>
      </c>
      <c r="F45" s="121"/>
      <c r="G45" s="121"/>
      <c r="H45" s="121"/>
      <c r="I45" s="21"/>
      <c r="J45" s="21"/>
      <c r="K45" s="21"/>
      <c r="L45" s="21"/>
    </row>
    <row r="46" spans="1:12" ht="29" x14ac:dyDescent="0.35">
      <c r="A46" s="21" t="s">
        <v>993</v>
      </c>
      <c r="B46" s="21" t="s">
        <v>997</v>
      </c>
      <c r="C46" s="21" t="s">
        <v>998</v>
      </c>
      <c r="D46" s="21"/>
      <c r="E46" s="21" t="s">
        <v>996</v>
      </c>
      <c r="F46" s="21"/>
      <c r="G46" s="21"/>
      <c r="H46" s="21"/>
      <c r="I46" s="21"/>
      <c r="J46" s="21"/>
      <c r="K46" s="21"/>
      <c r="L46" s="21"/>
    </row>
    <row r="47" spans="1:12" ht="29" x14ac:dyDescent="0.35">
      <c r="A47" s="21" t="s">
        <v>993</v>
      </c>
      <c r="B47" s="21" t="s">
        <v>999</v>
      </c>
      <c r="C47" s="21" t="s">
        <v>1000</v>
      </c>
      <c r="D47" s="21"/>
      <c r="E47" s="21" t="s">
        <v>996</v>
      </c>
      <c r="F47" s="21"/>
      <c r="G47" s="21"/>
      <c r="H47" s="21"/>
      <c r="I47" s="21"/>
      <c r="J47" s="21"/>
      <c r="K47" s="21"/>
      <c r="L47" s="21"/>
    </row>
    <row r="48" spans="1:12" ht="29" x14ac:dyDescent="0.35">
      <c r="A48" s="21" t="s">
        <v>993</v>
      </c>
      <c r="B48" s="21" t="s">
        <v>1001</v>
      </c>
      <c r="C48" s="21" t="s">
        <v>1002</v>
      </c>
      <c r="D48" s="21"/>
      <c r="E48" s="21" t="s">
        <v>996</v>
      </c>
      <c r="F48" s="21"/>
      <c r="G48" s="21"/>
      <c r="H48" s="21"/>
      <c r="I48" s="21"/>
      <c r="J48" s="21"/>
      <c r="K48" s="21"/>
      <c r="L48" s="21"/>
    </row>
    <row r="49" spans="1:12" ht="43.5" x14ac:dyDescent="0.35">
      <c r="A49" s="21" t="s">
        <v>993</v>
      </c>
      <c r="B49" s="21" t="s">
        <v>1003</v>
      </c>
      <c r="C49" s="21" t="s">
        <v>1004</v>
      </c>
      <c r="D49" s="21"/>
      <c r="E49" s="21" t="s">
        <v>996</v>
      </c>
      <c r="F49" s="21"/>
      <c r="G49" s="21"/>
      <c r="H49" s="21"/>
      <c r="I49" s="21"/>
      <c r="J49" s="21"/>
      <c r="K49" s="21"/>
      <c r="L49" s="21"/>
    </row>
    <row r="50" spans="1:12" ht="29" x14ac:dyDescent="0.35">
      <c r="A50" s="21" t="s">
        <v>993</v>
      </c>
      <c r="B50" s="21" t="s">
        <v>1005</v>
      </c>
      <c r="C50" s="21" t="s">
        <v>1006</v>
      </c>
      <c r="D50" s="21"/>
      <c r="E50" s="21" t="s">
        <v>996</v>
      </c>
      <c r="F50" s="21"/>
      <c r="G50" s="21"/>
      <c r="H50" s="21"/>
      <c r="I50" s="21"/>
      <c r="J50" s="21"/>
      <c r="K50" s="21"/>
      <c r="L50" s="21"/>
    </row>
    <row r="51" spans="1:12" ht="43.5" x14ac:dyDescent="0.35">
      <c r="A51" s="21" t="s">
        <v>1007</v>
      </c>
      <c r="B51" s="21" t="s">
        <v>1008</v>
      </c>
      <c r="C51" s="21" t="s">
        <v>1009</v>
      </c>
      <c r="D51" s="21"/>
      <c r="E51" s="21" t="s">
        <v>996</v>
      </c>
      <c r="F51" s="21"/>
      <c r="G51" s="21"/>
      <c r="H51" s="21"/>
      <c r="I51" s="21"/>
      <c r="J51" s="21"/>
      <c r="K51" s="21"/>
      <c r="L51" s="21"/>
    </row>
    <row r="52" spans="1:12" ht="29" x14ac:dyDescent="0.35">
      <c r="A52" s="21" t="s">
        <v>1007</v>
      </c>
      <c r="B52" s="21" t="s">
        <v>1010</v>
      </c>
      <c r="C52" s="21" t="s">
        <v>1011</v>
      </c>
      <c r="D52" s="21"/>
      <c r="E52" s="21" t="s">
        <v>996</v>
      </c>
      <c r="F52" s="21"/>
      <c r="G52" s="21"/>
      <c r="H52" s="21"/>
      <c r="I52" s="21"/>
      <c r="J52" s="21"/>
      <c r="K52" s="21"/>
      <c r="L52" s="21"/>
    </row>
    <row r="53" spans="1:12" ht="29" x14ac:dyDescent="0.35">
      <c r="A53" s="21" t="s">
        <v>1007</v>
      </c>
      <c r="B53" s="21" t="s">
        <v>1012</v>
      </c>
      <c r="C53" s="21" t="s">
        <v>1013</v>
      </c>
      <c r="D53" s="21"/>
      <c r="E53" s="21" t="s">
        <v>996</v>
      </c>
      <c r="F53" s="21"/>
      <c r="G53" s="21"/>
      <c r="H53" s="21"/>
      <c r="I53" s="21"/>
      <c r="J53" s="21"/>
      <c r="K53" s="21"/>
      <c r="L53" s="21"/>
    </row>
    <row r="54" spans="1:12" ht="29" x14ac:dyDescent="0.35">
      <c r="A54" s="21" t="s">
        <v>1007</v>
      </c>
      <c r="B54" s="21" t="s">
        <v>1014</v>
      </c>
      <c r="C54" s="21" t="s">
        <v>1015</v>
      </c>
      <c r="D54" s="21"/>
      <c r="E54" s="21" t="s">
        <v>996</v>
      </c>
      <c r="F54" s="21"/>
      <c r="G54" s="21"/>
      <c r="H54" s="21"/>
      <c r="I54" s="21"/>
      <c r="J54" s="21"/>
      <c r="K54" s="21"/>
      <c r="L54" s="21"/>
    </row>
    <row r="55" spans="1:12" ht="29" x14ac:dyDescent="0.35">
      <c r="A55" s="21" t="s">
        <v>1007</v>
      </c>
      <c r="B55" s="21" t="s">
        <v>1016</v>
      </c>
      <c r="C55" s="21" t="s">
        <v>1017</v>
      </c>
      <c r="D55" s="21"/>
      <c r="E55" s="21" t="s">
        <v>996</v>
      </c>
      <c r="F55" s="21"/>
      <c r="G55" s="21"/>
      <c r="H55" s="21"/>
      <c r="I55" s="21"/>
      <c r="J55" s="21"/>
      <c r="K55" s="21"/>
      <c r="L55" s="21"/>
    </row>
    <row r="56" spans="1:12" ht="29" x14ac:dyDescent="0.35">
      <c r="A56" s="21" t="s">
        <v>1007</v>
      </c>
      <c r="B56" s="21" t="s">
        <v>1018</v>
      </c>
      <c r="C56" s="21" t="s">
        <v>1019</v>
      </c>
      <c r="D56" s="21"/>
      <c r="E56" s="21" t="s">
        <v>996</v>
      </c>
      <c r="F56" s="21"/>
      <c r="G56" s="21"/>
      <c r="H56" s="21"/>
      <c r="I56" s="21"/>
      <c r="J56" s="21"/>
      <c r="K56" s="21"/>
      <c r="L56" s="21"/>
    </row>
    <row r="57" spans="1:12" ht="43.5" x14ac:dyDescent="0.35">
      <c r="A57" s="21" t="s">
        <v>1020</v>
      </c>
      <c r="B57" s="21" t="s">
        <v>1021</v>
      </c>
      <c r="C57" s="21" t="s">
        <v>1022</v>
      </c>
      <c r="D57" s="21"/>
      <c r="E57" s="21" t="s">
        <v>1023</v>
      </c>
      <c r="F57" s="21"/>
      <c r="G57" s="21"/>
      <c r="H57" s="21"/>
      <c r="I57" s="21"/>
      <c r="J57" s="21"/>
      <c r="K57" s="21"/>
      <c r="L57" s="21"/>
    </row>
    <row r="58" spans="1:12" ht="43.5" x14ac:dyDescent="0.35">
      <c r="A58" s="21" t="s">
        <v>1020</v>
      </c>
      <c r="B58" s="21" t="s">
        <v>1024</v>
      </c>
      <c r="C58" s="21" t="s">
        <v>1025</v>
      </c>
      <c r="D58" s="21"/>
      <c r="E58" s="21" t="s">
        <v>1023</v>
      </c>
      <c r="F58" s="21"/>
      <c r="G58" s="21"/>
      <c r="H58" s="21"/>
      <c r="I58" s="21"/>
      <c r="J58" s="21"/>
      <c r="K58" s="21"/>
      <c r="L58" s="21"/>
    </row>
    <row r="59" spans="1:12" ht="43.5" x14ac:dyDescent="0.35">
      <c r="A59" s="21" t="s">
        <v>1020</v>
      </c>
      <c r="B59" s="21" t="s">
        <v>1026</v>
      </c>
      <c r="C59" s="21" t="s">
        <v>1027</v>
      </c>
      <c r="D59" s="21"/>
      <c r="E59" s="21" t="s">
        <v>1023</v>
      </c>
      <c r="F59" s="21"/>
      <c r="G59" s="21"/>
      <c r="H59" s="21"/>
      <c r="I59" s="21"/>
      <c r="J59" s="21"/>
      <c r="K59" s="21"/>
      <c r="L59" s="21"/>
    </row>
    <row r="60" spans="1:12" ht="43.5" x14ac:dyDescent="0.35">
      <c r="A60" s="21" t="s">
        <v>1020</v>
      </c>
      <c r="B60" s="21" t="s">
        <v>1028</v>
      </c>
      <c r="C60" s="21" t="s">
        <v>1029</v>
      </c>
      <c r="D60" s="21"/>
      <c r="E60" s="21" t="s">
        <v>1023</v>
      </c>
      <c r="F60" s="21"/>
      <c r="G60" s="21"/>
      <c r="H60" s="21"/>
      <c r="I60" s="21"/>
      <c r="J60" s="21"/>
      <c r="K60" s="21"/>
      <c r="L60" s="21"/>
    </row>
    <row r="61" spans="1:12" ht="43.5" x14ac:dyDescent="0.35">
      <c r="A61" s="21" t="s">
        <v>1020</v>
      </c>
      <c r="B61" s="21" t="s">
        <v>1030</v>
      </c>
      <c r="C61" s="21" t="s">
        <v>1031</v>
      </c>
      <c r="D61" s="21"/>
      <c r="E61" s="21" t="s">
        <v>1023</v>
      </c>
      <c r="F61" s="21"/>
      <c r="G61" s="21"/>
      <c r="H61" s="21"/>
      <c r="I61" s="21"/>
      <c r="J61" s="21"/>
      <c r="K61" s="21"/>
      <c r="L61" s="21"/>
    </row>
    <row r="62" spans="1:12" ht="43.5" x14ac:dyDescent="0.35">
      <c r="A62" s="21" t="s">
        <v>1020</v>
      </c>
      <c r="B62" s="21" t="s">
        <v>1032</v>
      </c>
      <c r="C62" s="21" t="s">
        <v>1033</v>
      </c>
      <c r="D62" s="21"/>
      <c r="E62" s="21" t="s">
        <v>1023</v>
      </c>
      <c r="F62" s="21"/>
      <c r="G62" s="21"/>
      <c r="H62" s="21"/>
      <c r="I62" s="21"/>
      <c r="J62" s="21"/>
      <c r="K62" s="21"/>
      <c r="L62" s="21"/>
    </row>
    <row r="63" spans="1:12" ht="29" x14ac:dyDescent="0.35">
      <c r="A63" s="21" t="s">
        <v>428</v>
      </c>
      <c r="B63" s="21" t="s">
        <v>1034</v>
      </c>
      <c r="C63" s="21" t="s">
        <v>1035</v>
      </c>
      <c r="D63" s="21"/>
      <c r="E63" s="21" t="s">
        <v>996</v>
      </c>
      <c r="F63" s="21"/>
      <c r="G63" s="21"/>
      <c r="H63" s="21"/>
      <c r="I63" s="21"/>
      <c r="J63" s="21"/>
      <c r="K63" s="21"/>
      <c r="L63" s="21"/>
    </row>
    <row r="64" spans="1:12" ht="43.5" x14ac:dyDescent="0.35">
      <c r="A64" s="21" t="s">
        <v>428</v>
      </c>
      <c r="B64" s="21" t="s">
        <v>1036</v>
      </c>
      <c r="C64" s="21" t="s">
        <v>1037</v>
      </c>
      <c r="D64" s="21"/>
      <c r="E64" s="21" t="s">
        <v>996</v>
      </c>
      <c r="F64" s="21"/>
      <c r="G64" s="21"/>
      <c r="H64" s="21"/>
      <c r="I64" s="21"/>
      <c r="J64" s="21"/>
      <c r="K64" s="21"/>
      <c r="L64" s="21"/>
    </row>
    <row r="65" spans="1:12" ht="29" x14ac:dyDescent="0.35">
      <c r="A65" s="21" t="s">
        <v>428</v>
      </c>
      <c r="B65" s="21" t="s">
        <v>1038</v>
      </c>
      <c r="C65" s="21" t="s">
        <v>1039</v>
      </c>
      <c r="D65" s="21"/>
      <c r="E65" s="21" t="s">
        <v>996</v>
      </c>
      <c r="F65" s="21"/>
      <c r="G65" s="21"/>
      <c r="H65" s="21"/>
      <c r="I65" s="21"/>
      <c r="J65" s="21"/>
      <c r="K65" s="21"/>
      <c r="L65" s="21"/>
    </row>
    <row r="66" spans="1:12" ht="43.5" x14ac:dyDescent="0.35">
      <c r="A66" s="21" t="s">
        <v>428</v>
      </c>
      <c r="B66" s="21" t="s">
        <v>1040</v>
      </c>
      <c r="C66" s="21" t="s">
        <v>1041</v>
      </c>
      <c r="D66" s="21"/>
      <c r="E66" s="21" t="s">
        <v>996</v>
      </c>
      <c r="F66" s="21"/>
      <c r="G66" s="21"/>
      <c r="H66" s="21"/>
      <c r="I66" s="21"/>
      <c r="J66" s="21"/>
      <c r="K66" s="21"/>
      <c r="L66" s="21"/>
    </row>
    <row r="67" spans="1:12" ht="29" x14ac:dyDescent="0.35">
      <c r="A67" s="21" t="s">
        <v>428</v>
      </c>
      <c r="B67" s="21" t="s">
        <v>1042</v>
      </c>
      <c r="C67" s="21" t="s">
        <v>1043</v>
      </c>
      <c r="D67" s="21"/>
      <c r="E67" s="21" t="s">
        <v>996</v>
      </c>
      <c r="F67" s="21"/>
      <c r="G67" s="21"/>
      <c r="H67" s="21"/>
      <c r="I67" s="21"/>
      <c r="J67" s="21"/>
      <c r="K67" s="21"/>
      <c r="L67" s="21"/>
    </row>
    <row r="68" spans="1:12" ht="29" x14ac:dyDescent="0.35">
      <c r="A68" s="21" t="s">
        <v>428</v>
      </c>
      <c r="B68" s="21" t="s">
        <v>1044</v>
      </c>
      <c r="C68" s="21" t="s">
        <v>1045</v>
      </c>
      <c r="D68" s="21"/>
      <c r="E68" s="21" t="s">
        <v>996</v>
      </c>
      <c r="F68" s="21"/>
      <c r="G68" s="21"/>
      <c r="H68" s="21"/>
      <c r="I68" s="21"/>
      <c r="J68" s="21"/>
      <c r="K68" s="21"/>
      <c r="L68" s="21"/>
    </row>
    <row r="69" spans="1:12" ht="29" x14ac:dyDescent="0.35">
      <c r="A69" s="21" t="s">
        <v>1046</v>
      </c>
      <c r="B69" s="21" t="s">
        <v>1047</v>
      </c>
      <c r="C69" s="21" t="s">
        <v>1048</v>
      </c>
      <c r="D69" s="21"/>
      <c r="E69" s="21" t="s">
        <v>996</v>
      </c>
      <c r="F69" s="21"/>
      <c r="G69" s="21"/>
      <c r="H69" s="21"/>
      <c r="I69" s="21"/>
      <c r="J69" s="21"/>
      <c r="K69" s="21"/>
      <c r="L69" s="21"/>
    </row>
    <row r="70" spans="1:12" ht="29" x14ac:dyDescent="0.35">
      <c r="A70" s="21" t="s">
        <v>1046</v>
      </c>
      <c r="B70" s="21" t="s">
        <v>1049</v>
      </c>
      <c r="C70" s="21" t="s">
        <v>1050</v>
      </c>
      <c r="D70" s="21"/>
      <c r="E70" s="21" t="s">
        <v>996</v>
      </c>
      <c r="F70" s="21"/>
      <c r="G70" s="21"/>
      <c r="H70" s="21"/>
      <c r="I70" s="21"/>
      <c r="J70" s="21"/>
      <c r="K70" s="21"/>
      <c r="L70" s="21"/>
    </row>
    <row r="71" spans="1:12" ht="29" x14ac:dyDescent="0.35">
      <c r="A71" s="21" t="s">
        <v>1046</v>
      </c>
      <c r="B71" s="21" t="s">
        <v>1051</v>
      </c>
      <c r="C71" s="21" t="s">
        <v>1052</v>
      </c>
      <c r="D71" s="21"/>
      <c r="E71" s="21" t="s">
        <v>996</v>
      </c>
      <c r="F71" s="21"/>
      <c r="G71" s="21"/>
      <c r="H71" s="21"/>
      <c r="I71" s="21"/>
      <c r="J71" s="21"/>
      <c r="K71" s="21"/>
      <c r="L71" s="21"/>
    </row>
    <row r="72" spans="1:12" ht="29" x14ac:dyDescent="0.35">
      <c r="A72" s="21" t="s">
        <v>1046</v>
      </c>
      <c r="B72" s="21" t="s">
        <v>1053</v>
      </c>
      <c r="C72" s="21" t="s">
        <v>1054</v>
      </c>
      <c r="D72" s="21"/>
      <c r="E72" s="21" t="s">
        <v>996</v>
      </c>
      <c r="F72" s="21"/>
      <c r="G72" s="21"/>
      <c r="H72" s="21"/>
      <c r="I72" s="21"/>
      <c r="J72" s="21"/>
      <c r="K72" s="21"/>
      <c r="L72" s="21"/>
    </row>
    <row r="73" spans="1:12" ht="29" x14ac:dyDescent="0.35">
      <c r="A73" s="21" t="s">
        <v>1046</v>
      </c>
      <c r="B73" s="21" t="s">
        <v>1055</v>
      </c>
      <c r="C73" s="21" t="s">
        <v>1056</v>
      </c>
      <c r="D73" s="21"/>
      <c r="E73" s="21" t="s">
        <v>996</v>
      </c>
      <c r="F73" s="21"/>
      <c r="G73" s="21"/>
      <c r="H73" s="21"/>
      <c r="I73" s="21"/>
      <c r="J73" s="21"/>
      <c r="K73" s="21"/>
      <c r="L73" s="21"/>
    </row>
    <row r="74" spans="1:12" ht="29" x14ac:dyDescent="0.35">
      <c r="A74" s="21" t="s">
        <v>1046</v>
      </c>
      <c r="B74" s="21" t="s">
        <v>1057</v>
      </c>
      <c r="C74" s="21" t="s">
        <v>1058</v>
      </c>
      <c r="D74" s="21"/>
      <c r="E74" s="21" t="s">
        <v>996</v>
      </c>
      <c r="F74" s="21"/>
      <c r="G74" s="21"/>
      <c r="H74" s="21"/>
      <c r="I74" s="21"/>
      <c r="J74" s="21"/>
      <c r="K74" s="21"/>
      <c r="L74" s="21"/>
    </row>
    <row r="75" spans="1:12" ht="29" x14ac:dyDescent="0.35">
      <c r="A75" s="21" t="s">
        <v>1059</v>
      </c>
      <c r="B75" s="21" t="s">
        <v>1060</v>
      </c>
      <c r="C75" s="21" t="s">
        <v>1061</v>
      </c>
      <c r="D75" s="21"/>
      <c r="E75" s="21" t="s">
        <v>996</v>
      </c>
      <c r="F75" s="21"/>
      <c r="G75" s="21"/>
      <c r="H75" s="21"/>
      <c r="I75" s="21"/>
      <c r="J75" s="21"/>
      <c r="K75" s="21"/>
      <c r="L75" s="21"/>
    </row>
    <row r="76" spans="1:12" ht="43.5" x14ac:dyDescent="0.35">
      <c r="A76" s="21" t="s">
        <v>1059</v>
      </c>
      <c r="B76" s="21" t="s">
        <v>1062</v>
      </c>
      <c r="C76" s="21" t="s">
        <v>1063</v>
      </c>
      <c r="D76" s="21"/>
      <c r="E76" s="21" t="s">
        <v>996</v>
      </c>
      <c r="F76" s="21"/>
      <c r="G76" s="21"/>
      <c r="H76" s="21"/>
      <c r="I76" s="21"/>
      <c r="J76" s="21"/>
      <c r="K76" s="21"/>
      <c r="L76" s="21"/>
    </row>
    <row r="77" spans="1:12" ht="29" x14ac:dyDescent="0.35">
      <c r="A77" s="21" t="s">
        <v>1059</v>
      </c>
      <c r="B77" s="21" t="s">
        <v>1064</v>
      </c>
      <c r="C77" s="21" t="s">
        <v>1065</v>
      </c>
      <c r="D77" s="21"/>
      <c r="E77" s="21" t="s">
        <v>996</v>
      </c>
      <c r="F77" s="21"/>
      <c r="G77" s="21"/>
      <c r="H77" s="21"/>
      <c r="I77" s="21"/>
      <c r="J77" s="21"/>
      <c r="K77" s="21"/>
      <c r="L77" s="21"/>
    </row>
    <row r="78" spans="1:12" ht="29" x14ac:dyDescent="0.35">
      <c r="A78" s="21" t="s">
        <v>1059</v>
      </c>
      <c r="B78" s="21" t="s">
        <v>1066</v>
      </c>
      <c r="C78" s="21" t="s">
        <v>1067</v>
      </c>
      <c r="D78" s="21"/>
      <c r="E78" s="21" t="s">
        <v>996</v>
      </c>
      <c r="F78" s="21"/>
      <c r="G78" s="21"/>
      <c r="H78" s="21"/>
      <c r="I78" s="21"/>
      <c r="J78" s="21"/>
      <c r="K78" s="21"/>
      <c r="L78" s="21"/>
    </row>
    <row r="79" spans="1:12" ht="29" x14ac:dyDescent="0.35">
      <c r="A79" s="21" t="s">
        <v>1059</v>
      </c>
      <c r="B79" s="21" t="s">
        <v>1068</v>
      </c>
      <c r="C79" s="21" t="s">
        <v>1069</v>
      </c>
      <c r="D79" s="21"/>
      <c r="E79" s="21" t="s">
        <v>996</v>
      </c>
      <c r="F79" s="21"/>
      <c r="G79" s="21"/>
      <c r="H79" s="21"/>
      <c r="I79" s="21"/>
      <c r="J79" s="21"/>
      <c r="K79" s="21"/>
      <c r="L79" s="21"/>
    </row>
    <row r="80" spans="1:12" ht="29" x14ac:dyDescent="0.35">
      <c r="A80" s="21" t="s">
        <v>1059</v>
      </c>
      <c r="B80" s="21" t="s">
        <v>1070</v>
      </c>
      <c r="C80" s="21" t="s">
        <v>1071</v>
      </c>
      <c r="D80" s="21"/>
      <c r="E80" s="21" t="s">
        <v>996</v>
      </c>
      <c r="F80" s="21"/>
      <c r="G80" s="21"/>
      <c r="H80" s="21"/>
      <c r="I80" s="21"/>
      <c r="J80" s="21"/>
      <c r="K80" s="21"/>
      <c r="L80" s="21"/>
    </row>
    <row r="81" spans="1:12" ht="29" x14ac:dyDescent="0.35">
      <c r="A81" s="21" t="s">
        <v>1072</v>
      </c>
      <c r="B81" s="21" t="s">
        <v>1073</v>
      </c>
      <c r="C81" s="21" t="s">
        <v>1074</v>
      </c>
      <c r="D81" s="21"/>
      <c r="E81" s="21" t="s">
        <v>996</v>
      </c>
      <c r="F81" s="21"/>
      <c r="G81" s="21"/>
      <c r="H81" s="21"/>
      <c r="I81" s="21"/>
      <c r="J81" s="21"/>
      <c r="K81" s="21"/>
      <c r="L81" s="21"/>
    </row>
    <row r="82" spans="1:12" ht="29" x14ac:dyDescent="0.35">
      <c r="A82" s="21" t="s">
        <v>1072</v>
      </c>
      <c r="B82" s="21" t="s">
        <v>1075</v>
      </c>
      <c r="C82" s="21" t="s">
        <v>1076</v>
      </c>
      <c r="D82" s="21"/>
      <c r="E82" s="21" t="s">
        <v>996</v>
      </c>
      <c r="F82" s="21"/>
      <c r="G82" s="21"/>
      <c r="H82" s="21"/>
      <c r="I82" s="21"/>
      <c r="J82" s="21"/>
      <c r="K82" s="21"/>
      <c r="L82" s="21"/>
    </row>
    <row r="83" spans="1:12" ht="29" x14ac:dyDescent="0.35">
      <c r="A83" s="21" t="s">
        <v>1072</v>
      </c>
      <c r="B83" s="21" t="s">
        <v>1077</v>
      </c>
      <c r="C83" s="21" t="s">
        <v>1078</v>
      </c>
      <c r="D83" s="21"/>
      <c r="E83" s="21" t="s">
        <v>996</v>
      </c>
      <c r="F83" s="21"/>
      <c r="G83" s="21"/>
      <c r="H83" s="21"/>
      <c r="I83" s="21"/>
      <c r="J83" s="21"/>
      <c r="K83" s="21"/>
      <c r="L83" s="21"/>
    </row>
    <row r="84" spans="1:12" ht="29" x14ac:dyDescent="0.35">
      <c r="A84" s="21" t="s">
        <v>1072</v>
      </c>
      <c r="B84" s="21" t="s">
        <v>1079</v>
      </c>
      <c r="C84" s="21" t="s">
        <v>1080</v>
      </c>
      <c r="D84" s="21"/>
      <c r="E84" s="21" t="s">
        <v>996</v>
      </c>
      <c r="F84" s="21"/>
      <c r="G84" s="21"/>
      <c r="H84" s="21"/>
      <c r="I84" s="21"/>
      <c r="J84" s="21"/>
      <c r="K84" s="21"/>
      <c r="L84" s="21"/>
    </row>
    <row r="85" spans="1:12" ht="29" x14ac:dyDescent="0.35">
      <c r="A85" s="21" t="s">
        <v>1072</v>
      </c>
      <c r="B85" s="21" t="s">
        <v>1081</v>
      </c>
      <c r="C85" s="21" t="s">
        <v>1082</v>
      </c>
      <c r="D85" s="21"/>
      <c r="E85" s="21" t="s">
        <v>996</v>
      </c>
      <c r="F85" s="21"/>
      <c r="G85" s="21"/>
      <c r="H85" s="21"/>
      <c r="I85" s="21"/>
      <c r="J85" s="21"/>
      <c r="K85" s="21"/>
      <c r="L85" s="21"/>
    </row>
    <row r="86" spans="1:12" ht="29" x14ac:dyDescent="0.35">
      <c r="A86" s="21" t="s">
        <v>1072</v>
      </c>
      <c r="B86" s="21" t="s">
        <v>1083</v>
      </c>
      <c r="C86" s="21" t="s">
        <v>1084</v>
      </c>
      <c r="D86" s="21"/>
      <c r="E86" s="21" t="s">
        <v>996</v>
      </c>
      <c r="F86" s="21"/>
      <c r="G86" s="21"/>
      <c r="H86" s="21"/>
      <c r="I86" s="21"/>
      <c r="J86" s="21"/>
      <c r="K86" s="21"/>
      <c r="L86" s="21"/>
    </row>
    <row r="87" spans="1:12" ht="29" x14ac:dyDescent="0.35">
      <c r="A87" s="21" t="s">
        <v>1085</v>
      </c>
      <c r="B87" s="21" t="s">
        <v>1086</v>
      </c>
      <c r="C87" s="21" t="s">
        <v>1087</v>
      </c>
      <c r="D87" s="21"/>
      <c r="E87" s="21" t="s">
        <v>996</v>
      </c>
      <c r="F87" s="21"/>
      <c r="G87" s="21"/>
      <c r="H87" s="21"/>
      <c r="I87" s="21"/>
      <c r="J87" s="21"/>
      <c r="K87" s="21"/>
      <c r="L87" s="21"/>
    </row>
    <row r="88" spans="1:12" ht="29" x14ac:dyDescent="0.35">
      <c r="A88" s="21" t="s">
        <v>1085</v>
      </c>
      <c r="B88" s="21" t="s">
        <v>1088</v>
      </c>
      <c r="C88" s="21" t="s">
        <v>1089</v>
      </c>
      <c r="D88" s="21"/>
      <c r="E88" s="21" t="s">
        <v>996</v>
      </c>
      <c r="F88" s="21"/>
      <c r="G88" s="21"/>
      <c r="H88" s="21"/>
      <c r="I88" s="21"/>
      <c r="J88" s="21"/>
      <c r="K88" s="21"/>
      <c r="L88" s="21"/>
    </row>
    <row r="89" spans="1:12" ht="29" x14ac:dyDescent="0.35">
      <c r="A89" s="21" t="s">
        <v>1085</v>
      </c>
      <c r="B89" s="21" t="s">
        <v>1090</v>
      </c>
      <c r="C89" s="21" t="s">
        <v>1091</v>
      </c>
      <c r="D89" s="21"/>
      <c r="E89" s="21" t="s">
        <v>996</v>
      </c>
      <c r="F89" s="21"/>
      <c r="G89" s="21"/>
      <c r="H89" s="21"/>
      <c r="I89" s="21"/>
      <c r="J89" s="21"/>
      <c r="K89" s="21"/>
      <c r="L89" s="21"/>
    </row>
    <row r="90" spans="1:12" ht="29" x14ac:dyDescent="0.35">
      <c r="A90" s="21" t="s">
        <v>1085</v>
      </c>
      <c r="B90" s="21" t="s">
        <v>1092</v>
      </c>
      <c r="C90" s="21" t="s">
        <v>1093</v>
      </c>
      <c r="D90" s="21"/>
      <c r="E90" s="21" t="s">
        <v>996</v>
      </c>
      <c r="F90" s="21"/>
      <c r="G90" s="21"/>
      <c r="H90" s="21"/>
      <c r="I90" s="21"/>
      <c r="J90" s="21"/>
      <c r="K90" s="21"/>
      <c r="L90" s="21"/>
    </row>
    <row r="91" spans="1:12" ht="29" x14ac:dyDescent="0.35">
      <c r="A91" s="21" t="s">
        <v>1085</v>
      </c>
      <c r="B91" s="21" t="s">
        <v>1094</v>
      </c>
      <c r="C91" s="21" t="s">
        <v>1095</v>
      </c>
      <c r="D91" s="21"/>
      <c r="E91" s="21" t="s">
        <v>996</v>
      </c>
      <c r="F91" s="21"/>
      <c r="G91" s="21"/>
      <c r="H91" s="21"/>
      <c r="I91" s="21"/>
      <c r="J91" s="21"/>
      <c r="K91" s="21"/>
      <c r="L91" s="21"/>
    </row>
    <row r="92" spans="1:12" ht="29" x14ac:dyDescent="0.35">
      <c r="A92" s="21" t="s">
        <v>1085</v>
      </c>
      <c r="B92" s="21" t="s">
        <v>1096</v>
      </c>
      <c r="C92" s="21" t="s">
        <v>1097</v>
      </c>
      <c r="D92" s="21"/>
      <c r="E92" s="21" t="s">
        <v>996</v>
      </c>
      <c r="F92" s="21"/>
      <c r="G92" s="21"/>
      <c r="H92" s="21"/>
      <c r="I92" s="21"/>
      <c r="J92" s="21"/>
      <c r="K92" s="21"/>
      <c r="L92" s="21"/>
    </row>
    <row r="93" spans="1:12" ht="29" x14ac:dyDescent="0.35">
      <c r="A93" s="21" t="s">
        <v>1098</v>
      </c>
      <c r="B93" s="21" t="s">
        <v>1099</v>
      </c>
      <c r="C93" s="21" t="s">
        <v>1100</v>
      </c>
      <c r="D93" s="21"/>
      <c r="E93" s="21" t="s">
        <v>996</v>
      </c>
      <c r="F93" s="21"/>
      <c r="G93" s="21"/>
      <c r="H93" s="21"/>
      <c r="I93" s="21"/>
      <c r="J93" s="21"/>
      <c r="K93" s="21"/>
      <c r="L93" s="21"/>
    </row>
    <row r="94" spans="1:12" ht="29" x14ac:dyDescent="0.35">
      <c r="A94" s="21" t="s">
        <v>1098</v>
      </c>
      <c r="B94" s="21" t="s">
        <v>1101</v>
      </c>
      <c r="C94" s="21" t="s">
        <v>1102</v>
      </c>
      <c r="D94" s="21"/>
      <c r="E94" s="21" t="s">
        <v>996</v>
      </c>
      <c r="F94" s="21"/>
      <c r="G94" s="21"/>
      <c r="H94" s="21"/>
      <c r="I94" s="21"/>
      <c r="J94" s="21"/>
      <c r="K94" s="21"/>
      <c r="L94" s="21"/>
    </row>
    <row r="95" spans="1:12" ht="29" x14ac:dyDescent="0.35">
      <c r="A95" s="21" t="s">
        <v>1098</v>
      </c>
      <c r="B95" s="21" t="s">
        <v>1103</v>
      </c>
      <c r="C95" s="21" t="s">
        <v>1104</v>
      </c>
      <c r="D95" s="21"/>
      <c r="E95" s="21" t="s">
        <v>996</v>
      </c>
      <c r="F95" s="21"/>
      <c r="G95" s="21"/>
      <c r="H95" s="21"/>
      <c r="I95" s="21"/>
      <c r="J95" s="21"/>
      <c r="K95" s="21"/>
      <c r="L95" s="21"/>
    </row>
    <row r="96" spans="1:12" ht="29" x14ac:dyDescent="0.35">
      <c r="A96" s="21" t="s">
        <v>1098</v>
      </c>
      <c r="B96" s="21" t="s">
        <v>1105</v>
      </c>
      <c r="C96" s="21" t="s">
        <v>1106</v>
      </c>
      <c r="D96" s="21"/>
      <c r="E96" s="21" t="s">
        <v>996</v>
      </c>
      <c r="F96" s="21"/>
      <c r="G96" s="21"/>
      <c r="H96" s="21"/>
      <c r="I96" s="21"/>
      <c r="J96" s="21"/>
      <c r="K96" s="21"/>
      <c r="L96" s="21"/>
    </row>
    <row r="97" spans="1:12" ht="29" x14ac:dyDescent="0.35">
      <c r="A97" s="21" t="s">
        <v>1098</v>
      </c>
      <c r="B97" s="21" t="s">
        <v>1107</v>
      </c>
      <c r="C97" s="21" t="s">
        <v>1108</v>
      </c>
      <c r="D97" s="21"/>
      <c r="E97" s="21" t="s">
        <v>996</v>
      </c>
      <c r="F97" s="21"/>
      <c r="G97" s="21"/>
      <c r="H97" s="21"/>
      <c r="I97" s="21"/>
      <c r="J97" s="21"/>
      <c r="K97" s="21"/>
      <c r="L97" s="21"/>
    </row>
    <row r="98" spans="1:12" ht="29" x14ac:dyDescent="0.35">
      <c r="A98" s="21" t="s">
        <v>1098</v>
      </c>
      <c r="B98" s="21" t="s">
        <v>1109</v>
      </c>
      <c r="C98" s="21" t="s">
        <v>1110</v>
      </c>
      <c r="D98" s="21"/>
      <c r="E98" s="21" t="s">
        <v>996</v>
      </c>
      <c r="F98" s="21"/>
      <c r="G98" s="21"/>
      <c r="H98" s="21"/>
      <c r="I98" s="21"/>
      <c r="J98" s="21"/>
      <c r="K98" s="21"/>
      <c r="L98" s="21"/>
    </row>
    <row r="99" spans="1:12" ht="29" x14ac:dyDescent="0.35">
      <c r="A99" s="21" t="s">
        <v>1111</v>
      </c>
      <c r="B99" s="21" t="s">
        <v>1112</v>
      </c>
      <c r="C99" s="21" t="s">
        <v>1113</v>
      </c>
      <c r="D99" s="21"/>
      <c r="E99" s="21" t="s">
        <v>1114</v>
      </c>
      <c r="F99" s="21"/>
      <c r="G99" s="21"/>
      <c r="H99" s="21"/>
      <c r="I99" s="21"/>
      <c r="J99" s="21"/>
      <c r="K99" s="21"/>
      <c r="L99" s="21"/>
    </row>
    <row r="100" spans="1:12" ht="29" x14ac:dyDescent="0.35">
      <c r="A100" s="21" t="s">
        <v>1111</v>
      </c>
      <c r="B100" s="21" t="s">
        <v>1115</v>
      </c>
      <c r="C100" s="21" t="s">
        <v>1116</v>
      </c>
      <c r="D100" s="21"/>
      <c r="E100" s="21" t="s">
        <v>1114</v>
      </c>
      <c r="F100" s="21"/>
      <c r="G100" s="21"/>
      <c r="H100" s="21"/>
      <c r="I100" s="21"/>
      <c r="J100" s="21"/>
      <c r="K100" s="21"/>
      <c r="L100" s="21"/>
    </row>
    <row r="101" spans="1:12" ht="29" x14ac:dyDescent="0.35">
      <c r="A101" s="21" t="s">
        <v>1111</v>
      </c>
      <c r="B101" s="21" t="s">
        <v>1117</v>
      </c>
      <c r="C101" s="21" t="s">
        <v>1118</v>
      </c>
      <c r="D101" s="21"/>
      <c r="E101" s="21" t="s">
        <v>1114</v>
      </c>
      <c r="F101" s="21"/>
      <c r="G101" s="21"/>
      <c r="H101" s="21"/>
      <c r="I101" s="21"/>
      <c r="J101" s="21"/>
      <c r="K101" s="21"/>
      <c r="L101" s="21"/>
    </row>
    <row r="102" spans="1:12" ht="29" x14ac:dyDescent="0.35">
      <c r="A102" s="21" t="s">
        <v>1111</v>
      </c>
      <c r="B102" s="21" t="s">
        <v>1119</v>
      </c>
      <c r="C102" s="21" t="s">
        <v>1120</v>
      </c>
      <c r="D102" s="21"/>
      <c r="E102" s="21" t="s">
        <v>1114</v>
      </c>
      <c r="F102" s="21"/>
      <c r="G102" s="21"/>
      <c r="H102" s="21"/>
      <c r="I102" s="21"/>
      <c r="J102" s="21"/>
      <c r="K102" s="21"/>
      <c r="L102" s="21"/>
    </row>
    <row r="103" spans="1:12" ht="29" x14ac:dyDescent="0.35">
      <c r="A103" s="21" t="s">
        <v>1111</v>
      </c>
      <c r="B103" s="21" t="s">
        <v>1121</v>
      </c>
      <c r="C103" s="21" t="s">
        <v>1122</v>
      </c>
      <c r="D103" s="21"/>
      <c r="E103" s="21" t="s">
        <v>1114</v>
      </c>
      <c r="F103" s="21"/>
      <c r="G103" s="21"/>
      <c r="H103" s="21"/>
      <c r="I103" s="21"/>
      <c r="J103" s="21"/>
      <c r="K103" s="21"/>
      <c r="L103" s="21"/>
    </row>
    <row r="104" spans="1:12" ht="29" x14ac:dyDescent="0.35">
      <c r="A104" s="21" t="s">
        <v>1111</v>
      </c>
      <c r="B104" s="21" t="s">
        <v>1123</v>
      </c>
      <c r="C104" s="21" t="s">
        <v>1124</v>
      </c>
      <c r="D104" s="21"/>
      <c r="E104" s="21" t="s">
        <v>1114</v>
      </c>
      <c r="F104" s="21"/>
      <c r="G104" s="21"/>
      <c r="H104" s="21"/>
      <c r="I104" s="21"/>
      <c r="J104" s="21"/>
      <c r="K104" s="21"/>
      <c r="L104" s="21"/>
    </row>
    <row r="105" spans="1:12" ht="29" x14ac:dyDescent="0.35">
      <c r="A105" s="21" t="s">
        <v>1125</v>
      </c>
      <c r="B105" s="21" t="s">
        <v>1126</v>
      </c>
      <c r="C105" s="21" t="s">
        <v>1127</v>
      </c>
      <c r="D105" s="21"/>
      <c r="E105" s="21" t="s">
        <v>1114</v>
      </c>
      <c r="F105" s="21"/>
      <c r="G105" s="21"/>
      <c r="H105" s="21"/>
      <c r="I105" s="21"/>
      <c r="J105" s="21"/>
      <c r="K105" s="21"/>
      <c r="L105" s="21"/>
    </row>
    <row r="106" spans="1:12" ht="29" x14ac:dyDescent="0.35">
      <c r="A106" s="21" t="s">
        <v>1125</v>
      </c>
      <c r="B106" s="21" t="s">
        <v>1128</v>
      </c>
      <c r="C106" s="21" t="s">
        <v>1129</v>
      </c>
      <c r="D106" s="21"/>
      <c r="E106" s="21" t="s">
        <v>1114</v>
      </c>
      <c r="F106" s="21"/>
      <c r="G106" s="21"/>
      <c r="H106" s="21"/>
      <c r="I106" s="21"/>
      <c r="J106" s="21"/>
      <c r="K106" s="21"/>
      <c r="L106" s="21"/>
    </row>
    <row r="107" spans="1:12" ht="43.5" x14ac:dyDescent="0.35">
      <c r="A107" s="21" t="s">
        <v>1125</v>
      </c>
      <c r="B107" s="21" t="s">
        <v>1130</v>
      </c>
      <c r="C107" s="21" t="s">
        <v>1131</v>
      </c>
      <c r="D107" s="21"/>
      <c r="E107" s="21" t="s">
        <v>1114</v>
      </c>
      <c r="F107" s="21"/>
      <c r="G107" s="21"/>
      <c r="H107" s="21"/>
      <c r="I107" s="21"/>
      <c r="J107" s="21"/>
      <c r="K107" s="21"/>
      <c r="L107" s="21"/>
    </row>
    <row r="108" spans="1:12" ht="29" x14ac:dyDescent="0.35">
      <c r="A108" s="21" t="s">
        <v>1125</v>
      </c>
      <c r="B108" s="21" t="s">
        <v>1132</v>
      </c>
      <c r="C108" s="21" t="s">
        <v>1133</v>
      </c>
      <c r="D108" s="21"/>
      <c r="E108" s="21" t="s">
        <v>1114</v>
      </c>
      <c r="F108" s="21"/>
      <c r="G108" s="21"/>
      <c r="H108" s="21"/>
      <c r="I108" s="21"/>
      <c r="J108" s="21"/>
      <c r="K108" s="21"/>
      <c r="L108" s="21"/>
    </row>
    <row r="109" spans="1:12" ht="29" x14ac:dyDescent="0.35">
      <c r="A109" s="21" t="s">
        <v>1125</v>
      </c>
      <c r="B109" s="21" t="s">
        <v>1134</v>
      </c>
      <c r="C109" s="21" t="s">
        <v>1135</v>
      </c>
      <c r="D109" s="21"/>
      <c r="E109" s="21" t="s">
        <v>1114</v>
      </c>
      <c r="F109" s="21"/>
      <c r="G109" s="21"/>
      <c r="H109" s="21"/>
      <c r="I109" s="21"/>
      <c r="J109" s="21"/>
      <c r="K109" s="21"/>
      <c r="L109" s="21"/>
    </row>
    <row r="110" spans="1:12" ht="29" x14ac:dyDescent="0.35">
      <c r="A110" s="21" t="s">
        <v>1125</v>
      </c>
      <c r="B110" s="21" t="s">
        <v>1136</v>
      </c>
      <c r="C110" s="21" t="s">
        <v>1137</v>
      </c>
      <c r="D110" s="21"/>
      <c r="E110" s="21" t="s">
        <v>1114</v>
      </c>
      <c r="F110" s="21"/>
      <c r="G110" s="21"/>
      <c r="H110" s="21"/>
      <c r="I110" s="21"/>
      <c r="J110" s="21"/>
      <c r="K110" s="21"/>
      <c r="L110" s="21"/>
    </row>
    <row r="111" spans="1:12" ht="29" x14ac:dyDescent="0.35">
      <c r="A111" s="21" t="s">
        <v>1138</v>
      </c>
      <c r="B111" s="21" t="s">
        <v>1139</v>
      </c>
      <c r="C111" s="21" t="s">
        <v>1140</v>
      </c>
      <c r="D111" s="21"/>
      <c r="E111" s="21" t="s">
        <v>996</v>
      </c>
      <c r="F111" s="21"/>
      <c r="G111" s="21"/>
      <c r="H111" s="21"/>
      <c r="I111" s="21"/>
      <c r="J111" s="21"/>
      <c r="K111" s="21"/>
      <c r="L111" s="21"/>
    </row>
    <row r="112" spans="1:12" ht="29" x14ac:dyDescent="0.35">
      <c r="A112" s="21" t="s">
        <v>1138</v>
      </c>
      <c r="B112" s="21" t="s">
        <v>1141</v>
      </c>
      <c r="C112" s="21" t="s">
        <v>1142</v>
      </c>
      <c r="D112" s="21"/>
      <c r="E112" s="21" t="s">
        <v>996</v>
      </c>
      <c r="F112" s="21"/>
      <c r="G112" s="21"/>
      <c r="H112" s="21"/>
      <c r="I112" s="21"/>
      <c r="J112" s="21"/>
      <c r="K112" s="21"/>
      <c r="L112" s="21"/>
    </row>
    <row r="113" spans="1:12" ht="29" x14ac:dyDescent="0.35">
      <c r="A113" s="21" t="s">
        <v>1138</v>
      </c>
      <c r="B113" s="21" t="s">
        <v>1143</v>
      </c>
      <c r="C113" s="21" t="s">
        <v>1144</v>
      </c>
      <c r="D113" s="21"/>
      <c r="E113" s="21" t="s">
        <v>996</v>
      </c>
      <c r="F113" s="21"/>
      <c r="G113" s="21"/>
      <c r="H113" s="21"/>
      <c r="I113" s="21"/>
      <c r="J113" s="21"/>
      <c r="K113" s="21"/>
      <c r="L113" s="21"/>
    </row>
    <row r="114" spans="1:12" ht="29" x14ac:dyDescent="0.35">
      <c r="A114" s="21" t="s">
        <v>1138</v>
      </c>
      <c r="B114" s="21" t="s">
        <v>1145</v>
      </c>
      <c r="C114" s="21" t="s">
        <v>1146</v>
      </c>
      <c r="D114" s="21"/>
      <c r="E114" s="21" t="s">
        <v>996</v>
      </c>
      <c r="F114" s="21"/>
      <c r="G114" s="21"/>
      <c r="H114" s="21"/>
      <c r="I114" s="21"/>
      <c r="J114" s="21"/>
      <c r="K114" s="21"/>
      <c r="L114" s="21"/>
    </row>
    <row r="115" spans="1:12" ht="29" x14ac:dyDescent="0.35">
      <c r="A115" s="21" t="s">
        <v>1138</v>
      </c>
      <c r="B115" s="21" t="s">
        <v>1147</v>
      </c>
      <c r="C115" s="21" t="s">
        <v>1148</v>
      </c>
      <c r="D115" s="21"/>
      <c r="E115" s="21" t="s">
        <v>996</v>
      </c>
      <c r="F115" s="21"/>
      <c r="G115" s="21"/>
      <c r="H115" s="21"/>
      <c r="I115" s="21"/>
      <c r="J115" s="21"/>
      <c r="K115" s="21"/>
      <c r="L115" s="21"/>
    </row>
    <row r="116" spans="1:12" ht="29" x14ac:dyDescent="0.35">
      <c r="A116" s="21" t="s">
        <v>1138</v>
      </c>
      <c r="B116" s="21" t="s">
        <v>1149</v>
      </c>
      <c r="C116" s="21" t="s">
        <v>1150</v>
      </c>
      <c r="D116" s="21"/>
      <c r="E116" s="21" t="s">
        <v>996</v>
      </c>
      <c r="F116" s="21"/>
      <c r="G116" s="21"/>
      <c r="H116" s="21"/>
      <c r="I116" s="21"/>
      <c r="J116" s="21"/>
      <c r="K116" s="21"/>
      <c r="L116" s="21"/>
    </row>
    <row r="117" spans="1:12" ht="29" x14ac:dyDescent="0.35">
      <c r="A117" s="21" t="s">
        <v>1151</v>
      </c>
      <c r="B117" s="21" t="s">
        <v>1152</v>
      </c>
      <c r="C117" s="21" t="s">
        <v>1153</v>
      </c>
      <c r="D117" s="21"/>
      <c r="E117" s="21" t="s">
        <v>996</v>
      </c>
      <c r="F117" s="21"/>
      <c r="G117" s="21"/>
      <c r="H117" s="21"/>
      <c r="I117" s="21"/>
      <c r="J117" s="21"/>
      <c r="K117" s="21"/>
      <c r="L117" s="21"/>
    </row>
    <row r="118" spans="1:12" ht="29" x14ac:dyDescent="0.35">
      <c r="A118" s="21" t="s">
        <v>1151</v>
      </c>
      <c r="B118" s="21" t="s">
        <v>1154</v>
      </c>
      <c r="C118" s="21" t="s">
        <v>1155</v>
      </c>
      <c r="D118" s="21"/>
      <c r="E118" s="21" t="s">
        <v>996</v>
      </c>
      <c r="F118" s="21"/>
      <c r="G118" s="21"/>
      <c r="H118" s="21"/>
      <c r="I118" s="21"/>
      <c r="J118" s="21"/>
      <c r="K118" s="21"/>
      <c r="L118" s="21"/>
    </row>
    <row r="119" spans="1:12" ht="29" x14ac:dyDescent="0.35">
      <c r="A119" s="21" t="s">
        <v>1151</v>
      </c>
      <c r="B119" s="21" t="s">
        <v>1156</v>
      </c>
      <c r="C119" s="21" t="s">
        <v>1157</v>
      </c>
      <c r="D119" s="21"/>
      <c r="E119" s="21" t="s">
        <v>996</v>
      </c>
      <c r="F119" s="21"/>
      <c r="G119" s="21"/>
      <c r="H119" s="21"/>
      <c r="I119" s="21"/>
      <c r="J119" s="21"/>
      <c r="K119" s="21"/>
      <c r="L119" s="21"/>
    </row>
    <row r="120" spans="1:12" ht="29" x14ac:dyDescent="0.35">
      <c r="A120" s="21" t="s">
        <v>1151</v>
      </c>
      <c r="B120" s="21" t="s">
        <v>1158</v>
      </c>
      <c r="C120" s="21" t="s">
        <v>1159</v>
      </c>
      <c r="D120" s="21"/>
      <c r="E120" s="21" t="s">
        <v>996</v>
      </c>
      <c r="F120" s="21"/>
      <c r="G120" s="21"/>
      <c r="H120" s="21"/>
      <c r="I120" s="21"/>
      <c r="J120" s="21"/>
      <c r="K120" s="21"/>
      <c r="L120" s="21"/>
    </row>
    <row r="121" spans="1:12" ht="29" x14ac:dyDescent="0.35">
      <c r="A121" s="21" t="s">
        <v>1151</v>
      </c>
      <c r="B121" s="21" t="s">
        <v>1160</v>
      </c>
      <c r="C121" s="21" t="s">
        <v>1161</v>
      </c>
      <c r="D121" s="21"/>
      <c r="E121" s="21" t="s">
        <v>996</v>
      </c>
      <c r="F121" s="21"/>
      <c r="G121" s="21"/>
      <c r="H121" s="21"/>
      <c r="I121" s="21"/>
      <c r="J121" s="21"/>
      <c r="K121" s="21"/>
      <c r="L121" s="21"/>
    </row>
    <row r="122" spans="1:12" ht="29" x14ac:dyDescent="0.35">
      <c r="A122" s="21" t="s">
        <v>1151</v>
      </c>
      <c r="B122" s="21" t="s">
        <v>1162</v>
      </c>
      <c r="C122" s="21" t="s">
        <v>1163</v>
      </c>
      <c r="D122" s="21"/>
      <c r="E122" s="21" t="s">
        <v>996</v>
      </c>
      <c r="F122" s="21"/>
      <c r="G122" s="21"/>
      <c r="H122" s="21"/>
      <c r="I122" s="21"/>
      <c r="J122" s="21"/>
      <c r="K122" s="21"/>
      <c r="L122" s="21"/>
    </row>
    <row r="123" spans="1:12" ht="29" x14ac:dyDescent="0.35">
      <c r="A123" s="21" t="s">
        <v>432</v>
      </c>
      <c r="B123" s="21" t="s">
        <v>1164</v>
      </c>
      <c r="C123" s="21" t="s">
        <v>1165</v>
      </c>
      <c r="D123" s="21"/>
      <c r="E123" s="21" t="s">
        <v>1114</v>
      </c>
      <c r="F123" s="21"/>
      <c r="G123" s="21"/>
      <c r="H123" s="21"/>
      <c r="I123" s="21"/>
      <c r="J123" s="21"/>
      <c r="K123" s="21"/>
      <c r="L123" s="21"/>
    </row>
    <row r="124" spans="1:12" ht="29" x14ac:dyDescent="0.35">
      <c r="A124" s="21" t="s">
        <v>432</v>
      </c>
      <c r="B124" s="21" t="s">
        <v>1166</v>
      </c>
      <c r="C124" s="21" t="s">
        <v>1167</v>
      </c>
      <c r="D124" s="21"/>
      <c r="E124" s="21" t="s">
        <v>1114</v>
      </c>
      <c r="F124" s="21"/>
      <c r="G124" s="21"/>
      <c r="H124" s="21"/>
      <c r="I124" s="21"/>
      <c r="J124" s="21"/>
      <c r="K124" s="21"/>
      <c r="L124" s="21"/>
    </row>
    <row r="125" spans="1:12" ht="29" x14ac:dyDescent="0.35">
      <c r="A125" s="21" t="s">
        <v>432</v>
      </c>
      <c r="B125" s="21" t="s">
        <v>1168</v>
      </c>
      <c r="C125" s="21" t="s">
        <v>1169</v>
      </c>
      <c r="D125" s="21"/>
      <c r="E125" s="21" t="s">
        <v>1114</v>
      </c>
      <c r="F125" s="21"/>
      <c r="G125" s="21"/>
      <c r="H125" s="21"/>
      <c r="I125" s="21"/>
      <c r="J125" s="21"/>
      <c r="K125" s="21"/>
      <c r="L125" s="21"/>
    </row>
    <row r="126" spans="1:12" ht="29" x14ac:dyDescent="0.35">
      <c r="A126" s="21" t="s">
        <v>432</v>
      </c>
      <c r="B126" s="21" t="s">
        <v>1170</v>
      </c>
      <c r="C126" s="21" t="s">
        <v>1171</v>
      </c>
      <c r="D126" s="21"/>
      <c r="E126" s="21" t="s">
        <v>1114</v>
      </c>
      <c r="F126" s="21"/>
      <c r="G126" s="21"/>
      <c r="H126" s="21"/>
      <c r="I126" s="21"/>
      <c r="J126" s="21"/>
      <c r="K126" s="21"/>
      <c r="L126" s="21"/>
    </row>
    <row r="127" spans="1:12" ht="29" x14ac:dyDescent="0.35">
      <c r="A127" s="21" t="s">
        <v>432</v>
      </c>
      <c r="B127" s="21" t="s">
        <v>1172</v>
      </c>
      <c r="C127" s="21" t="s">
        <v>1173</v>
      </c>
      <c r="D127" s="21"/>
      <c r="E127" s="21" t="s">
        <v>1114</v>
      </c>
      <c r="F127" s="21"/>
      <c r="G127" s="21"/>
      <c r="H127" s="21"/>
      <c r="I127" s="21"/>
      <c r="J127" s="21"/>
      <c r="K127" s="21"/>
      <c r="L127" s="21"/>
    </row>
    <row r="128" spans="1:12" ht="29" x14ac:dyDescent="0.35">
      <c r="A128" s="21" t="s">
        <v>432</v>
      </c>
      <c r="B128" s="21" t="s">
        <v>1174</v>
      </c>
      <c r="C128" s="21" t="s">
        <v>1175</v>
      </c>
      <c r="D128" s="21"/>
      <c r="E128" s="21" t="s">
        <v>1114</v>
      </c>
      <c r="F128" s="21"/>
      <c r="G128" s="21"/>
      <c r="H128" s="21"/>
      <c r="I128" s="21"/>
      <c r="J128" s="21"/>
      <c r="K128" s="21"/>
      <c r="L128" s="21"/>
    </row>
    <row r="129" spans="1:12" ht="29" x14ac:dyDescent="0.35">
      <c r="A129" s="21" t="s">
        <v>1176</v>
      </c>
      <c r="B129" s="21" t="s">
        <v>1177</v>
      </c>
      <c r="C129" s="21" t="s">
        <v>1178</v>
      </c>
      <c r="D129" s="21"/>
      <c r="E129" s="21" t="s">
        <v>996</v>
      </c>
      <c r="F129" s="21"/>
      <c r="G129" s="21"/>
      <c r="H129" s="21"/>
      <c r="I129" s="21"/>
      <c r="J129" s="21"/>
      <c r="K129" s="21"/>
      <c r="L129" s="21"/>
    </row>
    <row r="130" spans="1:12" ht="29" x14ac:dyDescent="0.35">
      <c r="A130" s="21" t="s">
        <v>1176</v>
      </c>
      <c r="B130" s="21" t="s">
        <v>1179</v>
      </c>
      <c r="C130" s="21" t="s">
        <v>1180</v>
      </c>
      <c r="D130" s="21"/>
      <c r="E130" s="21" t="s">
        <v>996</v>
      </c>
      <c r="F130" s="21"/>
      <c r="G130" s="21"/>
      <c r="H130" s="21"/>
      <c r="I130" s="21"/>
      <c r="J130" s="21"/>
      <c r="K130" s="21"/>
      <c r="L130" s="21"/>
    </row>
    <row r="131" spans="1:12" ht="29" x14ac:dyDescent="0.35">
      <c r="A131" s="21" t="s">
        <v>1176</v>
      </c>
      <c r="B131" s="21" t="s">
        <v>1181</v>
      </c>
      <c r="C131" s="21" t="s">
        <v>1182</v>
      </c>
      <c r="D131" s="21"/>
      <c r="E131" s="21" t="s">
        <v>996</v>
      </c>
      <c r="F131" s="21"/>
      <c r="G131" s="21"/>
      <c r="H131" s="21"/>
      <c r="I131" s="21"/>
      <c r="J131" s="21"/>
      <c r="K131" s="21"/>
      <c r="L131" s="21"/>
    </row>
    <row r="132" spans="1:12" ht="29" x14ac:dyDescent="0.35">
      <c r="A132" s="21" t="s">
        <v>1176</v>
      </c>
      <c r="B132" s="21" t="s">
        <v>1183</v>
      </c>
      <c r="C132" s="21" t="s">
        <v>1184</v>
      </c>
      <c r="D132" s="21"/>
      <c r="E132" s="21" t="s">
        <v>996</v>
      </c>
      <c r="F132" s="21"/>
      <c r="G132" s="21"/>
      <c r="H132" s="21"/>
      <c r="I132" s="21"/>
      <c r="J132" s="21"/>
      <c r="K132" s="21"/>
      <c r="L132" s="21"/>
    </row>
    <row r="133" spans="1:12" ht="29" x14ac:dyDescent="0.35">
      <c r="A133" s="21" t="s">
        <v>1176</v>
      </c>
      <c r="B133" s="21" t="s">
        <v>1185</v>
      </c>
      <c r="C133" s="21" t="s">
        <v>1186</v>
      </c>
      <c r="D133" s="21"/>
      <c r="E133" s="21" t="s">
        <v>996</v>
      </c>
      <c r="F133" s="21"/>
      <c r="G133" s="21"/>
      <c r="H133" s="21"/>
      <c r="I133" s="21"/>
      <c r="J133" s="21"/>
      <c r="K133" s="21"/>
      <c r="L133" s="21"/>
    </row>
    <row r="134" spans="1:12" ht="29" x14ac:dyDescent="0.35">
      <c r="A134" s="21" t="s">
        <v>1176</v>
      </c>
      <c r="B134" s="21" t="s">
        <v>1187</v>
      </c>
      <c r="C134" s="21" t="s">
        <v>1188</v>
      </c>
      <c r="D134" s="21"/>
      <c r="E134" s="21" t="s">
        <v>996</v>
      </c>
      <c r="F134" s="21"/>
      <c r="G134" s="21"/>
      <c r="H134" s="21"/>
      <c r="I134" s="21"/>
      <c r="J134" s="21"/>
      <c r="K134" s="21"/>
      <c r="L134" s="21"/>
    </row>
    <row r="135" spans="1:12" ht="29" x14ac:dyDescent="0.35">
      <c r="A135" s="21" t="s">
        <v>1189</v>
      </c>
      <c r="B135" s="21" t="s">
        <v>1190</v>
      </c>
      <c r="C135" s="21" t="s">
        <v>1191</v>
      </c>
      <c r="D135" s="21"/>
      <c r="E135" s="21" t="s">
        <v>996</v>
      </c>
      <c r="F135" s="21"/>
      <c r="G135" s="21"/>
      <c r="H135" s="21"/>
      <c r="I135" s="21"/>
      <c r="J135" s="21"/>
      <c r="K135" s="21"/>
      <c r="L135" s="21"/>
    </row>
    <row r="136" spans="1:12" ht="29" x14ac:dyDescent="0.35">
      <c r="A136" s="21" t="s">
        <v>1189</v>
      </c>
      <c r="B136" s="21" t="s">
        <v>1192</v>
      </c>
      <c r="C136" s="21" t="s">
        <v>1193</v>
      </c>
      <c r="D136" s="21"/>
      <c r="E136" s="21" t="s">
        <v>996</v>
      </c>
      <c r="F136" s="21"/>
      <c r="G136" s="21"/>
      <c r="H136" s="21"/>
      <c r="I136" s="21"/>
      <c r="J136" s="21"/>
      <c r="K136" s="21"/>
      <c r="L136" s="21"/>
    </row>
    <row r="137" spans="1:12" ht="29" x14ac:dyDescent="0.35">
      <c r="A137" s="21" t="s">
        <v>1189</v>
      </c>
      <c r="B137" s="21" t="s">
        <v>1194</v>
      </c>
      <c r="C137" s="21" t="s">
        <v>1195</v>
      </c>
      <c r="D137" s="21"/>
      <c r="E137" s="21" t="s">
        <v>996</v>
      </c>
      <c r="F137" s="21"/>
      <c r="G137" s="21"/>
      <c r="H137" s="21"/>
      <c r="I137" s="21"/>
      <c r="J137" s="21"/>
      <c r="K137" s="21"/>
      <c r="L137" s="21"/>
    </row>
    <row r="138" spans="1:12" ht="29" x14ac:dyDescent="0.35">
      <c r="A138" s="21" t="s">
        <v>1189</v>
      </c>
      <c r="B138" s="21" t="s">
        <v>1196</v>
      </c>
      <c r="C138" s="21" t="s">
        <v>1197</v>
      </c>
      <c r="D138" s="21"/>
      <c r="E138" s="21" t="s">
        <v>996</v>
      </c>
      <c r="F138" s="21"/>
      <c r="G138" s="21"/>
      <c r="H138" s="21"/>
      <c r="I138" s="21"/>
      <c r="J138" s="21"/>
      <c r="K138" s="21"/>
      <c r="L138" s="21"/>
    </row>
    <row r="139" spans="1:12" ht="29" x14ac:dyDescent="0.35">
      <c r="A139" s="21" t="s">
        <v>1189</v>
      </c>
      <c r="B139" s="21" t="s">
        <v>1198</v>
      </c>
      <c r="C139" s="21" t="s">
        <v>1199</v>
      </c>
      <c r="D139" s="21"/>
      <c r="E139" s="21" t="s">
        <v>996</v>
      </c>
      <c r="F139" s="21"/>
      <c r="G139" s="21"/>
      <c r="H139" s="21"/>
      <c r="I139" s="21"/>
      <c r="J139" s="21"/>
      <c r="K139" s="21"/>
      <c r="L139" s="21"/>
    </row>
    <row r="140" spans="1:12" ht="29" x14ac:dyDescent="0.35">
      <c r="A140" s="21" t="s">
        <v>1189</v>
      </c>
      <c r="B140" s="21" t="s">
        <v>1200</v>
      </c>
      <c r="C140" s="21" t="s">
        <v>1201</v>
      </c>
      <c r="D140" s="21"/>
      <c r="E140" s="21" t="s">
        <v>996</v>
      </c>
      <c r="F140" s="21"/>
      <c r="G140" s="21"/>
      <c r="H140" s="21"/>
      <c r="I140" s="21"/>
      <c r="J140" s="21"/>
      <c r="K140" s="21"/>
      <c r="L140" s="21"/>
    </row>
    <row r="141" spans="1:12" ht="29" x14ac:dyDescent="0.35">
      <c r="A141" s="21" t="s">
        <v>1202</v>
      </c>
      <c r="B141" s="21" t="s">
        <v>1203</v>
      </c>
      <c r="C141" s="21" t="s">
        <v>1204</v>
      </c>
      <c r="D141" s="21"/>
      <c r="E141" s="21" t="s">
        <v>996</v>
      </c>
      <c r="F141" s="21"/>
      <c r="G141" s="21"/>
      <c r="H141" s="21"/>
      <c r="I141" s="21"/>
      <c r="J141" s="21"/>
      <c r="K141" s="21"/>
      <c r="L141" s="21"/>
    </row>
    <row r="142" spans="1:12" ht="29" x14ac:dyDescent="0.35">
      <c r="A142" s="21" t="s">
        <v>1202</v>
      </c>
      <c r="B142" s="21" t="s">
        <v>1205</v>
      </c>
      <c r="C142" s="21" t="s">
        <v>1206</v>
      </c>
      <c r="D142" s="21"/>
      <c r="E142" s="21" t="s">
        <v>996</v>
      </c>
      <c r="F142" s="21"/>
      <c r="G142" s="21"/>
      <c r="H142" s="21"/>
      <c r="I142" s="21"/>
      <c r="J142" s="21"/>
      <c r="K142" s="21"/>
      <c r="L142" s="21"/>
    </row>
    <row r="143" spans="1:12" ht="29" x14ac:dyDescent="0.35">
      <c r="A143" s="21" t="s">
        <v>1202</v>
      </c>
      <c r="B143" s="21" t="s">
        <v>1207</v>
      </c>
      <c r="C143" s="21" t="s">
        <v>1208</v>
      </c>
      <c r="D143" s="21"/>
      <c r="E143" s="21" t="s">
        <v>996</v>
      </c>
      <c r="F143" s="21"/>
      <c r="G143" s="21"/>
      <c r="H143" s="21"/>
      <c r="I143" s="21"/>
      <c r="J143" s="21"/>
      <c r="K143" s="21"/>
      <c r="L143" s="21"/>
    </row>
    <row r="144" spans="1:12" ht="29" x14ac:dyDescent="0.35">
      <c r="A144" s="21" t="s">
        <v>1202</v>
      </c>
      <c r="B144" s="21" t="s">
        <v>1209</v>
      </c>
      <c r="C144" s="21" t="s">
        <v>1210</v>
      </c>
      <c r="D144" s="21"/>
      <c r="E144" s="21" t="s">
        <v>996</v>
      </c>
      <c r="F144" s="21"/>
      <c r="G144" s="21"/>
      <c r="H144" s="21"/>
      <c r="I144" s="21"/>
      <c r="J144" s="21"/>
      <c r="K144" s="21"/>
      <c r="L144" s="21"/>
    </row>
    <row r="145" spans="1:12" ht="29" x14ac:dyDescent="0.35">
      <c r="A145" s="21" t="s">
        <v>1202</v>
      </c>
      <c r="B145" s="21" t="s">
        <v>1211</v>
      </c>
      <c r="C145" s="21" t="s">
        <v>1212</v>
      </c>
      <c r="D145" s="21"/>
      <c r="E145" s="21" t="s">
        <v>996</v>
      </c>
      <c r="F145" s="21"/>
      <c r="G145" s="21"/>
      <c r="H145" s="21"/>
      <c r="I145" s="21"/>
      <c r="J145" s="21"/>
      <c r="K145" s="21"/>
      <c r="L145" s="21"/>
    </row>
    <row r="146" spans="1:12" ht="29" x14ac:dyDescent="0.35">
      <c r="A146" s="21" t="s">
        <v>1202</v>
      </c>
      <c r="B146" s="21" t="s">
        <v>1213</v>
      </c>
      <c r="C146" s="21" t="s">
        <v>1214</v>
      </c>
      <c r="D146" s="21"/>
      <c r="E146" s="21" t="s">
        <v>996</v>
      </c>
      <c r="F146" s="21"/>
      <c r="G146" s="21"/>
      <c r="H146" s="21"/>
      <c r="I146" s="21"/>
      <c r="J146" s="21"/>
      <c r="K146" s="21"/>
      <c r="L146" s="21"/>
    </row>
    <row r="147" spans="1:12" ht="29" x14ac:dyDescent="0.35">
      <c r="A147" s="21" t="s">
        <v>1215</v>
      </c>
      <c r="B147" s="21" t="s">
        <v>1216</v>
      </c>
      <c r="C147" s="21" t="s">
        <v>1217</v>
      </c>
      <c r="D147" s="21"/>
      <c r="E147" s="21" t="s">
        <v>996</v>
      </c>
      <c r="F147" s="21"/>
      <c r="G147" s="21"/>
      <c r="H147" s="21"/>
      <c r="I147" s="21"/>
      <c r="J147" s="21"/>
      <c r="K147" s="21"/>
      <c r="L147" s="21"/>
    </row>
    <row r="148" spans="1:12" ht="29" x14ac:dyDescent="0.35">
      <c r="A148" s="21" t="s">
        <v>1215</v>
      </c>
      <c r="B148" s="21" t="s">
        <v>1218</v>
      </c>
      <c r="C148" s="21" t="s">
        <v>1219</v>
      </c>
      <c r="D148" s="21"/>
      <c r="E148" s="21" t="s">
        <v>996</v>
      </c>
      <c r="F148" s="21"/>
      <c r="G148" s="21"/>
      <c r="H148" s="21"/>
      <c r="I148" s="21"/>
      <c r="J148" s="21"/>
      <c r="K148" s="21"/>
      <c r="L148" s="21"/>
    </row>
    <row r="149" spans="1:12" ht="29" x14ac:dyDescent="0.35">
      <c r="A149" s="21" t="s">
        <v>1215</v>
      </c>
      <c r="B149" s="21" t="s">
        <v>1220</v>
      </c>
      <c r="C149" s="21" t="s">
        <v>1221</v>
      </c>
      <c r="D149" s="21"/>
      <c r="E149" s="21" t="s">
        <v>996</v>
      </c>
      <c r="F149" s="21"/>
      <c r="G149" s="21"/>
      <c r="H149" s="21"/>
      <c r="I149" s="21"/>
      <c r="J149" s="21"/>
      <c r="K149" s="21"/>
      <c r="L149" s="21"/>
    </row>
    <row r="150" spans="1:12" ht="29" x14ac:dyDescent="0.35">
      <c r="A150" s="21" t="s">
        <v>1215</v>
      </c>
      <c r="B150" s="21" t="s">
        <v>1222</v>
      </c>
      <c r="C150" s="21" t="s">
        <v>1223</v>
      </c>
      <c r="D150" s="21"/>
      <c r="E150" s="21" t="s">
        <v>996</v>
      </c>
      <c r="F150" s="21"/>
      <c r="G150" s="21"/>
      <c r="H150" s="21"/>
      <c r="I150" s="21"/>
      <c r="J150" s="21"/>
      <c r="K150" s="21"/>
      <c r="L150" s="21"/>
    </row>
    <row r="151" spans="1:12" ht="24" customHeight="1" x14ac:dyDescent="0.35">
      <c r="A151" s="133" t="s">
        <v>1215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</row>
    <row r="152" spans="1:12" x14ac:dyDescent="0.35">
      <c r="A152" s="21" t="s">
        <v>1215</v>
      </c>
      <c r="B152" s="21" t="s">
        <v>1224</v>
      </c>
      <c r="C152" s="21" t="s">
        <v>1225</v>
      </c>
      <c r="D152" s="21"/>
      <c r="E152" s="21" t="s">
        <v>996</v>
      </c>
      <c r="F152" s="21"/>
      <c r="G152" s="21"/>
      <c r="H152" s="21"/>
      <c r="I152" s="21"/>
      <c r="J152" s="21"/>
      <c r="K152" s="21"/>
      <c r="L152" s="21"/>
    </row>
    <row r="158" spans="1:12" x14ac:dyDescent="0.35">
      <c r="A158" s="98" t="s">
        <v>1226</v>
      </c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</row>
    <row r="160" spans="1:12" ht="29" x14ac:dyDescent="0.35">
      <c r="A160" s="100" t="s">
        <v>1227</v>
      </c>
      <c r="B160" s="100" t="s">
        <v>1228</v>
      </c>
      <c r="C160" s="100" t="s">
        <v>1229</v>
      </c>
      <c r="D160" s="100" t="s">
        <v>389</v>
      </c>
      <c r="E160" s="100" t="s">
        <v>870</v>
      </c>
      <c r="F160" s="100" t="s">
        <v>390</v>
      </c>
      <c r="G160" s="100" t="s">
        <v>990</v>
      </c>
      <c r="H160" s="100" t="s">
        <v>1230</v>
      </c>
      <c r="I160" s="100"/>
      <c r="J160" s="100"/>
      <c r="K160" s="100"/>
      <c r="L160" s="100"/>
    </row>
    <row r="161" spans="1:8" x14ac:dyDescent="0.35">
      <c r="A161" s="21" t="s">
        <v>1231</v>
      </c>
      <c r="B161" s="21"/>
      <c r="C161" s="21"/>
      <c r="D161" s="21"/>
      <c r="E161" s="21"/>
      <c r="F161" s="21"/>
      <c r="G161" s="21"/>
      <c r="H161" s="21"/>
    </row>
    <row r="162" spans="1:8" x14ac:dyDescent="0.35">
      <c r="A162" s="21" t="s">
        <v>1232</v>
      </c>
      <c r="B162" s="21"/>
      <c r="C162" s="21"/>
      <c r="D162" s="21"/>
      <c r="E162" s="21"/>
      <c r="F162" s="21"/>
      <c r="G162" s="21"/>
      <c r="H162" s="21"/>
    </row>
    <row r="163" spans="1:8" x14ac:dyDescent="0.35">
      <c r="A163" s="21" t="s">
        <v>509</v>
      </c>
      <c r="B163" s="21"/>
      <c r="C163" s="21"/>
      <c r="D163" s="21"/>
      <c r="E163" s="21"/>
      <c r="F163" s="21"/>
      <c r="G163" s="21"/>
      <c r="H163" s="21"/>
    </row>
    <row r="164" spans="1:8" x14ac:dyDescent="0.35">
      <c r="A164" s="21" t="s">
        <v>1233</v>
      </c>
      <c r="B164" s="21"/>
      <c r="C164" s="21"/>
      <c r="D164" s="21"/>
      <c r="E164" s="21"/>
      <c r="F164" s="21"/>
      <c r="G164" s="21"/>
      <c r="H164" s="21"/>
    </row>
    <row r="165" spans="1:8" x14ac:dyDescent="0.35">
      <c r="A165" s="21" t="s">
        <v>1234</v>
      </c>
      <c r="B165" s="21"/>
      <c r="C165" s="21"/>
      <c r="D165" s="21"/>
      <c r="E165" s="21"/>
      <c r="F165" s="21"/>
      <c r="G165" s="21"/>
      <c r="H165" s="21"/>
    </row>
    <row r="166" spans="1:8" x14ac:dyDescent="0.35">
      <c r="A166" s="21" t="s">
        <v>1235</v>
      </c>
      <c r="B166" s="21"/>
      <c r="C166" s="21"/>
      <c r="D166" s="21"/>
      <c r="E166" s="21"/>
      <c r="F166" s="21"/>
      <c r="G166" s="21"/>
      <c r="H166" s="21"/>
    </row>
    <row r="167" spans="1:8" x14ac:dyDescent="0.35">
      <c r="A167" s="21" t="s">
        <v>1236</v>
      </c>
      <c r="B167" s="21"/>
      <c r="C167" s="21"/>
      <c r="D167" s="21"/>
      <c r="E167" s="21"/>
      <c r="F167" s="21"/>
      <c r="G167" s="21"/>
      <c r="H167" s="21"/>
    </row>
    <row r="168" spans="1:8" x14ac:dyDescent="0.35">
      <c r="A168" s="21" t="s">
        <v>1237</v>
      </c>
      <c r="B168" s="21"/>
      <c r="C168" s="21"/>
      <c r="D168" s="21"/>
      <c r="E168" s="21"/>
      <c r="F168" s="21"/>
      <c r="G168" s="21"/>
      <c r="H168" s="21"/>
    </row>
    <row r="169" spans="1:8" x14ac:dyDescent="0.35">
      <c r="A169" s="21" t="s">
        <v>1238</v>
      </c>
      <c r="B169" s="21"/>
      <c r="C169" s="21"/>
      <c r="D169" s="21"/>
      <c r="E169" s="21"/>
      <c r="F169" s="21"/>
      <c r="G169" s="21"/>
      <c r="H169" s="21"/>
    </row>
    <row r="170" spans="1:8" x14ac:dyDescent="0.35">
      <c r="A170" s="21" t="s">
        <v>1239</v>
      </c>
      <c r="B170" s="21"/>
      <c r="C170" s="21"/>
      <c r="D170" s="21"/>
      <c r="E170" s="21"/>
      <c r="F170" s="21"/>
      <c r="G170" s="21"/>
      <c r="H170" s="21"/>
    </row>
    <row r="171" spans="1:8" x14ac:dyDescent="0.35">
      <c r="A171" s="21" t="s">
        <v>1240</v>
      </c>
      <c r="B171" s="21"/>
      <c r="C171" s="21"/>
      <c r="D171" s="21"/>
      <c r="E171" s="21"/>
      <c r="F171" s="21"/>
      <c r="G171" s="21"/>
      <c r="H171" s="21"/>
    </row>
    <row r="172" spans="1:8" x14ac:dyDescent="0.35">
      <c r="A172" s="21" t="s">
        <v>1241</v>
      </c>
      <c r="B172" s="21"/>
      <c r="C172" s="21"/>
      <c r="D172" s="21"/>
      <c r="E172" s="21"/>
      <c r="F172" s="21"/>
      <c r="G172" s="21"/>
      <c r="H172" s="21"/>
    </row>
    <row r="173" spans="1:8" x14ac:dyDescent="0.35">
      <c r="A173" s="21" t="s">
        <v>1242</v>
      </c>
      <c r="B173" s="21"/>
      <c r="C173" s="21"/>
      <c r="D173" s="21"/>
      <c r="E173" s="21"/>
      <c r="F173" s="21"/>
      <c r="G173" s="21"/>
      <c r="H173" s="21"/>
    </row>
    <row r="174" spans="1:8" x14ac:dyDescent="0.35">
      <c r="A174" s="21" t="s">
        <v>1243</v>
      </c>
      <c r="B174" s="21"/>
      <c r="C174" s="21"/>
      <c r="D174" s="21"/>
      <c r="E174" s="21"/>
      <c r="F174" s="21"/>
      <c r="G174" s="21"/>
      <c r="H174" s="21"/>
    </row>
    <row r="175" spans="1:8" x14ac:dyDescent="0.35">
      <c r="A175" s="21" t="s">
        <v>1244</v>
      </c>
      <c r="B175" s="21"/>
      <c r="C175" s="21"/>
      <c r="D175" s="21"/>
      <c r="E175" s="21"/>
      <c r="F175" s="21"/>
      <c r="G175" s="21"/>
      <c r="H175" s="21"/>
    </row>
    <row r="176" spans="1:8" x14ac:dyDescent="0.35">
      <c r="A176" s="21" t="s">
        <v>1245</v>
      </c>
      <c r="B176" s="21"/>
      <c r="C176" s="21"/>
      <c r="D176" s="21"/>
      <c r="E176" s="21"/>
      <c r="F176" s="21"/>
      <c r="G176" s="21"/>
      <c r="H176" s="21"/>
    </row>
    <row r="177" spans="1:12" x14ac:dyDescent="0.35">
      <c r="A177" s="21" t="s">
        <v>1246</v>
      </c>
      <c r="B177" s="21"/>
      <c r="C177" s="21"/>
      <c r="D177" s="21"/>
      <c r="E177" s="21"/>
      <c r="F177" s="21"/>
      <c r="G177" s="21"/>
      <c r="H177" s="21"/>
    </row>
    <row r="178" spans="1:12" x14ac:dyDescent="0.35">
      <c r="A178" s="21" t="s">
        <v>1247</v>
      </c>
      <c r="B178" s="21"/>
      <c r="C178" s="21"/>
      <c r="D178" s="21"/>
      <c r="E178" s="21"/>
      <c r="F178" s="21"/>
      <c r="G178" s="21"/>
      <c r="H178" s="21"/>
    </row>
    <row r="179" spans="1:12" ht="24" customHeight="1" x14ac:dyDescent="0.35">
      <c r="A179" s="133" t="s">
        <v>1248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</row>
    <row r="180" spans="1:12" x14ac:dyDescent="0.35">
      <c r="A180" s="21" t="s">
        <v>1249</v>
      </c>
      <c r="B180" s="21"/>
      <c r="C180" s="21"/>
      <c r="D180" s="21"/>
      <c r="E180" s="21"/>
      <c r="F180" s="21"/>
      <c r="G180" s="21"/>
      <c r="H180" s="21"/>
    </row>
    <row r="186" spans="1:12" x14ac:dyDescent="0.35">
      <c r="A186" s="98" t="s">
        <v>1250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</row>
    <row r="188" spans="1:12" ht="29" x14ac:dyDescent="0.35">
      <c r="A188" s="100" t="s">
        <v>1251</v>
      </c>
      <c r="B188" s="100" t="s">
        <v>1252</v>
      </c>
      <c r="C188" s="100" t="s">
        <v>1253</v>
      </c>
      <c r="D188" s="100" t="s">
        <v>1254</v>
      </c>
      <c r="E188" s="100" t="s">
        <v>870</v>
      </c>
      <c r="F188" s="100" t="s">
        <v>1255</v>
      </c>
      <c r="G188" s="100" t="s">
        <v>338</v>
      </c>
    </row>
    <row r="189" spans="1:12" x14ac:dyDescent="0.35">
      <c r="A189" s="21" t="s">
        <v>428</v>
      </c>
      <c r="B189" s="21"/>
      <c r="C189" s="21"/>
      <c r="D189" s="21"/>
      <c r="E189" s="21"/>
      <c r="F189" s="21"/>
      <c r="G189" s="21"/>
    </row>
    <row r="190" spans="1:12" x14ac:dyDescent="0.35">
      <c r="A190" s="21" t="s">
        <v>582</v>
      </c>
      <c r="B190" s="21"/>
      <c r="C190" s="21"/>
      <c r="D190" s="21"/>
      <c r="E190" s="21"/>
      <c r="F190" s="21"/>
      <c r="G190" s="21"/>
    </row>
    <row r="191" spans="1:12" x14ac:dyDescent="0.35">
      <c r="A191" s="21" t="s">
        <v>435</v>
      </c>
      <c r="B191" s="21"/>
      <c r="C191" s="21"/>
      <c r="D191" s="21"/>
      <c r="E191" s="21"/>
      <c r="F191" s="21"/>
      <c r="G191" s="21"/>
    </row>
    <row r="192" spans="1:12" x14ac:dyDescent="0.35">
      <c r="A192" s="21" t="s">
        <v>93</v>
      </c>
      <c r="B192" s="21"/>
      <c r="C192" s="21"/>
      <c r="D192" s="21"/>
      <c r="E192" s="21"/>
      <c r="F192" s="21"/>
      <c r="G192" s="21"/>
    </row>
    <row r="193" spans="1:12" x14ac:dyDescent="0.35">
      <c r="A193" s="21" t="s">
        <v>431</v>
      </c>
      <c r="B193" s="21"/>
      <c r="C193" s="21"/>
      <c r="D193" s="21"/>
      <c r="E193" s="21"/>
      <c r="F193" s="21"/>
      <c r="G193" s="21"/>
    </row>
    <row r="194" spans="1:12" x14ac:dyDescent="0.35">
      <c r="A194" s="21" t="s">
        <v>97</v>
      </c>
      <c r="B194" s="21"/>
      <c r="C194" s="21"/>
      <c r="D194" s="21"/>
      <c r="E194" s="21"/>
      <c r="F194" s="21"/>
      <c r="G194" s="21"/>
    </row>
    <row r="195" spans="1:12" x14ac:dyDescent="0.35">
      <c r="A195" s="21" t="s">
        <v>100</v>
      </c>
      <c r="B195" s="21"/>
      <c r="C195" s="21"/>
      <c r="D195" s="21"/>
      <c r="E195" s="21"/>
      <c r="F195" s="21"/>
      <c r="G195" s="21"/>
    </row>
    <row r="196" spans="1:12" x14ac:dyDescent="0.35">
      <c r="A196" s="21" t="s">
        <v>1176</v>
      </c>
      <c r="B196" s="21"/>
      <c r="C196" s="21"/>
      <c r="D196" s="21"/>
      <c r="E196" s="21"/>
      <c r="F196" s="21"/>
      <c r="G196" s="21"/>
    </row>
    <row r="197" spans="1:12" x14ac:dyDescent="0.35">
      <c r="A197" s="21" t="s">
        <v>160</v>
      </c>
      <c r="B197" s="21"/>
      <c r="C197" s="21"/>
      <c r="D197" s="21"/>
      <c r="E197" s="21"/>
      <c r="F197" s="21"/>
      <c r="G197" s="21"/>
    </row>
    <row r="198" spans="1:12" x14ac:dyDescent="0.35">
      <c r="A198" s="21" t="s">
        <v>1256</v>
      </c>
      <c r="B198" s="21"/>
      <c r="C198" s="21"/>
      <c r="D198" s="21"/>
      <c r="E198" s="21"/>
      <c r="F198" s="21"/>
      <c r="G198" s="21"/>
    </row>
    <row r="199" spans="1:12" x14ac:dyDescent="0.35">
      <c r="A199" s="21" t="s">
        <v>1257</v>
      </c>
      <c r="B199" s="21"/>
      <c r="C199" s="21"/>
      <c r="D199" s="21"/>
      <c r="E199" s="21"/>
      <c r="F199" s="21"/>
      <c r="G199" s="21"/>
    </row>
    <row r="200" spans="1:12" x14ac:dyDescent="0.35">
      <c r="A200" s="21" t="s">
        <v>1258</v>
      </c>
      <c r="B200" s="21"/>
      <c r="C200" s="21"/>
      <c r="D200" s="21"/>
      <c r="E200" s="21"/>
      <c r="F200" s="21"/>
      <c r="G200" s="21"/>
    </row>
    <row r="201" spans="1:12" x14ac:dyDescent="0.35">
      <c r="A201" s="21" t="s">
        <v>116</v>
      </c>
      <c r="B201" s="21"/>
      <c r="C201" s="21"/>
      <c r="D201" s="21"/>
      <c r="E201" s="21"/>
      <c r="F201" s="21"/>
      <c r="G201" s="21"/>
    </row>
    <row r="202" spans="1:12" x14ac:dyDescent="0.35">
      <c r="A202" s="21" t="s">
        <v>129</v>
      </c>
      <c r="B202" s="21"/>
      <c r="C202" s="21"/>
      <c r="D202" s="21"/>
      <c r="E202" s="21"/>
      <c r="F202" s="21"/>
      <c r="G202" s="21"/>
    </row>
    <row r="203" spans="1:12" x14ac:dyDescent="0.35">
      <c r="A203" s="21" t="s">
        <v>437</v>
      </c>
      <c r="B203" s="21"/>
      <c r="C203" s="21"/>
      <c r="D203" s="21"/>
      <c r="E203" s="21"/>
      <c r="F203" s="21"/>
      <c r="G203" s="21"/>
    </row>
    <row r="204" spans="1:12" x14ac:dyDescent="0.35">
      <c r="A204" s="21" t="s">
        <v>125</v>
      </c>
      <c r="B204" s="21"/>
      <c r="C204" s="21"/>
      <c r="D204" s="21"/>
      <c r="E204" s="21"/>
      <c r="F204" s="21"/>
      <c r="G204" s="21"/>
    </row>
    <row r="205" spans="1:12" x14ac:dyDescent="0.35">
      <c r="A205" s="21" t="s">
        <v>442</v>
      </c>
      <c r="B205" s="21"/>
      <c r="C205" s="21"/>
      <c r="D205" s="21"/>
      <c r="E205" s="21"/>
      <c r="F205" s="21"/>
      <c r="G205" s="21"/>
    </row>
    <row r="206" spans="1:12" x14ac:dyDescent="0.35">
      <c r="A206" s="21" t="s">
        <v>1259</v>
      </c>
      <c r="B206" s="21"/>
      <c r="C206" s="21"/>
      <c r="D206" s="21"/>
      <c r="E206" s="21"/>
      <c r="F206" s="21"/>
      <c r="G206" s="21"/>
    </row>
    <row r="207" spans="1:12" ht="24" customHeight="1" x14ac:dyDescent="0.35">
      <c r="A207" s="133" t="s">
        <v>1260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</row>
    <row r="208" spans="1:12" x14ac:dyDescent="0.35">
      <c r="A208" s="21" t="s">
        <v>439</v>
      </c>
      <c r="B208" s="21"/>
      <c r="C208" s="21"/>
      <c r="D208" s="21"/>
      <c r="E208" s="21"/>
      <c r="F208" s="21"/>
      <c r="G208" s="21"/>
    </row>
    <row r="214" spans="1:12" x14ac:dyDescent="0.35">
      <c r="A214" s="98" t="s">
        <v>1261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</row>
    <row r="216" spans="1:12" x14ac:dyDescent="0.35">
      <c r="A216" s="100" t="s">
        <v>1262</v>
      </c>
      <c r="B216" s="100" t="s">
        <v>1263</v>
      </c>
      <c r="C216" s="100" t="s">
        <v>292</v>
      </c>
      <c r="D216" s="100" t="s">
        <v>371</v>
      </c>
      <c r="E216" s="100" t="s">
        <v>360</v>
      </c>
      <c r="F216" s="100" t="s">
        <v>1264</v>
      </c>
      <c r="G216" s="100" t="s">
        <v>990</v>
      </c>
      <c r="H216" s="100" t="s">
        <v>338</v>
      </c>
    </row>
    <row r="217" spans="1:12" x14ac:dyDescent="0.35">
      <c r="A217" t="s">
        <v>1265</v>
      </c>
    </row>
    <row r="218" spans="1:12" x14ac:dyDescent="0.35">
      <c r="A218" t="s">
        <v>1266</v>
      </c>
    </row>
    <row r="219" spans="1:12" x14ac:dyDescent="0.35">
      <c r="A219" t="s">
        <v>1267</v>
      </c>
    </row>
    <row r="220" spans="1:12" x14ac:dyDescent="0.35">
      <c r="A220" t="s">
        <v>1268</v>
      </c>
    </row>
    <row r="221" spans="1:12" x14ac:dyDescent="0.35">
      <c r="A221" t="s">
        <v>1269</v>
      </c>
    </row>
    <row r="222" spans="1:12" x14ac:dyDescent="0.35">
      <c r="A222" t="s">
        <v>1270</v>
      </c>
    </row>
    <row r="223" spans="1:12" ht="24" customHeight="1" x14ac:dyDescent="0.35">
      <c r="A223" s="129" t="s">
        <v>1271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</row>
    <row r="224" spans="1:12" x14ac:dyDescent="0.35">
      <c r="A224" t="s">
        <v>1272</v>
      </c>
    </row>
    <row r="230" spans="1:12" x14ac:dyDescent="0.35">
      <c r="A230" s="98" t="s">
        <v>1273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2" spans="1:12" ht="29" x14ac:dyDescent="0.35">
      <c r="A232" s="100" t="s">
        <v>1229</v>
      </c>
      <c r="B232" s="100" t="s">
        <v>1274</v>
      </c>
      <c r="C232" s="100" t="s">
        <v>390</v>
      </c>
      <c r="D232" s="100" t="s">
        <v>351</v>
      </c>
      <c r="E232" s="100" t="s">
        <v>352</v>
      </c>
      <c r="F232" s="100" t="s">
        <v>292</v>
      </c>
      <c r="G232" s="100" t="s">
        <v>353</v>
      </c>
      <c r="H232" s="100" t="s">
        <v>338</v>
      </c>
    </row>
    <row r="240" spans="1:12" x14ac:dyDescent="0.3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</row>
    <row r="241" spans="1:12" x14ac:dyDescent="0.3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</row>
    <row r="247" spans="1:12" ht="29" x14ac:dyDescent="0.35">
      <c r="A247" s="106" t="s">
        <v>1275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3"/>
    </row>
    <row r="248" spans="1:12" ht="43.5" x14ac:dyDescent="0.35">
      <c r="A248" s="111" t="s">
        <v>1276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3"/>
    </row>
    <row r="249" spans="1:12" ht="29" x14ac:dyDescent="0.35">
      <c r="A249" s="110" t="s">
        <v>1277</v>
      </c>
      <c r="B249" s="110" t="s">
        <v>1278</v>
      </c>
      <c r="C249" s="110" t="s">
        <v>81</v>
      </c>
      <c r="D249" s="110" t="s">
        <v>615</v>
      </c>
      <c r="E249" s="110" t="s">
        <v>616</v>
      </c>
      <c r="F249" s="110" t="s">
        <v>990</v>
      </c>
      <c r="G249" s="110" t="s">
        <v>1279</v>
      </c>
      <c r="H249" s="110" t="s">
        <v>390</v>
      </c>
      <c r="I249" s="110" t="s">
        <v>351</v>
      </c>
      <c r="J249" s="110" t="s">
        <v>292</v>
      </c>
      <c r="K249" s="110" t="s">
        <v>353</v>
      </c>
      <c r="L249" s="110" t="s">
        <v>619</v>
      </c>
    </row>
    <row r="250" spans="1:12" x14ac:dyDescent="0.35">
      <c r="A250" s="105" t="s">
        <v>1280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x14ac:dyDescent="0.35">
      <c r="A251" s="105" t="s">
        <v>1281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x14ac:dyDescent="0.35">
      <c r="A252" s="105" t="s">
        <v>1282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29" x14ac:dyDescent="0.35">
      <c r="A253" s="105" t="s">
        <v>1283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29" x14ac:dyDescent="0.35">
      <c r="A254" s="105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29" x14ac:dyDescent="0.35">
      <c r="A255" s="105" t="s">
        <v>1285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29" x14ac:dyDescent="0.35">
      <c r="A256" s="105" t="s">
        <v>1286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29" x14ac:dyDescent="0.35">
      <c r="A257" s="105" t="s">
        <v>1287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29" x14ac:dyDescent="0.35">
      <c r="A258" s="105" t="s">
        <v>1288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29" x14ac:dyDescent="0.35">
      <c r="A259" s="105" t="s">
        <v>1289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29" x14ac:dyDescent="0.35">
      <c r="A260" s="105" t="s">
        <v>1290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29" x14ac:dyDescent="0.35">
      <c r="A261" s="105" t="s">
        <v>1291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29" x14ac:dyDescent="0.35">
      <c r="A262" s="105" t="s">
        <v>1292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43.5" x14ac:dyDescent="0.35">
      <c r="A263" s="105" t="s">
        <v>1293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29" x14ac:dyDescent="0.35">
      <c r="A264" s="105" t="s">
        <v>1294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x14ac:dyDescent="0.35">
      <c r="A265" s="105" t="s">
        <v>1295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</sheetData>
  <mergeCells count="9">
    <mergeCell ref="A1:L1"/>
    <mergeCell ref="A17:L17"/>
    <mergeCell ref="A241:L241"/>
    <mergeCell ref="A223:L223"/>
    <mergeCell ref="A35:L35"/>
    <mergeCell ref="A240:L240"/>
    <mergeCell ref="A179:L179"/>
    <mergeCell ref="A151:L151"/>
    <mergeCell ref="A207:L207"/>
  </mergeCells>
  <conditionalFormatting sqref="B12">
    <cfRule type="expression" dxfId="55" priority="12">
      <formula>B12="Green"</formula>
    </cfRule>
    <cfRule type="expression" dxfId="54" priority="13">
      <formula>B12="Amber"</formula>
    </cfRule>
    <cfRule type="expression" dxfId="53" priority="14">
      <formula>B12="Red"</formula>
    </cfRule>
  </conditionalFormatting>
  <conditionalFormatting sqref="B182:B201">
    <cfRule type="expression" dxfId="52" priority="3">
      <formula>B182="Pass"</formula>
    </cfRule>
  </conditionalFormatting>
  <conditionalFormatting sqref="C20:C43">
    <cfRule type="expression" dxfId="51" priority="8">
      <formula>C20="Green"</formula>
    </cfRule>
    <cfRule type="expression" dxfId="50" priority="9">
      <formula>C20="Amber"</formula>
    </cfRule>
    <cfRule type="expression" dxfId="49" priority="10">
      <formula>C20="Red"</formula>
    </cfRule>
    <cfRule type="expression" dxfId="48" priority="11">
      <formula>C20="N/A"</formula>
    </cfRule>
  </conditionalFormatting>
  <conditionalFormatting sqref="C20:C45">
    <cfRule type="expression" dxfId="47" priority="4">
      <formula>ISNUMBER(SEARCH("Green",C20))</formula>
    </cfRule>
    <cfRule type="expression" dxfId="46" priority="5">
      <formula>ISNUMBER(SEARCH("Amber",C20))</formula>
    </cfRule>
    <cfRule type="expression" dxfId="45" priority="6">
      <formula>ISNUMBER(SEARCH("Red",C20))</formula>
    </cfRule>
    <cfRule type="expression" dxfId="44" priority="7">
      <formula>C20="N/A"</formula>
    </cfRule>
  </conditionalFormatting>
  <conditionalFormatting sqref="E154:E173">
    <cfRule type="expression" dxfId="43" priority="2">
      <formula>E154="Pass"</formula>
    </cfRule>
  </conditionalFormatting>
  <conditionalFormatting sqref="H38:H145">
    <cfRule type="expression" dxfId="42" priority="1">
      <formula>H38="Pass"</formula>
    </cfRule>
  </conditionalFormatting>
  <dataValidations count="8">
    <dataValidation type="list" sqref="H38:H145 E154:E173" xr:uid="{00000000-0002-0000-3C00-000000000000}">
      <formula1>"Pass,Developing,Fail,N/A"</formula1>
    </dataValidation>
    <dataValidation type="list" sqref="F38:F145" xr:uid="{00000000-0002-0000-3C00-000001000000}">
      <formula1>"1,2,3,4,5"</formula1>
    </dataValidation>
    <dataValidation type="list" sqref="B182:B201" xr:uid="{00000000-0002-0000-3C00-000003000000}">
      <formula1>"Complete,In Progress,Not Started,N/A"</formula1>
    </dataValidation>
    <dataValidation type="list" allowBlank="1" sqref="C243:E258" xr:uid="{00000000-0002-0000-3C00-000004000000}">
      <formula1>"Yes,No,N/A"</formula1>
    </dataValidation>
    <dataValidation type="list" allowBlank="1" sqref="C20:C45" xr:uid="{00000000-0002-0000-3C00-000005000000}">
      <formula1>"Green - Received,Amber - Awaiting,Red - Missing,N/A"</formula1>
    </dataValidation>
    <dataValidation type="list" sqref="C20:C43" xr:uid="{00000000-0002-0000-3C00-000006000000}">
      <formula1>"Green,Amber,Red,N/A"</formula1>
    </dataValidation>
    <dataValidation type="list" sqref="F42:F230" xr:uid="{00000000-0002-0000-3C00-000007000000}">
      <formula1>"1,2,3,4,5,N/A"</formula1>
    </dataValidation>
    <dataValidation type="list" sqref="H42:H230 H235:H255" xr:uid="{00000000-0002-0000-3C00-000008000000}">
      <formula1>"Pass,Fail,Not Assessed,N/A"</formula1>
    </dataValidation>
  </dataValidation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L265"/>
  <sheetViews>
    <sheetView workbookViewId="0"/>
  </sheetViews>
  <sheetFormatPr defaultRowHeight="14.5" x14ac:dyDescent="0.35"/>
  <cols>
    <col min="1" max="1" width="42" customWidth="1"/>
    <col min="2" max="2" width="36" customWidth="1"/>
    <col min="3" max="3" width="52" customWidth="1"/>
    <col min="4" max="4" width="34" customWidth="1"/>
    <col min="5" max="5" width="30" customWidth="1"/>
    <col min="6" max="6" width="12" customWidth="1"/>
    <col min="7" max="7" width="16" customWidth="1"/>
    <col min="8" max="8" width="14" customWidth="1"/>
    <col min="9" max="9" width="28" customWidth="1"/>
    <col min="10" max="12" width="14" customWidth="1"/>
  </cols>
  <sheetData>
    <row r="1" spans="1:12" ht="30" customHeight="1" x14ac:dyDescent="0.35">
      <c r="A1" s="134" t="s">
        <v>1317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x14ac:dyDescent="0.35">
      <c r="A2" t="s">
        <v>928</v>
      </c>
      <c r="D2" t="s">
        <v>929</v>
      </c>
    </row>
    <row r="4" spans="1:12" x14ac:dyDescent="0.35">
      <c r="A4" s="101" t="s">
        <v>882</v>
      </c>
      <c r="B4" s="101" t="str">
        <f>IF('Induction Employee Register'!A26="","",'Induction Employee Register'!A26)</f>
        <v>SW023</v>
      </c>
      <c r="D4" t="s">
        <v>930</v>
      </c>
      <c r="E4" t="s">
        <v>931</v>
      </c>
      <c r="F4" t="s">
        <v>932</v>
      </c>
      <c r="G4" t="s">
        <v>933</v>
      </c>
      <c r="H4" t="s">
        <v>58</v>
      </c>
      <c r="I4" t="s">
        <v>934</v>
      </c>
      <c r="J4" t="s">
        <v>54</v>
      </c>
      <c r="K4" t="s">
        <v>935</v>
      </c>
      <c r="L4" t="s">
        <v>43</v>
      </c>
    </row>
    <row r="5" spans="1:12" x14ac:dyDescent="0.35">
      <c r="A5" s="101" t="s">
        <v>883</v>
      </c>
      <c r="B5" s="101" t="str">
        <f>IF('Induction Employee Register'!B26="","",'Induction Employee Register'!B26)</f>
        <v/>
      </c>
      <c r="D5" t="s">
        <v>936</v>
      </c>
    </row>
    <row r="6" spans="1:12" x14ac:dyDescent="0.35">
      <c r="A6" s="101" t="s">
        <v>322</v>
      </c>
      <c r="B6" s="101" t="str">
        <f>IF('Induction Employee Register'!C26="","",'Induction Employee Register'!C26)</f>
        <v/>
      </c>
      <c r="D6" t="s">
        <v>937</v>
      </c>
      <c r="E6" t="s">
        <v>938</v>
      </c>
    </row>
    <row r="7" spans="1:12" x14ac:dyDescent="0.35">
      <c r="A7" s="101" t="s">
        <v>323</v>
      </c>
      <c r="B7" s="126" t="str">
        <f>IF('Induction Employee Register'!D26="","",'Induction Employee Register'!D26)</f>
        <v/>
      </c>
      <c r="D7" t="s">
        <v>939</v>
      </c>
      <c r="E7" t="s">
        <v>940</v>
      </c>
    </row>
    <row r="8" spans="1:12" x14ac:dyDescent="0.35">
      <c r="A8" s="101" t="s">
        <v>886</v>
      </c>
      <c r="B8" s="125">
        <f>IFERROR(COUNTIF($H$42:$H$230,"Pass")/(COUNTIF($H$42:$H$230,"Pass")+COUNTIF($H$42:$H$230,"Fail")+COUNTIF($H$42:$H$230,"Not Assessed")),0)</f>
        <v>0</v>
      </c>
      <c r="D8" t="s">
        <v>6</v>
      </c>
      <c r="E8" t="s">
        <v>941</v>
      </c>
    </row>
    <row r="9" spans="1:12" x14ac:dyDescent="0.35">
      <c r="A9" s="101" t="s">
        <v>887</v>
      </c>
      <c r="B9" s="125">
        <f>IFERROR(COUNTIF($H$235:$H$255,"Pass")/(COUNTIF($H$235:$H$255,"Pass")+COUNTIF($H$235:$H$255,"Fail")+COUNTIF($H$235:$H$255,"Not Assessed")),0)</f>
        <v>0</v>
      </c>
      <c r="D9" t="s">
        <v>942</v>
      </c>
      <c r="E9" t="s">
        <v>943</v>
      </c>
    </row>
    <row r="10" spans="1:12" x14ac:dyDescent="0.35">
      <c r="A10" s="101" t="s">
        <v>888</v>
      </c>
      <c r="B10" s="125" t="str">
        <f>IFERROR(IF($B$5="","",IF(INDEX('Mandatory Training Dashboard'!$D$5:$D$53,MATCH($B$5,'Mandatory Training Dashboard'!$A$5:$A$53,0))&gt;1,INDEX('Mandatory Training Dashboard'!$D$5:$D$53,MATCH($B$5,'Mandatory Training Dashboard'!$A$5:$A$53,0))/100,INDEX('Mandatory Training Dashboard'!$D$5:$D$53,MATCH($B$5,'Mandatory Training Dashboard'!$A$5:$A$53,0)))),0)</f>
        <v/>
      </c>
      <c r="D10" t="s">
        <v>944</v>
      </c>
      <c r="E10" t="s">
        <v>945</v>
      </c>
    </row>
    <row r="11" spans="1:12" x14ac:dyDescent="0.35">
      <c r="A11" s="101" t="s">
        <v>893</v>
      </c>
      <c r="B11" s="125">
        <f>IFERROR(AVERAGE(B8:B10),0)</f>
        <v>0</v>
      </c>
      <c r="D11" t="s">
        <v>946</v>
      </c>
      <c r="E11" t="s">
        <v>947</v>
      </c>
    </row>
    <row r="12" spans="1:12" x14ac:dyDescent="0.35">
      <c r="A12" s="101" t="s">
        <v>948</v>
      </c>
      <c r="B12" s="101" t="str">
        <f>IF(B11&gt;=0.9,"Green",IF(B11&gt;=0.75,"Amber","Red"))</f>
        <v>Red</v>
      </c>
      <c r="D12" t="s">
        <v>949</v>
      </c>
      <c r="E12" t="s">
        <v>950</v>
      </c>
    </row>
    <row r="13" spans="1:12" x14ac:dyDescent="0.35">
      <c r="A13" s="101" t="s">
        <v>891</v>
      </c>
      <c r="B13" s="101">
        <f>IF('Induction Employee Register'!N26="","",'Induction Employee Register'!N26)</f>
        <v>0</v>
      </c>
      <c r="D13" t="s">
        <v>951</v>
      </c>
      <c r="E13" t="s">
        <v>952</v>
      </c>
    </row>
    <row r="14" spans="1:12" x14ac:dyDescent="0.35">
      <c r="A14" s="101" t="s">
        <v>892</v>
      </c>
      <c r="B14" s="101" t="str">
        <f>IF('Induction Employee Register'!O26="","",'Induction Employee Register'!O26)</f>
        <v/>
      </c>
    </row>
    <row r="17" spans="1:12" ht="24" customHeight="1" x14ac:dyDescent="0.35">
      <c r="A17" s="135" t="s">
        <v>953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9" spans="1:12" ht="29" x14ac:dyDescent="0.35">
      <c r="A19" s="116" t="s">
        <v>954</v>
      </c>
      <c r="B19" s="116" t="s">
        <v>955</v>
      </c>
      <c r="C19" s="116" t="s">
        <v>956</v>
      </c>
      <c r="D19" s="116" t="s">
        <v>957</v>
      </c>
      <c r="E19" s="116" t="s">
        <v>958</v>
      </c>
      <c r="F19" s="116" t="s">
        <v>353</v>
      </c>
      <c r="G19" s="116" t="s">
        <v>335</v>
      </c>
      <c r="H19" s="116" t="s">
        <v>338</v>
      </c>
      <c r="I19" s="117" t="s">
        <v>959</v>
      </c>
      <c r="J19" t="s">
        <v>960</v>
      </c>
      <c r="K19" t="s">
        <v>300</v>
      </c>
      <c r="L19" t="s">
        <v>961</v>
      </c>
    </row>
    <row r="20" spans="1:12" x14ac:dyDescent="0.35">
      <c r="A20" s="118" t="s">
        <v>962</v>
      </c>
      <c r="B20" s="118" t="s">
        <v>81</v>
      </c>
      <c r="C20" s="118"/>
      <c r="D20" s="127"/>
      <c r="E20" s="127"/>
      <c r="F20" s="118"/>
      <c r="G20" s="118"/>
      <c r="H20" s="118"/>
      <c r="J20" t="s">
        <v>310</v>
      </c>
      <c r="K20" t="str">
        <f>IF('Induction Employee Register'!W26="","",'Induction Employee Register'!W26)</f>
        <v/>
      </c>
      <c r="L20" t="s">
        <v>963</v>
      </c>
    </row>
    <row r="21" spans="1:12" x14ac:dyDescent="0.35">
      <c r="A21" s="118" t="s">
        <v>964</v>
      </c>
      <c r="B21" s="118" t="s">
        <v>81</v>
      </c>
      <c r="C21" s="118"/>
      <c r="D21" s="127"/>
      <c r="E21" s="127"/>
      <c r="F21" s="118"/>
      <c r="G21" s="118"/>
      <c r="H21" s="118"/>
      <c r="J21" t="s">
        <v>311</v>
      </c>
      <c r="K21" t="str">
        <f>IF('Induction Employee Register'!X26="","",'Induction Employee Register'!X26)</f>
        <v/>
      </c>
      <c r="L21" t="s">
        <v>965</v>
      </c>
    </row>
    <row r="22" spans="1:12" x14ac:dyDescent="0.35">
      <c r="A22" s="118" t="s">
        <v>966</v>
      </c>
      <c r="B22" s="118" t="s">
        <v>81</v>
      </c>
      <c r="C22" s="118"/>
      <c r="D22" s="127"/>
      <c r="E22" s="127"/>
      <c r="F22" s="118"/>
      <c r="G22" s="118"/>
      <c r="H22" s="118"/>
      <c r="J22" t="s">
        <v>312</v>
      </c>
      <c r="K22" t="str">
        <f>IF('Induction Employee Register'!Y26="","",'Induction Employee Register'!Y26)</f>
        <v/>
      </c>
      <c r="L22" t="s">
        <v>967</v>
      </c>
    </row>
    <row r="23" spans="1:12" x14ac:dyDescent="0.35">
      <c r="A23" s="118" t="s">
        <v>52</v>
      </c>
      <c r="B23" s="118" t="s">
        <v>81</v>
      </c>
      <c r="C23" s="118"/>
      <c r="D23" s="127"/>
      <c r="E23" s="127"/>
      <c r="F23" s="118"/>
      <c r="G23" s="118"/>
      <c r="H23" s="118"/>
      <c r="J23" t="s">
        <v>313</v>
      </c>
      <c r="K23" t="str">
        <f>IF('Induction Employee Register'!Z26="","",'Induction Employee Register'!Z26)</f>
        <v/>
      </c>
      <c r="L23" t="s">
        <v>968</v>
      </c>
    </row>
    <row r="24" spans="1:12" x14ac:dyDescent="0.35">
      <c r="A24" s="118" t="s">
        <v>50</v>
      </c>
      <c r="B24" s="118" t="s">
        <v>81</v>
      </c>
      <c r="C24" s="118"/>
      <c r="D24" s="127"/>
      <c r="E24" s="127"/>
      <c r="F24" s="118"/>
      <c r="G24" s="118"/>
      <c r="H24" s="118"/>
      <c r="J24" t="s">
        <v>314</v>
      </c>
      <c r="K24" t="str">
        <f>IF('Induction Employee Register'!AA26="","",'Induction Employee Register'!AA26)</f>
        <v/>
      </c>
      <c r="L24" t="s">
        <v>968</v>
      </c>
    </row>
    <row r="25" spans="1:12" x14ac:dyDescent="0.35">
      <c r="A25" s="118" t="s">
        <v>329</v>
      </c>
      <c r="B25" s="118" t="s">
        <v>81</v>
      </c>
      <c r="C25" s="118"/>
      <c r="D25" s="127"/>
      <c r="E25" s="127"/>
      <c r="F25" s="118"/>
      <c r="G25" s="118"/>
      <c r="H25" s="118"/>
      <c r="J25" t="s">
        <v>315</v>
      </c>
      <c r="K25" t="str">
        <f>IF('Induction Employee Register'!AB26="","",'Induction Employee Register'!AB26)</f>
        <v/>
      </c>
      <c r="L25" t="s">
        <v>967</v>
      </c>
    </row>
    <row r="26" spans="1:12" x14ac:dyDescent="0.35">
      <c r="A26" s="118" t="s">
        <v>969</v>
      </c>
      <c r="B26" s="118" t="s">
        <v>81</v>
      </c>
      <c r="C26" s="118"/>
      <c r="D26" s="127"/>
      <c r="E26" s="127"/>
      <c r="F26" s="118"/>
      <c r="G26" s="118"/>
      <c r="H26" s="118"/>
      <c r="J26" t="s">
        <v>316</v>
      </c>
      <c r="K26" t="str">
        <f>IF('Induction Employee Register'!AC26="","",'Induction Employee Register'!AC26)</f>
        <v/>
      </c>
      <c r="L26" t="s">
        <v>967</v>
      </c>
    </row>
    <row r="27" spans="1:12" x14ac:dyDescent="0.35">
      <c r="A27" s="118" t="s">
        <v>970</v>
      </c>
      <c r="B27" s="118" t="s">
        <v>81</v>
      </c>
      <c r="C27" s="118"/>
      <c r="D27" s="127"/>
      <c r="E27" s="127"/>
      <c r="F27" s="118"/>
      <c r="G27" s="118"/>
      <c r="H27" s="118"/>
    </row>
    <row r="28" spans="1:12" x14ac:dyDescent="0.35">
      <c r="A28" s="118" t="s">
        <v>971</v>
      </c>
      <c r="B28" s="118" t="s">
        <v>81</v>
      </c>
      <c r="C28" s="118"/>
      <c r="D28" s="127"/>
      <c r="E28" s="127"/>
      <c r="F28" s="118"/>
      <c r="G28" s="118"/>
      <c r="H28" s="118"/>
    </row>
    <row r="29" spans="1:12" x14ac:dyDescent="0.35">
      <c r="A29" s="118" t="s">
        <v>972</v>
      </c>
      <c r="B29" s="118" t="s">
        <v>81</v>
      </c>
      <c r="C29" s="118"/>
      <c r="D29" s="127"/>
      <c r="E29" s="127"/>
      <c r="F29" s="118"/>
      <c r="G29" s="118"/>
      <c r="H29" s="118"/>
    </row>
    <row r="30" spans="1:12" x14ac:dyDescent="0.35">
      <c r="A30" s="118" t="s">
        <v>973</v>
      </c>
      <c r="B30" s="118" t="s">
        <v>81</v>
      </c>
      <c r="C30" s="118"/>
      <c r="D30" s="127"/>
      <c r="E30" s="127"/>
      <c r="F30" s="118"/>
      <c r="G30" s="118"/>
      <c r="H30" s="118"/>
    </row>
    <row r="31" spans="1:12" x14ac:dyDescent="0.35">
      <c r="A31" s="118" t="s">
        <v>974</v>
      </c>
      <c r="B31" s="118" t="s">
        <v>81</v>
      </c>
      <c r="C31" s="118"/>
      <c r="D31" s="127"/>
      <c r="E31" s="127"/>
      <c r="F31" s="118"/>
      <c r="G31" s="118"/>
      <c r="H31" s="118"/>
    </row>
    <row r="32" spans="1:12" x14ac:dyDescent="0.35">
      <c r="A32" s="118" t="s">
        <v>975</v>
      </c>
      <c r="B32" s="118" t="s">
        <v>81</v>
      </c>
      <c r="C32" s="118"/>
      <c r="D32" s="127"/>
      <c r="E32" s="127"/>
      <c r="F32" s="118"/>
      <c r="G32" s="118"/>
      <c r="H32" s="118"/>
    </row>
    <row r="33" spans="1:12" x14ac:dyDescent="0.35">
      <c r="A33" s="118" t="s">
        <v>54</v>
      </c>
      <c r="B33" s="118" t="s">
        <v>81</v>
      </c>
      <c r="C33" s="118"/>
      <c r="D33" s="127"/>
      <c r="E33" s="127"/>
      <c r="F33" s="118"/>
      <c r="G33" s="118"/>
      <c r="H33" s="118"/>
    </row>
    <row r="34" spans="1:12" x14ac:dyDescent="0.35">
      <c r="A34" s="119" t="s">
        <v>976</v>
      </c>
      <c r="B34" s="119" t="s">
        <v>81</v>
      </c>
      <c r="C34" s="119"/>
      <c r="D34" s="127"/>
      <c r="E34" s="127"/>
      <c r="F34" s="119"/>
      <c r="G34" s="119"/>
      <c r="H34" s="119"/>
    </row>
    <row r="35" spans="1:12" ht="24" customHeight="1" x14ac:dyDescent="0.35">
      <c r="A35" s="130" t="s">
        <v>977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</row>
    <row r="36" spans="1:12" x14ac:dyDescent="0.35">
      <c r="A36" s="119" t="s">
        <v>978</v>
      </c>
      <c r="B36" s="119" t="s">
        <v>81</v>
      </c>
      <c r="C36" s="119"/>
      <c r="D36" s="127"/>
      <c r="E36" s="127"/>
      <c r="F36" s="119"/>
      <c r="G36" s="119"/>
      <c r="H36" s="119"/>
    </row>
    <row r="37" spans="1:12" x14ac:dyDescent="0.35">
      <c r="A37" s="119" t="s">
        <v>979</v>
      </c>
      <c r="B37" s="119" t="s">
        <v>81</v>
      </c>
      <c r="C37" s="119"/>
      <c r="D37" s="127"/>
      <c r="E37" s="127"/>
      <c r="F37" s="119"/>
      <c r="G37" s="119"/>
      <c r="H37" s="119"/>
    </row>
    <row r="38" spans="1:12" x14ac:dyDescent="0.35">
      <c r="A38" s="119" t="s">
        <v>980</v>
      </c>
      <c r="B38" s="119" t="s">
        <v>81</v>
      </c>
      <c r="C38" s="119"/>
      <c r="D38" s="127"/>
      <c r="E38" s="127"/>
      <c r="F38" s="119"/>
      <c r="G38" s="119"/>
      <c r="H38" s="119"/>
    </row>
    <row r="39" spans="1:12" x14ac:dyDescent="0.35">
      <c r="A39" s="119" t="s">
        <v>981</v>
      </c>
      <c r="B39" s="119" t="s">
        <v>81</v>
      </c>
      <c r="C39" s="119"/>
      <c r="D39" s="127"/>
      <c r="E39" s="127"/>
      <c r="F39" s="119"/>
      <c r="G39" s="119"/>
      <c r="H39" s="119"/>
    </row>
    <row r="40" spans="1:12" x14ac:dyDescent="0.35">
      <c r="A40" s="119" t="s">
        <v>982</v>
      </c>
      <c r="B40" s="119" t="s">
        <v>81</v>
      </c>
      <c r="C40" s="119"/>
      <c r="D40" s="127"/>
      <c r="E40" s="127"/>
      <c r="F40" s="119"/>
      <c r="G40" s="119"/>
      <c r="H40" s="119"/>
    </row>
    <row r="41" spans="1:12" x14ac:dyDescent="0.35">
      <c r="A41" s="118"/>
      <c r="B41" s="118"/>
      <c r="C41" s="118"/>
      <c r="D41" s="127"/>
      <c r="E41" s="127"/>
      <c r="F41" s="118"/>
      <c r="G41" s="118"/>
      <c r="H41" s="118"/>
    </row>
    <row r="42" spans="1:12" x14ac:dyDescent="0.35">
      <c r="A42" s="120" t="s">
        <v>983</v>
      </c>
      <c r="B42" s="118"/>
      <c r="C42" s="118"/>
      <c r="D42" s="127"/>
      <c r="E42" s="127"/>
      <c r="F42" s="118"/>
      <c r="G42" s="118"/>
      <c r="H42" s="118"/>
      <c r="I42" s="96"/>
      <c r="J42" s="96"/>
      <c r="K42" s="96"/>
      <c r="L42" s="96"/>
    </row>
    <row r="43" spans="1:12" x14ac:dyDescent="0.35">
      <c r="A43" s="118"/>
      <c r="B43" s="118"/>
      <c r="C43" s="118"/>
      <c r="D43" s="127"/>
      <c r="E43" s="127"/>
      <c r="F43" s="118"/>
      <c r="G43" s="118"/>
      <c r="H43" s="118"/>
    </row>
    <row r="44" spans="1:12" ht="29" x14ac:dyDescent="0.35">
      <c r="A44" s="116" t="s">
        <v>984</v>
      </c>
      <c r="B44" s="116" t="s">
        <v>985</v>
      </c>
      <c r="C44" s="116" t="s">
        <v>986</v>
      </c>
      <c r="D44" s="116" t="s">
        <v>987</v>
      </c>
      <c r="E44" s="116" t="s">
        <v>988</v>
      </c>
      <c r="F44" s="116" t="s">
        <v>989</v>
      </c>
      <c r="G44" s="116" t="s">
        <v>389</v>
      </c>
      <c r="H44" s="116" t="s">
        <v>870</v>
      </c>
      <c r="I44" s="100" t="s">
        <v>390</v>
      </c>
      <c r="J44" s="100" t="s">
        <v>990</v>
      </c>
      <c r="K44" s="100" t="s">
        <v>991</v>
      </c>
      <c r="L44" s="100" t="s">
        <v>992</v>
      </c>
    </row>
    <row r="45" spans="1:12" ht="29" x14ac:dyDescent="0.35">
      <c r="A45" s="121" t="s">
        <v>993</v>
      </c>
      <c r="B45" s="121" t="s">
        <v>994</v>
      </c>
      <c r="C45" s="121" t="s">
        <v>995</v>
      </c>
      <c r="D45" s="121"/>
      <c r="E45" s="121" t="s">
        <v>996</v>
      </c>
      <c r="F45" s="121"/>
      <c r="G45" s="121"/>
      <c r="H45" s="121"/>
      <c r="I45" s="21"/>
      <c r="J45" s="21"/>
      <c r="K45" s="21"/>
      <c r="L45" s="21"/>
    </row>
    <row r="46" spans="1:12" ht="29" x14ac:dyDescent="0.35">
      <c r="A46" s="21" t="s">
        <v>993</v>
      </c>
      <c r="B46" s="21" t="s">
        <v>997</v>
      </c>
      <c r="C46" s="21" t="s">
        <v>998</v>
      </c>
      <c r="D46" s="21"/>
      <c r="E46" s="21" t="s">
        <v>996</v>
      </c>
      <c r="F46" s="21"/>
      <c r="G46" s="21"/>
      <c r="H46" s="21"/>
      <c r="I46" s="21"/>
      <c r="J46" s="21"/>
      <c r="K46" s="21"/>
      <c r="L46" s="21"/>
    </row>
    <row r="47" spans="1:12" ht="29" x14ac:dyDescent="0.35">
      <c r="A47" s="21" t="s">
        <v>993</v>
      </c>
      <c r="B47" s="21" t="s">
        <v>999</v>
      </c>
      <c r="C47" s="21" t="s">
        <v>1000</v>
      </c>
      <c r="D47" s="21"/>
      <c r="E47" s="21" t="s">
        <v>996</v>
      </c>
      <c r="F47" s="21"/>
      <c r="G47" s="21"/>
      <c r="H47" s="21"/>
      <c r="I47" s="21"/>
      <c r="J47" s="21"/>
      <c r="K47" s="21"/>
      <c r="L47" s="21"/>
    </row>
    <row r="48" spans="1:12" ht="29" x14ac:dyDescent="0.35">
      <c r="A48" s="21" t="s">
        <v>993</v>
      </c>
      <c r="B48" s="21" t="s">
        <v>1001</v>
      </c>
      <c r="C48" s="21" t="s">
        <v>1002</v>
      </c>
      <c r="D48" s="21"/>
      <c r="E48" s="21" t="s">
        <v>996</v>
      </c>
      <c r="F48" s="21"/>
      <c r="G48" s="21"/>
      <c r="H48" s="21"/>
      <c r="I48" s="21"/>
      <c r="J48" s="21"/>
      <c r="K48" s="21"/>
      <c r="L48" s="21"/>
    </row>
    <row r="49" spans="1:12" ht="43.5" x14ac:dyDescent="0.35">
      <c r="A49" s="21" t="s">
        <v>993</v>
      </c>
      <c r="B49" s="21" t="s">
        <v>1003</v>
      </c>
      <c r="C49" s="21" t="s">
        <v>1004</v>
      </c>
      <c r="D49" s="21"/>
      <c r="E49" s="21" t="s">
        <v>996</v>
      </c>
      <c r="F49" s="21"/>
      <c r="G49" s="21"/>
      <c r="H49" s="21"/>
      <c r="I49" s="21"/>
      <c r="J49" s="21"/>
      <c r="K49" s="21"/>
      <c r="L49" s="21"/>
    </row>
    <row r="50" spans="1:12" ht="29" x14ac:dyDescent="0.35">
      <c r="A50" s="21" t="s">
        <v>993</v>
      </c>
      <c r="B50" s="21" t="s">
        <v>1005</v>
      </c>
      <c r="C50" s="21" t="s">
        <v>1006</v>
      </c>
      <c r="D50" s="21"/>
      <c r="E50" s="21" t="s">
        <v>996</v>
      </c>
      <c r="F50" s="21"/>
      <c r="G50" s="21"/>
      <c r="H50" s="21"/>
      <c r="I50" s="21"/>
      <c r="J50" s="21"/>
      <c r="K50" s="21"/>
      <c r="L50" s="21"/>
    </row>
    <row r="51" spans="1:12" ht="43.5" x14ac:dyDescent="0.35">
      <c r="A51" s="21" t="s">
        <v>1007</v>
      </c>
      <c r="B51" s="21" t="s">
        <v>1008</v>
      </c>
      <c r="C51" s="21" t="s">
        <v>1009</v>
      </c>
      <c r="D51" s="21"/>
      <c r="E51" s="21" t="s">
        <v>996</v>
      </c>
      <c r="F51" s="21"/>
      <c r="G51" s="21"/>
      <c r="H51" s="21"/>
      <c r="I51" s="21"/>
      <c r="J51" s="21"/>
      <c r="K51" s="21"/>
      <c r="L51" s="21"/>
    </row>
    <row r="52" spans="1:12" ht="29" x14ac:dyDescent="0.35">
      <c r="A52" s="21" t="s">
        <v>1007</v>
      </c>
      <c r="B52" s="21" t="s">
        <v>1010</v>
      </c>
      <c r="C52" s="21" t="s">
        <v>1011</v>
      </c>
      <c r="D52" s="21"/>
      <c r="E52" s="21" t="s">
        <v>996</v>
      </c>
      <c r="F52" s="21"/>
      <c r="G52" s="21"/>
      <c r="H52" s="21"/>
      <c r="I52" s="21"/>
      <c r="J52" s="21"/>
      <c r="K52" s="21"/>
      <c r="L52" s="21"/>
    </row>
    <row r="53" spans="1:12" ht="29" x14ac:dyDescent="0.35">
      <c r="A53" s="21" t="s">
        <v>1007</v>
      </c>
      <c r="B53" s="21" t="s">
        <v>1012</v>
      </c>
      <c r="C53" s="21" t="s">
        <v>1013</v>
      </c>
      <c r="D53" s="21"/>
      <c r="E53" s="21" t="s">
        <v>996</v>
      </c>
      <c r="F53" s="21"/>
      <c r="G53" s="21"/>
      <c r="H53" s="21"/>
      <c r="I53" s="21"/>
      <c r="J53" s="21"/>
      <c r="K53" s="21"/>
      <c r="L53" s="21"/>
    </row>
    <row r="54" spans="1:12" ht="29" x14ac:dyDescent="0.35">
      <c r="A54" s="21" t="s">
        <v>1007</v>
      </c>
      <c r="B54" s="21" t="s">
        <v>1014</v>
      </c>
      <c r="C54" s="21" t="s">
        <v>1015</v>
      </c>
      <c r="D54" s="21"/>
      <c r="E54" s="21" t="s">
        <v>996</v>
      </c>
      <c r="F54" s="21"/>
      <c r="G54" s="21"/>
      <c r="H54" s="21"/>
      <c r="I54" s="21"/>
      <c r="J54" s="21"/>
      <c r="K54" s="21"/>
      <c r="L54" s="21"/>
    </row>
    <row r="55" spans="1:12" ht="29" x14ac:dyDescent="0.35">
      <c r="A55" s="21" t="s">
        <v>1007</v>
      </c>
      <c r="B55" s="21" t="s">
        <v>1016</v>
      </c>
      <c r="C55" s="21" t="s">
        <v>1017</v>
      </c>
      <c r="D55" s="21"/>
      <c r="E55" s="21" t="s">
        <v>996</v>
      </c>
      <c r="F55" s="21"/>
      <c r="G55" s="21"/>
      <c r="H55" s="21"/>
      <c r="I55" s="21"/>
      <c r="J55" s="21"/>
      <c r="K55" s="21"/>
      <c r="L55" s="21"/>
    </row>
    <row r="56" spans="1:12" ht="29" x14ac:dyDescent="0.35">
      <c r="A56" s="21" t="s">
        <v>1007</v>
      </c>
      <c r="B56" s="21" t="s">
        <v>1018</v>
      </c>
      <c r="C56" s="21" t="s">
        <v>1019</v>
      </c>
      <c r="D56" s="21"/>
      <c r="E56" s="21" t="s">
        <v>996</v>
      </c>
      <c r="F56" s="21"/>
      <c r="G56" s="21"/>
      <c r="H56" s="21"/>
      <c r="I56" s="21"/>
      <c r="J56" s="21"/>
      <c r="K56" s="21"/>
      <c r="L56" s="21"/>
    </row>
    <row r="57" spans="1:12" ht="43.5" x14ac:dyDescent="0.35">
      <c r="A57" s="21" t="s">
        <v>1020</v>
      </c>
      <c r="B57" s="21" t="s">
        <v>1021</v>
      </c>
      <c r="C57" s="21" t="s">
        <v>1022</v>
      </c>
      <c r="D57" s="21"/>
      <c r="E57" s="21" t="s">
        <v>1023</v>
      </c>
      <c r="F57" s="21"/>
      <c r="G57" s="21"/>
      <c r="H57" s="21"/>
      <c r="I57" s="21"/>
      <c r="J57" s="21"/>
      <c r="K57" s="21"/>
      <c r="L57" s="21"/>
    </row>
    <row r="58" spans="1:12" ht="43.5" x14ac:dyDescent="0.35">
      <c r="A58" s="21" t="s">
        <v>1020</v>
      </c>
      <c r="B58" s="21" t="s">
        <v>1024</v>
      </c>
      <c r="C58" s="21" t="s">
        <v>1025</v>
      </c>
      <c r="D58" s="21"/>
      <c r="E58" s="21" t="s">
        <v>1023</v>
      </c>
      <c r="F58" s="21"/>
      <c r="G58" s="21"/>
      <c r="H58" s="21"/>
      <c r="I58" s="21"/>
      <c r="J58" s="21"/>
      <c r="K58" s="21"/>
      <c r="L58" s="21"/>
    </row>
    <row r="59" spans="1:12" ht="43.5" x14ac:dyDescent="0.35">
      <c r="A59" s="21" t="s">
        <v>1020</v>
      </c>
      <c r="B59" s="21" t="s">
        <v>1026</v>
      </c>
      <c r="C59" s="21" t="s">
        <v>1027</v>
      </c>
      <c r="D59" s="21"/>
      <c r="E59" s="21" t="s">
        <v>1023</v>
      </c>
      <c r="F59" s="21"/>
      <c r="G59" s="21"/>
      <c r="H59" s="21"/>
      <c r="I59" s="21"/>
      <c r="J59" s="21"/>
      <c r="K59" s="21"/>
      <c r="L59" s="21"/>
    </row>
    <row r="60" spans="1:12" ht="43.5" x14ac:dyDescent="0.35">
      <c r="A60" s="21" t="s">
        <v>1020</v>
      </c>
      <c r="B60" s="21" t="s">
        <v>1028</v>
      </c>
      <c r="C60" s="21" t="s">
        <v>1029</v>
      </c>
      <c r="D60" s="21"/>
      <c r="E60" s="21" t="s">
        <v>1023</v>
      </c>
      <c r="F60" s="21"/>
      <c r="G60" s="21"/>
      <c r="H60" s="21"/>
      <c r="I60" s="21"/>
      <c r="J60" s="21"/>
      <c r="K60" s="21"/>
      <c r="L60" s="21"/>
    </row>
    <row r="61" spans="1:12" ht="43.5" x14ac:dyDescent="0.35">
      <c r="A61" s="21" t="s">
        <v>1020</v>
      </c>
      <c r="B61" s="21" t="s">
        <v>1030</v>
      </c>
      <c r="C61" s="21" t="s">
        <v>1031</v>
      </c>
      <c r="D61" s="21"/>
      <c r="E61" s="21" t="s">
        <v>1023</v>
      </c>
      <c r="F61" s="21"/>
      <c r="G61" s="21"/>
      <c r="H61" s="21"/>
      <c r="I61" s="21"/>
      <c r="J61" s="21"/>
      <c r="K61" s="21"/>
      <c r="L61" s="21"/>
    </row>
    <row r="62" spans="1:12" ht="43.5" x14ac:dyDescent="0.35">
      <c r="A62" s="21" t="s">
        <v>1020</v>
      </c>
      <c r="B62" s="21" t="s">
        <v>1032</v>
      </c>
      <c r="C62" s="21" t="s">
        <v>1033</v>
      </c>
      <c r="D62" s="21"/>
      <c r="E62" s="21" t="s">
        <v>1023</v>
      </c>
      <c r="F62" s="21"/>
      <c r="G62" s="21"/>
      <c r="H62" s="21"/>
      <c r="I62" s="21"/>
      <c r="J62" s="21"/>
      <c r="K62" s="21"/>
      <c r="L62" s="21"/>
    </row>
    <row r="63" spans="1:12" ht="29" x14ac:dyDescent="0.35">
      <c r="A63" s="21" t="s">
        <v>428</v>
      </c>
      <c r="B63" s="21" t="s">
        <v>1034</v>
      </c>
      <c r="C63" s="21" t="s">
        <v>1035</v>
      </c>
      <c r="D63" s="21"/>
      <c r="E63" s="21" t="s">
        <v>996</v>
      </c>
      <c r="F63" s="21"/>
      <c r="G63" s="21"/>
      <c r="H63" s="21"/>
      <c r="I63" s="21"/>
      <c r="J63" s="21"/>
      <c r="K63" s="21"/>
      <c r="L63" s="21"/>
    </row>
    <row r="64" spans="1:12" ht="43.5" x14ac:dyDescent="0.35">
      <c r="A64" s="21" t="s">
        <v>428</v>
      </c>
      <c r="B64" s="21" t="s">
        <v>1036</v>
      </c>
      <c r="C64" s="21" t="s">
        <v>1037</v>
      </c>
      <c r="D64" s="21"/>
      <c r="E64" s="21" t="s">
        <v>996</v>
      </c>
      <c r="F64" s="21"/>
      <c r="G64" s="21"/>
      <c r="H64" s="21"/>
      <c r="I64" s="21"/>
      <c r="J64" s="21"/>
      <c r="K64" s="21"/>
      <c r="L64" s="21"/>
    </row>
    <row r="65" spans="1:12" ht="29" x14ac:dyDescent="0.35">
      <c r="A65" s="21" t="s">
        <v>428</v>
      </c>
      <c r="B65" s="21" t="s">
        <v>1038</v>
      </c>
      <c r="C65" s="21" t="s">
        <v>1039</v>
      </c>
      <c r="D65" s="21"/>
      <c r="E65" s="21" t="s">
        <v>996</v>
      </c>
      <c r="F65" s="21"/>
      <c r="G65" s="21"/>
      <c r="H65" s="21"/>
      <c r="I65" s="21"/>
      <c r="J65" s="21"/>
      <c r="K65" s="21"/>
      <c r="L65" s="21"/>
    </row>
    <row r="66" spans="1:12" ht="43.5" x14ac:dyDescent="0.35">
      <c r="A66" s="21" t="s">
        <v>428</v>
      </c>
      <c r="B66" s="21" t="s">
        <v>1040</v>
      </c>
      <c r="C66" s="21" t="s">
        <v>1041</v>
      </c>
      <c r="D66" s="21"/>
      <c r="E66" s="21" t="s">
        <v>996</v>
      </c>
      <c r="F66" s="21"/>
      <c r="G66" s="21"/>
      <c r="H66" s="21"/>
      <c r="I66" s="21"/>
      <c r="J66" s="21"/>
      <c r="K66" s="21"/>
      <c r="L66" s="21"/>
    </row>
    <row r="67" spans="1:12" ht="29" x14ac:dyDescent="0.35">
      <c r="A67" s="21" t="s">
        <v>428</v>
      </c>
      <c r="B67" s="21" t="s">
        <v>1042</v>
      </c>
      <c r="C67" s="21" t="s">
        <v>1043</v>
      </c>
      <c r="D67" s="21"/>
      <c r="E67" s="21" t="s">
        <v>996</v>
      </c>
      <c r="F67" s="21"/>
      <c r="G67" s="21"/>
      <c r="H67" s="21"/>
      <c r="I67" s="21"/>
      <c r="J67" s="21"/>
      <c r="K67" s="21"/>
      <c r="L67" s="21"/>
    </row>
    <row r="68" spans="1:12" ht="29" x14ac:dyDescent="0.35">
      <c r="A68" s="21" t="s">
        <v>428</v>
      </c>
      <c r="B68" s="21" t="s">
        <v>1044</v>
      </c>
      <c r="C68" s="21" t="s">
        <v>1045</v>
      </c>
      <c r="D68" s="21"/>
      <c r="E68" s="21" t="s">
        <v>996</v>
      </c>
      <c r="F68" s="21"/>
      <c r="G68" s="21"/>
      <c r="H68" s="21"/>
      <c r="I68" s="21"/>
      <c r="J68" s="21"/>
      <c r="K68" s="21"/>
      <c r="L68" s="21"/>
    </row>
    <row r="69" spans="1:12" ht="29" x14ac:dyDescent="0.35">
      <c r="A69" s="21" t="s">
        <v>1046</v>
      </c>
      <c r="B69" s="21" t="s">
        <v>1047</v>
      </c>
      <c r="C69" s="21" t="s">
        <v>1048</v>
      </c>
      <c r="D69" s="21"/>
      <c r="E69" s="21" t="s">
        <v>996</v>
      </c>
      <c r="F69" s="21"/>
      <c r="G69" s="21"/>
      <c r="H69" s="21"/>
      <c r="I69" s="21"/>
      <c r="J69" s="21"/>
      <c r="K69" s="21"/>
      <c r="L69" s="21"/>
    </row>
    <row r="70" spans="1:12" ht="29" x14ac:dyDescent="0.35">
      <c r="A70" s="21" t="s">
        <v>1046</v>
      </c>
      <c r="B70" s="21" t="s">
        <v>1049</v>
      </c>
      <c r="C70" s="21" t="s">
        <v>1050</v>
      </c>
      <c r="D70" s="21"/>
      <c r="E70" s="21" t="s">
        <v>996</v>
      </c>
      <c r="F70" s="21"/>
      <c r="G70" s="21"/>
      <c r="H70" s="21"/>
      <c r="I70" s="21"/>
      <c r="J70" s="21"/>
      <c r="K70" s="21"/>
      <c r="L70" s="21"/>
    </row>
    <row r="71" spans="1:12" ht="29" x14ac:dyDescent="0.35">
      <c r="A71" s="21" t="s">
        <v>1046</v>
      </c>
      <c r="B71" s="21" t="s">
        <v>1051</v>
      </c>
      <c r="C71" s="21" t="s">
        <v>1052</v>
      </c>
      <c r="D71" s="21"/>
      <c r="E71" s="21" t="s">
        <v>996</v>
      </c>
      <c r="F71" s="21"/>
      <c r="G71" s="21"/>
      <c r="H71" s="21"/>
      <c r="I71" s="21"/>
      <c r="J71" s="21"/>
      <c r="K71" s="21"/>
      <c r="L71" s="21"/>
    </row>
    <row r="72" spans="1:12" ht="29" x14ac:dyDescent="0.35">
      <c r="A72" s="21" t="s">
        <v>1046</v>
      </c>
      <c r="B72" s="21" t="s">
        <v>1053</v>
      </c>
      <c r="C72" s="21" t="s">
        <v>1054</v>
      </c>
      <c r="D72" s="21"/>
      <c r="E72" s="21" t="s">
        <v>996</v>
      </c>
      <c r="F72" s="21"/>
      <c r="G72" s="21"/>
      <c r="H72" s="21"/>
      <c r="I72" s="21"/>
      <c r="J72" s="21"/>
      <c r="K72" s="21"/>
      <c r="L72" s="21"/>
    </row>
    <row r="73" spans="1:12" ht="29" x14ac:dyDescent="0.35">
      <c r="A73" s="21" t="s">
        <v>1046</v>
      </c>
      <c r="B73" s="21" t="s">
        <v>1055</v>
      </c>
      <c r="C73" s="21" t="s">
        <v>1056</v>
      </c>
      <c r="D73" s="21"/>
      <c r="E73" s="21" t="s">
        <v>996</v>
      </c>
      <c r="F73" s="21"/>
      <c r="G73" s="21"/>
      <c r="H73" s="21"/>
      <c r="I73" s="21"/>
      <c r="J73" s="21"/>
      <c r="K73" s="21"/>
      <c r="L73" s="21"/>
    </row>
    <row r="74" spans="1:12" ht="29" x14ac:dyDescent="0.35">
      <c r="A74" s="21" t="s">
        <v>1046</v>
      </c>
      <c r="B74" s="21" t="s">
        <v>1057</v>
      </c>
      <c r="C74" s="21" t="s">
        <v>1058</v>
      </c>
      <c r="D74" s="21"/>
      <c r="E74" s="21" t="s">
        <v>996</v>
      </c>
      <c r="F74" s="21"/>
      <c r="G74" s="21"/>
      <c r="H74" s="21"/>
      <c r="I74" s="21"/>
      <c r="J74" s="21"/>
      <c r="K74" s="21"/>
      <c r="L74" s="21"/>
    </row>
    <row r="75" spans="1:12" ht="29" x14ac:dyDescent="0.35">
      <c r="A75" s="21" t="s">
        <v>1059</v>
      </c>
      <c r="B75" s="21" t="s">
        <v>1060</v>
      </c>
      <c r="C75" s="21" t="s">
        <v>1061</v>
      </c>
      <c r="D75" s="21"/>
      <c r="E75" s="21" t="s">
        <v>996</v>
      </c>
      <c r="F75" s="21"/>
      <c r="G75" s="21"/>
      <c r="H75" s="21"/>
      <c r="I75" s="21"/>
      <c r="J75" s="21"/>
      <c r="K75" s="21"/>
      <c r="L75" s="21"/>
    </row>
    <row r="76" spans="1:12" ht="43.5" x14ac:dyDescent="0.35">
      <c r="A76" s="21" t="s">
        <v>1059</v>
      </c>
      <c r="B76" s="21" t="s">
        <v>1062</v>
      </c>
      <c r="C76" s="21" t="s">
        <v>1063</v>
      </c>
      <c r="D76" s="21"/>
      <c r="E76" s="21" t="s">
        <v>996</v>
      </c>
      <c r="F76" s="21"/>
      <c r="G76" s="21"/>
      <c r="H76" s="21"/>
      <c r="I76" s="21"/>
      <c r="J76" s="21"/>
      <c r="K76" s="21"/>
      <c r="L76" s="21"/>
    </row>
    <row r="77" spans="1:12" ht="29" x14ac:dyDescent="0.35">
      <c r="A77" s="21" t="s">
        <v>1059</v>
      </c>
      <c r="B77" s="21" t="s">
        <v>1064</v>
      </c>
      <c r="C77" s="21" t="s">
        <v>1065</v>
      </c>
      <c r="D77" s="21"/>
      <c r="E77" s="21" t="s">
        <v>996</v>
      </c>
      <c r="F77" s="21"/>
      <c r="G77" s="21"/>
      <c r="H77" s="21"/>
      <c r="I77" s="21"/>
      <c r="J77" s="21"/>
      <c r="K77" s="21"/>
      <c r="L77" s="21"/>
    </row>
    <row r="78" spans="1:12" ht="29" x14ac:dyDescent="0.35">
      <c r="A78" s="21" t="s">
        <v>1059</v>
      </c>
      <c r="B78" s="21" t="s">
        <v>1066</v>
      </c>
      <c r="C78" s="21" t="s">
        <v>1067</v>
      </c>
      <c r="D78" s="21"/>
      <c r="E78" s="21" t="s">
        <v>996</v>
      </c>
      <c r="F78" s="21"/>
      <c r="G78" s="21"/>
      <c r="H78" s="21"/>
      <c r="I78" s="21"/>
      <c r="J78" s="21"/>
      <c r="K78" s="21"/>
      <c r="L78" s="21"/>
    </row>
    <row r="79" spans="1:12" ht="29" x14ac:dyDescent="0.35">
      <c r="A79" s="21" t="s">
        <v>1059</v>
      </c>
      <c r="B79" s="21" t="s">
        <v>1068</v>
      </c>
      <c r="C79" s="21" t="s">
        <v>1069</v>
      </c>
      <c r="D79" s="21"/>
      <c r="E79" s="21" t="s">
        <v>996</v>
      </c>
      <c r="F79" s="21"/>
      <c r="G79" s="21"/>
      <c r="H79" s="21"/>
      <c r="I79" s="21"/>
      <c r="J79" s="21"/>
      <c r="K79" s="21"/>
      <c r="L79" s="21"/>
    </row>
    <row r="80" spans="1:12" ht="29" x14ac:dyDescent="0.35">
      <c r="A80" s="21" t="s">
        <v>1059</v>
      </c>
      <c r="B80" s="21" t="s">
        <v>1070</v>
      </c>
      <c r="C80" s="21" t="s">
        <v>1071</v>
      </c>
      <c r="D80" s="21"/>
      <c r="E80" s="21" t="s">
        <v>996</v>
      </c>
      <c r="F80" s="21"/>
      <c r="G80" s="21"/>
      <c r="H80" s="21"/>
      <c r="I80" s="21"/>
      <c r="J80" s="21"/>
      <c r="K80" s="21"/>
      <c r="L80" s="21"/>
    </row>
    <row r="81" spans="1:12" ht="29" x14ac:dyDescent="0.35">
      <c r="A81" s="21" t="s">
        <v>1072</v>
      </c>
      <c r="B81" s="21" t="s">
        <v>1073</v>
      </c>
      <c r="C81" s="21" t="s">
        <v>1074</v>
      </c>
      <c r="D81" s="21"/>
      <c r="E81" s="21" t="s">
        <v>996</v>
      </c>
      <c r="F81" s="21"/>
      <c r="G81" s="21"/>
      <c r="H81" s="21"/>
      <c r="I81" s="21"/>
      <c r="J81" s="21"/>
      <c r="K81" s="21"/>
      <c r="L81" s="21"/>
    </row>
    <row r="82" spans="1:12" ht="29" x14ac:dyDescent="0.35">
      <c r="A82" s="21" t="s">
        <v>1072</v>
      </c>
      <c r="B82" s="21" t="s">
        <v>1075</v>
      </c>
      <c r="C82" s="21" t="s">
        <v>1076</v>
      </c>
      <c r="D82" s="21"/>
      <c r="E82" s="21" t="s">
        <v>996</v>
      </c>
      <c r="F82" s="21"/>
      <c r="G82" s="21"/>
      <c r="H82" s="21"/>
      <c r="I82" s="21"/>
      <c r="J82" s="21"/>
      <c r="K82" s="21"/>
      <c r="L82" s="21"/>
    </row>
    <row r="83" spans="1:12" ht="29" x14ac:dyDescent="0.35">
      <c r="A83" s="21" t="s">
        <v>1072</v>
      </c>
      <c r="B83" s="21" t="s">
        <v>1077</v>
      </c>
      <c r="C83" s="21" t="s">
        <v>1078</v>
      </c>
      <c r="D83" s="21"/>
      <c r="E83" s="21" t="s">
        <v>996</v>
      </c>
      <c r="F83" s="21"/>
      <c r="G83" s="21"/>
      <c r="H83" s="21"/>
      <c r="I83" s="21"/>
      <c r="J83" s="21"/>
      <c r="K83" s="21"/>
      <c r="L83" s="21"/>
    </row>
    <row r="84" spans="1:12" ht="29" x14ac:dyDescent="0.35">
      <c r="A84" s="21" t="s">
        <v>1072</v>
      </c>
      <c r="B84" s="21" t="s">
        <v>1079</v>
      </c>
      <c r="C84" s="21" t="s">
        <v>1080</v>
      </c>
      <c r="D84" s="21"/>
      <c r="E84" s="21" t="s">
        <v>996</v>
      </c>
      <c r="F84" s="21"/>
      <c r="G84" s="21"/>
      <c r="H84" s="21"/>
      <c r="I84" s="21"/>
      <c r="J84" s="21"/>
      <c r="K84" s="21"/>
      <c r="L84" s="21"/>
    </row>
    <row r="85" spans="1:12" ht="29" x14ac:dyDescent="0.35">
      <c r="A85" s="21" t="s">
        <v>1072</v>
      </c>
      <c r="B85" s="21" t="s">
        <v>1081</v>
      </c>
      <c r="C85" s="21" t="s">
        <v>1082</v>
      </c>
      <c r="D85" s="21"/>
      <c r="E85" s="21" t="s">
        <v>996</v>
      </c>
      <c r="F85" s="21"/>
      <c r="G85" s="21"/>
      <c r="H85" s="21"/>
      <c r="I85" s="21"/>
      <c r="J85" s="21"/>
      <c r="K85" s="21"/>
      <c r="L85" s="21"/>
    </row>
    <row r="86" spans="1:12" ht="29" x14ac:dyDescent="0.35">
      <c r="A86" s="21" t="s">
        <v>1072</v>
      </c>
      <c r="B86" s="21" t="s">
        <v>1083</v>
      </c>
      <c r="C86" s="21" t="s">
        <v>1084</v>
      </c>
      <c r="D86" s="21"/>
      <c r="E86" s="21" t="s">
        <v>996</v>
      </c>
      <c r="F86" s="21"/>
      <c r="G86" s="21"/>
      <c r="H86" s="21"/>
      <c r="I86" s="21"/>
      <c r="J86" s="21"/>
      <c r="K86" s="21"/>
      <c r="L86" s="21"/>
    </row>
    <row r="87" spans="1:12" ht="29" x14ac:dyDescent="0.35">
      <c r="A87" s="21" t="s">
        <v>1085</v>
      </c>
      <c r="B87" s="21" t="s">
        <v>1086</v>
      </c>
      <c r="C87" s="21" t="s">
        <v>1087</v>
      </c>
      <c r="D87" s="21"/>
      <c r="E87" s="21" t="s">
        <v>996</v>
      </c>
      <c r="F87" s="21"/>
      <c r="G87" s="21"/>
      <c r="H87" s="21"/>
      <c r="I87" s="21"/>
      <c r="J87" s="21"/>
      <c r="K87" s="21"/>
      <c r="L87" s="21"/>
    </row>
    <row r="88" spans="1:12" ht="29" x14ac:dyDescent="0.35">
      <c r="A88" s="21" t="s">
        <v>1085</v>
      </c>
      <c r="B88" s="21" t="s">
        <v>1088</v>
      </c>
      <c r="C88" s="21" t="s">
        <v>1089</v>
      </c>
      <c r="D88" s="21"/>
      <c r="E88" s="21" t="s">
        <v>996</v>
      </c>
      <c r="F88" s="21"/>
      <c r="G88" s="21"/>
      <c r="H88" s="21"/>
      <c r="I88" s="21"/>
      <c r="J88" s="21"/>
      <c r="K88" s="21"/>
      <c r="L88" s="21"/>
    </row>
    <row r="89" spans="1:12" ht="29" x14ac:dyDescent="0.35">
      <c r="A89" s="21" t="s">
        <v>1085</v>
      </c>
      <c r="B89" s="21" t="s">
        <v>1090</v>
      </c>
      <c r="C89" s="21" t="s">
        <v>1091</v>
      </c>
      <c r="D89" s="21"/>
      <c r="E89" s="21" t="s">
        <v>996</v>
      </c>
      <c r="F89" s="21"/>
      <c r="G89" s="21"/>
      <c r="H89" s="21"/>
      <c r="I89" s="21"/>
      <c r="J89" s="21"/>
      <c r="K89" s="21"/>
      <c r="L89" s="21"/>
    </row>
    <row r="90" spans="1:12" ht="29" x14ac:dyDescent="0.35">
      <c r="A90" s="21" t="s">
        <v>1085</v>
      </c>
      <c r="B90" s="21" t="s">
        <v>1092</v>
      </c>
      <c r="C90" s="21" t="s">
        <v>1093</v>
      </c>
      <c r="D90" s="21"/>
      <c r="E90" s="21" t="s">
        <v>996</v>
      </c>
      <c r="F90" s="21"/>
      <c r="G90" s="21"/>
      <c r="H90" s="21"/>
      <c r="I90" s="21"/>
      <c r="J90" s="21"/>
      <c r="K90" s="21"/>
      <c r="L90" s="21"/>
    </row>
    <row r="91" spans="1:12" ht="29" x14ac:dyDescent="0.35">
      <c r="A91" s="21" t="s">
        <v>1085</v>
      </c>
      <c r="B91" s="21" t="s">
        <v>1094</v>
      </c>
      <c r="C91" s="21" t="s">
        <v>1095</v>
      </c>
      <c r="D91" s="21"/>
      <c r="E91" s="21" t="s">
        <v>996</v>
      </c>
      <c r="F91" s="21"/>
      <c r="G91" s="21"/>
      <c r="H91" s="21"/>
      <c r="I91" s="21"/>
      <c r="J91" s="21"/>
      <c r="K91" s="21"/>
      <c r="L91" s="21"/>
    </row>
    <row r="92" spans="1:12" ht="29" x14ac:dyDescent="0.35">
      <c r="A92" s="21" t="s">
        <v>1085</v>
      </c>
      <c r="B92" s="21" t="s">
        <v>1096</v>
      </c>
      <c r="C92" s="21" t="s">
        <v>1097</v>
      </c>
      <c r="D92" s="21"/>
      <c r="E92" s="21" t="s">
        <v>996</v>
      </c>
      <c r="F92" s="21"/>
      <c r="G92" s="21"/>
      <c r="H92" s="21"/>
      <c r="I92" s="21"/>
      <c r="J92" s="21"/>
      <c r="K92" s="21"/>
      <c r="L92" s="21"/>
    </row>
    <row r="93" spans="1:12" ht="29" x14ac:dyDescent="0.35">
      <c r="A93" s="21" t="s">
        <v>1098</v>
      </c>
      <c r="B93" s="21" t="s">
        <v>1099</v>
      </c>
      <c r="C93" s="21" t="s">
        <v>1100</v>
      </c>
      <c r="D93" s="21"/>
      <c r="E93" s="21" t="s">
        <v>996</v>
      </c>
      <c r="F93" s="21"/>
      <c r="G93" s="21"/>
      <c r="H93" s="21"/>
      <c r="I93" s="21"/>
      <c r="J93" s="21"/>
      <c r="K93" s="21"/>
      <c r="L93" s="21"/>
    </row>
    <row r="94" spans="1:12" ht="29" x14ac:dyDescent="0.35">
      <c r="A94" s="21" t="s">
        <v>1098</v>
      </c>
      <c r="B94" s="21" t="s">
        <v>1101</v>
      </c>
      <c r="C94" s="21" t="s">
        <v>1102</v>
      </c>
      <c r="D94" s="21"/>
      <c r="E94" s="21" t="s">
        <v>996</v>
      </c>
      <c r="F94" s="21"/>
      <c r="G94" s="21"/>
      <c r="H94" s="21"/>
      <c r="I94" s="21"/>
      <c r="J94" s="21"/>
      <c r="K94" s="21"/>
      <c r="L94" s="21"/>
    </row>
    <row r="95" spans="1:12" ht="29" x14ac:dyDescent="0.35">
      <c r="A95" s="21" t="s">
        <v>1098</v>
      </c>
      <c r="B95" s="21" t="s">
        <v>1103</v>
      </c>
      <c r="C95" s="21" t="s">
        <v>1104</v>
      </c>
      <c r="D95" s="21"/>
      <c r="E95" s="21" t="s">
        <v>996</v>
      </c>
      <c r="F95" s="21"/>
      <c r="G95" s="21"/>
      <c r="H95" s="21"/>
      <c r="I95" s="21"/>
      <c r="J95" s="21"/>
      <c r="K95" s="21"/>
      <c r="L95" s="21"/>
    </row>
    <row r="96" spans="1:12" ht="29" x14ac:dyDescent="0.35">
      <c r="A96" s="21" t="s">
        <v>1098</v>
      </c>
      <c r="B96" s="21" t="s">
        <v>1105</v>
      </c>
      <c r="C96" s="21" t="s">
        <v>1106</v>
      </c>
      <c r="D96" s="21"/>
      <c r="E96" s="21" t="s">
        <v>996</v>
      </c>
      <c r="F96" s="21"/>
      <c r="G96" s="21"/>
      <c r="H96" s="21"/>
      <c r="I96" s="21"/>
      <c r="J96" s="21"/>
      <c r="K96" s="21"/>
      <c r="L96" s="21"/>
    </row>
    <row r="97" spans="1:12" ht="29" x14ac:dyDescent="0.35">
      <c r="A97" s="21" t="s">
        <v>1098</v>
      </c>
      <c r="B97" s="21" t="s">
        <v>1107</v>
      </c>
      <c r="C97" s="21" t="s">
        <v>1108</v>
      </c>
      <c r="D97" s="21"/>
      <c r="E97" s="21" t="s">
        <v>996</v>
      </c>
      <c r="F97" s="21"/>
      <c r="G97" s="21"/>
      <c r="H97" s="21"/>
      <c r="I97" s="21"/>
      <c r="J97" s="21"/>
      <c r="K97" s="21"/>
      <c r="L97" s="21"/>
    </row>
    <row r="98" spans="1:12" ht="29" x14ac:dyDescent="0.35">
      <c r="A98" s="21" t="s">
        <v>1098</v>
      </c>
      <c r="B98" s="21" t="s">
        <v>1109</v>
      </c>
      <c r="C98" s="21" t="s">
        <v>1110</v>
      </c>
      <c r="D98" s="21"/>
      <c r="E98" s="21" t="s">
        <v>996</v>
      </c>
      <c r="F98" s="21"/>
      <c r="G98" s="21"/>
      <c r="H98" s="21"/>
      <c r="I98" s="21"/>
      <c r="J98" s="21"/>
      <c r="K98" s="21"/>
      <c r="L98" s="21"/>
    </row>
    <row r="99" spans="1:12" ht="29" x14ac:dyDescent="0.35">
      <c r="A99" s="21" t="s">
        <v>1111</v>
      </c>
      <c r="B99" s="21" t="s">
        <v>1112</v>
      </c>
      <c r="C99" s="21" t="s">
        <v>1113</v>
      </c>
      <c r="D99" s="21"/>
      <c r="E99" s="21" t="s">
        <v>1114</v>
      </c>
      <c r="F99" s="21"/>
      <c r="G99" s="21"/>
      <c r="H99" s="21"/>
      <c r="I99" s="21"/>
      <c r="J99" s="21"/>
      <c r="K99" s="21"/>
      <c r="L99" s="21"/>
    </row>
    <row r="100" spans="1:12" ht="29" x14ac:dyDescent="0.35">
      <c r="A100" s="21" t="s">
        <v>1111</v>
      </c>
      <c r="B100" s="21" t="s">
        <v>1115</v>
      </c>
      <c r="C100" s="21" t="s">
        <v>1116</v>
      </c>
      <c r="D100" s="21"/>
      <c r="E100" s="21" t="s">
        <v>1114</v>
      </c>
      <c r="F100" s="21"/>
      <c r="G100" s="21"/>
      <c r="H100" s="21"/>
      <c r="I100" s="21"/>
      <c r="J100" s="21"/>
      <c r="K100" s="21"/>
      <c r="L100" s="21"/>
    </row>
    <row r="101" spans="1:12" ht="29" x14ac:dyDescent="0.35">
      <c r="A101" s="21" t="s">
        <v>1111</v>
      </c>
      <c r="B101" s="21" t="s">
        <v>1117</v>
      </c>
      <c r="C101" s="21" t="s">
        <v>1118</v>
      </c>
      <c r="D101" s="21"/>
      <c r="E101" s="21" t="s">
        <v>1114</v>
      </c>
      <c r="F101" s="21"/>
      <c r="G101" s="21"/>
      <c r="H101" s="21"/>
      <c r="I101" s="21"/>
      <c r="J101" s="21"/>
      <c r="K101" s="21"/>
      <c r="L101" s="21"/>
    </row>
    <row r="102" spans="1:12" ht="29" x14ac:dyDescent="0.35">
      <c r="A102" s="21" t="s">
        <v>1111</v>
      </c>
      <c r="B102" s="21" t="s">
        <v>1119</v>
      </c>
      <c r="C102" s="21" t="s">
        <v>1120</v>
      </c>
      <c r="D102" s="21"/>
      <c r="E102" s="21" t="s">
        <v>1114</v>
      </c>
      <c r="F102" s="21"/>
      <c r="G102" s="21"/>
      <c r="H102" s="21"/>
      <c r="I102" s="21"/>
      <c r="J102" s="21"/>
      <c r="K102" s="21"/>
      <c r="L102" s="21"/>
    </row>
    <row r="103" spans="1:12" ht="29" x14ac:dyDescent="0.35">
      <c r="A103" s="21" t="s">
        <v>1111</v>
      </c>
      <c r="B103" s="21" t="s">
        <v>1121</v>
      </c>
      <c r="C103" s="21" t="s">
        <v>1122</v>
      </c>
      <c r="D103" s="21"/>
      <c r="E103" s="21" t="s">
        <v>1114</v>
      </c>
      <c r="F103" s="21"/>
      <c r="G103" s="21"/>
      <c r="H103" s="21"/>
      <c r="I103" s="21"/>
      <c r="J103" s="21"/>
      <c r="K103" s="21"/>
      <c r="L103" s="21"/>
    </row>
    <row r="104" spans="1:12" ht="29" x14ac:dyDescent="0.35">
      <c r="A104" s="21" t="s">
        <v>1111</v>
      </c>
      <c r="B104" s="21" t="s">
        <v>1123</v>
      </c>
      <c r="C104" s="21" t="s">
        <v>1124</v>
      </c>
      <c r="D104" s="21"/>
      <c r="E104" s="21" t="s">
        <v>1114</v>
      </c>
      <c r="F104" s="21"/>
      <c r="G104" s="21"/>
      <c r="H104" s="21"/>
      <c r="I104" s="21"/>
      <c r="J104" s="21"/>
      <c r="K104" s="21"/>
      <c r="L104" s="21"/>
    </row>
    <row r="105" spans="1:12" ht="29" x14ac:dyDescent="0.35">
      <c r="A105" s="21" t="s">
        <v>1125</v>
      </c>
      <c r="B105" s="21" t="s">
        <v>1126</v>
      </c>
      <c r="C105" s="21" t="s">
        <v>1127</v>
      </c>
      <c r="D105" s="21"/>
      <c r="E105" s="21" t="s">
        <v>1114</v>
      </c>
      <c r="F105" s="21"/>
      <c r="G105" s="21"/>
      <c r="H105" s="21"/>
      <c r="I105" s="21"/>
      <c r="J105" s="21"/>
      <c r="K105" s="21"/>
      <c r="L105" s="21"/>
    </row>
    <row r="106" spans="1:12" ht="29" x14ac:dyDescent="0.35">
      <c r="A106" s="21" t="s">
        <v>1125</v>
      </c>
      <c r="B106" s="21" t="s">
        <v>1128</v>
      </c>
      <c r="C106" s="21" t="s">
        <v>1129</v>
      </c>
      <c r="D106" s="21"/>
      <c r="E106" s="21" t="s">
        <v>1114</v>
      </c>
      <c r="F106" s="21"/>
      <c r="G106" s="21"/>
      <c r="H106" s="21"/>
      <c r="I106" s="21"/>
      <c r="J106" s="21"/>
      <c r="K106" s="21"/>
      <c r="L106" s="21"/>
    </row>
    <row r="107" spans="1:12" ht="43.5" x14ac:dyDescent="0.35">
      <c r="A107" s="21" t="s">
        <v>1125</v>
      </c>
      <c r="B107" s="21" t="s">
        <v>1130</v>
      </c>
      <c r="C107" s="21" t="s">
        <v>1131</v>
      </c>
      <c r="D107" s="21"/>
      <c r="E107" s="21" t="s">
        <v>1114</v>
      </c>
      <c r="F107" s="21"/>
      <c r="G107" s="21"/>
      <c r="H107" s="21"/>
      <c r="I107" s="21"/>
      <c r="J107" s="21"/>
      <c r="K107" s="21"/>
      <c r="L107" s="21"/>
    </row>
    <row r="108" spans="1:12" ht="29" x14ac:dyDescent="0.35">
      <c r="A108" s="21" t="s">
        <v>1125</v>
      </c>
      <c r="B108" s="21" t="s">
        <v>1132</v>
      </c>
      <c r="C108" s="21" t="s">
        <v>1133</v>
      </c>
      <c r="D108" s="21"/>
      <c r="E108" s="21" t="s">
        <v>1114</v>
      </c>
      <c r="F108" s="21"/>
      <c r="G108" s="21"/>
      <c r="H108" s="21"/>
      <c r="I108" s="21"/>
      <c r="J108" s="21"/>
      <c r="K108" s="21"/>
      <c r="L108" s="21"/>
    </row>
    <row r="109" spans="1:12" ht="29" x14ac:dyDescent="0.35">
      <c r="A109" s="21" t="s">
        <v>1125</v>
      </c>
      <c r="B109" s="21" t="s">
        <v>1134</v>
      </c>
      <c r="C109" s="21" t="s">
        <v>1135</v>
      </c>
      <c r="D109" s="21"/>
      <c r="E109" s="21" t="s">
        <v>1114</v>
      </c>
      <c r="F109" s="21"/>
      <c r="G109" s="21"/>
      <c r="H109" s="21"/>
      <c r="I109" s="21"/>
      <c r="J109" s="21"/>
      <c r="K109" s="21"/>
      <c r="L109" s="21"/>
    </row>
    <row r="110" spans="1:12" ht="29" x14ac:dyDescent="0.35">
      <c r="A110" s="21" t="s">
        <v>1125</v>
      </c>
      <c r="B110" s="21" t="s">
        <v>1136</v>
      </c>
      <c r="C110" s="21" t="s">
        <v>1137</v>
      </c>
      <c r="D110" s="21"/>
      <c r="E110" s="21" t="s">
        <v>1114</v>
      </c>
      <c r="F110" s="21"/>
      <c r="G110" s="21"/>
      <c r="H110" s="21"/>
      <c r="I110" s="21"/>
      <c r="J110" s="21"/>
      <c r="K110" s="21"/>
      <c r="L110" s="21"/>
    </row>
    <row r="111" spans="1:12" ht="29" x14ac:dyDescent="0.35">
      <c r="A111" s="21" t="s">
        <v>1138</v>
      </c>
      <c r="B111" s="21" t="s">
        <v>1139</v>
      </c>
      <c r="C111" s="21" t="s">
        <v>1140</v>
      </c>
      <c r="D111" s="21"/>
      <c r="E111" s="21" t="s">
        <v>996</v>
      </c>
      <c r="F111" s="21"/>
      <c r="G111" s="21"/>
      <c r="H111" s="21"/>
      <c r="I111" s="21"/>
      <c r="J111" s="21"/>
      <c r="K111" s="21"/>
      <c r="L111" s="21"/>
    </row>
    <row r="112" spans="1:12" ht="29" x14ac:dyDescent="0.35">
      <c r="A112" s="21" t="s">
        <v>1138</v>
      </c>
      <c r="B112" s="21" t="s">
        <v>1141</v>
      </c>
      <c r="C112" s="21" t="s">
        <v>1142</v>
      </c>
      <c r="D112" s="21"/>
      <c r="E112" s="21" t="s">
        <v>996</v>
      </c>
      <c r="F112" s="21"/>
      <c r="G112" s="21"/>
      <c r="H112" s="21"/>
      <c r="I112" s="21"/>
      <c r="J112" s="21"/>
      <c r="K112" s="21"/>
      <c r="L112" s="21"/>
    </row>
    <row r="113" spans="1:12" ht="29" x14ac:dyDescent="0.35">
      <c r="A113" s="21" t="s">
        <v>1138</v>
      </c>
      <c r="B113" s="21" t="s">
        <v>1143</v>
      </c>
      <c r="C113" s="21" t="s">
        <v>1144</v>
      </c>
      <c r="D113" s="21"/>
      <c r="E113" s="21" t="s">
        <v>996</v>
      </c>
      <c r="F113" s="21"/>
      <c r="G113" s="21"/>
      <c r="H113" s="21"/>
      <c r="I113" s="21"/>
      <c r="J113" s="21"/>
      <c r="K113" s="21"/>
      <c r="L113" s="21"/>
    </row>
    <row r="114" spans="1:12" ht="29" x14ac:dyDescent="0.35">
      <c r="A114" s="21" t="s">
        <v>1138</v>
      </c>
      <c r="B114" s="21" t="s">
        <v>1145</v>
      </c>
      <c r="C114" s="21" t="s">
        <v>1146</v>
      </c>
      <c r="D114" s="21"/>
      <c r="E114" s="21" t="s">
        <v>996</v>
      </c>
      <c r="F114" s="21"/>
      <c r="G114" s="21"/>
      <c r="H114" s="21"/>
      <c r="I114" s="21"/>
      <c r="J114" s="21"/>
      <c r="K114" s="21"/>
      <c r="L114" s="21"/>
    </row>
    <row r="115" spans="1:12" ht="29" x14ac:dyDescent="0.35">
      <c r="A115" s="21" t="s">
        <v>1138</v>
      </c>
      <c r="B115" s="21" t="s">
        <v>1147</v>
      </c>
      <c r="C115" s="21" t="s">
        <v>1148</v>
      </c>
      <c r="D115" s="21"/>
      <c r="E115" s="21" t="s">
        <v>996</v>
      </c>
      <c r="F115" s="21"/>
      <c r="G115" s="21"/>
      <c r="H115" s="21"/>
      <c r="I115" s="21"/>
      <c r="J115" s="21"/>
      <c r="K115" s="21"/>
      <c r="L115" s="21"/>
    </row>
    <row r="116" spans="1:12" ht="29" x14ac:dyDescent="0.35">
      <c r="A116" s="21" t="s">
        <v>1138</v>
      </c>
      <c r="B116" s="21" t="s">
        <v>1149</v>
      </c>
      <c r="C116" s="21" t="s">
        <v>1150</v>
      </c>
      <c r="D116" s="21"/>
      <c r="E116" s="21" t="s">
        <v>996</v>
      </c>
      <c r="F116" s="21"/>
      <c r="G116" s="21"/>
      <c r="H116" s="21"/>
      <c r="I116" s="21"/>
      <c r="J116" s="21"/>
      <c r="K116" s="21"/>
      <c r="L116" s="21"/>
    </row>
    <row r="117" spans="1:12" ht="29" x14ac:dyDescent="0.35">
      <c r="A117" s="21" t="s">
        <v>1151</v>
      </c>
      <c r="B117" s="21" t="s">
        <v>1152</v>
      </c>
      <c r="C117" s="21" t="s">
        <v>1153</v>
      </c>
      <c r="D117" s="21"/>
      <c r="E117" s="21" t="s">
        <v>996</v>
      </c>
      <c r="F117" s="21"/>
      <c r="G117" s="21"/>
      <c r="H117" s="21"/>
      <c r="I117" s="21"/>
      <c r="J117" s="21"/>
      <c r="K117" s="21"/>
      <c r="L117" s="21"/>
    </row>
    <row r="118" spans="1:12" ht="29" x14ac:dyDescent="0.35">
      <c r="A118" s="21" t="s">
        <v>1151</v>
      </c>
      <c r="B118" s="21" t="s">
        <v>1154</v>
      </c>
      <c r="C118" s="21" t="s">
        <v>1155</v>
      </c>
      <c r="D118" s="21"/>
      <c r="E118" s="21" t="s">
        <v>996</v>
      </c>
      <c r="F118" s="21"/>
      <c r="G118" s="21"/>
      <c r="H118" s="21"/>
      <c r="I118" s="21"/>
      <c r="J118" s="21"/>
      <c r="K118" s="21"/>
      <c r="L118" s="21"/>
    </row>
    <row r="119" spans="1:12" ht="29" x14ac:dyDescent="0.35">
      <c r="A119" s="21" t="s">
        <v>1151</v>
      </c>
      <c r="B119" s="21" t="s">
        <v>1156</v>
      </c>
      <c r="C119" s="21" t="s">
        <v>1157</v>
      </c>
      <c r="D119" s="21"/>
      <c r="E119" s="21" t="s">
        <v>996</v>
      </c>
      <c r="F119" s="21"/>
      <c r="G119" s="21"/>
      <c r="H119" s="21"/>
      <c r="I119" s="21"/>
      <c r="J119" s="21"/>
      <c r="K119" s="21"/>
      <c r="L119" s="21"/>
    </row>
    <row r="120" spans="1:12" ht="29" x14ac:dyDescent="0.35">
      <c r="A120" s="21" t="s">
        <v>1151</v>
      </c>
      <c r="B120" s="21" t="s">
        <v>1158</v>
      </c>
      <c r="C120" s="21" t="s">
        <v>1159</v>
      </c>
      <c r="D120" s="21"/>
      <c r="E120" s="21" t="s">
        <v>996</v>
      </c>
      <c r="F120" s="21"/>
      <c r="G120" s="21"/>
      <c r="H120" s="21"/>
      <c r="I120" s="21"/>
      <c r="J120" s="21"/>
      <c r="K120" s="21"/>
      <c r="L120" s="21"/>
    </row>
    <row r="121" spans="1:12" ht="29" x14ac:dyDescent="0.35">
      <c r="A121" s="21" t="s">
        <v>1151</v>
      </c>
      <c r="B121" s="21" t="s">
        <v>1160</v>
      </c>
      <c r="C121" s="21" t="s">
        <v>1161</v>
      </c>
      <c r="D121" s="21"/>
      <c r="E121" s="21" t="s">
        <v>996</v>
      </c>
      <c r="F121" s="21"/>
      <c r="G121" s="21"/>
      <c r="H121" s="21"/>
      <c r="I121" s="21"/>
      <c r="J121" s="21"/>
      <c r="K121" s="21"/>
      <c r="L121" s="21"/>
    </row>
    <row r="122" spans="1:12" ht="29" x14ac:dyDescent="0.35">
      <c r="A122" s="21" t="s">
        <v>1151</v>
      </c>
      <c r="B122" s="21" t="s">
        <v>1162</v>
      </c>
      <c r="C122" s="21" t="s">
        <v>1163</v>
      </c>
      <c r="D122" s="21"/>
      <c r="E122" s="21" t="s">
        <v>996</v>
      </c>
      <c r="F122" s="21"/>
      <c r="G122" s="21"/>
      <c r="H122" s="21"/>
      <c r="I122" s="21"/>
      <c r="J122" s="21"/>
      <c r="K122" s="21"/>
      <c r="L122" s="21"/>
    </row>
    <row r="123" spans="1:12" ht="29" x14ac:dyDescent="0.35">
      <c r="A123" s="21" t="s">
        <v>432</v>
      </c>
      <c r="B123" s="21" t="s">
        <v>1164</v>
      </c>
      <c r="C123" s="21" t="s">
        <v>1165</v>
      </c>
      <c r="D123" s="21"/>
      <c r="E123" s="21" t="s">
        <v>1114</v>
      </c>
      <c r="F123" s="21"/>
      <c r="G123" s="21"/>
      <c r="H123" s="21"/>
      <c r="I123" s="21"/>
      <c r="J123" s="21"/>
      <c r="K123" s="21"/>
      <c r="L123" s="21"/>
    </row>
    <row r="124" spans="1:12" ht="29" x14ac:dyDescent="0.35">
      <c r="A124" s="21" t="s">
        <v>432</v>
      </c>
      <c r="B124" s="21" t="s">
        <v>1166</v>
      </c>
      <c r="C124" s="21" t="s">
        <v>1167</v>
      </c>
      <c r="D124" s="21"/>
      <c r="E124" s="21" t="s">
        <v>1114</v>
      </c>
      <c r="F124" s="21"/>
      <c r="G124" s="21"/>
      <c r="H124" s="21"/>
      <c r="I124" s="21"/>
      <c r="J124" s="21"/>
      <c r="K124" s="21"/>
      <c r="L124" s="21"/>
    </row>
    <row r="125" spans="1:12" ht="29" x14ac:dyDescent="0.35">
      <c r="A125" s="21" t="s">
        <v>432</v>
      </c>
      <c r="B125" s="21" t="s">
        <v>1168</v>
      </c>
      <c r="C125" s="21" t="s">
        <v>1169</v>
      </c>
      <c r="D125" s="21"/>
      <c r="E125" s="21" t="s">
        <v>1114</v>
      </c>
      <c r="F125" s="21"/>
      <c r="G125" s="21"/>
      <c r="H125" s="21"/>
      <c r="I125" s="21"/>
      <c r="J125" s="21"/>
      <c r="K125" s="21"/>
      <c r="L125" s="21"/>
    </row>
    <row r="126" spans="1:12" ht="29" x14ac:dyDescent="0.35">
      <c r="A126" s="21" t="s">
        <v>432</v>
      </c>
      <c r="B126" s="21" t="s">
        <v>1170</v>
      </c>
      <c r="C126" s="21" t="s">
        <v>1171</v>
      </c>
      <c r="D126" s="21"/>
      <c r="E126" s="21" t="s">
        <v>1114</v>
      </c>
      <c r="F126" s="21"/>
      <c r="G126" s="21"/>
      <c r="H126" s="21"/>
      <c r="I126" s="21"/>
      <c r="J126" s="21"/>
      <c r="K126" s="21"/>
      <c r="L126" s="21"/>
    </row>
    <row r="127" spans="1:12" ht="29" x14ac:dyDescent="0.35">
      <c r="A127" s="21" t="s">
        <v>432</v>
      </c>
      <c r="B127" s="21" t="s">
        <v>1172</v>
      </c>
      <c r="C127" s="21" t="s">
        <v>1173</v>
      </c>
      <c r="D127" s="21"/>
      <c r="E127" s="21" t="s">
        <v>1114</v>
      </c>
      <c r="F127" s="21"/>
      <c r="G127" s="21"/>
      <c r="H127" s="21"/>
      <c r="I127" s="21"/>
      <c r="J127" s="21"/>
      <c r="K127" s="21"/>
      <c r="L127" s="21"/>
    </row>
    <row r="128" spans="1:12" ht="29" x14ac:dyDescent="0.35">
      <c r="A128" s="21" t="s">
        <v>432</v>
      </c>
      <c r="B128" s="21" t="s">
        <v>1174</v>
      </c>
      <c r="C128" s="21" t="s">
        <v>1175</v>
      </c>
      <c r="D128" s="21"/>
      <c r="E128" s="21" t="s">
        <v>1114</v>
      </c>
      <c r="F128" s="21"/>
      <c r="G128" s="21"/>
      <c r="H128" s="21"/>
      <c r="I128" s="21"/>
      <c r="J128" s="21"/>
      <c r="K128" s="21"/>
      <c r="L128" s="21"/>
    </row>
    <row r="129" spans="1:12" ht="29" x14ac:dyDescent="0.35">
      <c r="A129" s="21" t="s">
        <v>1176</v>
      </c>
      <c r="B129" s="21" t="s">
        <v>1177</v>
      </c>
      <c r="C129" s="21" t="s">
        <v>1178</v>
      </c>
      <c r="D129" s="21"/>
      <c r="E129" s="21" t="s">
        <v>996</v>
      </c>
      <c r="F129" s="21"/>
      <c r="G129" s="21"/>
      <c r="H129" s="21"/>
      <c r="I129" s="21"/>
      <c r="J129" s="21"/>
      <c r="K129" s="21"/>
      <c r="L129" s="21"/>
    </row>
    <row r="130" spans="1:12" ht="29" x14ac:dyDescent="0.35">
      <c r="A130" s="21" t="s">
        <v>1176</v>
      </c>
      <c r="B130" s="21" t="s">
        <v>1179</v>
      </c>
      <c r="C130" s="21" t="s">
        <v>1180</v>
      </c>
      <c r="D130" s="21"/>
      <c r="E130" s="21" t="s">
        <v>996</v>
      </c>
      <c r="F130" s="21"/>
      <c r="G130" s="21"/>
      <c r="H130" s="21"/>
      <c r="I130" s="21"/>
      <c r="J130" s="21"/>
      <c r="K130" s="21"/>
      <c r="L130" s="21"/>
    </row>
    <row r="131" spans="1:12" ht="29" x14ac:dyDescent="0.35">
      <c r="A131" s="21" t="s">
        <v>1176</v>
      </c>
      <c r="B131" s="21" t="s">
        <v>1181</v>
      </c>
      <c r="C131" s="21" t="s">
        <v>1182</v>
      </c>
      <c r="D131" s="21"/>
      <c r="E131" s="21" t="s">
        <v>996</v>
      </c>
      <c r="F131" s="21"/>
      <c r="G131" s="21"/>
      <c r="H131" s="21"/>
      <c r="I131" s="21"/>
      <c r="J131" s="21"/>
      <c r="K131" s="21"/>
      <c r="L131" s="21"/>
    </row>
    <row r="132" spans="1:12" ht="29" x14ac:dyDescent="0.35">
      <c r="A132" s="21" t="s">
        <v>1176</v>
      </c>
      <c r="B132" s="21" t="s">
        <v>1183</v>
      </c>
      <c r="C132" s="21" t="s">
        <v>1184</v>
      </c>
      <c r="D132" s="21"/>
      <c r="E132" s="21" t="s">
        <v>996</v>
      </c>
      <c r="F132" s="21"/>
      <c r="G132" s="21"/>
      <c r="H132" s="21"/>
      <c r="I132" s="21"/>
      <c r="J132" s="21"/>
      <c r="K132" s="21"/>
      <c r="L132" s="21"/>
    </row>
    <row r="133" spans="1:12" ht="29" x14ac:dyDescent="0.35">
      <c r="A133" s="21" t="s">
        <v>1176</v>
      </c>
      <c r="B133" s="21" t="s">
        <v>1185</v>
      </c>
      <c r="C133" s="21" t="s">
        <v>1186</v>
      </c>
      <c r="D133" s="21"/>
      <c r="E133" s="21" t="s">
        <v>996</v>
      </c>
      <c r="F133" s="21"/>
      <c r="G133" s="21"/>
      <c r="H133" s="21"/>
      <c r="I133" s="21"/>
      <c r="J133" s="21"/>
      <c r="K133" s="21"/>
      <c r="L133" s="21"/>
    </row>
    <row r="134" spans="1:12" ht="29" x14ac:dyDescent="0.35">
      <c r="A134" s="21" t="s">
        <v>1176</v>
      </c>
      <c r="B134" s="21" t="s">
        <v>1187</v>
      </c>
      <c r="C134" s="21" t="s">
        <v>1188</v>
      </c>
      <c r="D134" s="21"/>
      <c r="E134" s="21" t="s">
        <v>996</v>
      </c>
      <c r="F134" s="21"/>
      <c r="G134" s="21"/>
      <c r="H134" s="21"/>
      <c r="I134" s="21"/>
      <c r="J134" s="21"/>
      <c r="K134" s="21"/>
      <c r="L134" s="21"/>
    </row>
    <row r="135" spans="1:12" ht="29" x14ac:dyDescent="0.35">
      <c r="A135" s="21" t="s">
        <v>1189</v>
      </c>
      <c r="B135" s="21" t="s">
        <v>1190</v>
      </c>
      <c r="C135" s="21" t="s">
        <v>1191</v>
      </c>
      <c r="D135" s="21"/>
      <c r="E135" s="21" t="s">
        <v>996</v>
      </c>
      <c r="F135" s="21"/>
      <c r="G135" s="21"/>
      <c r="H135" s="21"/>
      <c r="I135" s="21"/>
      <c r="J135" s="21"/>
      <c r="K135" s="21"/>
      <c r="L135" s="21"/>
    </row>
    <row r="136" spans="1:12" ht="29" x14ac:dyDescent="0.35">
      <c r="A136" s="21" t="s">
        <v>1189</v>
      </c>
      <c r="B136" s="21" t="s">
        <v>1192</v>
      </c>
      <c r="C136" s="21" t="s">
        <v>1193</v>
      </c>
      <c r="D136" s="21"/>
      <c r="E136" s="21" t="s">
        <v>996</v>
      </c>
      <c r="F136" s="21"/>
      <c r="G136" s="21"/>
      <c r="H136" s="21"/>
      <c r="I136" s="21"/>
      <c r="J136" s="21"/>
      <c r="K136" s="21"/>
      <c r="L136" s="21"/>
    </row>
    <row r="137" spans="1:12" ht="29" x14ac:dyDescent="0.35">
      <c r="A137" s="21" t="s">
        <v>1189</v>
      </c>
      <c r="B137" s="21" t="s">
        <v>1194</v>
      </c>
      <c r="C137" s="21" t="s">
        <v>1195</v>
      </c>
      <c r="D137" s="21"/>
      <c r="E137" s="21" t="s">
        <v>996</v>
      </c>
      <c r="F137" s="21"/>
      <c r="G137" s="21"/>
      <c r="H137" s="21"/>
      <c r="I137" s="21"/>
      <c r="J137" s="21"/>
      <c r="K137" s="21"/>
      <c r="L137" s="21"/>
    </row>
    <row r="138" spans="1:12" ht="29" x14ac:dyDescent="0.35">
      <c r="A138" s="21" t="s">
        <v>1189</v>
      </c>
      <c r="B138" s="21" t="s">
        <v>1196</v>
      </c>
      <c r="C138" s="21" t="s">
        <v>1197</v>
      </c>
      <c r="D138" s="21"/>
      <c r="E138" s="21" t="s">
        <v>996</v>
      </c>
      <c r="F138" s="21"/>
      <c r="G138" s="21"/>
      <c r="H138" s="21"/>
      <c r="I138" s="21"/>
      <c r="J138" s="21"/>
      <c r="K138" s="21"/>
      <c r="L138" s="21"/>
    </row>
    <row r="139" spans="1:12" ht="29" x14ac:dyDescent="0.35">
      <c r="A139" s="21" t="s">
        <v>1189</v>
      </c>
      <c r="B139" s="21" t="s">
        <v>1198</v>
      </c>
      <c r="C139" s="21" t="s">
        <v>1199</v>
      </c>
      <c r="D139" s="21"/>
      <c r="E139" s="21" t="s">
        <v>996</v>
      </c>
      <c r="F139" s="21"/>
      <c r="G139" s="21"/>
      <c r="H139" s="21"/>
      <c r="I139" s="21"/>
      <c r="J139" s="21"/>
      <c r="K139" s="21"/>
      <c r="L139" s="21"/>
    </row>
    <row r="140" spans="1:12" ht="29" x14ac:dyDescent="0.35">
      <c r="A140" s="21" t="s">
        <v>1189</v>
      </c>
      <c r="B140" s="21" t="s">
        <v>1200</v>
      </c>
      <c r="C140" s="21" t="s">
        <v>1201</v>
      </c>
      <c r="D140" s="21"/>
      <c r="E140" s="21" t="s">
        <v>996</v>
      </c>
      <c r="F140" s="21"/>
      <c r="G140" s="21"/>
      <c r="H140" s="21"/>
      <c r="I140" s="21"/>
      <c r="J140" s="21"/>
      <c r="K140" s="21"/>
      <c r="L140" s="21"/>
    </row>
    <row r="141" spans="1:12" ht="29" x14ac:dyDescent="0.35">
      <c r="A141" s="21" t="s">
        <v>1202</v>
      </c>
      <c r="B141" s="21" t="s">
        <v>1203</v>
      </c>
      <c r="C141" s="21" t="s">
        <v>1204</v>
      </c>
      <c r="D141" s="21"/>
      <c r="E141" s="21" t="s">
        <v>996</v>
      </c>
      <c r="F141" s="21"/>
      <c r="G141" s="21"/>
      <c r="H141" s="21"/>
      <c r="I141" s="21"/>
      <c r="J141" s="21"/>
      <c r="K141" s="21"/>
      <c r="L141" s="21"/>
    </row>
    <row r="142" spans="1:12" ht="29" x14ac:dyDescent="0.35">
      <c r="A142" s="21" t="s">
        <v>1202</v>
      </c>
      <c r="B142" s="21" t="s">
        <v>1205</v>
      </c>
      <c r="C142" s="21" t="s">
        <v>1206</v>
      </c>
      <c r="D142" s="21"/>
      <c r="E142" s="21" t="s">
        <v>996</v>
      </c>
      <c r="F142" s="21"/>
      <c r="G142" s="21"/>
      <c r="H142" s="21"/>
      <c r="I142" s="21"/>
      <c r="J142" s="21"/>
      <c r="K142" s="21"/>
      <c r="L142" s="21"/>
    </row>
    <row r="143" spans="1:12" ht="29" x14ac:dyDescent="0.35">
      <c r="A143" s="21" t="s">
        <v>1202</v>
      </c>
      <c r="B143" s="21" t="s">
        <v>1207</v>
      </c>
      <c r="C143" s="21" t="s">
        <v>1208</v>
      </c>
      <c r="D143" s="21"/>
      <c r="E143" s="21" t="s">
        <v>996</v>
      </c>
      <c r="F143" s="21"/>
      <c r="G143" s="21"/>
      <c r="H143" s="21"/>
      <c r="I143" s="21"/>
      <c r="J143" s="21"/>
      <c r="K143" s="21"/>
      <c r="L143" s="21"/>
    </row>
    <row r="144" spans="1:12" ht="29" x14ac:dyDescent="0.35">
      <c r="A144" s="21" t="s">
        <v>1202</v>
      </c>
      <c r="B144" s="21" t="s">
        <v>1209</v>
      </c>
      <c r="C144" s="21" t="s">
        <v>1210</v>
      </c>
      <c r="D144" s="21"/>
      <c r="E144" s="21" t="s">
        <v>996</v>
      </c>
      <c r="F144" s="21"/>
      <c r="G144" s="21"/>
      <c r="H144" s="21"/>
      <c r="I144" s="21"/>
      <c r="J144" s="21"/>
      <c r="K144" s="21"/>
      <c r="L144" s="21"/>
    </row>
    <row r="145" spans="1:12" ht="29" x14ac:dyDescent="0.35">
      <c r="A145" s="21" t="s">
        <v>1202</v>
      </c>
      <c r="B145" s="21" t="s">
        <v>1211</v>
      </c>
      <c r="C145" s="21" t="s">
        <v>1212</v>
      </c>
      <c r="D145" s="21"/>
      <c r="E145" s="21" t="s">
        <v>996</v>
      </c>
      <c r="F145" s="21"/>
      <c r="G145" s="21"/>
      <c r="H145" s="21"/>
      <c r="I145" s="21"/>
      <c r="J145" s="21"/>
      <c r="K145" s="21"/>
      <c r="L145" s="21"/>
    </row>
    <row r="146" spans="1:12" ht="29" x14ac:dyDescent="0.35">
      <c r="A146" s="21" t="s">
        <v>1202</v>
      </c>
      <c r="B146" s="21" t="s">
        <v>1213</v>
      </c>
      <c r="C146" s="21" t="s">
        <v>1214</v>
      </c>
      <c r="D146" s="21"/>
      <c r="E146" s="21" t="s">
        <v>996</v>
      </c>
      <c r="F146" s="21"/>
      <c r="G146" s="21"/>
      <c r="H146" s="21"/>
      <c r="I146" s="21"/>
      <c r="J146" s="21"/>
      <c r="K146" s="21"/>
      <c r="L146" s="21"/>
    </row>
    <row r="147" spans="1:12" ht="29" x14ac:dyDescent="0.35">
      <c r="A147" s="21" t="s">
        <v>1215</v>
      </c>
      <c r="B147" s="21" t="s">
        <v>1216</v>
      </c>
      <c r="C147" s="21" t="s">
        <v>1217</v>
      </c>
      <c r="D147" s="21"/>
      <c r="E147" s="21" t="s">
        <v>996</v>
      </c>
      <c r="F147" s="21"/>
      <c r="G147" s="21"/>
      <c r="H147" s="21"/>
      <c r="I147" s="21"/>
      <c r="J147" s="21"/>
      <c r="K147" s="21"/>
      <c r="L147" s="21"/>
    </row>
    <row r="148" spans="1:12" ht="29" x14ac:dyDescent="0.35">
      <c r="A148" s="21" t="s">
        <v>1215</v>
      </c>
      <c r="B148" s="21" t="s">
        <v>1218</v>
      </c>
      <c r="C148" s="21" t="s">
        <v>1219</v>
      </c>
      <c r="D148" s="21"/>
      <c r="E148" s="21" t="s">
        <v>996</v>
      </c>
      <c r="F148" s="21"/>
      <c r="G148" s="21"/>
      <c r="H148" s="21"/>
      <c r="I148" s="21"/>
      <c r="J148" s="21"/>
      <c r="K148" s="21"/>
      <c r="L148" s="21"/>
    </row>
    <row r="149" spans="1:12" ht="29" x14ac:dyDescent="0.35">
      <c r="A149" s="21" t="s">
        <v>1215</v>
      </c>
      <c r="B149" s="21" t="s">
        <v>1220</v>
      </c>
      <c r="C149" s="21" t="s">
        <v>1221</v>
      </c>
      <c r="D149" s="21"/>
      <c r="E149" s="21" t="s">
        <v>996</v>
      </c>
      <c r="F149" s="21"/>
      <c r="G149" s="21"/>
      <c r="H149" s="21"/>
      <c r="I149" s="21"/>
      <c r="J149" s="21"/>
      <c r="K149" s="21"/>
      <c r="L149" s="21"/>
    </row>
    <row r="150" spans="1:12" ht="29" x14ac:dyDescent="0.35">
      <c r="A150" s="21" t="s">
        <v>1215</v>
      </c>
      <c r="B150" s="21" t="s">
        <v>1222</v>
      </c>
      <c r="C150" s="21" t="s">
        <v>1223</v>
      </c>
      <c r="D150" s="21"/>
      <c r="E150" s="21" t="s">
        <v>996</v>
      </c>
      <c r="F150" s="21"/>
      <c r="G150" s="21"/>
      <c r="H150" s="21"/>
      <c r="I150" s="21"/>
      <c r="J150" s="21"/>
      <c r="K150" s="21"/>
      <c r="L150" s="21"/>
    </row>
    <row r="151" spans="1:12" ht="24" customHeight="1" x14ac:dyDescent="0.35">
      <c r="A151" s="133" t="s">
        <v>1215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</row>
    <row r="152" spans="1:12" x14ac:dyDescent="0.35">
      <c r="A152" s="21" t="s">
        <v>1215</v>
      </c>
      <c r="B152" s="21" t="s">
        <v>1224</v>
      </c>
      <c r="C152" s="21" t="s">
        <v>1225</v>
      </c>
      <c r="D152" s="21"/>
      <c r="E152" s="21" t="s">
        <v>996</v>
      </c>
      <c r="F152" s="21"/>
      <c r="G152" s="21"/>
      <c r="H152" s="21"/>
      <c r="I152" s="21"/>
      <c r="J152" s="21"/>
      <c r="K152" s="21"/>
      <c r="L152" s="21"/>
    </row>
    <row r="158" spans="1:12" x14ac:dyDescent="0.35">
      <c r="A158" s="98" t="s">
        <v>1226</v>
      </c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</row>
    <row r="160" spans="1:12" ht="29" x14ac:dyDescent="0.35">
      <c r="A160" s="100" t="s">
        <v>1227</v>
      </c>
      <c r="B160" s="100" t="s">
        <v>1228</v>
      </c>
      <c r="C160" s="100" t="s">
        <v>1229</v>
      </c>
      <c r="D160" s="100" t="s">
        <v>389</v>
      </c>
      <c r="E160" s="100" t="s">
        <v>870</v>
      </c>
      <c r="F160" s="100" t="s">
        <v>390</v>
      </c>
      <c r="G160" s="100" t="s">
        <v>990</v>
      </c>
      <c r="H160" s="100" t="s">
        <v>1230</v>
      </c>
      <c r="I160" s="100"/>
      <c r="J160" s="100"/>
      <c r="K160" s="100"/>
      <c r="L160" s="100"/>
    </row>
    <row r="161" spans="1:8" x14ac:dyDescent="0.35">
      <c r="A161" s="21" t="s">
        <v>1231</v>
      </c>
      <c r="B161" s="21"/>
      <c r="C161" s="21"/>
      <c r="D161" s="21"/>
      <c r="E161" s="21"/>
      <c r="F161" s="21"/>
      <c r="G161" s="21"/>
      <c r="H161" s="21"/>
    </row>
    <row r="162" spans="1:8" x14ac:dyDescent="0.35">
      <c r="A162" s="21" t="s">
        <v>1232</v>
      </c>
      <c r="B162" s="21"/>
      <c r="C162" s="21"/>
      <c r="D162" s="21"/>
      <c r="E162" s="21"/>
      <c r="F162" s="21"/>
      <c r="G162" s="21"/>
      <c r="H162" s="21"/>
    </row>
    <row r="163" spans="1:8" x14ac:dyDescent="0.35">
      <c r="A163" s="21" t="s">
        <v>509</v>
      </c>
      <c r="B163" s="21"/>
      <c r="C163" s="21"/>
      <c r="D163" s="21"/>
      <c r="E163" s="21"/>
      <c r="F163" s="21"/>
      <c r="G163" s="21"/>
      <c r="H163" s="21"/>
    </row>
    <row r="164" spans="1:8" x14ac:dyDescent="0.35">
      <c r="A164" s="21" t="s">
        <v>1233</v>
      </c>
      <c r="B164" s="21"/>
      <c r="C164" s="21"/>
      <c r="D164" s="21"/>
      <c r="E164" s="21"/>
      <c r="F164" s="21"/>
      <c r="G164" s="21"/>
      <c r="H164" s="21"/>
    </row>
    <row r="165" spans="1:8" x14ac:dyDescent="0.35">
      <c r="A165" s="21" t="s">
        <v>1234</v>
      </c>
      <c r="B165" s="21"/>
      <c r="C165" s="21"/>
      <c r="D165" s="21"/>
      <c r="E165" s="21"/>
      <c r="F165" s="21"/>
      <c r="G165" s="21"/>
      <c r="H165" s="21"/>
    </row>
    <row r="166" spans="1:8" x14ac:dyDescent="0.35">
      <c r="A166" s="21" t="s">
        <v>1235</v>
      </c>
      <c r="B166" s="21"/>
      <c r="C166" s="21"/>
      <c r="D166" s="21"/>
      <c r="E166" s="21"/>
      <c r="F166" s="21"/>
      <c r="G166" s="21"/>
      <c r="H166" s="21"/>
    </row>
    <row r="167" spans="1:8" x14ac:dyDescent="0.35">
      <c r="A167" s="21" t="s">
        <v>1236</v>
      </c>
      <c r="B167" s="21"/>
      <c r="C167" s="21"/>
      <c r="D167" s="21"/>
      <c r="E167" s="21"/>
      <c r="F167" s="21"/>
      <c r="G167" s="21"/>
      <c r="H167" s="21"/>
    </row>
    <row r="168" spans="1:8" x14ac:dyDescent="0.35">
      <c r="A168" s="21" t="s">
        <v>1237</v>
      </c>
      <c r="B168" s="21"/>
      <c r="C168" s="21"/>
      <c r="D168" s="21"/>
      <c r="E168" s="21"/>
      <c r="F168" s="21"/>
      <c r="G168" s="21"/>
      <c r="H168" s="21"/>
    </row>
    <row r="169" spans="1:8" x14ac:dyDescent="0.35">
      <c r="A169" s="21" t="s">
        <v>1238</v>
      </c>
      <c r="B169" s="21"/>
      <c r="C169" s="21"/>
      <c r="D169" s="21"/>
      <c r="E169" s="21"/>
      <c r="F169" s="21"/>
      <c r="G169" s="21"/>
      <c r="H169" s="21"/>
    </row>
    <row r="170" spans="1:8" x14ac:dyDescent="0.35">
      <c r="A170" s="21" t="s">
        <v>1239</v>
      </c>
      <c r="B170" s="21"/>
      <c r="C170" s="21"/>
      <c r="D170" s="21"/>
      <c r="E170" s="21"/>
      <c r="F170" s="21"/>
      <c r="G170" s="21"/>
      <c r="H170" s="21"/>
    </row>
    <row r="171" spans="1:8" x14ac:dyDescent="0.35">
      <c r="A171" s="21" t="s">
        <v>1240</v>
      </c>
      <c r="B171" s="21"/>
      <c r="C171" s="21"/>
      <c r="D171" s="21"/>
      <c r="E171" s="21"/>
      <c r="F171" s="21"/>
      <c r="G171" s="21"/>
      <c r="H171" s="21"/>
    </row>
    <row r="172" spans="1:8" x14ac:dyDescent="0.35">
      <c r="A172" s="21" t="s">
        <v>1241</v>
      </c>
      <c r="B172" s="21"/>
      <c r="C172" s="21"/>
      <c r="D172" s="21"/>
      <c r="E172" s="21"/>
      <c r="F172" s="21"/>
      <c r="G172" s="21"/>
      <c r="H172" s="21"/>
    </row>
    <row r="173" spans="1:8" x14ac:dyDescent="0.35">
      <c r="A173" s="21" t="s">
        <v>1242</v>
      </c>
      <c r="B173" s="21"/>
      <c r="C173" s="21"/>
      <c r="D173" s="21"/>
      <c r="E173" s="21"/>
      <c r="F173" s="21"/>
      <c r="G173" s="21"/>
      <c r="H173" s="21"/>
    </row>
    <row r="174" spans="1:8" x14ac:dyDescent="0.35">
      <c r="A174" s="21" t="s">
        <v>1243</v>
      </c>
      <c r="B174" s="21"/>
      <c r="C174" s="21"/>
      <c r="D174" s="21"/>
      <c r="E174" s="21"/>
      <c r="F174" s="21"/>
      <c r="G174" s="21"/>
      <c r="H174" s="21"/>
    </row>
    <row r="175" spans="1:8" x14ac:dyDescent="0.35">
      <c r="A175" s="21" t="s">
        <v>1244</v>
      </c>
      <c r="B175" s="21"/>
      <c r="C175" s="21"/>
      <c r="D175" s="21"/>
      <c r="E175" s="21"/>
      <c r="F175" s="21"/>
      <c r="G175" s="21"/>
      <c r="H175" s="21"/>
    </row>
    <row r="176" spans="1:8" x14ac:dyDescent="0.35">
      <c r="A176" s="21" t="s">
        <v>1245</v>
      </c>
      <c r="B176" s="21"/>
      <c r="C176" s="21"/>
      <c r="D176" s="21"/>
      <c r="E176" s="21"/>
      <c r="F176" s="21"/>
      <c r="G176" s="21"/>
      <c r="H176" s="21"/>
    </row>
    <row r="177" spans="1:12" x14ac:dyDescent="0.35">
      <c r="A177" s="21" t="s">
        <v>1246</v>
      </c>
      <c r="B177" s="21"/>
      <c r="C177" s="21"/>
      <c r="D177" s="21"/>
      <c r="E177" s="21"/>
      <c r="F177" s="21"/>
      <c r="G177" s="21"/>
      <c r="H177" s="21"/>
    </row>
    <row r="178" spans="1:12" x14ac:dyDescent="0.35">
      <c r="A178" s="21" t="s">
        <v>1247</v>
      </c>
      <c r="B178" s="21"/>
      <c r="C178" s="21"/>
      <c r="D178" s="21"/>
      <c r="E178" s="21"/>
      <c r="F178" s="21"/>
      <c r="G178" s="21"/>
      <c r="H178" s="21"/>
    </row>
    <row r="179" spans="1:12" ht="24" customHeight="1" x14ac:dyDescent="0.35">
      <c r="A179" s="133" t="s">
        <v>1248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</row>
    <row r="180" spans="1:12" x14ac:dyDescent="0.35">
      <c r="A180" s="21" t="s">
        <v>1249</v>
      </c>
      <c r="B180" s="21"/>
      <c r="C180" s="21"/>
      <c r="D180" s="21"/>
      <c r="E180" s="21"/>
      <c r="F180" s="21"/>
      <c r="G180" s="21"/>
      <c r="H180" s="21"/>
    </row>
    <row r="186" spans="1:12" x14ac:dyDescent="0.35">
      <c r="A186" s="98" t="s">
        <v>1250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</row>
    <row r="188" spans="1:12" ht="29" x14ac:dyDescent="0.35">
      <c r="A188" s="100" t="s">
        <v>1251</v>
      </c>
      <c r="B188" s="100" t="s">
        <v>1252</v>
      </c>
      <c r="C188" s="100" t="s">
        <v>1253</v>
      </c>
      <c r="D188" s="100" t="s">
        <v>1254</v>
      </c>
      <c r="E188" s="100" t="s">
        <v>870</v>
      </c>
      <c r="F188" s="100" t="s">
        <v>1255</v>
      </c>
      <c r="G188" s="100" t="s">
        <v>338</v>
      </c>
    </row>
    <row r="189" spans="1:12" x14ac:dyDescent="0.35">
      <c r="A189" s="21" t="s">
        <v>428</v>
      </c>
      <c r="B189" s="21"/>
      <c r="C189" s="21"/>
      <c r="D189" s="21"/>
      <c r="E189" s="21"/>
      <c r="F189" s="21"/>
      <c r="G189" s="21"/>
    </row>
    <row r="190" spans="1:12" x14ac:dyDescent="0.35">
      <c r="A190" s="21" t="s">
        <v>582</v>
      </c>
      <c r="B190" s="21"/>
      <c r="C190" s="21"/>
      <c r="D190" s="21"/>
      <c r="E190" s="21"/>
      <c r="F190" s="21"/>
      <c r="G190" s="21"/>
    </row>
    <row r="191" spans="1:12" x14ac:dyDescent="0.35">
      <c r="A191" s="21" t="s">
        <v>435</v>
      </c>
      <c r="B191" s="21"/>
      <c r="C191" s="21"/>
      <c r="D191" s="21"/>
      <c r="E191" s="21"/>
      <c r="F191" s="21"/>
      <c r="G191" s="21"/>
    </row>
    <row r="192" spans="1:12" x14ac:dyDescent="0.35">
      <c r="A192" s="21" t="s">
        <v>93</v>
      </c>
      <c r="B192" s="21"/>
      <c r="C192" s="21"/>
      <c r="D192" s="21"/>
      <c r="E192" s="21"/>
      <c r="F192" s="21"/>
      <c r="G192" s="21"/>
    </row>
    <row r="193" spans="1:12" x14ac:dyDescent="0.35">
      <c r="A193" s="21" t="s">
        <v>431</v>
      </c>
      <c r="B193" s="21"/>
      <c r="C193" s="21"/>
      <c r="D193" s="21"/>
      <c r="E193" s="21"/>
      <c r="F193" s="21"/>
      <c r="G193" s="21"/>
    </row>
    <row r="194" spans="1:12" x14ac:dyDescent="0.35">
      <c r="A194" s="21" t="s">
        <v>97</v>
      </c>
      <c r="B194" s="21"/>
      <c r="C194" s="21"/>
      <c r="D194" s="21"/>
      <c r="E194" s="21"/>
      <c r="F194" s="21"/>
      <c r="G194" s="21"/>
    </row>
    <row r="195" spans="1:12" x14ac:dyDescent="0.35">
      <c r="A195" s="21" t="s">
        <v>100</v>
      </c>
      <c r="B195" s="21"/>
      <c r="C195" s="21"/>
      <c r="D195" s="21"/>
      <c r="E195" s="21"/>
      <c r="F195" s="21"/>
      <c r="G195" s="21"/>
    </row>
    <row r="196" spans="1:12" x14ac:dyDescent="0.35">
      <c r="A196" s="21" t="s">
        <v>1176</v>
      </c>
      <c r="B196" s="21"/>
      <c r="C196" s="21"/>
      <c r="D196" s="21"/>
      <c r="E196" s="21"/>
      <c r="F196" s="21"/>
      <c r="G196" s="21"/>
    </row>
    <row r="197" spans="1:12" x14ac:dyDescent="0.35">
      <c r="A197" s="21" t="s">
        <v>160</v>
      </c>
      <c r="B197" s="21"/>
      <c r="C197" s="21"/>
      <c r="D197" s="21"/>
      <c r="E197" s="21"/>
      <c r="F197" s="21"/>
      <c r="G197" s="21"/>
    </row>
    <row r="198" spans="1:12" x14ac:dyDescent="0.35">
      <c r="A198" s="21" t="s">
        <v>1256</v>
      </c>
      <c r="B198" s="21"/>
      <c r="C198" s="21"/>
      <c r="D198" s="21"/>
      <c r="E198" s="21"/>
      <c r="F198" s="21"/>
      <c r="G198" s="21"/>
    </row>
    <row r="199" spans="1:12" x14ac:dyDescent="0.35">
      <c r="A199" s="21" t="s">
        <v>1257</v>
      </c>
      <c r="B199" s="21"/>
      <c r="C199" s="21"/>
      <c r="D199" s="21"/>
      <c r="E199" s="21"/>
      <c r="F199" s="21"/>
      <c r="G199" s="21"/>
    </row>
    <row r="200" spans="1:12" x14ac:dyDescent="0.35">
      <c r="A200" s="21" t="s">
        <v>1258</v>
      </c>
      <c r="B200" s="21"/>
      <c r="C200" s="21"/>
      <c r="D200" s="21"/>
      <c r="E200" s="21"/>
      <c r="F200" s="21"/>
      <c r="G200" s="21"/>
    </row>
    <row r="201" spans="1:12" x14ac:dyDescent="0.35">
      <c r="A201" s="21" t="s">
        <v>116</v>
      </c>
      <c r="B201" s="21"/>
      <c r="C201" s="21"/>
      <c r="D201" s="21"/>
      <c r="E201" s="21"/>
      <c r="F201" s="21"/>
      <c r="G201" s="21"/>
    </row>
    <row r="202" spans="1:12" x14ac:dyDescent="0.35">
      <c r="A202" s="21" t="s">
        <v>129</v>
      </c>
      <c r="B202" s="21"/>
      <c r="C202" s="21"/>
      <c r="D202" s="21"/>
      <c r="E202" s="21"/>
      <c r="F202" s="21"/>
      <c r="G202" s="21"/>
    </row>
    <row r="203" spans="1:12" x14ac:dyDescent="0.35">
      <c r="A203" s="21" t="s">
        <v>437</v>
      </c>
      <c r="B203" s="21"/>
      <c r="C203" s="21"/>
      <c r="D203" s="21"/>
      <c r="E203" s="21"/>
      <c r="F203" s="21"/>
      <c r="G203" s="21"/>
    </row>
    <row r="204" spans="1:12" x14ac:dyDescent="0.35">
      <c r="A204" s="21" t="s">
        <v>125</v>
      </c>
      <c r="B204" s="21"/>
      <c r="C204" s="21"/>
      <c r="D204" s="21"/>
      <c r="E204" s="21"/>
      <c r="F204" s="21"/>
      <c r="G204" s="21"/>
    </row>
    <row r="205" spans="1:12" x14ac:dyDescent="0.35">
      <c r="A205" s="21" t="s">
        <v>442</v>
      </c>
      <c r="B205" s="21"/>
      <c r="C205" s="21"/>
      <c r="D205" s="21"/>
      <c r="E205" s="21"/>
      <c r="F205" s="21"/>
      <c r="G205" s="21"/>
    </row>
    <row r="206" spans="1:12" x14ac:dyDescent="0.35">
      <c r="A206" s="21" t="s">
        <v>1259</v>
      </c>
      <c r="B206" s="21"/>
      <c r="C206" s="21"/>
      <c r="D206" s="21"/>
      <c r="E206" s="21"/>
      <c r="F206" s="21"/>
      <c r="G206" s="21"/>
    </row>
    <row r="207" spans="1:12" ht="24" customHeight="1" x14ac:dyDescent="0.35">
      <c r="A207" s="133" t="s">
        <v>1260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</row>
    <row r="208" spans="1:12" x14ac:dyDescent="0.35">
      <c r="A208" s="21" t="s">
        <v>439</v>
      </c>
      <c r="B208" s="21"/>
      <c r="C208" s="21"/>
      <c r="D208" s="21"/>
      <c r="E208" s="21"/>
      <c r="F208" s="21"/>
      <c r="G208" s="21"/>
    </row>
    <row r="214" spans="1:12" x14ac:dyDescent="0.35">
      <c r="A214" s="98" t="s">
        <v>1261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</row>
    <row r="216" spans="1:12" x14ac:dyDescent="0.35">
      <c r="A216" s="100" t="s">
        <v>1262</v>
      </c>
      <c r="B216" s="100" t="s">
        <v>1263</v>
      </c>
      <c r="C216" s="100" t="s">
        <v>292</v>
      </c>
      <c r="D216" s="100" t="s">
        <v>371</v>
      </c>
      <c r="E216" s="100" t="s">
        <v>360</v>
      </c>
      <c r="F216" s="100" t="s">
        <v>1264</v>
      </c>
      <c r="G216" s="100" t="s">
        <v>990</v>
      </c>
      <c r="H216" s="100" t="s">
        <v>338</v>
      </c>
    </row>
    <row r="217" spans="1:12" x14ac:dyDescent="0.35">
      <c r="A217" t="s">
        <v>1265</v>
      </c>
    </row>
    <row r="218" spans="1:12" x14ac:dyDescent="0.35">
      <c r="A218" t="s">
        <v>1266</v>
      </c>
    </row>
    <row r="219" spans="1:12" x14ac:dyDescent="0.35">
      <c r="A219" t="s">
        <v>1267</v>
      </c>
    </row>
    <row r="220" spans="1:12" x14ac:dyDescent="0.35">
      <c r="A220" t="s">
        <v>1268</v>
      </c>
    </row>
    <row r="221" spans="1:12" x14ac:dyDescent="0.35">
      <c r="A221" t="s">
        <v>1269</v>
      </c>
    </row>
    <row r="222" spans="1:12" x14ac:dyDescent="0.35">
      <c r="A222" t="s">
        <v>1270</v>
      </c>
    </row>
    <row r="223" spans="1:12" ht="24" customHeight="1" x14ac:dyDescent="0.35">
      <c r="A223" s="129" t="s">
        <v>1271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</row>
    <row r="224" spans="1:12" x14ac:dyDescent="0.35">
      <c r="A224" t="s">
        <v>1272</v>
      </c>
    </row>
    <row r="230" spans="1:12" x14ac:dyDescent="0.35">
      <c r="A230" s="98" t="s">
        <v>1273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2" spans="1:12" ht="29" x14ac:dyDescent="0.35">
      <c r="A232" s="100" t="s">
        <v>1229</v>
      </c>
      <c r="B232" s="100" t="s">
        <v>1274</v>
      </c>
      <c r="C232" s="100" t="s">
        <v>390</v>
      </c>
      <c r="D232" s="100" t="s">
        <v>351</v>
      </c>
      <c r="E232" s="100" t="s">
        <v>352</v>
      </c>
      <c r="F232" s="100" t="s">
        <v>292</v>
      </c>
      <c r="G232" s="100" t="s">
        <v>353</v>
      </c>
      <c r="H232" s="100" t="s">
        <v>338</v>
      </c>
    </row>
    <row r="240" spans="1:12" x14ac:dyDescent="0.3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</row>
    <row r="241" spans="1:12" x14ac:dyDescent="0.3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</row>
    <row r="247" spans="1:12" ht="29" x14ac:dyDescent="0.35">
      <c r="A247" s="106" t="s">
        <v>1275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3"/>
    </row>
    <row r="248" spans="1:12" ht="43.5" x14ac:dyDescent="0.35">
      <c r="A248" s="111" t="s">
        <v>1276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3"/>
    </row>
    <row r="249" spans="1:12" ht="29" x14ac:dyDescent="0.35">
      <c r="A249" s="110" t="s">
        <v>1277</v>
      </c>
      <c r="B249" s="110" t="s">
        <v>1278</v>
      </c>
      <c r="C249" s="110" t="s">
        <v>81</v>
      </c>
      <c r="D249" s="110" t="s">
        <v>615</v>
      </c>
      <c r="E249" s="110" t="s">
        <v>616</v>
      </c>
      <c r="F249" s="110" t="s">
        <v>990</v>
      </c>
      <c r="G249" s="110" t="s">
        <v>1279</v>
      </c>
      <c r="H249" s="110" t="s">
        <v>390</v>
      </c>
      <c r="I249" s="110" t="s">
        <v>351</v>
      </c>
      <c r="J249" s="110" t="s">
        <v>292</v>
      </c>
      <c r="K249" s="110" t="s">
        <v>353</v>
      </c>
      <c r="L249" s="110" t="s">
        <v>619</v>
      </c>
    </row>
    <row r="250" spans="1:12" x14ac:dyDescent="0.35">
      <c r="A250" s="105" t="s">
        <v>1280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x14ac:dyDescent="0.35">
      <c r="A251" s="105" t="s">
        <v>1281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x14ac:dyDescent="0.35">
      <c r="A252" s="105" t="s">
        <v>1282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29" x14ac:dyDescent="0.35">
      <c r="A253" s="105" t="s">
        <v>1283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29" x14ac:dyDescent="0.35">
      <c r="A254" s="105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29" x14ac:dyDescent="0.35">
      <c r="A255" s="105" t="s">
        <v>1285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29" x14ac:dyDescent="0.35">
      <c r="A256" s="105" t="s">
        <v>1286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29" x14ac:dyDescent="0.35">
      <c r="A257" s="105" t="s">
        <v>1287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29" x14ac:dyDescent="0.35">
      <c r="A258" s="105" t="s">
        <v>1288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29" x14ac:dyDescent="0.35">
      <c r="A259" s="105" t="s">
        <v>1289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29" x14ac:dyDescent="0.35">
      <c r="A260" s="105" t="s">
        <v>1290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29" x14ac:dyDescent="0.35">
      <c r="A261" s="105" t="s">
        <v>1291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29" x14ac:dyDescent="0.35">
      <c r="A262" s="105" t="s">
        <v>1292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43.5" x14ac:dyDescent="0.35">
      <c r="A263" s="105" t="s">
        <v>1293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29" x14ac:dyDescent="0.35">
      <c r="A264" s="105" t="s">
        <v>1294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x14ac:dyDescent="0.35">
      <c r="A265" s="105" t="s">
        <v>1295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</sheetData>
  <mergeCells count="9">
    <mergeCell ref="A1:L1"/>
    <mergeCell ref="A17:L17"/>
    <mergeCell ref="A241:L241"/>
    <mergeCell ref="A223:L223"/>
    <mergeCell ref="A35:L35"/>
    <mergeCell ref="A240:L240"/>
    <mergeCell ref="A179:L179"/>
    <mergeCell ref="A151:L151"/>
    <mergeCell ref="A207:L207"/>
  </mergeCells>
  <conditionalFormatting sqref="B12">
    <cfRule type="expression" dxfId="41" priority="12">
      <formula>B12="Green"</formula>
    </cfRule>
    <cfRule type="expression" dxfId="40" priority="13">
      <formula>B12="Amber"</formula>
    </cfRule>
    <cfRule type="expression" dxfId="39" priority="14">
      <formula>B12="Red"</formula>
    </cfRule>
  </conditionalFormatting>
  <conditionalFormatting sqref="B182:B201">
    <cfRule type="expression" dxfId="38" priority="3">
      <formula>B182="Pass"</formula>
    </cfRule>
  </conditionalFormatting>
  <conditionalFormatting sqref="C20:C43">
    <cfRule type="expression" dxfId="37" priority="8">
      <formula>C20="Green"</formula>
    </cfRule>
    <cfRule type="expression" dxfId="36" priority="9">
      <formula>C20="Amber"</formula>
    </cfRule>
    <cfRule type="expression" dxfId="35" priority="10">
      <formula>C20="Red"</formula>
    </cfRule>
    <cfRule type="expression" dxfId="34" priority="11">
      <formula>C20="N/A"</formula>
    </cfRule>
  </conditionalFormatting>
  <conditionalFormatting sqref="C20:C45">
    <cfRule type="expression" dxfId="33" priority="4">
      <formula>ISNUMBER(SEARCH("Green",C20))</formula>
    </cfRule>
    <cfRule type="expression" dxfId="32" priority="5">
      <formula>ISNUMBER(SEARCH("Amber",C20))</formula>
    </cfRule>
    <cfRule type="expression" dxfId="31" priority="6">
      <formula>ISNUMBER(SEARCH("Red",C20))</formula>
    </cfRule>
    <cfRule type="expression" dxfId="30" priority="7">
      <formula>C20="N/A"</formula>
    </cfRule>
  </conditionalFormatting>
  <conditionalFormatting sqref="E154:E173">
    <cfRule type="expression" dxfId="29" priority="2">
      <formula>E154="Pass"</formula>
    </cfRule>
  </conditionalFormatting>
  <conditionalFormatting sqref="H38:H145">
    <cfRule type="expression" dxfId="28" priority="1">
      <formula>H38="Pass"</formula>
    </cfRule>
  </conditionalFormatting>
  <dataValidations count="8">
    <dataValidation type="list" sqref="H38:H145 E154:E173" xr:uid="{00000000-0002-0000-3D00-000000000000}">
      <formula1>"Pass,Developing,Fail,N/A"</formula1>
    </dataValidation>
    <dataValidation type="list" sqref="F38:F145" xr:uid="{00000000-0002-0000-3D00-000001000000}">
      <formula1>"1,2,3,4,5"</formula1>
    </dataValidation>
    <dataValidation type="list" sqref="B182:B201" xr:uid="{00000000-0002-0000-3D00-000003000000}">
      <formula1>"Complete,In Progress,Not Started,N/A"</formula1>
    </dataValidation>
    <dataValidation type="list" allowBlank="1" sqref="C243:E258" xr:uid="{00000000-0002-0000-3D00-000004000000}">
      <formula1>"Yes,No,N/A"</formula1>
    </dataValidation>
    <dataValidation type="list" allowBlank="1" sqref="C20:C45" xr:uid="{00000000-0002-0000-3D00-000005000000}">
      <formula1>"Green - Received,Amber - Awaiting,Red - Missing,N/A"</formula1>
    </dataValidation>
    <dataValidation type="list" sqref="C20:C43" xr:uid="{00000000-0002-0000-3D00-000006000000}">
      <formula1>"Green,Amber,Red,N/A"</formula1>
    </dataValidation>
    <dataValidation type="list" sqref="F42:F230" xr:uid="{00000000-0002-0000-3D00-000007000000}">
      <formula1>"1,2,3,4,5,N/A"</formula1>
    </dataValidation>
    <dataValidation type="list" sqref="H42:H230 H235:H255" xr:uid="{00000000-0002-0000-3D00-000008000000}">
      <formula1>"Pass,Fail,Not Assessed,N/A"</formula1>
    </dataValidation>
  </dataValidation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L265"/>
  <sheetViews>
    <sheetView workbookViewId="0"/>
  </sheetViews>
  <sheetFormatPr defaultRowHeight="14.5" x14ac:dyDescent="0.35"/>
  <cols>
    <col min="1" max="1" width="42" customWidth="1"/>
    <col min="2" max="2" width="36" customWidth="1"/>
    <col min="3" max="3" width="52" customWidth="1"/>
    <col min="4" max="4" width="34" customWidth="1"/>
    <col min="5" max="5" width="30" customWidth="1"/>
    <col min="6" max="6" width="12" customWidth="1"/>
    <col min="7" max="7" width="16" customWidth="1"/>
    <col min="8" max="8" width="14" customWidth="1"/>
    <col min="9" max="9" width="28" customWidth="1"/>
    <col min="10" max="12" width="14" customWidth="1"/>
  </cols>
  <sheetData>
    <row r="1" spans="1:12" ht="30" customHeight="1" x14ac:dyDescent="0.35">
      <c r="A1" s="134" t="s">
        <v>1318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x14ac:dyDescent="0.35">
      <c r="A2" t="s">
        <v>928</v>
      </c>
      <c r="D2" t="s">
        <v>929</v>
      </c>
    </row>
    <row r="4" spans="1:12" x14ac:dyDescent="0.35">
      <c r="A4" s="101" t="s">
        <v>882</v>
      </c>
      <c r="B4" s="101" t="str">
        <f>IF('Induction Employee Register'!A27="","",'Induction Employee Register'!A27)</f>
        <v>SW024</v>
      </c>
      <c r="D4" t="s">
        <v>930</v>
      </c>
      <c r="E4" t="s">
        <v>931</v>
      </c>
      <c r="F4" t="s">
        <v>932</v>
      </c>
      <c r="G4" t="s">
        <v>933</v>
      </c>
      <c r="H4" t="s">
        <v>58</v>
      </c>
      <c r="I4" t="s">
        <v>934</v>
      </c>
      <c r="J4" t="s">
        <v>54</v>
      </c>
      <c r="K4" t="s">
        <v>935</v>
      </c>
      <c r="L4" t="s">
        <v>43</v>
      </c>
    </row>
    <row r="5" spans="1:12" x14ac:dyDescent="0.35">
      <c r="A5" s="101" t="s">
        <v>883</v>
      </c>
      <c r="B5" s="101" t="str">
        <f>IF('Induction Employee Register'!B27="","",'Induction Employee Register'!B27)</f>
        <v/>
      </c>
      <c r="D5" t="s">
        <v>936</v>
      </c>
    </row>
    <row r="6" spans="1:12" x14ac:dyDescent="0.35">
      <c r="A6" s="101" t="s">
        <v>322</v>
      </c>
      <c r="B6" s="101" t="str">
        <f>IF('Induction Employee Register'!C27="","",'Induction Employee Register'!C27)</f>
        <v/>
      </c>
      <c r="D6" t="s">
        <v>937</v>
      </c>
      <c r="E6" t="s">
        <v>938</v>
      </c>
    </row>
    <row r="7" spans="1:12" x14ac:dyDescent="0.35">
      <c r="A7" s="101" t="s">
        <v>323</v>
      </c>
      <c r="B7" s="126" t="str">
        <f>IF('Induction Employee Register'!D27="","",'Induction Employee Register'!D27)</f>
        <v/>
      </c>
      <c r="D7" t="s">
        <v>939</v>
      </c>
      <c r="E7" t="s">
        <v>940</v>
      </c>
    </row>
    <row r="8" spans="1:12" x14ac:dyDescent="0.35">
      <c r="A8" s="101" t="s">
        <v>886</v>
      </c>
      <c r="B8" s="125">
        <f>IFERROR(COUNTIF($H$42:$H$230,"Pass")/(COUNTIF($H$42:$H$230,"Pass")+COUNTIF($H$42:$H$230,"Fail")+COUNTIF($H$42:$H$230,"Not Assessed")),0)</f>
        <v>0</v>
      </c>
      <c r="D8" t="s">
        <v>6</v>
      </c>
      <c r="E8" t="s">
        <v>941</v>
      </c>
    </row>
    <row r="9" spans="1:12" x14ac:dyDescent="0.35">
      <c r="A9" s="101" t="s">
        <v>887</v>
      </c>
      <c r="B9" s="125">
        <f>IFERROR(COUNTIF($H$235:$H$255,"Pass")/(COUNTIF($H$235:$H$255,"Pass")+COUNTIF($H$235:$H$255,"Fail")+COUNTIF($H$235:$H$255,"Not Assessed")),0)</f>
        <v>0</v>
      </c>
      <c r="D9" t="s">
        <v>942</v>
      </c>
      <c r="E9" t="s">
        <v>943</v>
      </c>
    </row>
    <row r="10" spans="1:12" x14ac:dyDescent="0.35">
      <c r="A10" s="101" t="s">
        <v>888</v>
      </c>
      <c r="B10" s="125" t="str">
        <f>IFERROR(IF($B$5="","",IF(INDEX('Mandatory Training Dashboard'!$D$5:$D$53,MATCH($B$5,'Mandatory Training Dashboard'!$A$5:$A$53,0))&gt;1,INDEX('Mandatory Training Dashboard'!$D$5:$D$53,MATCH($B$5,'Mandatory Training Dashboard'!$A$5:$A$53,0))/100,INDEX('Mandatory Training Dashboard'!$D$5:$D$53,MATCH($B$5,'Mandatory Training Dashboard'!$A$5:$A$53,0)))),0)</f>
        <v/>
      </c>
      <c r="D10" t="s">
        <v>944</v>
      </c>
      <c r="E10" t="s">
        <v>945</v>
      </c>
    </row>
    <row r="11" spans="1:12" x14ac:dyDescent="0.35">
      <c r="A11" s="101" t="s">
        <v>893</v>
      </c>
      <c r="B11" s="125">
        <f>IFERROR(AVERAGE(B8:B10),0)</f>
        <v>0</v>
      </c>
      <c r="D11" t="s">
        <v>946</v>
      </c>
      <c r="E11" t="s">
        <v>947</v>
      </c>
    </row>
    <row r="12" spans="1:12" x14ac:dyDescent="0.35">
      <c r="A12" s="101" t="s">
        <v>948</v>
      </c>
      <c r="B12" s="101" t="str">
        <f>IF(B11&gt;=0.9,"Green",IF(B11&gt;=0.75,"Amber","Red"))</f>
        <v>Red</v>
      </c>
      <c r="D12" t="s">
        <v>949</v>
      </c>
      <c r="E12" t="s">
        <v>950</v>
      </c>
    </row>
    <row r="13" spans="1:12" x14ac:dyDescent="0.35">
      <c r="A13" s="101" t="s">
        <v>891</v>
      </c>
      <c r="B13" s="101">
        <f>IF('Induction Employee Register'!N27="","",'Induction Employee Register'!N27)</f>
        <v>0</v>
      </c>
      <c r="D13" t="s">
        <v>951</v>
      </c>
      <c r="E13" t="s">
        <v>952</v>
      </c>
    </row>
    <row r="14" spans="1:12" x14ac:dyDescent="0.35">
      <c r="A14" s="101" t="s">
        <v>892</v>
      </c>
      <c r="B14" s="101" t="str">
        <f>IF('Induction Employee Register'!O27="","",'Induction Employee Register'!O27)</f>
        <v/>
      </c>
    </row>
    <row r="17" spans="1:12" ht="24" customHeight="1" x14ac:dyDescent="0.35">
      <c r="A17" s="135" t="s">
        <v>953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9" spans="1:12" ht="29" x14ac:dyDescent="0.35">
      <c r="A19" s="116" t="s">
        <v>954</v>
      </c>
      <c r="B19" s="116" t="s">
        <v>955</v>
      </c>
      <c r="C19" s="116" t="s">
        <v>956</v>
      </c>
      <c r="D19" s="116" t="s">
        <v>957</v>
      </c>
      <c r="E19" s="116" t="s">
        <v>958</v>
      </c>
      <c r="F19" s="116" t="s">
        <v>353</v>
      </c>
      <c r="G19" s="116" t="s">
        <v>335</v>
      </c>
      <c r="H19" s="116" t="s">
        <v>338</v>
      </c>
      <c r="I19" s="117" t="s">
        <v>959</v>
      </c>
      <c r="J19" t="s">
        <v>960</v>
      </c>
      <c r="K19" t="s">
        <v>300</v>
      </c>
      <c r="L19" t="s">
        <v>961</v>
      </c>
    </row>
    <row r="20" spans="1:12" x14ac:dyDescent="0.35">
      <c r="A20" s="118" t="s">
        <v>962</v>
      </c>
      <c r="B20" s="118" t="s">
        <v>81</v>
      </c>
      <c r="C20" s="118"/>
      <c r="D20" s="127"/>
      <c r="E20" s="127"/>
      <c r="F20" s="118"/>
      <c r="G20" s="118"/>
      <c r="H20" s="118"/>
      <c r="J20" t="s">
        <v>310</v>
      </c>
      <c r="K20" t="str">
        <f>IF('Induction Employee Register'!W27="","",'Induction Employee Register'!W27)</f>
        <v/>
      </c>
      <c r="L20" t="s">
        <v>963</v>
      </c>
    </row>
    <row r="21" spans="1:12" x14ac:dyDescent="0.35">
      <c r="A21" s="118" t="s">
        <v>964</v>
      </c>
      <c r="B21" s="118" t="s">
        <v>81</v>
      </c>
      <c r="C21" s="118"/>
      <c r="D21" s="127"/>
      <c r="E21" s="127"/>
      <c r="F21" s="118"/>
      <c r="G21" s="118"/>
      <c r="H21" s="118"/>
      <c r="J21" t="s">
        <v>311</v>
      </c>
      <c r="K21" t="str">
        <f>IF('Induction Employee Register'!X27="","",'Induction Employee Register'!X27)</f>
        <v/>
      </c>
      <c r="L21" t="s">
        <v>965</v>
      </c>
    </row>
    <row r="22" spans="1:12" x14ac:dyDescent="0.35">
      <c r="A22" s="118" t="s">
        <v>966</v>
      </c>
      <c r="B22" s="118" t="s">
        <v>81</v>
      </c>
      <c r="C22" s="118"/>
      <c r="D22" s="127"/>
      <c r="E22" s="127"/>
      <c r="F22" s="118"/>
      <c r="G22" s="118"/>
      <c r="H22" s="118"/>
      <c r="J22" t="s">
        <v>312</v>
      </c>
      <c r="K22" t="str">
        <f>IF('Induction Employee Register'!Y27="","",'Induction Employee Register'!Y27)</f>
        <v/>
      </c>
      <c r="L22" t="s">
        <v>967</v>
      </c>
    </row>
    <row r="23" spans="1:12" x14ac:dyDescent="0.35">
      <c r="A23" s="118" t="s">
        <v>52</v>
      </c>
      <c r="B23" s="118" t="s">
        <v>81</v>
      </c>
      <c r="C23" s="118"/>
      <c r="D23" s="127"/>
      <c r="E23" s="127"/>
      <c r="F23" s="118"/>
      <c r="G23" s="118"/>
      <c r="H23" s="118"/>
      <c r="J23" t="s">
        <v>313</v>
      </c>
      <c r="K23" t="str">
        <f>IF('Induction Employee Register'!Z27="","",'Induction Employee Register'!Z27)</f>
        <v/>
      </c>
      <c r="L23" t="s">
        <v>968</v>
      </c>
    </row>
    <row r="24" spans="1:12" x14ac:dyDescent="0.35">
      <c r="A24" s="118" t="s">
        <v>50</v>
      </c>
      <c r="B24" s="118" t="s">
        <v>81</v>
      </c>
      <c r="C24" s="118"/>
      <c r="D24" s="127"/>
      <c r="E24" s="127"/>
      <c r="F24" s="118"/>
      <c r="G24" s="118"/>
      <c r="H24" s="118"/>
      <c r="J24" t="s">
        <v>314</v>
      </c>
      <c r="K24" t="str">
        <f>IF('Induction Employee Register'!AA27="","",'Induction Employee Register'!AA27)</f>
        <v/>
      </c>
      <c r="L24" t="s">
        <v>968</v>
      </c>
    </row>
    <row r="25" spans="1:12" x14ac:dyDescent="0.35">
      <c r="A25" s="118" t="s">
        <v>329</v>
      </c>
      <c r="B25" s="118" t="s">
        <v>81</v>
      </c>
      <c r="C25" s="118"/>
      <c r="D25" s="127"/>
      <c r="E25" s="127"/>
      <c r="F25" s="118"/>
      <c r="G25" s="118"/>
      <c r="H25" s="118"/>
      <c r="J25" t="s">
        <v>315</v>
      </c>
      <c r="K25" t="str">
        <f>IF('Induction Employee Register'!AB27="","",'Induction Employee Register'!AB27)</f>
        <v/>
      </c>
      <c r="L25" t="s">
        <v>967</v>
      </c>
    </row>
    <row r="26" spans="1:12" x14ac:dyDescent="0.35">
      <c r="A26" s="118" t="s">
        <v>969</v>
      </c>
      <c r="B26" s="118" t="s">
        <v>81</v>
      </c>
      <c r="C26" s="118"/>
      <c r="D26" s="127"/>
      <c r="E26" s="127"/>
      <c r="F26" s="118"/>
      <c r="G26" s="118"/>
      <c r="H26" s="118"/>
      <c r="J26" t="s">
        <v>316</v>
      </c>
      <c r="K26" t="str">
        <f>IF('Induction Employee Register'!AC27="","",'Induction Employee Register'!AC27)</f>
        <v/>
      </c>
      <c r="L26" t="s">
        <v>967</v>
      </c>
    </row>
    <row r="27" spans="1:12" x14ac:dyDescent="0.35">
      <c r="A27" s="118" t="s">
        <v>970</v>
      </c>
      <c r="B27" s="118" t="s">
        <v>81</v>
      </c>
      <c r="C27" s="118"/>
      <c r="D27" s="127"/>
      <c r="E27" s="127"/>
      <c r="F27" s="118"/>
      <c r="G27" s="118"/>
      <c r="H27" s="118"/>
    </row>
    <row r="28" spans="1:12" x14ac:dyDescent="0.35">
      <c r="A28" s="118" t="s">
        <v>971</v>
      </c>
      <c r="B28" s="118" t="s">
        <v>81</v>
      </c>
      <c r="C28" s="118"/>
      <c r="D28" s="127"/>
      <c r="E28" s="127"/>
      <c r="F28" s="118"/>
      <c r="G28" s="118"/>
      <c r="H28" s="118"/>
    </row>
    <row r="29" spans="1:12" x14ac:dyDescent="0.35">
      <c r="A29" s="118" t="s">
        <v>972</v>
      </c>
      <c r="B29" s="118" t="s">
        <v>81</v>
      </c>
      <c r="C29" s="118"/>
      <c r="D29" s="127"/>
      <c r="E29" s="127"/>
      <c r="F29" s="118"/>
      <c r="G29" s="118"/>
      <c r="H29" s="118"/>
    </row>
    <row r="30" spans="1:12" x14ac:dyDescent="0.35">
      <c r="A30" s="118" t="s">
        <v>973</v>
      </c>
      <c r="B30" s="118" t="s">
        <v>81</v>
      </c>
      <c r="C30" s="118"/>
      <c r="D30" s="127"/>
      <c r="E30" s="127"/>
      <c r="F30" s="118"/>
      <c r="G30" s="118"/>
      <c r="H30" s="118"/>
    </row>
    <row r="31" spans="1:12" x14ac:dyDescent="0.35">
      <c r="A31" s="118" t="s">
        <v>974</v>
      </c>
      <c r="B31" s="118" t="s">
        <v>81</v>
      </c>
      <c r="C31" s="118"/>
      <c r="D31" s="127"/>
      <c r="E31" s="127"/>
      <c r="F31" s="118"/>
      <c r="G31" s="118"/>
      <c r="H31" s="118"/>
    </row>
    <row r="32" spans="1:12" x14ac:dyDescent="0.35">
      <c r="A32" s="118" t="s">
        <v>975</v>
      </c>
      <c r="B32" s="118" t="s">
        <v>81</v>
      </c>
      <c r="C32" s="118"/>
      <c r="D32" s="127"/>
      <c r="E32" s="127"/>
      <c r="F32" s="118"/>
      <c r="G32" s="118"/>
      <c r="H32" s="118"/>
    </row>
    <row r="33" spans="1:12" x14ac:dyDescent="0.35">
      <c r="A33" s="118" t="s">
        <v>54</v>
      </c>
      <c r="B33" s="118" t="s">
        <v>81</v>
      </c>
      <c r="C33" s="118"/>
      <c r="D33" s="127"/>
      <c r="E33" s="127"/>
      <c r="F33" s="118"/>
      <c r="G33" s="118"/>
      <c r="H33" s="118"/>
    </row>
    <row r="34" spans="1:12" x14ac:dyDescent="0.35">
      <c r="A34" s="119" t="s">
        <v>976</v>
      </c>
      <c r="B34" s="119" t="s">
        <v>81</v>
      </c>
      <c r="C34" s="119"/>
      <c r="D34" s="127"/>
      <c r="E34" s="127"/>
      <c r="F34" s="119"/>
      <c r="G34" s="119"/>
      <c r="H34" s="119"/>
    </row>
    <row r="35" spans="1:12" ht="24" customHeight="1" x14ac:dyDescent="0.35">
      <c r="A35" s="130" t="s">
        <v>977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</row>
    <row r="36" spans="1:12" x14ac:dyDescent="0.35">
      <c r="A36" s="119" t="s">
        <v>978</v>
      </c>
      <c r="B36" s="119" t="s">
        <v>81</v>
      </c>
      <c r="C36" s="119"/>
      <c r="D36" s="127"/>
      <c r="E36" s="127"/>
      <c r="F36" s="119"/>
      <c r="G36" s="119"/>
      <c r="H36" s="119"/>
    </row>
    <row r="37" spans="1:12" x14ac:dyDescent="0.35">
      <c r="A37" s="119" t="s">
        <v>979</v>
      </c>
      <c r="B37" s="119" t="s">
        <v>81</v>
      </c>
      <c r="C37" s="119"/>
      <c r="D37" s="127"/>
      <c r="E37" s="127"/>
      <c r="F37" s="119"/>
      <c r="G37" s="119"/>
      <c r="H37" s="119"/>
    </row>
    <row r="38" spans="1:12" x14ac:dyDescent="0.35">
      <c r="A38" s="119" t="s">
        <v>980</v>
      </c>
      <c r="B38" s="119" t="s">
        <v>81</v>
      </c>
      <c r="C38" s="119"/>
      <c r="D38" s="127"/>
      <c r="E38" s="127"/>
      <c r="F38" s="119"/>
      <c r="G38" s="119"/>
      <c r="H38" s="119"/>
    </row>
    <row r="39" spans="1:12" x14ac:dyDescent="0.35">
      <c r="A39" s="119" t="s">
        <v>981</v>
      </c>
      <c r="B39" s="119" t="s">
        <v>81</v>
      </c>
      <c r="C39" s="119"/>
      <c r="D39" s="127"/>
      <c r="E39" s="127"/>
      <c r="F39" s="119"/>
      <c r="G39" s="119"/>
      <c r="H39" s="119"/>
    </row>
    <row r="40" spans="1:12" x14ac:dyDescent="0.35">
      <c r="A40" s="119" t="s">
        <v>982</v>
      </c>
      <c r="B40" s="119" t="s">
        <v>81</v>
      </c>
      <c r="C40" s="119"/>
      <c r="D40" s="127"/>
      <c r="E40" s="127"/>
      <c r="F40" s="119"/>
      <c r="G40" s="119"/>
      <c r="H40" s="119"/>
    </row>
    <row r="41" spans="1:12" x14ac:dyDescent="0.35">
      <c r="A41" s="118"/>
      <c r="B41" s="118"/>
      <c r="C41" s="118"/>
      <c r="D41" s="127"/>
      <c r="E41" s="127"/>
      <c r="F41" s="118"/>
      <c r="G41" s="118"/>
      <c r="H41" s="118"/>
    </row>
    <row r="42" spans="1:12" x14ac:dyDescent="0.35">
      <c r="A42" s="120" t="s">
        <v>983</v>
      </c>
      <c r="B42" s="118"/>
      <c r="C42" s="118"/>
      <c r="D42" s="127"/>
      <c r="E42" s="127"/>
      <c r="F42" s="118"/>
      <c r="G42" s="118"/>
      <c r="H42" s="118"/>
      <c r="I42" s="96"/>
      <c r="J42" s="96"/>
      <c r="K42" s="96"/>
      <c r="L42" s="96"/>
    </row>
    <row r="43" spans="1:12" x14ac:dyDescent="0.35">
      <c r="A43" s="118"/>
      <c r="B43" s="118"/>
      <c r="C43" s="118"/>
      <c r="D43" s="127"/>
      <c r="E43" s="127"/>
      <c r="F43" s="118"/>
      <c r="G43" s="118"/>
      <c r="H43" s="118"/>
    </row>
    <row r="44" spans="1:12" ht="29" x14ac:dyDescent="0.35">
      <c r="A44" s="116" t="s">
        <v>984</v>
      </c>
      <c r="B44" s="116" t="s">
        <v>985</v>
      </c>
      <c r="C44" s="116" t="s">
        <v>986</v>
      </c>
      <c r="D44" s="116" t="s">
        <v>987</v>
      </c>
      <c r="E44" s="116" t="s">
        <v>988</v>
      </c>
      <c r="F44" s="116" t="s">
        <v>989</v>
      </c>
      <c r="G44" s="116" t="s">
        <v>389</v>
      </c>
      <c r="H44" s="116" t="s">
        <v>870</v>
      </c>
      <c r="I44" s="100" t="s">
        <v>390</v>
      </c>
      <c r="J44" s="100" t="s">
        <v>990</v>
      </c>
      <c r="K44" s="100" t="s">
        <v>991</v>
      </c>
      <c r="L44" s="100" t="s">
        <v>992</v>
      </c>
    </row>
    <row r="45" spans="1:12" ht="29" x14ac:dyDescent="0.35">
      <c r="A45" s="121" t="s">
        <v>993</v>
      </c>
      <c r="B45" s="121" t="s">
        <v>994</v>
      </c>
      <c r="C45" s="121" t="s">
        <v>995</v>
      </c>
      <c r="D45" s="121"/>
      <c r="E45" s="121" t="s">
        <v>996</v>
      </c>
      <c r="F45" s="121"/>
      <c r="G45" s="121"/>
      <c r="H45" s="121"/>
      <c r="I45" s="21"/>
      <c r="J45" s="21"/>
      <c r="K45" s="21"/>
      <c r="L45" s="21"/>
    </row>
    <row r="46" spans="1:12" ht="29" x14ac:dyDescent="0.35">
      <c r="A46" s="21" t="s">
        <v>993</v>
      </c>
      <c r="B46" s="21" t="s">
        <v>997</v>
      </c>
      <c r="C46" s="21" t="s">
        <v>998</v>
      </c>
      <c r="D46" s="21"/>
      <c r="E46" s="21" t="s">
        <v>996</v>
      </c>
      <c r="F46" s="21"/>
      <c r="G46" s="21"/>
      <c r="H46" s="21"/>
      <c r="I46" s="21"/>
      <c r="J46" s="21"/>
      <c r="K46" s="21"/>
      <c r="L46" s="21"/>
    </row>
    <row r="47" spans="1:12" ht="29" x14ac:dyDescent="0.35">
      <c r="A47" s="21" t="s">
        <v>993</v>
      </c>
      <c r="B47" s="21" t="s">
        <v>999</v>
      </c>
      <c r="C47" s="21" t="s">
        <v>1000</v>
      </c>
      <c r="D47" s="21"/>
      <c r="E47" s="21" t="s">
        <v>996</v>
      </c>
      <c r="F47" s="21"/>
      <c r="G47" s="21"/>
      <c r="H47" s="21"/>
      <c r="I47" s="21"/>
      <c r="J47" s="21"/>
      <c r="K47" s="21"/>
      <c r="L47" s="21"/>
    </row>
    <row r="48" spans="1:12" ht="29" x14ac:dyDescent="0.35">
      <c r="A48" s="21" t="s">
        <v>993</v>
      </c>
      <c r="B48" s="21" t="s">
        <v>1001</v>
      </c>
      <c r="C48" s="21" t="s">
        <v>1002</v>
      </c>
      <c r="D48" s="21"/>
      <c r="E48" s="21" t="s">
        <v>996</v>
      </c>
      <c r="F48" s="21"/>
      <c r="G48" s="21"/>
      <c r="H48" s="21"/>
      <c r="I48" s="21"/>
      <c r="J48" s="21"/>
      <c r="K48" s="21"/>
      <c r="L48" s="21"/>
    </row>
    <row r="49" spans="1:12" ht="43.5" x14ac:dyDescent="0.35">
      <c r="A49" s="21" t="s">
        <v>993</v>
      </c>
      <c r="B49" s="21" t="s">
        <v>1003</v>
      </c>
      <c r="C49" s="21" t="s">
        <v>1004</v>
      </c>
      <c r="D49" s="21"/>
      <c r="E49" s="21" t="s">
        <v>996</v>
      </c>
      <c r="F49" s="21"/>
      <c r="G49" s="21"/>
      <c r="H49" s="21"/>
      <c r="I49" s="21"/>
      <c r="J49" s="21"/>
      <c r="K49" s="21"/>
      <c r="L49" s="21"/>
    </row>
    <row r="50" spans="1:12" ht="29" x14ac:dyDescent="0.35">
      <c r="A50" s="21" t="s">
        <v>993</v>
      </c>
      <c r="B50" s="21" t="s">
        <v>1005</v>
      </c>
      <c r="C50" s="21" t="s">
        <v>1006</v>
      </c>
      <c r="D50" s="21"/>
      <c r="E50" s="21" t="s">
        <v>996</v>
      </c>
      <c r="F50" s="21"/>
      <c r="G50" s="21"/>
      <c r="H50" s="21"/>
      <c r="I50" s="21"/>
      <c r="J50" s="21"/>
      <c r="K50" s="21"/>
      <c r="L50" s="21"/>
    </row>
    <row r="51" spans="1:12" ht="43.5" x14ac:dyDescent="0.35">
      <c r="A51" s="21" t="s">
        <v>1007</v>
      </c>
      <c r="B51" s="21" t="s">
        <v>1008</v>
      </c>
      <c r="C51" s="21" t="s">
        <v>1009</v>
      </c>
      <c r="D51" s="21"/>
      <c r="E51" s="21" t="s">
        <v>996</v>
      </c>
      <c r="F51" s="21"/>
      <c r="G51" s="21"/>
      <c r="H51" s="21"/>
      <c r="I51" s="21"/>
      <c r="J51" s="21"/>
      <c r="K51" s="21"/>
      <c r="L51" s="21"/>
    </row>
    <row r="52" spans="1:12" ht="29" x14ac:dyDescent="0.35">
      <c r="A52" s="21" t="s">
        <v>1007</v>
      </c>
      <c r="B52" s="21" t="s">
        <v>1010</v>
      </c>
      <c r="C52" s="21" t="s">
        <v>1011</v>
      </c>
      <c r="D52" s="21"/>
      <c r="E52" s="21" t="s">
        <v>996</v>
      </c>
      <c r="F52" s="21"/>
      <c r="G52" s="21"/>
      <c r="H52" s="21"/>
      <c r="I52" s="21"/>
      <c r="J52" s="21"/>
      <c r="K52" s="21"/>
      <c r="L52" s="21"/>
    </row>
    <row r="53" spans="1:12" ht="29" x14ac:dyDescent="0.35">
      <c r="A53" s="21" t="s">
        <v>1007</v>
      </c>
      <c r="B53" s="21" t="s">
        <v>1012</v>
      </c>
      <c r="C53" s="21" t="s">
        <v>1013</v>
      </c>
      <c r="D53" s="21"/>
      <c r="E53" s="21" t="s">
        <v>996</v>
      </c>
      <c r="F53" s="21"/>
      <c r="G53" s="21"/>
      <c r="H53" s="21"/>
      <c r="I53" s="21"/>
      <c r="J53" s="21"/>
      <c r="K53" s="21"/>
      <c r="L53" s="21"/>
    </row>
    <row r="54" spans="1:12" ht="29" x14ac:dyDescent="0.35">
      <c r="A54" s="21" t="s">
        <v>1007</v>
      </c>
      <c r="B54" s="21" t="s">
        <v>1014</v>
      </c>
      <c r="C54" s="21" t="s">
        <v>1015</v>
      </c>
      <c r="D54" s="21"/>
      <c r="E54" s="21" t="s">
        <v>996</v>
      </c>
      <c r="F54" s="21"/>
      <c r="G54" s="21"/>
      <c r="H54" s="21"/>
      <c r="I54" s="21"/>
      <c r="J54" s="21"/>
      <c r="K54" s="21"/>
      <c r="L54" s="21"/>
    </row>
    <row r="55" spans="1:12" ht="29" x14ac:dyDescent="0.35">
      <c r="A55" s="21" t="s">
        <v>1007</v>
      </c>
      <c r="B55" s="21" t="s">
        <v>1016</v>
      </c>
      <c r="C55" s="21" t="s">
        <v>1017</v>
      </c>
      <c r="D55" s="21"/>
      <c r="E55" s="21" t="s">
        <v>996</v>
      </c>
      <c r="F55" s="21"/>
      <c r="G55" s="21"/>
      <c r="H55" s="21"/>
      <c r="I55" s="21"/>
      <c r="J55" s="21"/>
      <c r="K55" s="21"/>
      <c r="L55" s="21"/>
    </row>
    <row r="56" spans="1:12" ht="29" x14ac:dyDescent="0.35">
      <c r="A56" s="21" t="s">
        <v>1007</v>
      </c>
      <c r="B56" s="21" t="s">
        <v>1018</v>
      </c>
      <c r="C56" s="21" t="s">
        <v>1019</v>
      </c>
      <c r="D56" s="21"/>
      <c r="E56" s="21" t="s">
        <v>996</v>
      </c>
      <c r="F56" s="21"/>
      <c r="G56" s="21"/>
      <c r="H56" s="21"/>
      <c r="I56" s="21"/>
      <c r="J56" s="21"/>
      <c r="K56" s="21"/>
      <c r="L56" s="21"/>
    </row>
    <row r="57" spans="1:12" ht="43.5" x14ac:dyDescent="0.35">
      <c r="A57" s="21" t="s">
        <v>1020</v>
      </c>
      <c r="B57" s="21" t="s">
        <v>1021</v>
      </c>
      <c r="C57" s="21" t="s">
        <v>1022</v>
      </c>
      <c r="D57" s="21"/>
      <c r="E57" s="21" t="s">
        <v>1023</v>
      </c>
      <c r="F57" s="21"/>
      <c r="G57" s="21"/>
      <c r="H57" s="21"/>
      <c r="I57" s="21"/>
      <c r="J57" s="21"/>
      <c r="K57" s="21"/>
      <c r="L57" s="21"/>
    </row>
    <row r="58" spans="1:12" ht="43.5" x14ac:dyDescent="0.35">
      <c r="A58" s="21" t="s">
        <v>1020</v>
      </c>
      <c r="B58" s="21" t="s">
        <v>1024</v>
      </c>
      <c r="C58" s="21" t="s">
        <v>1025</v>
      </c>
      <c r="D58" s="21"/>
      <c r="E58" s="21" t="s">
        <v>1023</v>
      </c>
      <c r="F58" s="21"/>
      <c r="G58" s="21"/>
      <c r="H58" s="21"/>
      <c r="I58" s="21"/>
      <c r="J58" s="21"/>
      <c r="K58" s="21"/>
      <c r="L58" s="21"/>
    </row>
    <row r="59" spans="1:12" ht="43.5" x14ac:dyDescent="0.35">
      <c r="A59" s="21" t="s">
        <v>1020</v>
      </c>
      <c r="B59" s="21" t="s">
        <v>1026</v>
      </c>
      <c r="C59" s="21" t="s">
        <v>1027</v>
      </c>
      <c r="D59" s="21"/>
      <c r="E59" s="21" t="s">
        <v>1023</v>
      </c>
      <c r="F59" s="21"/>
      <c r="G59" s="21"/>
      <c r="H59" s="21"/>
      <c r="I59" s="21"/>
      <c r="J59" s="21"/>
      <c r="K59" s="21"/>
      <c r="L59" s="21"/>
    </row>
    <row r="60" spans="1:12" ht="43.5" x14ac:dyDescent="0.35">
      <c r="A60" s="21" t="s">
        <v>1020</v>
      </c>
      <c r="B60" s="21" t="s">
        <v>1028</v>
      </c>
      <c r="C60" s="21" t="s">
        <v>1029</v>
      </c>
      <c r="D60" s="21"/>
      <c r="E60" s="21" t="s">
        <v>1023</v>
      </c>
      <c r="F60" s="21"/>
      <c r="G60" s="21"/>
      <c r="H60" s="21"/>
      <c r="I60" s="21"/>
      <c r="J60" s="21"/>
      <c r="K60" s="21"/>
      <c r="L60" s="21"/>
    </row>
    <row r="61" spans="1:12" ht="43.5" x14ac:dyDescent="0.35">
      <c r="A61" s="21" t="s">
        <v>1020</v>
      </c>
      <c r="B61" s="21" t="s">
        <v>1030</v>
      </c>
      <c r="C61" s="21" t="s">
        <v>1031</v>
      </c>
      <c r="D61" s="21"/>
      <c r="E61" s="21" t="s">
        <v>1023</v>
      </c>
      <c r="F61" s="21"/>
      <c r="G61" s="21"/>
      <c r="H61" s="21"/>
      <c r="I61" s="21"/>
      <c r="J61" s="21"/>
      <c r="K61" s="21"/>
      <c r="L61" s="21"/>
    </row>
    <row r="62" spans="1:12" ht="43.5" x14ac:dyDescent="0.35">
      <c r="A62" s="21" t="s">
        <v>1020</v>
      </c>
      <c r="B62" s="21" t="s">
        <v>1032</v>
      </c>
      <c r="C62" s="21" t="s">
        <v>1033</v>
      </c>
      <c r="D62" s="21"/>
      <c r="E62" s="21" t="s">
        <v>1023</v>
      </c>
      <c r="F62" s="21"/>
      <c r="G62" s="21"/>
      <c r="H62" s="21"/>
      <c r="I62" s="21"/>
      <c r="J62" s="21"/>
      <c r="K62" s="21"/>
      <c r="L62" s="21"/>
    </row>
    <row r="63" spans="1:12" ht="29" x14ac:dyDescent="0.35">
      <c r="A63" s="21" t="s">
        <v>428</v>
      </c>
      <c r="B63" s="21" t="s">
        <v>1034</v>
      </c>
      <c r="C63" s="21" t="s">
        <v>1035</v>
      </c>
      <c r="D63" s="21"/>
      <c r="E63" s="21" t="s">
        <v>996</v>
      </c>
      <c r="F63" s="21"/>
      <c r="G63" s="21"/>
      <c r="H63" s="21"/>
      <c r="I63" s="21"/>
      <c r="J63" s="21"/>
      <c r="K63" s="21"/>
      <c r="L63" s="21"/>
    </row>
    <row r="64" spans="1:12" ht="43.5" x14ac:dyDescent="0.35">
      <c r="A64" s="21" t="s">
        <v>428</v>
      </c>
      <c r="B64" s="21" t="s">
        <v>1036</v>
      </c>
      <c r="C64" s="21" t="s">
        <v>1037</v>
      </c>
      <c r="D64" s="21"/>
      <c r="E64" s="21" t="s">
        <v>996</v>
      </c>
      <c r="F64" s="21"/>
      <c r="G64" s="21"/>
      <c r="H64" s="21"/>
      <c r="I64" s="21"/>
      <c r="J64" s="21"/>
      <c r="K64" s="21"/>
      <c r="L64" s="21"/>
    </row>
    <row r="65" spans="1:12" ht="29" x14ac:dyDescent="0.35">
      <c r="A65" s="21" t="s">
        <v>428</v>
      </c>
      <c r="B65" s="21" t="s">
        <v>1038</v>
      </c>
      <c r="C65" s="21" t="s">
        <v>1039</v>
      </c>
      <c r="D65" s="21"/>
      <c r="E65" s="21" t="s">
        <v>996</v>
      </c>
      <c r="F65" s="21"/>
      <c r="G65" s="21"/>
      <c r="H65" s="21"/>
      <c r="I65" s="21"/>
      <c r="J65" s="21"/>
      <c r="K65" s="21"/>
      <c r="L65" s="21"/>
    </row>
    <row r="66" spans="1:12" ht="43.5" x14ac:dyDescent="0.35">
      <c r="A66" s="21" t="s">
        <v>428</v>
      </c>
      <c r="B66" s="21" t="s">
        <v>1040</v>
      </c>
      <c r="C66" s="21" t="s">
        <v>1041</v>
      </c>
      <c r="D66" s="21"/>
      <c r="E66" s="21" t="s">
        <v>996</v>
      </c>
      <c r="F66" s="21"/>
      <c r="G66" s="21"/>
      <c r="H66" s="21"/>
      <c r="I66" s="21"/>
      <c r="J66" s="21"/>
      <c r="K66" s="21"/>
      <c r="L66" s="21"/>
    </row>
    <row r="67" spans="1:12" ht="29" x14ac:dyDescent="0.35">
      <c r="A67" s="21" t="s">
        <v>428</v>
      </c>
      <c r="B67" s="21" t="s">
        <v>1042</v>
      </c>
      <c r="C67" s="21" t="s">
        <v>1043</v>
      </c>
      <c r="D67" s="21"/>
      <c r="E67" s="21" t="s">
        <v>996</v>
      </c>
      <c r="F67" s="21"/>
      <c r="G67" s="21"/>
      <c r="H67" s="21"/>
      <c r="I67" s="21"/>
      <c r="J67" s="21"/>
      <c r="K67" s="21"/>
      <c r="L67" s="21"/>
    </row>
    <row r="68" spans="1:12" ht="29" x14ac:dyDescent="0.35">
      <c r="A68" s="21" t="s">
        <v>428</v>
      </c>
      <c r="B68" s="21" t="s">
        <v>1044</v>
      </c>
      <c r="C68" s="21" t="s">
        <v>1045</v>
      </c>
      <c r="D68" s="21"/>
      <c r="E68" s="21" t="s">
        <v>996</v>
      </c>
      <c r="F68" s="21"/>
      <c r="G68" s="21"/>
      <c r="H68" s="21"/>
      <c r="I68" s="21"/>
      <c r="J68" s="21"/>
      <c r="K68" s="21"/>
      <c r="L68" s="21"/>
    </row>
    <row r="69" spans="1:12" ht="29" x14ac:dyDescent="0.35">
      <c r="A69" s="21" t="s">
        <v>1046</v>
      </c>
      <c r="B69" s="21" t="s">
        <v>1047</v>
      </c>
      <c r="C69" s="21" t="s">
        <v>1048</v>
      </c>
      <c r="D69" s="21"/>
      <c r="E69" s="21" t="s">
        <v>996</v>
      </c>
      <c r="F69" s="21"/>
      <c r="G69" s="21"/>
      <c r="H69" s="21"/>
      <c r="I69" s="21"/>
      <c r="J69" s="21"/>
      <c r="K69" s="21"/>
      <c r="L69" s="21"/>
    </row>
    <row r="70" spans="1:12" ht="29" x14ac:dyDescent="0.35">
      <c r="A70" s="21" t="s">
        <v>1046</v>
      </c>
      <c r="B70" s="21" t="s">
        <v>1049</v>
      </c>
      <c r="C70" s="21" t="s">
        <v>1050</v>
      </c>
      <c r="D70" s="21"/>
      <c r="E70" s="21" t="s">
        <v>996</v>
      </c>
      <c r="F70" s="21"/>
      <c r="G70" s="21"/>
      <c r="H70" s="21"/>
      <c r="I70" s="21"/>
      <c r="J70" s="21"/>
      <c r="K70" s="21"/>
      <c r="L70" s="21"/>
    </row>
    <row r="71" spans="1:12" ht="29" x14ac:dyDescent="0.35">
      <c r="A71" s="21" t="s">
        <v>1046</v>
      </c>
      <c r="B71" s="21" t="s">
        <v>1051</v>
      </c>
      <c r="C71" s="21" t="s">
        <v>1052</v>
      </c>
      <c r="D71" s="21"/>
      <c r="E71" s="21" t="s">
        <v>996</v>
      </c>
      <c r="F71" s="21"/>
      <c r="G71" s="21"/>
      <c r="H71" s="21"/>
      <c r="I71" s="21"/>
      <c r="J71" s="21"/>
      <c r="K71" s="21"/>
      <c r="L71" s="21"/>
    </row>
    <row r="72" spans="1:12" ht="29" x14ac:dyDescent="0.35">
      <c r="A72" s="21" t="s">
        <v>1046</v>
      </c>
      <c r="B72" s="21" t="s">
        <v>1053</v>
      </c>
      <c r="C72" s="21" t="s">
        <v>1054</v>
      </c>
      <c r="D72" s="21"/>
      <c r="E72" s="21" t="s">
        <v>996</v>
      </c>
      <c r="F72" s="21"/>
      <c r="G72" s="21"/>
      <c r="H72" s="21"/>
      <c r="I72" s="21"/>
      <c r="J72" s="21"/>
      <c r="K72" s="21"/>
      <c r="L72" s="21"/>
    </row>
    <row r="73" spans="1:12" ht="29" x14ac:dyDescent="0.35">
      <c r="A73" s="21" t="s">
        <v>1046</v>
      </c>
      <c r="B73" s="21" t="s">
        <v>1055</v>
      </c>
      <c r="C73" s="21" t="s">
        <v>1056</v>
      </c>
      <c r="D73" s="21"/>
      <c r="E73" s="21" t="s">
        <v>996</v>
      </c>
      <c r="F73" s="21"/>
      <c r="G73" s="21"/>
      <c r="H73" s="21"/>
      <c r="I73" s="21"/>
      <c r="J73" s="21"/>
      <c r="K73" s="21"/>
      <c r="L73" s="21"/>
    </row>
    <row r="74" spans="1:12" ht="29" x14ac:dyDescent="0.35">
      <c r="A74" s="21" t="s">
        <v>1046</v>
      </c>
      <c r="B74" s="21" t="s">
        <v>1057</v>
      </c>
      <c r="C74" s="21" t="s">
        <v>1058</v>
      </c>
      <c r="D74" s="21"/>
      <c r="E74" s="21" t="s">
        <v>996</v>
      </c>
      <c r="F74" s="21"/>
      <c r="G74" s="21"/>
      <c r="H74" s="21"/>
      <c r="I74" s="21"/>
      <c r="J74" s="21"/>
      <c r="K74" s="21"/>
      <c r="L74" s="21"/>
    </row>
    <row r="75" spans="1:12" ht="29" x14ac:dyDescent="0.35">
      <c r="A75" s="21" t="s">
        <v>1059</v>
      </c>
      <c r="B75" s="21" t="s">
        <v>1060</v>
      </c>
      <c r="C75" s="21" t="s">
        <v>1061</v>
      </c>
      <c r="D75" s="21"/>
      <c r="E75" s="21" t="s">
        <v>996</v>
      </c>
      <c r="F75" s="21"/>
      <c r="G75" s="21"/>
      <c r="H75" s="21"/>
      <c r="I75" s="21"/>
      <c r="J75" s="21"/>
      <c r="K75" s="21"/>
      <c r="L75" s="21"/>
    </row>
    <row r="76" spans="1:12" ht="43.5" x14ac:dyDescent="0.35">
      <c r="A76" s="21" t="s">
        <v>1059</v>
      </c>
      <c r="B76" s="21" t="s">
        <v>1062</v>
      </c>
      <c r="C76" s="21" t="s">
        <v>1063</v>
      </c>
      <c r="D76" s="21"/>
      <c r="E76" s="21" t="s">
        <v>996</v>
      </c>
      <c r="F76" s="21"/>
      <c r="G76" s="21"/>
      <c r="H76" s="21"/>
      <c r="I76" s="21"/>
      <c r="J76" s="21"/>
      <c r="K76" s="21"/>
      <c r="L76" s="21"/>
    </row>
    <row r="77" spans="1:12" ht="29" x14ac:dyDescent="0.35">
      <c r="A77" s="21" t="s">
        <v>1059</v>
      </c>
      <c r="B77" s="21" t="s">
        <v>1064</v>
      </c>
      <c r="C77" s="21" t="s">
        <v>1065</v>
      </c>
      <c r="D77" s="21"/>
      <c r="E77" s="21" t="s">
        <v>996</v>
      </c>
      <c r="F77" s="21"/>
      <c r="G77" s="21"/>
      <c r="H77" s="21"/>
      <c r="I77" s="21"/>
      <c r="J77" s="21"/>
      <c r="K77" s="21"/>
      <c r="L77" s="21"/>
    </row>
    <row r="78" spans="1:12" ht="29" x14ac:dyDescent="0.35">
      <c r="A78" s="21" t="s">
        <v>1059</v>
      </c>
      <c r="B78" s="21" t="s">
        <v>1066</v>
      </c>
      <c r="C78" s="21" t="s">
        <v>1067</v>
      </c>
      <c r="D78" s="21"/>
      <c r="E78" s="21" t="s">
        <v>996</v>
      </c>
      <c r="F78" s="21"/>
      <c r="G78" s="21"/>
      <c r="H78" s="21"/>
      <c r="I78" s="21"/>
      <c r="J78" s="21"/>
      <c r="K78" s="21"/>
      <c r="L78" s="21"/>
    </row>
    <row r="79" spans="1:12" ht="29" x14ac:dyDescent="0.35">
      <c r="A79" s="21" t="s">
        <v>1059</v>
      </c>
      <c r="B79" s="21" t="s">
        <v>1068</v>
      </c>
      <c r="C79" s="21" t="s">
        <v>1069</v>
      </c>
      <c r="D79" s="21"/>
      <c r="E79" s="21" t="s">
        <v>996</v>
      </c>
      <c r="F79" s="21"/>
      <c r="G79" s="21"/>
      <c r="H79" s="21"/>
      <c r="I79" s="21"/>
      <c r="J79" s="21"/>
      <c r="K79" s="21"/>
      <c r="L79" s="21"/>
    </row>
    <row r="80" spans="1:12" ht="29" x14ac:dyDescent="0.35">
      <c r="A80" s="21" t="s">
        <v>1059</v>
      </c>
      <c r="B80" s="21" t="s">
        <v>1070</v>
      </c>
      <c r="C80" s="21" t="s">
        <v>1071</v>
      </c>
      <c r="D80" s="21"/>
      <c r="E80" s="21" t="s">
        <v>996</v>
      </c>
      <c r="F80" s="21"/>
      <c r="G80" s="21"/>
      <c r="H80" s="21"/>
      <c r="I80" s="21"/>
      <c r="J80" s="21"/>
      <c r="K80" s="21"/>
      <c r="L80" s="21"/>
    </row>
    <row r="81" spans="1:12" ht="29" x14ac:dyDescent="0.35">
      <c r="A81" s="21" t="s">
        <v>1072</v>
      </c>
      <c r="B81" s="21" t="s">
        <v>1073</v>
      </c>
      <c r="C81" s="21" t="s">
        <v>1074</v>
      </c>
      <c r="D81" s="21"/>
      <c r="E81" s="21" t="s">
        <v>996</v>
      </c>
      <c r="F81" s="21"/>
      <c r="G81" s="21"/>
      <c r="H81" s="21"/>
      <c r="I81" s="21"/>
      <c r="J81" s="21"/>
      <c r="K81" s="21"/>
      <c r="L81" s="21"/>
    </row>
    <row r="82" spans="1:12" ht="29" x14ac:dyDescent="0.35">
      <c r="A82" s="21" t="s">
        <v>1072</v>
      </c>
      <c r="B82" s="21" t="s">
        <v>1075</v>
      </c>
      <c r="C82" s="21" t="s">
        <v>1076</v>
      </c>
      <c r="D82" s="21"/>
      <c r="E82" s="21" t="s">
        <v>996</v>
      </c>
      <c r="F82" s="21"/>
      <c r="G82" s="21"/>
      <c r="H82" s="21"/>
      <c r="I82" s="21"/>
      <c r="J82" s="21"/>
      <c r="K82" s="21"/>
      <c r="L82" s="21"/>
    </row>
    <row r="83" spans="1:12" ht="29" x14ac:dyDescent="0.35">
      <c r="A83" s="21" t="s">
        <v>1072</v>
      </c>
      <c r="B83" s="21" t="s">
        <v>1077</v>
      </c>
      <c r="C83" s="21" t="s">
        <v>1078</v>
      </c>
      <c r="D83" s="21"/>
      <c r="E83" s="21" t="s">
        <v>996</v>
      </c>
      <c r="F83" s="21"/>
      <c r="G83" s="21"/>
      <c r="H83" s="21"/>
      <c r="I83" s="21"/>
      <c r="J83" s="21"/>
      <c r="K83" s="21"/>
      <c r="L83" s="21"/>
    </row>
    <row r="84" spans="1:12" ht="29" x14ac:dyDescent="0.35">
      <c r="A84" s="21" t="s">
        <v>1072</v>
      </c>
      <c r="B84" s="21" t="s">
        <v>1079</v>
      </c>
      <c r="C84" s="21" t="s">
        <v>1080</v>
      </c>
      <c r="D84" s="21"/>
      <c r="E84" s="21" t="s">
        <v>996</v>
      </c>
      <c r="F84" s="21"/>
      <c r="G84" s="21"/>
      <c r="H84" s="21"/>
      <c r="I84" s="21"/>
      <c r="J84" s="21"/>
      <c r="K84" s="21"/>
      <c r="L84" s="21"/>
    </row>
    <row r="85" spans="1:12" ht="29" x14ac:dyDescent="0.35">
      <c r="A85" s="21" t="s">
        <v>1072</v>
      </c>
      <c r="B85" s="21" t="s">
        <v>1081</v>
      </c>
      <c r="C85" s="21" t="s">
        <v>1082</v>
      </c>
      <c r="D85" s="21"/>
      <c r="E85" s="21" t="s">
        <v>996</v>
      </c>
      <c r="F85" s="21"/>
      <c r="G85" s="21"/>
      <c r="H85" s="21"/>
      <c r="I85" s="21"/>
      <c r="J85" s="21"/>
      <c r="K85" s="21"/>
      <c r="L85" s="21"/>
    </row>
    <row r="86" spans="1:12" ht="29" x14ac:dyDescent="0.35">
      <c r="A86" s="21" t="s">
        <v>1072</v>
      </c>
      <c r="B86" s="21" t="s">
        <v>1083</v>
      </c>
      <c r="C86" s="21" t="s">
        <v>1084</v>
      </c>
      <c r="D86" s="21"/>
      <c r="E86" s="21" t="s">
        <v>996</v>
      </c>
      <c r="F86" s="21"/>
      <c r="G86" s="21"/>
      <c r="H86" s="21"/>
      <c r="I86" s="21"/>
      <c r="J86" s="21"/>
      <c r="K86" s="21"/>
      <c r="L86" s="21"/>
    </row>
    <row r="87" spans="1:12" ht="29" x14ac:dyDescent="0.35">
      <c r="A87" s="21" t="s">
        <v>1085</v>
      </c>
      <c r="B87" s="21" t="s">
        <v>1086</v>
      </c>
      <c r="C87" s="21" t="s">
        <v>1087</v>
      </c>
      <c r="D87" s="21"/>
      <c r="E87" s="21" t="s">
        <v>996</v>
      </c>
      <c r="F87" s="21"/>
      <c r="G87" s="21"/>
      <c r="H87" s="21"/>
      <c r="I87" s="21"/>
      <c r="J87" s="21"/>
      <c r="K87" s="21"/>
      <c r="L87" s="21"/>
    </row>
    <row r="88" spans="1:12" ht="29" x14ac:dyDescent="0.35">
      <c r="A88" s="21" t="s">
        <v>1085</v>
      </c>
      <c r="B88" s="21" t="s">
        <v>1088</v>
      </c>
      <c r="C88" s="21" t="s">
        <v>1089</v>
      </c>
      <c r="D88" s="21"/>
      <c r="E88" s="21" t="s">
        <v>996</v>
      </c>
      <c r="F88" s="21"/>
      <c r="G88" s="21"/>
      <c r="H88" s="21"/>
      <c r="I88" s="21"/>
      <c r="J88" s="21"/>
      <c r="K88" s="21"/>
      <c r="L88" s="21"/>
    </row>
    <row r="89" spans="1:12" ht="29" x14ac:dyDescent="0.35">
      <c r="A89" s="21" t="s">
        <v>1085</v>
      </c>
      <c r="B89" s="21" t="s">
        <v>1090</v>
      </c>
      <c r="C89" s="21" t="s">
        <v>1091</v>
      </c>
      <c r="D89" s="21"/>
      <c r="E89" s="21" t="s">
        <v>996</v>
      </c>
      <c r="F89" s="21"/>
      <c r="G89" s="21"/>
      <c r="H89" s="21"/>
      <c r="I89" s="21"/>
      <c r="J89" s="21"/>
      <c r="K89" s="21"/>
      <c r="L89" s="21"/>
    </row>
    <row r="90" spans="1:12" ht="29" x14ac:dyDescent="0.35">
      <c r="A90" s="21" t="s">
        <v>1085</v>
      </c>
      <c r="B90" s="21" t="s">
        <v>1092</v>
      </c>
      <c r="C90" s="21" t="s">
        <v>1093</v>
      </c>
      <c r="D90" s="21"/>
      <c r="E90" s="21" t="s">
        <v>996</v>
      </c>
      <c r="F90" s="21"/>
      <c r="G90" s="21"/>
      <c r="H90" s="21"/>
      <c r="I90" s="21"/>
      <c r="J90" s="21"/>
      <c r="K90" s="21"/>
      <c r="L90" s="21"/>
    </row>
    <row r="91" spans="1:12" ht="29" x14ac:dyDescent="0.35">
      <c r="A91" s="21" t="s">
        <v>1085</v>
      </c>
      <c r="B91" s="21" t="s">
        <v>1094</v>
      </c>
      <c r="C91" s="21" t="s">
        <v>1095</v>
      </c>
      <c r="D91" s="21"/>
      <c r="E91" s="21" t="s">
        <v>996</v>
      </c>
      <c r="F91" s="21"/>
      <c r="G91" s="21"/>
      <c r="H91" s="21"/>
      <c r="I91" s="21"/>
      <c r="J91" s="21"/>
      <c r="K91" s="21"/>
      <c r="L91" s="21"/>
    </row>
    <row r="92" spans="1:12" ht="29" x14ac:dyDescent="0.35">
      <c r="A92" s="21" t="s">
        <v>1085</v>
      </c>
      <c r="B92" s="21" t="s">
        <v>1096</v>
      </c>
      <c r="C92" s="21" t="s">
        <v>1097</v>
      </c>
      <c r="D92" s="21"/>
      <c r="E92" s="21" t="s">
        <v>996</v>
      </c>
      <c r="F92" s="21"/>
      <c r="G92" s="21"/>
      <c r="H92" s="21"/>
      <c r="I92" s="21"/>
      <c r="J92" s="21"/>
      <c r="K92" s="21"/>
      <c r="L92" s="21"/>
    </row>
    <row r="93" spans="1:12" ht="29" x14ac:dyDescent="0.35">
      <c r="A93" s="21" t="s">
        <v>1098</v>
      </c>
      <c r="B93" s="21" t="s">
        <v>1099</v>
      </c>
      <c r="C93" s="21" t="s">
        <v>1100</v>
      </c>
      <c r="D93" s="21"/>
      <c r="E93" s="21" t="s">
        <v>996</v>
      </c>
      <c r="F93" s="21"/>
      <c r="G93" s="21"/>
      <c r="H93" s="21"/>
      <c r="I93" s="21"/>
      <c r="J93" s="21"/>
      <c r="K93" s="21"/>
      <c r="L93" s="21"/>
    </row>
    <row r="94" spans="1:12" ht="29" x14ac:dyDescent="0.35">
      <c r="A94" s="21" t="s">
        <v>1098</v>
      </c>
      <c r="B94" s="21" t="s">
        <v>1101</v>
      </c>
      <c r="C94" s="21" t="s">
        <v>1102</v>
      </c>
      <c r="D94" s="21"/>
      <c r="E94" s="21" t="s">
        <v>996</v>
      </c>
      <c r="F94" s="21"/>
      <c r="G94" s="21"/>
      <c r="H94" s="21"/>
      <c r="I94" s="21"/>
      <c r="J94" s="21"/>
      <c r="K94" s="21"/>
      <c r="L94" s="21"/>
    </row>
    <row r="95" spans="1:12" ht="29" x14ac:dyDescent="0.35">
      <c r="A95" s="21" t="s">
        <v>1098</v>
      </c>
      <c r="B95" s="21" t="s">
        <v>1103</v>
      </c>
      <c r="C95" s="21" t="s">
        <v>1104</v>
      </c>
      <c r="D95" s="21"/>
      <c r="E95" s="21" t="s">
        <v>996</v>
      </c>
      <c r="F95" s="21"/>
      <c r="G95" s="21"/>
      <c r="H95" s="21"/>
      <c r="I95" s="21"/>
      <c r="J95" s="21"/>
      <c r="K95" s="21"/>
      <c r="L95" s="21"/>
    </row>
    <row r="96" spans="1:12" ht="29" x14ac:dyDescent="0.35">
      <c r="A96" s="21" t="s">
        <v>1098</v>
      </c>
      <c r="B96" s="21" t="s">
        <v>1105</v>
      </c>
      <c r="C96" s="21" t="s">
        <v>1106</v>
      </c>
      <c r="D96" s="21"/>
      <c r="E96" s="21" t="s">
        <v>996</v>
      </c>
      <c r="F96" s="21"/>
      <c r="G96" s="21"/>
      <c r="H96" s="21"/>
      <c r="I96" s="21"/>
      <c r="J96" s="21"/>
      <c r="K96" s="21"/>
      <c r="L96" s="21"/>
    </row>
    <row r="97" spans="1:12" ht="29" x14ac:dyDescent="0.35">
      <c r="A97" s="21" t="s">
        <v>1098</v>
      </c>
      <c r="B97" s="21" t="s">
        <v>1107</v>
      </c>
      <c r="C97" s="21" t="s">
        <v>1108</v>
      </c>
      <c r="D97" s="21"/>
      <c r="E97" s="21" t="s">
        <v>996</v>
      </c>
      <c r="F97" s="21"/>
      <c r="G97" s="21"/>
      <c r="H97" s="21"/>
      <c r="I97" s="21"/>
      <c r="J97" s="21"/>
      <c r="K97" s="21"/>
      <c r="L97" s="21"/>
    </row>
    <row r="98" spans="1:12" ht="29" x14ac:dyDescent="0.35">
      <c r="A98" s="21" t="s">
        <v>1098</v>
      </c>
      <c r="B98" s="21" t="s">
        <v>1109</v>
      </c>
      <c r="C98" s="21" t="s">
        <v>1110</v>
      </c>
      <c r="D98" s="21"/>
      <c r="E98" s="21" t="s">
        <v>996</v>
      </c>
      <c r="F98" s="21"/>
      <c r="G98" s="21"/>
      <c r="H98" s="21"/>
      <c r="I98" s="21"/>
      <c r="J98" s="21"/>
      <c r="K98" s="21"/>
      <c r="L98" s="21"/>
    </row>
    <row r="99" spans="1:12" ht="29" x14ac:dyDescent="0.35">
      <c r="A99" s="21" t="s">
        <v>1111</v>
      </c>
      <c r="B99" s="21" t="s">
        <v>1112</v>
      </c>
      <c r="C99" s="21" t="s">
        <v>1113</v>
      </c>
      <c r="D99" s="21"/>
      <c r="E99" s="21" t="s">
        <v>1114</v>
      </c>
      <c r="F99" s="21"/>
      <c r="G99" s="21"/>
      <c r="H99" s="21"/>
      <c r="I99" s="21"/>
      <c r="J99" s="21"/>
      <c r="K99" s="21"/>
      <c r="L99" s="21"/>
    </row>
    <row r="100" spans="1:12" ht="29" x14ac:dyDescent="0.35">
      <c r="A100" s="21" t="s">
        <v>1111</v>
      </c>
      <c r="B100" s="21" t="s">
        <v>1115</v>
      </c>
      <c r="C100" s="21" t="s">
        <v>1116</v>
      </c>
      <c r="D100" s="21"/>
      <c r="E100" s="21" t="s">
        <v>1114</v>
      </c>
      <c r="F100" s="21"/>
      <c r="G100" s="21"/>
      <c r="H100" s="21"/>
      <c r="I100" s="21"/>
      <c r="J100" s="21"/>
      <c r="K100" s="21"/>
      <c r="L100" s="21"/>
    </row>
    <row r="101" spans="1:12" ht="29" x14ac:dyDescent="0.35">
      <c r="A101" s="21" t="s">
        <v>1111</v>
      </c>
      <c r="B101" s="21" t="s">
        <v>1117</v>
      </c>
      <c r="C101" s="21" t="s">
        <v>1118</v>
      </c>
      <c r="D101" s="21"/>
      <c r="E101" s="21" t="s">
        <v>1114</v>
      </c>
      <c r="F101" s="21"/>
      <c r="G101" s="21"/>
      <c r="H101" s="21"/>
      <c r="I101" s="21"/>
      <c r="J101" s="21"/>
      <c r="K101" s="21"/>
      <c r="L101" s="21"/>
    </row>
    <row r="102" spans="1:12" ht="29" x14ac:dyDescent="0.35">
      <c r="A102" s="21" t="s">
        <v>1111</v>
      </c>
      <c r="B102" s="21" t="s">
        <v>1119</v>
      </c>
      <c r="C102" s="21" t="s">
        <v>1120</v>
      </c>
      <c r="D102" s="21"/>
      <c r="E102" s="21" t="s">
        <v>1114</v>
      </c>
      <c r="F102" s="21"/>
      <c r="G102" s="21"/>
      <c r="H102" s="21"/>
      <c r="I102" s="21"/>
      <c r="J102" s="21"/>
      <c r="K102" s="21"/>
      <c r="L102" s="21"/>
    </row>
    <row r="103" spans="1:12" ht="29" x14ac:dyDescent="0.35">
      <c r="A103" s="21" t="s">
        <v>1111</v>
      </c>
      <c r="B103" s="21" t="s">
        <v>1121</v>
      </c>
      <c r="C103" s="21" t="s">
        <v>1122</v>
      </c>
      <c r="D103" s="21"/>
      <c r="E103" s="21" t="s">
        <v>1114</v>
      </c>
      <c r="F103" s="21"/>
      <c r="G103" s="21"/>
      <c r="H103" s="21"/>
      <c r="I103" s="21"/>
      <c r="J103" s="21"/>
      <c r="K103" s="21"/>
      <c r="L103" s="21"/>
    </row>
    <row r="104" spans="1:12" ht="29" x14ac:dyDescent="0.35">
      <c r="A104" s="21" t="s">
        <v>1111</v>
      </c>
      <c r="B104" s="21" t="s">
        <v>1123</v>
      </c>
      <c r="C104" s="21" t="s">
        <v>1124</v>
      </c>
      <c r="D104" s="21"/>
      <c r="E104" s="21" t="s">
        <v>1114</v>
      </c>
      <c r="F104" s="21"/>
      <c r="G104" s="21"/>
      <c r="H104" s="21"/>
      <c r="I104" s="21"/>
      <c r="J104" s="21"/>
      <c r="K104" s="21"/>
      <c r="L104" s="21"/>
    </row>
    <row r="105" spans="1:12" ht="29" x14ac:dyDescent="0.35">
      <c r="A105" s="21" t="s">
        <v>1125</v>
      </c>
      <c r="B105" s="21" t="s">
        <v>1126</v>
      </c>
      <c r="C105" s="21" t="s">
        <v>1127</v>
      </c>
      <c r="D105" s="21"/>
      <c r="E105" s="21" t="s">
        <v>1114</v>
      </c>
      <c r="F105" s="21"/>
      <c r="G105" s="21"/>
      <c r="H105" s="21"/>
      <c r="I105" s="21"/>
      <c r="J105" s="21"/>
      <c r="K105" s="21"/>
      <c r="L105" s="21"/>
    </row>
    <row r="106" spans="1:12" ht="29" x14ac:dyDescent="0.35">
      <c r="A106" s="21" t="s">
        <v>1125</v>
      </c>
      <c r="B106" s="21" t="s">
        <v>1128</v>
      </c>
      <c r="C106" s="21" t="s">
        <v>1129</v>
      </c>
      <c r="D106" s="21"/>
      <c r="E106" s="21" t="s">
        <v>1114</v>
      </c>
      <c r="F106" s="21"/>
      <c r="G106" s="21"/>
      <c r="H106" s="21"/>
      <c r="I106" s="21"/>
      <c r="J106" s="21"/>
      <c r="K106" s="21"/>
      <c r="L106" s="21"/>
    </row>
    <row r="107" spans="1:12" ht="43.5" x14ac:dyDescent="0.35">
      <c r="A107" s="21" t="s">
        <v>1125</v>
      </c>
      <c r="B107" s="21" t="s">
        <v>1130</v>
      </c>
      <c r="C107" s="21" t="s">
        <v>1131</v>
      </c>
      <c r="D107" s="21"/>
      <c r="E107" s="21" t="s">
        <v>1114</v>
      </c>
      <c r="F107" s="21"/>
      <c r="G107" s="21"/>
      <c r="H107" s="21"/>
      <c r="I107" s="21"/>
      <c r="J107" s="21"/>
      <c r="K107" s="21"/>
      <c r="L107" s="21"/>
    </row>
    <row r="108" spans="1:12" ht="29" x14ac:dyDescent="0.35">
      <c r="A108" s="21" t="s">
        <v>1125</v>
      </c>
      <c r="B108" s="21" t="s">
        <v>1132</v>
      </c>
      <c r="C108" s="21" t="s">
        <v>1133</v>
      </c>
      <c r="D108" s="21"/>
      <c r="E108" s="21" t="s">
        <v>1114</v>
      </c>
      <c r="F108" s="21"/>
      <c r="G108" s="21"/>
      <c r="H108" s="21"/>
      <c r="I108" s="21"/>
      <c r="J108" s="21"/>
      <c r="K108" s="21"/>
      <c r="L108" s="21"/>
    </row>
    <row r="109" spans="1:12" ht="29" x14ac:dyDescent="0.35">
      <c r="A109" s="21" t="s">
        <v>1125</v>
      </c>
      <c r="B109" s="21" t="s">
        <v>1134</v>
      </c>
      <c r="C109" s="21" t="s">
        <v>1135</v>
      </c>
      <c r="D109" s="21"/>
      <c r="E109" s="21" t="s">
        <v>1114</v>
      </c>
      <c r="F109" s="21"/>
      <c r="G109" s="21"/>
      <c r="H109" s="21"/>
      <c r="I109" s="21"/>
      <c r="J109" s="21"/>
      <c r="K109" s="21"/>
      <c r="L109" s="21"/>
    </row>
    <row r="110" spans="1:12" ht="29" x14ac:dyDescent="0.35">
      <c r="A110" s="21" t="s">
        <v>1125</v>
      </c>
      <c r="B110" s="21" t="s">
        <v>1136</v>
      </c>
      <c r="C110" s="21" t="s">
        <v>1137</v>
      </c>
      <c r="D110" s="21"/>
      <c r="E110" s="21" t="s">
        <v>1114</v>
      </c>
      <c r="F110" s="21"/>
      <c r="G110" s="21"/>
      <c r="H110" s="21"/>
      <c r="I110" s="21"/>
      <c r="J110" s="21"/>
      <c r="K110" s="21"/>
      <c r="L110" s="21"/>
    </row>
    <row r="111" spans="1:12" ht="29" x14ac:dyDescent="0.35">
      <c r="A111" s="21" t="s">
        <v>1138</v>
      </c>
      <c r="B111" s="21" t="s">
        <v>1139</v>
      </c>
      <c r="C111" s="21" t="s">
        <v>1140</v>
      </c>
      <c r="D111" s="21"/>
      <c r="E111" s="21" t="s">
        <v>996</v>
      </c>
      <c r="F111" s="21"/>
      <c r="G111" s="21"/>
      <c r="H111" s="21"/>
      <c r="I111" s="21"/>
      <c r="J111" s="21"/>
      <c r="K111" s="21"/>
      <c r="L111" s="21"/>
    </row>
    <row r="112" spans="1:12" ht="29" x14ac:dyDescent="0.35">
      <c r="A112" s="21" t="s">
        <v>1138</v>
      </c>
      <c r="B112" s="21" t="s">
        <v>1141</v>
      </c>
      <c r="C112" s="21" t="s">
        <v>1142</v>
      </c>
      <c r="D112" s="21"/>
      <c r="E112" s="21" t="s">
        <v>996</v>
      </c>
      <c r="F112" s="21"/>
      <c r="G112" s="21"/>
      <c r="H112" s="21"/>
      <c r="I112" s="21"/>
      <c r="J112" s="21"/>
      <c r="K112" s="21"/>
      <c r="L112" s="21"/>
    </row>
    <row r="113" spans="1:12" ht="29" x14ac:dyDescent="0.35">
      <c r="A113" s="21" t="s">
        <v>1138</v>
      </c>
      <c r="B113" s="21" t="s">
        <v>1143</v>
      </c>
      <c r="C113" s="21" t="s">
        <v>1144</v>
      </c>
      <c r="D113" s="21"/>
      <c r="E113" s="21" t="s">
        <v>996</v>
      </c>
      <c r="F113" s="21"/>
      <c r="G113" s="21"/>
      <c r="H113" s="21"/>
      <c r="I113" s="21"/>
      <c r="J113" s="21"/>
      <c r="K113" s="21"/>
      <c r="L113" s="21"/>
    </row>
    <row r="114" spans="1:12" ht="29" x14ac:dyDescent="0.35">
      <c r="A114" s="21" t="s">
        <v>1138</v>
      </c>
      <c r="B114" s="21" t="s">
        <v>1145</v>
      </c>
      <c r="C114" s="21" t="s">
        <v>1146</v>
      </c>
      <c r="D114" s="21"/>
      <c r="E114" s="21" t="s">
        <v>996</v>
      </c>
      <c r="F114" s="21"/>
      <c r="G114" s="21"/>
      <c r="H114" s="21"/>
      <c r="I114" s="21"/>
      <c r="J114" s="21"/>
      <c r="K114" s="21"/>
      <c r="L114" s="21"/>
    </row>
    <row r="115" spans="1:12" ht="29" x14ac:dyDescent="0.35">
      <c r="A115" s="21" t="s">
        <v>1138</v>
      </c>
      <c r="B115" s="21" t="s">
        <v>1147</v>
      </c>
      <c r="C115" s="21" t="s">
        <v>1148</v>
      </c>
      <c r="D115" s="21"/>
      <c r="E115" s="21" t="s">
        <v>996</v>
      </c>
      <c r="F115" s="21"/>
      <c r="G115" s="21"/>
      <c r="H115" s="21"/>
      <c r="I115" s="21"/>
      <c r="J115" s="21"/>
      <c r="K115" s="21"/>
      <c r="L115" s="21"/>
    </row>
    <row r="116" spans="1:12" ht="29" x14ac:dyDescent="0.35">
      <c r="A116" s="21" t="s">
        <v>1138</v>
      </c>
      <c r="B116" s="21" t="s">
        <v>1149</v>
      </c>
      <c r="C116" s="21" t="s">
        <v>1150</v>
      </c>
      <c r="D116" s="21"/>
      <c r="E116" s="21" t="s">
        <v>996</v>
      </c>
      <c r="F116" s="21"/>
      <c r="G116" s="21"/>
      <c r="H116" s="21"/>
      <c r="I116" s="21"/>
      <c r="J116" s="21"/>
      <c r="K116" s="21"/>
      <c r="L116" s="21"/>
    </row>
    <row r="117" spans="1:12" ht="29" x14ac:dyDescent="0.35">
      <c r="A117" s="21" t="s">
        <v>1151</v>
      </c>
      <c r="B117" s="21" t="s">
        <v>1152</v>
      </c>
      <c r="C117" s="21" t="s">
        <v>1153</v>
      </c>
      <c r="D117" s="21"/>
      <c r="E117" s="21" t="s">
        <v>996</v>
      </c>
      <c r="F117" s="21"/>
      <c r="G117" s="21"/>
      <c r="H117" s="21"/>
      <c r="I117" s="21"/>
      <c r="J117" s="21"/>
      <c r="K117" s="21"/>
      <c r="L117" s="21"/>
    </row>
    <row r="118" spans="1:12" ht="29" x14ac:dyDescent="0.35">
      <c r="A118" s="21" t="s">
        <v>1151</v>
      </c>
      <c r="B118" s="21" t="s">
        <v>1154</v>
      </c>
      <c r="C118" s="21" t="s">
        <v>1155</v>
      </c>
      <c r="D118" s="21"/>
      <c r="E118" s="21" t="s">
        <v>996</v>
      </c>
      <c r="F118" s="21"/>
      <c r="G118" s="21"/>
      <c r="H118" s="21"/>
      <c r="I118" s="21"/>
      <c r="J118" s="21"/>
      <c r="K118" s="21"/>
      <c r="L118" s="21"/>
    </row>
    <row r="119" spans="1:12" ht="29" x14ac:dyDescent="0.35">
      <c r="A119" s="21" t="s">
        <v>1151</v>
      </c>
      <c r="B119" s="21" t="s">
        <v>1156</v>
      </c>
      <c r="C119" s="21" t="s">
        <v>1157</v>
      </c>
      <c r="D119" s="21"/>
      <c r="E119" s="21" t="s">
        <v>996</v>
      </c>
      <c r="F119" s="21"/>
      <c r="G119" s="21"/>
      <c r="H119" s="21"/>
      <c r="I119" s="21"/>
      <c r="J119" s="21"/>
      <c r="K119" s="21"/>
      <c r="L119" s="21"/>
    </row>
    <row r="120" spans="1:12" ht="29" x14ac:dyDescent="0.35">
      <c r="A120" s="21" t="s">
        <v>1151</v>
      </c>
      <c r="B120" s="21" t="s">
        <v>1158</v>
      </c>
      <c r="C120" s="21" t="s">
        <v>1159</v>
      </c>
      <c r="D120" s="21"/>
      <c r="E120" s="21" t="s">
        <v>996</v>
      </c>
      <c r="F120" s="21"/>
      <c r="G120" s="21"/>
      <c r="H120" s="21"/>
      <c r="I120" s="21"/>
      <c r="J120" s="21"/>
      <c r="K120" s="21"/>
      <c r="L120" s="21"/>
    </row>
    <row r="121" spans="1:12" ht="29" x14ac:dyDescent="0.35">
      <c r="A121" s="21" t="s">
        <v>1151</v>
      </c>
      <c r="B121" s="21" t="s">
        <v>1160</v>
      </c>
      <c r="C121" s="21" t="s">
        <v>1161</v>
      </c>
      <c r="D121" s="21"/>
      <c r="E121" s="21" t="s">
        <v>996</v>
      </c>
      <c r="F121" s="21"/>
      <c r="G121" s="21"/>
      <c r="H121" s="21"/>
      <c r="I121" s="21"/>
      <c r="J121" s="21"/>
      <c r="K121" s="21"/>
      <c r="L121" s="21"/>
    </row>
    <row r="122" spans="1:12" ht="29" x14ac:dyDescent="0.35">
      <c r="A122" s="21" t="s">
        <v>1151</v>
      </c>
      <c r="B122" s="21" t="s">
        <v>1162</v>
      </c>
      <c r="C122" s="21" t="s">
        <v>1163</v>
      </c>
      <c r="D122" s="21"/>
      <c r="E122" s="21" t="s">
        <v>996</v>
      </c>
      <c r="F122" s="21"/>
      <c r="G122" s="21"/>
      <c r="H122" s="21"/>
      <c r="I122" s="21"/>
      <c r="J122" s="21"/>
      <c r="K122" s="21"/>
      <c r="L122" s="21"/>
    </row>
    <row r="123" spans="1:12" ht="29" x14ac:dyDescent="0.35">
      <c r="A123" s="21" t="s">
        <v>432</v>
      </c>
      <c r="B123" s="21" t="s">
        <v>1164</v>
      </c>
      <c r="C123" s="21" t="s">
        <v>1165</v>
      </c>
      <c r="D123" s="21"/>
      <c r="E123" s="21" t="s">
        <v>1114</v>
      </c>
      <c r="F123" s="21"/>
      <c r="G123" s="21"/>
      <c r="H123" s="21"/>
      <c r="I123" s="21"/>
      <c r="J123" s="21"/>
      <c r="K123" s="21"/>
      <c r="L123" s="21"/>
    </row>
    <row r="124" spans="1:12" ht="29" x14ac:dyDescent="0.35">
      <c r="A124" s="21" t="s">
        <v>432</v>
      </c>
      <c r="B124" s="21" t="s">
        <v>1166</v>
      </c>
      <c r="C124" s="21" t="s">
        <v>1167</v>
      </c>
      <c r="D124" s="21"/>
      <c r="E124" s="21" t="s">
        <v>1114</v>
      </c>
      <c r="F124" s="21"/>
      <c r="G124" s="21"/>
      <c r="H124" s="21"/>
      <c r="I124" s="21"/>
      <c r="J124" s="21"/>
      <c r="K124" s="21"/>
      <c r="L124" s="21"/>
    </row>
    <row r="125" spans="1:12" ht="29" x14ac:dyDescent="0.35">
      <c r="A125" s="21" t="s">
        <v>432</v>
      </c>
      <c r="B125" s="21" t="s">
        <v>1168</v>
      </c>
      <c r="C125" s="21" t="s">
        <v>1169</v>
      </c>
      <c r="D125" s="21"/>
      <c r="E125" s="21" t="s">
        <v>1114</v>
      </c>
      <c r="F125" s="21"/>
      <c r="G125" s="21"/>
      <c r="H125" s="21"/>
      <c r="I125" s="21"/>
      <c r="J125" s="21"/>
      <c r="K125" s="21"/>
      <c r="L125" s="21"/>
    </row>
    <row r="126" spans="1:12" ht="29" x14ac:dyDescent="0.35">
      <c r="A126" s="21" t="s">
        <v>432</v>
      </c>
      <c r="B126" s="21" t="s">
        <v>1170</v>
      </c>
      <c r="C126" s="21" t="s">
        <v>1171</v>
      </c>
      <c r="D126" s="21"/>
      <c r="E126" s="21" t="s">
        <v>1114</v>
      </c>
      <c r="F126" s="21"/>
      <c r="G126" s="21"/>
      <c r="H126" s="21"/>
      <c r="I126" s="21"/>
      <c r="J126" s="21"/>
      <c r="K126" s="21"/>
      <c r="L126" s="21"/>
    </row>
    <row r="127" spans="1:12" ht="29" x14ac:dyDescent="0.35">
      <c r="A127" s="21" t="s">
        <v>432</v>
      </c>
      <c r="B127" s="21" t="s">
        <v>1172</v>
      </c>
      <c r="C127" s="21" t="s">
        <v>1173</v>
      </c>
      <c r="D127" s="21"/>
      <c r="E127" s="21" t="s">
        <v>1114</v>
      </c>
      <c r="F127" s="21"/>
      <c r="G127" s="21"/>
      <c r="H127" s="21"/>
      <c r="I127" s="21"/>
      <c r="J127" s="21"/>
      <c r="K127" s="21"/>
      <c r="L127" s="21"/>
    </row>
    <row r="128" spans="1:12" ht="29" x14ac:dyDescent="0.35">
      <c r="A128" s="21" t="s">
        <v>432</v>
      </c>
      <c r="B128" s="21" t="s">
        <v>1174</v>
      </c>
      <c r="C128" s="21" t="s">
        <v>1175</v>
      </c>
      <c r="D128" s="21"/>
      <c r="E128" s="21" t="s">
        <v>1114</v>
      </c>
      <c r="F128" s="21"/>
      <c r="G128" s="21"/>
      <c r="H128" s="21"/>
      <c r="I128" s="21"/>
      <c r="J128" s="21"/>
      <c r="K128" s="21"/>
      <c r="L128" s="21"/>
    </row>
    <row r="129" spans="1:12" ht="29" x14ac:dyDescent="0.35">
      <c r="A129" s="21" t="s">
        <v>1176</v>
      </c>
      <c r="B129" s="21" t="s">
        <v>1177</v>
      </c>
      <c r="C129" s="21" t="s">
        <v>1178</v>
      </c>
      <c r="D129" s="21"/>
      <c r="E129" s="21" t="s">
        <v>996</v>
      </c>
      <c r="F129" s="21"/>
      <c r="G129" s="21"/>
      <c r="H129" s="21"/>
      <c r="I129" s="21"/>
      <c r="J129" s="21"/>
      <c r="K129" s="21"/>
      <c r="L129" s="21"/>
    </row>
    <row r="130" spans="1:12" ht="29" x14ac:dyDescent="0.35">
      <c r="A130" s="21" t="s">
        <v>1176</v>
      </c>
      <c r="B130" s="21" t="s">
        <v>1179</v>
      </c>
      <c r="C130" s="21" t="s">
        <v>1180</v>
      </c>
      <c r="D130" s="21"/>
      <c r="E130" s="21" t="s">
        <v>996</v>
      </c>
      <c r="F130" s="21"/>
      <c r="G130" s="21"/>
      <c r="H130" s="21"/>
      <c r="I130" s="21"/>
      <c r="J130" s="21"/>
      <c r="K130" s="21"/>
      <c r="L130" s="21"/>
    </row>
    <row r="131" spans="1:12" ht="29" x14ac:dyDescent="0.35">
      <c r="A131" s="21" t="s">
        <v>1176</v>
      </c>
      <c r="B131" s="21" t="s">
        <v>1181</v>
      </c>
      <c r="C131" s="21" t="s">
        <v>1182</v>
      </c>
      <c r="D131" s="21"/>
      <c r="E131" s="21" t="s">
        <v>996</v>
      </c>
      <c r="F131" s="21"/>
      <c r="G131" s="21"/>
      <c r="H131" s="21"/>
      <c r="I131" s="21"/>
      <c r="J131" s="21"/>
      <c r="K131" s="21"/>
      <c r="L131" s="21"/>
    </row>
    <row r="132" spans="1:12" ht="29" x14ac:dyDescent="0.35">
      <c r="A132" s="21" t="s">
        <v>1176</v>
      </c>
      <c r="B132" s="21" t="s">
        <v>1183</v>
      </c>
      <c r="C132" s="21" t="s">
        <v>1184</v>
      </c>
      <c r="D132" s="21"/>
      <c r="E132" s="21" t="s">
        <v>996</v>
      </c>
      <c r="F132" s="21"/>
      <c r="G132" s="21"/>
      <c r="H132" s="21"/>
      <c r="I132" s="21"/>
      <c r="J132" s="21"/>
      <c r="K132" s="21"/>
      <c r="L132" s="21"/>
    </row>
    <row r="133" spans="1:12" ht="29" x14ac:dyDescent="0.35">
      <c r="A133" s="21" t="s">
        <v>1176</v>
      </c>
      <c r="B133" s="21" t="s">
        <v>1185</v>
      </c>
      <c r="C133" s="21" t="s">
        <v>1186</v>
      </c>
      <c r="D133" s="21"/>
      <c r="E133" s="21" t="s">
        <v>996</v>
      </c>
      <c r="F133" s="21"/>
      <c r="G133" s="21"/>
      <c r="H133" s="21"/>
      <c r="I133" s="21"/>
      <c r="J133" s="21"/>
      <c r="K133" s="21"/>
      <c r="L133" s="21"/>
    </row>
    <row r="134" spans="1:12" ht="29" x14ac:dyDescent="0.35">
      <c r="A134" s="21" t="s">
        <v>1176</v>
      </c>
      <c r="B134" s="21" t="s">
        <v>1187</v>
      </c>
      <c r="C134" s="21" t="s">
        <v>1188</v>
      </c>
      <c r="D134" s="21"/>
      <c r="E134" s="21" t="s">
        <v>996</v>
      </c>
      <c r="F134" s="21"/>
      <c r="G134" s="21"/>
      <c r="H134" s="21"/>
      <c r="I134" s="21"/>
      <c r="J134" s="21"/>
      <c r="K134" s="21"/>
      <c r="L134" s="21"/>
    </row>
    <row r="135" spans="1:12" ht="29" x14ac:dyDescent="0.35">
      <c r="A135" s="21" t="s">
        <v>1189</v>
      </c>
      <c r="B135" s="21" t="s">
        <v>1190</v>
      </c>
      <c r="C135" s="21" t="s">
        <v>1191</v>
      </c>
      <c r="D135" s="21"/>
      <c r="E135" s="21" t="s">
        <v>996</v>
      </c>
      <c r="F135" s="21"/>
      <c r="G135" s="21"/>
      <c r="H135" s="21"/>
      <c r="I135" s="21"/>
      <c r="J135" s="21"/>
      <c r="K135" s="21"/>
      <c r="L135" s="21"/>
    </row>
    <row r="136" spans="1:12" ht="29" x14ac:dyDescent="0.35">
      <c r="A136" s="21" t="s">
        <v>1189</v>
      </c>
      <c r="B136" s="21" t="s">
        <v>1192</v>
      </c>
      <c r="C136" s="21" t="s">
        <v>1193</v>
      </c>
      <c r="D136" s="21"/>
      <c r="E136" s="21" t="s">
        <v>996</v>
      </c>
      <c r="F136" s="21"/>
      <c r="G136" s="21"/>
      <c r="H136" s="21"/>
      <c r="I136" s="21"/>
      <c r="J136" s="21"/>
      <c r="K136" s="21"/>
      <c r="L136" s="21"/>
    </row>
    <row r="137" spans="1:12" ht="29" x14ac:dyDescent="0.35">
      <c r="A137" s="21" t="s">
        <v>1189</v>
      </c>
      <c r="B137" s="21" t="s">
        <v>1194</v>
      </c>
      <c r="C137" s="21" t="s">
        <v>1195</v>
      </c>
      <c r="D137" s="21"/>
      <c r="E137" s="21" t="s">
        <v>996</v>
      </c>
      <c r="F137" s="21"/>
      <c r="G137" s="21"/>
      <c r="H137" s="21"/>
      <c r="I137" s="21"/>
      <c r="J137" s="21"/>
      <c r="K137" s="21"/>
      <c r="L137" s="21"/>
    </row>
    <row r="138" spans="1:12" ht="29" x14ac:dyDescent="0.35">
      <c r="A138" s="21" t="s">
        <v>1189</v>
      </c>
      <c r="B138" s="21" t="s">
        <v>1196</v>
      </c>
      <c r="C138" s="21" t="s">
        <v>1197</v>
      </c>
      <c r="D138" s="21"/>
      <c r="E138" s="21" t="s">
        <v>996</v>
      </c>
      <c r="F138" s="21"/>
      <c r="G138" s="21"/>
      <c r="H138" s="21"/>
      <c r="I138" s="21"/>
      <c r="J138" s="21"/>
      <c r="K138" s="21"/>
      <c r="L138" s="21"/>
    </row>
    <row r="139" spans="1:12" ht="29" x14ac:dyDescent="0.35">
      <c r="A139" s="21" t="s">
        <v>1189</v>
      </c>
      <c r="B139" s="21" t="s">
        <v>1198</v>
      </c>
      <c r="C139" s="21" t="s">
        <v>1199</v>
      </c>
      <c r="D139" s="21"/>
      <c r="E139" s="21" t="s">
        <v>996</v>
      </c>
      <c r="F139" s="21"/>
      <c r="G139" s="21"/>
      <c r="H139" s="21"/>
      <c r="I139" s="21"/>
      <c r="J139" s="21"/>
      <c r="K139" s="21"/>
      <c r="L139" s="21"/>
    </row>
    <row r="140" spans="1:12" ht="29" x14ac:dyDescent="0.35">
      <c r="A140" s="21" t="s">
        <v>1189</v>
      </c>
      <c r="B140" s="21" t="s">
        <v>1200</v>
      </c>
      <c r="C140" s="21" t="s">
        <v>1201</v>
      </c>
      <c r="D140" s="21"/>
      <c r="E140" s="21" t="s">
        <v>996</v>
      </c>
      <c r="F140" s="21"/>
      <c r="G140" s="21"/>
      <c r="H140" s="21"/>
      <c r="I140" s="21"/>
      <c r="J140" s="21"/>
      <c r="K140" s="21"/>
      <c r="L140" s="21"/>
    </row>
    <row r="141" spans="1:12" ht="29" x14ac:dyDescent="0.35">
      <c r="A141" s="21" t="s">
        <v>1202</v>
      </c>
      <c r="B141" s="21" t="s">
        <v>1203</v>
      </c>
      <c r="C141" s="21" t="s">
        <v>1204</v>
      </c>
      <c r="D141" s="21"/>
      <c r="E141" s="21" t="s">
        <v>996</v>
      </c>
      <c r="F141" s="21"/>
      <c r="G141" s="21"/>
      <c r="H141" s="21"/>
      <c r="I141" s="21"/>
      <c r="J141" s="21"/>
      <c r="K141" s="21"/>
      <c r="L141" s="21"/>
    </row>
    <row r="142" spans="1:12" ht="29" x14ac:dyDescent="0.35">
      <c r="A142" s="21" t="s">
        <v>1202</v>
      </c>
      <c r="B142" s="21" t="s">
        <v>1205</v>
      </c>
      <c r="C142" s="21" t="s">
        <v>1206</v>
      </c>
      <c r="D142" s="21"/>
      <c r="E142" s="21" t="s">
        <v>996</v>
      </c>
      <c r="F142" s="21"/>
      <c r="G142" s="21"/>
      <c r="H142" s="21"/>
      <c r="I142" s="21"/>
      <c r="J142" s="21"/>
      <c r="K142" s="21"/>
      <c r="L142" s="21"/>
    </row>
    <row r="143" spans="1:12" ht="29" x14ac:dyDescent="0.35">
      <c r="A143" s="21" t="s">
        <v>1202</v>
      </c>
      <c r="B143" s="21" t="s">
        <v>1207</v>
      </c>
      <c r="C143" s="21" t="s">
        <v>1208</v>
      </c>
      <c r="D143" s="21"/>
      <c r="E143" s="21" t="s">
        <v>996</v>
      </c>
      <c r="F143" s="21"/>
      <c r="G143" s="21"/>
      <c r="H143" s="21"/>
      <c r="I143" s="21"/>
      <c r="J143" s="21"/>
      <c r="K143" s="21"/>
      <c r="L143" s="21"/>
    </row>
    <row r="144" spans="1:12" ht="29" x14ac:dyDescent="0.35">
      <c r="A144" s="21" t="s">
        <v>1202</v>
      </c>
      <c r="B144" s="21" t="s">
        <v>1209</v>
      </c>
      <c r="C144" s="21" t="s">
        <v>1210</v>
      </c>
      <c r="D144" s="21"/>
      <c r="E144" s="21" t="s">
        <v>996</v>
      </c>
      <c r="F144" s="21"/>
      <c r="G144" s="21"/>
      <c r="H144" s="21"/>
      <c r="I144" s="21"/>
      <c r="J144" s="21"/>
      <c r="K144" s="21"/>
      <c r="L144" s="21"/>
    </row>
    <row r="145" spans="1:12" ht="29" x14ac:dyDescent="0.35">
      <c r="A145" s="21" t="s">
        <v>1202</v>
      </c>
      <c r="B145" s="21" t="s">
        <v>1211</v>
      </c>
      <c r="C145" s="21" t="s">
        <v>1212</v>
      </c>
      <c r="D145" s="21"/>
      <c r="E145" s="21" t="s">
        <v>996</v>
      </c>
      <c r="F145" s="21"/>
      <c r="G145" s="21"/>
      <c r="H145" s="21"/>
      <c r="I145" s="21"/>
      <c r="J145" s="21"/>
      <c r="K145" s="21"/>
      <c r="L145" s="21"/>
    </row>
    <row r="146" spans="1:12" ht="29" x14ac:dyDescent="0.35">
      <c r="A146" s="21" t="s">
        <v>1202</v>
      </c>
      <c r="B146" s="21" t="s">
        <v>1213</v>
      </c>
      <c r="C146" s="21" t="s">
        <v>1214</v>
      </c>
      <c r="D146" s="21"/>
      <c r="E146" s="21" t="s">
        <v>996</v>
      </c>
      <c r="F146" s="21"/>
      <c r="G146" s="21"/>
      <c r="H146" s="21"/>
      <c r="I146" s="21"/>
      <c r="J146" s="21"/>
      <c r="K146" s="21"/>
      <c r="L146" s="21"/>
    </row>
    <row r="147" spans="1:12" ht="29" x14ac:dyDescent="0.35">
      <c r="A147" s="21" t="s">
        <v>1215</v>
      </c>
      <c r="B147" s="21" t="s">
        <v>1216</v>
      </c>
      <c r="C147" s="21" t="s">
        <v>1217</v>
      </c>
      <c r="D147" s="21"/>
      <c r="E147" s="21" t="s">
        <v>996</v>
      </c>
      <c r="F147" s="21"/>
      <c r="G147" s="21"/>
      <c r="H147" s="21"/>
      <c r="I147" s="21"/>
      <c r="J147" s="21"/>
      <c r="K147" s="21"/>
      <c r="L147" s="21"/>
    </row>
    <row r="148" spans="1:12" ht="29" x14ac:dyDescent="0.35">
      <c r="A148" s="21" t="s">
        <v>1215</v>
      </c>
      <c r="B148" s="21" t="s">
        <v>1218</v>
      </c>
      <c r="C148" s="21" t="s">
        <v>1219</v>
      </c>
      <c r="D148" s="21"/>
      <c r="E148" s="21" t="s">
        <v>996</v>
      </c>
      <c r="F148" s="21"/>
      <c r="G148" s="21"/>
      <c r="H148" s="21"/>
      <c r="I148" s="21"/>
      <c r="J148" s="21"/>
      <c r="K148" s="21"/>
      <c r="L148" s="21"/>
    </row>
    <row r="149" spans="1:12" ht="29" x14ac:dyDescent="0.35">
      <c r="A149" s="21" t="s">
        <v>1215</v>
      </c>
      <c r="B149" s="21" t="s">
        <v>1220</v>
      </c>
      <c r="C149" s="21" t="s">
        <v>1221</v>
      </c>
      <c r="D149" s="21"/>
      <c r="E149" s="21" t="s">
        <v>996</v>
      </c>
      <c r="F149" s="21"/>
      <c r="G149" s="21"/>
      <c r="H149" s="21"/>
      <c r="I149" s="21"/>
      <c r="J149" s="21"/>
      <c r="K149" s="21"/>
      <c r="L149" s="21"/>
    </row>
    <row r="150" spans="1:12" ht="29" x14ac:dyDescent="0.35">
      <c r="A150" s="21" t="s">
        <v>1215</v>
      </c>
      <c r="B150" s="21" t="s">
        <v>1222</v>
      </c>
      <c r="C150" s="21" t="s">
        <v>1223</v>
      </c>
      <c r="D150" s="21"/>
      <c r="E150" s="21" t="s">
        <v>996</v>
      </c>
      <c r="F150" s="21"/>
      <c r="G150" s="21"/>
      <c r="H150" s="21"/>
      <c r="I150" s="21"/>
      <c r="J150" s="21"/>
      <c r="K150" s="21"/>
      <c r="L150" s="21"/>
    </row>
    <row r="151" spans="1:12" ht="24" customHeight="1" x14ac:dyDescent="0.35">
      <c r="A151" s="133" t="s">
        <v>1215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</row>
    <row r="152" spans="1:12" x14ac:dyDescent="0.35">
      <c r="A152" s="21" t="s">
        <v>1215</v>
      </c>
      <c r="B152" s="21" t="s">
        <v>1224</v>
      </c>
      <c r="C152" s="21" t="s">
        <v>1225</v>
      </c>
      <c r="D152" s="21"/>
      <c r="E152" s="21" t="s">
        <v>996</v>
      </c>
      <c r="F152" s="21"/>
      <c r="G152" s="21"/>
      <c r="H152" s="21"/>
      <c r="I152" s="21"/>
      <c r="J152" s="21"/>
      <c r="K152" s="21"/>
      <c r="L152" s="21"/>
    </row>
    <row r="158" spans="1:12" x14ac:dyDescent="0.35">
      <c r="A158" s="98" t="s">
        <v>1226</v>
      </c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</row>
    <row r="160" spans="1:12" ht="29" x14ac:dyDescent="0.35">
      <c r="A160" s="100" t="s">
        <v>1227</v>
      </c>
      <c r="B160" s="100" t="s">
        <v>1228</v>
      </c>
      <c r="C160" s="100" t="s">
        <v>1229</v>
      </c>
      <c r="D160" s="100" t="s">
        <v>389</v>
      </c>
      <c r="E160" s="100" t="s">
        <v>870</v>
      </c>
      <c r="F160" s="100" t="s">
        <v>390</v>
      </c>
      <c r="G160" s="100" t="s">
        <v>990</v>
      </c>
      <c r="H160" s="100" t="s">
        <v>1230</v>
      </c>
      <c r="I160" s="100"/>
      <c r="J160" s="100"/>
      <c r="K160" s="100"/>
      <c r="L160" s="100"/>
    </row>
    <row r="161" spans="1:8" x14ac:dyDescent="0.35">
      <c r="A161" s="21" t="s">
        <v>1231</v>
      </c>
      <c r="B161" s="21"/>
      <c r="C161" s="21"/>
      <c r="D161" s="21"/>
      <c r="E161" s="21"/>
      <c r="F161" s="21"/>
      <c r="G161" s="21"/>
      <c r="H161" s="21"/>
    </row>
    <row r="162" spans="1:8" x14ac:dyDescent="0.35">
      <c r="A162" s="21" t="s">
        <v>1232</v>
      </c>
      <c r="B162" s="21"/>
      <c r="C162" s="21"/>
      <c r="D162" s="21"/>
      <c r="E162" s="21"/>
      <c r="F162" s="21"/>
      <c r="G162" s="21"/>
      <c r="H162" s="21"/>
    </row>
    <row r="163" spans="1:8" x14ac:dyDescent="0.35">
      <c r="A163" s="21" t="s">
        <v>509</v>
      </c>
      <c r="B163" s="21"/>
      <c r="C163" s="21"/>
      <c r="D163" s="21"/>
      <c r="E163" s="21"/>
      <c r="F163" s="21"/>
      <c r="G163" s="21"/>
      <c r="H163" s="21"/>
    </row>
    <row r="164" spans="1:8" x14ac:dyDescent="0.35">
      <c r="A164" s="21" t="s">
        <v>1233</v>
      </c>
      <c r="B164" s="21"/>
      <c r="C164" s="21"/>
      <c r="D164" s="21"/>
      <c r="E164" s="21"/>
      <c r="F164" s="21"/>
      <c r="G164" s="21"/>
      <c r="H164" s="21"/>
    </row>
    <row r="165" spans="1:8" x14ac:dyDescent="0.35">
      <c r="A165" s="21" t="s">
        <v>1234</v>
      </c>
      <c r="B165" s="21"/>
      <c r="C165" s="21"/>
      <c r="D165" s="21"/>
      <c r="E165" s="21"/>
      <c r="F165" s="21"/>
      <c r="G165" s="21"/>
      <c r="H165" s="21"/>
    </row>
    <row r="166" spans="1:8" x14ac:dyDescent="0.35">
      <c r="A166" s="21" t="s">
        <v>1235</v>
      </c>
      <c r="B166" s="21"/>
      <c r="C166" s="21"/>
      <c r="D166" s="21"/>
      <c r="E166" s="21"/>
      <c r="F166" s="21"/>
      <c r="G166" s="21"/>
      <c r="H166" s="21"/>
    </row>
    <row r="167" spans="1:8" x14ac:dyDescent="0.35">
      <c r="A167" s="21" t="s">
        <v>1236</v>
      </c>
      <c r="B167" s="21"/>
      <c r="C167" s="21"/>
      <c r="D167" s="21"/>
      <c r="E167" s="21"/>
      <c r="F167" s="21"/>
      <c r="G167" s="21"/>
      <c r="H167" s="21"/>
    </row>
    <row r="168" spans="1:8" x14ac:dyDescent="0.35">
      <c r="A168" s="21" t="s">
        <v>1237</v>
      </c>
      <c r="B168" s="21"/>
      <c r="C168" s="21"/>
      <c r="D168" s="21"/>
      <c r="E168" s="21"/>
      <c r="F168" s="21"/>
      <c r="G168" s="21"/>
      <c r="H168" s="21"/>
    </row>
    <row r="169" spans="1:8" x14ac:dyDescent="0.35">
      <c r="A169" s="21" t="s">
        <v>1238</v>
      </c>
      <c r="B169" s="21"/>
      <c r="C169" s="21"/>
      <c r="D169" s="21"/>
      <c r="E169" s="21"/>
      <c r="F169" s="21"/>
      <c r="G169" s="21"/>
      <c r="H169" s="21"/>
    </row>
    <row r="170" spans="1:8" x14ac:dyDescent="0.35">
      <c r="A170" s="21" t="s">
        <v>1239</v>
      </c>
      <c r="B170" s="21"/>
      <c r="C170" s="21"/>
      <c r="D170" s="21"/>
      <c r="E170" s="21"/>
      <c r="F170" s="21"/>
      <c r="G170" s="21"/>
      <c r="H170" s="21"/>
    </row>
    <row r="171" spans="1:8" x14ac:dyDescent="0.35">
      <c r="A171" s="21" t="s">
        <v>1240</v>
      </c>
      <c r="B171" s="21"/>
      <c r="C171" s="21"/>
      <c r="D171" s="21"/>
      <c r="E171" s="21"/>
      <c r="F171" s="21"/>
      <c r="G171" s="21"/>
      <c r="H171" s="21"/>
    </row>
    <row r="172" spans="1:8" x14ac:dyDescent="0.35">
      <c r="A172" s="21" t="s">
        <v>1241</v>
      </c>
      <c r="B172" s="21"/>
      <c r="C172" s="21"/>
      <c r="D172" s="21"/>
      <c r="E172" s="21"/>
      <c r="F172" s="21"/>
      <c r="G172" s="21"/>
      <c r="H172" s="21"/>
    </row>
    <row r="173" spans="1:8" x14ac:dyDescent="0.35">
      <c r="A173" s="21" t="s">
        <v>1242</v>
      </c>
      <c r="B173" s="21"/>
      <c r="C173" s="21"/>
      <c r="D173" s="21"/>
      <c r="E173" s="21"/>
      <c r="F173" s="21"/>
      <c r="G173" s="21"/>
      <c r="H173" s="21"/>
    </row>
    <row r="174" spans="1:8" x14ac:dyDescent="0.35">
      <c r="A174" s="21" t="s">
        <v>1243</v>
      </c>
      <c r="B174" s="21"/>
      <c r="C174" s="21"/>
      <c r="D174" s="21"/>
      <c r="E174" s="21"/>
      <c r="F174" s="21"/>
      <c r="G174" s="21"/>
      <c r="H174" s="21"/>
    </row>
    <row r="175" spans="1:8" x14ac:dyDescent="0.35">
      <c r="A175" s="21" t="s">
        <v>1244</v>
      </c>
      <c r="B175" s="21"/>
      <c r="C175" s="21"/>
      <c r="D175" s="21"/>
      <c r="E175" s="21"/>
      <c r="F175" s="21"/>
      <c r="G175" s="21"/>
      <c r="H175" s="21"/>
    </row>
    <row r="176" spans="1:8" x14ac:dyDescent="0.35">
      <c r="A176" s="21" t="s">
        <v>1245</v>
      </c>
      <c r="B176" s="21"/>
      <c r="C176" s="21"/>
      <c r="D176" s="21"/>
      <c r="E176" s="21"/>
      <c r="F176" s="21"/>
      <c r="G176" s="21"/>
      <c r="H176" s="21"/>
    </row>
    <row r="177" spans="1:12" x14ac:dyDescent="0.35">
      <c r="A177" s="21" t="s">
        <v>1246</v>
      </c>
      <c r="B177" s="21"/>
      <c r="C177" s="21"/>
      <c r="D177" s="21"/>
      <c r="E177" s="21"/>
      <c r="F177" s="21"/>
      <c r="G177" s="21"/>
      <c r="H177" s="21"/>
    </row>
    <row r="178" spans="1:12" x14ac:dyDescent="0.35">
      <c r="A178" s="21" t="s">
        <v>1247</v>
      </c>
      <c r="B178" s="21"/>
      <c r="C178" s="21"/>
      <c r="D178" s="21"/>
      <c r="E178" s="21"/>
      <c r="F178" s="21"/>
      <c r="G178" s="21"/>
      <c r="H178" s="21"/>
    </row>
    <row r="179" spans="1:12" ht="24" customHeight="1" x14ac:dyDescent="0.35">
      <c r="A179" s="133" t="s">
        <v>1248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</row>
    <row r="180" spans="1:12" x14ac:dyDescent="0.35">
      <c r="A180" s="21" t="s">
        <v>1249</v>
      </c>
      <c r="B180" s="21"/>
      <c r="C180" s="21"/>
      <c r="D180" s="21"/>
      <c r="E180" s="21"/>
      <c r="F180" s="21"/>
      <c r="G180" s="21"/>
      <c r="H180" s="21"/>
    </row>
    <row r="186" spans="1:12" x14ac:dyDescent="0.35">
      <c r="A186" s="98" t="s">
        <v>1250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</row>
    <row r="188" spans="1:12" ht="29" x14ac:dyDescent="0.35">
      <c r="A188" s="100" t="s">
        <v>1251</v>
      </c>
      <c r="B188" s="100" t="s">
        <v>1252</v>
      </c>
      <c r="C188" s="100" t="s">
        <v>1253</v>
      </c>
      <c r="D188" s="100" t="s">
        <v>1254</v>
      </c>
      <c r="E188" s="100" t="s">
        <v>870</v>
      </c>
      <c r="F188" s="100" t="s">
        <v>1255</v>
      </c>
      <c r="G188" s="100" t="s">
        <v>338</v>
      </c>
    </row>
    <row r="189" spans="1:12" x14ac:dyDescent="0.35">
      <c r="A189" s="21" t="s">
        <v>428</v>
      </c>
      <c r="B189" s="21"/>
      <c r="C189" s="21"/>
      <c r="D189" s="21"/>
      <c r="E189" s="21"/>
      <c r="F189" s="21"/>
      <c r="G189" s="21"/>
    </row>
    <row r="190" spans="1:12" x14ac:dyDescent="0.35">
      <c r="A190" s="21" t="s">
        <v>582</v>
      </c>
      <c r="B190" s="21"/>
      <c r="C190" s="21"/>
      <c r="D190" s="21"/>
      <c r="E190" s="21"/>
      <c r="F190" s="21"/>
      <c r="G190" s="21"/>
    </row>
    <row r="191" spans="1:12" x14ac:dyDescent="0.35">
      <c r="A191" s="21" t="s">
        <v>435</v>
      </c>
      <c r="B191" s="21"/>
      <c r="C191" s="21"/>
      <c r="D191" s="21"/>
      <c r="E191" s="21"/>
      <c r="F191" s="21"/>
      <c r="G191" s="21"/>
    </row>
    <row r="192" spans="1:12" x14ac:dyDescent="0.35">
      <c r="A192" s="21" t="s">
        <v>93</v>
      </c>
      <c r="B192" s="21"/>
      <c r="C192" s="21"/>
      <c r="D192" s="21"/>
      <c r="E192" s="21"/>
      <c r="F192" s="21"/>
      <c r="G192" s="21"/>
    </row>
    <row r="193" spans="1:12" x14ac:dyDescent="0.35">
      <c r="A193" s="21" t="s">
        <v>431</v>
      </c>
      <c r="B193" s="21"/>
      <c r="C193" s="21"/>
      <c r="D193" s="21"/>
      <c r="E193" s="21"/>
      <c r="F193" s="21"/>
      <c r="G193" s="21"/>
    </row>
    <row r="194" spans="1:12" x14ac:dyDescent="0.35">
      <c r="A194" s="21" t="s">
        <v>97</v>
      </c>
      <c r="B194" s="21"/>
      <c r="C194" s="21"/>
      <c r="D194" s="21"/>
      <c r="E194" s="21"/>
      <c r="F194" s="21"/>
      <c r="G194" s="21"/>
    </row>
    <row r="195" spans="1:12" x14ac:dyDescent="0.35">
      <c r="A195" s="21" t="s">
        <v>100</v>
      </c>
      <c r="B195" s="21"/>
      <c r="C195" s="21"/>
      <c r="D195" s="21"/>
      <c r="E195" s="21"/>
      <c r="F195" s="21"/>
      <c r="G195" s="21"/>
    </row>
    <row r="196" spans="1:12" x14ac:dyDescent="0.35">
      <c r="A196" s="21" t="s">
        <v>1176</v>
      </c>
      <c r="B196" s="21"/>
      <c r="C196" s="21"/>
      <c r="D196" s="21"/>
      <c r="E196" s="21"/>
      <c r="F196" s="21"/>
      <c r="G196" s="21"/>
    </row>
    <row r="197" spans="1:12" x14ac:dyDescent="0.35">
      <c r="A197" s="21" t="s">
        <v>160</v>
      </c>
      <c r="B197" s="21"/>
      <c r="C197" s="21"/>
      <c r="D197" s="21"/>
      <c r="E197" s="21"/>
      <c r="F197" s="21"/>
      <c r="G197" s="21"/>
    </row>
    <row r="198" spans="1:12" x14ac:dyDescent="0.35">
      <c r="A198" s="21" t="s">
        <v>1256</v>
      </c>
      <c r="B198" s="21"/>
      <c r="C198" s="21"/>
      <c r="D198" s="21"/>
      <c r="E198" s="21"/>
      <c r="F198" s="21"/>
      <c r="G198" s="21"/>
    </row>
    <row r="199" spans="1:12" x14ac:dyDescent="0.35">
      <c r="A199" s="21" t="s">
        <v>1257</v>
      </c>
      <c r="B199" s="21"/>
      <c r="C199" s="21"/>
      <c r="D199" s="21"/>
      <c r="E199" s="21"/>
      <c r="F199" s="21"/>
      <c r="G199" s="21"/>
    </row>
    <row r="200" spans="1:12" x14ac:dyDescent="0.35">
      <c r="A200" s="21" t="s">
        <v>1258</v>
      </c>
      <c r="B200" s="21"/>
      <c r="C200" s="21"/>
      <c r="D200" s="21"/>
      <c r="E200" s="21"/>
      <c r="F200" s="21"/>
      <c r="G200" s="21"/>
    </row>
    <row r="201" spans="1:12" x14ac:dyDescent="0.35">
      <c r="A201" s="21" t="s">
        <v>116</v>
      </c>
      <c r="B201" s="21"/>
      <c r="C201" s="21"/>
      <c r="D201" s="21"/>
      <c r="E201" s="21"/>
      <c r="F201" s="21"/>
      <c r="G201" s="21"/>
    </row>
    <row r="202" spans="1:12" x14ac:dyDescent="0.35">
      <c r="A202" s="21" t="s">
        <v>129</v>
      </c>
      <c r="B202" s="21"/>
      <c r="C202" s="21"/>
      <c r="D202" s="21"/>
      <c r="E202" s="21"/>
      <c r="F202" s="21"/>
      <c r="G202" s="21"/>
    </row>
    <row r="203" spans="1:12" x14ac:dyDescent="0.35">
      <c r="A203" s="21" t="s">
        <v>437</v>
      </c>
      <c r="B203" s="21"/>
      <c r="C203" s="21"/>
      <c r="D203" s="21"/>
      <c r="E203" s="21"/>
      <c r="F203" s="21"/>
      <c r="G203" s="21"/>
    </row>
    <row r="204" spans="1:12" x14ac:dyDescent="0.35">
      <c r="A204" s="21" t="s">
        <v>125</v>
      </c>
      <c r="B204" s="21"/>
      <c r="C204" s="21"/>
      <c r="D204" s="21"/>
      <c r="E204" s="21"/>
      <c r="F204" s="21"/>
      <c r="G204" s="21"/>
    </row>
    <row r="205" spans="1:12" x14ac:dyDescent="0.35">
      <c r="A205" s="21" t="s">
        <v>442</v>
      </c>
      <c r="B205" s="21"/>
      <c r="C205" s="21"/>
      <c r="D205" s="21"/>
      <c r="E205" s="21"/>
      <c r="F205" s="21"/>
      <c r="G205" s="21"/>
    </row>
    <row r="206" spans="1:12" x14ac:dyDescent="0.35">
      <c r="A206" s="21" t="s">
        <v>1259</v>
      </c>
      <c r="B206" s="21"/>
      <c r="C206" s="21"/>
      <c r="D206" s="21"/>
      <c r="E206" s="21"/>
      <c r="F206" s="21"/>
      <c r="G206" s="21"/>
    </row>
    <row r="207" spans="1:12" ht="24" customHeight="1" x14ac:dyDescent="0.35">
      <c r="A207" s="133" t="s">
        <v>1260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</row>
    <row r="208" spans="1:12" x14ac:dyDescent="0.35">
      <c r="A208" s="21" t="s">
        <v>439</v>
      </c>
      <c r="B208" s="21"/>
      <c r="C208" s="21"/>
      <c r="D208" s="21"/>
      <c r="E208" s="21"/>
      <c r="F208" s="21"/>
      <c r="G208" s="21"/>
    </row>
    <row r="214" spans="1:12" x14ac:dyDescent="0.35">
      <c r="A214" s="98" t="s">
        <v>1261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</row>
    <row r="216" spans="1:12" x14ac:dyDescent="0.35">
      <c r="A216" s="100" t="s">
        <v>1262</v>
      </c>
      <c r="B216" s="100" t="s">
        <v>1263</v>
      </c>
      <c r="C216" s="100" t="s">
        <v>292</v>
      </c>
      <c r="D216" s="100" t="s">
        <v>371</v>
      </c>
      <c r="E216" s="100" t="s">
        <v>360</v>
      </c>
      <c r="F216" s="100" t="s">
        <v>1264</v>
      </c>
      <c r="G216" s="100" t="s">
        <v>990</v>
      </c>
      <c r="H216" s="100" t="s">
        <v>338</v>
      </c>
    </row>
    <row r="217" spans="1:12" x14ac:dyDescent="0.35">
      <c r="A217" t="s">
        <v>1265</v>
      </c>
    </row>
    <row r="218" spans="1:12" x14ac:dyDescent="0.35">
      <c r="A218" t="s">
        <v>1266</v>
      </c>
    </row>
    <row r="219" spans="1:12" x14ac:dyDescent="0.35">
      <c r="A219" t="s">
        <v>1267</v>
      </c>
    </row>
    <row r="220" spans="1:12" x14ac:dyDescent="0.35">
      <c r="A220" t="s">
        <v>1268</v>
      </c>
    </row>
    <row r="221" spans="1:12" x14ac:dyDescent="0.35">
      <c r="A221" t="s">
        <v>1269</v>
      </c>
    </row>
    <row r="222" spans="1:12" x14ac:dyDescent="0.35">
      <c r="A222" t="s">
        <v>1270</v>
      </c>
    </row>
    <row r="223" spans="1:12" ht="24" customHeight="1" x14ac:dyDescent="0.35">
      <c r="A223" s="129" t="s">
        <v>1271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</row>
    <row r="224" spans="1:12" x14ac:dyDescent="0.35">
      <c r="A224" t="s">
        <v>1272</v>
      </c>
    </row>
    <row r="230" spans="1:12" x14ac:dyDescent="0.35">
      <c r="A230" s="98" t="s">
        <v>1273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2" spans="1:12" ht="29" x14ac:dyDescent="0.35">
      <c r="A232" s="100" t="s">
        <v>1229</v>
      </c>
      <c r="B232" s="100" t="s">
        <v>1274</v>
      </c>
      <c r="C232" s="100" t="s">
        <v>390</v>
      </c>
      <c r="D232" s="100" t="s">
        <v>351</v>
      </c>
      <c r="E232" s="100" t="s">
        <v>352</v>
      </c>
      <c r="F232" s="100" t="s">
        <v>292</v>
      </c>
      <c r="G232" s="100" t="s">
        <v>353</v>
      </c>
      <c r="H232" s="100" t="s">
        <v>338</v>
      </c>
    </row>
    <row r="240" spans="1:12" x14ac:dyDescent="0.3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</row>
    <row r="241" spans="1:12" x14ac:dyDescent="0.3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</row>
    <row r="247" spans="1:12" ht="29" x14ac:dyDescent="0.35">
      <c r="A247" s="106" t="s">
        <v>1275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3"/>
    </row>
    <row r="248" spans="1:12" ht="43.5" x14ac:dyDescent="0.35">
      <c r="A248" s="111" t="s">
        <v>1276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3"/>
    </row>
    <row r="249" spans="1:12" ht="29" x14ac:dyDescent="0.35">
      <c r="A249" s="110" t="s">
        <v>1277</v>
      </c>
      <c r="B249" s="110" t="s">
        <v>1278</v>
      </c>
      <c r="C249" s="110" t="s">
        <v>81</v>
      </c>
      <c r="D249" s="110" t="s">
        <v>615</v>
      </c>
      <c r="E249" s="110" t="s">
        <v>616</v>
      </c>
      <c r="F249" s="110" t="s">
        <v>990</v>
      </c>
      <c r="G249" s="110" t="s">
        <v>1279</v>
      </c>
      <c r="H249" s="110" t="s">
        <v>390</v>
      </c>
      <c r="I249" s="110" t="s">
        <v>351</v>
      </c>
      <c r="J249" s="110" t="s">
        <v>292</v>
      </c>
      <c r="K249" s="110" t="s">
        <v>353</v>
      </c>
      <c r="L249" s="110" t="s">
        <v>619</v>
      </c>
    </row>
    <row r="250" spans="1:12" x14ac:dyDescent="0.35">
      <c r="A250" s="105" t="s">
        <v>1280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x14ac:dyDescent="0.35">
      <c r="A251" s="105" t="s">
        <v>1281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x14ac:dyDescent="0.35">
      <c r="A252" s="105" t="s">
        <v>1282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29" x14ac:dyDescent="0.35">
      <c r="A253" s="105" t="s">
        <v>1283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29" x14ac:dyDescent="0.35">
      <c r="A254" s="105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29" x14ac:dyDescent="0.35">
      <c r="A255" s="105" t="s">
        <v>1285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29" x14ac:dyDescent="0.35">
      <c r="A256" s="105" t="s">
        <v>1286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29" x14ac:dyDescent="0.35">
      <c r="A257" s="105" t="s">
        <v>1287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29" x14ac:dyDescent="0.35">
      <c r="A258" s="105" t="s">
        <v>1288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29" x14ac:dyDescent="0.35">
      <c r="A259" s="105" t="s">
        <v>1289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29" x14ac:dyDescent="0.35">
      <c r="A260" s="105" t="s">
        <v>1290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29" x14ac:dyDescent="0.35">
      <c r="A261" s="105" t="s">
        <v>1291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29" x14ac:dyDescent="0.35">
      <c r="A262" s="105" t="s">
        <v>1292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43.5" x14ac:dyDescent="0.35">
      <c r="A263" s="105" t="s">
        <v>1293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29" x14ac:dyDescent="0.35">
      <c r="A264" s="105" t="s">
        <v>1294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x14ac:dyDescent="0.35">
      <c r="A265" s="105" t="s">
        <v>1295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</sheetData>
  <mergeCells count="9">
    <mergeCell ref="A1:L1"/>
    <mergeCell ref="A17:L17"/>
    <mergeCell ref="A241:L241"/>
    <mergeCell ref="A223:L223"/>
    <mergeCell ref="A35:L35"/>
    <mergeCell ref="A240:L240"/>
    <mergeCell ref="A179:L179"/>
    <mergeCell ref="A151:L151"/>
    <mergeCell ref="A207:L207"/>
  </mergeCells>
  <conditionalFormatting sqref="B12">
    <cfRule type="expression" dxfId="27" priority="12">
      <formula>B12="Green"</formula>
    </cfRule>
    <cfRule type="expression" dxfId="26" priority="13">
      <formula>B12="Amber"</formula>
    </cfRule>
    <cfRule type="expression" dxfId="25" priority="14">
      <formula>B12="Red"</formula>
    </cfRule>
  </conditionalFormatting>
  <conditionalFormatting sqref="B182:B201">
    <cfRule type="expression" dxfId="24" priority="3">
      <formula>B182="Pass"</formula>
    </cfRule>
  </conditionalFormatting>
  <conditionalFormatting sqref="C20:C43">
    <cfRule type="expression" dxfId="23" priority="8">
      <formula>C20="Green"</formula>
    </cfRule>
    <cfRule type="expression" dxfId="22" priority="9">
      <formula>C20="Amber"</formula>
    </cfRule>
    <cfRule type="expression" dxfId="21" priority="10">
      <formula>C20="Red"</formula>
    </cfRule>
    <cfRule type="expression" dxfId="20" priority="11">
      <formula>C20="N/A"</formula>
    </cfRule>
  </conditionalFormatting>
  <conditionalFormatting sqref="C20:C45">
    <cfRule type="expression" dxfId="19" priority="4">
      <formula>ISNUMBER(SEARCH("Green",C20))</formula>
    </cfRule>
    <cfRule type="expression" dxfId="18" priority="5">
      <formula>ISNUMBER(SEARCH("Amber",C20))</formula>
    </cfRule>
    <cfRule type="expression" dxfId="17" priority="6">
      <formula>ISNUMBER(SEARCH("Red",C20))</formula>
    </cfRule>
    <cfRule type="expression" dxfId="16" priority="7">
      <formula>C20="N/A"</formula>
    </cfRule>
  </conditionalFormatting>
  <conditionalFormatting sqref="E154:E173">
    <cfRule type="expression" dxfId="15" priority="2">
      <formula>E154="Pass"</formula>
    </cfRule>
  </conditionalFormatting>
  <conditionalFormatting sqref="H38:H145">
    <cfRule type="expression" dxfId="14" priority="1">
      <formula>H38="Pass"</formula>
    </cfRule>
  </conditionalFormatting>
  <dataValidations count="8">
    <dataValidation type="list" sqref="H38:H145 E154:E173" xr:uid="{00000000-0002-0000-3E00-000000000000}">
      <formula1>"Pass,Developing,Fail,N/A"</formula1>
    </dataValidation>
    <dataValidation type="list" sqref="F38:F145" xr:uid="{00000000-0002-0000-3E00-000001000000}">
      <formula1>"1,2,3,4,5"</formula1>
    </dataValidation>
    <dataValidation type="list" sqref="B182:B201" xr:uid="{00000000-0002-0000-3E00-000003000000}">
      <formula1>"Complete,In Progress,Not Started,N/A"</formula1>
    </dataValidation>
    <dataValidation type="list" allowBlank="1" sqref="C243:E258" xr:uid="{00000000-0002-0000-3E00-000004000000}">
      <formula1>"Yes,No,N/A"</formula1>
    </dataValidation>
    <dataValidation type="list" allowBlank="1" sqref="C20:C45" xr:uid="{00000000-0002-0000-3E00-000005000000}">
      <formula1>"Green - Received,Amber - Awaiting,Red - Missing,N/A"</formula1>
    </dataValidation>
    <dataValidation type="list" sqref="C20:C43" xr:uid="{00000000-0002-0000-3E00-000006000000}">
      <formula1>"Green,Amber,Red,N/A"</formula1>
    </dataValidation>
    <dataValidation type="list" sqref="F42:F230" xr:uid="{00000000-0002-0000-3E00-000007000000}">
      <formula1>"1,2,3,4,5,N/A"</formula1>
    </dataValidation>
    <dataValidation type="list" sqref="H42:H230 H235:H255" xr:uid="{00000000-0002-0000-3E00-000008000000}">
      <formula1>"Pass,Fail,Not Assessed,N/A"</formula1>
    </dataValidation>
  </dataValidation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L265"/>
  <sheetViews>
    <sheetView workbookViewId="0"/>
  </sheetViews>
  <sheetFormatPr defaultRowHeight="14.5" x14ac:dyDescent="0.35"/>
  <cols>
    <col min="1" max="1" width="42" customWidth="1"/>
    <col min="2" max="2" width="36" customWidth="1"/>
    <col min="3" max="3" width="52" customWidth="1"/>
    <col min="4" max="4" width="34" customWidth="1"/>
    <col min="5" max="5" width="30" customWidth="1"/>
    <col min="6" max="6" width="12" customWidth="1"/>
    <col min="7" max="7" width="16" customWidth="1"/>
    <col min="8" max="8" width="14" customWidth="1"/>
    <col min="9" max="9" width="28" customWidth="1"/>
    <col min="10" max="12" width="14" customWidth="1"/>
  </cols>
  <sheetData>
    <row r="1" spans="1:12" ht="30" customHeight="1" x14ac:dyDescent="0.35">
      <c r="A1" s="134" t="s">
        <v>1319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x14ac:dyDescent="0.35">
      <c r="A2" t="s">
        <v>928</v>
      </c>
      <c r="D2" t="s">
        <v>929</v>
      </c>
    </row>
    <row r="4" spans="1:12" x14ac:dyDescent="0.35">
      <c r="A4" s="101" t="s">
        <v>882</v>
      </c>
      <c r="B4" s="101" t="str">
        <f>IF('Induction Employee Register'!A28="","",'Induction Employee Register'!A28)</f>
        <v>SW025</v>
      </c>
      <c r="D4" t="s">
        <v>930</v>
      </c>
      <c r="E4" t="s">
        <v>931</v>
      </c>
      <c r="F4" t="s">
        <v>932</v>
      </c>
      <c r="G4" t="s">
        <v>933</v>
      </c>
      <c r="H4" t="s">
        <v>58</v>
      </c>
      <c r="I4" t="s">
        <v>934</v>
      </c>
      <c r="J4" t="s">
        <v>54</v>
      </c>
      <c r="K4" t="s">
        <v>935</v>
      </c>
      <c r="L4" t="s">
        <v>43</v>
      </c>
    </row>
    <row r="5" spans="1:12" x14ac:dyDescent="0.35">
      <c r="A5" s="101" t="s">
        <v>883</v>
      </c>
      <c r="B5" s="101" t="str">
        <f>IF('Induction Employee Register'!B28="","",'Induction Employee Register'!B28)</f>
        <v/>
      </c>
      <c r="D5" t="s">
        <v>936</v>
      </c>
    </row>
    <row r="6" spans="1:12" x14ac:dyDescent="0.35">
      <c r="A6" s="101" t="s">
        <v>322</v>
      </c>
      <c r="B6" s="101" t="str">
        <f>IF('Induction Employee Register'!C28="","",'Induction Employee Register'!C28)</f>
        <v/>
      </c>
      <c r="D6" t="s">
        <v>937</v>
      </c>
      <c r="E6" t="s">
        <v>938</v>
      </c>
    </row>
    <row r="7" spans="1:12" x14ac:dyDescent="0.35">
      <c r="A7" s="101" t="s">
        <v>323</v>
      </c>
      <c r="B7" s="126" t="str">
        <f>IF('Induction Employee Register'!D28="","",'Induction Employee Register'!D28)</f>
        <v/>
      </c>
      <c r="D7" t="s">
        <v>939</v>
      </c>
      <c r="E7" t="s">
        <v>940</v>
      </c>
    </row>
    <row r="8" spans="1:12" x14ac:dyDescent="0.35">
      <c r="A8" s="101" t="s">
        <v>886</v>
      </c>
      <c r="B8" s="125">
        <f>IFERROR(COUNTIF($H$42:$H$230,"Pass")/(COUNTIF($H$42:$H$230,"Pass")+COUNTIF($H$42:$H$230,"Fail")+COUNTIF($H$42:$H$230,"Not Assessed")),0)</f>
        <v>0</v>
      </c>
      <c r="D8" t="s">
        <v>6</v>
      </c>
      <c r="E8" t="s">
        <v>941</v>
      </c>
    </row>
    <row r="9" spans="1:12" x14ac:dyDescent="0.35">
      <c r="A9" s="101" t="s">
        <v>887</v>
      </c>
      <c r="B9" s="125">
        <f>IFERROR(COUNTIF($H$235:$H$255,"Pass")/(COUNTIF($H$235:$H$255,"Pass")+COUNTIF($H$235:$H$255,"Fail")+COUNTIF($H$235:$H$255,"Not Assessed")),0)</f>
        <v>0</v>
      </c>
      <c r="D9" t="s">
        <v>942</v>
      </c>
      <c r="E9" t="s">
        <v>943</v>
      </c>
    </row>
    <row r="10" spans="1:12" x14ac:dyDescent="0.35">
      <c r="A10" s="101" t="s">
        <v>888</v>
      </c>
      <c r="B10" s="125" t="str">
        <f>IFERROR(IF($B$5="","",IF(INDEX('Mandatory Training Dashboard'!$D$5:$D$53,MATCH($B$5,'Mandatory Training Dashboard'!$A$5:$A$53,0))&gt;1,INDEX('Mandatory Training Dashboard'!$D$5:$D$53,MATCH($B$5,'Mandatory Training Dashboard'!$A$5:$A$53,0))/100,INDEX('Mandatory Training Dashboard'!$D$5:$D$53,MATCH($B$5,'Mandatory Training Dashboard'!$A$5:$A$53,0)))),0)</f>
        <v/>
      </c>
      <c r="D10" t="s">
        <v>944</v>
      </c>
      <c r="E10" t="s">
        <v>945</v>
      </c>
    </row>
    <row r="11" spans="1:12" x14ac:dyDescent="0.35">
      <c r="A11" s="101" t="s">
        <v>893</v>
      </c>
      <c r="B11" s="125">
        <f>IFERROR(AVERAGE(B8:B10),0)</f>
        <v>0</v>
      </c>
      <c r="D11" t="s">
        <v>946</v>
      </c>
      <c r="E11" t="s">
        <v>947</v>
      </c>
    </row>
    <row r="12" spans="1:12" x14ac:dyDescent="0.35">
      <c r="A12" s="101" t="s">
        <v>948</v>
      </c>
      <c r="B12" s="101" t="str">
        <f>IF(B11&gt;=0.9,"Green",IF(B11&gt;=0.75,"Amber","Red"))</f>
        <v>Red</v>
      </c>
      <c r="D12" t="s">
        <v>949</v>
      </c>
      <c r="E12" t="s">
        <v>950</v>
      </c>
    </row>
    <row r="13" spans="1:12" x14ac:dyDescent="0.35">
      <c r="A13" s="101" t="s">
        <v>891</v>
      </c>
      <c r="B13" s="101">
        <f>IF('Induction Employee Register'!N28="","",'Induction Employee Register'!N28)</f>
        <v>0</v>
      </c>
      <c r="D13" t="s">
        <v>951</v>
      </c>
      <c r="E13" t="s">
        <v>952</v>
      </c>
    </row>
    <row r="14" spans="1:12" x14ac:dyDescent="0.35">
      <c r="A14" s="101" t="s">
        <v>892</v>
      </c>
      <c r="B14" s="101" t="str">
        <f>IF('Induction Employee Register'!O28="","",'Induction Employee Register'!O28)</f>
        <v/>
      </c>
    </row>
    <row r="17" spans="1:12" ht="24" customHeight="1" x14ac:dyDescent="0.35">
      <c r="A17" s="135" t="s">
        <v>953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9" spans="1:12" ht="29" x14ac:dyDescent="0.35">
      <c r="A19" s="116" t="s">
        <v>954</v>
      </c>
      <c r="B19" s="116" t="s">
        <v>955</v>
      </c>
      <c r="C19" s="116" t="s">
        <v>956</v>
      </c>
      <c r="D19" s="116" t="s">
        <v>957</v>
      </c>
      <c r="E19" s="116" t="s">
        <v>958</v>
      </c>
      <c r="F19" s="116" t="s">
        <v>353</v>
      </c>
      <c r="G19" s="116" t="s">
        <v>335</v>
      </c>
      <c r="H19" s="116" t="s">
        <v>338</v>
      </c>
      <c r="I19" s="117" t="s">
        <v>959</v>
      </c>
      <c r="J19" t="s">
        <v>960</v>
      </c>
      <c r="K19" t="s">
        <v>300</v>
      </c>
      <c r="L19" t="s">
        <v>961</v>
      </c>
    </row>
    <row r="20" spans="1:12" x14ac:dyDescent="0.35">
      <c r="A20" s="118" t="s">
        <v>962</v>
      </c>
      <c r="B20" s="118" t="s">
        <v>81</v>
      </c>
      <c r="C20" s="118"/>
      <c r="D20" s="127"/>
      <c r="E20" s="127"/>
      <c r="F20" s="118"/>
      <c r="G20" s="118"/>
      <c r="H20" s="118"/>
      <c r="J20" t="s">
        <v>310</v>
      </c>
      <c r="K20" t="str">
        <f>IF('Induction Employee Register'!W28="","",'Induction Employee Register'!W28)</f>
        <v/>
      </c>
      <c r="L20" t="s">
        <v>963</v>
      </c>
    </row>
    <row r="21" spans="1:12" x14ac:dyDescent="0.35">
      <c r="A21" s="118" t="s">
        <v>964</v>
      </c>
      <c r="B21" s="118" t="s">
        <v>81</v>
      </c>
      <c r="C21" s="118"/>
      <c r="D21" s="127"/>
      <c r="E21" s="127"/>
      <c r="F21" s="118"/>
      <c r="G21" s="118"/>
      <c r="H21" s="118"/>
      <c r="J21" t="s">
        <v>311</v>
      </c>
      <c r="K21" t="str">
        <f>IF('Induction Employee Register'!X28="","",'Induction Employee Register'!X28)</f>
        <v/>
      </c>
      <c r="L21" t="s">
        <v>965</v>
      </c>
    </row>
    <row r="22" spans="1:12" x14ac:dyDescent="0.35">
      <c r="A22" s="118" t="s">
        <v>966</v>
      </c>
      <c r="B22" s="118" t="s">
        <v>81</v>
      </c>
      <c r="C22" s="118"/>
      <c r="D22" s="127"/>
      <c r="E22" s="127"/>
      <c r="F22" s="118"/>
      <c r="G22" s="118"/>
      <c r="H22" s="118"/>
      <c r="J22" t="s">
        <v>312</v>
      </c>
      <c r="K22" t="str">
        <f>IF('Induction Employee Register'!Y28="","",'Induction Employee Register'!Y28)</f>
        <v/>
      </c>
      <c r="L22" t="s">
        <v>967</v>
      </c>
    </row>
    <row r="23" spans="1:12" x14ac:dyDescent="0.35">
      <c r="A23" s="118" t="s">
        <v>52</v>
      </c>
      <c r="B23" s="118" t="s">
        <v>81</v>
      </c>
      <c r="C23" s="118"/>
      <c r="D23" s="127"/>
      <c r="E23" s="127"/>
      <c r="F23" s="118"/>
      <c r="G23" s="118"/>
      <c r="H23" s="118"/>
      <c r="J23" t="s">
        <v>313</v>
      </c>
      <c r="K23" t="str">
        <f>IF('Induction Employee Register'!Z28="","",'Induction Employee Register'!Z28)</f>
        <v/>
      </c>
      <c r="L23" t="s">
        <v>968</v>
      </c>
    </row>
    <row r="24" spans="1:12" x14ac:dyDescent="0.35">
      <c r="A24" s="118" t="s">
        <v>50</v>
      </c>
      <c r="B24" s="118" t="s">
        <v>81</v>
      </c>
      <c r="C24" s="118"/>
      <c r="D24" s="127"/>
      <c r="E24" s="127"/>
      <c r="F24" s="118"/>
      <c r="G24" s="118"/>
      <c r="H24" s="118"/>
      <c r="J24" t="s">
        <v>314</v>
      </c>
      <c r="K24" t="str">
        <f>IF('Induction Employee Register'!AA28="","",'Induction Employee Register'!AA28)</f>
        <v/>
      </c>
      <c r="L24" t="s">
        <v>968</v>
      </c>
    </row>
    <row r="25" spans="1:12" x14ac:dyDescent="0.35">
      <c r="A25" s="118" t="s">
        <v>329</v>
      </c>
      <c r="B25" s="118" t="s">
        <v>81</v>
      </c>
      <c r="C25" s="118"/>
      <c r="D25" s="127"/>
      <c r="E25" s="127"/>
      <c r="F25" s="118"/>
      <c r="G25" s="118"/>
      <c r="H25" s="118"/>
      <c r="J25" t="s">
        <v>315</v>
      </c>
      <c r="K25" t="str">
        <f>IF('Induction Employee Register'!AB28="","",'Induction Employee Register'!AB28)</f>
        <v/>
      </c>
      <c r="L25" t="s">
        <v>967</v>
      </c>
    </row>
    <row r="26" spans="1:12" x14ac:dyDescent="0.35">
      <c r="A26" s="118" t="s">
        <v>969</v>
      </c>
      <c r="B26" s="118" t="s">
        <v>81</v>
      </c>
      <c r="C26" s="118"/>
      <c r="D26" s="127"/>
      <c r="E26" s="127"/>
      <c r="F26" s="118"/>
      <c r="G26" s="118"/>
      <c r="H26" s="118"/>
      <c r="J26" t="s">
        <v>316</v>
      </c>
      <c r="K26" t="str">
        <f>IF('Induction Employee Register'!AC28="","",'Induction Employee Register'!AC28)</f>
        <v/>
      </c>
      <c r="L26" t="s">
        <v>967</v>
      </c>
    </row>
    <row r="27" spans="1:12" x14ac:dyDescent="0.35">
      <c r="A27" s="118" t="s">
        <v>970</v>
      </c>
      <c r="B27" s="118" t="s">
        <v>81</v>
      </c>
      <c r="C27" s="118"/>
      <c r="D27" s="127"/>
      <c r="E27" s="127"/>
      <c r="F27" s="118"/>
      <c r="G27" s="118"/>
      <c r="H27" s="118"/>
    </row>
    <row r="28" spans="1:12" x14ac:dyDescent="0.35">
      <c r="A28" s="118" t="s">
        <v>971</v>
      </c>
      <c r="B28" s="118" t="s">
        <v>81</v>
      </c>
      <c r="C28" s="118"/>
      <c r="D28" s="127"/>
      <c r="E28" s="127"/>
      <c r="F28" s="118"/>
      <c r="G28" s="118"/>
      <c r="H28" s="118"/>
    </row>
    <row r="29" spans="1:12" x14ac:dyDescent="0.35">
      <c r="A29" s="118" t="s">
        <v>972</v>
      </c>
      <c r="B29" s="118" t="s">
        <v>81</v>
      </c>
      <c r="C29" s="118"/>
      <c r="D29" s="127"/>
      <c r="E29" s="127"/>
      <c r="F29" s="118"/>
      <c r="G29" s="118"/>
      <c r="H29" s="118"/>
    </row>
    <row r="30" spans="1:12" x14ac:dyDescent="0.35">
      <c r="A30" s="118" t="s">
        <v>973</v>
      </c>
      <c r="B30" s="118" t="s">
        <v>81</v>
      </c>
      <c r="C30" s="118"/>
      <c r="D30" s="127"/>
      <c r="E30" s="127"/>
      <c r="F30" s="118"/>
      <c r="G30" s="118"/>
      <c r="H30" s="118"/>
    </row>
    <row r="31" spans="1:12" x14ac:dyDescent="0.35">
      <c r="A31" s="118" t="s">
        <v>974</v>
      </c>
      <c r="B31" s="118" t="s">
        <v>81</v>
      </c>
      <c r="C31" s="118"/>
      <c r="D31" s="127"/>
      <c r="E31" s="127"/>
      <c r="F31" s="118"/>
      <c r="G31" s="118"/>
      <c r="H31" s="118"/>
    </row>
    <row r="32" spans="1:12" x14ac:dyDescent="0.35">
      <c r="A32" s="118" t="s">
        <v>975</v>
      </c>
      <c r="B32" s="118" t="s">
        <v>81</v>
      </c>
      <c r="C32" s="118"/>
      <c r="D32" s="127"/>
      <c r="E32" s="127"/>
      <c r="F32" s="118"/>
      <c r="G32" s="118"/>
      <c r="H32" s="118"/>
    </row>
    <row r="33" spans="1:12" x14ac:dyDescent="0.35">
      <c r="A33" s="118" t="s">
        <v>54</v>
      </c>
      <c r="B33" s="118" t="s">
        <v>81</v>
      </c>
      <c r="C33" s="118"/>
      <c r="D33" s="127"/>
      <c r="E33" s="127"/>
      <c r="F33" s="118"/>
      <c r="G33" s="118"/>
      <c r="H33" s="118"/>
    </row>
    <row r="34" spans="1:12" x14ac:dyDescent="0.35">
      <c r="A34" s="119" t="s">
        <v>976</v>
      </c>
      <c r="B34" s="119" t="s">
        <v>81</v>
      </c>
      <c r="C34" s="119"/>
      <c r="D34" s="127"/>
      <c r="E34" s="127"/>
      <c r="F34" s="119"/>
      <c r="G34" s="119"/>
      <c r="H34" s="119"/>
    </row>
    <row r="35" spans="1:12" ht="24" customHeight="1" x14ac:dyDescent="0.35">
      <c r="A35" s="130" t="s">
        <v>977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</row>
    <row r="36" spans="1:12" x14ac:dyDescent="0.35">
      <c r="A36" s="119" t="s">
        <v>978</v>
      </c>
      <c r="B36" s="119" t="s">
        <v>81</v>
      </c>
      <c r="C36" s="119"/>
      <c r="D36" s="127"/>
      <c r="E36" s="127"/>
      <c r="F36" s="119"/>
      <c r="G36" s="119"/>
      <c r="H36" s="119"/>
    </row>
    <row r="37" spans="1:12" x14ac:dyDescent="0.35">
      <c r="A37" s="119" t="s">
        <v>979</v>
      </c>
      <c r="B37" s="119" t="s">
        <v>81</v>
      </c>
      <c r="C37" s="119"/>
      <c r="D37" s="127"/>
      <c r="E37" s="127"/>
      <c r="F37" s="119"/>
      <c r="G37" s="119"/>
      <c r="H37" s="119"/>
    </row>
    <row r="38" spans="1:12" x14ac:dyDescent="0.35">
      <c r="A38" s="119" t="s">
        <v>980</v>
      </c>
      <c r="B38" s="119" t="s">
        <v>81</v>
      </c>
      <c r="C38" s="119"/>
      <c r="D38" s="127"/>
      <c r="E38" s="127"/>
      <c r="F38" s="119"/>
      <c r="G38" s="119"/>
      <c r="H38" s="119"/>
    </row>
    <row r="39" spans="1:12" x14ac:dyDescent="0.35">
      <c r="A39" s="119" t="s">
        <v>981</v>
      </c>
      <c r="B39" s="119" t="s">
        <v>81</v>
      </c>
      <c r="C39" s="119"/>
      <c r="D39" s="127"/>
      <c r="E39" s="127"/>
      <c r="F39" s="119"/>
      <c r="G39" s="119"/>
      <c r="H39" s="119"/>
    </row>
    <row r="40" spans="1:12" x14ac:dyDescent="0.35">
      <c r="A40" s="119" t="s">
        <v>982</v>
      </c>
      <c r="B40" s="119" t="s">
        <v>81</v>
      </c>
      <c r="C40" s="119"/>
      <c r="D40" s="127"/>
      <c r="E40" s="127"/>
      <c r="F40" s="119"/>
      <c r="G40" s="119"/>
      <c r="H40" s="119"/>
    </row>
    <row r="41" spans="1:12" x14ac:dyDescent="0.35">
      <c r="A41" s="118"/>
      <c r="B41" s="118"/>
      <c r="C41" s="118"/>
      <c r="D41" s="127"/>
      <c r="E41" s="127"/>
      <c r="F41" s="118"/>
      <c r="G41" s="118"/>
      <c r="H41" s="118"/>
    </row>
    <row r="42" spans="1:12" x14ac:dyDescent="0.35">
      <c r="A42" s="120" t="s">
        <v>983</v>
      </c>
      <c r="B42" s="118"/>
      <c r="C42" s="118"/>
      <c r="D42" s="127"/>
      <c r="E42" s="127"/>
      <c r="F42" s="118"/>
      <c r="G42" s="118"/>
      <c r="H42" s="118"/>
      <c r="I42" s="96"/>
      <c r="J42" s="96"/>
      <c r="K42" s="96"/>
      <c r="L42" s="96"/>
    </row>
    <row r="43" spans="1:12" x14ac:dyDescent="0.35">
      <c r="A43" s="118"/>
      <c r="B43" s="118"/>
      <c r="C43" s="118"/>
      <c r="D43" s="127"/>
      <c r="E43" s="127"/>
      <c r="F43" s="118"/>
      <c r="G43" s="118"/>
      <c r="H43" s="118"/>
    </row>
    <row r="44" spans="1:12" ht="29" x14ac:dyDescent="0.35">
      <c r="A44" s="116" t="s">
        <v>984</v>
      </c>
      <c r="B44" s="116" t="s">
        <v>985</v>
      </c>
      <c r="C44" s="116" t="s">
        <v>986</v>
      </c>
      <c r="D44" s="116" t="s">
        <v>987</v>
      </c>
      <c r="E44" s="116" t="s">
        <v>988</v>
      </c>
      <c r="F44" s="116" t="s">
        <v>989</v>
      </c>
      <c r="G44" s="116" t="s">
        <v>389</v>
      </c>
      <c r="H44" s="116" t="s">
        <v>870</v>
      </c>
      <c r="I44" s="100" t="s">
        <v>390</v>
      </c>
      <c r="J44" s="100" t="s">
        <v>990</v>
      </c>
      <c r="K44" s="100" t="s">
        <v>991</v>
      </c>
      <c r="L44" s="100" t="s">
        <v>992</v>
      </c>
    </row>
    <row r="45" spans="1:12" ht="29" x14ac:dyDescent="0.35">
      <c r="A45" s="121" t="s">
        <v>993</v>
      </c>
      <c r="B45" s="121" t="s">
        <v>994</v>
      </c>
      <c r="C45" s="121" t="s">
        <v>995</v>
      </c>
      <c r="D45" s="121"/>
      <c r="E45" s="121" t="s">
        <v>996</v>
      </c>
      <c r="F45" s="121"/>
      <c r="G45" s="121"/>
      <c r="H45" s="121"/>
      <c r="I45" s="21"/>
      <c r="J45" s="21"/>
      <c r="K45" s="21"/>
      <c r="L45" s="21"/>
    </row>
    <row r="46" spans="1:12" ht="29" x14ac:dyDescent="0.35">
      <c r="A46" s="21" t="s">
        <v>993</v>
      </c>
      <c r="B46" s="21" t="s">
        <v>997</v>
      </c>
      <c r="C46" s="21" t="s">
        <v>998</v>
      </c>
      <c r="D46" s="21"/>
      <c r="E46" s="21" t="s">
        <v>996</v>
      </c>
      <c r="F46" s="21"/>
      <c r="G46" s="21"/>
      <c r="H46" s="21"/>
      <c r="I46" s="21"/>
      <c r="J46" s="21"/>
      <c r="K46" s="21"/>
      <c r="L46" s="21"/>
    </row>
    <row r="47" spans="1:12" ht="29" x14ac:dyDescent="0.35">
      <c r="A47" s="21" t="s">
        <v>993</v>
      </c>
      <c r="B47" s="21" t="s">
        <v>999</v>
      </c>
      <c r="C47" s="21" t="s">
        <v>1000</v>
      </c>
      <c r="D47" s="21"/>
      <c r="E47" s="21" t="s">
        <v>996</v>
      </c>
      <c r="F47" s="21"/>
      <c r="G47" s="21"/>
      <c r="H47" s="21"/>
      <c r="I47" s="21"/>
      <c r="J47" s="21"/>
      <c r="K47" s="21"/>
      <c r="L47" s="21"/>
    </row>
    <row r="48" spans="1:12" ht="29" x14ac:dyDescent="0.35">
      <c r="A48" s="21" t="s">
        <v>993</v>
      </c>
      <c r="B48" s="21" t="s">
        <v>1001</v>
      </c>
      <c r="C48" s="21" t="s">
        <v>1002</v>
      </c>
      <c r="D48" s="21"/>
      <c r="E48" s="21" t="s">
        <v>996</v>
      </c>
      <c r="F48" s="21"/>
      <c r="G48" s="21"/>
      <c r="H48" s="21"/>
      <c r="I48" s="21"/>
      <c r="J48" s="21"/>
      <c r="K48" s="21"/>
      <c r="L48" s="21"/>
    </row>
    <row r="49" spans="1:12" ht="43.5" x14ac:dyDescent="0.35">
      <c r="A49" s="21" t="s">
        <v>993</v>
      </c>
      <c r="B49" s="21" t="s">
        <v>1003</v>
      </c>
      <c r="C49" s="21" t="s">
        <v>1004</v>
      </c>
      <c r="D49" s="21"/>
      <c r="E49" s="21" t="s">
        <v>996</v>
      </c>
      <c r="F49" s="21"/>
      <c r="G49" s="21"/>
      <c r="H49" s="21"/>
      <c r="I49" s="21"/>
      <c r="J49" s="21"/>
      <c r="K49" s="21"/>
      <c r="L49" s="21"/>
    </row>
    <row r="50" spans="1:12" ht="29" x14ac:dyDescent="0.35">
      <c r="A50" s="21" t="s">
        <v>993</v>
      </c>
      <c r="B50" s="21" t="s">
        <v>1005</v>
      </c>
      <c r="C50" s="21" t="s">
        <v>1006</v>
      </c>
      <c r="D50" s="21"/>
      <c r="E50" s="21" t="s">
        <v>996</v>
      </c>
      <c r="F50" s="21"/>
      <c r="G50" s="21"/>
      <c r="H50" s="21"/>
      <c r="I50" s="21"/>
      <c r="J50" s="21"/>
      <c r="K50" s="21"/>
      <c r="L50" s="21"/>
    </row>
    <row r="51" spans="1:12" ht="43.5" x14ac:dyDescent="0.35">
      <c r="A51" s="21" t="s">
        <v>1007</v>
      </c>
      <c r="B51" s="21" t="s">
        <v>1008</v>
      </c>
      <c r="C51" s="21" t="s">
        <v>1009</v>
      </c>
      <c r="D51" s="21"/>
      <c r="E51" s="21" t="s">
        <v>996</v>
      </c>
      <c r="F51" s="21"/>
      <c r="G51" s="21"/>
      <c r="H51" s="21"/>
      <c r="I51" s="21"/>
      <c r="J51" s="21"/>
      <c r="K51" s="21"/>
      <c r="L51" s="21"/>
    </row>
    <row r="52" spans="1:12" ht="29" x14ac:dyDescent="0.35">
      <c r="A52" s="21" t="s">
        <v>1007</v>
      </c>
      <c r="B52" s="21" t="s">
        <v>1010</v>
      </c>
      <c r="C52" s="21" t="s">
        <v>1011</v>
      </c>
      <c r="D52" s="21"/>
      <c r="E52" s="21" t="s">
        <v>996</v>
      </c>
      <c r="F52" s="21"/>
      <c r="G52" s="21"/>
      <c r="H52" s="21"/>
      <c r="I52" s="21"/>
      <c r="J52" s="21"/>
      <c r="K52" s="21"/>
      <c r="L52" s="21"/>
    </row>
    <row r="53" spans="1:12" ht="29" x14ac:dyDescent="0.35">
      <c r="A53" s="21" t="s">
        <v>1007</v>
      </c>
      <c r="B53" s="21" t="s">
        <v>1012</v>
      </c>
      <c r="C53" s="21" t="s">
        <v>1013</v>
      </c>
      <c r="D53" s="21"/>
      <c r="E53" s="21" t="s">
        <v>996</v>
      </c>
      <c r="F53" s="21"/>
      <c r="G53" s="21"/>
      <c r="H53" s="21"/>
      <c r="I53" s="21"/>
      <c r="J53" s="21"/>
      <c r="K53" s="21"/>
      <c r="L53" s="21"/>
    </row>
    <row r="54" spans="1:12" ht="29" x14ac:dyDescent="0.35">
      <c r="A54" s="21" t="s">
        <v>1007</v>
      </c>
      <c r="B54" s="21" t="s">
        <v>1014</v>
      </c>
      <c r="C54" s="21" t="s">
        <v>1015</v>
      </c>
      <c r="D54" s="21"/>
      <c r="E54" s="21" t="s">
        <v>996</v>
      </c>
      <c r="F54" s="21"/>
      <c r="G54" s="21"/>
      <c r="H54" s="21"/>
      <c r="I54" s="21"/>
      <c r="J54" s="21"/>
      <c r="K54" s="21"/>
      <c r="L54" s="21"/>
    </row>
    <row r="55" spans="1:12" ht="29" x14ac:dyDescent="0.35">
      <c r="A55" s="21" t="s">
        <v>1007</v>
      </c>
      <c r="B55" s="21" t="s">
        <v>1016</v>
      </c>
      <c r="C55" s="21" t="s">
        <v>1017</v>
      </c>
      <c r="D55" s="21"/>
      <c r="E55" s="21" t="s">
        <v>996</v>
      </c>
      <c r="F55" s="21"/>
      <c r="G55" s="21"/>
      <c r="H55" s="21"/>
      <c r="I55" s="21"/>
      <c r="J55" s="21"/>
      <c r="K55" s="21"/>
      <c r="L55" s="21"/>
    </row>
    <row r="56" spans="1:12" ht="29" x14ac:dyDescent="0.35">
      <c r="A56" s="21" t="s">
        <v>1007</v>
      </c>
      <c r="B56" s="21" t="s">
        <v>1018</v>
      </c>
      <c r="C56" s="21" t="s">
        <v>1019</v>
      </c>
      <c r="D56" s="21"/>
      <c r="E56" s="21" t="s">
        <v>996</v>
      </c>
      <c r="F56" s="21"/>
      <c r="G56" s="21"/>
      <c r="H56" s="21"/>
      <c r="I56" s="21"/>
      <c r="J56" s="21"/>
      <c r="K56" s="21"/>
      <c r="L56" s="21"/>
    </row>
    <row r="57" spans="1:12" ht="43.5" x14ac:dyDescent="0.35">
      <c r="A57" s="21" t="s">
        <v>1020</v>
      </c>
      <c r="B57" s="21" t="s">
        <v>1021</v>
      </c>
      <c r="C57" s="21" t="s">
        <v>1022</v>
      </c>
      <c r="D57" s="21"/>
      <c r="E57" s="21" t="s">
        <v>1023</v>
      </c>
      <c r="F57" s="21"/>
      <c r="G57" s="21"/>
      <c r="H57" s="21"/>
      <c r="I57" s="21"/>
      <c r="J57" s="21"/>
      <c r="K57" s="21"/>
      <c r="L57" s="21"/>
    </row>
    <row r="58" spans="1:12" ht="43.5" x14ac:dyDescent="0.35">
      <c r="A58" s="21" t="s">
        <v>1020</v>
      </c>
      <c r="B58" s="21" t="s">
        <v>1024</v>
      </c>
      <c r="C58" s="21" t="s">
        <v>1025</v>
      </c>
      <c r="D58" s="21"/>
      <c r="E58" s="21" t="s">
        <v>1023</v>
      </c>
      <c r="F58" s="21"/>
      <c r="G58" s="21"/>
      <c r="H58" s="21"/>
      <c r="I58" s="21"/>
      <c r="J58" s="21"/>
      <c r="K58" s="21"/>
      <c r="L58" s="21"/>
    </row>
    <row r="59" spans="1:12" ht="43.5" x14ac:dyDescent="0.35">
      <c r="A59" s="21" t="s">
        <v>1020</v>
      </c>
      <c r="B59" s="21" t="s">
        <v>1026</v>
      </c>
      <c r="C59" s="21" t="s">
        <v>1027</v>
      </c>
      <c r="D59" s="21"/>
      <c r="E59" s="21" t="s">
        <v>1023</v>
      </c>
      <c r="F59" s="21"/>
      <c r="G59" s="21"/>
      <c r="H59" s="21"/>
      <c r="I59" s="21"/>
      <c r="J59" s="21"/>
      <c r="K59" s="21"/>
      <c r="L59" s="21"/>
    </row>
    <row r="60" spans="1:12" ht="43.5" x14ac:dyDescent="0.35">
      <c r="A60" s="21" t="s">
        <v>1020</v>
      </c>
      <c r="B60" s="21" t="s">
        <v>1028</v>
      </c>
      <c r="C60" s="21" t="s">
        <v>1029</v>
      </c>
      <c r="D60" s="21"/>
      <c r="E60" s="21" t="s">
        <v>1023</v>
      </c>
      <c r="F60" s="21"/>
      <c r="G60" s="21"/>
      <c r="H60" s="21"/>
      <c r="I60" s="21"/>
      <c r="J60" s="21"/>
      <c r="K60" s="21"/>
      <c r="L60" s="21"/>
    </row>
    <row r="61" spans="1:12" ht="43.5" x14ac:dyDescent="0.35">
      <c r="A61" s="21" t="s">
        <v>1020</v>
      </c>
      <c r="B61" s="21" t="s">
        <v>1030</v>
      </c>
      <c r="C61" s="21" t="s">
        <v>1031</v>
      </c>
      <c r="D61" s="21"/>
      <c r="E61" s="21" t="s">
        <v>1023</v>
      </c>
      <c r="F61" s="21"/>
      <c r="G61" s="21"/>
      <c r="H61" s="21"/>
      <c r="I61" s="21"/>
      <c r="J61" s="21"/>
      <c r="K61" s="21"/>
      <c r="L61" s="21"/>
    </row>
    <row r="62" spans="1:12" ht="43.5" x14ac:dyDescent="0.35">
      <c r="A62" s="21" t="s">
        <v>1020</v>
      </c>
      <c r="B62" s="21" t="s">
        <v>1032</v>
      </c>
      <c r="C62" s="21" t="s">
        <v>1033</v>
      </c>
      <c r="D62" s="21"/>
      <c r="E62" s="21" t="s">
        <v>1023</v>
      </c>
      <c r="F62" s="21"/>
      <c r="G62" s="21"/>
      <c r="H62" s="21"/>
      <c r="I62" s="21"/>
      <c r="J62" s="21"/>
      <c r="K62" s="21"/>
      <c r="L62" s="21"/>
    </row>
    <row r="63" spans="1:12" ht="29" x14ac:dyDescent="0.35">
      <c r="A63" s="21" t="s">
        <v>428</v>
      </c>
      <c r="B63" s="21" t="s">
        <v>1034</v>
      </c>
      <c r="C63" s="21" t="s">
        <v>1035</v>
      </c>
      <c r="D63" s="21"/>
      <c r="E63" s="21" t="s">
        <v>996</v>
      </c>
      <c r="F63" s="21"/>
      <c r="G63" s="21"/>
      <c r="H63" s="21"/>
      <c r="I63" s="21"/>
      <c r="J63" s="21"/>
      <c r="K63" s="21"/>
      <c r="L63" s="21"/>
    </row>
    <row r="64" spans="1:12" ht="43.5" x14ac:dyDescent="0.35">
      <c r="A64" s="21" t="s">
        <v>428</v>
      </c>
      <c r="B64" s="21" t="s">
        <v>1036</v>
      </c>
      <c r="C64" s="21" t="s">
        <v>1037</v>
      </c>
      <c r="D64" s="21"/>
      <c r="E64" s="21" t="s">
        <v>996</v>
      </c>
      <c r="F64" s="21"/>
      <c r="G64" s="21"/>
      <c r="H64" s="21"/>
      <c r="I64" s="21"/>
      <c r="J64" s="21"/>
      <c r="K64" s="21"/>
      <c r="L64" s="21"/>
    </row>
    <row r="65" spans="1:12" ht="29" x14ac:dyDescent="0.35">
      <c r="A65" s="21" t="s">
        <v>428</v>
      </c>
      <c r="B65" s="21" t="s">
        <v>1038</v>
      </c>
      <c r="C65" s="21" t="s">
        <v>1039</v>
      </c>
      <c r="D65" s="21"/>
      <c r="E65" s="21" t="s">
        <v>996</v>
      </c>
      <c r="F65" s="21"/>
      <c r="G65" s="21"/>
      <c r="H65" s="21"/>
      <c r="I65" s="21"/>
      <c r="J65" s="21"/>
      <c r="K65" s="21"/>
      <c r="L65" s="21"/>
    </row>
    <row r="66" spans="1:12" ht="43.5" x14ac:dyDescent="0.35">
      <c r="A66" s="21" t="s">
        <v>428</v>
      </c>
      <c r="B66" s="21" t="s">
        <v>1040</v>
      </c>
      <c r="C66" s="21" t="s">
        <v>1041</v>
      </c>
      <c r="D66" s="21"/>
      <c r="E66" s="21" t="s">
        <v>996</v>
      </c>
      <c r="F66" s="21"/>
      <c r="G66" s="21"/>
      <c r="H66" s="21"/>
      <c r="I66" s="21"/>
      <c r="J66" s="21"/>
      <c r="K66" s="21"/>
      <c r="L66" s="21"/>
    </row>
    <row r="67" spans="1:12" ht="29" x14ac:dyDescent="0.35">
      <c r="A67" s="21" t="s">
        <v>428</v>
      </c>
      <c r="B67" s="21" t="s">
        <v>1042</v>
      </c>
      <c r="C67" s="21" t="s">
        <v>1043</v>
      </c>
      <c r="D67" s="21"/>
      <c r="E67" s="21" t="s">
        <v>996</v>
      </c>
      <c r="F67" s="21"/>
      <c r="G67" s="21"/>
      <c r="H67" s="21"/>
      <c r="I67" s="21"/>
      <c r="J67" s="21"/>
      <c r="K67" s="21"/>
      <c r="L67" s="21"/>
    </row>
    <row r="68" spans="1:12" ht="29" x14ac:dyDescent="0.35">
      <c r="A68" s="21" t="s">
        <v>428</v>
      </c>
      <c r="B68" s="21" t="s">
        <v>1044</v>
      </c>
      <c r="C68" s="21" t="s">
        <v>1045</v>
      </c>
      <c r="D68" s="21"/>
      <c r="E68" s="21" t="s">
        <v>996</v>
      </c>
      <c r="F68" s="21"/>
      <c r="G68" s="21"/>
      <c r="H68" s="21"/>
      <c r="I68" s="21"/>
      <c r="J68" s="21"/>
      <c r="K68" s="21"/>
      <c r="L68" s="21"/>
    </row>
    <row r="69" spans="1:12" ht="29" x14ac:dyDescent="0.35">
      <c r="A69" s="21" t="s">
        <v>1046</v>
      </c>
      <c r="B69" s="21" t="s">
        <v>1047</v>
      </c>
      <c r="C69" s="21" t="s">
        <v>1048</v>
      </c>
      <c r="D69" s="21"/>
      <c r="E69" s="21" t="s">
        <v>996</v>
      </c>
      <c r="F69" s="21"/>
      <c r="G69" s="21"/>
      <c r="H69" s="21"/>
      <c r="I69" s="21"/>
      <c r="J69" s="21"/>
      <c r="K69" s="21"/>
      <c r="L69" s="21"/>
    </row>
    <row r="70" spans="1:12" ht="29" x14ac:dyDescent="0.35">
      <c r="A70" s="21" t="s">
        <v>1046</v>
      </c>
      <c r="B70" s="21" t="s">
        <v>1049</v>
      </c>
      <c r="C70" s="21" t="s">
        <v>1050</v>
      </c>
      <c r="D70" s="21"/>
      <c r="E70" s="21" t="s">
        <v>996</v>
      </c>
      <c r="F70" s="21"/>
      <c r="G70" s="21"/>
      <c r="H70" s="21"/>
      <c r="I70" s="21"/>
      <c r="J70" s="21"/>
      <c r="K70" s="21"/>
      <c r="L70" s="21"/>
    </row>
    <row r="71" spans="1:12" ht="29" x14ac:dyDescent="0.35">
      <c r="A71" s="21" t="s">
        <v>1046</v>
      </c>
      <c r="B71" s="21" t="s">
        <v>1051</v>
      </c>
      <c r="C71" s="21" t="s">
        <v>1052</v>
      </c>
      <c r="D71" s="21"/>
      <c r="E71" s="21" t="s">
        <v>996</v>
      </c>
      <c r="F71" s="21"/>
      <c r="G71" s="21"/>
      <c r="H71" s="21"/>
      <c r="I71" s="21"/>
      <c r="J71" s="21"/>
      <c r="K71" s="21"/>
      <c r="L71" s="21"/>
    </row>
    <row r="72" spans="1:12" ht="29" x14ac:dyDescent="0.35">
      <c r="A72" s="21" t="s">
        <v>1046</v>
      </c>
      <c r="B72" s="21" t="s">
        <v>1053</v>
      </c>
      <c r="C72" s="21" t="s">
        <v>1054</v>
      </c>
      <c r="D72" s="21"/>
      <c r="E72" s="21" t="s">
        <v>996</v>
      </c>
      <c r="F72" s="21"/>
      <c r="G72" s="21"/>
      <c r="H72" s="21"/>
      <c r="I72" s="21"/>
      <c r="J72" s="21"/>
      <c r="K72" s="21"/>
      <c r="L72" s="21"/>
    </row>
    <row r="73" spans="1:12" ht="29" x14ac:dyDescent="0.35">
      <c r="A73" s="21" t="s">
        <v>1046</v>
      </c>
      <c r="B73" s="21" t="s">
        <v>1055</v>
      </c>
      <c r="C73" s="21" t="s">
        <v>1056</v>
      </c>
      <c r="D73" s="21"/>
      <c r="E73" s="21" t="s">
        <v>996</v>
      </c>
      <c r="F73" s="21"/>
      <c r="G73" s="21"/>
      <c r="H73" s="21"/>
      <c r="I73" s="21"/>
      <c r="J73" s="21"/>
      <c r="K73" s="21"/>
      <c r="L73" s="21"/>
    </row>
    <row r="74" spans="1:12" ht="29" x14ac:dyDescent="0.35">
      <c r="A74" s="21" t="s">
        <v>1046</v>
      </c>
      <c r="B74" s="21" t="s">
        <v>1057</v>
      </c>
      <c r="C74" s="21" t="s">
        <v>1058</v>
      </c>
      <c r="D74" s="21"/>
      <c r="E74" s="21" t="s">
        <v>996</v>
      </c>
      <c r="F74" s="21"/>
      <c r="G74" s="21"/>
      <c r="H74" s="21"/>
      <c r="I74" s="21"/>
      <c r="J74" s="21"/>
      <c r="K74" s="21"/>
      <c r="L74" s="21"/>
    </row>
    <row r="75" spans="1:12" ht="29" x14ac:dyDescent="0.35">
      <c r="A75" s="21" t="s">
        <v>1059</v>
      </c>
      <c r="B75" s="21" t="s">
        <v>1060</v>
      </c>
      <c r="C75" s="21" t="s">
        <v>1061</v>
      </c>
      <c r="D75" s="21"/>
      <c r="E75" s="21" t="s">
        <v>996</v>
      </c>
      <c r="F75" s="21"/>
      <c r="G75" s="21"/>
      <c r="H75" s="21"/>
      <c r="I75" s="21"/>
      <c r="J75" s="21"/>
      <c r="K75" s="21"/>
      <c r="L75" s="21"/>
    </row>
    <row r="76" spans="1:12" ht="43.5" x14ac:dyDescent="0.35">
      <c r="A76" s="21" t="s">
        <v>1059</v>
      </c>
      <c r="B76" s="21" t="s">
        <v>1062</v>
      </c>
      <c r="C76" s="21" t="s">
        <v>1063</v>
      </c>
      <c r="D76" s="21"/>
      <c r="E76" s="21" t="s">
        <v>996</v>
      </c>
      <c r="F76" s="21"/>
      <c r="G76" s="21"/>
      <c r="H76" s="21"/>
      <c r="I76" s="21"/>
      <c r="J76" s="21"/>
      <c r="K76" s="21"/>
      <c r="L76" s="21"/>
    </row>
    <row r="77" spans="1:12" ht="29" x14ac:dyDescent="0.35">
      <c r="A77" s="21" t="s">
        <v>1059</v>
      </c>
      <c r="B77" s="21" t="s">
        <v>1064</v>
      </c>
      <c r="C77" s="21" t="s">
        <v>1065</v>
      </c>
      <c r="D77" s="21"/>
      <c r="E77" s="21" t="s">
        <v>996</v>
      </c>
      <c r="F77" s="21"/>
      <c r="G77" s="21"/>
      <c r="H77" s="21"/>
      <c r="I77" s="21"/>
      <c r="J77" s="21"/>
      <c r="K77" s="21"/>
      <c r="L77" s="21"/>
    </row>
    <row r="78" spans="1:12" ht="29" x14ac:dyDescent="0.35">
      <c r="A78" s="21" t="s">
        <v>1059</v>
      </c>
      <c r="B78" s="21" t="s">
        <v>1066</v>
      </c>
      <c r="C78" s="21" t="s">
        <v>1067</v>
      </c>
      <c r="D78" s="21"/>
      <c r="E78" s="21" t="s">
        <v>996</v>
      </c>
      <c r="F78" s="21"/>
      <c r="G78" s="21"/>
      <c r="H78" s="21"/>
      <c r="I78" s="21"/>
      <c r="J78" s="21"/>
      <c r="K78" s="21"/>
      <c r="L78" s="21"/>
    </row>
    <row r="79" spans="1:12" ht="29" x14ac:dyDescent="0.35">
      <c r="A79" s="21" t="s">
        <v>1059</v>
      </c>
      <c r="B79" s="21" t="s">
        <v>1068</v>
      </c>
      <c r="C79" s="21" t="s">
        <v>1069</v>
      </c>
      <c r="D79" s="21"/>
      <c r="E79" s="21" t="s">
        <v>996</v>
      </c>
      <c r="F79" s="21"/>
      <c r="G79" s="21"/>
      <c r="H79" s="21"/>
      <c r="I79" s="21"/>
      <c r="J79" s="21"/>
      <c r="K79" s="21"/>
      <c r="L79" s="21"/>
    </row>
    <row r="80" spans="1:12" ht="29" x14ac:dyDescent="0.35">
      <c r="A80" s="21" t="s">
        <v>1059</v>
      </c>
      <c r="B80" s="21" t="s">
        <v>1070</v>
      </c>
      <c r="C80" s="21" t="s">
        <v>1071</v>
      </c>
      <c r="D80" s="21"/>
      <c r="E80" s="21" t="s">
        <v>996</v>
      </c>
      <c r="F80" s="21"/>
      <c r="G80" s="21"/>
      <c r="H80" s="21"/>
      <c r="I80" s="21"/>
      <c r="J80" s="21"/>
      <c r="K80" s="21"/>
      <c r="L80" s="21"/>
    </row>
    <row r="81" spans="1:12" ht="29" x14ac:dyDescent="0.35">
      <c r="A81" s="21" t="s">
        <v>1072</v>
      </c>
      <c r="B81" s="21" t="s">
        <v>1073</v>
      </c>
      <c r="C81" s="21" t="s">
        <v>1074</v>
      </c>
      <c r="D81" s="21"/>
      <c r="E81" s="21" t="s">
        <v>996</v>
      </c>
      <c r="F81" s="21"/>
      <c r="G81" s="21"/>
      <c r="H81" s="21"/>
      <c r="I81" s="21"/>
      <c r="J81" s="21"/>
      <c r="K81" s="21"/>
      <c r="L81" s="21"/>
    </row>
    <row r="82" spans="1:12" ht="29" x14ac:dyDescent="0.35">
      <c r="A82" s="21" t="s">
        <v>1072</v>
      </c>
      <c r="B82" s="21" t="s">
        <v>1075</v>
      </c>
      <c r="C82" s="21" t="s">
        <v>1076</v>
      </c>
      <c r="D82" s="21"/>
      <c r="E82" s="21" t="s">
        <v>996</v>
      </c>
      <c r="F82" s="21"/>
      <c r="G82" s="21"/>
      <c r="H82" s="21"/>
      <c r="I82" s="21"/>
      <c r="J82" s="21"/>
      <c r="K82" s="21"/>
      <c r="L82" s="21"/>
    </row>
    <row r="83" spans="1:12" ht="29" x14ac:dyDescent="0.35">
      <c r="A83" s="21" t="s">
        <v>1072</v>
      </c>
      <c r="B83" s="21" t="s">
        <v>1077</v>
      </c>
      <c r="C83" s="21" t="s">
        <v>1078</v>
      </c>
      <c r="D83" s="21"/>
      <c r="E83" s="21" t="s">
        <v>996</v>
      </c>
      <c r="F83" s="21"/>
      <c r="G83" s="21"/>
      <c r="H83" s="21"/>
      <c r="I83" s="21"/>
      <c r="J83" s="21"/>
      <c r="K83" s="21"/>
      <c r="L83" s="21"/>
    </row>
    <row r="84" spans="1:12" ht="29" x14ac:dyDescent="0.35">
      <c r="A84" s="21" t="s">
        <v>1072</v>
      </c>
      <c r="B84" s="21" t="s">
        <v>1079</v>
      </c>
      <c r="C84" s="21" t="s">
        <v>1080</v>
      </c>
      <c r="D84" s="21"/>
      <c r="E84" s="21" t="s">
        <v>996</v>
      </c>
      <c r="F84" s="21"/>
      <c r="G84" s="21"/>
      <c r="H84" s="21"/>
      <c r="I84" s="21"/>
      <c r="J84" s="21"/>
      <c r="K84" s="21"/>
      <c r="L84" s="21"/>
    </row>
    <row r="85" spans="1:12" ht="29" x14ac:dyDescent="0.35">
      <c r="A85" s="21" t="s">
        <v>1072</v>
      </c>
      <c r="B85" s="21" t="s">
        <v>1081</v>
      </c>
      <c r="C85" s="21" t="s">
        <v>1082</v>
      </c>
      <c r="D85" s="21"/>
      <c r="E85" s="21" t="s">
        <v>996</v>
      </c>
      <c r="F85" s="21"/>
      <c r="G85" s="21"/>
      <c r="H85" s="21"/>
      <c r="I85" s="21"/>
      <c r="J85" s="21"/>
      <c r="K85" s="21"/>
      <c r="L85" s="21"/>
    </row>
    <row r="86" spans="1:12" ht="29" x14ac:dyDescent="0.35">
      <c r="A86" s="21" t="s">
        <v>1072</v>
      </c>
      <c r="B86" s="21" t="s">
        <v>1083</v>
      </c>
      <c r="C86" s="21" t="s">
        <v>1084</v>
      </c>
      <c r="D86" s="21"/>
      <c r="E86" s="21" t="s">
        <v>996</v>
      </c>
      <c r="F86" s="21"/>
      <c r="G86" s="21"/>
      <c r="H86" s="21"/>
      <c r="I86" s="21"/>
      <c r="J86" s="21"/>
      <c r="K86" s="21"/>
      <c r="L86" s="21"/>
    </row>
    <row r="87" spans="1:12" ht="29" x14ac:dyDescent="0.35">
      <c r="A87" s="21" t="s">
        <v>1085</v>
      </c>
      <c r="B87" s="21" t="s">
        <v>1086</v>
      </c>
      <c r="C87" s="21" t="s">
        <v>1087</v>
      </c>
      <c r="D87" s="21"/>
      <c r="E87" s="21" t="s">
        <v>996</v>
      </c>
      <c r="F87" s="21"/>
      <c r="G87" s="21"/>
      <c r="H87" s="21"/>
      <c r="I87" s="21"/>
      <c r="J87" s="21"/>
      <c r="K87" s="21"/>
      <c r="L87" s="21"/>
    </row>
    <row r="88" spans="1:12" ht="29" x14ac:dyDescent="0.35">
      <c r="A88" s="21" t="s">
        <v>1085</v>
      </c>
      <c r="B88" s="21" t="s">
        <v>1088</v>
      </c>
      <c r="C88" s="21" t="s">
        <v>1089</v>
      </c>
      <c r="D88" s="21"/>
      <c r="E88" s="21" t="s">
        <v>996</v>
      </c>
      <c r="F88" s="21"/>
      <c r="G88" s="21"/>
      <c r="H88" s="21"/>
      <c r="I88" s="21"/>
      <c r="J88" s="21"/>
      <c r="K88" s="21"/>
      <c r="L88" s="21"/>
    </row>
    <row r="89" spans="1:12" ht="29" x14ac:dyDescent="0.35">
      <c r="A89" s="21" t="s">
        <v>1085</v>
      </c>
      <c r="B89" s="21" t="s">
        <v>1090</v>
      </c>
      <c r="C89" s="21" t="s">
        <v>1091</v>
      </c>
      <c r="D89" s="21"/>
      <c r="E89" s="21" t="s">
        <v>996</v>
      </c>
      <c r="F89" s="21"/>
      <c r="G89" s="21"/>
      <c r="H89" s="21"/>
      <c r="I89" s="21"/>
      <c r="J89" s="21"/>
      <c r="K89" s="21"/>
      <c r="L89" s="21"/>
    </row>
    <row r="90" spans="1:12" ht="29" x14ac:dyDescent="0.35">
      <c r="A90" s="21" t="s">
        <v>1085</v>
      </c>
      <c r="B90" s="21" t="s">
        <v>1092</v>
      </c>
      <c r="C90" s="21" t="s">
        <v>1093</v>
      </c>
      <c r="D90" s="21"/>
      <c r="E90" s="21" t="s">
        <v>996</v>
      </c>
      <c r="F90" s="21"/>
      <c r="G90" s="21"/>
      <c r="H90" s="21"/>
      <c r="I90" s="21"/>
      <c r="J90" s="21"/>
      <c r="K90" s="21"/>
      <c r="L90" s="21"/>
    </row>
    <row r="91" spans="1:12" ht="29" x14ac:dyDescent="0.35">
      <c r="A91" s="21" t="s">
        <v>1085</v>
      </c>
      <c r="B91" s="21" t="s">
        <v>1094</v>
      </c>
      <c r="C91" s="21" t="s">
        <v>1095</v>
      </c>
      <c r="D91" s="21"/>
      <c r="E91" s="21" t="s">
        <v>996</v>
      </c>
      <c r="F91" s="21"/>
      <c r="G91" s="21"/>
      <c r="H91" s="21"/>
      <c r="I91" s="21"/>
      <c r="J91" s="21"/>
      <c r="K91" s="21"/>
      <c r="L91" s="21"/>
    </row>
    <row r="92" spans="1:12" ht="29" x14ac:dyDescent="0.35">
      <c r="A92" s="21" t="s">
        <v>1085</v>
      </c>
      <c r="B92" s="21" t="s">
        <v>1096</v>
      </c>
      <c r="C92" s="21" t="s">
        <v>1097</v>
      </c>
      <c r="D92" s="21"/>
      <c r="E92" s="21" t="s">
        <v>996</v>
      </c>
      <c r="F92" s="21"/>
      <c r="G92" s="21"/>
      <c r="H92" s="21"/>
      <c r="I92" s="21"/>
      <c r="J92" s="21"/>
      <c r="K92" s="21"/>
      <c r="L92" s="21"/>
    </row>
    <row r="93" spans="1:12" ht="29" x14ac:dyDescent="0.35">
      <c r="A93" s="21" t="s">
        <v>1098</v>
      </c>
      <c r="B93" s="21" t="s">
        <v>1099</v>
      </c>
      <c r="C93" s="21" t="s">
        <v>1100</v>
      </c>
      <c r="D93" s="21"/>
      <c r="E93" s="21" t="s">
        <v>996</v>
      </c>
      <c r="F93" s="21"/>
      <c r="G93" s="21"/>
      <c r="H93" s="21"/>
      <c r="I93" s="21"/>
      <c r="J93" s="21"/>
      <c r="K93" s="21"/>
      <c r="L93" s="21"/>
    </row>
    <row r="94" spans="1:12" ht="29" x14ac:dyDescent="0.35">
      <c r="A94" s="21" t="s">
        <v>1098</v>
      </c>
      <c r="B94" s="21" t="s">
        <v>1101</v>
      </c>
      <c r="C94" s="21" t="s">
        <v>1102</v>
      </c>
      <c r="D94" s="21"/>
      <c r="E94" s="21" t="s">
        <v>996</v>
      </c>
      <c r="F94" s="21"/>
      <c r="G94" s="21"/>
      <c r="H94" s="21"/>
      <c r="I94" s="21"/>
      <c r="J94" s="21"/>
      <c r="K94" s="21"/>
      <c r="L94" s="21"/>
    </row>
    <row r="95" spans="1:12" ht="29" x14ac:dyDescent="0.35">
      <c r="A95" s="21" t="s">
        <v>1098</v>
      </c>
      <c r="B95" s="21" t="s">
        <v>1103</v>
      </c>
      <c r="C95" s="21" t="s">
        <v>1104</v>
      </c>
      <c r="D95" s="21"/>
      <c r="E95" s="21" t="s">
        <v>996</v>
      </c>
      <c r="F95" s="21"/>
      <c r="G95" s="21"/>
      <c r="H95" s="21"/>
      <c r="I95" s="21"/>
      <c r="J95" s="21"/>
      <c r="K95" s="21"/>
      <c r="L95" s="21"/>
    </row>
    <row r="96" spans="1:12" ht="29" x14ac:dyDescent="0.35">
      <c r="A96" s="21" t="s">
        <v>1098</v>
      </c>
      <c r="B96" s="21" t="s">
        <v>1105</v>
      </c>
      <c r="C96" s="21" t="s">
        <v>1106</v>
      </c>
      <c r="D96" s="21"/>
      <c r="E96" s="21" t="s">
        <v>996</v>
      </c>
      <c r="F96" s="21"/>
      <c r="G96" s="21"/>
      <c r="H96" s="21"/>
      <c r="I96" s="21"/>
      <c r="J96" s="21"/>
      <c r="K96" s="21"/>
      <c r="L96" s="21"/>
    </row>
    <row r="97" spans="1:12" ht="29" x14ac:dyDescent="0.35">
      <c r="A97" s="21" t="s">
        <v>1098</v>
      </c>
      <c r="B97" s="21" t="s">
        <v>1107</v>
      </c>
      <c r="C97" s="21" t="s">
        <v>1108</v>
      </c>
      <c r="D97" s="21"/>
      <c r="E97" s="21" t="s">
        <v>996</v>
      </c>
      <c r="F97" s="21"/>
      <c r="G97" s="21"/>
      <c r="H97" s="21"/>
      <c r="I97" s="21"/>
      <c r="J97" s="21"/>
      <c r="K97" s="21"/>
      <c r="L97" s="21"/>
    </row>
    <row r="98" spans="1:12" ht="29" x14ac:dyDescent="0.35">
      <c r="A98" s="21" t="s">
        <v>1098</v>
      </c>
      <c r="B98" s="21" t="s">
        <v>1109</v>
      </c>
      <c r="C98" s="21" t="s">
        <v>1110</v>
      </c>
      <c r="D98" s="21"/>
      <c r="E98" s="21" t="s">
        <v>996</v>
      </c>
      <c r="F98" s="21"/>
      <c r="G98" s="21"/>
      <c r="H98" s="21"/>
      <c r="I98" s="21"/>
      <c r="J98" s="21"/>
      <c r="K98" s="21"/>
      <c r="L98" s="21"/>
    </row>
    <row r="99" spans="1:12" ht="29" x14ac:dyDescent="0.35">
      <c r="A99" s="21" t="s">
        <v>1111</v>
      </c>
      <c r="B99" s="21" t="s">
        <v>1112</v>
      </c>
      <c r="C99" s="21" t="s">
        <v>1113</v>
      </c>
      <c r="D99" s="21"/>
      <c r="E99" s="21" t="s">
        <v>1114</v>
      </c>
      <c r="F99" s="21"/>
      <c r="G99" s="21"/>
      <c r="H99" s="21"/>
      <c r="I99" s="21"/>
      <c r="J99" s="21"/>
      <c r="K99" s="21"/>
      <c r="L99" s="21"/>
    </row>
    <row r="100" spans="1:12" ht="29" x14ac:dyDescent="0.35">
      <c r="A100" s="21" t="s">
        <v>1111</v>
      </c>
      <c r="B100" s="21" t="s">
        <v>1115</v>
      </c>
      <c r="C100" s="21" t="s">
        <v>1116</v>
      </c>
      <c r="D100" s="21"/>
      <c r="E100" s="21" t="s">
        <v>1114</v>
      </c>
      <c r="F100" s="21"/>
      <c r="G100" s="21"/>
      <c r="H100" s="21"/>
      <c r="I100" s="21"/>
      <c r="J100" s="21"/>
      <c r="K100" s="21"/>
      <c r="L100" s="21"/>
    </row>
    <row r="101" spans="1:12" ht="29" x14ac:dyDescent="0.35">
      <c r="A101" s="21" t="s">
        <v>1111</v>
      </c>
      <c r="B101" s="21" t="s">
        <v>1117</v>
      </c>
      <c r="C101" s="21" t="s">
        <v>1118</v>
      </c>
      <c r="D101" s="21"/>
      <c r="E101" s="21" t="s">
        <v>1114</v>
      </c>
      <c r="F101" s="21"/>
      <c r="G101" s="21"/>
      <c r="H101" s="21"/>
      <c r="I101" s="21"/>
      <c r="J101" s="21"/>
      <c r="K101" s="21"/>
      <c r="L101" s="21"/>
    </row>
    <row r="102" spans="1:12" ht="29" x14ac:dyDescent="0.35">
      <c r="A102" s="21" t="s">
        <v>1111</v>
      </c>
      <c r="B102" s="21" t="s">
        <v>1119</v>
      </c>
      <c r="C102" s="21" t="s">
        <v>1120</v>
      </c>
      <c r="D102" s="21"/>
      <c r="E102" s="21" t="s">
        <v>1114</v>
      </c>
      <c r="F102" s="21"/>
      <c r="G102" s="21"/>
      <c r="H102" s="21"/>
      <c r="I102" s="21"/>
      <c r="J102" s="21"/>
      <c r="K102" s="21"/>
      <c r="L102" s="21"/>
    </row>
    <row r="103" spans="1:12" ht="29" x14ac:dyDescent="0.35">
      <c r="A103" s="21" t="s">
        <v>1111</v>
      </c>
      <c r="B103" s="21" t="s">
        <v>1121</v>
      </c>
      <c r="C103" s="21" t="s">
        <v>1122</v>
      </c>
      <c r="D103" s="21"/>
      <c r="E103" s="21" t="s">
        <v>1114</v>
      </c>
      <c r="F103" s="21"/>
      <c r="G103" s="21"/>
      <c r="H103" s="21"/>
      <c r="I103" s="21"/>
      <c r="J103" s="21"/>
      <c r="K103" s="21"/>
      <c r="L103" s="21"/>
    </row>
    <row r="104" spans="1:12" ht="29" x14ac:dyDescent="0.35">
      <c r="A104" s="21" t="s">
        <v>1111</v>
      </c>
      <c r="B104" s="21" t="s">
        <v>1123</v>
      </c>
      <c r="C104" s="21" t="s">
        <v>1124</v>
      </c>
      <c r="D104" s="21"/>
      <c r="E104" s="21" t="s">
        <v>1114</v>
      </c>
      <c r="F104" s="21"/>
      <c r="G104" s="21"/>
      <c r="H104" s="21"/>
      <c r="I104" s="21"/>
      <c r="J104" s="21"/>
      <c r="K104" s="21"/>
      <c r="L104" s="21"/>
    </row>
    <row r="105" spans="1:12" ht="29" x14ac:dyDescent="0.35">
      <c r="A105" s="21" t="s">
        <v>1125</v>
      </c>
      <c r="B105" s="21" t="s">
        <v>1126</v>
      </c>
      <c r="C105" s="21" t="s">
        <v>1127</v>
      </c>
      <c r="D105" s="21"/>
      <c r="E105" s="21" t="s">
        <v>1114</v>
      </c>
      <c r="F105" s="21"/>
      <c r="G105" s="21"/>
      <c r="H105" s="21"/>
      <c r="I105" s="21"/>
      <c r="J105" s="21"/>
      <c r="K105" s="21"/>
      <c r="L105" s="21"/>
    </row>
    <row r="106" spans="1:12" ht="29" x14ac:dyDescent="0.35">
      <c r="A106" s="21" t="s">
        <v>1125</v>
      </c>
      <c r="B106" s="21" t="s">
        <v>1128</v>
      </c>
      <c r="C106" s="21" t="s">
        <v>1129</v>
      </c>
      <c r="D106" s="21"/>
      <c r="E106" s="21" t="s">
        <v>1114</v>
      </c>
      <c r="F106" s="21"/>
      <c r="G106" s="21"/>
      <c r="H106" s="21"/>
      <c r="I106" s="21"/>
      <c r="J106" s="21"/>
      <c r="K106" s="21"/>
      <c r="L106" s="21"/>
    </row>
    <row r="107" spans="1:12" ht="43.5" x14ac:dyDescent="0.35">
      <c r="A107" s="21" t="s">
        <v>1125</v>
      </c>
      <c r="B107" s="21" t="s">
        <v>1130</v>
      </c>
      <c r="C107" s="21" t="s">
        <v>1131</v>
      </c>
      <c r="D107" s="21"/>
      <c r="E107" s="21" t="s">
        <v>1114</v>
      </c>
      <c r="F107" s="21"/>
      <c r="G107" s="21"/>
      <c r="H107" s="21"/>
      <c r="I107" s="21"/>
      <c r="J107" s="21"/>
      <c r="K107" s="21"/>
      <c r="L107" s="21"/>
    </row>
    <row r="108" spans="1:12" ht="29" x14ac:dyDescent="0.35">
      <c r="A108" s="21" t="s">
        <v>1125</v>
      </c>
      <c r="B108" s="21" t="s">
        <v>1132</v>
      </c>
      <c r="C108" s="21" t="s">
        <v>1133</v>
      </c>
      <c r="D108" s="21"/>
      <c r="E108" s="21" t="s">
        <v>1114</v>
      </c>
      <c r="F108" s="21"/>
      <c r="G108" s="21"/>
      <c r="H108" s="21"/>
      <c r="I108" s="21"/>
      <c r="J108" s="21"/>
      <c r="K108" s="21"/>
      <c r="L108" s="21"/>
    </row>
    <row r="109" spans="1:12" ht="29" x14ac:dyDescent="0.35">
      <c r="A109" s="21" t="s">
        <v>1125</v>
      </c>
      <c r="B109" s="21" t="s">
        <v>1134</v>
      </c>
      <c r="C109" s="21" t="s">
        <v>1135</v>
      </c>
      <c r="D109" s="21"/>
      <c r="E109" s="21" t="s">
        <v>1114</v>
      </c>
      <c r="F109" s="21"/>
      <c r="G109" s="21"/>
      <c r="H109" s="21"/>
      <c r="I109" s="21"/>
      <c r="J109" s="21"/>
      <c r="K109" s="21"/>
      <c r="L109" s="21"/>
    </row>
    <row r="110" spans="1:12" ht="29" x14ac:dyDescent="0.35">
      <c r="A110" s="21" t="s">
        <v>1125</v>
      </c>
      <c r="B110" s="21" t="s">
        <v>1136</v>
      </c>
      <c r="C110" s="21" t="s">
        <v>1137</v>
      </c>
      <c r="D110" s="21"/>
      <c r="E110" s="21" t="s">
        <v>1114</v>
      </c>
      <c r="F110" s="21"/>
      <c r="G110" s="21"/>
      <c r="H110" s="21"/>
      <c r="I110" s="21"/>
      <c r="J110" s="21"/>
      <c r="K110" s="21"/>
      <c r="L110" s="21"/>
    </row>
    <row r="111" spans="1:12" ht="29" x14ac:dyDescent="0.35">
      <c r="A111" s="21" t="s">
        <v>1138</v>
      </c>
      <c r="B111" s="21" t="s">
        <v>1139</v>
      </c>
      <c r="C111" s="21" t="s">
        <v>1140</v>
      </c>
      <c r="D111" s="21"/>
      <c r="E111" s="21" t="s">
        <v>996</v>
      </c>
      <c r="F111" s="21"/>
      <c r="G111" s="21"/>
      <c r="H111" s="21"/>
      <c r="I111" s="21"/>
      <c r="J111" s="21"/>
      <c r="K111" s="21"/>
      <c r="L111" s="21"/>
    </row>
    <row r="112" spans="1:12" ht="29" x14ac:dyDescent="0.35">
      <c r="A112" s="21" t="s">
        <v>1138</v>
      </c>
      <c r="B112" s="21" t="s">
        <v>1141</v>
      </c>
      <c r="C112" s="21" t="s">
        <v>1142</v>
      </c>
      <c r="D112" s="21"/>
      <c r="E112" s="21" t="s">
        <v>996</v>
      </c>
      <c r="F112" s="21"/>
      <c r="G112" s="21"/>
      <c r="H112" s="21"/>
      <c r="I112" s="21"/>
      <c r="J112" s="21"/>
      <c r="K112" s="21"/>
      <c r="L112" s="21"/>
    </row>
    <row r="113" spans="1:12" ht="29" x14ac:dyDescent="0.35">
      <c r="A113" s="21" t="s">
        <v>1138</v>
      </c>
      <c r="B113" s="21" t="s">
        <v>1143</v>
      </c>
      <c r="C113" s="21" t="s">
        <v>1144</v>
      </c>
      <c r="D113" s="21"/>
      <c r="E113" s="21" t="s">
        <v>996</v>
      </c>
      <c r="F113" s="21"/>
      <c r="G113" s="21"/>
      <c r="H113" s="21"/>
      <c r="I113" s="21"/>
      <c r="J113" s="21"/>
      <c r="K113" s="21"/>
      <c r="L113" s="21"/>
    </row>
    <row r="114" spans="1:12" ht="29" x14ac:dyDescent="0.35">
      <c r="A114" s="21" t="s">
        <v>1138</v>
      </c>
      <c r="B114" s="21" t="s">
        <v>1145</v>
      </c>
      <c r="C114" s="21" t="s">
        <v>1146</v>
      </c>
      <c r="D114" s="21"/>
      <c r="E114" s="21" t="s">
        <v>996</v>
      </c>
      <c r="F114" s="21"/>
      <c r="G114" s="21"/>
      <c r="H114" s="21"/>
      <c r="I114" s="21"/>
      <c r="J114" s="21"/>
      <c r="K114" s="21"/>
      <c r="L114" s="21"/>
    </row>
    <row r="115" spans="1:12" ht="29" x14ac:dyDescent="0.35">
      <c r="A115" s="21" t="s">
        <v>1138</v>
      </c>
      <c r="B115" s="21" t="s">
        <v>1147</v>
      </c>
      <c r="C115" s="21" t="s">
        <v>1148</v>
      </c>
      <c r="D115" s="21"/>
      <c r="E115" s="21" t="s">
        <v>996</v>
      </c>
      <c r="F115" s="21"/>
      <c r="G115" s="21"/>
      <c r="H115" s="21"/>
      <c r="I115" s="21"/>
      <c r="J115" s="21"/>
      <c r="K115" s="21"/>
      <c r="L115" s="21"/>
    </row>
    <row r="116" spans="1:12" ht="29" x14ac:dyDescent="0.35">
      <c r="A116" s="21" t="s">
        <v>1138</v>
      </c>
      <c r="B116" s="21" t="s">
        <v>1149</v>
      </c>
      <c r="C116" s="21" t="s">
        <v>1150</v>
      </c>
      <c r="D116" s="21"/>
      <c r="E116" s="21" t="s">
        <v>996</v>
      </c>
      <c r="F116" s="21"/>
      <c r="G116" s="21"/>
      <c r="H116" s="21"/>
      <c r="I116" s="21"/>
      <c r="J116" s="21"/>
      <c r="K116" s="21"/>
      <c r="L116" s="21"/>
    </row>
    <row r="117" spans="1:12" ht="29" x14ac:dyDescent="0.35">
      <c r="A117" s="21" t="s">
        <v>1151</v>
      </c>
      <c r="B117" s="21" t="s">
        <v>1152</v>
      </c>
      <c r="C117" s="21" t="s">
        <v>1153</v>
      </c>
      <c r="D117" s="21"/>
      <c r="E117" s="21" t="s">
        <v>996</v>
      </c>
      <c r="F117" s="21"/>
      <c r="G117" s="21"/>
      <c r="H117" s="21"/>
      <c r="I117" s="21"/>
      <c r="J117" s="21"/>
      <c r="K117" s="21"/>
      <c r="L117" s="21"/>
    </row>
    <row r="118" spans="1:12" ht="29" x14ac:dyDescent="0.35">
      <c r="A118" s="21" t="s">
        <v>1151</v>
      </c>
      <c r="B118" s="21" t="s">
        <v>1154</v>
      </c>
      <c r="C118" s="21" t="s">
        <v>1155</v>
      </c>
      <c r="D118" s="21"/>
      <c r="E118" s="21" t="s">
        <v>996</v>
      </c>
      <c r="F118" s="21"/>
      <c r="G118" s="21"/>
      <c r="H118" s="21"/>
      <c r="I118" s="21"/>
      <c r="J118" s="21"/>
      <c r="K118" s="21"/>
      <c r="L118" s="21"/>
    </row>
    <row r="119" spans="1:12" ht="29" x14ac:dyDescent="0.35">
      <c r="A119" s="21" t="s">
        <v>1151</v>
      </c>
      <c r="B119" s="21" t="s">
        <v>1156</v>
      </c>
      <c r="C119" s="21" t="s">
        <v>1157</v>
      </c>
      <c r="D119" s="21"/>
      <c r="E119" s="21" t="s">
        <v>996</v>
      </c>
      <c r="F119" s="21"/>
      <c r="G119" s="21"/>
      <c r="H119" s="21"/>
      <c r="I119" s="21"/>
      <c r="J119" s="21"/>
      <c r="K119" s="21"/>
      <c r="L119" s="21"/>
    </row>
    <row r="120" spans="1:12" ht="29" x14ac:dyDescent="0.35">
      <c r="A120" s="21" t="s">
        <v>1151</v>
      </c>
      <c r="B120" s="21" t="s">
        <v>1158</v>
      </c>
      <c r="C120" s="21" t="s">
        <v>1159</v>
      </c>
      <c r="D120" s="21"/>
      <c r="E120" s="21" t="s">
        <v>996</v>
      </c>
      <c r="F120" s="21"/>
      <c r="G120" s="21"/>
      <c r="H120" s="21"/>
      <c r="I120" s="21"/>
      <c r="J120" s="21"/>
      <c r="K120" s="21"/>
      <c r="L120" s="21"/>
    </row>
    <row r="121" spans="1:12" ht="29" x14ac:dyDescent="0.35">
      <c r="A121" s="21" t="s">
        <v>1151</v>
      </c>
      <c r="B121" s="21" t="s">
        <v>1160</v>
      </c>
      <c r="C121" s="21" t="s">
        <v>1161</v>
      </c>
      <c r="D121" s="21"/>
      <c r="E121" s="21" t="s">
        <v>996</v>
      </c>
      <c r="F121" s="21"/>
      <c r="G121" s="21"/>
      <c r="H121" s="21"/>
      <c r="I121" s="21"/>
      <c r="J121" s="21"/>
      <c r="K121" s="21"/>
      <c r="L121" s="21"/>
    </row>
    <row r="122" spans="1:12" ht="29" x14ac:dyDescent="0.35">
      <c r="A122" s="21" t="s">
        <v>1151</v>
      </c>
      <c r="B122" s="21" t="s">
        <v>1162</v>
      </c>
      <c r="C122" s="21" t="s">
        <v>1163</v>
      </c>
      <c r="D122" s="21"/>
      <c r="E122" s="21" t="s">
        <v>996</v>
      </c>
      <c r="F122" s="21"/>
      <c r="G122" s="21"/>
      <c r="H122" s="21"/>
      <c r="I122" s="21"/>
      <c r="J122" s="21"/>
      <c r="K122" s="21"/>
      <c r="L122" s="21"/>
    </row>
    <row r="123" spans="1:12" ht="29" x14ac:dyDescent="0.35">
      <c r="A123" s="21" t="s">
        <v>432</v>
      </c>
      <c r="B123" s="21" t="s">
        <v>1164</v>
      </c>
      <c r="C123" s="21" t="s">
        <v>1165</v>
      </c>
      <c r="D123" s="21"/>
      <c r="E123" s="21" t="s">
        <v>1114</v>
      </c>
      <c r="F123" s="21"/>
      <c r="G123" s="21"/>
      <c r="H123" s="21"/>
      <c r="I123" s="21"/>
      <c r="J123" s="21"/>
      <c r="K123" s="21"/>
      <c r="L123" s="21"/>
    </row>
    <row r="124" spans="1:12" ht="29" x14ac:dyDescent="0.35">
      <c r="A124" s="21" t="s">
        <v>432</v>
      </c>
      <c r="B124" s="21" t="s">
        <v>1166</v>
      </c>
      <c r="C124" s="21" t="s">
        <v>1167</v>
      </c>
      <c r="D124" s="21"/>
      <c r="E124" s="21" t="s">
        <v>1114</v>
      </c>
      <c r="F124" s="21"/>
      <c r="G124" s="21"/>
      <c r="H124" s="21"/>
      <c r="I124" s="21"/>
      <c r="J124" s="21"/>
      <c r="K124" s="21"/>
      <c r="L124" s="21"/>
    </row>
    <row r="125" spans="1:12" ht="29" x14ac:dyDescent="0.35">
      <c r="A125" s="21" t="s">
        <v>432</v>
      </c>
      <c r="B125" s="21" t="s">
        <v>1168</v>
      </c>
      <c r="C125" s="21" t="s">
        <v>1169</v>
      </c>
      <c r="D125" s="21"/>
      <c r="E125" s="21" t="s">
        <v>1114</v>
      </c>
      <c r="F125" s="21"/>
      <c r="G125" s="21"/>
      <c r="H125" s="21"/>
      <c r="I125" s="21"/>
      <c r="J125" s="21"/>
      <c r="K125" s="21"/>
      <c r="L125" s="21"/>
    </row>
    <row r="126" spans="1:12" ht="29" x14ac:dyDescent="0.35">
      <c r="A126" s="21" t="s">
        <v>432</v>
      </c>
      <c r="B126" s="21" t="s">
        <v>1170</v>
      </c>
      <c r="C126" s="21" t="s">
        <v>1171</v>
      </c>
      <c r="D126" s="21"/>
      <c r="E126" s="21" t="s">
        <v>1114</v>
      </c>
      <c r="F126" s="21"/>
      <c r="G126" s="21"/>
      <c r="H126" s="21"/>
      <c r="I126" s="21"/>
      <c r="J126" s="21"/>
      <c r="K126" s="21"/>
      <c r="L126" s="21"/>
    </row>
    <row r="127" spans="1:12" ht="29" x14ac:dyDescent="0.35">
      <c r="A127" s="21" t="s">
        <v>432</v>
      </c>
      <c r="B127" s="21" t="s">
        <v>1172</v>
      </c>
      <c r="C127" s="21" t="s">
        <v>1173</v>
      </c>
      <c r="D127" s="21"/>
      <c r="E127" s="21" t="s">
        <v>1114</v>
      </c>
      <c r="F127" s="21"/>
      <c r="G127" s="21"/>
      <c r="H127" s="21"/>
      <c r="I127" s="21"/>
      <c r="J127" s="21"/>
      <c r="K127" s="21"/>
      <c r="L127" s="21"/>
    </row>
    <row r="128" spans="1:12" ht="29" x14ac:dyDescent="0.35">
      <c r="A128" s="21" t="s">
        <v>432</v>
      </c>
      <c r="B128" s="21" t="s">
        <v>1174</v>
      </c>
      <c r="C128" s="21" t="s">
        <v>1175</v>
      </c>
      <c r="D128" s="21"/>
      <c r="E128" s="21" t="s">
        <v>1114</v>
      </c>
      <c r="F128" s="21"/>
      <c r="G128" s="21"/>
      <c r="H128" s="21"/>
      <c r="I128" s="21"/>
      <c r="J128" s="21"/>
      <c r="K128" s="21"/>
      <c r="L128" s="21"/>
    </row>
    <row r="129" spans="1:12" ht="29" x14ac:dyDescent="0.35">
      <c r="A129" s="21" t="s">
        <v>1176</v>
      </c>
      <c r="B129" s="21" t="s">
        <v>1177</v>
      </c>
      <c r="C129" s="21" t="s">
        <v>1178</v>
      </c>
      <c r="D129" s="21"/>
      <c r="E129" s="21" t="s">
        <v>996</v>
      </c>
      <c r="F129" s="21"/>
      <c r="G129" s="21"/>
      <c r="H129" s="21"/>
      <c r="I129" s="21"/>
      <c r="J129" s="21"/>
      <c r="K129" s="21"/>
      <c r="L129" s="21"/>
    </row>
    <row r="130" spans="1:12" ht="29" x14ac:dyDescent="0.35">
      <c r="A130" s="21" t="s">
        <v>1176</v>
      </c>
      <c r="B130" s="21" t="s">
        <v>1179</v>
      </c>
      <c r="C130" s="21" t="s">
        <v>1180</v>
      </c>
      <c r="D130" s="21"/>
      <c r="E130" s="21" t="s">
        <v>996</v>
      </c>
      <c r="F130" s="21"/>
      <c r="G130" s="21"/>
      <c r="H130" s="21"/>
      <c r="I130" s="21"/>
      <c r="J130" s="21"/>
      <c r="K130" s="21"/>
      <c r="L130" s="21"/>
    </row>
    <row r="131" spans="1:12" ht="29" x14ac:dyDescent="0.35">
      <c r="A131" s="21" t="s">
        <v>1176</v>
      </c>
      <c r="B131" s="21" t="s">
        <v>1181</v>
      </c>
      <c r="C131" s="21" t="s">
        <v>1182</v>
      </c>
      <c r="D131" s="21"/>
      <c r="E131" s="21" t="s">
        <v>996</v>
      </c>
      <c r="F131" s="21"/>
      <c r="G131" s="21"/>
      <c r="H131" s="21"/>
      <c r="I131" s="21"/>
      <c r="J131" s="21"/>
      <c r="K131" s="21"/>
      <c r="L131" s="21"/>
    </row>
    <row r="132" spans="1:12" ht="29" x14ac:dyDescent="0.35">
      <c r="A132" s="21" t="s">
        <v>1176</v>
      </c>
      <c r="B132" s="21" t="s">
        <v>1183</v>
      </c>
      <c r="C132" s="21" t="s">
        <v>1184</v>
      </c>
      <c r="D132" s="21"/>
      <c r="E132" s="21" t="s">
        <v>996</v>
      </c>
      <c r="F132" s="21"/>
      <c r="G132" s="21"/>
      <c r="H132" s="21"/>
      <c r="I132" s="21"/>
      <c r="J132" s="21"/>
      <c r="K132" s="21"/>
      <c r="L132" s="21"/>
    </row>
    <row r="133" spans="1:12" ht="29" x14ac:dyDescent="0.35">
      <c r="A133" s="21" t="s">
        <v>1176</v>
      </c>
      <c r="B133" s="21" t="s">
        <v>1185</v>
      </c>
      <c r="C133" s="21" t="s">
        <v>1186</v>
      </c>
      <c r="D133" s="21"/>
      <c r="E133" s="21" t="s">
        <v>996</v>
      </c>
      <c r="F133" s="21"/>
      <c r="G133" s="21"/>
      <c r="H133" s="21"/>
      <c r="I133" s="21"/>
      <c r="J133" s="21"/>
      <c r="K133" s="21"/>
      <c r="L133" s="21"/>
    </row>
    <row r="134" spans="1:12" ht="29" x14ac:dyDescent="0.35">
      <c r="A134" s="21" t="s">
        <v>1176</v>
      </c>
      <c r="B134" s="21" t="s">
        <v>1187</v>
      </c>
      <c r="C134" s="21" t="s">
        <v>1188</v>
      </c>
      <c r="D134" s="21"/>
      <c r="E134" s="21" t="s">
        <v>996</v>
      </c>
      <c r="F134" s="21"/>
      <c r="G134" s="21"/>
      <c r="H134" s="21"/>
      <c r="I134" s="21"/>
      <c r="J134" s="21"/>
      <c r="K134" s="21"/>
      <c r="L134" s="21"/>
    </row>
    <row r="135" spans="1:12" ht="29" x14ac:dyDescent="0.35">
      <c r="A135" s="21" t="s">
        <v>1189</v>
      </c>
      <c r="B135" s="21" t="s">
        <v>1190</v>
      </c>
      <c r="C135" s="21" t="s">
        <v>1191</v>
      </c>
      <c r="D135" s="21"/>
      <c r="E135" s="21" t="s">
        <v>996</v>
      </c>
      <c r="F135" s="21"/>
      <c r="G135" s="21"/>
      <c r="H135" s="21"/>
      <c r="I135" s="21"/>
      <c r="J135" s="21"/>
      <c r="K135" s="21"/>
      <c r="L135" s="21"/>
    </row>
    <row r="136" spans="1:12" ht="29" x14ac:dyDescent="0.35">
      <c r="A136" s="21" t="s">
        <v>1189</v>
      </c>
      <c r="B136" s="21" t="s">
        <v>1192</v>
      </c>
      <c r="C136" s="21" t="s">
        <v>1193</v>
      </c>
      <c r="D136" s="21"/>
      <c r="E136" s="21" t="s">
        <v>996</v>
      </c>
      <c r="F136" s="21"/>
      <c r="G136" s="21"/>
      <c r="H136" s="21"/>
      <c r="I136" s="21"/>
      <c r="J136" s="21"/>
      <c r="K136" s="21"/>
      <c r="L136" s="21"/>
    </row>
    <row r="137" spans="1:12" ht="29" x14ac:dyDescent="0.35">
      <c r="A137" s="21" t="s">
        <v>1189</v>
      </c>
      <c r="B137" s="21" t="s">
        <v>1194</v>
      </c>
      <c r="C137" s="21" t="s">
        <v>1195</v>
      </c>
      <c r="D137" s="21"/>
      <c r="E137" s="21" t="s">
        <v>996</v>
      </c>
      <c r="F137" s="21"/>
      <c r="G137" s="21"/>
      <c r="H137" s="21"/>
      <c r="I137" s="21"/>
      <c r="J137" s="21"/>
      <c r="K137" s="21"/>
      <c r="L137" s="21"/>
    </row>
    <row r="138" spans="1:12" ht="29" x14ac:dyDescent="0.35">
      <c r="A138" s="21" t="s">
        <v>1189</v>
      </c>
      <c r="B138" s="21" t="s">
        <v>1196</v>
      </c>
      <c r="C138" s="21" t="s">
        <v>1197</v>
      </c>
      <c r="D138" s="21"/>
      <c r="E138" s="21" t="s">
        <v>996</v>
      </c>
      <c r="F138" s="21"/>
      <c r="G138" s="21"/>
      <c r="H138" s="21"/>
      <c r="I138" s="21"/>
      <c r="J138" s="21"/>
      <c r="K138" s="21"/>
      <c r="L138" s="21"/>
    </row>
    <row r="139" spans="1:12" ht="29" x14ac:dyDescent="0.35">
      <c r="A139" s="21" t="s">
        <v>1189</v>
      </c>
      <c r="B139" s="21" t="s">
        <v>1198</v>
      </c>
      <c r="C139" s="21" t="s">
        <v>1199</v>
      </c>
      <c r="D139" s="21"/>
      <c r="E139" s="21" t="s">
        <v>996</v>
      </c>
      <c r="F139" s="21"/>
      <c r="G139" s="21"/>
      <c r="H139" s="21"/>
      <c r="I139" s="21"/>
      <c r="J139" s="21"/>
      <c r="K139" s="21"/>
      <c r="L139" s="21"/>
    </row>
    <row r="140" spans="1:12" ht="29" x14ac:dyDescent="0.35">
      <c r="A140" s="21" t="s">
        <v>1189</v>
      </c>
      <c r="B140" s="21" t="s">
        <v>1200</v>
      </c>
      <c r="C140" s="21" t="s">
        <v>1201</v>
      </c>
      <c r="D140" s="21"/>
      <c r="E140" s="21" t="s">
        <v>996</v>
      </c>
      <c r="F140" s="21"/>
      <c r="G140" s="21"/>
      <c r="H140" s="21"/>
      <c r="I140" s="21"/>
      <c r="J140" s="21"/>
      <c r="K140" s="21"/>
      <c r="L140" s="21"/>
    </row>
    <row r="141" spans="1:12" ht="29" x14ac:dyDescent="0.35">
      <c r="A141" s="21" t="s">
        <v>1202</v>
      </c>
      <c r="B141" s="21" t="s">
        <v>1203</v>
      </c>
      <c r="C141" s="21" t="s">
        <v>1204</v>
      </c>
      <c r="D141" s="21"/>
      <c r="E141" s="21" t="s">
        <v>996</v>
      </c>
      <c r="F141" s="21"/>
      <c r="G141" s="21"/>
      <c r="H141" s="21"/>
      <c r="I141" s="21"/>
      <c r="J141" s="21"/>
      <c r="K141" s="21"/>
      <c r="L141" s="21"/>
    </row>
    <row r="142" spans="1:12" ht="29" x14ac:dyDescent="0.35">
      <c r="A142" s="21" t="s">
        <v>1202</v>
      </c>
      <c r="B142" s="21" t="s">
        <v>1205</v>
      </c>
      <c r="C142" s="21" t="s">
        <v>1206</v>
      </c>
      <c r="D142" s="21"/>
      <c r="E142" s="21" t="s">
        <v>996</v>
      </c>
      <c r="F142" s="21"/>
      <c r="G142" s="21"/>
      <c r="H142" s="21"/>
      <c r="I142" s="21"/>
      <c r="J142" s="21"/>
      <c r="K142" s="21"/>
      <c r="L142" s="21"/>
    </row>
    <row r="143" spans="1:12" ht="29" x14ac:dyDescent="0.35">
      <c r="A143" s="21" t="s">
        <v>1202</v>
      </c>
      <c r="B143" s="21" t="s">
        <v>1207</v>
      </c>
      <c r="C143" s="21" t="s">
        <v>1208</v>
      </c>
      <c r="D143" s="21"/>
      <c r="E143" s="21" t="s">
        <v>996</v>
      </c>
      <c r="F143" s="21"/>
      <c r="G143" s="21"/>
      <c r="H143" s="21"/>
      <c r="I143" s="21"/>
      <c r="J143" s="21"/>
      <c r="K143" s="21"/>
      <c r="L143" s="21"/>
    </row>
    <row r="144" spans="1:12" ht="29" x14ac:dyDescent="0.35">
      <c r="A144" s="21" t="s">
        <v>1202</v>
      </c>
      <c r="B144" s="21" t="s">
        <v>1209</v>
      </c>
      <c r="C144" s="21" t="s">
        <v>1210</v>
      </c>
      <c r="D144" s="21"/>
      <c r="E144" s="21" t="s">
        <v>996</v>
      </c>
      <c r="F144" s="21"/>
      <c r="G144" s="21"/>
      <c r="H144" s="21"/>
      <c r="I144" s="21"/>
      <c r="J144" s="21"/>
      <c r="K144" s="21"/>
      <c r="L144" s="21"/>
    </row>
    <row r="145" spans="1:12" ht="29" x14ac:dyDescent="0.35">
      <c r="A145" s="21" t="s">
        <v>1202</v>
      </c>
      <c r="B145" s="21" t="s">
        <v>1211</v>
      </c>
      <c r="C145" s="21" t="s">
        <v>1212</v>
      </c>
      <c r="D145" s="21"/>
      <c r="E145" s="21" t="s">
        <v>996</v>
      </c>
      <c r="F145" s="21"/>
      <c r="G145" s="21"/>
      <c r="H145" s="21"/>
      <c r="I145" s="21"/>
      <c r="J145" s="21"/>
      <c r="K145" s="21"/>
      <c r="L145" s="21"/>
    </row>
    <row r="146" spans="1:12" ht="29" x14ac:dyDescent="0.35">
      <c r="A146" s="21" t="s">
        <v>1202</v>
      </c>
      <c r="B146" s="21" t="s">
        <v>1213</v>
      </c>
      <c r="C146" s="21" t="s">
        <v>1214</v>
      </c>
      <c r="D146" s="21"/>
      <c r="E146" s="21" t="s">
        <v>996</v>
      </c>
      <c r="F146" s="21"/>
      <c r="G146" s="21"/>
      <c r="H146" s="21"/>
      <c r="I146" s="21"/>
      <c r="J146" s="21"/>
      <c r="K146" s="21"/>
      <c r="L146" s="21"/>
    </row>
    <row r="147" spans="1:12" ht="29" x14ac:dyDescent="0.35">
      <c r="A147" s="21" t="s">
        <v>1215</v>
      </c>
      <c r="B147" s="21" t="s">
        <v>1216</v>
      </c>
      <c r="C147" s="21" t="s">
        <v>1217</v>
      </c>
      <c r="D147" s="21"/>
      <c r="E147" s="21" t="s">
        <v>996</v>
      </c>
      <c r="F147" s="21"/>
      <c r="G147" s="21"/>
      <c r="H147" s="21"/>
      <c r="I147" s="21"/>
      <c r="J147" s="21"/>
      <c r="K147" s="21"/>
      <c r="L147" s="21"/>
    </row>
    <row r="148" spans="1:12" ht="29" x14ac:dyDescent="0.35">
      <c r="A148" s="21" t="s">
        <v>1215</v>
      </c>
      <c r="B148" s="21" t="s">
        <v>1218</v>
      </c>
      <c r="C148" s="21" t="s">
        <v>1219</v>
      </c>
      <c r="D148" s="21"/>
      <c r="E148" s="21" t="s">
        <v>996</v>
      </c>
      <c r="F148" s="21"/>
      <c r="G148" s="21"/>
      <c r="H148" s="21"/>
      <c r="I148" s="21"/>
      <c r="J148" s="21"/>
      <c r="K148" s="21"/>
      <c r="L148" s="21"/>
    </row>
    <row r="149" spans="1:12" ht="29" x14ac:dyDescent="0.35">
      <c r="A149" s="21" t="s">
        <v>1215</v>
      </c>
      <c r="B149" s="21" t="s">
        <v>1220</v>
      </c>
      <c r="C149" s="21" t="s">
        <v>1221</v>
      </c>
      <c r="D149" s="21"/>
      <c r="E149" s="21" t="s">
        <v>996</v>
      </c>
      <c r="F149" s="21"/>
      <c r="G149" s="21"/>
      <c r="H149" s="21"/>
      <c r="I149" s="21"/>
      <c r="J149" s="21"/>
      <c r="K149" s="21"/>
      <c r="L149" s="21"/>
    </row>
    <row r="150" spans="1:12" ht="29" x14ac:dyDescent="0.35">
      <c r="A150" s="21" t="s">
        <v>1215</v>
      </c>
      <c r="B150" s="21" t="s">
        <v>1222</v>
      </c>
      <c r="C150" s="21" t="s">
        <v>1223</v>
      </c>
      <c r="D150" s="21"/>
      <c r="E150" s="21" t="s">
        <v>996</v>
      </c>
      <c r="F150" s="21"/>
      <c r="G150" s="21"/>
      <c r="H150" s="21"/>
      <c r="I150" s="21"/>
      <c r="J150" s="21"/>
      <c r="K150" s="21"/>
      <c r="L150" s="21"/>
    </row>
    <row r="151" spans="1:12" ht="24" customHeight="1" x14ac:dyDescent="0.35">
      <c r="A151" s="133" t="s">
        <v>1215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</row>
    <row r="152" spans="1:12" x14ac:dyDescent="0.35">
      <c r="A152" s="21" t="s">
        <v>1215</v>
      </c>
      <c r="B152" s="21" t="s">
        <v>1224</v>
      </c>
      <c r="C152" s="21" t="s">
        <v>1225</v>
      </c>
      <c r="D152" s="21"/>
      <c r="E152" s="21" t="s">
        <v>996</v>
      </c>
      <c r="F152" s="21"/>
      <c r="G152" s="21"/>
      <c r="H152" s="21"/>
      <c r="I152" s="21"/>
      <c r="J152" s="21"/>
      <c r="K152" s="21"/>
      <c r="L152" s="21"/>
    </row>
    <row r="158" spans="1:12" x14ac:dyDescent="0.35">
      <c r="A158" s="98" t="s">
        <v>1226</v>
      </c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</row>
    <row r="160" spans="1:12" ht="29" x14ac:dyDescent="0.35">
      <c r="A160" s="100" t="s">
        <v>1227</v>
      </c>
      <c r="B160" s="100" t="s">
        <v>1228</v>
      </c>
      <c r="C160" s="100" t="s">
        <v>1229</v>
      </c>
      <c r="D160" s="100" t="s">
        <v>389</v>
      </c>
      <c r="E160" s="100" t="s">
        <v>870</v>
      </c>
      <c r="F160" s="100" t="s">
        <v>390</v>
      </c>
      <c r="G160" s="100" t="s">
        <v>990</v>
      </c>
      <c r="H160" s="100" t="s">
        <v>1230</v>
      </c>
      <c r="I160" s="100"/>
      <c r="J160" s="100"/>
      <c r="K160" s="100"/>
      <c r="L160" s="100"/>
    </row>
    <row r="161" spans="1:8" x14ac:dyDescent="0.35">
      <c r="A161" s="21" t="s">
        <v>1231</v>
      </c>
      <c r="B161" s="21"/>
      <c r="C161" s="21"/>
      <c r="D161" s="21"/>
      <c r="E161" s="21"/>
      <c r="F161" s="21"/>
      <c r="G161" s="21"/>
      <c r="H161" s="21"/>
    </row>
    <row r="162" spans="1:8" x14ac:dyDescent="0.35">
      <c r="A162" s="21" t="s">
        <v>1232</v>
      </c>
      <c r="B162" s="21"/>
      <c r="C162" s="21"/>
      <c r="D162" s="21"/>
      <c r="E162" s="21"/>
      <c r="F162" s="21"/>
      <c r="G162" s="21"/>
      <c r="H162" s="21"/>
    </row>
    <row r="163" spans="1:8" x14ac:dyDescent="0.35">
      <c r="A163" s="21" t="s">
        <v>509</v>
      </c>
      <c r="B163" s="21"/>
      <c r="C163" s="21"/>
      <c r="D163" s="21"/>
      <c r="E163" s="21"/>
      <c r="F163" s="21"/>
      <c r="G163" s="21"/>
      <c r="H163" s="21"/>
    </row>
    <row r="164" spans="1:8" x14ac:dyDescent="0.35">
      <c r="A164" s="21" t="s">
        <v>1233</v>
      </c>
      <c r="B164" s="21"/>
      <c r="C164" s="21"/>
      <c r="D164" s="21"/>
      <c r="E164" s="21"/>
      <c r="F164" s="21"/>
      <c r="G164" s="21"/>
      <c r="H164" s="21"/>
    </row>
    <row r="165" spans="1:8" x14ac:dyDescent="0.35">
      <c r="A165" s="21" t="s">
        <v>1234</v>
      </c>
      <c r="B165" s="21"/>
      <c r="C165" s="21"/>
      <c r="D165" s="21"/>
      <c r="E165" s="21"/>
      <c r="F165" s="21"/>
      <c r="G165" s="21"/>
      <c r="H165" s="21"/>
    </row>
    <row r="166" spans="1:8" x14ac:dyDescent="0.35">
      <c r="A166" s="21" t="s">
        <v>1235</v>
      </c>
      <c r="B166" s="21"/>
      <c r="C166" s="21"/>
      <c r="D166" s="21"/>
      <c r="E166" s="21"/>
      <c r="F166" s="21"/>
      <c r="G166" s="21"/>
      <c r="H166" s="21"/>
    </row>
    <row r="167" spans="1:8" x14ac:dyDescent="0.35">
      <c r="A167" s="21" t="s">
        <v>1236</v>
      </c>
      <c r="B167" s="21"/>
      <c r="C167" s="21"/>
      <c r="D167" s="21"/>
      <c r="E167" s="21"/>
      <c r="F167" s="21"/>
      <c r="G167" s="21"/>
      <c r="H167" s="21"/>
    </row>
    <row r="168" spans="1:8" x14ac:dyDescent="0.35">
      <c r="A168" s="21" t="s">
        <v>1237</v>
      </c>
      <c r="B168" s="21"/>
      <c r="C168" s="21"/>
      <c r="D168" s="21"/>
      <c r="E168" s="21"/>
      <c r="F168" s="21"/>
      <c r="G168" s="21"/>
      <c r="H168" s="21"/>
    </row>
    <row r="169" spans="1:8" x14ac:dyDescent="0.35">
      <c r="A169" s="21" t="s">
        <v>1238</v>
      </c>
      <c r="B169" s="21"/>
      <c r="C169" s="21"/>
      <c r="D169" s="21"/>
      <c r="E169" s="21"/>
      <c r="F169" s="21"/>
      <c r="G169" s="21"/>
      <c r="H169" s="21"/>
    </row>
    <row r="170" spans="1:8" x14ac:dyDescent="0.35">
      <c r="A170" s="21" t="s">
        <v>1239</v>
      </c>
      <c r="B170" s="21"/>
      <c r="C170" s="21"/>
      <c r="D170" s="21"/>
      <c r="E170" s="21"/>
      <c r="F170" s="21"/>
      <c r="G170" s="21"/>
      <c r="H170" s="21"/>
    </row>
    <row r="171" spans="1:8" x14ac:dyDescent="0.35">
      <c r="A171" s="21" t="s">
        <v>1240</v>
      </c>
      <c r="B171" s="21"/>
      <c r="C171" s="21"/>
      <c r="D171" s="21"/>
      <c r="E171" s="21"/>
      <c r="F171" s="21"/>
      <c r="G171" s="21"/>
      <c r="H171" s="21"/>
    </row>
    <row r="172" spans="1:8" x14ac:dyDescent="0.35">
      <c r="A172" s="21" t="s">
        <v>1241</v>
      </c>
      <c r="B172" s="21"/>
      <c r="C172" s="21"/>
      <c r="D172" s="21"/>
      <c r="E172" s="21"/>
      <c r="F172" s="21"/>
      <c r="G172" s="21"/>
      <c r="H172" s="21"/>
    </row>
    <row r="173" spans="1:8" x14ac:dyDescent="0.35">
      <c r="A173" s="21" t="s">
        <v>1242</v>
      </c>
      <c r="B173" s="21"/>
      <c r="C173" s="21"/>
      <c r="D173" s="21"/>
      <c r="E173" s="21"/>
      <c r="F173" s="21"/>
      <c r="G173" s="21"/>
      <c r="H173" s="21"/>
    </row>
    <row r="174" spans="1:8" x14ac:dyDescent="0.35">
      <c r="A174" s="21" t="s">
        <v>1243</v>
      </c>
      <c r="B174" s="21"/>
      <c r="C174" s="21"/>
      <c r="D174" s="21"/>
      <c r="E174" s="21"/>
      <c r="F174" s="21"/>
      <c r="G174" s="21"/>
      <c r="H174" s="21"/>
    </row>
    <row r="175" spans="1:8" x14ac:dyDescent="0.35">
      <c r="A175" s="21" t="s">
        <v>1244</v>
      </c>
      <c r="B175" s="21"/>
      <c r="C175" s="21"/>
      <c r="D175" s="21"/>
      <c r="E175" s="21"/>
      <c r="F175" s="21"/>
      <c r="G175" s="21"/>
      <c r="H175" s="21"/>
    </row>
    <row r="176" spans="1:8" x14ac:dyDescent="0.35">
      <c r="A176" s="21" t="s">
        <v>1245</v>
      </c>
      <c r="B176" s="21"/>
      <c r="C176" s="21"/>
      <c r="D176" s="21"/>
      <c r="E176" s="21"/>
      <c r="F176" s="21"/>
      <c r="G176" s="21"/>
      <c r="H176" s="21"/>
    </row>
    <row r="177" spans="1:12" x14ac:dyDescent="0.35">
      <c r="A177" s="21" t="s">
        <v>1246</v>
      </c>
      <c r="B177" s="21"/>
      <c r="C177" s="21"/>
      <c r="D177" s="21"/>
      <c r="E177" s="21"/>
      <c r="F177" s="21"/>
      <c r="G177" s="21"/>
      <c r="H177" s="21"/>
    </row>
    <row r="178" spans="1:12" x14ac:dyDescent="0.35">
      <c r="A178" s="21" t="s">
        <v>1247</v>
      </c>
      <c r="B178" s="21"/>
      <c r="C178" s="21"/>
      <c r="D178" s="21"/>
      <c r="E178" s="21"/>
      <c r="F178" s="21"/>
      <c r="G178" s="21"/>
      <c r="H178" s="21"/>
    </row>
    <row r="179" spans="1:12" ht="24" customHeight="1" x14ac:dyDescent="0.35">
      <c r="A179" s="133" t="s">
        <v>1248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</row>
    <row r="180" spans="1:12" x14ac:dyDescent="0.35">
      <c r="A180" s="21" t="s">
        <v>1249</v>
      </c>
      <c r="B180" s="21"/>
      <c r="C180" s="21"/>
      <c r="D180" s="21"/>
      <c r="E180" s="21"/>
      <c r="F180" s="21"/>
      <c r="G180" s="21"/>
      <c r="H180" s="21"/>
    </row>
    <row r="186" spans="1:12" x14ac:dyDescent="0.35">
      <c r="A186" s="98" t="s">
        <v>1250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</row>
    <row r="188" spans="1:12" ht="29" x14ac:dyDescent="0.35">
      <c r="A188" s="100" t="s">
        <v>1251</v>
      </c>
      <c r="B188" s="100" t="s">
        <v>1252</v>
      </c>
      <c r="C188" s="100" t="s">
        <v>1253</v>
      </c>
      <c r="D188" s="100" t="s">
        <v>1254</v>
      </c>
      <c r="E188" s="100" t="s">
        <v>870</v>
      </c>
      <c r="F188" s="100" t="s">
        <v>1255</v>
      </c>
      <c r="G188" s="100" t="s">
        <v>338</v>
      </c>
    </row>
    <row r="189" spans="1:12" x14ac:dyDescent="0.35">
      <c r="A189" s="21" t="s">
        <v>428</v>
      </c>
      <c r="B189" s="21"/>
      <c r="C189" s="21"/>
      <c r="D189" s="21"/>
      <c r="E189" s="21"/>
      <c r="F189" s="21"/>
      <c r="G189" s="21"/>
    </row>
    <row r="190" spans="1:12" x14ac:dyDescent="0.35">
      <c r="A190" s="21" t="s">
        <v>582</v>
      </c>
      <c r="B190" s="21"/>
      <c r="C190" s="21"/>
      <c r="D190" s="21"/>
      <c r="E190" s="21"/>
      <c r="F190" s="21"/>
      <c r="G190" s="21"/>
    </row>
    <row r="191" spans="1:12" x14ac:dyDescent="0.35">
      <c r="A191" s="21" t="s">
        <v>435</v>
      </c>
      <c r="B191" s="21"/>
      <c r="C191" s="21"/>
      <c r="D191" s="21"/>
      <c r="E191" s="21"/>
      <c r="F191" s="21"/>
      <c r="G191" s="21"/>
    </row>
    <row r="192" spans="1:12" x14ac:dyDescent="0.35">
      <c r="A192" s="21" t="s">
        <v>93</v>
      </c>
      <c r="B192" s="21"/>
      <c r="C192" s="21"/>
      <c r="D192" s="21"/>
      <c r="E192" s="21"/>
      <c r="F192" s="21"/>
      <c r="G192" s="21"/>
    </row>
    <row r="193" spans="1:12" x14ac:dyDescent="0.35">
      <c r="A193" s="21" t="s">
        <v>431</v>
      </c>
      <c r="B193" s="21"/>
      <c r="C193" s="21"/>
      <c r="D193" s="21"/>
      <c r="E193" s="21"/>
      <c r="F193" s="21"/>
      <c r="G193" s="21"/>
    </row>
    <row r="194" spans="1:12" x14ac:dyDescent="0.35">
      <c r="A194" s="21" t="s">
        <v>97</v>
      </c>
      <c r="B194" s="21"/>
      <c r="C194" s="21"/>
      <c r="D194" s="21"/>
      <c r="E194" s="21"/>
      <c r="F194" s="21"/>
      <c r="G194" s="21"/>
    </row>
    <row r="195" spans="1:12" x14ac:dyDescent="0.35">
      <c r="A195" s="21" t="s">
        <v>100</v>
      </c>
      <c r="B195" s="21"/>
      <c r="C195" s="21"/>
      <c r="D195" s="21"/>
      <c r="E195" s="21"/>
      <c r="F195" s="21"/>
      <c r="G195" s="21"/>
    </row>
    <row r="196" spans="1:12" x14ac:dyDescent="0.35">
      <c r="A196" s="21" t="s">
        <v>1176</v>
      </c>
      <c r="B196" s="21"/>
      <c r="C196" s="21"/>
      <c r="D196" s="21"/>
      <c r="E196" s="21"/>
      <c r="F196" s="21"/>
      <c r="G196" s="21"/>
    </row>
    <row r="197" spans="1:12" x14ac:dyDescent="0.35">
      <c r="A197" s="21" t="s">
        <v>160</v>
      </c>
      <c r="B197" s="21"/>
      <c r="C197" s="21"/>
      <c r="D197" s="21"/>
      <c r="E197" s="21"/>
      <c r="F197" s="21"/>
      <c r="G197" s="21"/>
    </row>
    <row r="198" spans="1:12" x14ac:dyDescent="0.35">
      <c r="A198" s="21" t="s">
        <v>1256</v>
      </c>
      <c r="B198" s="21"/>
      <c r="C198" s="21"/>
      <c r="D198" s="21"/>
      <c r="E198" s="21"/>
      <c r="F198" s="21"/>
      <c r="G198" s="21"/>
    </row>
    <row r="199" spans="1:12" x14ac:dyDescent="0.35">
      <c r="A199" s="21" t="s">
        <v>1257</v>
      </c>
      <c r="B199" s="21"/>
      <c r="C199" s="21"/>
      <c r="D199" s="21"/>
      <c r="E199" s="21"/>
      <c r="F199" s="21"/>
      <c r="G199" s="21"/>
    </row>
    <row r="200" spans="1:12" x14ac:dyDescent="0.35">
      <c r="A200" s="21" t="s">
        <v>1258</v>
      </c>
      <c r="B200" s="21"/>
      <c r="C200" s="21"/>
      <c r="D200" s="21"/>
      <c r="E200" s="21"/>
      <c r="F200" s="21"/>
      <c r="G200" s="21"/>
    </row>
    <row r="201" spans="1:12" x14ac:dyDescent="0.35">
      <c r="A201" s="21" t="s">
        <v>116</v>
      </c>
      <c r="B201" s="21"/>
      <c r="C201" s="21"/>
      <c r="D201" s="21"/>
      <c r="E201" s="21"/>
      <c r="F201" s="21"/>
      <c r="G201" s="21"/>
    </row>
    <row r="202" spans="1:12" x14ac:dyDescent="0.35">
      <c r="A202" s="21" t="s">
        <v>129</v>
      </c>
      <c r="B202" s="21"/>
      <c r="C202" s="21"/>
      <c r="D202" s="21"/>
      <c r="E202" s="21"/>
      <c r="F202" s="21"/>
      <c r="G202" s="21"/>
    </row>
    <row r="203" spans="1:12" x14ac:dyDescent="0.35">
      <c r="A203" s="21" t="s">
        <v>437</v>
      </c>
      <c r="B203" s="21"/>
      <c r="C203" s="21"/>
      <c r="D203" s="21"/>
      <c r="E203" s="21"/>
      <c r="F203" s="21"/>
      <c r="G203" s="21"/>
    </row>
    <row r="204" spans="1:12" x14ac:dyDescent="0.35">
      <c r="A204" s="21" t="s">
        <v>125</v>
      </c>
      <c r="B204" s="21"/>
      <c r="C204" s="21"/>
      <c r="D204" s="21"/>
      <c r="E204" s="21"/>
      <c r="F204" s="21"/>
      <c r="G204" s="21"/>
    </row>
    <row r="205" spans="1:12" x14ac:dyDescent="0.35">
      <c r="A205" s="21" t="s">
        <v>442</v>
      </c>
      <c r="B205" s="21"/>
      <c r="C205" s="21"/>
      <c r="D205" s="21"/>
      <c r="E205" s="21"/>
      <c r="F205" s="21"/>
      <c r="G205" s="21"/>
    </row>
    <row r="206" spans="1:12" x14ac:dyDescent="0.35">
      <c r="A206" s="21" t="s">
        <v>1259</v>
      </c>
      <c r="B206" s="21"/>
      <c r="C206" s="21"/>
      <c r="D206" s="21"/>
      <c r="E206" s="21"/>
      <c r="F206" s="21"/>
      <c r="G206" s="21"/>
    </row>
    <row r="207" spans="1:12" ht="24" customHeight="1" x14ac:dyDescent="0.35">
      <c r="A207" s="133" t="s">
        <v>1260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</row>
    <row r="208" spans="1:12" x14ac:dyDescent="0.35">
      <c r="A208" s="21" t="s">
        <v>439</v>
      </c>
      <c r="B208" s="21"/>
      <c r="C208" s="21"/>
      <c r="D208" s="21"/>
      <c r="E208" s="21"/>
      <c r="F208" s="21"/>
      <c r="G208" s="21"/>
    </row>
    <row r="214" spans="1:12" x14ac:dyDescent="0.35">
      <c r="A214" s="98" t="s">
        <v>1261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</row>
    <row r="216" spans="1:12" x14ac:dyDescent="0.35">
      <c r="A216" s="100" t="s">
        <v>1262</v>
      </c>
      <c r="B216" s="100" t="s">
        <v>1263</v>
      </c>
      <c r="C216" s="100" t="s">
        <v>292</v>
      </c>
      <c r="D216" s="100" t="s">
        <v>371</v>
      </c>
      <c r="E216" s="100" t="s">
        <v>360</v>
      </c>
      <c r="F216" s="100" t="s">
        <v>1264</v>
      </c>
      <c r="G216" s="100" t="s">
        <v>990</v>
      </c>
      <c r="H216" s="100" t="s">
        <v>338</v>
      </c>
    </row>
    <row r="217" spans="1:12" x14ac:dyDescent="0.35">
      <c r="A217" t="s">
        <v>1265</v>
      </c>
    </row>
    <row r="218" spans="1:12" x14ac:dyDescent="0.35">
      <c r="A218" t="s">
        <v>1266</v>
      </c>
    </row>
    <row r="219" spans="1:12" x14ac:dyDescent="0.35">
      <c r="A219" t="s">
        <v>1267</v>
      </c>
    </row>
    <row r="220" spans="1:12" x14ac:dyDescent="0.35">
      <c r="A220" t="s">
        <v>1268</v>
      </c>
    </row>
    <row r="221" spans="1:12" x14ac:dyDescent="0.35">
      <c r="A221" t="s">
        <v>1269</v>
      </c>
    </row>
    <row r="222" spans="1:12" x14ac:dyDescent="0.35">
      <c r="A222" t="s">
        <v>1270</v>
      </c>
    </row>
    <row r="223" spans="1:12" ht="24" customHeight="1" x14ac:dyDescent="0.35">
      <c r="A223" s="129" t="s">
        <v>1271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</row>
    <row r="224" spans="1:12" x14ac:dyDescent="0.35">
      <c r="A224" t="s">
        <v>1272</v>
      </c>
    </row>
    <row r="230" spans="1:12" x14ac:dyDescent="0.35">
      <c r="A230" s="98" t="s">
        <v>1273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2" spans="1:12" ht="29" x14ac:dyDescent="0.35">
      <c r="A232" s="100" t="s">
        <v>1229</v>
      </c>
      <c r="B232" s="100" t="s">
        <v>1274</v>
      </c>
      <c r="C232" s="100" t="s">
        <v>390</v>
      </c>
      <c r="D232" s="100" t="s">
        <v>351</v>
      </c>
      <c r="E232" s="100" t="s">
        <v>352</v>
      </c>
      <c r="F232" s="100" t="s">
        <v>292</v>
      </c>
      <c r="G232" s="100" t="s">
        <v>353</v>
      </c>
      <c r="H232" s="100" t="s">
        <v>338</v>
      </c>
    </row>
    <row r="240" spans="1:12" x14ac:dyDescent="0.3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</row>
    <row r="241" spans="1:12" x14ac:dyDescent="0.3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</row>
    <row r="247" spans="1:12" ht="29" x14ac:dyDescent="0.35">
      <c r="A247" s="106" t="s">
        <v>1275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3"/>
    </row>
    <row r="248" spans="1:12" ht="43.5" x14ac:dyDescent="0.35">
      <c r="A248" s="111" t="s">
        <v>1276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3"/>
    </row>
    <row r="249" spans="1:12" ht="29" x14ac:dyDescent="0.35">
      <c r="A249" s="110" t="s">
        <v>1277</v>
      </c>
      <c r="B249" s="110" t="s">
        <v>1278</v>
      </c>
      <c r="C249" s="110" t="s">
        <v>81</v>
      </c>
      <c r="D249" s="110" t="s">
        <v>615</v>
      </c>
      <c r="E249" s="110" t="s">
        <v>616</v>
      </c>
      <c r="F249" s="110" t="s">
        <v>990</v>
      </c>
      <c r="G249" s="110" t="s">
        <v>1279</v>
      </c>
      <c r="H249" s="110" t="s">
        <v>390</v>
      </c>
      <c r="I249" s="110" t="s">
        <v>351</v>
      </c>
      <c r="J249" s="110" t="s">
        <v>292</v>
      </c>
      <c r="K249" s="110" t="s">
        <v>353</v>
      </c>
      <c r="L249" s="110" t="s">
        <v>619</v>
      </c>
    </row>
    <row r="250" spans="1:12" x14ac:dyDescent="0.35">
      <c r="A250" s="105" t="s">
        <v>1280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x14ac:dyDescent="0.35">
      <c r="A251" s="105" t="s">
        <v>1281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x14ac:dyDescent="0.35">
      <c r="A252" s="105" t="s">
        <v>1282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29" x14ac:dyDescent="0.35">
      <c r="A253" s="105" t="s">
        <v>1283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29" x14ac:dyDescent="0.35">
      <c r="A254" s="105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29" x14ac:dyDescent="0.35">
      <c r="A255" s="105" t="s">
        <v>1285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29" x14ac:dyDescent="0.35">
      <c r="A256" s="105" t="s">
        <v>1286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29" x14ac:dyDescent="0.35">
      <c r="A257" s="105" t="s">
        <v>1287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29" x14ac:dyDescent="0.35">
      <c r="A258" s="105" t="s">
        <v>1288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29" x14ac:dyDescent="0.35">
      <c r="A259" s="105" t="s">
        <v>1289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29" x14ac:dyDescent="0.35">
      <c r="A260" s="105" t="s">
        <v>1290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29" x14ac:dyDescent="0.35">
      <c r="A261" s="105" t="s">
        <v>1291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29" x14ac:dyDescent="0.35">
      <c r="A262" s="105" t="s">
        <v>1292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43.5" x14ac:dyDescent="0.35">
      <c r="A263" s="105" t="s">
        <v>1293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29" x14ac:dyDescent="0.35">
      <c r="A264" s="105" t="s">
        <v>1294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x14ac:dyDescent="0.35">
      <c r="A265" s="105" t="s">
        <v>1295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</sheetData>
  <mergeCells count="9">
    <mergeCell ref="A1:L1"/>
    <mergeCell ref="A17:L17"/>
    <mergeCell ref="A241:L241"/>
    <mergeCell ref="A223:L223"/>
    <mergeCell ref="A35:L35"/>
    <mergeCell ref="A240:L240"/>
    <mergeCell ref="A179:L179"/>
    <mergeCell ref="A151:L151"/>
    <mergeCell ref="A207:L207"/>
  </mergeCells>
  <conditionalFormatting sqref="B12">
    <cfRule type="expression" dxfId="13" priority="12">
      <formula>B12="Green"</formula>
    </cfRule>
    <cfRule type="expression" dxfId="12" priority="13">
      <formula>B12="Amber"</formula>
    </cfRule>
    <cfRule type="expression" dxfId="11" priority="14">
      <formula>B12="Red"</formula>
    </cfRule>
  </conditionalFormatting>
  <conditionalFormatting sqref="B182:B201">
    <cfRule type="expression" dxfId="10" priority="3">
      <formula>B182="Pass"</formula>
    </cfRule>
  </conditionalFormatting>
  <conditionalFormatting sqref="C20:C43">
    <cfRule type="expression" dxfId="9" priority="8">
      <formula>C20="Green"</formula>
    </cfRule>
    <cfRule type="expression" dxfId="8" priority="9">
      <formula>C20="Amber"</formula>
    </cfRule>
    <cfRule type="expression" dxfId="7" priority="10">
      <formula>C20="Red"</formula>
    </cfRule>
    <cfRule type="expression" dxfId="6" priority="11">
      <formula>C20="N/A"</formula>
    </cfRule>
  </conditionalFormatting>
  <conditionalFormatting sqref="C20:C45">
    <cfRule type="expression" dxfId="5" priority="4">
      <formula>ISNUMBER(SEARCH("Green",C20))</formula>
    </cfRule>
    <cfRule type="expression" dxfId="4" priority="5">
      <formula>ISNUMBER(SEARCH("Amber",C20))</formula>
    </cfRule>
    <cfRule type="expression" dxfId="3" priority="6">
      <formula>ISNUMBER(SEARCH("Red",C20))</formula>
    </cfRule>
    <cfRule type="expression" dxfId="2" priority="7">
      <formula>C20="N/A"</formula>
    </cfRule>
  </conditionalFormatting>
  <conditionalFormatting sqref="E154:E173">
    <cfRule type="expression" dxfId="1" priority="2">
      <formula>E154="Pass"</formula>
    </cfRule>
  </conditionalFormatting>
  <conditionalFormatting sqref="H38:H145">
    <cfRule type="expression" dxfId="0" priority="1">
      <formula>H38="Pass"</formula>
    </cfRule>
  </conditionalFormatting>
  <dataValidations count="8">
    <dataValidation type="list" sqref="H38:H145 E154:E173" xr:uid="{00000000-0002-0000-3F00-000000000000}">
      <formula1>"Pass,Developing,Fail,N/A"</formula1>
    </dataValidation>
    <dataValidation type="list" sqref="F38:F145" xr:uid="{00000000-0002-0000-3F00-000001000000}">
      <formula1>"1,2,3,4,5"</formula1>
    </dataValidation>
    <dataValidation type="list" sqref="B182:B201" xr:uid="{00000000-0002-0000-3F00-000003000000}">
      <formula1>"Complete,In Progress,Not Started,N/A"</formula1>
    </dataValidation>
    <dataValidation type="list" allowBlank="1" sqref="C243:E258" xr:uid="{00000000-0002-0000-3F00-000004000000}">
      <formula1>"Yes,No,N/A"</formula1>
    </dataValidation>
    <dataValidation type="list" allowBlank="1" sqref="C20:C45" xr:uid="{00000000-0002-0000-3F00-000005000000}">
      <formula1>"Green - Received,Amber - Awaiting,Red - Missing,N/A"</formula1>
    </dataValidation>
    <dataValidation type="list" sqref="C20:C43" xr:uid="{00000000-0002-0000-3F00-000006000000}">
      <formula1>"Green,Amber,Red,N/A"</formula1>
    </dataValidation>
    <dataValidation type="list" sqref="F42:F230" xr:uid="{00000000-0002-0000-3F00-000007000000}">
      <formula1>"1,2,3,4,5,N/A"</formula1>
    </dataValidation>
    <dataValidation type="list" sqref="H42:H230 H235:H255" xr:uid="{00000000-0002-0000-3F00-000008000000}">
      <formula1>"Pass,Fail,Not Assessed,N/A"</formula1>
    </dataValidation>
  </dataValidation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524"/>
  <sheetViews>
    <sheetView workbookViewId="0"/>
  </sheetViews>
  <sheetFormatPr defaultRowHeight="14.5" x14ac:dyDescent="0.35"/>
  <cols>
    <col min="1" max="1" width="5" customWidth="1"/>
    <col min="2" max="2" width="46" customWidth="1"/>
    <col min="3" max="3" width="20" customWidth="1"/>
    <col min="4" max="4" width="30" customWidth="1"/>
    <col min="5" max="7" width="7" customWidth="1"/>
    <col min="8" max="8" width="13" customWidth="1"/>
    <col min="9" max="9" width="30" customWidth="1"/>
    <col min="10" max="10" width="26" customWidth="1"/>
    <col min="11" max="11" width="14" customWidth="1"/>
    <col min="12" max="12" width="13" customWidth="1"/>
    <col min="13" max="15" width="14" customWidth="1"/>
  </cols>
  <sheetData>
    <row r="1" spans="1:15" x14ac:dyDescent="0.35">
      <c r="A1" s="145" t="s">
        <v>1320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2"/>
    </row>
    <row r="2" spans="1:15" x14ac:dyDescent="0.35">
      <c r="A2" s="168" t="s">
        <v>1321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2"/>
    </row>
    <row r="3" spans="1:15" x14ac:dyDescent="0.35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15" x14ac:dyDescent="0.35">
      <c r="A4" s="167" t="s">
        <v>599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2"/>
    </row>
    <row r="5" spans="1:15" ht="72.5" x14ac:dyDescent="0.35">
      <c r="A5" s="108" t="s">
        <v>600</v>
      </c>
      <c r="B5" s="108"/>
      <c r="C5" s="108" t="s">
        <v>601</v>
      </c>
      <c r="D5" s="108"/>
      <c r="E5" s="108" t="s">
        <v>602</v>
      </c>
      <c r="F5" s="108"/>
      <c r="G5" s="108" t="s">
        <v>603</v>
      </c>
      <c r="H5" s="108"/>
      <c r="I5" s="108" t="s">
        <v>604</v>
      </c>
      <c r="J5" s="108"/>
      <c r="K5" s="108" t="s">
        <v>6</v>
      </c>
      <c r="L5" s="108"/>
      <c r="M5" s="108" t="s">
        <v>605</v>
      </c>
      <c r="N5" s="108"/>
      <c r="O5" s="108"/>
    </row>
    <row r="6" spans="1:15" ht="72.5" x14ac:dyDescent="0.35">
      <c r="A6" s="108" t="s">
        <v>606</v>
      </c>
      <c r="B6" s="108"/>
      <c r="C6" s="108" t="s">
        <v>607</v>
      </c>
      <c r="D6" s="108"/>
      <c r="E6" s="108" t="s">
        <v>608</v>
      </c>
      <c r="F6" s="108"/>
      <c r="G6" s="108" t="s">
        <v>609</v>
      </c>
      <c r="H6" s="108"/>
      <c r="I6" s="108" t="s">
        <v>610</v>
      </c>
      <c r="J6" s="109">
        <f>IFERROR(COUNTIF(E9:E37,"Yes")/(COUNTIF(E9:E37,"Yes")+COUNTIF(F9:F37,"No")),0)</f>
        <v>0</v>
      </c>
      <c r="K6" s="108"/>
      <c r="L6" s="108" t="str">
        <f>IF(J6&gt;=0.9,"Green",IF(J6&gt;=0.75,"Amber","Red"))</f>
        <v>Red</v>
      </c>
      <c r="M6" s="108"/>
      <c r="N6" s="108"/>
      <c r="O6" s="108"/>
    </row>
    <row r="7" spans="1:15" x14ac:dyDescent="0.35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</row>
    <row r="8" spans="1:15" ht="29" x14ac:dyDescent="0.35">
      <c r="A8" s="110" t="s">
        <v>611</v>
      </c>
      <c r="B8" s="110" t="s">
        <v>612</v>
      </c>
      <c r="C8" s="110" t="s">
        <v>613</v>
      </c>
      <c r="D8" s="110" t="s">
        <v>614</v>
      </c>
      <c r="E8" s="110" t="s">
        <v>81</v>
      </c>
      <c r="F8" s="110" t="s">
        <v>615</v>
      </c>
      <c r="G8" s="110" t="s">
        <v>616</v>
      </c>
      <c r="H8" s="110" t="s">
        <v>617</v>
      </c>
      <c r="I8" s="110" t="s">
        <v>618</v>
      </c>
      <c r="J8" s="110" t="s">
        <v>390</v>
      </c>
      <c r="K8" s="110" t="s">
        <v>351</v>
      </c>
      <c r="L8" s="110" t="s">
        <v>352</v>
      </c>
      <c r="M8" s="110" t="s">
        <v>292</v>
      </c>
      <c r="N8" s="110" t="s">
        <v>353</v>
      </c>
      <c r="O8" s="110" t="s">
        <v>619</v>
      </c>
    </row>
    <row r="9" spans="1:15" ht="29" x14ac:dyDescent="0.35">
      <c r="A9" s="105" t="s">
        <v>620</v>
      </c>
      <c r="B9" s="105" t="s">
        <v>1322</v>
      </c>
      <c r="C9" s="105" t="s">
        <v>751</v>
      </c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</row>
    <row r="10" spans="1:15" ht="29" x14ac:dyDescent="0.35">
      <c r="A10" s="105" t="s">
        <v>623</v>
      </c>
      <c r="B10" s="105" t="s">
        <v>1323</v>
      </c>
      <c r="C10" s="105" t="s">
        <v>751</v>
      </c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</row>
    <row r="11" spans="1:15" ht="29" x14ac:dyDescent="0.35">
      <c r="A11" s="105" t="s">
        <v>625</v>
      </c>
      <c r="B11" s="105" t="s">
        <v>1324</v>
      </c>
      <c r="C11" s="105" t="s">
        <v>751</v>
      </c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</row>
    <row r="12" spans="1:15" ht="29" x14ac:dyDescent="0.35">
      <c r="A12" s="105" t="s">
        <v>627</v>
      </c>
      <c r="B12" s="105" t="s">
        <v>1325</v>
      </c>
      <c r="C12" s="105" t="s">
        <v>751</v>
      </c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</row>
    <row r="13" spans="1:15" ht="29" x14ac:dyDescent="0.35">
      <c r="A13" s="105" t="s">
        <v>629</v>
      </c>
      <c r="B13" s="105" t="s">
        <v>1326</v>
      </c>
      <c r="C13" s="105" t="s">
        <v>751</v>
      </c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</row>
    <row r="14" spans="1:15" ht="29" x14ac:dyDescent="0.35">
      <c r="A14" s="105" t="s">
        <v>631</v>
      </c>
      <c r="B14" s="105" t="s">
        <v>1327</v>
      </c>
      <c r="C14" s="105" t="s">
        <v>751</v>
      </c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</row>
    <row r="15" spans="1:15" ht="29" x14ac:dyDescent="0.35">
      <c r="A15" s="105" t="s">
        <v>633</v>
      </c>
      <c r="B15" s="105" t="s">
        <v>1328</v>
      </c>
      <c r="C15" s="105" t="s">
        <v>743</v>
      </c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</row>
    <row r="16" spans="1:15" ht="29" x14ac:dyDescent="0.35">
      <c r="A16" s="105" t="s">
        <v>635</v>
      </c>
      <c r="B16" s="105" t="s">
        <v>1329</v>
      </c>
      <c r="C16" s="105" t="s">
        <v>622</v>
      </c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</row>
    <row r="17" spans="1:15" ht="29" x14ac:dyDescent="0.35">
      <c r="A17" s="105" t="s">
        <v>637</v>
      </c>
      <c r="B17" s="105" t="s">
        <v>1330</v>
      </c>
      <c r="C17" s="105" t="s">
        <v>743</v>
      </c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</row>
    <row r="18" spans="1:15" ht="29" x14ac:dyDescent="0.35">
      <c r="A18" s="105" t="s">
        <v>639</v>
      </c>
      <c r="B18" s="105" t="s">
        <v>1331</v>
      </c>
      <c r="C18" s="105" t="s">
        <v>622</v>
      </c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</row>
    <row r="19" spans="1:15" ht="29" x14ac:dyDescent="0.35">
      <c r="A19" s="105" t="s">
        <v>641</v>
      </c>
      <c r="B19" s="105" t="s">
        <v>1332</v>
      </c>
      <c r="C19" s="105" t="s">
        <v>743</v>
      </c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</row>
    <row r="20" spans="1:15" x14ac:dyDescent="0.35">
      <c r="A20" s="105" t="s">
        <v>643</v>
      </c>
      <c r="B20" s="105" t="s">
        <v>1333</v>
      </c>
      <c r="C20" s="105" t="s">
        <v>622</v>
      </c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</row>
    <row r="21" spans="1:15" ht="29" x14ac:dyDescent="0.35">
      <c r="A21" s="105" t="s">
        <v>644</v>
      </c>
      <c r="B21" s="105" t="s">
        <v>1334</v>
      </c>
      <c r="C21" s="105" t="s">
        <v>622</v>
      </c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</row>
    <row r="22" spans="1:15" ht="29" x14ac:dyDescent="0.35">
      <c r="A22" s="105" t="s">
        <v>645</v>
      </c>
      <c r="B22" s="105" t="s">
        <v>1335</v>
      </c>
      <c r="C22" s="105" t="s">
        <v>743</v>
      </c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</row>
    <row r="23" spans="1:15" ht="29" x14ac:dyDescent="0.35">
      <c r="A23" s="105" t="s">
        <v>646</v>
      </c>
      <c r="B23" s="105" t="s">
        <v>1336</v>
      </c>
      <c r="C23" s="105" t="s">
        <v>746</v>
      </c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</row>
    <row r="24" spans="1:15" ht="29" x14ac:dyDescent="0.35">
      <c r="A24" s="105" t="s">
        <v>649</v>
      </c>
      <c r="B24" s="105" t="s">
        <v>1337</v>
      </c>
      <c r="C24" s="105" t="s">
        <v>751</v>
      </c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</row>
    <row r="25" spans="1:15" ht="29" x14ac:dyDescent="0.35">
      <c r="A25" s="105" t="s">
        <v>651</v>
      </c>
      <c r="B25" s="105" t="s">
        <v>1338</v>
      </c>
      <c r="C25" s="105" t="s">
        <v>751</v>
      </c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</row>
    <row r="26" spans="1:15" ht="29" x14ac:dyDescent="0.35">
      <c r="A26" s="105" t="s">
        <v>653</v>
      </c>
      <c r="B26" s="105" t="s">
        <v>1339</v>
      </c>
      <c r="C26" s="105" t="s">
        <v>751</v>
      </c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</row>
    <row r="27" spans="1:15" ht="29" x14ac:dyDescent="0.35">
      <c r="A27" s="105" t="s">
        <v>655</v>
      </c>
      <c r="B27" s="105" t="s">
        <v>1340</v>
      </c>
      <c r="C27" s="105" t="s">
        <v>751</v>
      </c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</row>
    <row r="28" spans="1:15" ht="29" x14ac:dyDescent="0.35">
      <c r="A28" s="105" t="s">
        <v>658</v>
      </c>
      <c r="B28" s="105" t="s">
        <v>1341</v>
      </c>
      <c r="C28" s="105" t="s">
        <v>751</v>
      </c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</row>
    <row r="29" spans="1:15" ht="29" x14ac:dyDescent="0.35">
      <c r="A29" s="105" t="s">
        <v>660</v>
      </c>
      <c r="B29" s="105" t="s">
        <v>706</v>
      </c>
      <c r="C29" s="105" t="s">
        <v>622</v>
      </c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</row>
    <row r="30" spans="1:15" ht="29" x14ac:dyDescent="0.35">
      <c r="A30" s="105" t="s">
        <v>662</v>
      </c>
      <c r="B30" s="105" t="s">
        <v>682</v>
      </c>
      <c r="C30" s="105" t="s">
        <v>683</v>
      </c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</row>
    <row r="31" spans="1:15" ht="29" x14ac:dyDescent="0.35">
      <c r="A31" s="105" t="s">
        <v>664</v>
      </c>
      <c r="B31" s="105" t="s">
        <v>685</v>
      </c>
      <c r="C31" s="105" t="s">
        <v>686</v>
      </c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</row>
    <row r="32" spans="1:15" ht="29" x14ac:dyDescent="0.35">
      <c r="A32" s="105" t="s">
        <v>666</v>
      </c>
      <c r="B32" s="105" t="s">
        <v>688</v>
      </c>
      <c r="C32" s="105" t="s">
        <v>686</v>
      </c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</row>
    <row r="33" spans="1:15" ht="29" x14ac:dyDescent="0.35">
      <c r="A33" s="105" t="s">
        <v>668</v>
      </c>
      <c r="B33" s="105" t="s">
        <v>690</v>
      </c>
      <c r="C33" s="105" t="s">
        <v>686</v>
      </c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</row>
    <row r="34" spans="1:15" ht="29" x14ac:dyDescent="0.35">
      <c r="A34" s="105" t="s">
        <v>670</v>
      </c>
      <c r="B34" s="105" t="s">
        <v>692</v>
      </c>
      <c r="C34" s="105" t="s">
        <v>686</v>
      </c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</row>
    <row r="35" spans="1:15" ht="29" x14ac:dyDescent="0.35">
      <c r="A35" s="105" t="s">
        <v>672</v>
      </c>
      <c r="B35" s="105" t="s">
        <v>694</v>
      </c>
      <c r="C35" s="105" t="s">
        <v>686</v>
      </c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</row>
    <row r="36" spans="1:15" ht="29" x14ac:dyDescent="0.35">
      <c r="A36" s="105" t="s">
        <v>674</v>
      </c>
      <c r="B36" s="105" t="s">
        <v>696</v>
      </c>
      <c r="C36" s="105" t="s">
        <v>686</v>
      </c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</row>
    <row r="37" spans="1:15" ht="29" x14ac:dyDescent="0.35">
      <c r="A37" s="105" t="s">
        <v>676</v>
      </c>
      <c r="B37" s="105" t="s">
        <v>698</v>
      </c>
      <c r="C37" s="105" t="s">
        <v>686</v>
      </c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</row>
    <row r="38" spans="1:15" x14ac:dyDescent="0.35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</row>
    <row r="39" spans="1:15" x14ac:dyDescent="0.35">
      <c r="A39" s="166" t="s">
        <v>699</v>
      </c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2"/>
    </row>
    <row r="40" spans="1:15" ht="58" x14ac:dyDescent="0.35">
      <c r="A40" s="108" t="s">
        <v>700</v>
      </c>
      <c r="B40" s="108" t="s">
        <v>701</v>
      </c>
      <c r="C40" s="108" t="s">
        <v>390</v>
      </c>
      <c r="D40" s="108" t="s">
        <v>351</v>
      </c>
      <c r="E40" s="108" t="s">
        <v>352</v>
      </c>
      <c r="F40" s="108" t="s">
        <v>292</v>
      </c>
      <c r="G40" s="108" t="s">
        <v>619</v>
      </c>
      <c r="H40" s="108" t="s">
        <v>353</v>
      </c>
      <c r="I40" s="108" t="s">
        <v>610</v>
      </c>
      <c r="J40" s="105"/>
      <c r="K40" s="105"/>
      <c r="L40" s="105"/>
      <c r="M40" s="105"/>
      <c r="N40" s="105"/>
      <c r="O40" s="105"/>
    </row>
    <row r="41" spans="1:15" x14ac:dyDescent="0.35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</row>
    <row r="42" spans="1:15" x14ac:dyDescent="0.35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</row>
    <row r="43" spans="1:15" x14ac:dyDescent="0.35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</row>
    <row r="44" spans="1:15" x14ac:dyDescent="0.35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</row>
    <row r="45" spans="1:15" x14ac:dyDescent="0.35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</row>
    <row r="46" spans="1:15" x14ac:dyDescent="0.35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</row>
    <row r="47" spans="1:15" x14ac:dyDescent="0.35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</row>
    <row r="48" spans="1:15" x14ac:dyDescent="0.35">
      <c r="A48" s="167" t="s">
        <v>702</v>
      </c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2"/>
    </row>
    <row r="49" spans="1:15" ht="72.5" x14ac:dyDescent="0.35">
      <c r="A49" s="108" t="s">
        <v>600</v>
      </c>
      <c r="B49" s="108"/>
      <c r="C49" s="108" t="s">
        <v>601</v>
      </c>
      <c r="D49" s="108"/>
      <c r="E49" s="108" t="s">
        <v>602</v>
      </c>
      <c r="F49" s="108"/>
      <c r="G49" s="108" t="s">
        <v>603</v>
      </c>
      <c r="H49" s="108"/>
      <c r="I49" s="108" t="s">
        <v>604</v>
      </c>
      <c r="J49" s="108"/>
      <c r="K49" s="108" t="s">
        <v>6</v>
      </c>
      <c r="L49" s="108"/>
      <c r="M49" s="108" t="s">
        <v>605</v>
      </c>
      <c r="N49" s="108"/>
      <c r="O49" s="108"/>
    </row>
    <row r="50" spans="1:15" ht="72.5" x14ac:dyDescent="0.35">
      <c r="A50" s="108" t="s">
        <v>606</v>
      </c>
      <c r="B50" s="108"/>
      <c r="C50" s="108" t="s">
        <v>607</v>
      </c>
      <c r="D50" s="108"/>
      <c r="E50" s="108" t="s">
        <v>608</v>
      </c>
      <c r="F50" s="108"/>
      <c r="G50" s="108" t="s">
        <v>609</v>
      </c>
      <c r="H50" s="108"/>
      <c r="I50" s="108" t="s">
        <v>610</v>
      </c>
      <c r="J50" s="109">
        <f>IFERROR(COUNTIF(E53:E81,"Yes")/(COUNTIF(E53:E81,"Yes")+COUNTIF(F53:F81,"No")),0)</f>
        <v>0</v>
      </c>
      <c r="K50" s="108"/>
      <c r="L50" s="108" t="str">
        <f>IF(J50&gt;=0.9,"Green",IF(J50&gt;=0.75,"Amber","Red"))</f>
        <v>Red</v>
      </c>
      <c r="M50" s="108"/>
      <c r="N50" s="108"/>
      <c r="O50" s="108"/>
    </row>
    <row r="51" spans="1:15" x14ac:dyDescent="0.35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</row>
    <row r="52" spans="1:15" ht="29" x14ac:dyDescent="0.35">
      <c r="A52" s="110" t="s">
        <v>611</v>
      </c>
      <c r="B52" s="110" t="s">
        <v>612</v>
      </c>
      <c r="C52" s="110" t="s">
        <v>613</v>
      </c>
      <c r="D52" s="110" t="s">
        <v>614</v>
      </c>
      <c r="E52" s="110" t="s">
        <v>81</v>
      </c>
      <c r="F52" s="110" t="s">
        <v>615</v>
      </c>
      <c r="G52" s="110" t="s">
        <v>616</v>
      </c>
      <c r="H52" s="110" t="s">
        <v>617</v>
      </c>
      <c r="I52" s="110" t="s">
        <v>618</v>
      </c>
      <c r="J52" s="110" t="s">
        <v>390</v>
      </c>
      <c r="K52" s="110" t="s">
        <v>351</v>
      </c>
      <c r="L52" s="110" t="s">
        <v>352</v>
      </c>
      <c r="M52" s="110" t="s">
        <v>292</v>
      </c>
      <c r="N52" s="110" t="s">
        <v>353</v>
      </c>
      <c r="O52" s="110" t="s">
        <v>619</v>
      </c>
    </row>
    <row r="53" spans="1:15" ht="29" x14ac:dyDescent="0.35">
      <c r="A53" s="105" t="s">
        <v>620</v>
      </c>
      <c r="B53" s="105" t="s">
        <v>1322</v>
      </c>
      <c r="C53" s="105" t="s">
        <v>751</v>
      </c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</row>
    <row r="54" spans="1:15" ht="29" x14ac:dyDescent="0.35">
      <c r="A54" s="105" t="s">
        <v>623</v>
      </c>
      <c r="B54" s="105" t="s">
        <v>1323</v>
      </c>
      <c r="C54" s="105" t="s">
        <v>751</v>
      </c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</row>
    <row r="55" spans="1:15" ht="29" x14ac:dyDescent="0.35">
      <c r="A55" s="105" t="s">
        <v>625</v>
      </c>
      <c r="B55" s="105" t="s">
        <v>1324</v>
      </c>
      <c r="C55" s="105" t="s">
        <v>751</v>
      </c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</row>
    <row r="56" spans="1:15" ht="29" x14ac:dyDescent="0.35">
      <c r="A56" s="105" t="s">
        <v>627</v>
      </c>
      <c r="B56" s="105" t="s">
        <v>1325</v>
      </c>
      <c r="C56" s="105" t="s">
        <v>751</v>
      </c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</row>
    <row r="57" spans="1:15" ht="29" x14ac:dyDescent="0.35">
      <c r="A57" s="105" t="s">
        <v>629</v>
      </c>
      <c r="B57" s="105" t="s">
        <v>1326</v>
      </c>
      <c r="C57" s="105" t="s">
        <v>751</v>
      </c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</row>
    <row r="58" spans="1:15" ht="29" x14ac:dyDescent="0.35">
      <c r="A58" s="105" t="s">
        <v>631</v>
      </c>
      <c r="B58" s="105" t="s">
        <v>1327</v>
      </c>
      <c r="C58" s="105" t="s">
        <v>751</v>
      </c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</row>
    <row r="59" spans="1:15" ht="29" x14ac:dyDescent="0.35">
      <c r="A59" s="105" t="s">
        <v>633</v>
      </c>
      <c r="B59" s="105" t="s">
        <v>1328</v>
      </c>
      <c r="C59" s="105" t="s">
        <v>743</v>
      </c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</row>
    <row r="60" spans="1:15" ht="29" x14ac:dyDescent="0.35">
      <c r="A60" s="105" t="s">
        <v>635</v>
      </c>
      <c r="B60" s="105" t="s">
        <v>1329</v>
      </c>
      <c r="C60" s="105" t="s">
        <v>622</v>
      </c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</row>
    <row r="61" spans="1:15" ht="29" x14ac:dyDescent="0.35">
      <c r="A61" s="105" t="s">
        <v>637</v>
      </c>
      <c r="B61" s="105" t="s">
        <v>1330</v>
      </c>
      <c r="C61" s="105" t="s">
        <v>743</v>
      </c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</row>
    <row r="62" spans="1:15" ht="29" x14ac:dyDescent="0.35">
      <c r="A62" s="105" t="s">
        <v>639</v>
      </c>
      <c r="B62" s="105" t="s">
        <v>1331</v>
      </c>
      <c r="C62" s="105" t="s">
        <v>622</v>
      </c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</row>
    <row r="63" spans="1:15" ht="29" x14ac:dyDescent="0.35">
      <c r="A63" s="105" t="s">
        <v>641</v>
      </c>
      <c r="B63" s="105" t="s">
        <v>1332</v>
      </c>
      <c r="C63" s="105" t="s">
        <v>743</v>
      </c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</row>
    <row r="64" spans="1:15" x14ac:dyDescent="0.35">
      <c r="A64" s="105" t="s">
        <v>643</v>
      </c>
      <c r="B64" s="105" t="s">
        <v>1333</v>
      </c>
      <c r="C64" s="105" t="s">
        <v>622</v>
      </c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</row>
    <row r="65" spans="1:15" ht="29" x14ac:dyDescent="0.35">
      <c r="A65" s="105" t="s">
        <v>644</v>
      </c>
      <c r="B65" s="105" t="s">
        <v>1334</v>
      </c>
      <c r="C65" s="105" t="s">
        <v>622</v>
      </c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</row>
    <row r="66" spans="1:15" ht="29" x14ac:dyDescent="0.35">
      <c r="A66" s="105" t="s">
        <v>645</v>
      </c>
      <c r="B66" s="105" t="s">
        <v>1335</v>
      </c>
      <c r="C66" s="105" t="s">
        <v>743</v>
      </c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</row>
    <row r="67" spans="1:15" ht="29" x14ac:dyDescent="0.35">
      <c r="A67" s="105" t="s">
        <v>646</v>
      </c>
      <c r="B67" s="105" t="s">
        <v>1336</v>
      </c>
      <c r="C67" s="105" t="s">
        <v>746</v>
      </c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</row>
    <row r="68" spans="1:15" ht="29" x14ac:dyDescent="0.35">
      <c r="A68" s="105" t="s">
        <v>649</v>
      </c>
      <c r="B68" s="105" t="s">
        <v>1337</v>
      </c>
      <c r="C68" s="105" t="s">
        <v>751</v>
      </c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</row>
    <row r="69" spans="1:15" ht="29" x14ac:dyDescent="0.35">
      <c r="A69" s="105" t="s">
        <v>651</v>
      </c>
      <c r="B69" s="105" t="s">
        <v>1338</v>
      </c>
      <c r="C69" s="105" t="s">
        <v>751</v>
      </c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</row>
    <row r="70" spans="1:15" ht="29" x14ac:dyDescent="0.35">
      <c r="A70" s="105" t="s">
        <v>653</v>
      </c>
      <c r="B70" s="105" t="s">
        <v>1339</v>
      </c>
      <c r="C70" s="105" t="s">
        <v>751</v>
      </c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</row>
    <row r="71" spans="1:15" ht="29" x14ac:dyDescent="0.35">
      <c r="A71" s="105" t="s">
        <v>655</v>
      </c>
      <c r="B71" s="105" t="s">
        <v>1340</v>
      </c>
      <c r="C71" s="105" t="s">
        <v>751</v>
      </c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</row>
    <row r="72" spans="1:15" ht="29" x14ac:dyDescent="0.35">
      <c r="A72" s="105" t="s">
        <v>658</v>
      </c>
      <c r="B72" s="105" t="s">
        <v>1341</v>
      </c>
      <c r="C72" s="105" t="s">
        <v>751</v>
      </c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</row>
    <row r="73" spans="1:15" ht="29" x14ac:dyDescent="0.35">
      <c r="A73" s="105" t="s">
        <v>660</v>
      </c>
      <c r="B73" s="105" t="s">
        <v>706</v>
      </c>
      <c r="C73" s="105" t="s">
        <v>622</v>
      </c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</row>
    <row r="74" spans="1:15" ht="29" x14ac:dyDescent="0.35">
      <c r="A74" s="105" t="s">
        <v>662</v>
      </c>
      <c r="B74" s="105" t="s">
        <v>682</v>
      </c>
      <c r="C74" s="105" t="s">
        <v>683</v>
      </c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</row>
    <row r="75" spans="1:15" ht="29" x14ac:dyDescent="0.35">
      <c r="A75" s="105" t="s">
        <v>664</v>
      </c>
      <c r="B75" s="105" t="s">
        <v>685</v>
      </c>
      <c r="C75" s="105" t="s">
        <v>686</v>
      </c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</row>
    <row r="76" spans="1:15" ht="29" x14ac:dyDescent="0.35">
      <c r="A76" s="105" t="s">
        <v>666</v>
      </c>
      <c r="B76" s="105" t="s">
        <v>688</v>
      </c>
      <c r="C76" s="105" t="s">
        <v>686</v>
      </c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</row>
    <row r="77" spans="1:15" ht="29" x14ac:dyDescent="0.35">
      <c r="A77" s="105" t="s">
        <v>668</v>
      </c>
      <c r="B77" s="105" t="s">
        <v>690</v>
      </c>
      <c r="C77" s="105" t="s">
        <v>686</v>
      </c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</row>
    <row r="78" spans="1:15" ht="29" x14ac:dyDescent="0.35">
      <c r="A78" s="105" t="s">
        <v>670</v>
      </c>
      <c r="B78" s="105" t="s">
        <v>692</v>
      </c>
      <c r="C78" s="105" t="s">
        <v>686</v>
      </c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</row>
    <row r="79" spans="1:15" ht="29" x14ac:dyDescent="0.35">
      <c r="A79" s="105" t="s">
        <v>672</v>
      </c>
      <c r="B79" s="105" t="s">
        <v>694</v>
      </c>
      <c r="C79" s="105" t="s">
        <v>686</v>
      </c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</row>
    <row r="80" spans="1:15" ht="29" x14ac:dyDescent="0.35">
      <c r="A80" s="105" t="s">
        <v>674</v>
      </c>
      <c r="B80" s="105" t="s">
        <v>696</v>
      </c>
      <c r="C80" s="105" t="s">
        <v>686</v>
      </c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</row>
    <row r="81" spans="1:15" ht="29" x14ac:dyDescent="0.35">
      <c r="A81" s="105" t="s">
        <v>676</v>
      </c>
      <c r="B81" s="105" t="s">
        <v>698</v>
      </c>
      <c r="C81" s="105" t="s">
        <v>686</v>
      </c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</row>
    <row r="82" spans="1:15" x14ac:dyDescent="0.35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</row>
    <row r="83" spans="1:15" x14ac:dyDescent="0.35">
      <c r="A83" s="166" t="s">
        <v>707</v>
      </c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2"/>
    </row>
    <row r="84" spans="1:15" ht="58" x14ac:dyDescent="0.35">
      <c r="A84" s="108" t="s">
        <v>700</v>
      </c>
      <c r="B84" s="108" t="s">
        <v>701</v>
      </c>
      <c r="C84" s="108" t="s">
        <v>390</v>
      </c>
      <c r="D84" s="108" t="s">
        <v>351</v>
      </c>
      <c r="E84" s="108" t="s">
        <v>352</v>
      </c>
      <c r="F84" s="108" t="s">
        <v>292</v>
      </c>
      <c r="G84" s="108" t="s">
        <v>619</v>
      </c>
      <c r="H84" s="108" t="s">
        <v>353</v>
      </c>
      <c r="I84" s="108" t="s">
        <v>610</v>
      </c>
      <c r="J84" s="105"/>
      <c r="K84" s="105"/>
      <c r="L84" s="105"/>
      <c r="M84" s="105"/>
      <c r="N84" s="105"/>
      <c r="O84" s="105"/>
    </row>
    <row r="85" spans="1:15" x14ac:dyDescent="0.35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</row>
    <row r="86" spans="1:15" x14ac:dyDescent="0.35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</row>
    <row r="87" spans="1:15" x14ac:dyDescent="0.35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</row>
    <row r="88" spans="1:15" x14ac:dyDescent="0.35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</row>
    <row r="89" spans="1:15" x14ac:dyDescent="0.35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</row>
    <row r="90" spans="1:15" x14ac:dyDescent="0.35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</row>
    <row r="91" spans="1:15" x14ac:dyDescent="0.35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</row>
    <row r="92" spans="1:15" x14ac:dyDescent="0.35">
      <c r="A92" s="167" t="s">
        <v>708</v>
      </c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2"/>
    </row>
    <row r="93" spans="1:15" ht="72.5" x14ac:dyDescent="0.35">
      <c r="A93" s="108" t="s">
        <v>600</v>
      </c>
      <c r="B93" s="108"/>
      <c r="C93" s="108" t="s">
        <v>601</v>
      </c>
      <c r="D93" s="108"/>
      <c r="E93" s="108" t="s">
        <v>602</v>
      </c>
      <c r="F93" s="108"/>
      <c r="G93" s="108" t="s">
        <v>603</v>
      </c>
      <c r="H93" s="108"/>
      <c r="I93" s="108" t="s">
        <v>604</v>
      </c>
      <c r="J93" s="108"/>
      <c r="K93" s="108" t="s">
        <v>6</v>
      </c>
      <c r="L93" s="108"/>
      <c r="M93" s="108" t="s">
        <v>605</v>
      </c>
      <c r="N93" s="108"/>
      <c r="O93" s="108"/>
    </row>
    <row r="94" spans="1:15" ht="72.5" x14ac:dyDescent="0.35">
      <c r="A94" s="108" t="s">
        <v>606</v>
      </c>
      <c r="B94" s="108"/>
      <c r="C94" s="108" t="s">
        <v>607</v>
      </c>
      <c r="D94" s="108"/>
      <c r="E94" s="108" t="s">
        <v>608</v>
      </c>
      <c r="F94" s="108"/>
      <c r="G94" s="108" t="s">
        <v>609</v>
      </c>
      <c r="H94" s="108"/>
      <c r="I94" s="108" t="s">
        <v>610</v>
      </c>
      <c r="J94" s="109">
        <f>IFERROR(COUNTIF(E97:E125,"Yes")/(COUNTIF(E97:E125,"Yes")+COUNTIF(F97:F125,"No")),0)</f>
        <v>0</v>
      </c>
      <c r="K94" s="108"/>
      <c r="L94" s="108" t="str">
        <f>IF(J94&gt;=0.9,"Green",IF(J94&gt;=0.75,"Amber","Red"))</f>
        <v>Red</v>
      </c>
      <c r="M94" s="108"/>
      <c r="N94" s="108"/>
      <c r="O94" s="108"/>
    </row>
    <row r="95" spans="1:15" x14ac:dyDescent="0.35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</row>
    <row r="96" spans="1:15" ht="29" x14ac:dyDescent="0.35">
      <c r="A96" s="110" t="s">
        <v>611</v>
      </c>
      <c r="B96" s="110" t="s">
        <v>612</v>
      </c>
      <c r="C96" s="110" t="s">
        <v>613</v>
      </c>
      <c r="D96" s="110" t="s">
        <v>614</v>
      </c>
      <c r="E96" s="110" t="s">
        <v>81</v>
      </c>
      <c r="F96" s="110" t="s">
        <v>615</v>
      </c>
      <c r="G96" s="110" t="s">
        <v>616</v>
      </c>
      <c r="H96" s="110" t="s">
        <v>617</v>
      </c>
      <c r="I96" s="110" t="s">
        <v>618</v>
      </c>
      <c r="J96" s="110" t="s">
        <v>390</v>
      </c>
      <c r="K96" s="110" t="s">
        <v>351</v>
      </c>
      <c r="L96" s="110" t="s">
        <v>352</v>
      </c>
      <c r="M96" s="110" t="s">
        <v>292</v>
      </c>
      <c r="N96" s="110" t="s">
        <v>353</v>
      </c>
      <c r="O96" s="110" t="s">
        <v>619</v>
      </c>
    </row>
    <row r="97" spans="1:15" ht="29" x14ac:dyDescent="0.35">
      <c r="A97" s="105" t="s">
        <v>620</v>
      </c>
      <c r="B97" s="105" t="s">
        <v>1322</v>
      </c>
      <c r="C97" s="105" t="s">
        <v>751</v>
      </c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</row>
    <row r="98" spans="1:15" ht="29" x14ac:dyDescent="0.35">
      <c r="A98" s="105" t="s">
        <v>623</v>
      </c>
      <c r="B98" s="105" t="s">
        <v>1323</v>
      </c>
      <c r="C98" s="105" t="s">
        <v>751</v>
      </c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</row>
    <row r="99" spans="1:15" ht="29" x14ac:dyDescent="0.35">
      <c r="A99" s="105" t="s">
        <v>625</v>
      </c>
      <c r="B99" s="105" t="s">
        <v>1324</v>
      </c>
      <c r="C99" s="105" t="s">
        <v>751</v>
      </c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</row>
    <row r="100" spans="1:15" ht="29" x14ac:dyDescent="0.35">
      <c r="A100" s="105" t="s">
        <v>627</v>
      </c>
      <c r="B100" s="105" t="s">
        <v>1325</v>
      </c>
      <c r="C100" s="105" t="s">
        <v>751</v>
      </c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</row>
    <row r="101" spans="1:15" ht="29" x14ac:dyDescent="0.35">
      <c r="A101" s="105" t="s">
        <v>629</v>
      </c>
      <c r="B101" s="105" t="s">
        <v>1326</v>
      </c>
      <c r="C101" s="105" t="s">
        <v>751</v>
      </c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</row>
    <row r="102" spans="1:15" ht="29" x14ac:dyDescent="0.35">
      <c r="A102" s="105" t="s">
        <v>631</v>
      </c>
      <c r="B102" s="105" t="s">
        <v>1327</v>
      </c>
      <c r="C102" s="105" t="s">
        <v>751</v>
      </c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</row>
    <row r="103" spans="1:15" ht="29" x14ac:dyDescent="0.35">
      <c r="A103" s="105" t="s">
        <v>633</v>
      </c>
      <c r="B103" s="105" t="s">
        <v>1328</v>
      </c>
      <c r="C103" s="105" t="s">
        <v>743</v>
      </c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</row>
    <row r="104" spans="1:15" ht="29" x14ac:dyDescent="0.35">
      <c r="A104" s="105" t="s">
        <v>635</v>
      </c>
      <c r="B104" s="105" t="s">
        <v>1329</v>
      </c>
      <c r="C104" s="105" t="s">
        <v>622</v>
      </c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</row>
    <row r="105" spans="1:15" ht="29" x14ac:dyDescent="0.35">
      <c r="A105" s="105" t="s">
        <v>637</v>
      </c>
      <c r="B105" s="105" t="s">
        <v>1330</v>
      </c>
      <c r="C105" s="105" t="s">
        <v>743</v>
      </c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</row>
    <row r="106" spans="1:15" ht="29" x14ac:dyDescent="0.35">
      <c r="A106" s="105" t="s">
        <v>639</v>
      </c>
      <c r="B106" s="105" t="s">
        <v>1331</v>
      </c>
      <c r="C106" s="105" t="s">
        <v>622</v>
      </c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</row>
    <row r="107" spans="1:15" ht="29" x14ac:dyDescent="0.35">
      <c r="A107" s="105" t="s">
        <v>641</v>
      </c>
      <c r="B107" s="105" t="s">
        <v>1332</v>
      </c>
      <c r="C107" s="105" t="s">
        <v>743</v>
      </c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</row>
    <row r="108" spans="1:15" x14ac:dyDescent="0.35">
      <c r="A108" s="105" t="s">
        <v>643</v>
      </c>
      <c r="B108" s="105" t="s">
        <v>1333</v>
      </c>
      <c r="C108" s="105" t="s">
        <v>622</v>
      </c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</row>
    <row r="109" spans="1:15" ht="29" x14ac:dyDescent="0.35">
      <c r="A109" s="105" t="s">
        <v>644</v>
      </c>
      <c r="B109" s="105" t="s">
        <v>1334</v>
      </c>
      <c r="C109" s="105" t="s">
        <v>622</v>
      </c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</row>
    <row r="110" spans="1:15" ht="29" x14ac:dyDescent="0.35">
      <c r="A110" s="105" t="s">
        <v>645</v>
      </c>
      <c r="B110" s="105" t="s">
        <v>1335</v>
      </c>
      <c r="C110" s="105" t="s">
        <v>743</v>
      </c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</row>
    <row r="111" spans="1:15" ht="29" x14ac:dyDescent="0.35">
      <c r="A111" s="105" t="s">
        <v>646</v>
      </c>
      <c r="B111" s="105" t="s">
        <v>1336</v>
      </c>
      <c r="C111" s="105" t="s">
        <v>746</v>
      </c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</row>
    <row r="112" spans="1:15" ht="29" x14ac:dyDescent="0.35">
      <c r="A112" s="105" t="s">
        <v>649</v>
      </c>
      <c r="B112" s="105" t="s">
        <v>1337</v>
      </c>
      <c r="C112" s="105" t="s">
        <v>751</v>
      </c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</row>
    <row r="113" spans="1:15" ht="29" x14ac:dyDescent="0.35">
      <c r="A113" s="105" t="s">
        <v>651</v>
      </c>
      <c r="B113" s="105" t="s">
        <v>1338</v>
      </c>
      <c r="C113" s="105" t="s">
        <v>751</v>
      </c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</row>
    <row r="114" spans="1:15" ht="29" x14ac:dyDescent="0.35">
      <c r="A114" s="105" t="s">
        <v>653</v>
      </c>
      <c r="B114" s="105" t="s">
        <v>1339</v>
      </c>
      <c r="C114" s="105" t="s">
        <v>751</v>
      </c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</row>
    <row r="115" spans="1:15" ht="29" x14ac:dyDescent="0.35">
      <c r="A115" s="105" t="s">
        <v>655</v>
      </c>
      <c r="B115" s="105" t="s">
        <v>1340</v>
      </c>
      <c r="C115" s="105" t="s">
        <v>751</v>
      </c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</row>
    <row r="116" spans="1:15" ht="29" x14ac:dyDescent="0.35">
      <c r="A116" s="105" t="s">
        <v>658</v>
      </c>
      <c r="B116" s="105" t="s">
        <v>1341</v>
      </c>
      <c r="C116" s="105" t="s">
        <v>751</v>
      </c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</row>
    <row r="117" spans="1:15" ht="29" x14ac:dyDescent="0.35">
      <c r="A117" s="105" t="s">
        <v>660</v>
      </c>
      <c r="B117" s="105" t="s">
        <v>706</v>
      </c>
      <c r="C117" s="105" t="s">
        <v>622</v>
      </c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</row>
    <row r="118" spans="1:15" ht="29" x14ac:dyDescent="0.35">
      <c r="A118" s="105" t="s">
        <v>662</v>
      </c>
      <c r="B118" s="105" t="s">
        <v>682</v>
      </c>
      <c r="C118" s="105" t="s">
        <v>683</v>
      </c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</row>
    <row r="119" spans="1:15" ht="29" x14ac:dyDescent="0.35">
      <c r="A119" s="105" t="s">
        <v>664</v>
      </c>
      <c r="B119" s="105" t="s">
        <v>685</v>
      </c>
      <c r="C119" s="105" t="s">
        <v>686</v>
      </c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</row>
    <row r="120" spans="1:15" ht="29" x14ac:dyDescent="0.35">
      <c r="A120" s="105" t="s">
        <v>666</v>
      </c>
      <c r="B120" s="105" t="s">
        <v>688</v>
      </c>
      <c r="C120" s="105" t="s">
        <v>686</v>
      </c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</row>
    <row r="121" spans="1:15" ht="29" x14ac:dyDescent="0.35">
      <c r="A121" s="105" t="s">
        <v>668</v>
      </c>
      <c r="B121" s="105" t="s">
        <v>690</v>
      </c>
      <c r="C121" s="105" t="s">
        <v>686</v>
      </c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</row>
    <row r="122" spans="1:15" ht="29" x14ac:dyDescent="0.35">
      <c r="A122" s="105" t="s">
        <v>670</v>
      </c>
      <c r="B122" s="105" t="s">
        <v>692</v>
      </c>
      <c r="C122" s="105" t="s">
        <v>686</v>
      </c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</row>
    <row r="123" spans="1:15" ht="29" x14ac:dyDescent="0.35">
      <c r="A123" s="105" t="s">
        <v>672</v>
      </c>
      <c r="B123" s="105" t="s">
        <v>694</v>
      </c>
      <c r="C123" s="105" t="s">
        <v>686</v>
      </c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</row>
    <row r="124" spans="1:15" ht="29" x14ac:dyDescent="0.35">
      <c r="A124" s="105" t="s">
        <v>674</v>
      </c>
      <c r="B124" s="105" t="s">
        <v>696</v>
      </c>
      <c r="C124" s="105" t="s">
        <v>686</v>
      </c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</row>
    <row r="125" spans="1:15" ht="29" x14ac:dyDescent="0.35">
      <c r="A125" s="105" t="s">
        <v>676</v>
      </c>
      <c r="B125" s="105" t="s">
        <v>698</v>
      </c>
      <c r="C125" s="105" t="s">
        <v>686</v>
      </c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</row>
    <row r="126" spans="1:15" x14ac:dyDescent="0.35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</row>
    <row r="127" spans="1:15" x14ac:dyDescent="0.35">
      <c r="A127" s="166" t="s">
        <v>709</v>
      </c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2"/>
    </row>
    <row r="128" spans="1:15" ht="58" x14ac:dyDescent="0.35">
      <c r="A128" s="108" t="s">
        <v>700</v>
      </c>
      <c r="B128" s="108" t="s">
        <v>701</v>
      </c>
      <c r="C128" s="108" t="s">
        <v>390</v>
      </c>
      <c r="D128" s="108" t="s">
        <v>351</v>
      </c>
      <c r="E128" s="108" t="s">
        <v>352</v>
      </c>
      <c r="F128" s="108" t="s">
        <v>292</v>
      </c>
      <c r="G128" s="108" t="s">
        <v>619</v>
      </c>
      <c r="H128" s="108" t="s">
        <v>353</v>
      </c>
      <c r="I128" s="108" t="s">
        <v>610</v>
      </c>
      <c r="J128" s="105"/>
      <c r="K128" s="105"/>
      <c r="L128" s="105"/>
      <c r="M128" s="105"/>
      <c r="N128" s="105"/>
      <c r="O128" s="105"/>
    </row>
    <row r="129" spans="1:15" x14ac:dyDescent="0.35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</row>
    <row r="130" spans="1:15" x14ac:dyDescent="0.35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</row>
    <row r="131" spans="1:15" x14ac:dyDescent="0.35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</row>
    <row r="132" spans="1:15" x14ac:dyDescent="0.35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</row>
    <row r="133" spans="1:15" x14ac:dyDescent="0.35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</row>
    <row r="134" spans="1:15" x14ac:dyDescent="0.35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</row>
    <row r="135" spans="1:15" x14ac:dyDescent="0.35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</row>
    <row r="136" spans="1:15" x14ac:dyDescent="0.35">
      <c r="A136" s="167" t="s">
        <v>710</v>
      </c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2"/>
    </row>
    <row r="137" spans="1:15" ht="72.5" x14ac:dyDescent="0.35">
      <c r="A137" s="108" t="s">
        <v>600</v>
      </c>
      <c r="B137" s="108"/>
      <c r="C137" s="108" t="s">
        <v>601</v>
      </c>
      <c r="D137" s="108"/>
      <c r="E137" s="108" t="s">
        <v>602</v>
      </c>
      <c r="F137" s="108"/>
      <c r="G137" s="108" t="s">
        <v>603</v>
      </c>
      <c r="H137" s="108"/>
      <c r="I137" s="108" t="s">
        <v>604</v>
      </c>
      <c r="J137" s="108"/>
      <c r="K137" s="108" t="s">
        <v>6</v>
      </c>
      <c r="L137" s="108"/>
      <c r="M137" s="108" t="s">
        <v>605</v>
      </c>
      <c r="N137" s="108"/>
      <c r="O137" s="108"/>
    </row>
    <row r="138" spans="1:15" ht="72.5" x14ac:dyDescent="0.35">
      <c r="A138" s="108" t="s">
        <v>606</v>
      </c>
      <c r="B138" s="108"/>
      <c r="C138" s="108" t="s">
        <v>607</v>
      </c>
      <c r="D138" s="108"/>
      <c r="E138" s="108" t="s">
        <v>608</v>
      </c>
      <c r="F138" s="108"/>
      <c r="G138" s="108" t="s">
        <v>609</v>
      </c>
      <c r="H138" s="108"/>
      <c r="I138" s="108" t="s">
        <v>610</v>
      </c>
      <c r="J138" s="109">
        <f>IFERROR(COUNTIF(E141:E169,"Yes")/(COUNTIF(E141:E169,"Yes")+COUNTIF(F141:F169,"No")),0)</f>
        <v>0</v>
      </c>
      <c r="K138" s="108"/>
      <c r="L138" s="108" t="str">
        <f>IF(J138&gt;=0.9,"Green",IF(J138&gt;=0.75,"Amber","Red"))</f>
        <v>Red</v>
      </c>
      <c r="M138" s="108"/>
      <c r="N138" s="108"/>
      <c r="O138" s="108"/>
    </row>
    <row r="139" spans="1:15" x14ac:dyDescent="0.35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</row>
    <row r="140" spans="1:15" ht="29" x14ac:dyDescent="0.35">
      <c r="A140" s="110" t="s">
        <v>611</v>
      </c>
      <c r="B140" s="110" t="s">
        <v>612</v>
      </c>
      <c r="C140" s="110" t="s">
        <v>613</v>
      </c>
      <c r="D140" s="110" t="s">
        <v>614</v>
      </c>
      <c r="E140" s="110" t="s">
        <v>81</v>
      </c>
      <c r="F140" s="110" t="s">
        <v>615</v>
      </c>
      <c r="G140" s="110" t="s">
        <v>616</v>
      </c>
      <c r="H140" s="110" t="s">
        <v>617</v>
      </c>
      <c r="I140" s="110" t="s">
        <v>618</v>
      </c>
      <c r="J140" s="110" t="s">
        <v>390</v>
      </c>
      <c r="K140" s="110" t="s">
        <v>351</v>
      </c>
      <c r="L140" s="110" t="s">
        <v>352</v>
      </c>
      <c r="M140" s="110" t="s">
        <v>292</v>
      </c>
      <c r="N140" s="110" t="s">
        <v>353</v>
      </c>
      <c r="O140" s="110" t="s">
        <v>619</v>
      </c>
    </row>
    <row r="141" spans="1:15" ht="29" x14ac:dyDescent="0.35">
      <c r="A141" s="105" t="s">
        <v>620</v>
      </c>
      <c r="B141" s="105" t="s">
        <v>1322</v>
      </c>
      <c r="C141" s="105" t="s">
        <v>751</v>
      </c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</row>
    <row r="142" spans="1:15" ht="29" x14ac:dyDescent="0.35">
      <c r="A142" s="105" t="s">
        <v>623</v>
      </c>
      <c r="B142" s="105" t="s">
        <v>1323</v>
      </c>
      <c r="C142" s="105" t="s">
        <v>751</v>
      </c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</row>
    <row r="143" spans="1:15" ht="29" x14ac:dyDescent="0.35">
      <c r="A143" s="105" t="s">
        <v>625</v>
      </c>
      <c r="B143" s="105" t="s">
        <v>1324</v>
      </c>
      <c r="C143" s="105" t="s">
        <v>751</v>
      </c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</row>
    <row r="144" spans="1:15" ht="29" x14ac:dyDescent="0.35">
      <c r="A144" s="105" t="s">
        <v>627</v>
      </c>
      <c r="B144" s="105" t="s">
        <v>1325</v>
      </c>
      <c r="C144" s="105" t="s">
        <v>751</v>
      </c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</row>
    <row r="145" spans="1:15" ht="29" x14ac:dyDescent="0.35">
      <c r="A145" s="105" t="s">
        <v>629</v>
      </c>
      <c r="B145" s="105" t="s">
        <v>1326</v>
      </c>
      <c r="C145" s="105" t="s">
        <v>751</v>
      </c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</row>
    <row r="146" spans="1:15" ht="29" x14ac:dyDescent="0.35">
      <c r="A146" s="105" t="s">
        <v>631</v>
      </c>
      <c r="B146" s="105" t="s">
        <v>1327</v>
      </c>
      <c r="C146" s="105" t="s">
        <v>751</v>
      </c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</row>
    <row r="147" spans="1:15" ht="29" x14ac:dyDescent="0.35">
      <c r="A147" s="105" t="s">
        <v>633</v>
      </c>
      <c r="B147" s="105" t="s">
        <v>1328</v>
      </c>
      <c r="C147" s="105" t="s">
        <v>743</v>
      </c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</row>
    <row r="148" spans="1:15" ht="29" x14ac:dyDescent="0.35">
      <c r="A148" s="105" t="s">
        <v>635</v>
      </c>
      <c r="B148" s="105" t="s">
        <v>1329</v>
      </c>
      <c r="C148" s="105" t="s">
        <v>622</v>
      </c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</row>
    <row r="149" spans="1:15" ht="29" x14ac:dyDescent="0.35">
      <c r="A149" s="105" t="s">
        <v>637</v>
      </c>
      <c r="B149" s="105" t="s">
        <v>1330</v>
      </c>
      <c r="C149" s="105" t="s">
        <v>743</v>
      </c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</row>
    <row r="150" spans="1:15" ht="29" x14ac:dyDescent="0.35">
      <c r="A150" s="105" t="s">
        <v>639</v>
      </c>
      <c r="B150" s="105" t="s">
        <v>1331</v>
      </c>
      <c r="C150" s="105" t="s">
        <v>622</v>
      </c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</row>
    <row r="151" spans="1:15" ht="29" x14ac:dyDescent="0.35">
      <c r="A151" s="105" t="s">
        <v>641</v>
      </c>
      <c r="B151" s="105" t="s">
        <v>1332</v>
      </c>
      <c r="C151" s="105" t="s">
        <v>743</v>
      </c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</row>
    <row r="152" spans="1:15" x14ac:dyDescent="0.35">
      <c r="A152" s="105" t="s">
        <v>643</v>
      </c>
      <c r="B152" s="105" t="s">
        <v>1333</v>
      </c>
      <c r="C152" s="105" t="s">
        <v>622</v>
      </c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</row>
    <row r="153" spans="1:15" ht="29" x14ac:dyDescent="0.35">
      <c r="A153" s="105" t="s">
        <v>644</v>
      </c>
      <c r="B153" s="105" t="s">
        <v>1334</v>
      </c>
      <c r="C153" s="105" t="s">
        <v>622</v>
      </c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</row>
    <row r="154" spans="1:15" ht="29" x14ac:dyDescent="0.35">
      <c r="A154" s="105" t="s">
        <v>645</v>
      </c>
      <c r="B154" s="105" t="s">
        <v>1335</v>
      </c>
      <c r="C154" s="105" t="s">
        <v>743</v>
      </c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</row>
    <row r="155" spans="1:15" ht="29" x14ac:dyDescent="0.35">
      <c r="A155" s="105" t="s">
        <v>646</v>
      </c>
      <c r="B155" s="105" t="s">
        <v>1336</v>
      </c>
      <c r="C155" s="105" t="s">
        <v>746</v>
      </c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</row>
    <row r="156" spans="1:15" ht="29" x14ac:dyDescent="0.35">
      <c r="A156" s="105" t="s">
        <v>649</v>
      </c>
      <c r="B156" s="105" t="s">
        <v>1337</v>
      </c>
      <c r="C156" s="105" t="s">
        <v>751</v>
      </c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</row>
    <row r="157" spans="1:15" ht="29" x14ac:dyDescent="0.35">
      <c r="A157" s="105" t="s">
        <v>651</v>
      </c>
      <c r="B157" s="105" t="s">
        <v>1338</v>
      </c>
      <c r="C157" s="105" t="s">
        <v>751</v>
      </c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</row>
    <row r="158" spans="1:15" ht="29" x14ac:dyDescent="0.35">
      <c r="A158" s="105" t="s">
        <v>653</v>
      </c>
      <c r="B158" s="105" t="s">
        <v>1339</v>
      </c>
      <c r="C158" s="105" t="s">
        <v>751</v>
      </c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</row>
    <row r="159" spans="1:15" ht="29" x14ac:dyDescent="0.35">
      <c r="A159" s="105" t="s">
        <v>655</v>
      </c>
      <c r="B159" s="105" t="s">
        <v>1340</v>
      </c>
      <c r="C159" s="105" t="s">
        <v>751</v>
      </c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</row>
    <row r="160" spans="1:15" ht="29" x14ac:dyDescent="0.35">
      <c r="A160" s="105" t="s">
        <v>658</v>
      </c>
      <c r="B160" s="105" t="s">
        <v>1341</v>
      </c>
      <c r="C160" s="105" t="s">
        <v>751</v>
      </c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</row>
    <row r="161" spans="1:15" ht="29" x14ac:dyDescent="0.35">
      <c r="A161" s="105" t="s">
        <v>660</v>
      </c>
      <c r="B161" s="105" t="s">
        <v>706</v>
      </c>
      <c r="C161" s="105" t="s">
        <v>622</v>
      </c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</row>
    <row r="162" spans="1:15" ht="29" x14ac:dyDescent="0.35">
      <c r="A162" s="105" t="s">
        <v>662</v>
      </c>
      <c r="B162" s="105" t="s">
        <v>682</v>
      </c>
      <c r="C162" s="105" t="s">
        <v>683</v>
      </c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</row>
    <row r="163" spans="1:15" ht="29" x14ac:dyDescent="0.35">
      <c r="A163" s="105" t="s">
        <v>664</v>
      </c>
      <c r="B163" s="105" t="s">
        <v>685</v>
      </c>
      <c r="C163" s="105" t="s">
        <v>686</v>
      </c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</row>
    <row r="164" spans="1:15" ht="29" x14ac:dyDescent="0.35">
      <c r="A164" s="105" t="s">
        <v>666</v>
      </c>
      <c r="B164" s="105" t="s">
        <v>688</v>
      </c>
      <c r="C164" s="105" t="s">
        <v>686</v>
      </c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</row>
    <row r="165" spans="1:15" ht="29" x14ac:dyDescent="0.35">
      <c r="A165" s="105" t="s">
        <v>668</v>
      </c>
      <c r="B165" s="105" t="s">
        <v>690</v>
      </c>
      <c r="C165" s="105" t="s">
        <v>686</v>
      </c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</row>
    <row r="166" spans="1:15" ht="29" x14ac:dyDescent="0.35">
      <c r="A166" s="105" t="s">
        <v>670</v>
      </c>
      <c r="B166" s="105" t="s">
        <v>692</v>
      </c>
      <c r="C166" s="105" t="s">
        <v>686</v>
      </c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</row>
    <row r="167" spans="1:15" ht="29" x14ac:dyDescent="0.35">
      <c r="A167" s="105" t="s">
        <v>672</v>
      </c>
      <c r="B167" s="105" t="s">
        <v>694</v>
      </c>
      <c r="C167" s="105" t="s">
        <v>686</v>
      </c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</row>
    <row r="168" spans="1:15" ht="29" x14ac:dyDescent="0.35">
      <c r="A168" s="105" t="s">
        <v>674</v>
      </c>
      <c r="B168" s="105" t="s">
        <v>696</v>
      </c>
      <c r="C168" s="105" t="s">
        <v>686</v>
      </c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</row>
    <row r="169" spans="1:15" ht="29" x14ac:dyDescent="0.35">
      <c r="A169" s="105" t="s">
        <v>676</v>
      </c>
      <c r="B169" s="105" t="s">
        <v>698</v>
      </c>
      <c r="C169" s="105" t="s">
        <v>686</v>
      </c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</row>
    <row r="170" spans="1:15" x14ac:dyDescent="0.35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</row>
    <row r="171" spans="1:15" x14ac:dyDescent="0.35">
      <c r="A171" s="166" t="s">
        <v>711</v>
      </c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2"/>
    </row>
    <row r="172" spans="1:15" ht="58" x14ac:dyDescent="0.35">
      <c r="A172" s="108" t="s">
        <v>700</v>
      </c>
      <c r="B172" s="108" t="s">
        <v>701</v>
      </c>
      <c r="C172" s="108" t="s">
        <v>390</v>
      </c>
      <c r="D172" s="108" t="s">
        <v>351</v>
      </c>
      <c r="E172" s="108" t="s">
        <v>352</v>
      </c>
      <c r="F172" s="108" t="s">
        <v>292</v>
      </c>
      <c r="G172" s="108" t="s">
        <v>619</v>
      </c>
      <c r="H172" s="108" t="s">
        <v>353</v>
      </c>
      <c r="I172" s="108" t="s">
        <v>610</v>
      </c>
      <c r="J172" s="105"/>
      <c r="K172" s="105"/>
      <c r="L172" s="105"/>
      <c r="M172" s="105"/>
      <c r="N172" s="105"/>
      <c r="O172" s="105"/>
    </row>
    <row r="173" spans="1:15" x14ac:dyDescent="0.35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</row>
    <row r="174" spans="1:15" x14ac:dyDescent="0.35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</row>
    <row r="175" spans="1:15" x14ac:dyDescent="0.3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</row>
    <row r="176" spans="1:15" x14ac:dyDescent="0.35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</row>
    <row r="177" spans="1:15" x14ac:dyDescent="0.35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</row>
    <row r="178" spans="1:15" x14ac:dyDescent="0.35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</row>
    <row r="179" spans="1:15" x14ac:dyDescent="0.35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</row>
    <row r="180" spans="1:15" x14ac:dyDescent="0.35">
      <c r="A180" s="167" t="s">
        <v>712</v>
      </c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2"/>
    </row>
    <row r="181" spans="1:15" ht="72.5" x14ac:dyDescent="0.35">
      <c r="A181" s="108" t="s">
        <v>600</v>
      </c>
      <c r="B181" s="108"/>
      <c r="C181" s="108" t="s">
        <v>601</v>
      </c>
      <c r="D181" s="108"/>
      <c r="E181" s="108" t="s">
        <v>602</v>
      </c>
      <c r="F181" s="108"/>
      <c r="G181" s="108" t="s">
        <v>603</v>
      </c>
      <c r="H181" s="108"/>
      <c r="I181" s="108" t="s">
        <v>604</v>
      </c>
      <c r="J181" s="108"/>
      <c r="K181" s="108" t="s">
        <v>6</v>
      </c>
      <c r="L181" s="108"/>
      <c r="M181" s="108" t="s">
        <v>605</v>
      </c>
      <c r="N181" s="108"/>
      <c r="O181" s="108"/>
    </row>
    <row r="182" spans="1:15" ht="72.5" x14ac:dyDescent="0.35">
      <c r="A182" s="108" t="s">
        <v>606</v>
      </c>
      <c r="B182" s="108"/>
      <c r="C182" s="108" t="s">
        <v>607</v>
      </c>
      <c r="D182" s="108"/>
      <c r="E182" s="108" t="s">
        <v>608</v>
      </c>
      <c r="F182" s="108"/>
      <c r="G182" s="108" t="s">
        <v>609</v>
      </c>
      <c r="H182" s="108"/>
      <c r="I182" s="108" t="s">
        <v>610</v>
      </c>
      <c r="J182" s="109">
        <f>IFERROR(COUNTIF(E185:E213,"Yes")/(COUNTIF(E185:E213,"Yes")+COUNTIF(F185:F213,"No")),0)</f>
        <v>0</v>
      </c>
      <c r="K182" s="108"/>
      <c r="L182" s="108" t="str">
        <f>IF(J182&gt;=0.9,"Green",IF(J182&gt;=0.75,"Amber","Red"))</f>
        <v>Red</v>
      </c>
      <c r="M182" s="108"/>
      <c r="N182" s="108"/>
      <c r="O182" s="108"/>
    </row>
    <row r="183" spans="1:15" x14ac:dyDescent="0.35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</row>
    <row r="184" spans="1:15" ht="29" x14ac:dyDescent="0.35">
      <c r="A184" s="110" t="s">
        <v>611</v>
      </c>
      <c r="B184" s="110" t="s">
        <v>612</v>
      </c>
      <c r="C184" s="110" t="s">
        <v>613</v>
      </c>
      <c r="D184" s="110" t="s">
        <v>614</v>
      </c>
      <c r="E184" s="110" t="s">
        <v>81</v>
      </c>
      <c r="F184" s="110" t="s">
        <v>615</v>
      </c>
      <c r="G184" s="110" t="s">
        <v>616</v>
      </c>
      <c r="H184" s="110" t="s">
        <v>617</v>
      </c>
      <c r="I184" s="110" t="s">
        <v>618</v>
      </c>
      <c r="J184" s="110" t="s">
        <v>390</v>
      </c>
      <c r="K184" s="110" t="s">
        <v>351</v>
      </c>
      <c r="L184" s="110" t="s">
        <v>352</v>
      </c>
      <c r="M184" s="110" t="s">
        <v>292</v>
      </c>
      <c r="N184" s="110" t="s">
        <v>353</v>
      </c>
      <c r="O184" s="110" t="s">
        <v>619</v>
      </c>
    </row>
    <row r="185" spans="1:15" ht="29" x14ac:dyDescent="0.35">
      <c r="A185" s="105" t="s">
        <v>620</v>
      </c>
      <c r="B185" s="105" t="s">
        <v>1322</v>
      </c>
      <c r="C185" s="105" t="s">
        <v>751</v>
      </c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</row>
    <row r="186" spans="1:15" ht="29" x14ac:dyDescent="0.35">
      <c r="A186" s="105" t="s">
        <v>623</v>
      </c>
      <c r="B186" s="105" t="s">
        <v>1323</v>
      </c>
      <c r="C186" s="105" t="s">
        <v>751</v>
      </c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</row>
    <row r="187" spans="1:15" ht="29" x14ac:dyDescent="0.35">
      <c r="A187" s="105" t="s">
        <v>625</v>
      </c>
      <c r="B187" s="105" t="s">
        <v>1324</v>
      </c>
      <c r="C187" s="105" t="s">
        <v>751</v>
      </c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</row>
    <row r="188" spans="1:15" ht="29" x14ac:dyDescent="0.35">
      <c r="A188" s="105" t="s">
        <v>627</v>
      </c>
      <c r="B188" s="105" t="s">
        <v>1325</v>
      </c>
      <c r="C188" s="105" t="s">
        <v>751</v>
      </c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</row>
    <row r="189" spans="1:15" ht="29" x14ac:dyDescent="0.35">
      <c r="A189" s="105" t="s">
        <v>629</v>
      </c>
      <c r="B189" s="105" t="s">
        <v>1326</v>
      </c>
      <c r="C189" s="105" t="s">
        <v>751</v>
      </c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</row>
    <row r="190" spans="1:15" ht="29" x14ac:dyDescent="0.35">
      <c r="A190" s="105" t="s">
        <v>631</v>
      </c>
      <c r="B190" s="105" t="s">
        <v>1327</v>
      </c>
      <c r="C190" s="105" t="s">
        <v>751</v>
      </c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</row>
    <row r="191" spans="1:15" ht="29" x14ac:dyDescent="0.35">
      <c r="A191" s="105" t="s">
        <v>633</v>
      </c>
      <c r="B191" s="105" t="s">
        <v>1328</v>
      </c>
      <c r="C191" s="105" t="s">
        <v>743</v>
      </c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</row>
    <row r="192" spans="1:15" ht="29" x14ac:dyDescent="0.35">
      <c r="A192" s="105" t="s">
        <v>635</v>
      </c>
      <c r="B192" s="105" t="s">
        <v>1329</v>
      </c>
      <c r="C192" s="105" t="s">
        <v>622</v>
      </c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</row>
    <row r="193" spans="1:15" ht="29" x14ac:dyDescent="0.35">
      <c r="A193" s="105" t="s">
        <v>637</v>
      </c>
      <c r="B193" s="105" t="s">
        <v>1330</v>
      </c>
      <c r="C193" s="105" t="s">
        <v>743</v>
      </c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</row>
    <row r="194" spans="1:15" ht="29" x14ac:dyDescent="0.35">
      <c r="A194" s="105" t="s">
        <v>639</v>
      </c>
      <c r="B194" s="105" t="s">
        <v>1331</v>
      </c>
      <c r="C194" s="105" t="s">
        <v>622</v>
      </c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</row>
    <row r="195" spans="1:15" ht="29" x14ac:dyDescent="0.35">
      <c r="A195" s="105" t="s">
        <v>641</v>
      </c>
      <c r="B195" s="105" t="s">
        <v>1332</v>
      </c>
      <c r="C195" s="105" t="s">
        <v>743</v>
      </c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</row>
    <row r="196" spans="1:15" x14ac:dyDescent="0.35">
      <c r="A196" s="105" t="s">
        <v>643</v>
      </c>
      <c r="B196" s="105" t="s">
        <v>1333</v>
      </c>
      <c r="C196" s="105" t="s">
        <v>622</v>
      </c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</row>
    <row r="197" spans="1:15" ht="29" x14ac:dyDescent="0.35">
      <c r="A197" s="105" t="s">
        <v>644</v>
      </c>
      <c r="B197" s="105" t="s">
        <v>1334</v>
      </c>
      <c r="C197" s="105" t="s">
        <v>622</v>
      </c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</row>
    <row r="198" spans="1:15" ht="29" x14ac:dyDescent="0.35">
      <c r="A198" s="105" t="s">
        <v>645</v>
      </c>
      <c r="B198" s="105" t="s">
        <v>1335</v>
      </c>
      <c r="C198" s="105" t="s">
        <v>743</v>
      </c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</row>
    <row r="199" spans="1:15" ht="29" x14ac:dyDescent="0.35">
      <c r="A199" s="105" t="s">
        <v>646</v>
      </c>
      <c r="B199" s="105" t="s">
        <v>1336</v>
      </c>
      <c r="C199" s="105" t="s">
        <v>746</v>
      </c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</row>
    <row r="200" spans="1:15" ht="29" x14ac:dyDescent="0.35">
      <c r="A200" s="105" t="s">
        <v>649</v>
      </c>
      <c r="B200" s="105" t="s">
        <v>1337</v>
      </c>
      <c r="C200" s="105" t="s">
        <v>751</v>
      </c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</row>
    <row r="201" spans="1:15" ht="29" x14ac:dyDescent="0.35">
      <c r="A201" s="105" t="s">
        <v>651</v>
      </c>
      <c r="B201" s="105" t="s">
        <v>1338</v>
      </c>
      <c r="C201" s="105" t="s">
        <v>751</v>
      </c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</row>
    <row r="202" spans="1:15" ht="29" x14ac:dyDescent="0.35">
      <c r="A202" s="105" t="s">
        <v>653</v>
      </c>
      <c r="B202" s="105" t="s">
        <v>1339</v>
      </c>
      <c r="C202" s="105" t="s">
        <v>751</v>
      </c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</row>
    <row r="203" spans="1:15" ht="29" x14ac:dyDescent="0.35">
      <c r="A203" s="105" t="s">
        <v>655</v>
      </c>
      <c r="B203" s="105" t="s">
        <v>1340</v>
      </c>
      <c r="C203" s="105" t="s">
        <v>751</v>
      </c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</row>
    <row r="204" spans="1:15" ht="29" x14ac:dyDescent="0.35">
      <c r="A204" s="105" t="s">
        <v>658</v>
      </c>
      <c r="B204" s="105" t="s">
        <v>1341</v>
      </c>
      <c r="C204" s="105" t="s">
        <v>751</v>
      </c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</row>
    <row r="205" spans="1:15" ht="29" x14ac:dyDescent="0.35">
      <c r="A205" s="105" t="s">
        <v>660</v>
      </c>
      <c r="B205" s="105" t="s">
        <v>706</v>
      </c>
      <c r="C205" s="105" t="s">
        <v>622</v>
      </c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</row>
    <row r="206" spans="1:15" ht="29" x14ac:dyDescent="0.35">
      <c r="A206" s="105" t="s">
        <v>662</v>
      </c>
      <c r="B206" s="105" t="s">
        <v>682</v>
      </c>
      <c r="C206" s="105" t="s">
        <v>683</v>
      </c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</row>
    <row r="207" spans="1:15" ht="29" x14ac:dyDescent="0.35">
      <c r="A207" s="105" t="s">
        <v>664</v>
      </c>
      <c r="B207" s="105" t="s">
        <v>685</v>
      </c>
      <c r="C207" s="105" t="s">
        <v>686</v>
      </c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</row>
    <row r="208" spans="1:15" ht="29" x14ac:dyDescent="0.35">
      <c r="A208" s="105" t="s">
        <v>666</v>
      </c>
      <c r="B208" s="105" t="s">
        <v>688</v>
      </c>
      <c r="C208" s="105" t="s">
        <v>686</v>
      </c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</row>
    <row r="209" spans="1:15" ht="29" x14ac:dyDescent="0.35">
      <c r="A209" s="105" t="s">
        <v>668</v>
      </c>
      <c r="B209" s="105" t="s">
        <v>690</v>
      </c>
      <c r="C209" s="105" t="s">
        <v>686</v>
      </c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</row>
    <row r="210" spans="1:15" ht="29" x14ac:dyDescent="0.35">
      <c r="A210" s="105" t="s">
        <v>670</v>
      </c>
      <c r="B210" s="105" t="s">
        <v>692</v>
      </c>
      <c r="C210" s="105" t="s">
        <v>686</v>
      </c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</row>
    <row r="211" spans="1:15" ht="29" x14ac:dyDescent="0.35">
      <c r="A211" s="105" t="s">
        <v>672</v>
      </c>
      <c r="B211" s="105" t="s">
        <v>694</v>
      </c>
      <c r="C211" s="105" t="s">
        <v>686</v>
      </c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</row>
    <row r="212" spans="1:15" ht="29" x14ac:dyDescent="0.35">
      <c r="A212" s="105" t="s">
        <v>674</v>
      </c>
      <c r="B212" s="105" t="s">
        <v>696</v>
      </c>
      <c r="C212" s="105" t="s">
        <v>686</v>
      </c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</row>
    <row r="213" spans="1:15" ht="29" x14ac:dyDescent="0.35">
      <c r="A213" s="105" t="s">
        <v>676</v>
      </c>
      <c r="B213" s="105" t="s">
        <v>698</v>
      </c>
      <c r="C213" s="105" t="s">
        <v>686</v>
      </c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</row>
    <row r="214" spans="1:15" x14ac:dyDescent="0.35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</row>
    <row r="215" spans="1:15" x14ac:dyDescent="0.35">
      <c r="A215" s="166" t="s">
        <v>713</v>
      </c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2"/>
    </row>
    <row r="216" spans="1:15" ht="58" x14ac:dyDescent="0.35">
      <c r="A216" s="108" t="s">
        <v>700</v>
      </c>
      <c r="B216" s="108" t="s">
        <v>701</v>
      </c>
      <c r="C216" s="108" t="s">
        <v>390</v>
      </c>
      <c r="D216" s="108" t="s">
        <v>351</v>
      </c>
      <c r="E216" s="108" t="s">
        <v>352</v>
      </c>
      <c r="F216" s="108" t="s">
        <v>292</v>
      </c>
      <c r="G216" s="108" t="s">
        <v>619</v>
      </c>
      <c r="H216" s="108" t="s">
        <v>353</v>
      </c>
      <c r="I216" s="108" t="s">
        <v>610</v>
      </c>
      <c r="J216" s="105"/>
      <c r="K216" s="105"/>
      <c r="L216" s="105"/>
      <c r="M216" s="105"/>
      <c r="N216" s="105"/>
      <c r="O216" s="105"/>
    </row>
    <row r="217" spans="1:15" x14ac:dyDescent="0.35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</row>
    <row r="218" spans="1:15" x14ac:dyDescent="0.35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</row>
    <row r="219" spans="1:15" x14ac:dyDescent="0.35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</row>
    <row r="220" spans="1:15" x14ac:dyDescent="0.35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</row>
    <row r="221" spans="1:15" x14ac:dyDescent="0.35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</row>
    <row r="222" spans="1:15" x14ac:dyDescent="0.35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</row>
    <row r="223" spans="1:15" x14ac:dyDescent="0.35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</row>
    <row r="224" spans="1:15" x14ac:dyDescent="0.35">
      <c r="A224" s="167" t="s">
        <v>714</v>
      </c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2"/>
    </row>
    <row r="225" spans="1:15" ht="72.5" x14ac:dyDescent="0.35">
      <c r="A225" s="108" t="s">
        <v>600</v>
      </c>
      <c r="B225" s="108"/>
      <c r="C225" s="108" t="s">
        <v>601</v>
      </c>
      <c r="D225" s="108"/>
      <c r="E225" s="108" t="s">
        <v>602</v>
      </c>
      <c r="F225" s="108"/>
      <c r="G225" s="108" t="s">
        <v>603</v>
      </c>
      <c r="H225" s="108"/>
      <c r="I225" s="108" t="s">
        <v>604</v>
      </c>
      <c r="J225" s="108"/>
      <c r="K225" s="108" t="s">
        <v>6</v>
      </c>
      <c r="L225" s="108"/>
      <c r="M225" s="108" t="s">
        <v>605</v>
      </c>
      <c r="N225" s="108"/>
      <c r="O225" s="108"/>
    </row>
    <row r="226" spans="1:15" ht="72.5" x14ac:dyDescent="0.35">
      <c r="A226" s="108" t="s">
        <v>606</v>
      </c>
      <c r="B226" s="108"/>
      <c r="C226" s="108" t="s">
        <v>607</v>
      </c>
      <c r="D226" s="108"/>
      <c r="E226" s="108" t="s">
        <v>608</v>
      </c>
      <c r="F226" s="108"/>
      <c r="G226" s="108" t="s">
        <v>609</v>
      </c>
      <c r="H226" s="108"/>
      <c r="I226" s="108" t="s">
        <v>610</v>
      </c>
      <c r="J226" s="109">
        <f>IFERROR(COUNTIF(E229:E257,"Yes")/(COUNTIF(E229:E257,"Yes")+COUNTIF(F229:F257,"No")),0)</f>
        <v>0</v>
      </c>
      <c r="K226" s="108"/>
      <c r="L226" s="108" t="str">
        <f>IF(J226&gt;=0.9,"Green",IF(J226&gt;=0.75,"Amber","Red"))</f>
        <v>Red</v>
      </c>
      <c r="M226" s="108"/>
      <c r="N226" s="108"/>
      <c r="O226" s="108"/>
    </row>
    <row r="227" spans="1:15" x14ac:dyDescent="0.35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</row>
    <row r="228" spans="1:15" ht="29" x14ac:dyDescent="0.35">
      <c r="A228" s="110" t="s">
        <v>611</v>
      </c>
      <c r="B228" s="110" t="s">
        <v>612</v>
      </c>
      <c r="C228" s="110" t="s">
        <v>613</v>
      </c>
      <c r="D228" s="110" t="s">
        <v>614</v>
      </c>
      <c r="E228" s="110" t="s">
        <v>81</v>
      </c>
      <c r="F228" s="110" t="s">
        <v>615</v>
      </c>
      <c r="G228" s="110" t="s">
        <v>616</v>
      </c>
      <c r="H228" s="110" t="s">
        <v>617</v>
      </c>
      <c r="I228" s="110" t="s">
        <v>618</v>
      </c>
      <c r="J228" s="110" t="s">
        <v>390</v>
      </c>
      <c r="K228" s="110" t="s">
        <v>351</v>
      </c>
      <c r="L228" s="110" t="s">
        <v>352</v>
      </c>
      <c r="M228" s="110" t="s">
        <v>292</v>
      </c>
      <c r="N228" s="110" t="s">
        <v>353</v>
      </c>
      <c r="O228" s="110" t="s">
        <v>619</v>
      </c>
    </row>
    <row r="229" spans="1:15" ht="29" x14ac:dyDescent="0.35">
      <c r="A229" s="105" t="s">
        <v>620</v>
      </c>
      <c r="B229" s="105" t="s">
        <v>1322</v>
      </c>
      <c r="C229" s="105" t="s">
        <v>751</v>
      </c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</row>
    <row r="230" spans="1:15" ht="29" x14ac:dyDescent="0.35">
      <c r="A230" s="105" t="s">
        <v>623</v>
      </c>
      <c r="B230" s="105" t="s">
        <v>1323</v>
      </c>
      <c r="C230" s="105" t="s">
        <v>751</v>
      </c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</row>
    <row r="231" spans="1:15" ht="29" x14ac:dyDescent="0.35">
      <c r="A231" s="105" t="s">
        <v>625</v>
      </c>
      <c r="B231" s="105" t="s">
        <v>1324</v>
      </c>
      <c r="C231" s="105" t="s">
        <v>751</v>
      </c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</row>
    <row r="232" spans="1:15" ht="29" x14ac:dyDescent="0.35">
      <c r="A232" s="105" t="s">
        <v>627</v>
      </c>
      <c r="B232" s="105" t="s">
        <v>1325</v>
      </c>
      <c r="C232" s="105" t="s">
        <v>751</v>
      </c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</row>
    <row r="233" spans="1:15" ht="29" x14ac:dyDescent="0.35">
      <c r="A233" s="105" t="s">
        <v>629</v>
      </c>
      <c r="B233" s="105" t="s">
        <v>1326</v>
      </c>
      <c r="C233" s="105" t="s">
        <v>751</v>
      </c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</row>
    <row r="234" spans="1:15" ht="29" x14ac:dyDescent="0.35">
      <c r="A234" s="105" t="s">
        <v>631</v>
      </c>
      <c r="B234" s="105" t="s">
        <v>1327</v>
      </c>
      <c r="C234" s="105" t="s">
        <v>751</v>
      </c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</row>
    <row r="235" spans="1:15" ht="29" x14ac:dyDescent="0.35">
      <c r="A235" s="105" t="s">
        <v>633</v>
      </c>
      <c r="B235" s="105" t="s">
        <v>1328</v>
      </c>
      <c r="C235" s="105" t="s">
        <v>743</v>
      </c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</row>
    <row r="236" spans="1:15" ht="29" x14ac:dyDescent="0.35">
      <c r="A236" s="105" t="s">
        <v>635</v>
      </c>
      <c r="B236" s="105" t="s">
        <v>1329</v>
      </c>
      <c r="C236" s="105" t="s">
        <v>622</v>
      </c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</row>
    <row r="237" spans="1:15" ht="29" x14ac:dyDescent="0.35">
      <c r="A237" s="105" t="s">
        <v>637</v>
      </c>
      <c r="B237" s="105" t="s">
        <v>1330</v>
      </c>
      <c r="C237" s="105" t="s">
        <v>743</v>
      </c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</row>
    <row r="238" spans="1:15" ht="29" x14ac:dyDescent="0.35">
      <c r="A238" s="105" t="s">
        <v>639</v>
      </c>
      <c r="B238" s="105" t="s">
        <v>1331</v>
      </c>
      <c r="C238" s="105" t="s">
        <v>622</v>
      </c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</row>
    <row r="239" spans="1:15" ht="29" x14ac:dyDescent="0.35">
      <c r="A239" s="105" t="s">
        <v>641</v>
      </c>
      <c r="B239" s="105" t="s">
        <v>1332</v>
      </c>
      <c r="C239" s="105" t="s">
        <v>743</v>
      </c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</row>
    <row r="240" spans="1:15" x14ac:dyDescent="0.35">
      <c r="A240" s="105" t="s">
        <v>643</v>
      </c>
      <c r="B240" s="105" t="s">
        <v>1333</v>
      </c>
      <c r="C240" s="105" t="s">
        <v>622</v>
      </c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</row>
    <row r="241" spans="1:15" ht="29" x14ac:dyDescent="0.35">
      <c r="A241" s="105" t="s">
        <v>644</v>
      </c>
      <c r="B241" s="105" t="s">
        <v>1334</v>
      </c>
      <c r="C241" s="105" t="s">
        <v>622</v>
      </c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</row>
    <row r="242" spans="1:15" ht="29" x14ac:dyDescent="0.35">
      <c r="A242" s="105" t="s">
        <v>645</v>
      </c>
      <c r="B242" s="105" t="s">
        <v>1335</v>
      </c>
      <c r="C242" s="105" t="s">
        <v>743</v>
      </c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</row>
    <row r="243" spans="1:15" ht="29" x14ac:dyDescent="0.35">
      <c r="A243" s="105" t="s">
        <v>646</v>
      </c>
      <c r="B243" s="105" t="s">
        <v>1336</v>
      </c>
      <c r="C243" s="105" t="s">
        <v>746</v>
      </c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</row>
    <row r="244" spans="1:15" ht="29" x14ac:dyDescent="0.35">
      <c r="A244" s="105" t="s">
        <v>649</v>
      </c>
      <c r="B244" s="105" t="s">
        <v>1337</v>
      </c>
      <c r="C244" s="105" t="s">
        <v>751</v>
      </c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</row>
    <row r="245" spans="1:15" ht="29" x14ac:dyDescent="0.35">
      <c r="A245" s="105" t="s">
        <v>651</v>
      </c>
      <c r="B245" s="105" t="s">
        <v>1338</v>
      </c>
      <c r="C245" s="105" t="s">
        <v>751</v>
      </c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</row>
    <row r="246" spans="1:15" ht="29" x14ac:dyDescent="0.35">
      <c r="A246" s="105" t="s">
        <v>653</v>
      </c>
      <c r="B246" s="105" t="s">
        <v>1339</v>
      </c>
      <c r="C246" s="105" t="s">
        <v>751</v>
      </c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</row>
    <row r="247" spans="1:15" ht="29" x14ac:dyDescent="0.35">
      <c r="A247" s="105" t="s">
        <v>655</v>
      </c>
      <c r="B247" s="105" t="s">
        <v>1340</v>
      </c>
      <c r="C247" s="105" t="s">
        <v>751</v>
      </c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</row>
    <row r="248" spans="1:15" ht="29" x14ac:dyDescent="0.35">
      <c r="A248" s="105" t="s">
        <v>658</v>
      </c>
      <c r="B248" s="105" t="s">
        <v>1341</v>
      </c>
      <c r="C248" s="105" t="s">
        <v>751</v>
      </c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</row>
    <row r="249" spans="1:15" ht="29" x14ac:dyDescent="0.35">
      <c r="A249" s="105" t="s">
        <v>660</v>
      </c>
      <c r="B249" s="105" t="s">
        <v>706</v>
      </c>
      <c r="C249" s="105" t="s">
        <v>622</v>
      </c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</row>
    <row r="250" spans="1:15" ht="29" x14ac:dyDescent="0.35">
      <c r="A250" s="105" t="s">
        <v>662</v>
      </c>
      <c r="B250" s="105" t="s">
        <v>682</v>
      </c>
      <c r="C250" s="105" t="s">
        <v>683</v>
      </c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</row>
    <row r="251" spans="1:15" ht="29" x14ac:dyDescent="0.35">
      <c r="A251" s="105" t="s">
        <v>664</v>
      </c>
      <c r="B251" s="105" t="s">
        <v>685</v>
      </c>
      <c r="C251" s="105" t="s">
        <v>686</v>
      </c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</row>
    <row r="252" spans="1:15" ht="29" x14ac:dyDescent="0.35">
      <c r="A252" s="105" t="s">
        <v>666</v>
      </c>
      <c r="B252" s="105" t="s">
        <v>688</v>
      </c>
      <c r="C252" s="105" t="s">
        <v>686</v>
      </c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</row>
    <row r="253" spans="1:15" ht="29" x14ac:dyDescent="0.35">
      <c r="A253" s="105" t="s">
        <v>668</v>
      </c>
      <c r="B253" s="105" t="s">
        <v>690</v>
      </c>
      <c r="C253" s="105" t="s">
        <v>686</v>
      </c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</row>
    <row r="254" spans="1:15" ht="29" x14ac:dyDescent="0.35">
      <c r="A254" s="105" t="s">
        <v>670</v>
      </c>
      <c r="B254" s="105" t="s">
        <v>692</v>
      </c>
      <c r="C254" s="105" t="s">
        <v>686</v>
      </c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</row>
    <row r="255" spans="1:15" ht="29" x14ac:dyDescent="0.35">
      <c r="A255" s="105" t="s">
        <v>672</v>
      </c>
      <c r="B255" s="105" t="s">
        <v>694</v>
      </c>
      <c r="C255" s="105" t="s">
        <v>686</v>
      </c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</row>
    <row r="256" spans="1:15" ht="29" x14ac:dyDescent="0.35">
      <c r="A256" s="105" t="s">
        <v>674</v>
      </c>
      <c r="B256" s="105" t="s">
        <v>696</v>
      </c>
      <c r="C256" s="105" t="s">
        <v>686</v>
      </c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</row>
    <row r="257" spans="1:15" ht="29" x14ac:dyDescent="0.35">
      <c r="A257" s="105" t="s">
        <v>676</v>
      </c>
      <c r="B257" s="105" t="s">
        <v>698</v>
      </c>
      <c r="C257" s="105" t="s">
        <v>686</v>
      </c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</row>
    <row r="258" spans="1:15" x14ac:dyDescent="0.35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</row>
    <row r="259" spans="1:15" x14ac:dyDescent="0.35">
      <c r="A259" s="166" t="s">
        <v>715</v>
      </c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2"/>
    </row>
    <row r="260" spans="1:15" ht="58" x14ac:dyDescent="0.35">
      <c r="A260" s="108" t="s">
        <v>700</v>
      </c>
      <c r="B260" s="108" t="s">
        <v>701</v>
      </c>
      <c r="C260" s="108" t="s">
        <v>390</v>
      </c>
      <c r="D260" s="108" t="s">
        <v>351</v>
      </c>
      <c r="E260" s="108" t="s">
        <v>352</v>
      </c>
      <c r="F260" s="108" t="s">
        <v>292</v>
      </c>
      <c r="G260" s="108" t="s">
        <v>619</v>
      </c>
      <c r="H260" s="108" t="s">
        <v>353</v>
      </c>
      <c r="I260" s="108" t="s">
        <v>610</v>
      </c>
      <c r="J260" s="105"/>
      <c r="K260" s="105"/>
      <c r="L260" s="105"/>
      <c r="M260" s="105"/>
      <c r="N260" s="105"/>
      <c r="O260" s="105"/>
    </row>
    <row r="261" spans="1:15" x14ac:dyDescent="0.35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</row>
    <row r="262" spans="1:15" x14ac:dyDescent="0.35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</row>
    <row r="263" spans="1:15" x14ac:dyDescent="0.35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</row>
    <row r="264" spans="1:15" x14ac:dyDescent="0.35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</row>
    <row r="265" spans="1:15" x14ac:dyDescent="0.3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</row>
    <row r="266" spans="1:15" x14ac:dyDescent="0.35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</row>
    <row r="267" spans="1:15" x14ac:dyDescent="0.35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</row>
    <row r="268" spans="1:15" x14ac:dyDescent="0.35">
      <c r="A268" s="167" t="s">
        <v>716</v>
      </c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2"/>
    </row>
    <row r="269" spans="1:15" ht="72.5" x14ac:dyDescent="0.35">
      <c r="A269" s="108" t="s">
        <v>600</v>
      </c>
      <c r="B269" s="108"/>
      <c r="C269" s="108" t="s">
        <v>601</v>
      </c>
      <c r="D269" s="108"/>
      <c r="E269" s="108" t="s">
        <v>602</v>
      </c>
      <c r="F269" s="108"/>
      <c r="G269" s="108" t="s">
        <v>603</v>
      </c>
      <c r="H269" s="108"/>
      <c r="I269" s="108" t="s">
        <v>604</v>
      </c>
      <c r="J269" s="108"/>
      <c r="K269" s="108" t="s">
        <v>6</v>
      </c>
      <c r="L269" s="108"/>
      <c r="M269" s="108" t="s">
        <v>605</v>
      </c>
      <c r="N269" s="108"/>
      <c r="O269" s="108"/>
    </row>
    <row r="270" spans="1:15" ht="72.5" x14ac:dyDescent="0.35">
      <c r="A270" s="108" t="s">
        <v>606</v>
      </c>
      <c r="B270" s="108"/>
      <c r="C270" s="108" t="s">
        <v>607</v>
      </c>
      <c r="D270" s="108"/>
      <c r="E270" s="108" t="s">
        <v>608</v>
      </c>
      <c r="F270" s="108"/>
      <c r="G270" s="108" t="s">
        <v>609</v>
      </c>
      <c r="H270" s="108"/>
      <c r="I270" s="108" t="s">
        <v>610</v>
      </c>
      <c r="J270" s="109">
        <f>IFERROR(COUNTIF(E273:E301,"Yes")/(COUNTIF(E273:E301,"Yes")+COUNTIF(F273:F301,"No")),0)</f>
        <v>0</v>
      </c>
      <c r="K270" s="108"/>
      <c r="L270" s="108" t="str">
        <f>IF(J270&gt;=0.9,"Green",IF(J270&gt;=0.75,"Amber","Red"))</f>
        <v>Red</v>
      </c>
      <c r="M270" s="108"/>
      <c r="N270" s="108"/>
      <c r="O270" s="108"/>
    </row>
    <row r="271" spans="1:15" x14ac:dyDescent="0.35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</row>
    <row r="272" spans="1:15" ht="29" x14ac:dyDescent="0.35">
      <c r="A272" s="110" t="s">
        <v>611</v>
      </c>
      <c r="B272" s="110" t="s">
        <v>612</v>
      </c>
      <c r="C272" s="110" t="s">
        <v>613</v>
      </c>
      <c r="D272" s="110" t="s">
        <v>614</v>
      </c>
      <c r="E272" s="110" t="s">
        <v>81</v>
      </c>
      <c r="F272" s="110" t="s">
        <v>615</v>
      </c>
      <c r="G272" s="110" t="s">
        <v>616</v>
      </c>
      <c r="H272" s="110" t="s">
        <v>617</v>
      </c>
      <c r="I272" s="110" t="s">
        <v>618</v>
      </c>
      <c r="J272" s="110" t="s">
        <v>390</v>
      </c>
      <c r="K272" s="110" t="s">
        <v>351</v>
      </c>
      <c r="L272" s="110" t="s">
        <v>352</v>
      </c>
      <c r="M272" s="110" t="s">
        <v>292</v>
      </c>
      <c r="N272" s="110" t="s">
        <v>353</v>
      </c>
      <c r="O272" s="110" t="s">
        <v>619</v>
      </c>
    </row>
    <row r="273" spans="1:15" ht="29" x14ac:dyDescent="0.35">
      <c r="A273" s="105" t="s">
        <v>620</v>
      </c>
      <c r="B273" s="105" t="s">
        <v>1322</v>
      </c>
      <c r="C273" s="105" t="s">
        <v>751</v>
      </c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</row>
    <row r="274" spans="1:15" ht="29" x14ac:dyDescent="0.35">
      <c r="A274" s="105" t="s">
        <v>623</v>
      </c>
      <c r="B274" s="105" t="s">
        <v>1323</v>
      </c>
      <c r="C274" s="105" t="s">
        <v>751</v>
      </c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</row>
    <row r="275" spans="1:15" ht="29" x14ac:dyDescent="0.35">
      <c r="A275" s="105" t="s">
        <v>625</v>
      </c>
      <c r="B275" s="105" t="s">
        <v>1324</v>
      </c>
      <c r="C275" s="105" t="s">
        <v>751</v>
      </c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</row>
    <row r="276" spans="1:15" ht="29" x14ac:dyDescent="0.35">
      <c r="A276" s="105" t="s">
        <v>627</v>
      </c>
      <c r="B276" s="105" t="s">
        <v>1325</v>
      </c>
      <c r="C276" s="105" t="s">
        <v>751</v>
      </c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</row>
    <row r="277" spans="1:15" ht="29" x14ac:dyDescent="0.35">
      <c r="A277" s="105" t="s">
        <v>629</v>
      </c>
      <c r="B277" s="105" t="s">
        <v>1326</v>
      </c>
      <c r="C277" s="105" t="s">
        <v>751</v>
      </c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</row>
    <row r="278" spans="1:15" ht="29" x14ac:dyDescent="0.35">
      <c r="A278" s="105" t="s">
        <v>631</v>
      </c>
      <c r="B278" s="105" t="s">
        <v>1327</v>
      </c>
      <c r="C278" s="105" t="s">
        <v>751</v>
      </c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</row>
    <row r="279" spans="1:15" ht="29" x14ac:dyDescent="0.35">
      <c r="A279" s="105" t="s">
        <v>633</v>
      </c>
      <c r="B279" s="105" t="s">
        <v>1328</v>
      </c>
      <c r="C279" s="105" t="s">
        <v>743</v>
      </c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</row>
    <row r="280" spans="1:15" ht="29" x14ac:dyDescent="0.35">
      <c r="A280" s="105" t="s">
        <v>635</v>
      </c>
      <c r="B280" s="105" t="s">
        <v>1329</v>
      </c>
      <c r="C280" s="105" t="s">
        <v>622</v>
      </c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</row>
    <row r="281" spans="1:15" ht="29" x14ac:dyDescent="0.35">
      <c r="A281" s="105" t="s">
        <v>637</v>
      </c>
      <c r="B281" s="105" t="s">
        <v>1330</v>
      </c>
      <c r="C281" s="105" t="s">
        <v>743</v>
      </c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</row>
    <row r="282" spans="1:15" ht="29" x14ac:dyDescent="0.35">
      <c r="A282" s="105" t="s">
        <v>639</v>
      </c>
      <c r="B282" s="105" t="s">
        <v>1331</v>
      </c>
      <c r="C282" s="105" t="s">
        <v>622</v>
      </c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</row>
    <row r="283" spans="1:15" ht="29" x14ac:dyDescent="0.35">
      <c r="A283" s="105" t="s">
        <v>641</v>
      </c>
      <c r="B283" s="105" t="s">
        <v>1332</v>
      </c>
      <c r="C283" s="105" t="s">
        <v>743</v>
      </c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</row>
    <row r="284" spans="1:15" x14ac:dyDescent="0.35">
      <c r="A284" s="105" t="s">
        <v>643</v>
      </c>
      <c r="B284" s="105" t="s">
        <v>1333</v>
      </c>
      <c r="C284" s="105" t="s">
        <v>622</v>
      </c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</row>
    <row r="285" spans="1:15" ht="29" x14ac:dyDescent="0.35">
      <c r="A285" s="105" t="s">
        <v>644</v>
      </c>
      <c r="B285" s="105" t="s">
        <v>1334</v>
      </c>
      <c r="C285" s="105" t="s">
        <v>622</v>
      </c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</row>
    <row r="286" spans="1:15" ht="29" x14ac:dyDescent="0.35">
      <c r="A286" s="105" t="s">
        <v>645</v>
      </c>
      <c r="B286" s="105" t="s">
        <v>1335</v>
      </c>
      <c r="C286" s="105" t="s">
        <v>743</v>
      </c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</row>
    <row r="287" spans="1:15" ht="29" x14ac:dyDescent="0.35">
      <c r="A287" s="105" t="s">
        <v>646</v>
      </c>
      <c r="B287" s="105" t="s">
        <v>1336</v>
      </c>
      <c r="C287" s="105" t="s">
        <v>746</v>
      </c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</row>
    <row r="288" spans="1:15" ht="29" x14ac:dyDescent="0.35">
      <c r="A288" s="105" t="s">
        <v>649</v>
      </c>
      <c r="B288" s="105" t="s">
        <v>1337</v>
      </c>
      <c r="C288" s="105" t="s">
        <v>751</v>
      </c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</row>
    <row r="289" spans="1:15" ht="29" x14ac:dyDescent="0.35">
      <c r="A289" s="105" t="s">
        <v>651</v>
      </c>
      <c r="B289" s="105" t="s">
        <v>1338</v>
      </c>
      <c r="C289" s="105" t="s">
        <v>751</v>
      </c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</row>
    <row r="290" spans="1:15" ht="29" x14ac:dyDescent="0.35">
      <c r="A290" s="105" t="s">
        <v>653</v>
      </c>
      <c r="B290" s="105" t="s">
        <v>1339</v>
      </c>
      <c r="C290" s="105" t="s">
        <v>751</v>
      </c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</row>
    <row r="291" spans="1:15" ht="29" x14ac:dyDescent="0.35">
      <c r="A291" s="105" t="s">
        <v>655</v>
      </c>
      <c r="B291" s="105" t="s">
        <v>1340</v>
      </c>
      <c r="C291" s="105" t="s">
        <v>751</v>
      </c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</row>
    <row r="292" spans="1:15" ht="29" x14ac:dyDescent="0.35">
      <c r="A292" s="105" t="s">
        <v>658</v>
      </c>
      <c r="B292" s="105" t="s">
        <v>1341</v>
      </c>
      <c r="C292" s="105" t="s">
        <v>751</v>
      </c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</row>
    <row r="293" spans="1:15" ht="29" x14ac:dyDescent="0.35">
      <c r="A293" s="105" t="s">
        <v>660</v>
      </c>
      <c r="B293" s="105" t="s">
        <v>706</v>
      </c>
      <c r="C293" s="105" t="s">
        <v>622</v>
      </c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</row>
    <row r="294" spans="1:15" ht="29" x14ac:dyDescent="0.35">
      <c r="A294" s="105" t="s">
        <v>662</v>
      </c>
      <c r="B294" s="105" t="s">
        <v>682</v>
      </c>
      <c r="C294" s="105" t="s">
        <v>683</v>
      </c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</row>
    <row r="295" spans="1:15" ht="29" x14ac:dyDescent="0.35">
      <c r="A295" s="105" t="s">
        <v>664</v>
      </c>
      <c r="B295" s="105" t="s">
        <v>685</v>
      </c>
      <c r="C295" s="105" t="s">
        <v>686</v>
      </c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</row>
    <row r="296" spans="1:15" ht="29" x14ac:dyDescent="0.35">
      <c r="A296" s="105" t="s">
        <v>666</v>
      </c>
      <c r="B296" s="105" t="s">
        <v>688</v>
      </c>
      <c r="C296" s="105" t="s">
        <v>686</v>
      </c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</row>
    <row r="297" spans="1:15" ht="29" x14ac:dyDescent="0.35">
      <c r="A297" s="105" t="s">
        <v>668</v>
      </c>
      <c r="B297" s="105" t="s">
        <v>690</v>
      </c>
      <c r="C297" s="105" t="s">
        <v>686</v>
      </c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</row>
    <row r="298" spans="1:15" ht="29" x14ac:dyDescent="0.35">
      <c r="A298" s="105" t="s">
        <v>670</v>
      </c>
      <c r="B298" s="105" t="s">
        <v>692</v>
      </c>
      <c r="C298" s="105" t="s">
        <v>686</v>
      </c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</row>
    <row r="299" spans="1:15" ht="29" x14ac:dyDescent="0.35">
      <c r="A299" s="105" t="s">
        <v>672</v>
      </c>
      <c r="B299" s="105" t="s">
        <v>694</v>
      </c>
      <c r="C299" s="105" t="s">
        <v>686</v>
      </c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</row>
    <row r="300" spans="1:15" ht="29" x14ac:dyDescent="0.35">
      <c r="A300" s="105" t="s">
        <v>674</v>
      </c>
      <c r="B300" s="105" t="s">
        <v>696</v>
      </c>
      <c r="C300" s="105" t="s">
        <v>686</v>
      </c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</row>
    <row r="301" spans="1:15" ht="29" x14ac:dyDescent="0.35">
      <c r="A301" s="105" t="s">
        <v>676</v>
      </c>
      <c r="B301" s="105" t="s">
        <v>698</v>
      </c>
      <c r="C301" s="105" t="s">
        <v>686</v>
      </c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</row>
    <row r="302" spans="1:15" x14ac:dyDescent="0.35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</row>
    <row r="303" spans="1:15" x14ac:dyDescent="0.35">
      <c r="A303" s="166" t="s">
        <v>717</v>
      </c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2"/>
    </row>
    <row r="304" spans="1:15" ht="58" x14ac:dyDescent="0.35">
      <c r="A304" s="108" t="s">
        <v>700</v>
      </c>
      <c r="B304" s="108" t="s">
        <v>701</v>
      </c>
      <c r="C304" s="108" t="s">
        <v>390</v>
      </c>
      <c r="D304" s="108" t="s">
        <v>351</v>
      </c>
      <c r="E304" s="108" t="s">
        <v>352</v>
      </c>
      <c r="F304" s="108" t="s">
        <v>292</v>
      </c>
      <c r="G304" s="108" t="s">
        <v>619</v>
      </c>
      <c r="H304" s="108" t="s">
        <v>353</v>
      </c>
      <c r="I304" s="108" t="s">
        <v>610</v>
      </c>
      <c r="J304" s="105"/>
      <c r="K304" s="105"/>
      <c r="L304" s="105"/>
      <c r="M304" s="105"/>
      <c r="N304" s="105"/>
      <c r="O304" s="105"/>
    </row>
    <row r="305" spans="1:15" x14ac:dyDescent="0.3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</row>
    <row r="306" spans="1:15" x14ac:dyDescent="0.35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</row>
    <row r="307" spans="1:15" x14ac:dyDescent="0.35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</row>
    <row r="308" spans="1:15" x14ac:dyDescent="0.35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</row>
    <row r="309" spans="1:15" x14ac:dyDescent="0.35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</row>
    <row r="310" spans="1:15" x14ac:dyDescent="0.35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</row>
    <row r="311" spans="1:15" x14ac:dyDescent="0.35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</row>
    <row r="312" spans="1:15" x14ac:dyDescent="0.35">
      <c r="A312" s="167" t="s">
        <v>718</v>
      </c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2"/>
    </row>
    <row r="313" spans="1:15" ht="72.5" x14ac:dyDescent="0.35">
      <c r="A313" s="108" t="s">
        <v>600</v>
      </c>
      <c r="B313" s="108"/>
      <c r="C313" s="108" t="s">
        <v>601</v>
      </c>
      <c r="D313" s="108"/>
      <c r="E313" s="108" t="s">
        <v>602</v>
      </c>
      <c r="F313" s="108"/>
      <c r="G313" s="108" t="s">
        <v>603</v>
      </c>
      <c r="H313" s="108"/>
      <c r="I313" s="108" t="s">
        <v>604</v>
      </c>
      <c r="J313" s="108"/>
      <c r="K313" s="108" t="s">
        <v>6</v>
      </c>
      <c r="L313" s="108"/>
      <c r="M313" s="108" t="s">
        <v>605</v>
      </c>
      <c r="N313" s="108"/>
      <c r="O313" s="108"/>
    </row>
    <row r="314" spans="1:15" ht="72.5" x14ac:dyDescent="0.35">
      <c r="A314" s="108" t="s">
        <v>606</v>
      </c>
      <c r="B314" s="108"/>
      <c r="C314" s="108" t="s">
        <v>607</v>
      </c>
      <c r="D314" s="108"/>
      <c r="E314" s="108" t="s">
        <v>608</v>
      </c>
      <c r="F314" s="108"/>
      <c r="G314" s="108" t="s">
        <v>609</v>
      </c>
      <c r="H314" s="108"/>
      <c r="I314" s="108" t="s">
        <v>610</v>
      </c>
      <c r="J314" s="109">
        <f>IFERROR(COUNTIF(E317:E345,"Yes")/(COUNTIF(E317:E345,"Yes")+COUNTIF(F317:F345,"No")),0)</f>
        <v>0</v>
      </c>
      <c r="K314" s="108"/>
      <c r="L314" s="108" t="str">
        <f>IF(J314&gt;=0.9,"Green",IF(J314&gt;=0.75,"Amber","Red"))</f>
        <v>Red</v>
      </c>
      <c r="M314" s="108"/>
      <c r="N314" s="108"/>
      <c r="O314" s="108"/>
    </row>
    <row r="315" spans="1:15" x14ac:dyDescent="0.3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</row>
    <row r="316" spans="1:15" ht="29" x14ac:dyDescent="0.35">
      <c r="A316" s="110" t="s">
        <v>611</v>
      </c>
      <c r="B316" s="110" t="s">
        <v>612</v>
      </c>
      <c r="C316" s="110" t="s">
        <v>613</v>
      </c>
      <c r="D316" s="110" t="s">
        <v>614</v>
      </c>
      <c r="E316" s="110" t="s">
        <v>81</v>
      </c>
      <c r="F316" s="110" t="s">
        <v>615</v>
      </c>
      <c r="G316" s="110" t="s">
        <v>616</v>
      </c>
      <c r="H316" s="110" t="s">
        <v>617</v>
      </c>
      <c r="I316" s="110" t="s">
        <v>618</v>
      </c>
      <c r="J316" s="110" t="s">
        <v>390</v>
      </c>
      <c r="K316" s="110" t="s">
        <v>351</v>
      </c>
      <c r="L316" s="110" t="s">
        <v>352</v>
      </c>
      <c r="M316" s="110" t="s">
        <v>292</v>
      </c>
      <c r="N316" s="110" t="s">
        <v>353</v>
      </c>
      <c r="O316" s="110" t="s">
        <v>619</v>
      </c>
    </row>
    <row r="317" spans="1:15" ht="29" x14ac:dyDescent="0.35">
      <c r="A317" s="105" t="s">
        <v>620</v>
      </c>
      <c r="B317" s="105" t="s">
        <v>1322</v>
      </c>
      <c r="C317" s="105" t="s">
        <v>751</v>
      </c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</row>
    <row r="318" spans="1:15" ht="29" x14ac:dyDescent="0.35">
      <c r="A318" s="105" t="s">
        <v>623</v>
      </c>
      <c r="B318" s="105" t="s">
        <v>1323</v>
      </c>
      <c r="C318" s="105" t="s">
        <v>751</v>
      </c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</row>
    <row r="319" spans="1:15" ht="29" x14ac:dyDescent="0.35">
      <c r="A319" s="105" t="s">
        <v>625</v>
      </c>
      <c r="B319" s="105" t="s">
        <v>1324</v>
      </c>
      <c r="C319" s="105" t="s">
        <v>751</v>
      </c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</row>
    <row r="320" spans="1:15" ht="29" x14ac:dyDescent="0.35">
      <c r="A320" s="105" t="s">
        <v>627</v>
      </c>
      <c r="B320" s="105" t="s">
        <v>1325</v>
      </c>
      <c r="C320" s="105" t="s">
        <v>751</v>
      </c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</row>
    <row r="321" spans="1:15" ht="29" x14ac:dyDescent="0.35">
      <c r="A321" s="105" t="s">
        <v>629</v>
      </c>
      <c r="B321" s="105" t="s">
        <v>1326</v>
      </c>
      <c r="C321" s="105" t="s">
        <v>751</v>
      </c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</row>
    <row r="322" spans="1:15" ht="29" x14ac:dyDescent="0.35">
      <c r="A322" s="105" t="s">
        <v>631</v>
      </c>
      <c r="B322" s="105" t="s">
        <v>1327</v>
      </c>
      <c r="C322" s="105" t="s">
        <v>751</v>
      </c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</row>
    <row r="323" spans="1:15" ht="29" x14ac:dyDescent="0.35">
      <c r="A323" s="105" t="s">
        <v>633</v>
      </c>
      <c r="B323" s="105" t="s">
        <v>1328</v>
      </c>
      <c r="C323" s="105" t="s">
        <v>743</v>
      </c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</row>
    <row r="324" spans="1:15" ht="29" x14ac:dyDescent="0.35">
      <c r="A324" s="105" t="s">
        <v>635</v>
      </c>
      <c r="B324" s="105" t="s">
        <v>1329</v>
      </c>
      <c r="C324" s="105" t="s">
        <v>622</v>
      </c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</row>
    <row r="325" spans="1:15" ht="29" x14ac:dyDescent="0.35">
      <c r="A325" s="105" t="s">
        <v>637</v>
      </c>
      <c r="B325" s="105" t="s">
        <v>1330</v>
      </c>
      <c r="C325" s="105" t="s">
        <v>743</v>
      </c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</row>
    <row r="326" spans="1:15" ht="29" x14ac:dyDescent="0.35">
      <c r="A326" s="105" t="s">
        <v>639</v>
      </c>
      <c r="B326" s="105" t="s">
        <v>1331</v>
      </c>
      <c r="C326" s="105" t="s">
        <v>622</v>
      </c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</row>
    <row r="327" spans="1:15" ht="29" x14ac:dyDescent="0.35">
      <c r="A327" s="105" t="s">
        <v>641</v>
      </c>
      <c r="B327" s="105" t="s">
        <v>1332</v>
      </c>
      <c r="C327" s="105" t="s">
        <v>743</v>
      </c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</row>
    <row r="328" spans="1:15" x14ac:dyDescent="0.35">
      <c r="A328" s="105" t="s">
        <v>643</v>
      </c>
      <c r="B328" s="105" t="s">
        <v>1333</v>
      </c>
      <c r="C328" s="105" t="s">
        <v>622</v>
      </c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</row>
    <row r="329" spans="1:15" ht="29" x14ac:dyDescent="0.35">
      <c r="A329" s="105" t="s">
        <v>644</v>
      </c>
      <c r="B329" s="105" t="s">
        <v>1334</v>
      </c>
      <c r="C329" s="105" t="s">
        <v>622</v>
      </c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</row>
    <row r="330" spans="1:15" ht="29" x14ac:dyDescent="0.35">
      <c r="A330" s="105" t="s">
        <v>645</v>
      </c>
      <c r="B330" s="105" t="s">
        <v>1335</v>
      </c>
      <c r="C330" s="105" t="s">
        <v>743</v>
      </c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</row>
    <row r="331" spans="1:15" ht="29" x14ac:dyDescent="0.35">
      <c r="A331" s="105" t="s">
        <v>646</v>
      </c>
      <c r="B331" s="105" t="s">
        <v>1336</v>
      </c>
      <c r="C331" s="105" t="s">
        <v>746</v>
      </c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</row>
    <row r="332" spans="1:15" ht="29" x14ac:dyDescent="0.35">
      <c r="A332" s="105" t="s">
        <v>649</v>
      </c>
      <c r="B332" s="105" t="s">
        <v>1337</v>
      </c>
      <c r="C332" s="105" t="s">
        <v>751</v>
      </c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</row>
    <row r="333" spans="1:15" ht="29" x14ac:dyDescent="0.35">
      <c r="A333" s="105" t="s">
        <v>651</v>
      </c>
      <c r="B333" s="105" t="s">
        <v>1338</v>
      </c>
      <c r="C333" s="105" t="s">
        <v>751</v>
      </c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</row>
    <row r="334" spans="1:15" ht="29" x14ac:dyDescent="0.35">
      <c r="A334" s="105" t="s">
        <v>653</v>
      </c>
      <c r="B334" s="105" t="s">
        <v>1339</v>
      </c>
      <c r="C334" s="105" t="s">
        <v>751</v>
      </c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</row>
    <row r="335" spans="1:15" ht="29" x14ac:dyDescent="0.35">
      <c r="A335" s="105" t="s">
        <v>655</v>
      </c>
      <c r="B335" s="105" t="s">
        <v>1340</v>
      </c>
      <c r="C335" s="105" t="s">
        <v>751</v>
      </c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</row>
    <row r="336" spans="1:15" ht="29" x14ac:dyDescent="0.35">
      <c r="A336" s="105" t="s">
        <v>658</v>
      </c>
      <c r="B336" s="105" t="s">
        <v>1341</v>
      </c>
      <c r="C336" s="105" t="s">
        <v>751</v>
      </c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</row>
    <row r="337" spans="1:15" ht="29" x14ac:dyDescent="0.35">
      <c r="A337" s="105" t="s">
        <v>660</v>
      </c>
      <c r="B337" s="105" t="s">
        <v>706</v>
      </c>
      <c r="C337" s="105" t="s">
        <v>622</v>
      </c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</row>
    <row r="338" spans="1:15" ht="29" x14ac:dyDescent="0.35">
      <c r="A338" s="105" t="s">
        <v>662</v>
      </c>
      <c r="B338" s="105" t="s">
        <v>682</v>
      </c>
      <c r="C338" s="105" t="s">
        <v>683</v>
      </c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</row>
    <row r="339" spans="1:15" ht="29" x14ac:dyDescent="0.35">
      <c r="A339" s="105" t="s">
        <v>664</v>
      </c>
      <c r="B339" s="105" t="s">
        <v>685</v>
      </c>
      <c r="C339" s="105" t="s">
        <v>686</v>
      </c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</row>
    <row r="340" spans="1:15" ht="29" x14ac:dyDescent="0.35">
      <c r="A340" s="105" t="s">
        <v>666</v>
      </c>
      <c r="B340" s="105" t="s">
        <v>688</v>
      </c>
      <c r="C340" s="105" t="s">
        <v>686</v>
      </c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</row>
    <row r="341" spans="1:15" ht="29" x14ac:dyDescent="0.35">
      <c r="A341" s="105" t="s">
        <v>668</v>
      </c>
      <c r="B341" s="105" t="s">
        <v>690</v>
      </c>
      <c r="C341" s="105" t="s">
        <v>686</v>
      </c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</row>
    <row r="342" spans="1:15" ht="29" x14ac:dyDescent="0.35">
      <c r="A342" s="105" t="s">
        <v>670</v>
      </c>
      <c r="B342" s="105" t="s">
        <v>692</v>
      </c>
      <c r="C342" s="105" t="s">
        <v>686</v>
      </c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</row>
    <row r="343" spans="1:15" ht="29" x14ac:dyDescent="0.35">
      <c r="A343" s="105" t="s">
        <v>672</v>
      </c>
      <c r="B343" s="105" t="s">
        <v>694</v>
      </c>
      <c r="C343" s="105" t="s">
        <v>686</v>
      </c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</row>
    <row r="344" spans="1:15" ht="29" x14ac:dyDescent="0.35">
      <c r="A344" s="105" t="s">
        <v>674</v>
      </c>
      <c r="B344" s="105" t="s">
        <v>696</v>
      </c>
      <c r="C344" s="105" t="s">
        <v>686</v>
      </c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</row>
    <row r="345" spans="1:15" ht="29" x14ac:dyDescent="0.35">
      <c r="A345" s="105" t="s">
        <v>676</v>
      </c>
      <c r="B345" s="105" t="s">
        <v>698</v>
      </c>
      <c r="C345" s="105" t="s">
        <v>686</v>
      </c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</row>
    <row r="346" spans="1:15" x14ac:dyDescent="0.35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</row>
    <row r="347" spans="1:15" x14ac:dyDescent="0.35">
      <c r="A347" s="166" t="s">
        <v>719</v>
      </c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2"/>
    </row>
    <row r="348" spans="1:15" ht="58" x14ac:dyDescent="0.35">
      <c r="A348" s="108" t="s">
        <v>700</v>
      </c>
      <c r="B348" s="108" t="s">
        <v>701</v>
      </c>
      <c r="C348" s="108" t="s">
        <v>390</v>
      </c>
      <c r="D348" s="108" t="s">
        <v>351</v>
      </c>
      <c r="E348" s="108" t="s">
        <v>352</v>
      </c>
      <c r="F348" s="108" t="s">
        <v>292</v>
      </c>
      <c r="G348" s="108" t="s">
        <v>619</v>
      </c>
      <c r="H348" s="108" t="s">
        <v>353</v>
      </c>
      <c r="I348" s="108" t="s">
        <v>610</v>
      </c>
      <c r="J348" s="105"/>
      <c r="K348" s="105"/>
      <c r="L348" s="105"/>
      <c r="M348" s="105"/>
      <c r="N348" s="105"/>
      <c r="O348" s="105"/>
    </row>
    <row r="349" spans="1:15" x14ac:dyDescent="0.35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</row>
    <row r="350" spans="1:15" x14ac:dyDescent="0.35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</row>
    <row r="351" spans="1:15" x14ac:dyDescent="0.35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</row>
    <row r="352" spans="1:15" x14ac:dyDescent="0.35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</row>
    <row r="353" spans="1:15" x14ac:dyDescent="0.35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</row>
    <row r="354" spans="1:15" x14ac:dyDescent="0.35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</row>
    <row r="355" spans="1:15" x14ac:dyDescent="0.3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</row>
    <row r="356" spans="1:15" x14ac:dyDescent="0.35">
      <c r="A356" s="167" t="s">
        <v>720</v>
      </c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2"/>
    </row>
    <row r="357" spans="1:15" ht="72.5" x14ac:dyDescent="0.35">
      <c r="A357" s="108" t="s">
        <v>600</v>
      </c>
      <c r="B357" s="108"/>
      <c r="C357" s="108" t="s">
        <v>601</v>
      </c>
      <c r="D357" s="108"/>
      <c r="E357" s="108" t="s">
        <v>602</v>
      </c>
      <c r="F357" s="108"/>
      <c r="G357" s="108" t="s">
        <v>603</v>
      </c>
      <c r="H357" s="108"/>
      <c r="I357" s="108" t="s">
        <v>604</v>
      </c>
      <c r="J357" s="108"/>
      <c r="K357" s="108" t="s">
        <v>6</v>
      </c>
      <c r="L357" s="108"/>
      <c r="M357" s="108" t="s">
        <v>605</v>
      </c>
      <c r="N357" s="108"/>
      <c r="O357" s="108"/>
    </row>
    <row r="358" spans="1:15" ht="72.5" x14ac:dyDescent="0.35">
      <c r="A358" s="108" t="s">
        <v>606</v>
      </c>
      <c r="B358" s="108"/>
      <c r="C358" s="108" t="s">
        <v>607</v>
      </c>
      <c r="D358" s="108"/>
      <c r="E358" s="108" t="s">
        <v>608</v>
      </c>
      <c r="F358" s="108"/>
      <c r="G358" s="108" t="s">
        <v>609</v>
      </c>
      <c r="H358" s="108"/>
      <c r="I358" s="108" t="s">
        <v>610</v>
      </c>
      <c r="J358" s="109">
        <f>IFERROR(COUNTIF(E361:E389,"Yes")/(COUNTIF(E361:E389,"Yes")+COUNTIF(F361:F389,"No")),0)</f>
        <v>0</v>
      </c>
      <c r="K358" s="108"/>
      <c r="L358" s="108" t="str">
        <f>IF(J358&gt;=0.9,"Green",IF(J358&gt;=0.75,"Amber","Red"))</f>
        <v>Red</v>
      </c>
      <c r="M358" s="108"/>
      <c r="N358" s="108"/>
      <c r="O358" s="108"/>
    </row>
    <row r="359" spans="1:15" x14ac:dyDescent="0.35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</row>
    <row r="360" spans="1:15" ht="29" x14ac:dyDescent="0.35">
      <c r="A360" s="110" t="s">
        <v>611</v>
      </c>
      <c r="B360" s="110" t="s">
        <v>612</v>
      </c>
      <c r="C360" s="110" t="s">
        <v>613</v>
      </c>
      <c r="D360" s="110" t="s">
        <v>614</v>
      </c>
      <c r="E360" s="110" t="s">
        <v>81</v>
      </c>
      <c r="F360" s="110" t="s">
        <v>615</v>
      </c>
      <c r="G360" s="110" t="s">
        <v>616</v>
      </c>
      <c r="H360" s="110" t="s">
        <v>617</v>
      </c>
      <c r="I360" s="110" t="s">
        <v>618</v>
      </c>
      <c r="J360" s="110" t="s">
        <v>390</v>
      </c>
      <c r="K360" s="110" t="s">
        <v>351</v>
      </c>
      <c r="L360" s="110" t="s">
        <v>352</v>
      </c>
      <c r="M360" s="110" t="s">
        <v>292</v>
      </c>
      <c r="N360" s="110" t="s">
        <v>353</v>
      </c>
      <c r="O360" s="110" t="s">
        <v>619</v>
      </c>
    </row>
    <row r="361" spans="1:15" ht="29" x14ac:dyDescent="0.35">
      <c r="A361" s="105" t="s">
        <v>620</v>
      </c>
      <c r="B361" s="105" t="s">
        <v>1322</v>
      </c>
      <c r="C361" s="105" t="s">
        <v>751</v>
      </c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</row>
    <row r="362" spans="1:15" ht="29" x14ac:dyDescent="0.35">
      <c r="A362" s="105" t="s">
        <v>623</v>
      </c>
      <c r="B362" s="105" t="s">
        <v>1323</v>
      </c>
      <c r="C362" s="105" t="s">
        <v>751</v>
      </c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</row>
    <row r="363" spans="1:15" ht="29" x14ac:dyDescent="0.35">
      <c r="A363" s="105" t="s">
        <v>625</v>
      </c>
      <c r="B363" s="105" t="s">
        <v>1324</v>
      </c>
      <c r="C363" s="105" t="s">
        <v>751</v>
      </c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</row>
    <row r="364" spans="1:15" ht="29" x14ac:dyDescent="0.35">
      <c r="A364" s="105" t="s">
        <v>627</v>
      </c>
      <c r="B364" s="105" t="s">
        <v>1325</v>
      </c>
      <c r="C364" s="105" t="s">
        <v>751</v>
      </c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</row>
    <row r="365" spans="1:15" ht="29" x14ac:dyDescent="0.35">
      <c r="A365" s="105" t="s">
        <v>629</v>
      </c>
      <c r="B365" s="105" t="s">
        <v>1326</v>
      </c>
      <c r="C365" s="105" t="s">
        <v>751</v>
      </c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</row>
    <row r="366" spans="1:15" ht="29" x14ac:dyDescent="0.35">
      <c r="A366" s="105" t="s">
        <v>631</v>
      </c>
      <c r="B366" s="105" t="s">
        <v>1327</v>
      </c>
      <c r="C366" s="105" t="s">
        <v>751</v>
      </c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</row>
    <row r="367" spans="1:15" ht="29" x14ac:dyDescent="0.35">
      <c r="A367" s="105" t="s">
        <v>633</v>
      </c>
      <c r="B367" s="105" t="s">
        <v>1328</v>
      </c>
      <c r="C367" s="105" t="s">
        <v>743</v>
      </c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</row>
    <row r="368" spans="1:15" ht="29" x14ac:dyDescent="0.35">
      <c r="A368" s="105" t="s">
        <v>635</v>
      </c>
      <c r="B368" s="105" t="s">
        <v>1329</v>
      </c>
      <c r="C368" s="105" t="s">
        <v>622</v>
      </c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</row>
    <row r="369" spans="1:15" ht="29" x14ac:dyDescent="0.35">
      <c r="A369" s="105" t="s">
        <v>637</v>
      </c>
      <c r="B369" s="105" t="s">
        <v>1330</v>
      </c>
      <c r="C369" s="105" t="s">
        <v>743</v>
      </c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</row>
    <row r="370" spans="1:15" ht="29" x14ac:dyDescent="0.35">
      <c r="A370" s="105" t="s">
        <v>639</v>
      </c>
      <c r="B370" s="105" t="s">
        <v>1331</v>
      </c>
      <c r="C370" s="105" t="s">
        <v>622</v>
      </c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</row>
    <row r="371" spans="1:15" ht="29" x14ac:dyDescent="0.35">
      <c r="A371" s="105" t="s">
        <v>641</v>
      </c>
      <c r="B371" s="105" t="s">
        <v>1332</v>
      </c>
      <c r="C371" s="105" t="s">
        <v>743</v>
      </c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</row>
    <row r="372" spans="1:15" x14ac:dyDescent="0.35">
      <c r="A372" s="105" t="s">
        <v>643</v>
      </c>
      <c r="B372" s="105" t="s">
        <v>1333</v>
      </c>
      <c r="C372" s="105" t="s">
        <v>622</v>
      </c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</row>
    <row r="373" spans="1:15" ht="29" x14ac:dyDescent="0.35">
      <c r="A373" s="105" t="s">
        <v>644</v>
      </c>
      <c r="B373" s="105" t="s">
        <v>1334</v>
      </c>
      <c r="C373" s="105" t="s">
        <v>622</v>
      </c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</row>
    <row r="374" spans="1:15" ht="29" x14ac:dyDescent="0.35">
      <c r="A374" s="105" t="s">
        <v>645</v>
      </c>
      <c r="B374" s="105" t="s">
        <v>1335</v>
      </c>
      <c r="C374" s="105" t="s">
        <v>743</v>
      </c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</row>
    <row r="375" spans="1:15" ht="29" x14ac:dyDescent="0.35">
      <c r="A375" s="105" t="s">
        <v>646</v>
      </c>
      <c r="B375" s="105" t="s">
        <v>1336</v>
      </c>
      <c r="C375" s="105" t="s">
        <v>746</v>
      </c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</row>
    <row r="376" spans="1:15" ht="29" x14ac:dyDescent="0.35">
      <c r="A376" s="105" t="s">
        <v>649</v>
      </c>
      <c r="B376" s="105" t="s">
        <v>1337</v>
      </c>
      <c r="C376" s="105" t="s">
        <v>751</v>
      </c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</row>
    <row r="377" spans="1:15" ht="29" x14ac:dyDescent="0.35">
      <c r="A377" s="105" t="s">
        <v>651</v>
      </c>
      <c r="B377" s="105" t="s">
        <v>1338</v>
      </c>
      <c r="C377" s="105" t="s">
        <v>751</v>
      </c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</row>
    <row r="378" spans="1:15" ht="29" x14ac:dyDescent="0.35">
      <c r="A378" s="105" t="s">
        <v>653</v>
      </c>
      <c r="B378" s="105" t="s">
        <v>1339</v>
      </c>
      <c r="C378" s="105" t="s">
        <v>751</v>
      </c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</row>
    <row r="379" spans="1:15" ht="29" x14ac:dyDescent="0.35">
      <c r="A379" s="105" t="s">
        <v>655</v>
      </c>
      <c r="B379" s="105" t="s">
        <v>1340</v>
      </c>
      <c r="C379" s="105" t="s">
        <v>751</v>
      </c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</row>
    <row r="380" spans="1:15" ht="29" x14ac:dyDescent="0.35">
      <c r="A380" s="105" t="s">
        <v>658</v>
      </c>
      <c r="B380" s="105" t="s">
        <v>1341</v>
      </c>
      <c r="C380" s="105" t="s">
        <v>751</v>
      </c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</row>
    <row r="381" spans="1:15" ht="29" x14ac:dyDescent="0.35">
      <c r="A381" s="105" t="s">
        <v>660</v>
      </c>
      <c r="B381" s="105" t="s">
        <v>706</v>
      </c>
      <c r="C381" s="105" t="s">
        <v>622</v>
      </c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</row>
    <row r="382" spans="1:15" ht="29" x14ac:dyDescent="0.35">
      <c r="A382" s="105" t="s">
        <v>662</v>
      </c>
      <c r="B382" s="105" t="s">
        <v>682</v>
      </c>
      <c r="C382" s="105" t="s">
        <v>683</v>
      </c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</row>
    <row r="383" spans="1:15" ht="29" x14ac:dyDescent="0.35">
      <c r="A383" s="105" t="s">
        <v>664</v>
      </c>
      <c r="B383" s="105" t="s">
        <v>685</v>
      </c>
      <c r="C383" s="105" t="s">
        <v>686</v>
      </c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</row>
    <row r="384" spans="1:15" ht="29" x14ac:dyDescent="0.35">
      <c r="A384" s="105" t="s">
        <v>666</v>
      </c>
      <c r="B384" s="105" t="s">
        <v>688</v>
      </c>
      <c r="C384" s="105" t="s">
        <v>686</v>
      </c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</row>
    <row r="385" spans="1:15" ht="29" x14ac:dyDescent="0.35">
      <c r="A385" s="105" t="s">
        <v>668</v>
      </c>
      <c r="B385" s="105" t="s">
        <v>690</v>
      </c>
      <c r="C385" s="105" t="s">
        <v>686</v>
      </c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</row>
    <row r="386" spans="1:15" ht="29" x14ac:dyDescent="0.35">
      <c r="A386" s="105" t="s">
        <v>670</v>
      </c>
      <c r="B386" s="105" t="s">
        <v>692</v>
      </c>
      <c r="C386" s="105" t="s">
        <v>686</v>
      </c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</row>
    <row r="387" spans="1:15" ht="29" x14ac:dyDescent="0.35">
      <c r="A387" s="105" t="s">
        <v>672</v>
      </c>
      <c r="B387" s="105" t="s">
        <v>694</v>
      </c>
      <c r="C387" s="105" t="s">
        <v>686</v>
      </c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</row>
    <row r="388" spans="1:15" ht="29" x14ac:dyDescent="0.35">
      <c r="A388" s="105" t="s">
        <v>674</v>
      </c>
      <c r="B388" s="105" t="s">
        <v>696</v>
      </c>
      <c r="C388" s="105" t="s">
        <v>686</v>
      </c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</row>
    <row r="389" spans="1:15" ht="29" x14ac:dyDescent="0.35">
      <c r="A389" s="105" t="s">
        <v>676</v>
      </c>
      <c r="B389" s="105" t="s">
        <v>698</v>
      </c>
      <c r="C389" s="105" t="s">
        <v>686</v>
      </c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</row>
    <row r="390" spans="1:15" x14ac:dyDescent="0.35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</row>
    <row r="391" spans="1:15" x14ac:dyDescent="0.35">
      <c r="A391" s="166" t="s">
        <v>721</v>
      </c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2"/>
    </row>
    <row r="392" spans="1:15" ht="58" x14ac:dyDescent="0.35">
      <c r="A392" s="108" t="s">
        <v>700</v>
      </c>
      <c r="B392" s="108" t="s">
        <v>701</v>
      </c>
      <c r="C392" s="108" t="s">
        <v>390</v>
      </c>
      <c r="D392" s="108" t="s">
        <v>351</v>
      </c>
      <c r="E392" s="108" t="s">
        <v>352</v>
      </c>
      <c r="F392" s="108" t="s">
        <v>292</v>
      </c>
      <c r="G392" s="108" t="s">
        <v>619</v>
      </c>
      <c r="H392" s="108" t="s">
        <v>353</v>
      </c>
      <c r="I392" s="108" t="s">
        <v>610</v>
      </c>
      <c r="J392" s="105"/>
      <c r="K392" s="105"/>
      <c r="L392" s="105"/>
      <c r="M392" s="105"/>
      <c r="N392" s="105"/>
      <c r="O392" s="105"/>
    </row>
    <row r="393" spans="1:15" x14ac:dyDescent="0.35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</row>
    <row r="394" spans="1:15" x14ac:dyDescent="0.35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</row>
    <row r="395" spans="1:15" x14ac:dyDescent="0.3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</row>
    <row r="396" spans="1:15" x14ac:dyDescent="0.35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</row>
    <row r="397" spans="1:15" x14ac:dyDescent="0.35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</row>
    <row r="398" spans="1:15" x14ac:dyDescent="0.35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</row>
    <row r="399" spans="1:15" x14ac:dyDescent="0.35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</row>
    <row r="400" spans="1:15" x14ac:dyDescent="0.35">
      <c r="A400" s="167" t="s">
        <v>722</v>
      </c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2"/>
    </row>
    <row r="401" spans="1:15" ht="72.5" x14ac:dyDescent="0.35">
      <c r="A401" s="108" t="s">
        <v>600</v>
      </c>
      <c r="B401" s="108"/>
      <c r="C401" s="108" t="s">
        <v>601</v>
      </c>
      <c r="D401" s="108"/>
      <c r="E401" s="108" t="s">
        <v>602</v>
      </c>
      <c r="F401" s="108"/>
      <c r="G401" s="108" t="s">
        <v>603</v>
      </c>
      <c r="H401" s="108"/>
      <c r="I401" s="108" t="s">
        <v>604</v>
      </c>
      <c r="J401" s="108"/>
      <c r="K401" s="108" t="s">
        <v>6</v>
      </c>
      <c r="L401" s="108"/>
      <c r="M401" s="108" t="s">
        <v>605</v>
      </c>
      <c r="N401" s="108"/>
      <c r="O401" s="108"/>
    </row>
    <row r="402" spans="1:15" ht="72.5" x14ac:dyDescent="0.35">
      <c r="A402" s="108" t="s">
        <v>606</v>
      </c>
      <c r="B402" s="108"/>
      <c r="C402" s="108" t="s">
        <v>607</v>
      </c>
      <c r="D402" s="108"/>
      <c r="E402" s="108" t="s">
        <v>608</v>
      </c>
      <c r="F402" s="108"/>
      <c r="G402" s="108" t="s">
        <v>609</v>
      </c>
      <c r="H402" s="108"/>
      <c r="I402" s="108" t="s">
        <v>610</v>
      </c>
      <c r="J402" s="109">
        <f>IFERROR(COUNTIF(E405:E433,"Yes")/(COUNTIF(E405:E433,"Yes")+COUNTIF(F405:F433,"No")),0)</f>
        <v>0</v>
      </c>
      <c r="K402" s="108"/>
      <c r="L402" s="108" t="str">
        <f>IF(J402&gt;=0.9,"Green",IF(J402&gt;=0.75,"Amber","Red"))</f>
        <v>Red</v>
      </c>
      <c r="M402" s="108"/>
      <c r="N402" s="108"/>
      <c r="O402" s="108"/>
    </row>
    <row r="403" spans="1:15" x14ac:dyDescent="0.35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</row>
    <row r="404" spans="1:15" ht="29" x14ac:dyDescent="0.35">
      <c r="A404" s="110" t="s">
        <v>611</v>
      </c>
      <c r="B404" s="110" t="s">
        <v>612</v>
      </c>
      <c r="C404" s="110" t="s">
        <v>613</v>
      </c>
      <c r="D404" s="110" t="s">
        <v>614</v>
      </c>
      <c r="E404" s="110" t="s">
        <v>81</v>
      </c>
      <c r="F404" s="110" t="s">
        <v>615</v>
      </c>
      <c r="G404" s="110" t="s">
        <v>616</v>
      </c>
      <c r="H404" s="110" t="s">
        <v>617</v>
      </c>
      <c r="I404" s="110" t="s">
        <v>618</v>
      </c>
      <c r="J404" s="110" t="s">
        <v>390</v>
      </c>
      <c r="K404" s="110" t="s">
        <v>351</v>
      </c>
      <c r="L404" s="110" t="s">
        <v>352</v>
      </c>
      <c r="M404" s="110" t="s">
        <v>292</v>
      </c>
      <c r="N404" s="110" t="s">
        <v>353</v>
      </c>
      <c r="O404" s="110" t="s">
        <v>619</v>
      </c>
    </row>
    <row r="405" spans="1:15" ht="29" x14ac:dyDescent="0.35">
      <c r="A405" s="105" t="s">
        <v>620</v>
      </c>
      <c r="B405" s="105" t="s">
        <v>1322</v>
      </c>
      <c r="C405" s="105" t="s">
        <v>751</v>
      </c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</row>
    <row r="406" spans="1:15" ht="29" x14ac:dyDescent="0.35">
      <c r="A406" s="105" t="s">
        <v>623</v>
      </c>
      <c r="B406" s="105" t="s">
        <v>1323</v>
      </c>
      <c r="C406" s="105" t="s">
        <v>751</v>
      </c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</row>
    <row r="407" spans="1:15" ht="29" x14ac:dyDescent="0.35">
      <c r="A407" s="105" t="s">
        <v>625</v>
      </c>
      <c r="B407" s="105" t="s">
        <v>1324</v>
      </c>
      <c r="C407" s="105" t="s">
        <v>751</v>
      </c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</row>
    <row r="408" spans="1:15" ht="29" x14ac:dyDescent="0.35">
      <c r="A408" s="105" t="s">
        <v>627</v>
      </c>
      <c r="B408" s="105" t="s">
        <v>1325</v>
      </c>
      <c r="C408" s="105" t="s">
        <v>751</v>
      </c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</row>
    <row r="409" spans="1:15" ht="29" x14ac:dyDescent="0.35">
      <c r="A409" s="105" t="s">
        <v>629</v>
      </c>
      <c r="B409" s="105" t="s">
        <v>1326</v>
      </c>
      <c r="C409" s="105" t="s">
        <v>751</v>
      </c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</row>
    <row r="410" spans="1:15" ht="29" x14ac:dyDescent="0.35">
      <c r="A410" s="105" t="s">
        <v>631</v>
      </c>
      <c r="B410" s="105" t="s">
        <v>1327</v>
      </c>
      <c r="C410" s="105" t="s">
        <v>751</v>
      </c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</row>
    <row r="411" spans="1:15" ht="29" x14ac:dyDescent="0.35">
      <c r="A411" s="105" t="s">
        <v>633</v>
      </c>
      <c r="B411" s="105" t="s">
        <v>1328</v>
      </c>
      <c r="C411" s="105" t="s">
        <v>743</v>
      </c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</row>
    <row r="412" spans="1:15" ht="29" x14ac:dyDescent="0.35">
      <c r="A412" s="105" t="s">
        <v>635</v>
      </c>
      <c r="B412" s="105" t="s">
        <v>1329</v>
      </c>
      <c r="C412" s="105" t="s">
        <v>622</v>
      </c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</row>
    <row r="413" spans="1:15" ht="29" x14ac:dyDescent="0.35">
      <c r="A413" s="105" t="s">
        <v>637</v>
      </c>
      <c r="B413" s="105" t="s">
        <v>1330</v>
      </c>
      <c r="C413" s="105" t="s">
        <v>743</v>
      </c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</row>
    <row r="414" spans="1:15" ht="29" x14ac:dyDescent="0.35">
      <c r="A414" s="105" t="s">
        <v>639</v>
      </c>
      <c r="B414" s="105" t="s">
        <v>1331</v>
      </c>
      <c r="C414" s="105" t="s">
        <v>622</v>
      </c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</row>
    <row r="415" spans="1:15" ht="29" x14ac:dyDescent="0.35">
      <c r="A415" s="105" t="s">
        <v>641</v>
      </c>
      <c r="B415" s="105" t="s">
        <v>1332</v>
      </c>
      <c r="C415" s="105" t="s">
        <v>743</v>
      </c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</row>
    <row r="416" spans="1:15" x14ac:dyDescent="0.35">
      <c r="A416" s="105" t="s">
        <v>643</v>
      </c>
      <c r="B416" s="105" t="s">
        <v>1333</v>
      </c>
      <c r="C416" s="105" t="s">
        <v>622</v>
      </c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</row>
    <row r="417" spans="1:15" ht="29" x14ac:dyDescent="0.35">
      <c r="A417" s="105" t="s">
        <v>644</v>
      </c>
      <c r="B417" s="105" t="s">
        <v>1334</v>
      </c>
      <c r="C417" s="105" t="s">
        <v>622</v>
      </c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</row>
    <row r="418" spans="1:15" ht="29" x14ac:dyDescent="0.35">
      <c r="A418" s="105" t="s">
        <v>645</v>
      </c>
      <c r="B418" s="105" t="s">
        <v>1335</v>
      </c>
      <c r="C418" s="105" t="s">
        <v>743</v>
      </c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</row>
    <row r="419" spans="1:15" ht="29" x14ac:dyDescent="0.35">
      <c r="A419" s="105" t="s">
        <v>646</v>
      </c>
      <c r="B419" s="105" t="s">
        <v>1336</v>
      </c>
      <c r="C419" s="105" t="s">
        <v>746</v>
      </c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</row>
    <row r="420" spans="1:15" ht="29" x14ac:dyDescent="0.35">
      <c r="A420" s="105" t="s">
        <v>649</v>
      </c>
      <c r="B420" s="105" t="s">
        <v>1337</v>
      </c>
      <c r="C420" s="105" t="s">
        <v>751</v>
      </c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</row>
    <row r="421" spans="1:15" ht="29" x14ac:dyDescent="0.35">
      <c r="A421" s="105" t="s">
        <v>651</v>
      </c>
      <c r="B421" s="105" t="s">
        <v>1338</v>
      </c>
      <c r="C421" s="105" t="s">
        <v>751</v>
      </c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</row>
    <row r="422" spans="1:15" ht="29" x14ac:dyDescent="0.35">
      <c r="A422" s="105" t="s">
        <v>653</v>
      </c>
      <c r="B422" s="105" t="s">
        <v>1339</v>
      </c>
      <c r="C422" s="105" t="s">
        <v>751</v>
      </c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</row>
    <row r="423" spans="1:15" ht="29" x14ac:dyDescent="0.35">
      <c r="A423" s="105" t="s">
        <v>655</v>
      </c>
      <c r="B423" s="105" t="s">
        <v>1340</v>
      </c>
      <c r="C423" s="105" t="s">
        <v>751</v>
      </c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</row>
    <row r="424" spans="1:15" ht="29" x14ac:dyDescent="0.35">
      <c r="A424" s="105" t="s">
        <v>658</v>
      </c>
      <c r="B424" s="105" t="s">
        <v>1341</v>
      </c>
      <c r="C424" s="105" t="s">
        <v>751</v>
      </c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</row>
    <row r="425" spans="1:15" ht="29" x14ac:dyDescent="0.35">
      <c r="A425" s="105" t="s">
        <v>660</v>
      </c>
      <c r="B425" s="105" t="s">
        <v>706</v>
      </c>
      <c r="C425" s="105" t="s">
        <v>622</v>
      </c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</row>
    <row r="426" spans="1:15" ht="29" x14ac:dyDescent="0.35">
      <c r="A426" s="105" t="s">
        <v>662</v>
      </c>
      <c r="B426" s="105" t="s">
        <v>682</v>
      </c>
      <c r="C426" s="105" t="s">
        <v>683</v>
      </c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</row>
    <row r="427" spans="1:15" ht="29" x14ac:dyDescent="0.35">
      <c r="A427" s="105" t="s">
        <v>664</v>
      </c>
      <c r="B427" s="105" t="s">
        <v>685</v>
      </c>
      <c r="C427" s="105" t="s">
        <v>686</v>
      </c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</row>
    <row r="428" spans="1:15" ht="29" x14ac:dyDescent="0.35">
      <c r="A428" s="105" t="s">
        <v>666</v>
      </c>
      <c r="B428" s="105" t="s">
        <v>688</v>
      </c>
      <c r="C428" s="105" t="s">
        <v>686</v>
      </c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</row>
    <row r="429" spans="1:15" ht="29" x14ac:dyDescent="0.35">
      <c r="A429" s="105" t="s">
        <v>668</v>
      </c>
      <c r="B429" s="105" t="s">
        <v>690</v>
      </c>
      <c r="C429" s="105" t="s">
        <v>686</v>
      </c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</row>
    <row r="430" spans="1:15" ht="29" x14ac:dyDescent="0.35">
      <c r="A430" s="105" t="s">
        <v>670</v>
      </c>
      <c r="B430" s="105" t="s">
        <v>692</v>
      </c>
      <c r="C430" s="105" t="s">
        <v>686</v>
      </c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</row>
    <row r="431" spans="1:15" ht="29" x14ac:dyDescent="0.35">
      <c r="A431" s="105" t="s">
        <v>672</v>
      </c>
      <c r="B431" s="105" t="s">
        <v>694</v>
      </c>
      <c r="C431" s="105" t="s">
        <v>686</v>
      </c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</row>
    <row r="432" spans="1:15" ht="29" x14ac:dyDescent="0.35">
      <c r="A432" s="105" t="s">
        <v>674</v>
      </c>
      <c r="B432" s="105" t="s">
        <v>696</v>
      </c>
      <c r="C432" s="105" t="s">
        <v>686</v>
      </c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</row>
    <row r="433" spans="1:15" ht="29" x14ac:dyDescent="0.35">
      <c r="A433" s="105" t="s">
        <v>676</v>
      </c>
      <c r="B433" s="105" t="s">
        <v>698</v>
      </c>
      <c r="C433" s="105" t="s">
        <v>686</v>
      </c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</row>
    <row r="434" spans="1:15" x14ac:dyDescent="0.35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</row>
    <row r="435" spans="1:15" x14ac:dyDescent="0.35">
      <c r="A435" s="166" t="s">
        <v>723</v>
      </c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2"/>
    </row>
    <row r="436" spans="1:15" ht="58" x14ac:dyDescent="0.35">
      <c r="A436" s="108" t="s">
        <v>700</v>
      </c>
      <c r="B436" s="108" t="s">
        <v>701</v>
      </c>
      <c r="C436" s="108" t="s">
        <v>390</v>
      </c>
      <c r="D436" s="108" t="s">
        <v>351</v>
      </c>
      <c r="E436" s="108" t="s">
        <v>352</v>
      </c>
      <c r="F436" s="108" t="s">
        <v>292</v>
      </c>
      <c r="G436" s="108" t="s">
        <v>619</v>
      </c>
      <c r="H436" s="108" t="s">
        <v>353</v>
      </c>
      <c r="I436" s="108" t="s">
        <v>610</v>
      </c>
      <c r="J436" s="105"/>
      <c r="K436" s="105"/>
      <c r="L436" s="105"/>
      <c r="M436" s="105"/>
      <c r="N436" s="105"/>
      <c r="O436" s="105"/>
    </row>
    <row r="437" spans="1:15" x14ac:dyDescent="0.35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</row>
    <row r="438" spans="1:15" x14ac:dyDescent="0.35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</row>
    <row r="439" spans="1:15" x14ac:dyDescent="0.35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</row>
    <row r="440" spans="1:15" x14ac:dyDescent="0.35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</row>
    <row r="441" spans="1:15" x14ac:dyDescent="0.35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</row>
    <row r="442" spans="1:15" x14ac:dyDescent="0.35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</row>
    <row r="443" spans="1:15" x14ac:dyDescent="0.35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</row>
    <row r="444" spans="1:15" x14ac:dyDescent="0.35">
      <c r="A444" s="167" t="s">
        <v>724</v>
      </c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2"/>
    </row>
    <row r="445" spans="1:15" ht="72.5" x14ac:dyDescent="0.35">
      <c r="A445" s="108" t="s">
        <v>600</v>
      </c>
      <c r="B445" s="108"/>
      <c r="C445" s="108" t="s">
        <v>601</v>
      </c>
      <c r="D445" s="108"/>
      <c r="E445" s="108" t="s">
        <v>602</v>
      </c>
      <c r="F445" s="108"/>
      <c r="G445" s="108" t="s">
        <v>603</v>
      </c>
      <c r="H445" s="108"/>
      <c r="I445" s="108" t="s">
        <v>604</v>
      </c>
      <c r="J445" s="108"/>
      <c r="K445" s="108" t="s">
        <v>6</v>
      </c>
      <c r="L445" s="108"/>
      <c r="M445" s="108" t="s">
        <v>605</v>
      </c>
      <c r="N445" s="108"/>
      <c r="O445" s="108"/>
    </row>
    <row r="446" spans="1:15" ht="72.5" x14ac:dyDescent="0.35">
      <c r="A446" s="108" t="s">
        <v>606</v>
      </c>
      <c r="B446" s="108"/>
      <c r="C446" s="108" t="s">
        <v>607</v>
      </c>
      <c r="D446" s="108"/>
      <c r="E446" s="108" t="s">
        <v>608</v>
      </c>
      <c r="F446" s="108"/>
      <c r="G446" s="108" t="s">
        <v>609</v>
      </c>
      <c r="H446" s="108"/>
      <c r="I446" s="108" t="s">
        <v>610</v>
      </c>
      <c r="J446" s="109">
        <f>IFERROR(COUNTIF(E449:E477,"Yes")/(COUNTIF(E449:E477,"Yes")+COUNTIF(F449:F477,"No")),0)</f>
        <v>0</v>
      </c>
      <c r="K446" s="108"/>
      <c r="L446" s="108" t="str">
        <f>IF(J446&gt;=0.9,"Green",IF(J446&gt;=0.75,"Amber","Red"))</f>
        <v>Red</v>
      </c>
      <c r="M446" s="108"/>
      <c r="N446" s="108"/>
      <c r="O446" s="108"/>
    </row>
    <row r="447" spans="1:15" x14ac:dyDescent="0.35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</row>
    <row r="448" spans="1:15" ht="29" x14ac:dyDescent="0.35">
      <c r="A448" s="110" t="s">
        <v>611</v>
      </c>
      <c r="B448" s="110" t="s">
        <v>612</v>
      </c>
      <c r="C448" s="110" t="s">
        <v>613</v>
      </c>
      <c r="D448" s="110" t="s">
        <v>614</v>
      </c>
      <c r="E448" s="110" t="s">
        <v>81</v>
      </c>
      <c r="F448" s="110" t="s">
        <v>615</v>
      </c>
      <c r="G448" s="110" t="s">
        <v>616</v>
      </c>
      <c r="H448" s="110" t="s">
        <v>617</v>
      </c>
      <c r="I448" s="110" t="s">
        <v>618</v>
      </c>
      <c r="J448" s="110" t="s">
        <v>390</v>
      </c>
      <c r="K448" s="110" t="s">
        <v>351</v>
      </c>
      <c r="L448" s="110" t="s">
        <v>352</v>
      </c>
      <c r="M448" s="110" t="s">
        <v>292</v>
      </c>
      <c r="N448" s="110" t="s">
        <v>353</v>
      </c>
      <c r="O448" s="110" t="s">
        <v>619</v>
      </c>
    </row>
    <row r="449" spans="1:15" ht="29" x14ac:dyDescent="0.35">
      <c r="A449" s="105" t="s">
        <v>620</v>
      </c>
      <c r="B449" s="105" t="s">
        <v>1322</v>
      </c>
      <c r="C449" s="105" t="s">
        <v>751</v>
      </c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</row>
    <row r="450" spans="1:15" ht="29" x14ac:dyDescent="0.35">
      <c r="A450" s="105" t="s">
        <v>623</v>
      </c>
      <c r="B450" s="105" t="s">
        <v>1323</v>
      </c>
      <c r="C450" s="105" t="s">
        <v>751</v>
      </c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</row>
    <row r="451" spans="1:15" ht="29" x14ac:dyDescent="0.35">
      <c r="A451" s="105" t="s">
        <v>625</v>
      </c>
      <c r="B451" s="105" t="s">
        <v>1324</v>
      </c>
      <c r="C451" s="105" t="s">
        <v>751</v>
      </c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</row>
    <row r="452" spans="1:15" ht="29" x14ac:dyDescent="0.35">
      <c r="A452" s="105" t="s">
        <v>627</v>
      </c>
      <c r="B452" s="105" t="s">
        <v>1325</v>
      </c>
      <c r="C452" s="105" t="s">
        <v>751</v>
      </c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</row>
    <row r="453" spans="1:15" ht="29" x14ac:dyDescent="0.35">
      <c r="A453" s="105" t="s">
        <v>629</v>
      </c>
      <c r="B453" s="105" t="s">
        <v>1326</v>
      </c>
      <c r="C453" s="105" t="s">
        <v>751</v>
      </c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</row>
    <row r="454" spans="1:15" ht="29" x14ac:dyDescent="0.35">
      <c r="A454" s="105" t="s">
        <v>631</v>
      </c>
      <c r="B454" s="105" t="s">
        <v>1327</v>
      </c>
      <c r="C454" s="105" t="s">
        <v>751</v>
      </c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</row>
    <row r="455" spans="1:15" ht="29" x14ac:dyDescent="0.35">
      <c r="A455" s="105" t="s">
        <v>633</v>
      </c>
      <c r="B455" s="105" t="s">
        <v>1328</v>
      </c>
      <c r="C455" s="105" t="s">
        <v>743</v>
      </c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</row>
    <row r="456" spans="1:15" ht="29" x14ac:dyDescent="0.35">
      <c r="A456" s="105" t="s">
        <v>635</v>
      </c>
      <c r="B456" s="105" t="s">
        <v>1329</v>
      </c>
      <c r="C456" s="105" t="s">
        <v>622</v>
      </c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</row>
    <row r="457" spans="1:15" ht="29" x14ac:dyDescent="0.35">
      <c r="A457" s="105" t="s">
        <v>637</v>
      </c>
      <c r="B457" s="105" t="s">
        <v>1330</v>
      </c>
      <c r="C457" s="105" t="s">
        <v>743</v>
      </c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</row>
    <row r="458" spans="1:15" ht="29" x14ac:dyDescent="0.35">
      <c r="A458" s="105" t="s">
        <v>639</v>
      </c>
      <c r="B458" s="105" t="s">
        <v>1331</v>
      </c>
      <c r="C458" s="105" t="s">
        <v>622</v>
      </c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</row>
    <row r="459" spans="1:15" ht="29" x14ac:dyDescent="0.35">
      <c r="A459" s="105" t="s">
        <v>641</v>
      </c>
      <c r="B459" s="105" t="s">
        <v>1332</v>
      </c>
      <c r="C459" s="105" t="s">
        <v>743</v>
      </c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</row>
    <row r="460" spans="1:15" x14ac:dyDescent="0.35">
      <c r="A460" s="105" t="s">
        <v>643</v>
      </c>
      <c r="B460" s="105" t="s">
        <v>1333</v>
      </c>
      <c r="C460" s="105" t="s">
        <v>622</v>
      </c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</row>
    <row r="461" spans="1:15" ht="29" x14ac:dyDescent="0.35">
      <c r="A461" s="105" t="s">
        <v>644</v>
      </c>
      <c r="B461" s="105" t="s">
        <v>1334</v>
      </c>
      <c r="C461" s="105" t="s">
        <v>622</v>
      </c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</row>
    <row r="462" spans="1:15" ht="29" x14ac:dyDescent="0.35">
      <c r="A462" s="105" t="s">
        <v>645</v>
      </c>
      <c r="B462" s="105" t="s">
        <v>1335</v>
      </c>
      <c r="C462" s="105" t="s">
        <v>743</v>
      </c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</row>
    <row r="463" spans="1:15" ht="29" x14ac:dyDescent="0.35">
      <c r="A463" s="105" t="s">
        <v>646</v>
      </c>
      <c r="B463" s="105" t="s">
        <v>1336</v>
      </c>
      <c r="C463" s="105" t="s">
        <v>746</v>
      </c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</row>
    <row r="464" spans="1:15" ht="29" x14ac:dyDescent="0.35">
      <c r="A464" s="105" t="s">
        <v>649</v>
      </c>
      <c r="B464" s="105" t="s">
        <v>1337</v>
      </c>
      <c r="C464" s="105" t="s">
        <v>751</v>
      </c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</row>
    <row r="465" spans="1:15" ht="29" x14ac:dyDescent="0.35">
      <c r="A465" s="105" t="s">
        <v>651</v>
      </c>
      <c r="B465" s="105" t="s">
        <v>1338</v>
      </c>
      <c r="C465" s="105" t="s">
        <v>751</v>
      </c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</row>
    <row r="466" spans="1:15" ht="29" x14ac:dyDescent="0.35">
      <c r="A466" s="105" t="s">
        <v>653</v>
      </c>
      <c r="B466" s="105" t="s">
        <v>1339</v>
      </c>
      <c r="C466" s="105" t="s">
        <v>751</v>
      </c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</row>
    <row r="467" spans="1:15" ht="29" x14ac:dyDescent="0.35">
      <c r="A467" s="105" t="s">
        <v>655</v>
      </c>
      <c r="B467" s="105" t="s">
        <v>1340</v>
      </c>
      <c r="C467" s="105" t="s">
        <v>751</v>
      </c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</row>
    <row r="468" spans="1:15" ht="29" x14ac:dyDescent="0.35">
      <c r="A468" s="105" t="s">
        <v>658</v>
      </c>
      <c r="B468" s="105" t="s">
        <v>1341</v>
      </c>
      <c r="C468" s="105" t="s">
        <v>751</v>
      </c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</row>
    <row r="469" spans="1:15" ht="29" x14ac:dyDescent="0.35">
      <c r="A469" s="105" t="s">
        <v>660</v>
      </c>
      <c r="B469" s="105" t="s">
        <v>706</v>
      </c>
      <c r="C469" s="105" t="s">
        <v>622</v>
      </c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</row>
    <row r="470" spans="1:15" ht="29" x14ac:dyDescent="0.35">
      <c r="A470" s="105" t="s">
        <v>662</v>
      </c>
      <c r="B470" s="105" t="s">
        <v>682</v>
      </c>
      <c r="C470" s="105" t="s">
        <v>683</v>
      </c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</row>
    <row r="471" spans="1:15" ht="29" x14ac:dyDescent="0.35">
      <c r="A471" s="105" t="s">
        <v>664</v>
      </c>
      <c r="B471" s="105" t="s">
        <v>685</v>
      </c>
      <c r="C471" s="105" t="s">
        <v>686</v>
      </c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</row>
    <row r="472" spans="1:15" ht="29" x14ac:dyDescent="0.35">
      <c r="A472" s="105" t="s">
        <v>666</v>
      </c>
      <c r="B472" s="105" t="s">
        <v>688</v>
      </c>
      <c r="C472" s="105" t="s">
        <v>686</v>
      </c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</row>
    <row r="473" spans="1:15" ht="29" x14ac:dyDescent="0.35">
      <c r="A473" s="105" t="s">
        <v>668</v>
      </c>
      <c r="B473" s="105" t="s">
        <v>690</v>
      </c>
      <c r="C473" s="105" t="s">
        <v>686</v>
      </c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</row>
    <row r="474" spans="1:15" ht="29" x14ac:dyDescent="0.35">
      <c r="A474" s="105" t="s">
        <v>670</v>
      </c>
      <c r="B474" s="105" t="s">
        <v>692</v>
      </c>
      <c r="C474" s="105" t="s">
        <v>686</v>
      </c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</row>
    <row r="475" spans="1:15" ht="29" x14ac:dyDescent="0.35">
      <c r="A475" s="105" t="s">
        <v>672</v>
      </c>
      <c r="B475" s="105" t="s">
        <v>694</v>
      </c>
      <c r="C475" s="105" t="s">
        <v>686</v>
      </c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</row>
    <row r="476" spans="1:15" ht="29" x14ac:dyDescent="0.35">
      <c r="A476" s="105" t="s">
        <v>674</v>
      </c>
      <c r="B476" s="105" t="s">
        <v>696</v>
      </c>
      <c r="C476" s="105" t="s">
        <v>686</v>
      </c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</row>
    <row r="477" spans="1:15" ht="29" x14ac:dyDescent="0.35">
      <c r="A477" s="105" t="s">
        <v>676</v>
      </c>
      <c r="B477" s="105" t="s">
        <v>698</v>
      </c>
      <c r="C477" s="105" t="s">
        <v>686</v>
      </c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</row>
    <row r="478" spans="1:15" x14ac:dyDescent="0.35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</row>
    <row r="479" spans="1:15" x14ac:dyDescent="0.35">
      <c r="A479" s="166" t="s">
        <v>725</v>
      </c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2"/>
    </row>
    <row r="480" spans="1:15" ht="58" x14ac:dyDescent="0.35">
      <c r="A480" s="108" t="s">
        <v>700</v>
      </c>
      <c r="B480" s="108" t="s">
        <v>701</v>
      </c>
      <c r="C480" s="108" t="s">
        <v>390</v>
      </c>
      <c r="D480" s="108" t="s">
        <v>351</v>
      </c>
      <c r="E480" s="108" t="s">
        <v>352</v>
      </c>
      <c r="F480" s="108" t="s">
        <v>292</v>
      </c>
      <c r="G480" s="108" t="s">
        <v>619</v>
      </c>
      <c r="H480" s="108" t="s">
        <v>353</v>
      </c>
      <c r="I480" s="108" t="s">
        <v>610</v>
      </c>
      <c r="J480" s="105"/>
      <c r="K480" s="105"/>
      <c r="L480" s="105"/>
      <c r="M480" s="105"/>
      <c r="N480" s="105"/>
      <c r="O480" s="105"/>
    </row>
    <row r="481" spans="1:15" x14ac:dyDescent="0.35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</row>
    <row r="482" spans="1:15" x14ac:dyDescent="0.35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</row>
    <row r="483" spans="1:15" x14ac:dyDescent="0.35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</row>
    <row r="484" spans="1:15" x14ac:dyDescent="0.35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</row>
    <row r="485" spans="1:15" x14ac:dyDescent="0.3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</row>
    <row r="486" spans="1:15" x14ac:dyDescent="0.35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</row>
    <row r="487" spans="1:15" x14ac:dyDescent="0.35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</row>
    <row r="488" spans="1:15" x14ac:dyDescent="0.35">
      <c r="A488" s="167" t="s">
        <v>726</v>
      </c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2"/>
    </row>
    <row r="489" spans="1:15" ht="72.5" x14ac:dyDescent="0.35">
      <c r="A489" s="108" t="s">
        <v>600</v>
      </c>
      <c r="B489" s="108"/>
      <c r="C489" s="108" t="s">
        <v>601</v>
      </c>
      <c r="D489" s="108"/>
      <c r="E489" s="108" t="s">
        <v>602</v>
      </c>
      <c r="F489" s="108"/>
      <c r="G489" s="108" t="s">
        <v>603</v>
      </c>
      <c r="H489" s="108"/>
      <c r="I489" s="108" t="s">
        <v>604</v>
      </c>
      <c r="J489" s="108"/>
      <c r="K489" s="108" t="s">
        <v>6</v>
      </c>
      <c r="L489" s="108"/>
      <c r="M489" s="108" t="s">
        <v>605</v>
      </c>
      <c r="N489" s="108"/>
      <c r="O489" s="108"/>
    </row>
    <row r="490" spans="1:15" ht="72.5" x14ac:dyDescent="0.35">
      <c r="A490" s="108" t="s">
        <v>606</v>
      </c>
      <c r="B490" s="108"/>
      <c r="C490" s="108" t="s">
        <v>607</v>
      </c>
      <c r="D490" s="108"/>
      <c r="E490" s="108" t="s">
        <v>608</v>
      </c>
      <c r="F490" s="108"/>
      <c r="G490" s="108" t="s">
        <v>609</v>
      </c>
      <c r="H490" s="108"/>
      <c r="I490" s="108" t="s">
        <v>610</v>
      </c>
      <c r="J490" s="109">
        <f>IFERROR(COUNTIF(E493:E521,"Yes")/(COUNTIF(E493:E521,"Yes")+COUNTIF(F493:F521,"No")),0)</f>
        <v>0</v>
      </c>
      <c r="K490" s="108"/>
      <c r="L490" s="108" t="str">
        <f>IF(J490&gt;=0.9,"Green",IF(J490&gt;=0.75,"Amber","Red"))</f>
        <v>Red</v>
      </c>
      <c r="M490" s="108"/>
      <c r="N490" s="108"/>
      <c r="O490" s="108"/>
    </row>
    <row r="491" spans="1:15" x14ac:dyDescent="0.35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</row>
    <row r="492" spans="1:15" ht="29" x14ac:dyDescent="0.35">
      <c r="A492" s="110" t="s">
        <v>611</v>
      </c>
      <c r="B492" s="110" t="s">
        <v>612</v>
      </c>
      <c r="C492" s="110" t="s">
        <v>613</v>
      </c>
      <c r="D492" s="110" t="s">
        <v>614</v>
      </c>
      <c r="E492" s="110" t="s">
        <v>81</v>
      </c>
      <c r="F492" s="110" t="s">
        <v>615</v>
      </c>
      <c r="G492" s="110" t="s">
        <v>616</v>
      </c>
      <c r="H492" s="110" t="s">
        <v>617</v>
      </c>
      <c r="I492" s="110" t="s">
        <v>618</v>
      </c>
      <c r="J492" s="110" t="s">
        <v>390</v>
      </c>
      <c r="K492" s="110" t="s">
        <v>351</v>
      </c>
      <c r="L492" s="110" t="s">
        <v>352</v>
      </c>
      <c r="M492" s="110" t="s">
        <v>292</v>
      </c>
      <c r="N492" s="110" t="s">
        <v>353</v>
      </c>
      <c r="O492" s="110" t="s">
        <v>619</v>
      </c>
    </row>
    <row r="493" spans="1:15" ht="29" x14ac:dyDescent="0.35">
      <c r="A493" s="105" t="s">
        <v>620</v>
      </c>
      <c r="B493" s="105" t="s">
        <v>1322</v>
      </c>
      <c r="C493" s="105" t="s">
        <v>751</v>
      </c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</row>
    <row r="494" spans="1:15" ht="29" x14ac:dyDescent="0.35">
      <c r="A494" s="105" t="s">
        <v>623</v>
      </c>
      <c r="B494" s="105" t="s">
        <v>1323</v>
      </c>
      <c r="C494" s="105" t="s">
        <v>751</v>
      </c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</row>
    <row r="495" spans="1:15" ht="29" x14ac:dyDescent="0.35">
      <c r="A495" s="105" t="s">
        <v>625</v>
      </c>
      <c r="B495" s="105" t="s">
        <v>1324</v>
      </c>
      <c r="C495" s="105" t="s">
        <v>751</v>
      </c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</row>
    <row r="496" spans="1:15" ht="29" x14ac:dyDescent="0.35">
      <c r="A496" s="105" t="s">
        <v>627</v>
      </c>
      <c r="B496" s="105" t="s">
        <v>1325</v>
      </c>
      <c r="C496" s="105" t="s">
        <v>751</v>
      </c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</row>
    <row r="497" spans="1:15" ht="29" x14ac:dyDescent="0.35">
      <c r="A497" s="105" t="s">
        <v>629</v>
      </c>
      <c r="B497" s="105" t="s">
        <v>1326</v>
      </c>
      <c r="C497" s="105" t="s">
        <v>751</v>
      </c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</row>
    <row r="498" spans="1:15" ht="29" x14ac:dyDescent="0.35">
      <c r="A498" s="105" t="s">
        <v>631</v>
      </c>
      <c r="B498" s="105" t="s">
        <v>1327</v>
      </c>
      <c r="C498" s="105" t="s">
        <v>751</v>
      </c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</row>
    <row r="499" spans="1:15" ht="29" x14ac:dyDescent="0.35">
      <c r="A499" s="105" t="s">
        <v>633</v>
      </c>
      <c r="B499" s="105" t="s">
        <v>1328</v>
      </c>
      <c r="C499" s="105" t="s">
        <v>743</v>
      </c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</row>
    <row r="500" spans="1:15" ht="29" x14ac:dyDescent="0.35">
      <c r="A500" s="105" t="s">
        <v>635</v>
      </c>
      <c r="B500" s="105" t="s">
        <v>1329</v>
      </c>
      <c r="C500" s="105" t="s">
        <v>622</v>
      </c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</row>
    <row r="501" spans="1:15" ht="29" x14ac:dyDescent="0.35">
      <c r="A501" s="105" t="s">
        <v>637</v>
      </c>
      <c r="B501" s="105" t="s">
        <v>1330</v>
      </c>
      <c r="C501" s="105" t="s">
        <v>743</v>
      </c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</row>
    <row r="502" spans="1:15" ht="29" x14ac:dyDescent="0.35">
      <c r="A502" s="105" t="s">
        <v>639</v>
      </c>
      <c r="B502" s="105" t="s">
        <v>1331</v>
      </c>
      <c r="C502" s="105" t="s">
        <v>622</v>
      </c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</row>
    <row r="503" spans="1:15" ht="29" x14ac:dyDescent="0.35">
      <c r="A503" s="105" t="s">
        <v>641</v>
      </c>
      <c r="B503" s="105" t="s">
        <v>1332</v>
      </c>
      <c r="C503" s="105" t="s">
        <v>743</v>
      </c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</row>
    <row r="504" spans="1:15" x14ac:dyDescent="0.35">
      <c r="A504" s="105" t="s">
        <v>643</v>
      </c>
      <c r="B504" s="105" t="s">
        <v>1333</v>
      </c>
      <c r="C504" s="105" t="s">
        <v>622</v>
      </c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</row>
    <row r="505" spans="1:15" ht="29" x14ac:dyDescent="0.35">
      <c r="A505" s="105" t="s">
        <v>644</v>
      </c>
      <c r="B505" s="105" t="s">
        <v>1334</v>
      </c>
      <c r="C505" s="105" t="s">
        <v>622</v>
      </c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</row>
    <row r="506" spans="1:15" ht="29" x14ac:dyDescent="0.35">
      <c r="A506" s="105" t="s">
        <v>645</v>
      </c>
      <c r="B506" s="105" t="s">
        <v>1335</v>
      </c>
      <c r="C506" s="105" t="s">
        <v>743</v>
      </c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</row>
    <row r="507" spans="1:15" ht="29" x14ac:dyDescent="0.35">
      <c r="A507" s="105" t="s">
        <v>646</v>
      </c>
      <c r="B507" s="105" t="s">
        <v>1336</v>
      </c>
      <c r="C507" s="105" t="s">
        <v>746</v>
      </c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</row>
    <row r="508" spans="1:15" ht="29" x14ac:dyDescent="0.35">
      <c r="A508" s="105" t="s">
        <v>649</v>
      </c>
      <c r="B508" s="105" t="s">
        <v>1337</v>
      </c>
      <c r="C508" s="105" t="s">
        <v>751</v>
      </c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</row>
    <row r="509" spans="1:15" ht="29" x14ac:dyDescent="0.35">
      <c r="A509" s="105" t="s">
        <v>651</v>
      </c>
      <c r="B509" s="105" t="s">
        <v>1338</v>
      </c>
      <c r="C509" s="105" t="s">
        <v>751</v>
      </c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</row>
    <row r="510" spans="1:15" ht="29" x14ac:dyDescent="0.35">
      <c r="A510" s="105" t="s">
        <v>653</v>
      </c>
      <c r="B510" s="105" t="s">
        <v>1339</v>
      </c>
      <c r="C510" s="105" t="s">
        <v>751</v>
      </c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</row>
    <row r="511" spans="1:15" ht="29" x14ac:dyDescent="0.35">
      <c r="A511" s="105" t="s">
        <v>655</v>
      </c>
      <c r="B511" s="105" t="s">
        <v>1340</v>
      </c>
      <c r="C511" s="105" t="s">
        <v>751</v>
      </c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</row>
    <row r="512" spans="1:15" ht="29" x14ac:dyDescent="0.35">
      <c r="A512" s="105" t="s">
        <v>658</v>
      </c>
      <c r="B512" s="105" t="s">
        <v>1341</v>
      </c>
      <c r="C512" s="105" t="s">
        <v>751</v>
      </c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</row>
    <row r="513" spans="1:15" ht="29" x14ac:dyDescent="0.35">
      <c r="A513" s="105" t="s">
        <v>660</v>
      </c>
      <c r="B513" s="105" t="s">
        <v>706</v>
      </c>
      <c r="C513" s="105" t="s">
        <v>622</v>
      </c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</row>
    <row r="514" spans="1:15" ht="29" x14ac:dyDescent="0.35">
      <c r="A514" s="105" t="s">
        <v>662</v>
      </c>
      <c r="B514" s="105" t="s">
        <v>682</v>
      </c>
      <c r="C514" s="105" t="s">
        <v>683</v>
      </c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</row>
    <row r="515" spans="1:15" ht="29" x14ac:dyDescent="0.35">
      <c r="A515" s="105" t="s">
        <v>664</v>
      </c>
      <c r="B515" s="105" t="s">
        <v>685</v>
      </c>
      <c r="C515" s="105" t="s">
        <v>686</v>
      </c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</row>
    <row r="516" spans="1:15" ht="29" x14ac:dyDescent="0.35">
      <c r="A516" s="105" t="s">
        <v>666</v>
      </c>
      <c r="B516" s="105" t="s">
        <v>688</v>
      </c>
      <c r="C516" s="105" t="s">
        <v>686</v>
      </c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</row>
    <row r="517" spans="1:15" ht="29" x14ac:dyDescent="0.35">
      <c r="A517" s="105" t="s">
        <v>668</v>
      </c>
      <c r="B517" s="105" t="s">
        <v>690</v>
      </c>
      <c r="C517" s="105" t="s">
        <v>686</v>
      </c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</row>
    <row r="518" spans="1:15" ht="29" x14ac:dyDescent="0.35">
      <c r="A518" s="105" t="s">
        <v>670</v>
      </c>
      <c r="B518" s="105" t="s">
        <v>692</v>
      </c>
      <c r="C518" s="105" t="s">
        <v>686</v>
      </c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</row>
    <row r="519" spans="1:15" ht="29" x14ac:dyDescent="0.35">
      <c r="A519" s="105" t="s">
        <v>672</v>
      </c>
      <c r="B519" s="105" t="s">
        <v>694</v>
      </c>
      <c r="C519" s="105" t="s">
        <v>686</v>
      </c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</row>
    <row r="520" spans="1:15" ht="29" x14ac:dyDescent="0.35">
      <c r="A520" s="105" t="s">
        <v>674</v>
      </c>
      <c r="B520" s="105" t="s">
        <v>696</v>
      </c>
      <c r="C520" s="105" t="s">
        <v>686</v>
      </c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</row>
    <row r="521" spans="1:15" ht="29" x14ac:dyDescent="0.35">
      <c r="A521" s="105" t="s">
        <v>676</v>
      </c>
      <c r="B521" s="105" t="s">
        <v>698</v>
      </c>
      <c r="C521" s="105" t="s">
        <v>686</v>
      </c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</row>
    <row r="522" spans="1:15" x14ac:dyDescent="0.35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</row>
    <row r="523" spans="1:15" x14ac:dyDescent="0.35">
      <c r="A523" s="166" t="s">
        <v>727</v>
      </c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2"/>
    </row>
    <row r="524" spans="1:15" ht="58" x14ac:dyDescent="0.35">
      <c r="A524" s="108" t="s">
        <v>700</v>
      </c>
      <c r="B524" s="108" t="s">
        <v>701</v>
      </c>
      <c r="C524" s="108" t="s">
        <v>390</v>
      </c>
      <c r="D524" s="108" t="s">
        <v>351</v>
      </c>
      <c r="E524" s="108" t="s">
        <v>352</v>
      </c>
      <c r="F524" s="108" t="s">
        <v>292</v>
      </c>
      <c r="G524" s="108" t="s">
        <v>619</v>
      </c>
      <c r="H524" s="108" t="s">
        <v>353</v>
      </c>
      <c r="I524" s="108" t="s">
        <v>610</v>
      </c>
      <c r="J524" s="105"/>
      <c r="K524" s="105"/>
      <c r="L524" s="105"/>
      <c r="M524" s="105"/>
      <c r="N524" s="105"/>
      <c r="O524" s="105"/>
    </row>
  </sheetData>
  <mergeCells count="26">
    <mergeCell ref="A303:O303"/>
    <mergeCell ref="A312:O312"/>
    <mergeCell ref="A259:O259"/>
    <mergeCell ref="A4:O4"/>
    <mergeCell ref="A224:O224"/>
    <mergeCell ref="A127:O127"/>
    <mergeCell ref="A48:O48"/>
    <mergeCell ref="A92:O92"/>
    <mergeCell ref="A39:O39"/>
    <mergeCell ref="A83:O83"/>
    <mergeCell ref="A1:O1"/>
    <mergeCell ref="A523:O523"/>
    <mergeCell ref="A488:O488"/>
    <mergeCell ref="A479:O479"/>
    <mergeCell ref="A215:O215"/>
    <mergeCell ref="A180:O180"/>
    <mergeCell ref="A171:O171"/>
    <mergeCell ref="A435:O435"/>
    <mergeCell ref="A400:O400"/>
    <mergeCell ref="A347:O347"/>
    <mergeCell ref="A391:O391"/>
    <mergeCell ref="A268:O268"/>
    <mergeCell ref="A444:O444"/>
    <mergeCell ref="A136:O136"/>
    <mergeCell ref="A356:O356"/>
    <mergeCell ref="A2:O2"/>
  </mergeCells>
  <dataValidations count="2">
    <dataValidation type="list" allowBlank="1" sqref="E9:G37 E53:G81 E97:G125 E141:G169 E185:G213 E229:G257 E273:G301 E317:G345 E361:G389 E405:G433 E449:G477 E493:G521" xr:uid="{00000000-0002-0000-4000-000000000000}">
      <formula1>"Yes,No,N/A"</formula1>
    </dataValidation>
    <dataValidation type="list" allowBlank="1" sqref="H9:H37 H53:H81 H97:H125 H141:H169 H185:H213 H229:H257 H273:H301 H317:H345 H361:H389 H405:H433 H449:H477 H493:H521" xr:uid="{00000000-0002-0000-4000-000001000000}">
      <formula1>"Low,Medium,High,Critical,N/A"</formula1>
    </dataValidation>
  </dataValidation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404"/>
  <sheetViews>
    <sheetView workbookViewId="0"/>
  </sheetViews>
  <sheetFormatPr defaultRowHeight="14.5" x14ac:dyDescent="0.35"/>
  <cols>
    <col min="1" max="1" width="5" customWidth="1"/>
    <col min="2" max="2" width="46" customWidth="1"/>
    <col min="3" max="3" width="20" customWidth="1"/>
    <col min="4" max="4" width="30" customWidth="1"/>
    <col min="5" max="7" width="7" customWidth="1"/>
    <col min="8" max="8" width="13" customWidth="1"/>
    <col min="9" max="9" width="30" customWidth="1"/>
    <col min="10" max="10" width="26" customWidth="1"/>
    <col min="11" max="11" width="14" customWidth="1"/>
    <col min="12" max="12" width="13" customWidth="1"/>
    <col min="13" max="15" width="14" customWidth="1"/>
  </cols>
  <sheetData>
    <row r="1" spans="1:15" x14ac:dyDescent="0.35">
      <c r="A1" s="145" t="s">
        <v>1342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2"/>
    </row>
    <row r="2" spans="1:15" x14ac:dyDescent="0.35">
      <c r="A2" s="168" t="s">
        <v>1343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2"/>
    </row>
    <row r="3" spans="1:15" x14ac:dyDescent="0.35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15" x14ac:dyDescent="0.35">
      <c r="A4" s="167" t="s">
        <v>599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2"/>
    </row>
    <row r="5" spans="1:15" ht="72.5" x14ac:dyDescent="0.35">
      <c r="A5" s="108" t="s">
        <v>600</v>
      </c>
      <c r="B5" s="108"/>
      <c r="C5" s="108" t="s">
        <v>601</v>
      </c>
      <c r="D5" s="108"/>
      <c r="E5" s="108" t="s">
        <v>602</v>
      </c>
      <c r="F5" s="108"/>
      <c r="G5" s="108" t="s">
        <v>603</v>
      </c>
      <c r="H5" s="108"/>
      <c r="I5" s="108" t="s">
        <v>604</v>
      </c>
      <c r="J5" s="108"/>
      <c r="K5" s="108" t="s">
        <v>6</v>
      </c>
      <c r="L5" s="108"/>
      <c r="M5" s="108" t="s">
        <v>605</v>
      </c>
      <c r="N5" s="108"/>
      <c r="O5" s="108"/>
    </row>
    <row r="6" spans="1:15" ht="72.5" x14ac:dyDescent="0.35">
      <c r="A6" s="108" t="s">
        <v>606</v>
      </c>
      <c r="B6" s="108"/>
      <c r="C6" s="108" t="s">
        <v>607</v>
      </c>
      <c r="D6" s="108"/>
      <c r="E6" s="108" t="s">
        <v>608</v>
      </c>
      <c r="F6" s="108"/>
      <c r="G6" s="108" t="s">
        <v>609</v>
      </c>
      <c r="H6" s="108"/>
      <c r="I6" s="108" t="s">
        <v>610</v>
      </c>
      <c r="J6" s="109">
        <f>IFERROR(COUNTIF(E9:E27,"Yes")/(COUNTIF(E9:E27,"Yes")+COUNTIF(F9:F27,"No")),0)</f>
        <v>0</v>
      </c>
      <c r="K6" s="108"/>
      <c r="L6" s="108" t="str">
        <f>IF(J6&gt;=0.9,"Green",IF(J6&gt;=0.75,"Amber","Red"))</f>
        <v>Red</v>
      </c>
      <c r="M6" s="108"/>
      <c r="N6" s="108"/>
      <c r="O6" s="108"/>
    </row>
    <row r="7" spans="1:15" x14ac:dyDescent="0.35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</row>
    <row r="8" spans="1:15" ht="29" x14ac:dyDescent="0.35">
      <c r="A8" s="110" t="s">
        <v>611</v>
      </c>
      <c r="B8" s="110" t="s">
        <v>612</v>
      </c>
      <c r="C8" s="110" t="s">
        <v>613</v>
      </c>
      <c r="D8" s="110" t="s">
        <v>614</v>
      </c>
      <c r="E8" s="110" t="s">
        <v>81</v>
      </c>
      <c r="F8" s="110" t="s">
        <v>615</v>
      </c>
      <c r="G8" s="110" t="s">
        <v>616</v>
      </c>
      <c r="H8" s="110" t="s">
        <v>617</v>
      </c>
      <c r="I8" s="110" t="s">
        <v>618</v>
      </c>
      <c r="J8" s="110" t="s">
        <v>390</v>
      </c>
      <c r="K8" s="110" t="s">
        <v>351</v>
      </c>
      <c r="L8" s="110" t="s">
        <v>352</v>
      </c>
      <c r="M8" s="110" t="s">
        <v>292</v>
      </c>
      <c r="N8" s="110" t="s">
        <v>353</v>
      </c>
      <c r="O8" s="110" t="s">
        <v>619</v>
      </c>
    </row>
    <row r="9" spans="1:15" ht="29" x14ac:dyDescent="0.35">
      <c r="A9" s="105" t="s">
        <v>620</v>
      </c>
      <c r="B9" s="105" t="s">
        <v>1344</v>
      </c>
      <c r="C9" s="105" t="s">
        <v>751</v>
      </c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</row>
    <row r="10" spans="1:15" x14ac:dyDescent="0.35">
      <c r="A10" s="105" t="s">
        <v>623</v>
      </c>
      <c r="B10" s="105" t="s">
        <v>1345</v>
      </c>
      <c r="C10" s="105" t="s">
        <v>751</v>
      </c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</row>
    <row r="11" spans="1:15" x14ac:dyDescent="0.35">
      <c r="A11" s="105" t="s">
        <v>625</v>
      </c>
      <c r="B11" s="105" t="s">
        <v>1346</v>
      </c>
      <c r="C11" s="105" t="s">
        <v>751</v>
      </c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</row>
    <row r="12" spans="1:15" x14ac:dyDescent="0.35">
      <c r="A12" s="105" t="s">
        <v>627</v>
      </c>
      <c r="B12" s="105" t="s">
        <v>1347</v>
      </c>
      <c r="C12" s="105" t="s">
        <v>751</v>
      </c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</row>
    <row r="13" spans="1:15" x14ac:dyDescent="0.35">
      <c r="A13" s="105" t="s">
        <v>629</v>
      </c>
      <c r="B13" s="105" t="s">
        <v>1348</v>
      </c>
      <c r="C13" s="105" t="s">
        <v>751</v>
      </c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</row>
    <row r="14" spans="1:15" ht="29" x14ac:dyDescent="0.35">
      <c r="A14" s="105" t="s">
        <v>631</v>
      </c>
      <c r="B14" s="105" t="s">
        <v>1349</v>
      </c>
      <c r="C14" s="105" t="s">
        <v>751</v>
      </c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</row>
    <row r="15" spans="1:15" ht="29" x14ac:dyDescent="0.35">
      <c r="A15" s="105" t="s">
        <v>633</v>
      </c>
      <c r="B15" s="105" t="s">
        <v>1350</v>
      </c>
      <c r="C15" s="105" t="s">
        <v>751</v>
      </c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</row>
    <row r="16" spans="1:15" ht="29" x14ac:dyDescent="0.35">
      <c r="A16" s="105" t="s">
        <v>635</v>
      </c>
      <c r="B16" s="105" t="s">
        <v>1351</v>
      </c>
      <c r="C16" s="105" t="s">
        <v>751</v>
      </c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</row>
    <row r="17" spans="1:15" ht="29" x14ac:dyDescent="0.35">
      <c r="A17" s="105" t="s">
        <v>637</v>
      </c>
      <c r="B17" s="105" t="s">
        <v>1352</v>
      </c>
      <c r="C17" s="105" t="s">
        <v>751</v>
      </c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</row>
    <row r="18" spans="1:15" x14ac:dyDescent="0.35">
      <c r="A18" s="105" t="s">
        <v>639</v>
      </c>
      <c r="B18" s="105" t="s">
        <v>1353</v>
      </c>
      <c r="C18" s="105" t="s">
        <v>788</v>
      </c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</row>
    <row r="19" spans="1:15" ht="29" x14ac:dyDescent="0.35">
      <c r="A19" s="105" t="s">
        <v>641</v>
      </c>
      <c r="B19" s="105" t="s">
        <v>706</v>
      </c>
      <c r="C19" s="105" t="s">
        <v>622</v>
      </c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</row>
    <row r="20" spans="1:15" ht="29" x14ac:dyDescent="0.35">
      <c r="A20" s="105" t="s">
        <v>643</v>
      </c>
      <c r="B20" s="105" t="s">
        <v>682</v>
      </c>
      <c r="C20" s="105" t="s">
        <v>683</v>
      </c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</row>
    <row r="21" spans="1:15" ht="29" x14ac:dyDescent="0.35">
      <c r="A21" s="105" t="s">
        <v>644</v>
      </c>
      <c r="B21" s="105" t="s">
        <v>685</v>
      </c>
      <c r="C21" s="105" t="s">
        <v>686</v>
      </c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</row>
    <row r="22" spans="1:15" ht="29" x14ac:dyDescent="0.35">
      <c r="A22" s="105" t="s">
        <v>645</v>
      </c>
      <c r="B22" s="105" t="s">
        <v>688</v>
      </c>
      <c r="C22" s="105" t="s">
        <v>686</v>
      </c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</row>
    <row r="23" spans="1:15" ht="29" x14ac:dyDescent="0.35">
      <c r="A23" s="105" t="s">
        <v>646</v>
      </c>
      <c r="B23" s="105" t="s">
        <v>690</v>
      </c>
      <c r="C23" s="105" t="s">
        <v>686</v>
      </c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</row>
    <row r="24" spans="1:15" ht="29" x14ac:dyDescent="0.35">
      <c r="A24" s="105" t="s">
        <v>649</v>
      </c>
      <c r="B24" s="105" t="s">
        <v>692</v>
      </c>
      <c r="C24" s="105" t="s">
        <v>686</v>
      </c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</row>
    <row r="25" spans="1:15" ht="29" x14ac:dyDescent="0.35">
      <c r="A25" s="105" t="s">
        <v>651</v>
      </c>
      <c r="B25" s="105" t="s">
        <v>694</v>
      </c>
      <c r="C25" s="105" t="s">
        <v>686</v>
      </c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</row>
    <row r="26" spans="1:15" ht="29" x14ac:dyDescent="0.35">
      <c r="A26" s="105" t="s">
        <v>653</v>
      </c>
      <c r="B26" s="105" t="s">
        <v>696</v>
      </c>
      <c r="C26" s="105" t="s">
        <v>686</v>
      </c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</row>
    <row r="27" spans="1:15" ht="29" x14ac:dyDescent="0.35">
      <c r="A27" s="105" t="s">
        <v>655</v>
      </c>
      <c r="B27" s="105" t="s">
        <v>698</v>
      </c>
      <c r="C27" s="105" t="s">
        <v>686</v>
      </c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</row>
    <row r="28" spans="1:15" x14ac:dyDescent="0.35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</row>
    <row r="29" spans="1:15" x14ac:dyDescent="0.35">
      <c r="A29" s="166" t="s">
        <v>699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2"/>
    </row>
    <row r="30" spans="1:15" ht="58" x14ac:dyDescent="0.35">
      <c r="A30" s="108" t="s">
        <v>700</v>
      </c>
      <c r="B30" s="108" t="s">
        <v>701</v>
      </c>
      <c r="C30" s="108" t="s">
        <v>390</v>
      </c>
      <c r="D30" s="108" t="s">
        <v>351</v>
      </c>
      <c r="E30" s="108" t="s">
        <v>352</v>
      </c>
      <c r="F30" s="108" t="s">
        <v>292</v>
      </c>
      <c r="G30" s="108" t="s">
        <v>619</v>
      </c>
      <c r="H30" s="108" t="s">
        <v>353</v>
      </c>
      <c r="I30" s="108" t="s">
        <v>610</v>
      </c>
      <c r="J30" s="105"/>
      <c r="K30" s="105"/>
      <c r="L30" s="105"/>
      <c r="M30" s="105"/>
      <c r="N30" s="105"/>
      <c r="O30" s="105"/>
    </row>
    <row r="31" spans="1:15" x14ac:dyDescent="0.35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</row>
    <row r="32" spans="1:15" x14ac:dyDescent="0.35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</row>
    <row r="33" spans="1:15" x14ac:dyDescent="0.35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</row>
    <row r="34" spans="1:15" x14ac:dyDescent="0.35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</row>
    <row r="35" spans="1:15" x14ac:dyDescent="0.35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</row>
    <row r="36" spans="1:15" x14ac:dyDescent="0.35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</row>
    <row r="37" spans="1:15" x14ac:dyDescent="0.35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</row>
    <row r="38" spans="1:15" x14ac:dyDescent="0.35">
      <c r="A38" s="167" t="s">
        <v>702</v>
      </c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2"/>
    </row>
    <row r="39" spans="1:15" ht="72.5" x14ac:dyDescent="0.35">
      <c r="A39" s="108" t="s">
        <v>600</v>
      </c>
      <c r="B39" s="108"/>
      <c r="C39" s="108" t="s">
        <v>601</v>
      </c>
      <c r="D39" s="108"/>
      <c r="E39" s="108" t="s">
        <v>602</v>
      </c>
      <c r="F39" s="108"/>
      <c r="G39" s="108" t="s">
        <v>603</v>
      </c>
      <c r="H39" s="108"/>
      <c r="I39" s="108" t="s">
        <v>604</v>
      </c>
      <c r="J39" s="108"/>
      <c r="K39" s="108" t="s">
        <v>6</v>
      </c>
      <c r="L39" s="108"/>
      <c r="M39" s="108" t="s">
        <v>605</v>
      </c>
      <c r="N39" s="108"/>
      <c r="O39" s="108"/>
    </row>
    <row r="40" spans="1:15" ht="72.5" x14ac:dyDescent="0.35">
      <c r="A40" s="108" t="s">
        <v>606</v>
      </c>
      <c r="B40" s="108"/>
      <c r="C40" s="108" t="s">
        <v>607</v>
      </c>
      <c r="D40" s="108"/>
      <c r="E40" s="108" t="s">
        <v>608</v>
      </c>
      <c r="F40" s="108"/>
      <c r="G40" s="108" t="s">
        <v>609</v>
      </c>
      <c r="H40" s="108"/>
      <c r="I40" s="108" t="s">
        <v>610</v>
      </c>
      <c r="J40" s="109">
        <f>IFERROR(COUNTIF(E43:E61,"Yes")/(COUNTIF(E43:E61,"Yes")+COUNTIF(F43:F61,"No")),0)</f>
        <v>0</v>
      </c>
      <c r="K40" s="108"/>
      <c r="L40" s="108" t="str">
        <f>IF(J40&gt;=0.9,"Green",IF(J40&gt;=0.75,"Amber","Red"))</f>
        <v>Red</v>
      </c>
      <c r="M40" s="108"/>
      <c r="N40" s="108"/>
      <c r="O40" s="108"/>
    </row>
    <row r="41" spans="1:15" x14ac:dyDescent="0.35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</row>
    <row r="42" spans="1:15" ht="29" x14ac:dyDescent="0.35">
      <c r="A42" s="110" t="s">
        <v>611</v>
      </c>
      <c r="B42" s="110" t="s">
        <v>612</v>
      </c>
      <c r="C42" s="110" t="s">
        <v>613</v>
      </c>
      <c r="D42" s="110" t="s">
        <v>614</v>
      </c>
      <c r="E42" s="110" t="s">
        <v>81</v>
      </c>
      <c r="F42" s="110" t="s">
        <v>615</v>
      </c>
      <c r="G42" s="110" t="s">
        <v>616</v>
      </c>
      <c r="H42" s="110" t="s">
        <v>617</v>
      </c>
      <c r="I42" s="110" t="s">
        <v>618</v>
      </c>
      <c r="J42" s="110" t="s">
        <v>390</v>
      </c>
      <c r="K42" s="110" t="s">
        <v>351</v>
      </c>
      <c r="L42" s="110" t="s">
        <v>352</v>
      </c>
      <c r="M42" s="110" t="s">
        <v>292</v>
      </c>
      <c r="N42" s="110" t="s">
        <v>353</v>
      </c>
      <c r="O42" s="110" t="s">
        <v>619</v>
      </c>
    </row>
    <row r="43" spans="1:15" ht="29" x14ac:dyDescent="0.35">
      <c r="A43" s="105" t="s">
        <v>620</v>
      </c>
      <c r="B43" s="105" t="s">
        <v>1344</v>
      </c>
      <c r="C43" s="105" t="s">
        <v>751</v>
      </c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</row>
    <row r="44" spans="1:15" x14ac:dyDescent="0.35">
      <c r="A44" s="105" t="s">
        <v>623</v>
      </c>
      <c r="B44" s="105" t="s">
        <v>1345</v>
      </c>
      <c r="C44" s="105" t="s">
        <v>751</v>
      </c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</row>
    <row r="45" spans="1:15" x14ac:dyDescent="0.35">
      <c r="A45" s="105" t="s">
        <v>625</v>
      </c>
      <c r="B45" s="105" t="s">
        <v>1346</v>
      </c>
      <c r="C45" s="105" t="s">
        <v>751</v>
      </c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</row>
    <row r="46" spans="1:15" x14ac:dyDescent="0.35">
      <c r="A46" s="105" t="s">
        <v>627</v>
      </c>
      <c r="B46" s="105" t="s">
        <v>1347</v>
      </c>
      <c r="C46" s="105" t="s">
        <v>751</v>
      </c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</row>
    <row r="47" spans="1:15" x14ac:dyDescent="0.35">
      <c r="A47" s="105" t="s">
        <v>629</v>
      </c>
      <c r="B47" s="105" t="s">
        <v>1348</v>
      </c>
      <c r="C47" s="105" t="s">
        <v>751</v>
      </c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</row>
    <row r="48" spans="1:15" ht="29" x14ac:dyDescent="0.35">
      <c r="A48" s="105" t="s">
        <v>631</v>
      </c>
      <c r="B48" s="105" t="s">
        <v>1349</v>
      </c>
      <c r="C48" s="105" t="s">
        <v>751</v>
      </c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</row>
    <row r="49" spans="1:15" ht="29" x14ac:dyDescent="0.35">
      <c r="A49" s="105" t="s">
        <v>633</v>
      </c>
      <c r="B49" s="105" t="s">
        <v>1350</v>
      </c>
      <c r="C49" s="105" t="s">
        <v>751</v>
      </c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</row>
    <row r="50" spans="1:15" ht="29" x14ac:dyDescent="0.35">
      <c r="A50" s="105" t="s">
        <v>635</v>
      </c>
      <c r="B50" s="105" t="s">
        <v>1351</v>
      </c>
      <c r="C50" s="105" t="s">
        <v>751</v>
      </c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</row>
    <row r="51" spans="1:15" ht="29" x14ac:dyDescent="0.35">
      <c r="A51" s="105" t="s">
        <v>637</v>
      </c>
      <c r="B51" s="105" t="s">
        <v>1352</v>
      </c>
      <c r="C51" s="105" t="s">
        <v>751</v>
      </c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</row>
    <row r="52" spans="1:15" x14ac:dyDescent="0.35">
      <c r="A52" s="105" t="s">
        <v>639</v>
      </c>
      <c r="B52" s="105" t="s">
        <v>1353</v>
      </c>
      <c r="C52" s="105" t="s">
        <v>788</v>
      </c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</row>
    <row r="53" spans="1:15" ht="29" x14ac:dyDescent="0.35">
      <c r="A53" s="105" t="s">
        <v>641</v>
      </c>
      <c r="B53" s="105" t="s">
        <v>706</v>
      </c>
      <c r="C53" s="105" t="s">
        <v>622</v>
      </c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</row>
    <row r="54" spans="1:15" ht="29" x14ac:dyDescent="0.35">
      <c r="A54" s="105" t="s">
        <v>643</v>
      </c>
      <c r="B54" s="105" t="s">
        <v>682</v>
      </c>
      <c r="C54" s="105" t="s">
        <v>683</v>
      </c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</row>
    <row r="55" spans="1:15" ht="29" x14ac:dyDescent="0.35">
      <c r="A55" s="105" t="s">
        <v>644</v>
      </c>
      <c r="B55" s="105" t="s">
        <v>685</v>
      </c>
      <c r="C55" s="105" t="s">
        <v>686</v>
      </c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</row>
    <row r="56" spans="1:15" ht="29" x14ac:dyDescent="0.35">
      <c r="A56" s="105" t="s">
        <v>645</v>
      </c>
      <c r="B56" s="105" t="s">
        <v>688</v>
      </c>
      <c r="C56" s="105" t="s">
        <v>686</v>
      </c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</row>
    <row r="57" spans="1:15" ht="29" x14ac:dyDescent="0.35">
      <c r="A57" s="105" t="s">
        <v>646</v>
      </c>
      <c r="B57" s="105" t="s">
        <v>690</v>
      </c>
      <c r="C57" s="105" t="s">
        <v>686</v>
      </c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</row>
    <row r="58" spans="1:15" ht="29" x14ac:dyDescent="0.35">
      <c r="A58" s="105" t="s">
        <v>649</v>
      </c>
      <c r="B58" s="105" t="s">
        <v>692</v>
      </c>
      <c r="C58" s="105" t="s">
        <v>686</v>
      </c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</row>
    <row r="59" spans="1:15" ht="29" x14ac:dyDescent="0.35">
      <c r="A59" s="105" t="s">
        <v>651</v>
      </c>
      <c r="B59" s="105" t="s">
        <v>694</v>
      </c>
      <c r="C59" s="105" t="s">
        <v>686</v>
      </c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</row>
    <row r="60" spans="1:15" ht="29" x14ac:dyDescent="0.35">
      <c r="A60" s="105" t="s">
        <v>653</v>
      </c>
      <c r="B60" s="105" t="s">
        <v>696</v>
      </c>
      <c r="C60" s="105" t="s">
        <v>686</v>
      </c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</row>
    <row r="61" spans="1:15" ht="29" x14ac:dyDescent="0.35">
      <c r="A61" s="105" t="s">
        <v>655</v>
      </c>
      <c r="B61" s="105" t="s">
        <v>698</v>
      </c>
      <c r="C61" s="105" t="s">
        <v>686</v>
      </c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</row>
    <row r="62" spans="1:15" x14ac:dyDescent="0.35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</row>
    <row r="63" spans="1:15" x14ac:dyDescent="0.35">
      <c r="A63" s="166" t="s">
        <v>707</v>
      </c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2"/>
    </row>
    <row r="64" spans="1:15" ht="58" x14ac:dyDescent="0.35">
      <c r="A64" s="108" t="s">
        <v>700</v>
      </c>
      <c r="B64" s="108" t="s">
        <v>701</v>
      </c>
      <c r="C64" s="108" t="s">
        <v>390</v>
      </c>
      <c r="D64" s="108" t="s">
        <v>351</v>
      </c>
      <c r="E64" s="108" t="s">
        <v>352</v>
      </c>
      <c r="F64" s="108" t="s">
        <v>292</v>
      </c>
      <c r="G64" s="108" t="s">
        <v>619</v>
      </c>
      <c r="H64" s="108" t="s">
        <v>353</v>
      </c>
      <c r="I64" s="108" t="s">
        <v>610</v>
      </c>
      <c r="J64" s="105"/>
      <c r="K64" s="105"/>
      <c r="L64" s="105"/>
      <c r="M64" s="105"/>
      <c r="N64" s="105"/>
      <c r="O64" s="105"/>
    </row>
    <row r="65" spans="1:15" x14ac:dyDescent="0.35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</row>
    <row r="66" spans="1:15" x14ac:dyDescent="0.35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</row>
    <row r="67" spans="1:15" x14ac:dyDescent="0.35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</row>
    <row r="68" spans="1:15" x14ac:dyDescent="0.35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</row>
    <row r="69" spans="1:15" x14ac:dyDescent="0.35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</row>
    <row r="70" spans="1:15" x14ac:dyDescent="0.35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</row>
    <row r="71" spans="1:15" x14ac:dyDescent="0.35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</row>
    <row r="72" spans="1:15" x14ac:dyDescent="0.35">
      <c r="A72" s="167" t="s">
        <v>708</v>
      </c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2"/>
    </row>
    <row r="73" spans="1:15" ht="72.5" x14ac:dyDescent="0.35">
      <c r="A73" s="108" t="s">
        <v>600</v>
      </c>
      <c r="B73" s="108"/>
      <c r="C73" s="108" t="s">
        <v>601</v>
      </c>
      <c r="D73" s="108"/>
      <c r="E73" s="108" t="s">
        <v>602</v>
      </c>
      <c r="F73" s="108"/>
      <c r="G73" s="108" t="s">
        <v>603</v>
      </c>
      <c r="H73" s="108"/>
      <c r="I73" s="108" t="s">
        <v>604</v>
      </c>
      <c r="J73" s="108"/>
      <c r="K73" s="108" t="s">
        <v>6</v>
      </c>
      <c r="L73" s="108"/>
      <c r="M73" s="108" t="s">
        <v>605</v>
      </c>
      <c r="N73" s="108"/>
      <c r="O73" s="108"/>
    </row>
    <row r="74" spans="1:15" ht="72.5" x14ac:dyDescent="0.35">
      <c r="A74" s="108" t="s">
        <v>606</v>
      </c>
      <c r="B74" s="108"/>
      <c r="C74" s="108" t="s">
        <v>607</v>
      </c>
      <c r="D74" s="108"/>
      <c r="E74" s="108" t="s">
        <v>608</v>
      </c>
      <c r="F74" s="108"/>
      <c r="G74" s="108" t="s">
        <v>609</v>
      </c>
      <c r="H74" s="108"/>
      <c r="I74" s="108" t="s">
        <v>610</v>
      </c>
      <c r="J74" s="109">
        <f>IFERROR(COUNTIF(E77:E95,"Yes")/(COUNTIF(E77:E95,"Yes")+COUNTIF(F77:F95,"No")),0)</f>
        <v>0</v>
      </c>
      <c r="K74" s="108"/>
      <c r="L74" s="108" t="str">
        <f>IF(J74&gt;=0.9,"Green",IF(J74&gt;=0.75,"Amber","Red"))</f>
        <v>Red</v>
      </c>
      <c r="M74" s="108"/>
      <c r="N74" s="108"/>
      <c r="O74" s="108"/>
    </row>
    <row r="75" spans="1:15" x14ac:dyDescent="0.35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</row>
    <row r="76" spans="1:15" ht="29" x14ac:dyDescent="0.35">
      <c r="A76" s="110" t="s">
        <v>611</v>
      </c>
      <c r="B76" s="110" t="s">
        <v>612</v>
      </c>
      <c r="C76" s="110" t="s">
        <v>613</v>
      </c>
      <c r="D76" s="110" t="s">
        <v>614</v>
      </c>
      <c r="E76" s="110" t="s">
        <v>81</v>
      </c>
      <c r="F76" s="110" t="s">
        <v>615</v>
      </c>
      <c r="G76" s="110" t="s">
        <v>616</v>
      </c>
      <c r="H76" s="110" t="s">
        <v>617</v>
      </c>
      <c r="I76" s="110" t="s">
        <v>618</v>
      </c>
      <c r="J76" s="110" t="s">
        <v>390</v>
      </c>
      <c r="K76" s="110" t="s">
        <v>351</v>
      </c>
      <c r="L76" s="110" t="s">
        <v>352</v>
      </c>
      <c r="M76" s="110" t="s">
        <v>292</v>
      </c>
      <c r="N76" s="110" t="s">
        <v>353</v>
      </c>
      <c r="O76" s="110" t="s">
        <v>619</v>
      </c>
    </row>
    <row r="77" spans="1:15" ht="29" x14ac:dyDescent="0.35">
      <c r="A77" s="105" t="s">
        <v>620</v>
      </c>
      <c r="B77" s="105" t="s">
        <v>1344</v>
      </c>
      <c r="C77" s="105" t="s">
        <v>751</v>
      </c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</row>
    <row r="78" spans="1:15" x14ac:dyDescent="0.35">
      <c r="A78" s="105" t="s">
        <v>623</v>
      </c>
      <c r="B78" s="105" t="s">
        <v>1345</v>
      </c>
      <c r="C78" s="105" t="s">
        <v>751</v>
      </c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</row>
    <row r="79" spans="1:15" x14ac:dyDescent="0.35">
      <c r="A79" s="105" t="s">
        <v>625</v>
      </c>
      <c r="B79" s="105" t="s">
        <v>1346</v>
      </c>
      <c r="C79" s="105" t="s">
        <v>751</v>
      </c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</row>
    <row r="80" spans="1:15" x14ac:dyDescent="0.35">
      <c r="A80" s="105" t="s">
        <v>627</v>
      </c>
      <c r="B80" s="105" t="s">
        <v>1347</v>
      </c>
      <c r="C80" s="105" t="s">
        <v>751</v>
      </c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</row>
    <row r="81" spans="1:15" x14ac:dyDescent="0.35">
      <c r="A81" s="105" t="s">
        <v>629</v>
      </c>
      <c r="B81" s="105" t="s">
        <v>1348</v>
      </c>
      <c r="C81" s="105" t="s">
        <v>751</v>
      </c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</row>
    <row r="82" spans="1:15" ht="29" x14ac:dyDescent="0.35">
      <c r="A82" s="105" t="s">
        <v>631</v>
      </c>
      <c r="B82" s="105" t="s">
        <v>1349</v>
      </c>
      <c r="C82" s="105" t="s">
        <v>751</v>
      </c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</row>
    <row r="83" spans="1:15" ht="29" x14ac:dyDescent="0.35">
      <c r="A83" s="105" t="s">
        <v>633</v>
      </c>
      <c r="B83" s="105" t="s">
        <v>1350</v>
      </c>
      <c r="C83" s="105" t="s">
        <v>751</v>
      </c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</row>
    <row r="84" spans="1:15" ht="29" x14ac:dyDescent="0.35">
      <c r="A84" s="105" t="s">
        <v>635</v>
      </c>
      <c r="B84" s="105" t="s">
        <v>1351</v>
      </c>
      <c r="C84" s="105" t="s">
        <v>751</v>
      </c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</row>
    <row r="85" spans="1:15" ht="29" x14ac:dyDescent="0.35">
      <c r="A85" s="105" t="s">
        <v>637</v>
      </c>
      <c r="B85" s="105" t="s">
        <v>1352</v>
      </c>
      <c r="C85" s="105" t="s">
        <v>751</v>
      </c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</row>
    <row r="86" spans="1:15" x14ac:dyDescent="0.35">
      <c r="A86" s="105" t="s">
        <v>639</v>
      </c>
      <c r="B86" s="105" t="s">
        <v>1353</v>
      </c>
      <c r="C86" s="105" t="s">
        <v>788</v>
      </c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</row>
    <row r="87" spans="1:15" ht="29" x14ac:dyDescent="0.35">
      <c r="A87" s="105" t="s">
        <v>641</v>
      </c>
      <c r="B87" s="105" t="s">
        <v>706</v>
      </c>
      <c r="C87" s="105" t="s">
        <v>622</v>
      </c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</row>
    <row r="88" spans="1:15" ht="29" x14ac:dyDescent="0.35">
      <c r="A88" s="105" t="s">
        <v>643</v>
      </c>
      <c r="B88" s="105" t="s">
        <v>682</v>
      </c>
      <c r="C88" s="105" t="s">
        <v>683</v>
      </c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</row>
    <row r="89" spans="1:15" ht="29" x14ac:dyDescent="0.35">
      <c r="A89" s="105" t="s">
        <v>644</v>
      </c>
      <c r="B89" s="105" t="s">
        <v>685</v>
      </c>
      <c r="C89" s="105" t="s">
        <v>686</v>
      </c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</row>
    <row r="90" spans="1:15" ht="29" x14ac:dyDescent="0.35">
      <c r="A90" s="105" t="s">
        <v>645</v>
      </c>
      <c r="B90" s="105" t="s">
        <v>688</v>
      </c>
      <c r="C90" s="105" t="s">
        <v>686</v>
      </c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</row>
    <row r="91" spans="1:15" ht="29" x14ac:dyDescent="0.35">
      <c r="A91" s="105" t="s">
        <v>646</v>
      </c>
      <c r="B91" s="105" t="s">
        <v>690</v>
      </c>
      <c r="C91" s="105" t="s">
        <v>686</v>
      </c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</row>
    <row r="92" spans="1:15" ht="29" x14ac:dyDescent="0.35">
      <c r="A92" s="105" t="s">
        <v>649</v>
      </c>
      <c r="B92" s="105" t="s">
        <v>692</v>
      </c>
      <c r="C92" s="105" t="s">
        <v>686</v>
      </c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</row>
    <row r="93" spans="1:15" ht="29" x14ac:dyDescent="0.35">
      <c r="A93" s="105" t="s">
        <v>651</v>
      </c>
      <c r="B93" s="105" t="s">
        <v>694</v>
      </c>
      <c r="C93" s="105" t="s">
        <v>686</v>
      </c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</row>
    <row r="94" spans="1:15" ht="29" x14ac:dyDescent="0.35">
      <c r="A94" s="105" t="s">
        <v>653</v>
      </c>
      <c r="B94" s="105" t="s">
        <v>696</v>
      </c>
      <c r="C94" s="105" t="s">
        <v>686</v>
      </c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</row>
    <row r="95" spans="1:15" ht="29" x14ac:dyDescent="0.35">
      <c r="A95" s="105" t="s">
        <v>655</v>
      </c>
      <c r="B95" s="105" t="s">
        <v>698</v>
      </c>
      <c r="C95" s="105" t="s">
        <v>686</v>
      </c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</row>
    <row r="96" spans="1:15" x14ac:dyDescent="0.35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</row>
    <row r="97" spans="1:15" x14ac:dyDescent="0.35">
      <c r="A97" s="166" t="s">
        <v>709</v>
      </c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2"/>
    </row>
    <row r="98" spans="1:15" ht="58" x14ac:dyDescent="0.35">
      <c r="A98" s="108" t="s">
        <v>700</v>
      </c>
      <c r="B98" s="108" t="s">
        <v>701</v>
      </c>
      <c r="C98" s="108" t="s">
        <v>390</v>
      </c>
      <c r="D98" s="108" t="s">
        <v>351</v>
      </c>
      <c r="E98" s="108" t="s">
        <v>352</v>
      </c>
      <c r="F98" s="108" t="s">
        <v>292</v>
      </c>
      <c r="G98" s="108" t="s">
        <v>619</v>
      </c>
      <c r="H98" s="108" t="s">
        <v>353</v>
      </c>
      <c r="I98" s="108" t="s">
        <v>610</v>
      </c>
      <c r="J98" s="105"/>
      <c r="K98" s="105"/>
      <c r="L98" s="105"/>
      <c r="M98" s="105"/>
      <c r="N98" s="105"/>
      <c r="O98" s="105"/>
    </row>
    <row r="99" spans="1:15" x14ac:dyDescent="0.35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</row>
    <row r="100" spans="1:15" x14ac:dyDescent="0.35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</row>
    <row r="101" spans="1:15" x14ac:dyDescent="0.35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</row>
    <row r="102" spans="1:15" x14ac:dyDescent="0.35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</row>
    <row r="103" spans="1:15" x14ac:dyDescent="0.35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</row>
    <row r="104" spans="1:15" x14ac:dyDescent="0.35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</row>
    <row r="105" spans="1:15" x14ac:dyDescent="0.35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</row>
    <row r="106" spans="1:15" x14ac:dyDescent="0.35">
      <c r="A106" s="167" t="s">
        <v>710</v>
      </c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2"/>
    </row>
    <row r="107" spans="1:15" ht="72.5" x14ac:dyDescent="0.35">
      <c r="A107" s="108" t="s">
        <v>600</v>
      </c>
      <c r="B107" s="108"/>
      <c r="C107" s="108" t="s">
        <v>601</v>
      </c>
      <c r="D107" s="108"/>
      <c r="E107" s="108" t="s">
        <v>602</v>
      </c>
      <c r="F107" s="108"/>
      <c r="G107" s="108" t="s">
        <v>603</v>
      </c>
      <c r="H107" s="108"/>
      <c r="I107" s="108" t="s">
        <v>604</v>
      </c>
      <c r="J107" s="108"/>
      <c r="K107" s="108" t="s">
        <v>6</v>
      </c>
      <c r="L107" s="108"/>
      <c r="M107" s="108" t="s">
        <v>605</v>
      </c>
      <c r="N107" s="108"/>
      <c r="O107" s="108"/>
    </row>
    <row r="108" spans="1:15" ht="72.5" x14ac:dyDescent="0.35">
      <c r="A108" s="108" t="s">
        <v>606</v>
      </c>
      <c r="B108" s="108"/>
      <c r="C108" s="108" t="s">
        <v>607</v>
      </c>
      <c r="D108" s="108"/>
      <c r="E108" s="108" t="s">
        <v>608</v>
      </c>
      <c r="F108" s="108"/>
      <c r="G108" s="108" t="s">
        <v>609</v>
      </c>
      <c r="H108" s="108"/>
      <c r="I108" s="108" t="s">
        <v>610</v>
      </c>
      <c r="J108" s="109">
        <f>IFERROR(COUNTIF(E111:E129,"Yes")/(COUNTIF(E111:E129,"Yes")+COUNTIF(F111:F129,"No")),0)</f>
        <v>0</v>
      </c>
      <c r="K108" s="108"/>
      <c r="L108" s="108" t="str">
        <f>IF(J108&gt;=0.9,"Green",IF(J108&gt;=0.75,"Amber","Red"))</f>
        <v>Red</v>
      </c>
      <c r="M108" s="108"/>
      <c r="N108" s="108"/>
      <c r="O108" s="108"/>
    </row>
    <row r="109" spans="1:15" x14ac:dyDescent="0.35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</row>
    <row r="110" spans="1:15" ht="29" x14ac:dyDescent="0.35">
      <c r="A110" s="110" t="s">
        <v>611</v>
      </c>
      <c r="B110" s="110" t="s">
        <v>612</v>
      </c>
      <c r="C110" s="110" t="s">
        <v>613</v>
      </c>
      <c r="D110" s="110" t="s">
        <v>614</v>
      </c>
      <c r="E110" s="110" t="s">
        <v>81</v>
      </c>
      <c r="F110" s="110" t="s">
        <v>615</v>
      </c>
      <c r="G110" s="110" t="s">
        <v>616</v>
      </c>
      <c r="H110" s="110" t="s">
        <v>617</v>
      </c>
      <c r="I110" s="110" t="s">
        <v>618</v>
      </c>
      <c r="J110" s="110" t="s">
        <v>390</v>
      </c>
      <c r="K110" s="110" t="s">
        <v>351</v>
      </c>
      <c r="L110" s="110" t="s">
        <v>352</v>
      </c>
      <c r="M110" s="110" t="s">
        <v>292</v>
      </c>
      <c r="N110" s="110" t="s">
        <v>353</v>
      </c>
      <c r="O110" s="110" t="s">
        <v>619</v>
      </c>
    </row>
    <row r="111" spans="1:15" ht="29" x14ac:dyDescent="0.35">
      <c r="A111" s="105" t="s">
        <v>620</v>
      </c>
      <c r="B111" s="105" t="s">
        <v>1344</v>
      </c>
      <c r="C111" s="105" t="s">
        <v>751</v>
      </c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</row>
    <row r="112" spans="1:15" x14ac:dyDescent="0.35">
      <c r="A112" s="105" t="s">
        <v>623</v>
      </c>
      <c r="B112" s="105" t="s">
        <v>1345</v>
      </c>
      <c r="C112" s="105" t="s">
        <v>751</v>
      </c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</row>
    <row r="113" spans="1:15" x14ac:dyDescent="0.35">
      <c r="A113" s="105" t="s">
        <v>625</v>
      </c>
      <c r="B113" s="105" t="s">
        <v>1346</v>
      </c>
      <c r="C113" s="105" t="s">
        <v>751</v>
      </c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</row>
    <row r="114" spans="1:15" x14ac:dyDescent="0.35">
      <c r="A114" s="105" t="s">
        <v>627</v>
      </c>
      <c r="B114" s="105" t="s">
        <v>1347</v>
      </c>
      <c r="C114" s="105" t="s">
        <v>751</v>
      </c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</row>
    <row r="115" spans="1:15" x14ac:dyDescent="0.35">
      <c r="A115" s="105" t="s">
        <v>629</v>
      </c>
      <c r="B115" s="105" t="s">
        <v>1348</v>
      </c>
      <c r="C115" s="105" t="s">
        <v>751</v>
      </c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</row>
    <row r="116" spans="1:15" ht="29" x14ac:dyDescent="0.35">
      <c r="A116" s="105" t="s">
        <v>631</v>
      </c>
      <c r="B116" s="105" t="s">
        <v>1349</v>
      </c>
      <c r="C116" s="105" t="s">
        <v>751</v>
      </c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</row>
    <row r="117" spans="1:15" ht="29" x14ac:dyDescent="0.35">
      <c r="A117" s="105" t="s">
        <v>633</v>
      </c>
      <c r="B117" s="105" t="s">
        <v>1350</v>
      </c>
      <c r="C117" s="105" t="s">
        <v>751</v>
      </c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</row>
    <row r="118" spans="1:15" ht="29" x14ac:dyDescent="0.35">
      <c r="A118" s="105" t="s">
        <v>635</v>
      </c>
      <c r="B118" s="105" t="s">
        <v>1351</v>
      </c>
      <c r="C118" s="105" t="s">
        <v>751</v>
      </c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</row>
    <row r="119" spans="1:15" ht="29" x14ac:dyDescent="0.35">
      <c r="A119" s="105" t="s">
        <v>637</v>
      </c>
      <c r="B119" s="105" t="s">
        <v>1352</v>
      </c>
      <c r="C119" s="105" t="s">
        <v>751</v>
      </c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</row>
    <row r="120" spans="1:15" x14ac:dyDescent="0.35">
      <c r="A120" s="105" t="s">
        <v>639</v>
      </c>
      <c r="B120" s="105" t="s">
        <v>1353</v>
      </c>
      <c r="C120" s="105" t="s">
        <v>788</v>
      </c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</row>
    <row r="121" spans="1:15" ht="29" x14ac:dyDescent="0.35">
      <c r="A121" s="105" t="s">
        <v>641</v>
      </c>
      <c r="B121" s="105" t="s">
        <v>706</v>
      </c>
      <c r="C121" s="105" t="s">
        <v>622</v>
      </c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</row>
    <row r="122" spans="1:15" ht="29" x14ac:dyDescent="0.35">
      <c r="A122" s="105" t="s">
        <v>643</v>
      </c>
      <c r="B122" s="105" t="s">
        <v>682</v>
      </c>
      <c r="C122" s="105" t="s">
        <v>683</v>
      </c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</row>
    <row r="123" spans="1:15" ht="29" x14ac:dyDescent="0.35">
      <c r="A123" s="105" t="s">
        <v>644</v>
      </c>
      <c r="B123" s="105" t="s">
        <v>685</v>
      </c>
      <c r="C123" s="105" t="s">
        <v>686</v>
      </c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</row>
    <row r="124" spans="1:15" ht="29" x14ac:dyDescent="0.35">
      <c r="A124" s="105" t="s">
        <v>645</v>
      </c>
      <c r="B124" s="105" t="s">
        <v>688</v>
      </c>
      <c r="C124" s="105" t="s">
        <v>686</v>
      </c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</row>
    <row r="125" spans="1:15" ht="29" x14ac:dyDescent="0.35">
      <c r="A125" s="105" t="s">
        <v>646</v>
      </c>
      <c r="B125" s="105" t="s">
        <v>690</v>
      </c>
      <c r="C125" s="105" t="s">
        <v>686</v>
      </c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</row>
    <row r="126" spans="1:15" ht="29" x14ac:dyDescent="0.35">
      <c r="A126" s="105" t="s">
        <v>649</v>
      </c>
      <c r="B126" s="105" t="s">
        <v>692</v>
      </c>
      <c r="C126" s="105" t="s">
        <v>686</v>
      </c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</row>
    <row r="127" spans="1:15" ht="29" x14ac:dyDescent="0.35">
      <c r="A127" s="105" t="s">
        <v>651</v>
      </c>
      <c r="B127" s="105" t="s">
        <v>694</v>
      </c>
      <c r="C127" s="105" t="s">
        <v>686</v>
      </c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</row>
    <row r="128" spans="1:15" ht="29" x14ac:dyDescent="0.35">
      <c r="A128" s="105" t="s">
        <v>653</v>
      </c>
      <c r="B128" s="105" t="s">
        <v>696</v>
      </c>
      <c r="C128" s="105" t="s">
        <v>686</v>
      </c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</row>
    <row r="129" spans="1:15" ht="29" x14ac:dyDescent="0.35">
      <c r="A129" s="105" t="s">
        <v>655</v>
      </c>
      <c r="B129" s="105" t="s">
        <v>698</v>
      </c>
      <c r="C129" s="105" t="s">
        <v>686</v>
      </c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</row>
    <row r="130" spans="1:15" x14ac:dyDescent="0.35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</row>
    <row r="131" spans="1:15" x14ac:dyDescent="0.35">
      <c r="A131" s="166" t="s">
        <v>711</v>
      </c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2"/>
    </row>
    <row r="132" spans="1:15" ht="58" x14ac:dyDescent="0.35">
      <c r="A132" s="108" t="s">
        <v>700</v>
      </c>
      <c r="B132" s="108" t="s">
        <v>701</v>
      </c>
      <c r="C132" s="108" t="s">
        <v>390</v>
      </c>
      <c r="D132" s="108" t="s">
        <v>351</v>
      </c>
      <c r="E132" s="108" t="s">
        <v>352</v>
      </c>
      <c r="F132" s="108" t="s">
        <v>292</v>
      </c>
      <c r="G132" s="108" t="s">
        <v>619</v>
      </c>
      <c r="H132" s="108" t="s">
        <v>353</v>
      </c>
      <c r="I132" s="108" t="s">
        <v>610</v>
      </c>
      <c r="J132" s="105"/>
      <c r="K132" s="105"/>
      <c r="L132" s="105"/>
      <c r="M132" s="105"/>
      <c r="N132" s="105"/>
      <c r="O132" s="105"/>
    </row>
    <row r="133" spans="1:15" x14ac:dyDescent="0.35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</row>
    <row r="134" spans="1:15" x14ac:dyDescent="0.35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</row>
    <row r="135" spans="1:15" x14ac:dyDescent="0.35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</row>
    <row r="136" spans="1:15" x14ac:dyDescent="0.35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</row>
    <row r="137" spans="1:15" x14ac:dyDescent="0.35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</row>
    <row r="138" spans="1:15" x14ac:dyDescent="0.35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</row>
    <row r="139" spans="1:15" x14ac:dyDescent="0.35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</row>
    <row r="140" spans="1:15" x14ac:dyDescent="0.35">
      <c r="A140" s="167" t="s">
        <v>712</v>
      </c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2"/>
    </row>
    <row r="141" spans="1:15" ht="72.5" x14ac:dyDescent="0.35">
      <c r="A141" s="108" t="s">
        <v>600</v>
      </c>
      <c r="B141" s="108"/>
      <c r="C141" s="108" t="s">
        <v>601</v>
      </c>
      <c r="D141" s="108"/>
      <c r="E141" s="108" t="s">
        <v>602</v>
      </c>
      <c r="F141" s="108"/>
      <c r="G141" s="108" t="s">
        <v>603</v>
      </c>
      <c r="H141" s="108"/>
      <c r="I141" s="108" t="s">
        <v>604</v>
      </c>
      <c r="J141" s="108"/>
      <c r="K141" s="108" t="s">
        <v>6</v>
      </c>
      <c r="L141" s="108"/>
      <c r="M141" s="108" t="s">
        <v>605</v>
      </c>
      <c r="N141" s="108"/>
      <c r="O141" s="108"/>
    </row>
    <row r="142" spans="1:15" ht="72.5" x14ac:dyDescent="0.35">
      <c r="A142" s="108" t="s">
        <v>606</v>
      </c>
      <c r="B142" s="108"/>
      <c r="C142" s="108" t="s">
        <v>607</v>
      </c>
      <c r="D142" s="108"/>
      <c r="E142" s="108" t="s">
        <v>608</v>
      </c>
      <c r="F142" s="108"/>
      <c r="G142" s="108" t="s">
        <v>609</v>
      </c>
      <c r="H142" s="108"/>
      <c r="I142" s="108" t="s">
        <v>610</v>
      </c>
      <c r="J142" s="109">
        <f>IFERROR(COUNTIF(E145:E163,"Yes")/(COUNTIF(E145:E163,"Yes")+COUNTIF(F145:F163,"No")),0)</f>
        <v>0</v>
      </c>
      <c r="K142" s="108"/>
      <c r="L142" s="108" t="str">
        <f>IF(J142&gt;=0.9,"Green",IF(J142&gt;=0.75,"Amber","Red"))</f>
        <v>Red</v>
      </c>
      <c r="M142" s="108"/>
      <c r="N142" s="108"/>
      <c r="O142" s="108"/>
    </row>
    <row r="143" spans="1:15" x14ac:dyDescent="0.35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</row>
    <row r="144" spans="1:15" ht="29" x14ac:dyDescent="0.35">
      <c r="A144" s="110" t="s">
        <v>611</v>
      </c>
      <c r="B144" s="110" t="s">
        <v>612</v>
      </c>
      <c r="C144" s="110" t="s">
        <v>613</v>
      </c>
      <c r="D144" s="110" t="s">
        <v>614</v>
      </c>
      <c r="E144" s="110" t="s">
        <v>81</v>
      </c>
      <c r="F144" s="110" t="s">
        <v>615</v>
      </c>
      <c r="G144" s="110" t="s">
        <v>616</v>
      </c>
      <c r="H144" s="110" t="s">
        <v>617</v>
      </c>
      <c r="I144" s="110" t="s">
        <v>618</v>
      </c>
      <c r="J144" s="110" t="s">
        <v>390</v>
      </c>
      <c r="K144" s="110" t="s">
        <v>351</v>
      </c>
      <c r="L144" s="110" t="s">
        <v>352</v>
      </c>
      <c r="M144" s="110" t="s">
        <v>292</v>
      </c>
      <c r="N144" s="110" t="s">
        <v>353</v>
      </c>
      <c r="O144" s="110" t="s">
        <v>619</v>
      </c>
    </row>
    <row r="145" spans="1:15" ht="29" x14ac:dyDescent="0.35">
      <c r="A145" s="105" t="s">
        <v>620</v>
      </c>
      <c r="B145" s="105" t="s">
        <v>1344</v>
      </c>
      <c r="C145" s="105" t="s">
        <v>751</v>
      </c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</row>
    <row r="146" spans="1:15" x14ac:dyDescent="0.35">
      <c r="A146" s="105" t="s">
        <v>623</v>
      </c>
      <c r="B146" s="105" t="s">
        <v>1345</v>
      </c>
      <c r="C146" s="105" t="s">
        <v>751</v>
      </c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</row>
    <row r="147" spans="1:15" x14ac:dyDescent="0.35">
      <c r="A147" s="105" t="s">
        <v>625</v>
      </c>
      <c r="B147" s="105" t="s">
        <v>1346</v>
      </c>
      <c r="C147" s="105" t="s">
        <v>751</v>
      </c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</row>
    <row r="148" spans="1:15" x14ac:dyDescent="0.35">
      <c r="A148" s="105" t="s">
        <v>627</v>
      </c>
      <c r="B148" s="105" t="s">
        <v>1347</v>
      </c>
      <c r="C148" s="105" t="s">
        <v>751</v>
      </c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</row>
    <row r="149" spans="1:15" x14ac:dyDescent="0.35">
      <c r="A149" s="105" t="s">
        <v>629</v>
      </c>
      <c r="B149" s="105" t="s">
        <v>1348</v>
      </c>
      <c r="C149" s="105" t="s">
        <v>751</v>
      </c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</row>
    <row r="150" spans="1:15" ht="29" x14ac:dyDescent="0.35">
      <c r="A150" s="105" t="s">
        <v>631</v>
      </c>
      <c r="B150" s="105" t="s">
        <v>1349</v>
      </c>
      <c r="C150" s="105" t="s">
        <v>751</v>
      </c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</row>
    <row r="151" spans="1:15" ht="29" x14ac:dyDescent="0.35">
      <c r="A151" s="105" t="s">
        <v>633</v>
      </c>
      <c r="B151" s="105" t="s">
        <v>1350</v>
      </c>
      <c r="C151" s="105" t="s">
        <v>751</v>
      </c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</row>
    <row r="152" spans="1:15" ht="29" x14ac:dyDescent="0.35">
      <c r="A152" s="105" t="s">
        <v>635</v>
      </c>
      <c r="B152" s="105" t="s">
        <v>1351</v>
      </c>
      <c r="C152" s="105" t="s">
        <v>751</v>
      </c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</row>
    <row r="153" spans="1:15" ht="29" x14ac:dyDescent="0.35">
      <c r="A153" s="105" t="s">
        <v>637</v>
      </c>
      <c r="B153" s="105" t="s">
        <v>1352</v>
      </c>
      <c r="C153" s="105" t="s">
        <v>751</v>
      </c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</row>
    <row r="154" spans="1:15" x14ac:dyDescent="0.35">
      <c r="A154" s="105" t="s">
        <v>639</v>
      </c>
      <c r="B154" s="105" t="s">
        <v>1353</v>
      </c>
      <c r="C154" s="105" t="s">
        <v>788</v>
      </c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</row>
    <row r="155" spans="1:15" ht="29" x14ac:dyDescent="0.35">
      <c r="A155" s="105" t="s">
        <v>641</v>
      </c>
      <c r="B155" s="105" t="s">
        <v>706</v>
      </c>
      <c r="C155" s="105" t="s">
        <v>622</v>
      </c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</row>
    <row r="156" spans="1:15" ht="29" x14ac:dyDescent="0.35">
      <c r="A156" s="105" t="s">
        <v>643</v>
      </c>
      <c r="B156" s="105" t="s">
        <v>682</v>
      </c>
      <c r="C156" s="105" t="s">
        <v>683</v>
      </c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</row>
    <row r="157" spans="1:15" ht="29" x14ac:dyDescent="0.35">
      <c r="A157" s="105" t="s">
        <v>644</v>
      </c>
      <c r="B157" s="105" t="s">
        <v>685</v>
      </c>
      <c r="C157" s="105" t="s">
        <v>686</v>
      </c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</row>
    <row r="158" spans="1:15" ht="29" x14ac:dyDescent="0.35">
      <c r="A158" s="105" t="s">
        <v>645</v>
      </c>
      <c r="B158" s="105" t="s">
        <v>688</v>
      </c>
      <c r="C158" s="105" t="s">
        <v>686</v>
      </c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</row>
    <row r="159" spans="1:15" ht="29" x14ac:dyDescent="0.35">
      <c r="A159" s="105" t="s">
        <v>646</v>
      </c>
      <c r="B159" s="105" t="s">
        <v>690</v>
      </c>
      <c r="C159" s="105" t="s">
        <v>686</v>
      </c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</row>
    <row r="160" spans="1:15" ht="29" x14ac:dyDescent="0.35">
      <c r="A160" s="105" t="s">
        <v>649</v>
      </c>
      <c r="B160" s="105" t="s">
        <v>692</v>
      </c>
      <c r="C160" s="105" t="s">
        <v>686</v>
      </c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</row>
    <row r="161" spans="1:15" ht="29" x14ac:dyDescent="0.35">
      <c r="A161" s="105" t="s">
        <v>651</v>
      </c>
      <c r="B161" s="105" t="s">
        <v>694</v>
      </c>
      <c r="C161" s="105" t="s">
        <v>686</v>
      </c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</row>
    <row r="162" spans="1:15" ht="29" x14ac:dyDescent="0.35">
      <c r="A162" s="105" t="s">
        <v>653</v>
      </c>
      <c r="B162" s="105" t="s">
        <v>696</v>
      </c>
      <c r="C162" s="105" t="s">
        <v>686</v>
      </c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</row>
    <row r="163" spans="1:15" ht="29" x14ac:dyDescent="0.35">
      <c r="A163" s="105" t="s">
        <v>655</v>
      </c>
      <c r="B163" s="105" t="s">
        <v>698</v>
      </c>
      <c r="C163" s="105" t="s">
        <v>686</v>
      </c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</row>
    <row r="164" spans="1:15" x14ac:dyDescent="0.35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</row>
    <row r="165" spans="1:15" x14ac:dyDescent="0.35">
      <c r="A165" s="166" t="s">
        <v>713</v>
      </c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2"/>
    </row>
    <row r="166" spans="1:15" ht="58" x14ac:dyDescent="0.35">
      <c r="A166" s="108" t="s">
        <v>700</v>
      </c>
      <c r="B166" s="108" t="s">
        <v>701</v>
      </c>
      <c r="C166" s="108" t="s">
        <v>390</v>
      </c>
      <c r="D166" s="108" t="s">
        <v>351</v>
      </c>
      <c r="E166" s="108" t="s">
        <v>352</v>
      </c>
      <c r="F166" s="108" t="s">
        <v>292</v>
      </c>
      <c r="G166" s="108" t="s">
        <v>619</v>
      </c>
      <c r="H166" s="108" t="s">
        <v>353</v>
      </c>
      <c r="I166" s="108" t="s">
        <v>610</v>
      </c>
      <c r="J166" s="105"/>
      <c r="K166" s="105"/>
      <c r="L166" s="105"/>
      <c r="M166" s="105"/>
      <c r="N166" s="105"/>
      <c r="O166" s="105"/>
    </row>
    <row r="167" spans="1:15" x14ac:dyDescent="0.35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</row>
    <row r="168" spans="1:15" x14ac:dyDescent="0.35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</row>
    <row r="169" spans="1:15" x14ac:dyDescent="0.35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</row>
    <row r="170" spans="1:15" x14ac:dyDescent="0.35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</row>
    <row r="171" spans="1:15" x14ac:dyDescent="0.35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</row>
    <row r="172" spans="1:15" x14ac:dyDescent="0.35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</row>
    <row r="173" spans="1:15" x14ac:dyDescent="0.35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</row>
    <row r="174" spans="1:15" x14ac:dyDescent="0.35">
      <c r="A174" s="167" t="s">
        <v>714</v>
      </c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2"/>
    </row>
    <row r="175" spans="1:15" ht="72.5" x14ac:dyDescent="0.35">
      <c r="A175" s="108" t="s">
        <v>600</v>
      </c>
      <c r="B175" s="108"/>
      <c r="C175" s="108" t="s">
        <v>601</v>
      </c>
      <c r="D175" s="108"/>
      <c r="E175" s="108" t="s">
        <v>602</v>
      </c>
      <c r="F175" s="108"/>
      <c r="G175" s="108" t="s">
        <v>603</v>
      </c>
      <c r="H175" s="108"/>
      <c r="I175" s="108" t="s">
        <v>604</v>
      </c>
      <c r="J175" s="108"/>
      <c r="K175" s="108" t="s">
        <v>6</v>
      </c>
      <c r="L175" s="108"/>
      <c r="M175" s="108" t="s">
        <v>605</v>
      </c>
      <c r="N175" s="108"/>
      <c r="O175" s="108"/>
    </row>
    <row r="176" spans="1:15" ht="72.5" x14ac:dyDescent="0.35">
      <c r="A176" s="108" t="s">
        <v>606</v>
      </c>
      <c r="B176" s="108"/>
      <c r="C176" s="108" t="s">
        <v>607</v>
      </c>
      <c r="D176" s="108"/>
      <c r="E176" s="108" t="s">
        <v>608</v>
      </c>
      <c r="F176" s="108"/>
      <c r="G176" s="108" t="s">
        <v>609</v>
      </c>
      <c r="H176" s="108"/>
      <c r="I176" s="108" t="s">
        <v>610</v>
      </c>
      <c r="J176" s="109">
        <f>IFERROR(COUNTIF(E179:E197,"Yes")/(COUNTIF(E179:E197,"Yes")+COUNTIF(F179:F197,"No")),0)</f>
        <v>0</v>
      </c>
      <c r="K176" s="108"/>
      <c r="L176" s="108" t="str">
        <f>IF(J176&gt;=0.9,"Green",IF(J176&gt;=0.75,"Amber","Red"))</f>
        <v>Red</v>
      </c>
      <c r="M176" s="108"/>
      <c r="N176" s="108"/>
      <c r="O176" s="108"/>
    </row>
    <row r="177" spans="1:15" x14ac:dyDescent="0.35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</row>
    <row r="178" spans="1:15" ht="29" x14ac:dyDescent="0.35">
      <c r="A178" s="110" t="s">
        <v>611</v>
      </c>
      <c r="B178" s="110" t="s">
        <v>612</v>
      </c>
      <c r="C178" s="110" t="s">
        <v>613</v>
      </c>
      <c r="D178" s="110" t="s">
        <v>614</v>
      </c>
      <c r="E178" s="110" t="s">
        <v>81</v>
      </c>
      <c r="F178" s="110" t="s">
        <v>615</v>
      </c>
      <c r="G178" s="110" t="s">
        <v>616</v>
      </c>
      <c r="H178" s="110" t="s">
        <v>617</v>
      </c>
      <c r="I178" s="110" t="s">
        <v>618</v>
      </c>
      <c r="J178" s="110" t="s">
        <v>390</v>
      </c>
      <c r="K178" s="110" t="s">
        <v>351</v>
      </c>
      <c r="L178" s="110" t="s">
        <v>352</v>
      </c>
      <c r="M178" s="110" t="s">
        <v>292</v>
      </c>
      <c r="N178" s="110" t="s">
        <v>353</v>
      </c>
      <c r="O178" s="110" t="s">
        <v>619</v>
      </c>
    </row>
    <row r="179" spans="1:15" ht="29" x14ac:dyDescent="0.35">
      <c r="A179" s="105" t="s">
        <v>620</v>
      </c>
      <c r="B179" s="105" t="s">
        <v>1344</v>
      </c>
      <c r="C179" s="105" t="s">
        <v>751</v>
      </c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</row>
    <row r="180" spans="1:15" x14ac:dyDescent="0.35">
      <c r="A180" s="105" t="s">
        <v>623</v>
      </c>
      <c r="B180" s="105" t="s">
        <v>1345</v>
      </c>
      <c r="C180" s="105" t="s">
        <v>751</v>
      </c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</row>
    <row r="181" spans="1:15" x14ac:dyDescent="0.35">
      <c r="A181" s="105" t="s">
        <v>625</v>
      </c>
      <c r="B181" s="105" t="s">
        <v>1346</v>
      </c>
      <c r="C181" s="105" t="s">
        <v>751</v>
      </c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</row>
    <row r="182" spans="1:15" x14ac:dyDescent="0.35">
      <c r="A182" s="105" t="s">
        <v>627</v>
      </c>
      <c r="B182" s="105" t="s">
        <v>1347</v>
      </c>
      <c r="C182" s="105" t="s">
        <v>751</v>
      </c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</row>
    <row r="183" spans="1:15" x14ac:dyDescent="0.35">
      <c r="A183" s="105" t="s">
        <v>629</v>
      </c>
      <c r="B183" s="105" t="s">
        <v>1348</v>
      </c>
      <c r="C183" s="105" t="s">
        <v>751</v>
      </c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</row>
    <row r="184" spans="1:15" ht="29" x14ac:dyDescent="0.35">
      <c r="A184" s="105" t="s">
        <v>631</v>
      </c>
      <c r="B184" s="105" t="s">
        <v>1349</v>
      </c>
      <c r="C184" s="105" t="s">
        <v>751</v>
      </c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</row>
    <row r="185" spans="1:15" ht="29" x14ac:dyDescent="0.35">
      <c r="A185" s="105" t="s">
        <v>633</v>
      </c>
      <c r="B185" s="105" t="s">
        <v>1350</v>
      </c>
      <c r="C185" s="105" t="s">
        <v>751</v>
      </c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</row>
    <row r="186" spans="1:15" ht="29" x14ac:dyDescent="0.35">
      <c r="A186" s="105" t="s">
        <v>635</v>
      </c>
      <c r="B186" s="105" t="s">
        <v>1351</v>
      </c>
      <c r="C186" s="105" t="s">
        <v>751</v>
      </c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</row>
    <row r="187" spans="1:15" ht="29" x14ac:dyDescent="0.35">
      <c r="A187" s="105" t="s">
        <v>637</v>
      </c>
      <c r="B187" s="105" t="s">
        <v>1352</v>
      </c>
      <c r="C187" s="105" t="s">
        <v>751</v>
      </c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</row>
    <row r="188" spans="1:15" x14ac:dyDescent="0.35">
      <c r="A188" s="105" t="s">
        <v>639</v>
      </c>
      <c r="B188" s="105" t="s">
        <v>1353</v>
      </c>
      <c r="C188" s="105" t="s">
        <v>788</v>
      </c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</row>
    <row r="189" spans="1:15" ht="29" x14ac:dyDescent="0.35">
      <c r="A189" s="105" t="s">
        <v>641</v>
      </c>
      <c r="B189" s="105" t="s">
        <v>706</v>
      </c>
      <c r="C189" s="105" t="s">
        <v>622</v>
      </c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</row>
    <row r="190" spans="1:15" ht="29" x14ac:dyDescent="0.35">
      <c r="A190" s="105" t="s">
        <v>643</v>
      </c>
      <c r="B190" s="105" t="s">
        <v>682</v>
      </c>
      <c r="C190" s="105" t="s">
        <v>683</v>
      </c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</row>
    <row r="191" spans="1:15" ht="29" x14ac:dyDescent="0.35">
      <c r="A191" s="105" t="s">
        <v>644</v>
      </c>
      <c r="B191" s="105" t="s">
        <v>685</v>
      </c>
      <c r="C191" s="105" t="s">
        <v>686</v>
      </c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</row>
    <row r="192" spans="1:15" ht="29" x14ac:dyDescent="0.35">
      <c r="A192" s="105" t="s">
        <v>645</v>
      </c>
      <c r="B192" s="105" t="s">
        <v>688</v>
      </c>
      <c r="C192" s="105" t="s">
        <v>686</v>
      </c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</row>
    <row r="193" spans="1:15" ht="29" x14ac:dyDescent="0.35">
      <c r="A193" s="105" t="s">
        <v>646</v>
      </c>
      <c r="B193" s="105" t="s">
        <v>690</v>
      </c>
      <c r="C193" s="105" t="s">
        <v>686</v>
      </c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</row>
    <row r="194" spans="1:15" ht="29" x14ac:dyDescent="0.35">
      <c r="A194" s="105" t="s">
        <v>649</v>
      </c>
      <c r="B194" s="105" t="s">
        <v>692</v>
      </c>
      <c r="C194" s="105" t="s">
        <v>686</v>
      </c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</row>
    <row r="195" spans="1:15" ht="29" x14ac:dyDescent="0.35">
      <c r="A195" s="105" t="s">
        <v>651</v>
      </c>
      <c r="B195" s="105" t="s">
        <v>694</v>
      </c>
      <c r="C195" s="105" t="s">
        <v>686</v>
      </c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</row>
    <row r="196" spans="1:15" ht="29" x14ac:dyDescent="0.35">
      <c r="A196" s="105" t="s">
        <v>653</v>
      </c>
      <c r="B196" s="105" t="s">
        <v>696</v>
      </c>
      <c r="C196" s="105" t="s">
        <v>686</v>
      </c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</row>
    <row r="197" spans="1:15" ht="29" x14ac:dyDescent="0.35">
      <c r="A197" s="105" t="s">
        <v>655</v>
      </c>
      <c r="B197" s="105" t="s">
        <v>698</v>
      </c>
      <c r="C197" s="105" t="s">
        <v>686</v>
      </c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</row>
    <row r="198" spans="1:15" x14ac:dyDescent="0.35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</row>
    <row r="199" spans="1:15" x14ac:dyDescent="0.35">
      <c r="A199" s="166" t="s">
        <v>715</v>
      </c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2"/>
    </row>
    <row r="200" spans="1:15" ht="58" x14ac:dyDescent="0.35">
      <c r="A200" s="108" t="s">
        <v>700</v>
      </c>
      <c r="B200" s="108" t="s">
        <v>701</v>
      </c>
      <c r="C200" s="108" t="s">
        <v>390</v>
      </c>
      <c r="D200" s="108" t="s">
        <v>351</v>
      </c>
      <c r="E200" s="108" t="s">
        <v>352</v>
      </c>
      <c r="F200" s="108" t="s">
        <v>292</v>
      </c>
      <c r="G200" s="108" t="s">
        <v>619</v>
      </c>
      <c r="H200" s="108" t="s">
        <v>353</v>
      </c>
      <c r="I200" s="108" t="s">
        <v>610</v>
      </c>
      <c r="J200" s="105"/>
      <c r="K200" s="105"/>
      <c r="L200" s="105"/>
      <c r="M200" s="105"/>
      <c r="N200" s="105"/>
      <c r="O200" s="105"/>
    </row>
    <row r="201" spans="1:15" x14ac:dyDescent="0.35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</row>
    <row r="202" spans="1:15" x14ac:dyDescent="0.35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</row>
    <row r="203" spans="1:15" x14ac:dyDescent="0.35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</row>
    <row r="204" spans="1:15" x14ac:dyDescent="0.35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</row>
    <row r="205" spans="1:15" x14ac:dyDescent="0.3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</row>
    <row r="206" spans="1:15" x14ac:dyDescent="0.35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</row>
    <row r="207" spans="1:15" x14ac:dyDescent="0.35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</row>
    <row r="208" spans="1:15" x14ac:dyDescent="0.35">
      <c r="A208" s="167" t="s">
        <v>716</v>
      </c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2"/>
    </row>
    <row r="209" spans="1:15" ht="72.5" x14ac:dyDescent="0.35">
      <c r="A209" s="108" t="s">
        <v>600</v>
      </c>
      <c r="B209" s="108"/>
      <c r="C209" s="108" t="s">
        <v>601</v>
      </c>
      <c r="D209" s="108"/>
      <c r="E209" s="108" t="s">
        <v>602</v>
      </c>
      <c r="F209" s="108"/>
      <c r="G209" s="108" t="s">
        <v>603</v>
      </c>
      <c r="H209" s="108"/>
      <c r="I209" s="108" t="s">
        <v>604</v>
      </c>
      <c r="J209" s="108"/>
      <c r="K209" s="108" t="s">
        <v>6</v>
      </c>
      <c r="L209" s="108"/>
      <c r="M209" s="108" t="s">
        <v>605</v>
      </c>
      <c r="N209" s="108"/>
      <c r="O209" s="108"/>
    </row>
    <row r="210" spans="1:15" ht="72.5" x14ac:dyDescent="0.35">
      <c r="A210" s="108" t="s">
        <v>606</v>
      </c>
      <c r="B210" s="108"/>
      <c r="C210" s="108" t="s">
        <v>607</v>
      </c>
      <c r="D210" s="108"/>
      <c r="E210" s="108" t="s">
        <v>608</v>
      </c>
      <c r="F210" s="108"/>
      <c r="G210" s="108" t="s">
        <v>609</v>
      </c>
      <c r="H210" s="108"/>
      <c r="I210" s="108" t="s">
        <v>610</v>
      </c>
      <c r="J210" s="109">
        <f>IFERROR(COUNTIF(E213:E231,"Yes")/(COUNTIF(E213:E231,"Yes")+COUNTIF(F213:F231,"No")),0)</f>
        <v>0</v>
      </c>
      <c r="K210" s="108"/>
      <c r="L210" s="108" t="str">
        <f>IF(J210&gt;=0.9,"Green",IF(J210&gt;=0.75,"Amber","Red"))</f>
        <v>Red</v>
      </c>
      <c r="M210" s="108"/>
      <c r="N210" s="108"/>
      <c r="O210" s="108"/>
    </row>
    <row r="211" spans="1:15" x14ac:dyDescent="0.35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</row>
    <row r="212" spans="1:15" ht="29" x14ac:dyDescent="0.35">
      <c r="A212" s="110" t="s">
        <v>611</v>
      </c>
      <c r="B212" s="110" t="s">
        <v>612</v>
      </c>
      <c r="C212" s="110" t="s">
        <v>613</v>
      </c>
      <c r="D212" s="110" t="s">
        <v>614</v>
      </c>
      <c r="E212" s="110" t="s">
        <v>81</v>
      </c>
      <c r="F212" s="110" t="s">
        <v>615</v>
      </c>
      <c r="G212" s="110" t="s">
        <v>616</v>
      </c>
      <c r="H212" s="110" t="s">
        <v>617</v>
      </c>
      <c r="I212" s="110" t="s">
        <v>618</v>
      </c>
      <c r="J212" s="110" t="s">
        <v>390</v>
      </c>
      <c r="K212" s="110" t="s">
        <v>351</v>
      </c>
      <c r="L212" s="110" t="s">
        <v>352</v>
      </c>
      <c r="M212" s="110" t="s">
        <v>292</v>
      </c>
      <c r="N212" s="110" t="s">
        <v>353</v>
      </c>
      <c r="O212" s="110" t="s">
        <v>619</v>
      </c>
    </row>
    <row r="213" spans="1:15" ht="29" x14ac:dyDescent="0.35">
      <c r="A213" s="105" t="s">
        <v>620</v>
      </c>
      <c r="B213" s="105" t="s">
        <v>1344</v>
      </c>
      <c r="C213" s="105" t="s">
        <v>751</v>
      </c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</row>
    <row r="214" spans="1:15" x14ac:dyDescent="0.35">
      <c r="A214" s="105" t="s">
        <v>623</v>
      </c>
      <c r="B214" s="105" t="s">
        <v>1345</v>
      </c>
      <c r="C214" s="105" t="s">
        <v>751</v>
      </c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</row>
    <row r="215" spans="1:15" x14ac:dyDescent="0.35">
      <c r="A215" s="105" t="s">
        <v>625</v>
      </c>
      <c r="B215" s="105" t="s">
        <v>1346</v>
      </c>
      <c r="C215" s="105" t="s">
        <v>751</v>
      </c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</row>
    <row r="216" spans="1:15" x14ac:dyDescent="0.35">
      <c r="A216" s="105" t="s">
        <v>627</v>
      </c>
      <c r="B216" s="105" t="s">
        <v>1347</v>
      </c>
      <c r="C216" s="105" t="s">
        <v>751</v>
      </c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</row>
    <row r="217" spans="1:15" x14ac:dyDescent="0.35">
      <c r="A217" s="105" t="s">
        <v>629</v>
      </c>
      <c r="B217" s="105" t="s">
        <v>1348</v>
      </c>
      <c r="C217" s="105" t="s">
        <v>751</v>
      </c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</row>
    <row r="218" spans="1:15" ht="29" x14ac:dyDescent="0.35">
      <c r="A218" s="105" t="s">
        <v>631</v>
      </c>
      <c r="B218" s="105" t="s">
        <v>1349</v>
      </c>
      <c r="C218" s="105" t="s">
        <v>751</v>
      </c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</row>
    <row r="219" spans="1:15" ht="29" x14ac:dyDescent="0.35">
      <c r="A219" s="105" t="s">
        <v>633</v>
      </c>
      <c r="B219" s="105" t="s">
        <v>1350</v>
      </c>
      <c r="C219" s="105" t="s">
        <v>751</v>
      </c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</row>
    <row r="220" spans="1:15" ht="29" x14ac:dyDescent="0.35">
      <c r="A220" s="105" t="s">
        <v>635</v>
      </c>
      <c r="B220" s="105" t="s">
        <v>1351</v>
      </c>
      <c r="C220" s="105" t="s">
        <v>751</v>
      </c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</row>
    <row r="221" spans="1:15" ht="29" x14ac:dyDescent="0.35">
      <c r="A221" s="105" t="s">
        <v>637</v>
      </c>
      <c r="B221" s="105" t="s">
        <v>1352</v>
      </c>
      <c r="C221" s="105" t="s">
        <v>751</v>
      </c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</row>
    <row r="222" spans="1:15" x14ac:dyDescent="0.35">
      <c r="A222" s="105" t="s">
        <v>639</v>
      </c>
      <c r="B222" s="105" t="s">
        <v>1353</v>
      </c>
      <c r="C222" s="105" t="s">
        <v>788</v>
      </c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</row>
    <row r="223" spans="1:15" ht="29" x14ac:dyDescent="0.35">
      <c r="A223" s="105" t="s">
        <v>641</v>
      </c>
      <c r="B223" s="105" t="s">
        <v>706</v>
      </c>
      <c r="C223" s="105" t="s">
        <v>622</v>
      </c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</row>
    <row r="224" spans="1:15" ht="29" x14ac:dyDescent="0.35">
      <c r="A224" s="105" t="s">
        <v>643</v>
      </c>
      <c r="B224" s="105" t="s">
        <v>682</v>
      </c>
      <c r="C224" s="105" t="s">
        <v>683</v>
      </c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</row>
    <row r="225" spans="1:15" ht="29" x14ac:dyDescent="0.35">
      <c r="A225" s="105" t="s">
        <v>644</v>
      </c>
      <c r="B225" s="105" t="s">
        <v>685</v>
      </c>
      <c r="C225" s="105" t="s">
        <v>686</v>
      </c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</row>
    <row r="226" spans="1:15" ht="29" x14ac:dyDescent="0.35">
      <c r="A226" s="105" t="s">
        <v>645</v>
      </c>
      <c r="B226" s="105" t="s">
        <v>688</v>
      </c>
      <c r="C226" s="105" t="s">
        <v>686</v>
      </c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</row>
    <row r="227" spans="1:15" ht="29" x14ac:dyDescent="0.35">
      <c r="A227" s="105" t="s">
        <v>646</v>
      </c>
      <c r="B227" s="105" t="s">
        <v>690</v>
      </c>
      <c r="C227" s="105" t="s">
        <v>686</v>
      </c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</row>
    <row r="228" spans="1:15" ht="29" x14ac:dyDescent="0.35">
      <c r="A228" s="105" t="s">
        <v>649</v>
      </c>
      <c r="B228" s="105" t="s">
        <v>692</v>
      </c>
      <c r="C228" s="105" t="s">
        <v>686</v>
      </c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</row>
    <row r="229" spans="1:15" ht="29" x14ac:dyDescent="0.35">
      <c r="A229" s="105" t="s">
        <v>651</v>
      </c>
      <c r="B229" s="105" t="s">
        <v>694</v>
      </c>
      <c r="C229" s="105" t="s">
        <v>686</v>
      </c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</row>
    <row r="230" spans="1:15" ht="29" x14ac:dyDescent="0.35">
      <c r="A230" s="105" t="s">
        <v>653</v>
      </c>
      <c r="B230" s="105" t="s">
        <v>696</v>
      </c>
      <c r="C230" s="105" t="s">
        <v>686</v>
      </c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</row>
    <row r="231" spans="1:15" ht="29" x14ac:dyDescent="0.35">
      <c r="A231" s="105" t="s">
        <v>655</v>
      </c>
      <c r="B231" s="105" t="s">
        <v>698</v>
      </c>
      <c r="C231" s="105" t="s">
        <v>686</v>
      </c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</row>
    <row r="232" spans="1:15" x14ac:dyDescent="0.35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</row>
    <row r="233" spans="1:15" x14ac:dyDescent="0.35">
      <c r="A233" s="166" t="s">
        <v>717</v>
      </c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2"/>
    </row>
    <row r="234" spans="1:15" ht="58" x14ac:dyDescent="0.35">
      <c r="A234" s="108" t="s">
        <v>700</v>
      </c>
      <c r="B234" s="108" t="s">
        <v>701</v>
      </c>
      <c r="C234" s="108" t="s">
        <v>390</v>
      </c>
      <c r="D234" s="108" t="s">
        <v>351</v>
      </c>
      <c r="E234" s="108" t="s">
        <v>352</v>
      </c>
      <c r="F234" s="108" t="s">
        <v>292</v>
      </c>
      <c r="G234" s="108" t="s">
        <v>619</v>
      </c>
      <c r="H234" s="108" t="s">
        <v>353</v>
      </c>
      <c r="I234" s="108" t="s">
        <v>610</v>
      </c>
      <c r="J234" s="105"/>
      <c r="K234" s="105"/>
      <c r="L234" s="105"/>
      <c r="M234" s="105"/>
      <c r="N234" s="105"/>
      <c r="O234" s="105"/>
    </row>
    <row r="235" spans="1:15" x14ac:dyDescent="0.3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</row>
    <row r="236" spans="1:15" x14ac:dyDescent="0.35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</row>
    <row r="237" spans="1:15" x14ac:dyDescent="0.35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</row>
    <row r="238" spans="1:15" x14ac:dyDescent="0.35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</row>
    <row r="239" spans="1:15" x14ac:dyDescent="0.35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</row>
    <row r="240" spans="1:15" x14ac:dyDescent="0.35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</row>
    <row r="241" spans="1:15" x14ac:dyDescent="0.35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</row>
    <row r="242" spans="1:15" x14ac:dyDescent="0.35">
      <c r="A242" s="167" t="s">
        <v>718</v>
      </c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2"/>
    </row>
    <row r="243" spans="1:15" ht="72.5" x14ac:dyDescent="0.35">
      <c r="A243" s="108" t="s">
        <v>600</v>
      </c>
      <c r="B243" s="108"/>
      <c r="C243" s="108" t="s">
        <v>601</v>
      </c>
      <c r="D243" s="108"/>
      <c r="E243" s="108" t="s">
        <v>602</v>
      </c>
      <c r="F243" s="108"/>
      <c r="G243" s="108" t="s">
        <v>603</v>
      </c>
      <c r="H243" s="108"/>
      <c r="I243" s="108" t="s">
        <v>604</v>
      </c>
      <c r="J243" s="108"/>
      <c r="K243" s="108" t="s">
        <v>6</v>
      </c>
      <c r="L243" s="108"/>
      <c r="M243" s="108" t="s">
        <v>605</v>
      </c>
      <c r="N243" s="108"/>
      <c r="O243" s="108"/>
    </row>
    <row r="244" spans="1:15" ht="72.5" x14ac:dyDescent="0.35">
      <c r="A244" s="108" t="s">
        <v>606</v>
      </c>
      <c r="B244" s="108"/>
      <c r="C244" s="108" t="s">
        <v>607</v>
      </c>
      <c r="D244" s="108"/>
      <c r="E244" s="108" t="s">
        <v>608</v>
      </c>
      <c r="F244" s="108"/>
      <c r="G244" s="108" t="s">
        <v>609</v>
      </c>
      <c r="H244" s="108"/>
      <c r="I244" s="108" t="s">
        <v>610</v>
      </c>
      <c r="J244" s="109">
        <f>IFERROR(COUNTIF(E247:E265,"Yes")/(COUNTIF(E247:E265,"Yes")+COUNTIF(F247:F265,"No")),0)</f>
        <v>0</v>
      </c>
      <c r="K244" s="108"/>
      <c r="L244" s="108" t="str">
        <f>IF(J244&gt;=0.9,"Green",IF(J244&gt;=0.75,"Amber","Red"))</f>
        <v>Red</v>
      </c>
      <c r="M244" s="108"/>
      <c r="N244" s="108"/>
      <c r="O244" s="108"/>
    </row>
    <row r="245" spans="1:15" x14ac:dyDescent="0.3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</row>
    <row r="246" spans="1:15" ht="29" x14ac:dyDescent="0.35">
      <c r="A246" s="110" t="s">
        <v>611</v>
      </c>
      <c r="B246" s="110" t="s">
        <v>612</v>
      </c>
      <c r="C246" s="110" t="s">
        <v>613</v>
      </c>
      <c r="D246" s="110" t="s">
        <v>614</v>
      </c>
      <c r="E246" s="110" t="s">
        <v>81</v>
      </c>
      <c r="F246" s="110" t="s">
        <v>615</v>
      </c>
      <c r="G246" s="110" t="s">
        <v>616</v>
      </c>
      <c r="H246" s="110" t="s">
        <v>617</v>
      </c>
      <c r="I246" s="110" t="s">
        <v>618</v>
      </c>
      <c r="J246" s="110" t="s">
        <v>390</v>
      </c>
      <c r="K246" s="110" t="s">
        <v>351</v>
      </c>
      <c r="L246" s="110" t="s">
        <v>352</v>
      </c>
      <c r="M246" s="110" t="s">
        <v>292</v>
      </c>
      <c r="N246" s="110" t="s">
        <v>353</v>
      </c>
      <c r="O246" s="110" t="s">
        <v>619</v>
      </c>
    </row>
    <row r="247" spans="1:15" ht="29" x14ac:dyDescent="0.35">
      <c r="A247" s="105" t="s">
        <v>620</v>
      </c>
      <c r="B247" s="105" t="s">
        <v>1344</v>
      </c>
      <c r="C247" s="105" t="s">
        <v>751</v>
      </c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</row>
    <row r="248" spans="1:15" x14ac:dyDescent="0.35">
      <c r="A248" s="105" t="s">
        <v>623</v>
      </c>
      <c r="B248" s="105" t="s">
        <v>1345</v>
      </c>
      <c r="C248" s="105" t="s">
        <v>751</v>
      </c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</row>
    <row r="249" spans="1:15" x14ac:dyDescent="0.35">
      <c r="A249" s="105" t="s">
        <v>625</v>
      </c>
      <c r="B249" s="105" t="s">
        <v>1346</v>
      </c>
      <c r="C249" s="105" t="s">
        <v>751</v>
      </c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</row>
    <row r="250" spans="1:15" x14ac:dyDescent="0.35">
      <c r="A250" s="105" t="s">
        <v>627</v>
      </c>
      <c r="B250" s="105" t="s">
        <v>1347</v>
      </c>
      <c r="C250" s="105" t="s">
        <v>751</v>
      </c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</row>
    <row r="251" spans="1:15" x14ac:dyDescent="0.35">
      <c r="A251" s="105" t="s">
        <v>629</v>
      </c>
      <c r="B251" s="105" t="s">
        <v>1348</v>
      </c>
      <c r="C251" s="105" t="s">
        <v>751</v>
      </c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</row>
    <row r="252" spans="1:15" ht="29" x14ac:dyDescent="0.35">
      <c r="A252" s="105" t="s">
        <v>631</v>
      </c>
      <c r="B252" s="105" t="s">
        <v>1349</v>
      </c>
      <c r="C252" s="105" t="s">
        <v>751</v>
      </c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</row>
    <row r="253" spans="1:15" ht="29" x14ac:dyDescent="0.35">
      <c r="A253" s="105" t="s">
        <v>633</v>
      </c>
      <c r="B253" s="105" t="s">
        <v>1350</v>
      </c>
      <c r="C253" s="105" t="s">
        <v>751</v>
      </c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</row>
    <row r="254" spans="1:15" ht="29" x14ac:dyDescent="0.35">
      <c r="A254" s="105" t="s">
        <v>635</v>
      </c>
      <c r="B254" s="105" t="s">
        <v>1351</v>
      </c>
      <c r="C254" s="105" t="s">
        <v>751</v>
      </c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</row>
    <row r="255" spans="1:15" ht="29" x14ac:dyDescent="0.35">
      <c r="A255" s="105" t="s">
        <v>637</v>
      </c>
      <c r="B255" s="105" t="s">
        <v>1352</v>
      </c>
      <c r="C255" s="105" t="s">
        <v>751</v>
      </c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</row>
    <row r="256" spans="1:15" x14ac:dyDescent="0.35">
      <c r="A256" s="105" t="s">
        <v>639</v>
      </c>
      <c r="B256" s="105" t="s">
        <v>1353</v>
      </c>
      <c r="C256" s="105" t="s">
        <v>788</v>
      </c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</row>
    <row r="257" spans="1:15" ht="29" x14ac:dyDescent="0.35">
      <c r="A257" s="105" t="s">
        <v>641</v>
      </c>
      <c r="B257" s="105" t="s">
        <v>706</v>
      </c>
      <c r="C257" s="105" t="s">
        <v>622</v>
      </c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</row>
    <row r="258" spans="1:15" ht="29" x14ac:dyDescent="0.35">
      <c r="A258" s="105" t="s">
        <v>643</v>
      </c>
      <c r="B258" s="105" t="s">
        <v>682</v>
      </c>
      <c r="C258" s="105" t="s">
        <v>683</v>
      </c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</row>
    <row r="259" spans="1:15" ht="29" x14ac:dyDescent="0.35">
      <c r="A259" s="105" t="s">
        <v>644</v>
      </c>
      <c r="B259" s="105" t="s">
        <v>685</v>
      </c>
      <c r="C259" s="105" t="s">
        <v>686</v>
      </c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</row>
    <row r="260" spans="1:15" ht="29" x14ac:dyDescent="0.35">
      <c r="A260" s="105" t="s">
        <v>645</v>
      </c>
      <c r="B260" s="105" t="s">
        <v>688</v>
      </c>
      <c r="C260" s="105" t="s">
        <v>686</v>
      </c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</row>
    <row r="261" spans="1:15" ht="29" x14ac:dyDescent="0.35">
      <c r="A261" s="105" t="s">
        <v>646</v>
      </c>
      <c r="B261" s="105" t="s">
        <v>690</v>
      </c>
      <c r="C261" s="105" t="s">
        <v>686</v>
      </c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</row>
    <row r="262" spans="1:15" ht="29" x14ac:dyDescent="0.35">
      <c r="A262" s="105" t="s">
        <v>649</v>
      </c>
      <c r="B262" s="105" t="s">
        <v>692</v>
      </c>
      <c r="C262" s="105" t="s">
        <v>686</v>
      </c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</row>
    <row r="263" spans="1:15" ht="29" x14ac:dyDescent="0.35">
      <c r="A263" s="105" t="s">
        <v>651</v>
      </c>
      <c r="B263" s="105" t="s">
        <v>694</v>
      </c>
      <c r="C263" s="105" t="s">
        <v>686</v>
      </c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</row>
    <row r="264" spans="1:15" ht="29" x14ac:dyDescent="0.35">
      <c r="A264" s="105" t="s">
        <v>653</v>
      </c>
      <c r="B264" s="105" t="s">
        <v>696</v>
      </c>
      <c r="C264" s="105" t="s">
        <v>686</v>
      </c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</row>
    <row r="265" spans="1:15" ht="29" x14ac:dyDescent="0.35">
      <c r="A265" s="105" t="s">
        <v>655</v>
      </c>
      <c r="B265" s="105" t="s">
        <v>698</v>
      </c>
      <c r="C265" s="105" t="s">
        <v>686</v>
      </c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</row>
    <row r="266" spans="1:15" x14ac:dyDescent="0.35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</row>
    <row r="267" spans="1:15" x14ac:dyDescent="0.35">
      <c r="A267" s="166" t="s">
        <v>719</v>
      </c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2"/>
    </row>
    <row r="268" spans="1:15" ht="58" x14ac:dyDescent="0.35">
      <c r="A268" s="108" t="s">
        <v>700</v>
      </c>
      <c r="B268" s="108" t="s">
        <v>701</v>
      </c>
      <c r="C268" s="108" t="s">
        <v>390</v>
      </c>
      <c r="D268" s="108" t="s">
        <v>351</v>
      </c>
      <c r="E268" s="108" t="s">
        <v>352</v>
      </c>
      <c r="F268" s="108" t="s">
        <v>292</v>
      </c>
      <c r="G268" s="108" t="s">
        <v>619</v>
      </c>
      <c r="H268" s="108" t="s">
        <v>353</v>
      </c>
      <c r="I268" s="108" t="s">
        <v>610</v>
      </c>
      <c r="J268" s="105"/>
      <c r="K268" s="105"/>
      <c r="L268" s="105"/>
      <c r="M268" s="105"/>
      <c r="N268" s="105"/>
      <c r="O268" s="105"/>
    </row>
    <row r="269" spans="1:15" x14ac:dyDescent="0.35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</row>
    <row r="270" spans="1:15" x14ac:dyDescent="0.35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</row>
    <row r="271" spans="1:15" x14ac:dyDescent="0.35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</row>
    <row r="272" spans="1:15" x14ac:dyDescent="0.35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</row>
    <row r="273" spans="1:15" x14ac:dyDescent="0.35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</row>
    <row r="274" spans="1:15" x14ac:dyDescent="0.35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</row>
    <row r="275" spans="1:15" x14ac:dyDescent="0.3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</row>
    <row r="276" spans="1:15" x14ac:dyDescent="0.35">
      <c r="A276" s="167" t="s">
        <v>720</v>
      </c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2"/>
    </row>
    <row r="277" spans="1:15" ht="72.5" x14ac:dyDescent="0.35">
      <c r="A277" s="108" t="s">
        <v>600</v>
      </c>
      <c r="B277" s="108"/>
      <c r="C277" s="108" t="s">
        <v>601</v>
      </c>
      <c r="D277" s="108"/>
      <c r="E277" s="108" t="s">
        <v>602</v>
      </c>
      <c r="F277" s="108"/>
      <c r="G277" s="108" t="s">
        <v>603</v>
      </c>
      <c r="H277" s="108"/>
      <c r="I277" s="108" t="s">
        <v>604</v>
      </c>
      <c r="J277" s="108"/>
      <c r="K277" s="108" t="s">
        <v>6</v>
      </c>
      <c r="L277" s="108"/>
      <c r="M277" s="108" t="s">
        <v>605</v>
      </c>
      <c r="N277" s="108"/>
      <c r="O277" s="108"/>
    </row>
    <row r="278" spans="1:15" ht="72.5" x14ac:dyDescent="0.35">
      <c r="A278" s="108" t="s">
        <v>606</v>
      </c>
      <c r="B278" s="108"/>
      <c r="C278" s="108" t="s">
        <v>607</v>
      </c>
      <c r="D278" s="108"/>
      <c r="E278" s="108" t="s">
        <v>608</v>
      </c>
      <c r="F278" s="108"/>
      <c r="G278" s="108" t="s">
        <v>609</v>
      </c>
      <c r="H278" s="108"/>
      <c r="I278" s="108" t="s">
        <v>610</v>
      </c>
      <c r="J278" s="109">
        <f>IFERROR(COUNTIF(E281:E299,"Yes")/(COUNTIF(E281:E299,"Yes")+COUNTIF(F281:F299,"No")),0)</f>
        <v>0</v>
      </c>
      <c r="K278" s="108"/>
      <c r="L278" s="108" t="str">
        <f>IF(J278&gt;=0.9,"Green",IF(J278&gt;=0.75,"Amber","Red"))</f>
        <v>Red</v>
      </c>
      <c r="M278" s="108"/>
      <c r="N278" s="108"/>
      <c r="O278" s="108"/>
    </row>
    <row r="279" spans="1:15" x14ac:dyDescent="0.35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</row>
    <row r="280" spans="1:15" ht="29" x14ac:dyDescent="0.35">
      <c r="A280" s="110" t="s">
        <v>611</v>
      </c>
      <c r="B280" s="110" t="s">
        <v>612</v>
      </c>
      <c r="C280" s="110" t="s">
        <v>613</v>
      </c>
      <c r="D280" s="110" t="s">
        <v>614</v>
      </c>
      <c r="E280" s="110" t="s">
        <v>81</v>
      </c>
      <c r="F280" s="110" t="s">
        <v>615</v>
      </c>
      <c r="G280" s="110" t="s">
        <v>616</v>
      </c>
      <c r="H280" s="110" t="s">
        <v>617</v>
      </c>
      <c r="I280" s="110" t="s">
        <v>618</v>
      </c>
      <c r="J280" s="110" t="s">
        <v>390</v>
      </c>
      <c r="K280" s="110" t="s">
        <v>351</v>
      </c>
      <c r="L280" s="110" t="s">
        <v>352</v>
      </c>
      <c r="M280" s="110" t="s">
        <v>292</v>
      </c>
      <c r="N280" s="110" t="s">
        <v>353</v>
      </c>
      <c r="O280" s="110" t="s">
        <v>619</v>
      </c>
    </row>
    <row r="281" spans="1:15" ht="29" x14ac:dyDescent="0.35">
      <c r="A281" s="105" t="s">
        <v>620</v>
      </c>
      <c r="B281" s="105" t="s">
        <v>1344</v>
      </c>
      <c r="C281" s="105" t="s">
        <v>751</v>
      </c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</row>
    <row r="282" spans="1:15" x14ac:dyDescent="0.35">
      <c r="A282" s="105" t="s">
        <v>623</v>
      </c>
      <c r="B282" s="105" t="s">
        <v>1345</v>
      </c>
      <c r="C282" s="105" t="s">
        <v>751</v>
      </c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</row>
    <row r="283" spans="1:15" x14ac:dyDescent="0.35">
      <c r="A283" s="105" t="s">
        <v>625</v>
      </c>
      <c r="B283" s="105" t="s">
        <v>1346</v>
      </c>
      <c r="C283" s="105" t="s">
        <v>751</v>
      </c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</row>
    <row r="284" spans="1:15" x14ac:dyDescent="0.35">
      <c r="A284" s="105" t="s">
        <v>627</v>
      </c>
      <c r="B284" s="105" t="s">
        <v>1347</v>
      </c>
      <c r="C284" s="105" t="s">
        <v>751</v>
      </c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</row>
    <row r="285" spans="1:15" x14ac:dyDescent="0.35">
      <c r="A285" s="105" t="s">
        <v>629</v>
      </c>
      <c r="B285" s="105" t="s">
        <v>1348</v>
      </c>
      <c r="C285" s="105" t="s">
        <v>751</v>
      </c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</row>
    <row r="286" spans="1:15" ht="29" x14ac:dyDescent="0.35">
      <c r="A286" s="105" t="s">
        <v>631</v>
      </c>
      <c r="B286" s="105" t="s">
        <v>1349</v>
      </c>
      <c r="C286" s="105" t="s">
        <v>751</v>
      </c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</row>
    <row r="287" spans="1:15" ht="29" x14ac:dyDescent="0.35">
      <c r="A287" s="105" t="s">
        <v>633</v>
      </c>
      <c r="B287" s="105" t="s">
        <v>1350</v>
      </c>
      <c r="C287" s="105" t="s">
        <v>751</v>
      </c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</row>
    <row r="288" spans="1:15" ht="29" x14ac:dyDescent="0.35">
      <c r="A288" s="105" t="s">
        <v>635</v>
      </c>
      <c r="B288" s="105" t="s">
        <v>1351</v>
      </c>
      <c r="C288" s="105" t="s">
        <v>751</v>
      </c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</row>
    <row r="289" spans="1:15" ht="29" x14ac:dyDescent="0.35">
      <c r="A289" s="105" t="s">
        <v>637</v>
      </c>
      <c r="B289" s="105" t="s">
        <v>1352</v>
      </c>
      <c r="C289" s="105" t="s">
        <v>751</v>
      </c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</row>
    <row r="290" spans="1:15" x14ac:dyDescent="0.35">
      <c r="A290" s="105" t="s">
        <v>639</v>
      </c>
      <c r="B290" s="105" t="s">
        <v>1353</v>
      </c>
      <c r="C290" s="105" t="s">
        <v>788</v>
      </c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</row>
    <row r="291" spans="1:15" ht="29" x14ac:dyDescent="0.35">
      <c r="A291" s="105" t="s">
        <v>641</v>
      </c>
      <c r="B291" s="105" t="s">
        <v>706</v>
      </c>
      <c r="C291" s="105" t="s">
        <v>622</v>
      </c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</row>
    <row r="292" spans="1:15" ht="29" x14ac:dyDescent="0.35">
      <c r="A292" s="105" t="s">
        <v>643</v>
      </c>
      <c r="B292" s="105" t="s">
        <v>682</v>
      </c>
      <c r="C292" s="105" t="s">
        <v>683</v>
      </c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</row>
    <row r="293" spans="1:15" ht="29" x14ac:dyDescent="0.35">
      <c r="A293" s="105" t="s">
        <v>644</v>
      </c>
      <c r="B293" s="105" t="s">
        <v>685</v>
      </c>
      <c r="C293" s="105" t="s">
        <v>686</v>
      </c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</row>
    <row r="294" spans="1:15" ht="29" x14ac:dyDescent="0.35">
      <c r="A294" s="105" t="s">
        <v>645</v>
      </c>
      <c r="B294" s="105" t="s">
        <v>688</v>
      </c>
      <c r="C294" s="105" t="s">
        <v>686</v>
      </c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</row>
    <row r="295" spans="1:15" ht="29" x14ac:dyDescent="0.35">
      <c r="A295" s="105" t="s">
        <v>646</v>
      </c>
      <c r="B295" s="105" t="s">
        <v>690</v>
      </c>
      <c r="C295" s="105" t="s">
        <v>686</v>
      </c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</row>
    <row r="296" spans="1:15" ht="29" x14ac:dyDescent="0.35">
      <c r="A296" s="105" t="s">
        <v>649</v>
      </c>
      <c r="B296" s="105" t="s">
        <v>692</v>
      </c>
      <c r="C296" s="105" t="s">
        <v>686</v>
      </c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</row>
    <row r="297" spans="1:15" ht="29" x14ac:dyDescent="0.35">
      <c r="A297" s="105" t="s">
        <v>651</v>
      </c>
      <c r="B297" s="105" t="s">
        <v>694</v>
      </c>
      <c r="C297" s="105" t="s">
        <v>686</v>
      </c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</row>
    <row r="298" spans="1:15" ht="29" x14ac:dyDescent="0.35">
      <c r="A298" s="105" t="s">
        <v>653</v>
      </c>
      <c r="B298" s="105" t="s">
        <v>696</v>
      </c>
      <c r="C298" s="105" t="s">
        <v>686</v>
      </c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</row>
    <row r="299" spans="1:15" ht="29" x14ac:dyDescent="0.35">
      <c r="A299" s="105" t="s">
        <v>655</v>
      </c>
      <c r="B299" s="105" t="s">
        <v>698</v>
      </c>
      <c r="C299" s="105" t="s">
        <v>686</v>
      </c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</row>
    <row r="300" spans="1:15" x14ac:dyDescent="0.35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</row>
    <row r="301" spans="1:15" x14ac:dyDescent="0.35">
      <c r="A301" s="166" t="s">
        <v>721</v>
      </c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2"/>
    </row>
    <row r="302" spans="1:15" ht="58" x14ac:dyDescent="0.35">
      <c r="A302" s="108" t="s">
        <v>700</v>
      </c>
      <c r="B302" s="108" t="s">
        <v>701</v>
      </c>
      <c r="C302" s="108" t="s">
        <v>390</v>
      </c>
      <c r="D302" s="108" t="s">
        <v>351</v>
      </c>
      <c r="E302" s="108" t="s">
        <v>352</v>
      </c>
      <c r="F302" s="108" t="s">
        <v>292</v>
      </c>
      <c r="G302" s="108" t="s">
        <v>619</v>
      </c>
      <c r="H302" s="108" t="s">
        <v>353</v>
      </c>
      <c r="I302" s="108" t="s">
        <v>610</v>
      </c>
      <c r="J302" s="105"/>
      <c r="K302" s="105"/>
      <c r="L302" s="105"/>
      <c r="M302" s="105"/>
      <c r="N302" s="105"/>
      <c r="O302" s="105"/>
    </row>
    <row r="303" spans="1:15" x14ac:dyDescent="0.35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</row>
    <row r="304" spans="1:15" x14ac:dyDescent="0.35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</row>
    <row r="305" spans="1:15" x14ac:dyDescent="0.3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</row>
    <row r="306" spans="1:15" x14ac:dyDescent="0.35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</row>
    <row r="307" spans="1:15" x14ac:dyDescent="0.35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</row>
    <row r="308" spans="1:15" x14ac:dyDescent="0.35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</row>
    <row r="309" spans="1:15" x14ac:dyDescent="0.35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</row>
    <row r="310" spans="1:15" x14ac:dyDescent="0.35">
      <c r="A310" s="167" t="s">
        <v>722</v>
      </c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2"/>
    </row>
    <row r="311" spans="1:15" ht="72.5" x14ac:dyDescent="0.35">
      <c r="A311" s="108" t="s">
        <v>600</v>
      </c>
      <c r="B311" s="108"/>
      <c r="C311" s="108" t="s">
        <v>601</v>
      </c>
      <c r="D311" s="108"/>
      <c r="E311" s="108" t="s">
        <v>602</v>
      </c>
      <c r="F311" s="108"/>
      <c r="G311" s="108" t="s">
        <v>603</v>
      </c>
      <c r="H311" s="108"/>
      <c r="I311" s="108" t="s">
        <v>604</v>
      </c>
      <c r="J311" s="108"/>
      <c r="K311" s="108" t="s">
        <v>6</v>
      </c>
      <c r="L311" s="108"/>
      <c r="M311" s="108" t="s">
        <v>605</v>
      </c>
      <c r="N311" s="108"/>
      <c r="O311" s="108"/>
    </row>
    <row r="312" spans="1:15" ht="72.5" x14ac:dyDescent="0.35">
      <c r="A312" s="108" t="s">
        <v>606</v>
      </c>
      <c r="B312" s="108"/>
      <c r="C312" s="108" t="s">
        <v>607</v>
      </c>
      <c r="D312" s="108"/>
      <c r="E312" s="108" t="s">
        <v>608</v>
      </c>
      <c r="F312" s="108"/>
      <c r="G312" s="108" t="s">
        <v>609</v>
      </c>
      <c r="H312" s="108"/>
      <c r="I312" s="108" t="s">
        <v>610</v>
      </c>
      <c r="J312" s="109">
        <f>IFERROR(COUNTIF(E315:E333,"Yes")/(COUNTIF(E315:E333,"Yes")+COUNTIF(F315:F333,"No")),0)</f>
        <v>0</v>
      </c>
      <c r="K312" s="108"/>
      <c r="L312" s="108" t="str">
        <f>IF(J312&gt;=0.9,"Green",IF(J312&gt;=0.75,"Amber","Red"))</f>
        <v>Red</v>
      </c>
      <c r="M312" s="108"/>
      <c r="N312" s="108"/>
      <c r="O312" s="108"/>
    </row>
    <row r="313" spans="1:15" x14ac:dyDescent="0.35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</row>
    <row r="314" spans="1:15" ht="29" x14ac:dyDescent="0.35">
      <c r="A314" s="110" t="s">
        <v>611</v>
      </c>
      <c r="B314" s="110" t="s">
        <v>612</v>
      </c>
      <c r="C314" s="110" t="s">
        <v>613</v>
      </c>
      <c r="D314" s="110" t="s">
        <v>614</v>
      </c>
      <c r="E314" s="110" t="s">
        <v>81</v>
      </c>
      <c r="F314" s="110" t="s">
        <v>615</v>
      </c>
      <c r="G314" s="110" t="s">
        <v>616</v>
      </c>
      <c r="H314" s="110" t="s">
        <v>617</v>
      </c>
      <c r="I314" s="110" t="s">
        <v>618</v>
      </c>
      <c r="J314" s="110" t="s">
        <v>390</v>
      </c>
      <c r="K314" s="110" t="s">
        <v>351</v>
      </c>
      <c r="L314" s="110" t="s">
        <v>352</v>
      </c>
      <c r="M314" s="110" t="s">
        <v>292</v>
      </c>
      <c r="N314" s="110" t="s">
        <v>353</v>
      </c>
      <c r="O314" s="110" t="s">
        <v>619</v>
      </c>
    </row>
    <row r="315" spans="1:15" ht="29" x14ac:dyDescent="0.35">
      <c r="A315" s="105" t="s">
        <v>620</v>
      </c>
      <c r="B315" s="105" t="s">
        <v>1344</v>
      </c>
      <c r="C315" s="105" t="s">
        <v>751</v>
      </c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</row>
    <row r="316" spans="1:15" x14ac:dyDescent="0.35">
      <c r="A316" s="105" t="s">
        <v>623</v>
      </c>
      <c r="B316" s="105" t="s">
        <v>1345</v>
      </c>
      <c r="C316" s="105" t="s">
        <v>751</v>
      </c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</row>
    <row r="317" spans="1:15" x14ac:dyDescent="0.35">
      <c r="A317" s="105" t="s">
        <v>625</v>
      </c>
      <c r="B317" s="105" t="s">
        <v>1346</v>
      </c>
      <c r="C317" s="105" t="s">
        <v>751</v>
      </c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</row>
    <row r="318" spans="1:15" x14ac:dyDescent="0.35">
      <c r="A318" s="105" t="s">
        <v>627</v>
      </c>
      <c r="B318" s="105" t="s">
        <v>1347</v>
      </c>
      <c r="C318" s="105" t="s">
        <v>751</v>
      </c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</row>
    <row r="319" spans="1:15" x14ac:dyDescent="0.35">
      <c r="A319" s="105" t="s">
        <v>629</v>
      </c>
      <c r="B319" s="105" t="s">
        <v>1348</v>
      </c>
      <c r="C319" s="105" t="s">
        <v>751</v>
      </c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</row>
    <row r="320" spans="1:15" ht="29" x14ac:dyDescent="0.35">
      <c r="A320" s="105" t="s">
        <v>631</v>
      </c>
      <c r="B320" s="105" t="s">
        <v>1349</v>
      </c>
      <c r="C320" s="105" t="s">
        <v>751</v>
      </c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</row>
    <row r="321" spans="1:15" ht="29" x14ac:dyDescent="0.35">
      <c r="A321" s="105" t="s">
        <v>633</v>
      </c>
      <c r="B321" s="105" t="s">
        <v>1350</v>
      </c>
      <c r="C321" s="105" t="s">
        <v>751</v>
      </c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</row>
    <row r="322" spans="1:15" ht="29" x14ac:dyDescent="0.35">
      <c r="A322" s="105" t="s">
        <v>635</v>
      </c>
      <c r="B322" s="105" t="s">
        <v>1351</v>
      </c>
      <c r="C322" s="105" t="s">
        <v>751</v>
      </c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</row>
    <row r="323" spans="1:15" ht="29" x14ac:dyDescent="0.35">
      <c r="A323" s="105" t="s">
        <v>637</v>
      </c>
      <c r="B323" s="105" t="s">
        <v>1352</v>
      </c>
      <c r="C323" s="105" t="s">
        <v>751</v>
      </c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</row>
    <row r="324" spans="1:15" x14ac:dyDescent="0.35">
      <c r="A324" s="105" t="s">
        <v>639</v>
      </c>
      <c r="B324" s="105" t="s">
        <v>1353</v>
      </c>
      <c r="C324" s="105" t="s">
        <v>788</v>
      </c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</row>
    <row r="325" spans="1:15" ht="29" x14ac:dyDescent="0.35">
      <c r="A325" s="105" t="s">
        <v>641</v>
      </c>
      <c r="B325" s="105" t="s">
        <v>706</v>
      </c>
      <c r="C325" s="105" t="s">
        <v>622</v>
      </c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</row>
    <row r="326" spans="1:15" ht="29" x14ac:dyDescent="0.35">
      <c r="A326" s="105" t="s">
        <v>643</v>
      </c>
      <c r="B326" s="105" t="s">
        <v>682</v>
      </c>
      <c r="C326" s="105" t="s">
        <v>683</v>
      </c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</row>
    <row r="327" spans="1:15" ht="29" x14ac:dyDescent="0.35">
      <c r="A327" s="105" t="s">
        <v>644</v>
      </c>
      <c r="B327" s="105" t="s">
        <v>685</v>
      </c>
      <c r="C327" s="105" t="s">
        <v>686</v>
      </c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</row>
    <row r="328" spans="1:15" ht="29" x14ac:dyDescent="0.35">
      <c r="A328" s="105" t="s">
        <v>645</v>
      </c>
      <c r="B328" s="105" t="s">
        <v>688</v>
      </c>
      <c r="C328" s="105" t="s">
        <v>686</v>
      </c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</row>
    <row r="329" spans="1:15" ht="29" x14ac:dyDescent="0.35">
      <c r="A329" s="105" t="s">
        <v>646</v>
      </c>
      <c r="B329" s="105" t="s">
        <v>690</v>
      </c>
      <c r="C329" s="105" t="s">
        <v>686</v>
      </c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</row>
    <row r="330" spans="1:15" ht="29" x14ac:dyDescent="0.35">
      <c r="A330" s="105" t="s">
        <v>649</v>
      </c>
      <c r="B330" s="105" t="s">
        <v>692</v>
      </c>
      <c r="C330" s="105" t="s">
        <v>686</v>
      </c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</row>
    <row r="331" spans="1:15" ht="29" x14ac:dyDescent="0.35">
      <c r="A331" s="105" t="s">
        <v>651</v>
      </c>
      <c r="B331" s="105" t="s">
        <v>694</v>
      </c>
      <c r="C331" s="105" t="s">
        <v>686</v>
      </c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</row>
    <row r="332" spans="1:15" ht="29" x14ac:dyDescent="0.35">
      <c r="A332" s="105" t="s">
        <v>653</v>
      </c>
      <c r="B332" s="105" t="s">
        <v>696</v>
      </c>
      <c r="C332" s="105" t="s">
        <v>686</v>
      </c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</row>
    <row r="333" spans="1:15" ht="29" x14ac:dyDescent="0.35">
      <c r="A333" s="105" t="s">
        <v>655</v>
      </c>
      <c r="B333" s="105" t="s">
        <v>698</v>
      </c>
      <c r="C333" s="105" t="s">
        <v>686</v>
      </c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</row>
    <row r="334" spans="1:15" x14ac:dyDescent="0.35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</row>
    <row r="335" spans="1:15" x14ac:dyDescent="0.35">
      <c r="A335" s="166" t="s">
        <v>723</v>
      </c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2"/>
    </row>
    <row r="336" spans="1:15" ht="58" x14ac:dyDescent="0.35">
      <c r="A336" s="108" t="s">
        <v>700</v>
      </c>
      <c r="B336" s="108" t="s">
        <v>701</v>
      </c>
      <c r="C336" s="108" t="s">
        <v>390</v>
      </c>
      <c r="D336" s="108" t="s">
        <v>351</v>
      </c>
      <c r="E336" s="108" t="s">
        <v>352</v>
      </c>
      <c r="F336" s="108" t="s">
        <v>292</v>
      </c>
      <c r="G336" s="108" t="s">
        <v>619</v>
      </c>
      <c r="H336" s="108" t="s">
        <v>353</v>
      </c>
      <c r="I336" s="108" t="s">
        <v>610</v>
      </c>
      <c r="J336" s="105"/>
      <c r="K336" s="105"/>
      <c r="L336" s="105"/>
      <c r="M336" s="105"/>
      <c r="N336" s="105"/>
      <c r="O336" s="105"/>
    </row>
    <row r="337" spans="1:15" x14ac:dyDescent="0.35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</row>
    <row r="338" spans="1:15" x14ac:dyDescent="0.35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</row>
    <row r="339" spans="1:15" x14ac:dyDescent="0.35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</row>
    <row r="340" spans="1:15" x14ac:dyDescent="0.35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</row>
    <row r="341" spans="1:15" x14ac:dyDescent="0.35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</row>
    <row r="342" spans="1:15" x14ac:dyDescent="0.35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</row>
    <row r="343" spans="1:15" x14ac:dyDescent="0.35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</row>
    <row r="344" spans="1:15" x14ac:dyDescent="0.35">
      <c r="A344" s="167" t="s">
        <v>724</v>
      </c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2"/>
    </row>
    <row r="345" spans="1:15" ht="72.5" x14ac:dyDescent="0.35">
      <c r="A345" s="108" t="s">
        <v>600</v>
      </c>
      <c r="B345" s="108"/>
      <c r="C345" s="108" t="s">
        <v>601</v>
      </c>
      <c r="D345" s="108"/>
      <c r="E345" s="108" t="s">
        <v>602</v>
      </c>
      <c r="F345" s="108"/>
      <c r="G345" s="108" t="s">
        <v>603</v>
      </c>
      <c r="H345" s="108"/>
      <c r="I345" s="108" t="s">
        <v>604</v>
      </c>
      <c r="J345" s="108"/>
      <c r="K345" s="108" t="s">
        <v>6</v>
      </c>
      <c r="L345" s="108"/>
      <c r="M345" s="108" t="s">
        <v>605</v>
      </c>
      <c r="N345" s="108"/>
      <c r="O345" s="108"/>
    </row>
    <row r="346" spans="1:15" ht="72.5" x14ac:dyDescent="0.35">
      <c r="A346" s="108" t="s">
        <v>606</v>
      </c>
      <c r="B346" s="108"/>
      <c r="C346" s="108" t="s">
        <v>607</v>
      </c>
      <c r="D346" s="108"/>
      <c r="E346" s="108" t="s">
        <v>608</v>
      </c>
      <c r="F346" s="108"/>
      <c r="G346" s="108" t="s">
        <v>609</v>
      </c>
      <c r="H346" s="108"/>
      <c r="I346" s="108" t="s">
        <v>610</v>
      </c>
      <c r="J346" s="109">
        <f>IFERROR(COUNTIF(E349:E367,"Yes")/(COUNTIF(E349:E367,"Yes")+COUNTIF(F349:F367,"No")),0)</f>
        <v>0</v>
      </c>
      <c r="K346" s="108"/>
      <c r="L346" s="108" t="str">
        <f>IF(J346&gt;=0.9,"Green",IF(J346&gt;=0.75,"Amber","Red"))</f>
        <v>Red</v>
      </c>
      <c r="M346" s="108"/>
      <c r="N346" s="108"/>
      <c r="O346" s="108"/>
    </row>
    <row r="347" spans="1:15" x14ac:dyDescent="0.35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</row>
    <row r="348" spans="1:15" ht="29" x14ac:dyDescent="0.35">
      <c r="A348" s="110" t="s">
        <v>611</v>
      </c>
      <c r="B348" s="110" t="s">
        <v>612</v>
      </c>
      <c r="C348" s="110" t="s">
        <v>613</v>
      </c>
      <c r="D348" s="110" t="s">
        <v>614</v>
      </c>
      <c r="E348" s="110" t="s">
        <v>81</v>
      </c>
      <c r="F348" s="110" t="s">
        <v>615</v>
      </c>
      <c r="G348" s="110" t="s">
        <v>616</v>
      </c>
      <c r="H348" s="110" t="s">
        <v>617</v>
      </c>
      <c r="I348" s="110" t="s">
        <v>618</v>
      </c>
      <c r="J348" s="110" t="s">
        <v>390</v>
      </c>
      <c r="K348" s="110" t="s">
        <v>351</v>
      </c>
      <c r="L348" s="110" t="s">
        <v>352</v>
      </c>
      <c r="M348" s="110" t="s">
        <v>292</v>
      </c>
      <c r="N348" s="110" t="s">
        <v>353</v>
      </c>
      <c r="O348" s="110" t="s">
        <v>619</v>
      </c>
    </row>
    <row r="349" spans="1:15" ht="29" x14ac:dyDescent="0.35">
      <c r="A349" s="105" t="s">
        <v>620</v>
      </c>
      <c r="B349" s="105" t="s">
        <v>1344</v>
      </c>
      <c r="C349" s="105" t="s">
        <v>751</v>
      </c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</row>
    <row r="350" spans="1:15" x14ac:dyDescent="0.35">
      <c r="A350" s="105" t="s">
        <v>623</v>
      </c>
      <c r="B350" s="105" t="s">
        <v>1345</v>
      </c>
      <c r="C350" s="105" t="s">
        <v>751</v>
      </c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</row>
    <row r="351" spans="1:15" x14ac:dyDescent="0.35">
      <c r="A351" s="105" t="s">
        <v>625</v>
      </c>
      <c r="B351" s="105" t="s">
        <v>1346</v>
      </c>
      <c r="C351" s="105" t="s">
        <v>751</v>
      </c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</row>
    <row r="352" spans="1:15" x14ac:dyDescent="0.35">
      <c r="A352" s="105" t="s">
        <v>627</v>
      </c>
      <c r="B352" s="105" t="s">
        <v>1347</v>
      </c>
      <c r="C352" s="105" t="s">
        <v>751</v>
      </c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</row>
    <row r="353" spans="1:15" x14ac:dyDescent="0.35">
      <c r="A353" s="105" t="s">
        <v>629</v>
      </c>
      <c r="B353" s="105" t="s">
        <v>1348</v>
      </c>
      <c r="C353" s="105" t="s">
        <v>751</v>
      </c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</row>
    <row r="354" spans="1:15" ht="29" x14ac:dyDescent="0.35">
      <c r="A354" s="105" t="s">
        <v>631</v>
      </c>
      <c r="B354" s="105" t="s">
        <v>1349</v>
      </c>
      <c r="C354" s="105" t="s">
        <v>751</v>
      </c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</row>
    <row r="355" spans="1:15" ht="29" x14ac:dyDescent="0.35">
      <c r="A355" s="105" t="s">
        <v>633</v>
      </c>
      <c r="B355" s="105" t="s">
        <v>1350</v>
      </c>
      <c r="C355" s="105" t="s">
        <v>751</v>
      </c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</row>
    <row r="356" spans="1:15" ht="29" x14ac:dyDescent="0.35">
      <c r="A356" s="105" t="s">
        <v>635</v>
      </c>
      <c r="B356" s="105" t="s">
        <v>1351</v>
      </c>
      <c r="C356" s="105" t="s">
        <v>751</v>
      </c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</row>
    <row r="357" spans="1:15" ht="29" x14ac:dyDescent="0.35">
      <c r="A357" s="105" t="s">
        <v>637</v>
      </c>
      <c r="B357" s="105" t="s">
        <v>1352</v>
      </c>
      <c r="C357" s="105" t="s">
        <v>751</v>
      </c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</row>
    <row r="358" spans="1:15" x14ac:dyDescent="0.35">
      <c r="A358" s="105" t="s">
        <v>639</v>
      </c>
      <c r="B358" s="105" t="s">
        <v>1353</v>
      </c>
      <c r="C358" s="105" t="s">
        <v>788</v>
      </c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</row>
    <row r="359" spans="1:15" ht="29" x14ac:dyDescent="0.35">
      <c r="A359" s="105" t="s">
        <v>641</v>
      </c>
      <c r="B359" s="105" t="s">
        <v>706</v>
      </c>
      <c r="C359" s="105" t="s">
        <v>622</v>
      </c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</row>
    <row r="360" spans="1:15" ht="29" x14ac:dyDescent="0.35">
      <c r="A360" s="105" t="s">
        <v>643</v>
      </c>
      <c r="B360" s="105" t="s">
        <v>682</v>
      </c>
      <c r="C360" s="105" t="s">
        <v>683</v>
      </c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</row>
    <row r="361" spans="1:15" ht="29" x14ac:dyDescent="0.35">
      <c r="A361" s="105" t="s">
        <v>644</v>
      </c>
      <c r="B361" s="105" t="s">
        <v>685</v>
      </c>
      <c r="C361" s="105" t="s">
        <v>686</v>
      </c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</row>
    <row r="362" spans="1:15" ht="29" x14ac:dyDescent="0.35">
      <c r="A362" s="105" t="s">
        <v>645</v>
      </c>
      <c r="B362" s="105" t="s">
        <v>688</v>
      </c>
      <c r="C362" s="105" t="s">
        <v>686</v>
      </c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</row>
    <row r="363" spans="1:15" ht="29" x14ac:dyDescent="0.35">
      <c r="A363" s="105" t="s">
        <v>646</v>
      </c>
      <c r="B363" s="105" t="s">
        <v>690</v>
      </c>
      <c r="C363" s="105" t="s">
        <v>686</v>
      </c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</row>
    <row r="364" spans="1:15" ht="29" x14ac:dyDescent="0.35">
      <c r="A364" s="105" t="s">
        <v>649</v>
      </c>
      <c r="B364" s="105" t="s">
        <v>692</v>
      </c>
      <c r="C364" s="105" t="s">
        <v>686</v>
      </c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</row>
    <row r="365" spans="1:15" ht="29" x14ac:dyDescent="0.35">
      <c r="A365" s="105" t="s">
        <v>651</v>
      </c>
      <c r="B365" s="105" t="s">
        <v>694</v>
      </c>
      <c r="C365" s="105" t="s">
        <v>686</v>
      </c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</row>
    <row r="366" spans="1:15" ht="29" x14ac:dyDescent="0.35">
      <c r="A366" s="105" t="s">
        <v>653</v>
      </c>
      <c r="B366" s="105" t="s">
        <v>696</v>
      </c>
      <c r="C366" s="105" t="s">
        <v>686</v>
      </c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</row>
    <row r="367" spans="1:15" ht="29" x14ac:dyDescent="0.35">
      <c r="A367" s="105" t="s">
        <v>655</v>
      </c>
      <c r="B367" s="105" t="s">
        <v>698</v>
      </c>
      <c r="C367" s="105" t="s">
        <v>686</v>
      </c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</row>
    <row r="368" spans="1:15" x14ac:dyDescent="0.35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</row>
    <row r="369" spans="1:15" x14ac:dyDescent="0.35">
      <c r="A369" s="166" t="s">
        <v>725</v>
      </c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2"/>
    </row>
    <row r="370" spans="1:15" ht="58" x14ac:dyDescent="0.35">
      <c r="A370" s="108" t="s">
        <v>700</v>
      </c>
      <c r="B370" s="108" t="s">
        <v>701</v>
      </c>
      <c r="C370" s="108" t="s">
        <v>390</v>
      </c>
      <c r="D370" s="108" t="s">
        <v>351</v>
      </c>
      <c r="E370" s="108" t="s">
        <v>352</v>
      </c>
      <c r="F370" s="108" t="s">
        <v>292</v>
      </c>
      <c r="G370" s="108" t="s">
        <v>619</v>
      </c>
      <c r="H370" s="108" t="s">
        <v>353</v>
      </c>
      <c r="I370" s="108" t="s">
        <v>610</v>
      </c>
      <c r="J370" s="105"/>
      <c r="K370" s="105"/>
      <c r="L370" s="105"/>
      <c r="M370" s="105"/>
      <c r="N370" s="105"/>
      <c r="O370" s="105"/>
    </row>
    <row r="371" spans="1:15" x14ac:dyDescent="0.35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</row>
    <row r="372" spans="1:15" x14ac:dyDescent="0.35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</row>
    <row r="373" spans="1:15" x14ac:dyDescent="0.35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</row>
    <row r="374" spans="1:15" x14ac:dyDescent="0.35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</row>
    <row r="375" spans="1:15" x14ac:dyDescent="0.3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</row>
    <row r="376" spans="1:15" x14ac:dyDescent="0.35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</row>
    <row r="377" spans="1:15" x14ac:dyDescent="0.35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</row>
    <row r="378" spans="1:15" x14ac:dyDescent="0.35">
      <c r="A378" s="167" t="s">
        <v>726</v>
      </c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2"/>
    </row>
    <row r="379" spans="1:15" ht="72.5" x14ac:dyDescent="0.35">
      <c r="A379" s="108" t="s">
        <v>600</v>
      </c>
      <c r="B379" s="108"/>
      <c r="C379" s="108" t="s">
        <v>601</v>
      </c>
      <c r="D379" s="108"/>
      <c r="E379" s="108" t="s">
        <v>602</v>
      </c>
      <c r="F379" s="108"/>
      <c r="G379" s="108" t="s">
        <v>603</v>
      </c>
      <c r="H379" s="108"/>
      <c r="I379" s="108" t="s">
        <v>604</v>
      </c>
      <c r="J379" s="108"/>
      <c r="K379" s="108" t="s">
        <v>6</v>
      </c>
      <c r="L379" s="108"/>
      <c r="M379" s="108" t="s">
        <v>605</v>
      </c>
      <c r="N379" s="108"/>
      <c r="O379" s="108"/>
    </row>
    <row r="380" spans="1:15" ht="72.5" x14ac:dyDescent="0.35">
      <c r="A380" s="108" t="s">
        <v>606</v>
      </c>
      <c r="B380" s="108"/>
      <c r="C380" s="108" t="s">
        <v>607</v>
      </c>
      <c r="D380" s="108"/>
      <c r="E380" s="108" t="s">
        <v>608</v>
      </c>
      <c r="F380" s="108"/>
      <c r="G380" s="108" t="s">
        <v>609</v>
      </c>
      <c r="H380" s="108"/>
      <c r="I380" s="108" t="s">
        <v>610</v>
      </c>
      <c r="J380" s="109">
        <f>IFERROR(COUNTIF(E383:E401,"Yes")/(COUNTIF(E383:E401,"Yes")+COUNTIF(F383:F401,"No")),0)</f>
        <v>0</v>
      </c>
      <c r="K380" s="108"/>
      <c r="L380" s="108" t="str">
        <f>IF(J380&gt;=0.9,"Green",IF(J380&gt;=0.75,"Amber","Red"))</f>
        <v>Red</v>
      </c>
      <c r="M380" s="108"/>
      <c r="N380" s="108"/>
      <c r="O380" s="108"/>
    </row>
    <row r="381" spans="1:15" x14ac:dyDescent="0.35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</row>
    <row r="382" spans="1:15" ht="29" x14ac:dyDescent="0.35">
      <c r="A382" s="110" t="s">
        <v>611</v>
      </c>
      <c r="B382" s="110" t="s">
        <v>612</v>
      </c>
      <c r="C382" s="110" t="s">
        <v>613</v>
      </c>
      <c r="D382" s="110" t="s">
        <v>614</v>
      </c>
      <c r="E382" s="110" t="s">
        <v>81</v>
      </c>
      <c r="F382" s="110" t="s">
        <v>615</v>
      </c>
      <c r="G382" s="110" t="s">
        <v>616</v>
      </c>
      <c r="H382" s="110" t="s">
        <v>617</v>
      </c>
      <c r="I382" s="110" t="s">
        <v>618</v>
      </c>
      <c r="J382" s="110" t="s">
        <v>390</v>
      </c>
      <c r="K382" s="110" t="s">
        <v>351</v>
      </c>
      <c r="L382" s="110" t="s">
        <v>352</v>
      </c>
      <c r="M382" s="110" t="s">
        <v>292</v>
      </c>
      <c r="N382" s="110" t="s">
        <v>353</v>
      </c>
      <c r="O382" s="110" t="s">
        <v>619</v>
      </c>
    </row>
    <row r="383" spans="1:15" ht="29" x14ac:dyDescent="0.35">
      <c r="A383" s="105" t="s">
        <v>620</v>
      </c>
      <c r="B383" s="105" t="s">
        <v>1344</v>
      </c>
      <c r="C383" s="105" t="s">
        <v>751</v>
      </c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</row>
    <row r="384" spans="1:15" x14ac:dyDescent="0.35">
      <c r="A384" s="105" t="s">
        <v>623</v>
      </c>
      <c r="B384" s="105" t="s">
        <v>1345</v>
      </c>
      <c r="C384" s="105" t="s">
        <v>751</v>
      </c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</row>
    <row r="385" spans="1:15" x14ac:dyDescent="0.35">
      <c r="A385" s="105" t="s">
        <v>625</v>
      </c>
      <c r="B385" s="105" t="s">
        <v>1346</v>
      </c>
      <c r="C385" s="105" t="s">
        <v>751</v>
      </c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</row>
    <row r="386" spans="1:15" x14ac:dyDescent="0.35">
      <c r="A386" s="105" t="s">
        <v>627</v>
      </c>
      <c r="B386" s="105" t="s">
        <v>1347</v>
      </c>
      <c r="C386" s="105" t="s">
        <v>751</v>
      </c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</row>
    <row r="387" spans="1:15" x14ac:dyDescent="0.35">
      <c r="A387" s="105" t="s">
        <v>629</v>
      </c>
      <c r="B387" s="105" t="s">
        <v>1348</v>
      </c>
      <c r="C387" s="105" t="s">
        <v>751</v>
      </c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</row>
    <row r="388" spans="1:15" ht="29" x14ac:dyDescent="0.35">
      <c r="A388" s="105" t="s">
        <v>631</v>
      </c>
      <c r="B388" s="105" t="s">
        <v>1349</v>
      </c>
      <c r="C388" s="105" t="s">
        <v>751</v>
      </c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</row>
    <row r="389" spans="1:15" ht="29" x14ac:dyDescent="0.35">
      <c r="A389" s="105" t="s">
        <v>633</v>
      </c>
      <c r="B389" s="105" t="s">
        <v>1350</v>
      </c>
      <c r="C389" s="105" t="s">
        <v>751</v>
      </c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</row>
    <row r="390" spans="1:15" ht="29" x14ac:dyDescent="0.35">
      <c r="A390" s="105" t="s">
        <v>635</v>
      </c>
      <c r="B390" s="105" t="s">
        <v>1351</v>
      </c>
      <c r="C390" s="105" t="s">
        <v>751</v>
      </c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</row>
    <row r="391" spans="1:15" ht="29" x14ac:dyDescent="0.35">
      <c r="A391" s="105" t="s">
        <v>637</v>
      </c>
      <c r="B391" s="105" t="s">
        <v>1352</v>
      </c>
      <c r="C391" s="105" t="s">
        <v>751</v>
      </c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</row>
    <row r="392" spans="1:15" x14ac:dyDescent="0.35">
      <c r="A392" s="105" t="s">
        <v>639</v>
      </c>
      <c r="B392" s="105" t="s">
        <v>1353</v>
      </c>
      <c r="C392" s="105" t="s">
        <v>788</v>
      </c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</row>
    <row r="393" spans="1:15" ht="29" x14ac:dyDescent="0.35">
      <c r="A393" s="105" t="s">
        <v>641</v>
      </c>
      <c r="B393" s="105" t="s">
        <v>706</v>
      </c>
      <c r="C393" s="105" t="s">
        <v>622</v>
      </c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</row>
    <row r="394" spans="1:15" ht="29" x14ac:dyDescent="0.35">
      <c r="A394" s="105" t="s">
        <v>643</v>
      </c>
      <c r="B394" s="105" t="s">
        <v>682</v>
      </c>
      <c r="C394" s="105" t="s">
        <v>683</v>
      </c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</row>
    <row r="395" spans="1:15" ht="29" x14ac:dyDescent="0.35">
      <c r="A395" s="105" t="s">
        <v>644</v>
      </c>
      <c r="B395" s="105" t="s">
        <v>685</v>
      </c>
      <c r="C395" s="105" t="s">
        <v>686</v>
      </c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</row>
    <row r="396" spans="1:15" ht="29" x14ac:dyDescent="0.35">
      <c r="A396" s="105" t="s">
        <v>645</v>
      </c>
      <c r="B396" s="105" t="s">
        <v>688</v>
      </c>
      <c r="C396" s="105" t="s">
        <v>686</v>
      </c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</row>
    <row r="397" spans="1:15" ht="29" x14ac:dyDescent="0.35">
      <c r="A397" s="105" t="s">
        <v>646</v>
      </c>
      <c r="B397" s="105" t="s">
        <v>690</v>
      </c>
      <c r="C397" s="105" t="s">
        <v>686</v>
      </c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</row>
    <row r="398" spans="1:15" ht="29" x14ac:dyDescent="0.35">
      <c r="A398" s="105" t="s">
        <v>649</v>
      </c>
      <c r="B398" s="105" t="s">
        <v>692</v>
      </c>
      <c r="C398" s="105" t="s">
        <v>686</v>
      </c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</row>
    <row r="399" spans="1:15" ht="29" x14ac:dyDescent="0.35">
      <c r="A399" s="105" t="s">
        <v>651</v>
      </c>
      <c r="B399" s="105" t="s">
        <v>694</v>
      </c>
      <c r="C399" s="105" t="s">
        <v>686</v>
      </c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</row>
    <row r="400" spans="1:15" ht="29" x14ac:dyDescent="0.35">
      <c r="A400" s="105" t="s">
        <v>653</v>
      </c>
      <c r="B400" s="105" t="s">
        <v>696</v>
      </c>
      <c r="C400" s="105" t="s">
        <v>686</v>
      </c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</row>
    <row r="401" spans="1:15" ht="29" x14ac:dyDescent="0.35">
      <c r="A401" s="105" t="s">
        <v>655</v>
      </c>
      <c r="B401" s="105" t="s">
        <v>698</v>
      </c>
      <c r="C401" s="105" t="s">
        <v>686</v>
      </c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</row>
    <row r="402" spans="1:15" x14ac:dyDescent="0.35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</row>
    <row r="403" spans="1:15" x14ac:dyDescent="0.35">
      <c r="A403" s="166" t="s">
        <v>727</v>
      </c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2"/>
    </row>
    <row r="404" spans="1:15" ht="58" x14ac:dyDescent="0.35">
      <c r="A404" s="108" t="s">
        <v>700</v>
      </c>
      <c r="B404" s="108" t="s">
        <v>701</v>
      </c>
      <c r="C404" s="108" t="s">
        <v>390</v>
      </c>
      <c r="D404" s="108" t="s">
        <v>351</v>
      </c>
      <c r="E404" s="108" t="s">
        <v>352</v>
      </c>
      <c r="F404" s="108" t="s">
        <v>292</v>
      </c>
      <c r="G404" s="108" t="s">
        <v>619</v>
      </c>
      <c r="H404" s="108" t="s">
        <v>353</v>
      </c>
      <c r="I404" s="108" t="s">
        <v>610</v>
      </c>
      <c r="J404" s="105"/>
      <c r="K404" s="105"/>
      <c r="L404" s="105"/>
      <c r="M404" s="105"/>
      <c r="N404" s="105"/>
      <c r="O404" s="105"/>
    </row>
  </sheetData>
  <mergeCells count="26">
    <mergeCell ref="A174:O174"/>
    <mergeCell ref="A233:O233"/>
    <mergeCell ref="A208:O208"/>
    <mergeCell ref="A335:O335"/>
    <mergeCell ref="A378:O378"/>
    <mergeCell ref="A369:O369"/>
    <mergeCell ref="A267:O267"/>
    <mergeCell ref="A301:O301"/>
    <mergeCell ref="A344:O344"/>
    <mergeCell ref="A276:O276"/>
    <mergeCell ref="A403:O403"/>
    <mergeCell ref="A310:O310"/>
    <mergeCell ref="A1:O1"/>
    <mergeCell ref="A2:O2"/>
    <mergeCell ref="A242:O242"/>
    <mergeCell ref="A97:O97"/>
    <mergeCell ref="A131:O131"/>
    <mergeCell ref="A4:O4"/>
    <mergeCell ref="A106:O106"/>
    <mergeCell ref="A140:O140"/>
    <mergeCell ref="A29:O29"/>
    <mergeCell ref="A38:O38"/>
    <mergeCell ref="A63:O63"/>
    <mergeCell ref="A72:O72"/>
    <mergeCell ref="A165:O165"/>
    <mergeCell ref="A199:O199"/>
  </mergeCells>
  <dataValidations count="2">
    <dataValidation type="list" allowBlank="1" sqref="E9:G27 E43:G61 E77:G95 E111:G129 E145:G163 E179:G197 E213:G231 E247:G265 E281:G299 E315:G333 E349:G367 E383:G401" xr:uid="{00000000-0002-0000-4100-000000000000}">
      <formula1>"Yes,No,N/A"</formula1>
    </dataValidation>
    <dataValidation type="list" allowBlank="1" sqref="H9:H27 H43:H61 H77:H95 H111:H129 H145:H163 H179:H197 H213:H231 H247:H265 H281:H299 H315:H333 H349:H367 H383:H401" xr:uid="{00000000-0002-0000-4100-000001000000}">
      <formula1>"Low,Medium,High,Critical,N/A"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66</vt:i4>
      </vt:variant>
    </vt:vector>
  </HeadingPairs>
  <TitlesOfParts>
    <vt:vector size="66" baseType="lpstr">
      <vt:lpstr>Mandatory Training Dashboard</vt:lpstr>
      <vt:lpstr>Training Dashboard</vt:lpstr>
      <vt:lpstr>Workforce Dashboard</vt:lpstr>
      <vt:lpstr>Workforce Annual Audit Index</vt:lpstr>
      <vt:lpstr>Summary</vt:lpstr>
      <vt:lpstr>Matrix</vt:lpstr>
      <vt:lpstr>Keys</vt:lpstr>
      <vt:lpstr>Completed Results</vt:lpstr>
      <vt:lpstr>Renewal Rules</vt:lpstr>
      <vt:lpstr>Training Due &amp; RAG</vt:lpstr>
      <vt:lpstr>Training Expiry Dashboard</vt:lpstr>
      <vt:lpstr>Recruitment Matrix</vt:lpstr>
      <vt:lpstr>Personnel Workforce</vt:lpstr>
      <vt:lpstr>Staff Observations</vt:lpstr>
      <vt:lpstr>Professional Discussions</vt:lpstr>
      <vt:lpstr>Supervision Tracker</vt:lpstr>
      <vt:lpstr>Competency Tracker</vt:lpstr>
      <vt:lpstr>Team Meetings</vt:lpstr>
      <vt:lpstr>Annual Appraisals</vt:lpstr>
      <vt:lpstr>Probation Reviews</vt:lpstr>
      <vt:lpstr>Workforce Action Tracker</vt:lpstr>
      <vt:lpstr>Consolidated Matrix</vt:lpstr>
      <vt:lpstr>Consolidated Expiry</vt:lpstr>
      <vt:lpstr>Consolidated RAG</vt:lpstr>
      <vt:lpstr>Training Mapping</vt:lpstr>
      <vt:lpstr>Main Training Dashboard</vt:lpstr>
      <vt:lpstr>All Training Dashboard</vt:lpstr>
      <vt:lpstr>Dashboard Mapping</vt:lpstr>
      <vt:lpstr>Care Dashboard</vt:lpstr>
      <vt:lpstr>Recruitment Audit</vt:lpstr>
      <vt:lpstr>Staff File Audit</vt:lpstr>
      <vt:lpstr>Training Audit</vt:lpstr>
      <vt:lpstr>Competency Audit</vt:lpstr>
      <vt:lpstr>Supervision Audit</vt:lpstr>
      <vt:lpstr>Observation Audit</vt:lpstr>
      <vt:lpstr>Appraisal Audit</vt:lpstr>
      <vt:lpstr>Induction Settings</vt:lpstr>
      <vt:lpstr>Induction Employee Register</vt:lpstr>
      <vt:lpstr>Induction Dashboard</vt:lpstr>
      <vt:lpstr>SW001</vt:lpstr>
      <vt:lpstr>SW002</vt:lpstr>
      <vt:lpstr>SW003</vt:lpstr>
      <vt:lpstr>SW004</vt:lpstr>
      <vt:lpstr>SW005</vt:lpstr>
      <vt:lpstr>SW006</vt:lpstr>
      <vt:lpstr>SW007</vt:lpstr>
      <vt:lpstr>SW008</vt:lpstr>
      <vt:lpstr>SW009</vt:lpstr>
      <vt:lpstr>SW010</vt:lpstr>
      <vt:lpstr>SW011</vt:lpstr>
      <vt:lpstr>SW012</vt:lpstr>
      <vt:lpstr>SW013</vt:lpstr>
      <vt:lpstr>SW014</vt:lpstr>
      <vt:lpstr>SW015</vt:lpstr>
      <vt:lpstr>SW016</vt:lpstr>
      <vt:lpstr>SW017</vt:lpstr>
      <vt:lpstr>SW018</vt:lpstr>
      <vt:lpstr>SW019</vt:lpstr>
      <vt:lpstr>SW020</vt:lpstr>
      <vt:lpstr>SW021</vt:lpstr>
      <vt:lpstr>SW022</vt:lpstr>
      <vt:lpstr>SW023</vt:lpstr>
      <vt:lpstr>SW024</vt:lpstr>
      <vt:lpstr>SW025</vt:lpstr>
      <vt:lpstr>Induction Audit</vt:lpstr>
      <vt:lpstr>Probation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Dursha Krishan</cp:lastModifiedBy>
  <dcterms:created xsi:type="dcterms:W3CDTF">2026-06-30T11:58:02Z</dcterms:created>
  <dcterms:modified xsi:type="dcterms:W3CDTF">2026-06-30T15:50:28Z</dcterms:modified>
</cp:coreProperties>
</file>